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1c75d450374b23" /></Relationships>
</file>

<file path=xl/workbook.xml><?xml version="1.0" encoding="utf-8"?>
<x:workbook xmlns:x="http://schemas.openxmlformats.org/spreadsheetml/2006/main">
  <x:sheets>
    <x:sheet xmlns:r="http://schemas.openxmlformats.org/officeDocument/2006/relationships" name="Dashboard" sheetId="1" r:id="Re544ea674ae64f25"/>
    <x:sheet xmlns:r="http://schemas.openxmlformats.org/officeDocument/2006/relationships" name="Week 1 Tasks" sheetId="2" r:id="R229dfa9acfcc4b50"/>
    <x:sheet xmlns:r="http://schemas.openxmlformats.org/officeDocument/2006/relationships" name="Guide" sheetId="3" r:id="Rabc0bbfe7f9648d7"/>
    <x:sheet xmlns:r="http://schemas.openxmlformats.org/officeDocument/2006/relationships" name="Events" sheetId="4" r:id="R39e8b937f180496f"/>
    <x:sheet xmlns:r="http://schemas.openxmlformats.org/officeDocument/2006/relationships" name="Claims" sheetId="5" r:id="Re02d850eb1d34844"/>
    <x:sheet xmlns:r="http://schemas.openxmlformats.org/officeDocument/2006/relationships" name="Sources" sheetId="6" r:id="R9d9b5f0577db4a64"/>
    <x:sheet xmlns:r="http://schemas.openxmlformats.org/officeDocument/2006/relationships" name="Organisations" sheetId="7" r:id="R7ccf4c9eb4b347f6"/>
    <x:sheet xmlns:r="http://schemas.openxmlformats.org/officeDocument/2006/relationships" name="Corrections" sheetId="8" r:id="Rd875c5f47f7f4ddd"/>
    <x:sheet xmlns:r="http://schemas.openxmlformats.org/officeDocument/2006/relationships" name="Lists" sheetId="9" r:id="R8b0a28c514ca4abd"/>
    <x:sheet xmlns:r="http://schemas.openxmlformats.org/officeDocument/2006/relationships" name="Data Dictionary" sheetId="10" r:id="R25bba3eb96674fa8"/>
    <x:sheet xmlns:r="http://schemas.openxmlformats.org/officeDocument/2006/relationships" name="Decisions" sheetId="11" r:id="R22a142f1b35c44ea"/>
    <x:sheet xmlns:r="http://schemas.openxmlformats.org/officeDocument/2006/relationships" name="Candidate Events" sheetId="12" r:id="R1a90024569c9435e"/>
    <x:sheet xmlns:r="http://schemas.openxmlformats.org/officeDocument/2006/relationships" name="Visual Summary" sheetId="13" r:id="R2991820fed714929"/>
    <x:sheet xmlns:r="http://schemas.openxmlformats.org/officeDocument/2006/relationships" name="Analytics Data" sheetId="14" r:id="R4639e7ed6ecf4d4f"/>
    <x:sheet xmlns:r="http://schemas.openxmlformats.org/officeDocument/2006/relationships" name="Verification Methodology" sheetId="15" r:id="R29684d09ce394741"/>
    <x:sheet xmlns:r="http://schemas.openxmlformats.org/officeDocument/2006/relationships" name="Day 5 Research Log" sheetId="16" r:id="R1e00d0e9d42843da"/>
    <x:sheet xmlns:r="http://schemas.openxmlformats.org/officeDocument/2006/relationships" name="Day 5 Schema Review" sheetId="17" r:id="R73de4d1bc116405c"/>
    <x:sheet xmlns:r="http://schemas.openxmlformats.org/officeDocument/2006/relationships" name="Automated Discovery System" sheetId="18" r:id="Re9f71eb0d0be41db"/>
    <x:sheet xmlns:r="http://schemas.openxmlformats.org/officeDocument/2006/relationships" name="Source Registry" sheetId="19" r:id="R084a82de41784b37"/>
    <x:sheet xmlns:r="http://schemas.openxmlformats.org/officeDocument/2006/relationships" name="Automation Controls" sheetId="20" r:id="Rb356e92f41ad445c"/>
    <x:sheet xmlns:r="http://schemas.openxmlformats.org/officeDocument/2006/relationships" name="Wireframe Index" sheetId="21" r:id="Rdb3128f65d17495a"/>
    <x:sheet xmlns:r="http://schemas.openxmlformats.org/officeDocument/2006/relationships" name="WF Event Page" sheetId="22" r:id="R7d6688e2ed0d4f2b"/>
    <x:sheet xmlns:r="http://schemas.openxmlformats.org/officeDocument/2006/relationships" name="WF Home" sheetId="23" r:id="R59d3a797e92f49a0"/>
    <x:sheet xmlns:r="http://schemas.openxmlformats.org/officeDocument/2006/relationships" name="WF Browse Events" sheetId="24" r:id="Rbde0f8f26d8a4ec2"/>
    <x:sheet xmlns:r="http://schemas.openxmlformats.org/officeDocument/2006/relationships" name="WF Methodology" sheetId="25" r:id="R5d44420d03c04bb4"/>
    <x:sheet xmlns:r="http://schemas.openxmlformats.org/officeDocument/2006/relationships" name="WF Submit Lead" sheetId="26" r:id="Rd8b52bacd1be4e2f"/>
    <x:sheet xmlns:r="http://schemas.openxmlformats.org/officeDocument/2006/relationships" name="WF Corrections" sheetId="27" r:id="Ra9e137b1c297414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
    <x:numFmt numFmtId="203" formatCode="yyyy-mm-dd"/>
  </x:numFmts>
  <x:fonts count="49">
    <x:font>
      <x:sz val="11"/>
      <x:name val="Carlito"/>
    </x:font>
    <x:font>
      <x:b/>
      <x:sz val="11"/>
      <x:color rgb="FFFFFFFF"/>
      <x:name val="Carlito"/>
    </x:font>
    <x:font>
      <x:b/>
      <x:sz val="18"/>
      <x:color rgb="FFFFFFFF"/>
      <x:name val="Carlito"/>
    </x:font>
    <x:font>
      <x:sz val="11"/>
      <x:color rgb="FF17324D"/>
      <x:name val="Carlito"/>
    </x:font>
    <x:font>
      <x:b/>
      <x:sz val="17"/>
      <x:color rgb="FFFFFFFF"/>
      <x:name val="Carlito"/>
    </x:font>
    <x:font>
      <x:b/>
      <x:sz val="16"/>
      <x:color rgb="FFFFFFFF"/>
      <x:name val="Carlito"/>
    </x:font>
    <x:font>
      <x:i/>
      <x:sz val="11"/>
      <x:color rgb="FF17324D"/>
      <x:name val="Carlito"/>
    </x:font>
    <x:font>
      <x:b/>
      <x:sz val="11"/>
      <x:color rgb="FF2E7D32"/>
      <x:name val="Carlito"/>
    </x:font>
    <x:font>
      <x:b/>
      <x:sz val="10"/>
      <x:color rgb="FF1F2933"/>
      <x:name val="Carlito"/>
    </x:font>
    <x:font>
      <x:sz val="10"/>
      <x:color rgb="FF1F2933"/>
      <x:name val="Carlito"/>
    </x:font>
    <x:font>
      <x:b/>
      <x:sz val="10"/>
      <x:color rgb="FFFFFFFF"/>
      <x:name val="Carlito"/>
    </x:font>
    <x:font>
      <x:b/>
      <x:sz val="10"/>
      <x:color rgb="FF2E7D32"/>
      <x:name val="Carlito"/>
    </x:font>
    <x:font>
      <x:sz val="10"/>
      <x:color rgb="FF17324D"/>
      <x:name val="Carlito"/>
    </x:font>
    <x:font>
      <x:b/>
      <x:sz val="20"/>
      <x:color rgb="FFFFFFFF"/>
      <x:name val="Carlito"/>
    </x:font>
    <x:font>
      <x:b/>
      <x:sz val="10"/>
      <x:color rgb="FF5F6B76"/>
      <x:name val="Carlito"/>
    </x:font>
    <x:font>
      <x:b/>
      <x:sz val="18"/>
      <x:color rgb="FF17324D"/>
      <x:name val="Carlito"/>
    </x:font>
    <x:font>
      <x:b/>
      <x:sz val="12"/>
      <x:color rgb="FF17324D"/>
      <x:name val="Carlito"/>
    </x:font>
    <x:font>
      <x:sz val="10"/>
      <x:color rgb="FF5F4B1B"/>
      <x:name val="Carlito"/>
    </x:font>
    <x:font>
      <x:b/>
      <x:sz val="12"/>
      <x:color rgb="FF2E7D32"/>
      <x:name val="Carlito"/>
    </x:font>
    <x:font>
      <x:b/>
      <x:sz val="12"/>
      <x:color rgb="FFFFFFFF"/>
      <x:name val="Carlito"/>
    </x:font>
    <x:font>
      <x:b/>
      <x:sz val="13"/>
      <x:color rgb="FFFFFFFF"/>
      <x:name val="Carlito"/>
    </x:font>
    <x:font>
      <x:b/>
      <x:sz val="11"/>
      <x:color rgb="FF5F4B1B"/>
      <x:name val="Carlito"/>
    </x:font>
    <x:font>
      <x:b/>
      <x:sz val="11"/>
      <x:color rgb="FF8B1E1E"/>
      <x:name val="Carlito"/>
    </x:font>
    <x:font>
      <x:b/>
      <x:sz val="12"/>
      <x:color rgb="FF8B1E1E"/>
      <x:name val="Carlito"/>
    </x:font>
    <x:font>
      <x:sz val="10"/>
      <x:color rgb="FF17324D"/>
      <x:name val="Carlito"/>
    </x:font>
    <x:font>
      <x:sz val="11"/>
      <x:color rgb="FF2E7D32"/>
      <x:name val="Carlito"/>
    </x:font>
    <x:font>
      <x:b/>
      <x:sz val="11"/>
      <x:color rgb="FF17324D"/>
      <x:name val="Carlito"/>
    </x:font>
    <x:font>
      <x:sz val="9"/>
      <x:color rgb="FF5F6B76"/>
      <x:name val="Carlito"/>
    </x:font>
    <x:font>
      <x:b/>
      <x:sz val="17"/>
      <x:color rgb="FF17324D"/>
      <x:name val="Carlito"/>
    </x:font>
    <x:font>
      <x:b/>
      <x:sz val="10"/>
      <x:color rgb="FF2F6B9A"/>
      <x:name val="Carlito"/>
    </x:font>
    <x:font>
      <x:sz val="11"/>
      <x:color rgb="FF17324D"/>
      <x:name val="Carlito"/>
    </x:font>
    <x:font>
      <x:b/>
      <x:sz val="10"/>
      <x:color rgb="FF17324D"/>
      <x:name val="Carlito"/>
    </x:font>
    <x:font>
      <x:sz val="10"/>
      <x:color rgb="FF6B5318"/>
      <x:name val="Carlito"/>
    </x:font>
    <x:font>
      <x:sz val="9"/>
      <x:color rgb="FF17324D"/>
      <x:name val="Carlito"/>
    </x:font>
    <x:font>
      <x:sz val="9"/>
      <x:color rgb="FF2F6B9A"/>
      <x:name val="Carlito"/>
    </x:font>
    <x:font>
      <x:b/>
      <x:sz val="10"/>
      <x:color rgb="FF6B5318"/>
      <x:name val="Carlito"/>
    </x:font>
    <x:font>
      <x:b/>
      <x:sz val="10"/>
      <x:color rgb="FF8B1E1E"/>
      <x:name val="Carlito"/>
    </x:font>
    <x:font>
      <x:b/>
      <x:sz val="9"/>
      <x:color rgb="FF17324D"/>
      <x:name val="Carlito"/>
    </x:font>
    <x:font>
      <x:sz val="9"/>
      <x:color rgb="FF6B5318"/>
      <x:name val="Carlito"/>
    </x:font>
    <x:font>
      <x:sz val="9"/>
      <x:color rgb="FFFFFFFF"/>
      <x:name val="Carlito"/>
    </x:font>
    <x:font>
      <x:b/>
      <x:sz val="14"/>
      <x:color rgb="FF17324D"/>
      <x:name val="Carlito"/>
    </x:font>
    <x:font>
      <x:sz val="11"/>
      <x:color rgb="FF5F6B76"/>
      <x:name val="Carlito"/>
    </x:font>
    <x:font>
      <x:b/>
      <x:sz val="9"/>
      <x:color rgb="FF5F6B76"/>
      <x:name val="Carlito"/>
    </x:font>
    <x:font>
      <x:b/>
      <x:sz val="13"/>
      <x:color rgb="FF17324D"/>
      <x:name val="Carlito"/>
    </x:font>
    <x:font>
      <x:b/>
      <x:sz val="9"/>
      <x:color rgb="FF2E7D32"/>
      <x:name val="Carlito"/>
    </x:font>
    <x:font>
      <x:b/>
      <x:sz val="9"/>
      <x:color rgb="FF6B5318"/>
      <x:name val="Carlito"/>
    </x:font>
    <x:font>
      <x:b/>
      <x:sz val="9"/>
      <x:color rgb="FFFFFFFF"/>
      <x:name val="Carlito"/>
    </x:font>
    <x:font>
      <x:b/>
      <x:sz val="9"/>
      <x:color rgb="FF8B1E1E"/>
      <x:name val="Carlito"/>
    </x:font>
    <x:font>
      <x:sz val="10"/>
      <x:color rgb="FF2E7D32"/>
      <x:name val="Carlito"/>
    </x:font>
  </x:fonts>
  <x:fills count="44">
    <x:fill>
      <x:patternFill patternType="none"/>
    </x:fill>
    <x:fill>
      <x:patternFill patternType="gray125"/>
    </x:fill>
    <x:fill>
      <x:patternFill patternType="solid">
        <x:fgColor rgb="FF17324D"/>
      </x:patternFill>
    </x:fill>
    <x:fill>
      <x:patternFill patternType="solid">
        <x:fgColor rgb="FFF7FBF7"/>
      </x:patternFill>
    </x:fill>
    <x:fill>
      <x:patternFill patternType="solid">
        <x:fgColor rgb="FFDCEAF5"/>
      </x:patternFill>
    </x:fill>
    <x:fill>
      <x:patternFill patternType="solid">
        <x:fgColor rgb="FF17324D"/>
      </x:patternFill>
    </x:fill>
    <x:fill>
      <x:patternFill patternType="solid">
        <x:fgColor rgb="FFDCEAF5"/>
      </x:patternFill>
    </x:fill>
    <x:fill>
      <x:patternFill patternType="solid">
        <x:fgColor rgb="FFE5F4E7"/>
      </x:patternFill>
    </x:fill>
    <x:fill>
      <x:patternFill patternType="solid">
        <x:fgColor rgb="FFFFFFFF"/>
      </x:patternFill>
    </x:fill>
    <x:fill>
      <x:patternFill patternType="solid">
        <x:fgColor rgb="FF17324D"/>
      </x:patternFill>
    </x:fill>
    <x:fill>
      <x:patternFill patternType="solid">
        <x:fgColor rgb="FFDCEAF5"/>
      </x:patternFill>
    </x:fill>
    <x:fill>
      <x:patternFill patternType="solid">
        <x:fgColor rgb="FF17324D"/>
      </x:patternFill>
    </x:fill>
    <x:fill>
      <x:patternFill patternType="solid">
        <x:fgColor rgb="FFDCEAF5"/>
      </x:patternFill>
    </x:fill>
    <x:fill>
      <x:patternFill patternType="solid">
        <x:fgColor rgb="FF5F6B76"/>
      </x:patternFill>
    </x:fill>
    <x:fill>
      <x:patternFill patternType="solid">
        <x:fgColor rgb="FFF3F5F7"/>
      </x:patternFill>
    </x:fill>
    <x:fill>
      <x:patternFill patternType="solid">
        <x:fgColor rgb="FFFFF4D6"/>
      </x:patternFill>
    </x:fill>
    <x:fill>
      <x:patternFill patternType="solid">
        <x:fgColor rgb="FFE5F4E7"/>
      </x:patternFill>
    </x:fill>
    <x:fill>
      <x:patternFill patternType="solid">
        <x:fgColor rgb="FF17324D"/>
      </x:patternFill>
    </x:fill>
    <x:fill>
      <x:patternFill patternType="solid">
        <x:fgColor rgb="FF5F6B76"/>
      </x:patternFill>
    </x:fill>
    <x:fill>
      <x:patternFill patternType="solid">
        <x:fgColor rgb="FFE5F4E7"/>
      </x:patternFill>
    </x:fill>
    <x:fill>
      <x:patternFill patternType="solid">
        <x:fgColor rgb="FF17324D"/>
      </x:patternFill>
    </x:fill>
    <x:fill>
      <x:patternFill patternType="solid">
        <x:fgColor rgb="FFDCEAF5"/>
      </x:patternFill>
    </x:fill>
    <x:fill>
      <x:patternFill patternType="solid">
        <x:fgColor rgb="FF5F6B76"/>
      </x:patternFill>
    </x:fill>
    <x:fill>
      <x:patternFill patternType="solid">
        <x:fgColor rgb="FFFFF4D6"/>
      </x:patternFill>
    </x:fill>
    <x:fill>
      <x:patternFill patternType="solid">
        <x:fgColor rgb="FFE5F4E7"/>
      </x:patternFill>
    </x:fill>
    <x:fill>
      <x:patternFill patternType="solid">
        <x:fgColor rgb="FF2F6B9A"/>
      </x:patternFill>
    </x:fill>
    <x:fill>
      <x:patternFill patternType="solid">
        <x:fgColor rgb="FF17324D"/>
      </x:patternFill>
    </x:fill>
    <x:fill>
      <x:patternFill patternType="solid">
        <x:fgColor rgb="FF5F6B76"/>
      </x:patternFill>
    </x:fill>
    <x:fill>
      <x:patternFill patternType="solid">
        <x:fgColor rgb="FFFFF4D6"/>
      </x:patternFill>
    </x:fill>
    <x:fill>
      <x:patternFill patternType="solid">
        <x:fgColor rgb="FFE5F4E7"/>
      </x:patternFill>
    </x:fill>
    <x:fill>
      <x:patternFill patternType="solid">
        <x:fgColor rgb="FF17324D"/>
      </x:patternFill>
    </x:fill>
    <x:fill>
      <x:patternFill patternType="solid">
        <x:fgColor rgb="FFDCEAF5"/>
      </x:patternFill>
    </x:fill>
    <x:fill>
      <x:patternFill patternType="solid">
        <x:fgColor rgb="FF2F6B9A"/>
      </x:patternFill>
    </x:fill>
    <x:fill>
      <x:patternFill patternType="solid">
        <x:fgColor rgb="FF5F6B76"/>
      </x:patternFill>
    </x:fill>
    <x:fill>
      <x:patternFill patternType="solid">
        <x:fgColor rgb="FFFDE8E7"/>
      </x:patternFill>
    </x:fill>
    <x:fill>
      <x:patternFill patternType="solid">
        <x:fgColor rgb="FF8B1E1E"/>
      </x:patternFill>
    </x:fill>
    <x:fill>
      <x:patternFill patternType="solid">
        <x:fgColor rgb="FF17324D"/>
      </x:patternFill>
    </x:fill>
    <x:fill>
      <x:patternFill patternType="solid">
        <x:fgColor rgb="FFDCEAF5"/>
      </x:patternFill>
    </x:fill>
    <x:fill>
      <x:patternFill patternType="solid">
        <x:fgColor rgb="FF2F6B9A"/>
      </x:patternFill>
    </x:fill>
    <x:fill>
      <x:patternFill patternType="solid">
        <x:fgColor rgb="FFE5F4E7"/>
      </x:patternFill>
    </x:fill>
    <x:fill>
      <x:patternFill patternType="solid">
        <x:fgColor rgb="FFF3F5F7"/>
      </x:patternFill>
    </x:fill>
    <x:fill>
      <x:patternFill patternType="solid">
        <x:fgColor rgb="FFFFFFFF"/>
      </x:patternFill>
    </x:fill>
    <x:fill>
      <x:patternFill patternType="solid">
        <x:fgColor rgb="FFFFF4D6"/>
      </x:patternFill>
    </x:fill>
    <x:fill>
      <x:patternFill patternType="solid">
        <x:fgColor rgb="FFFDE8E7"/>
      </x:patternFill>
    </x:fill>
  </x:fills>
  <x:borders count="105">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ttom/>
    </x:border>
    <x:border>
      <x:bottom/>
    </x:border>
    <x:border>
      <x:right/>
      <x:bottom/>
    </x:border>
    <x:border>
      <x:left/>
      <x:top/>
      <x:bottom/>
    </x:border>
    <x:border>
      <x:top/>
      <x:bottom/>
    </x:border>
    <x:border>
      <x:right/>
      <x:top/>
      <x:bottom/>
    </x:border>
    <x:border>
      <x:left/>
    </x:border>
    <x:border>
      <x:right/>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20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200" fontId="0" fillId="3"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left" wrapText="1"/>
    </x:xf>
    <x:xf numFmtId="0" fontId="3" fillId="4" borderId="1" xfId="0" applyNumberFormat="1" applyFont="1" applyFill="1" applyBorder="1" applyAlignment="1">
      <x:alignment horizontal="left" vertical="center" wrapText="1"/>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2" fillId="2" borderId="6" xfId="0" applyNumberFormat="1" applyFont="1" applyFill="1" applyBorder="1" applyAlignment="1">
      <x:alignment horizontal="center" vertical="center"/>
    </x:xf>
    <x:xf numFmtId="0" fontId="2" fillId="2" borderId="7" xfId="0" applyNumberFormat="1" applyFont="1" applyFill="1" applyBorder="1" applyAlignment="1">
      <x:alignment horizontal="center" vertical="center"/>
    </x:xf>
    <x:xf numFmtId="0" fontId="2" fillId="2" borderId="8" xfId="0" applyNumberFormat="1" applyFont="1" applyFill="1" applyBorder="1" applyAlignment="1">
      <x:alignment horizontal="center" vertical="center"/>
    </x:xf>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1" fillId="2" borderId="9" xfId="0" applyNumberFormat="1" applyFont="1" applyFill="1" applyBorder="1" applyAlignment="1">
      <x:alignment horizontal="center" vertical="center" wrapText="1"/>
    </x:xf>
    <x:xf numFmtId="0" fontId="1" fillId="2" borderId="10" xfId="0" applyNumberFormat="1" applyFont="1" applyFill="1" applyBorder="1" applyAlignment="1">
      <x:alignment horizontal="center" vertical="center" wrapText="1"/>
    </x:xf>
    <x:xf numFmtId="0" fontId="3" fillId="4" borderId="7" xfId="0" applyNumberFormat="1" applyFont="1" applyFill="1" applyBorder="1" applyAlignment="1">
      <x:alignment horizontal="left" vertical="center" wrapText="1"/>
    </x:xf>
    <x:xf numFmtId="0" fontId="3" fillId="4" borderId="8" xfId="0" applyNumberFormat="1" applyFont="1" applyFill="1" applyBorder="1" applyAlignment="1">
      <x:alignment horizontal="left" vertical="center" wrapText="1"/>
    </x:xf>
    <x:xf numFmtId="0" fontId="3" fillId="4" borderId="9" xfId="0" applyNumberFormat="1" applyFont="1" applyFill="1" applyBorder="1" applyAlignment="1">
      <x:alignment horizontal="left" vertical="center" wrapText="1"/>
    </x:xf>
    <x:xf numFmtId="0" fontId="3" fillId="4" borderId="2" xfId="0" applyNumberFormat="1" applyFont="1" applyFill="1" applyBorder="1" applyAlignment="1">
      <x:alignment horizontal="left" vertical="center" wrapText="1"/>
    </x:xf>
    <x:xf numFmtId="0" fontId="3" fillId="4" borderId="10" xfId="0" applyNumberFormat="1" applyFont="1" applyFill="1" applyBorder="1" applyAlignment="1">
      <x:alignment horizontal="left" vertical="center" wrapText="1"/>
    </x:xf>
    <x:xf numFmtId="0" fontId="2" fillId="2" borderId="11" xfId="0" applyNumberFormat="1" applyFont="1" applyFill="1" applyBorder="1" applyAlignment="1">
      <x:alignment horizontal="center" vertical="center"/>
    </x:xf>
    <x:xf numFmtId="0" fontId="2" fillId="2" borderId="12" xfId="0" applyNumberFormat="1" applyFont="1" applyFill="1" applyBorder="1" applyAlignment="1">
      <x:alignment horizontal="center" vertical="center"/>
    </x:xf>
    <x:xf numFmtId="0" fontId="2" fillId="2" borderId="13" xfId="0" applyNumberFormat="1" applyFont="1" applyFill="1" applyBorder="1" applyAlignment="1">
      <x:alignment horizontal="center" vertical="center"/>
    </x:xf>
    <x:xf numFmtId="0" fontId="2" fillId="2" borderId="14" xfId="0" applyNumberFormat="1" applyFont="1" applyFill="1" applyBorder="1" applyAlignment="1">
      <x:alignment horizontal="center" vertical="center"/>
    </x:xf>
    <x:xf numFmtId="0" fontId="2" fillId="2" borderId="15" xfId="0" applyNumberFormat="1" applyFont="1" applyFill="1" applyBorder="1" applyAlignment="1">
      <x:alignment horizontal="center" vertical="center"/>
    </x:xf>
    <x:xf numFmtId="0" fontId="0" fillId="0" borderId="14" xfId="0" applyNumberFormat="1" applyFont="1" applyFill="1" applyBorder="1"/>
    <x:xf numFmtId="0" fontId="0" fillId="0" borderId="15" xfId="0" applyNumberFormat="1" applyFont="1" applyFill="1" applyBorder="1"/>
    <x:xf numFmtId="0" fontId="1" fillId="2" borderId="16" xfId="0" applyNumberFormat="1" applyFont="1" applyFill="1" applyBorder="1" applyAlignment="1">
      <x:alignment horizontal="center" vertical="center" wrapText="1"/>
    </x:xf>
    <x:xf numFmtId="0" fontId="1" fillId="2" borderId="17" xfId="0" applyNumberFormat="1" applyFont="1" applyFill="1" applyBorder="1" applyAlignment="1">
      <x:alignment horizontal="center" vertical="center" wrapText="1"/>
    </x:xf>
    <x:xf numFmtId="0" fontId="3" fillId="4" borderId="14" xfId="0" applyNumberFormat="1" applyFont="1" applyFill="1" applyBorder="1" applyAlignment="1">
      <x:alignment horizontal="left" vertical="center" wrapText="1"/>
    </x:xf>
    <x:xf numFmtId="0" fontId="3" fillId="4" borderId="15" xfId="0" applyNumberFormat="1" applyFont="1" applyFill="1" applyBorder="1" applyAlignment="1">
      <x:alignment horizontal="left" vertical="center" wrapText="1"/>
    </x:xf>
    <x:xf numFmtId="0" fontId="3" fillId="4" borderId="16" xfId="0" applyNumberFormat="1" applyFont="1" applyFill="1" applyBorder="1" applyAlignment="1">
      <x:alignment horizontal="left" vertical="center" wrapText="1"/>
    </x:xf>
    <x:xf numFmtId="0" fontId="3" fillId="4" borderId="3" xfId="0" applyNumberFormat="1" applyFont="1" applyFill="1" applyBorder="1" applyAlignment="1">
      <x:alignment horizontal="left" vertical="center" wrapText="1"/>
    </x:xf>
    <x:xf numFmtId="0" fontId="3" fillId="4" borderId="17" xfId="0" applyNumberFormat="1" applyFont="1" applyFill="1" applyBorder="1" applyAlignment="1">
      <x:alignment horizontal="left" vertic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horizontal="left" wrapText="1"/>
    </x:xf>
    <x:xf numFmtId="0" fontId="6" fillId="6" borderId="0" xfId="0" applyNumberFormat="1" applyFont="1" applyFill="1" applyBorder="1" applyAlignment="1">
      <x:alignment horizontal="left" vertical="center" wrapText="1"/>
    </x:xf>
    <x:xf numFmtId="0" fontId="1" fillId="5" borderId="0" xfId="0" applyNumberFormat="1" applyFont="1" applyFill="1" applyBorder="1"/>
    <x:xf numFmtId="0" fontId="1" fillId="5" borderId="18" xfId="0" applyNumberFormat="1" applyFont="1" applyFill="1" applyBorder="1"/>
    <x:xf numFmtId="0" fontId="1" fillId="5" borderId="19" xfId="0" applyNumberFormat="1" applyFont="1" applyFill="1" applyBorder="1"/>
    <x:xf numFmtId="0" fontId="1" fillId="5" borderId="20" xfId="0" applyNumberFormat="1" applyFont="1" applyFill="1" applyBorder="1"/>
    <x:xf numFmtId="0" fontId="1" fillId="5" borderId="18" xfId="0" applyNumberFormat="1" applyFont="1" applyFill="1" applyBorder="1" applyAlignment="1">
      <x:alignment wrapText="1"/>
    </x:xf>
    <x:xf numFmtId="0" fontId="1" fillId="5" borderId="19" xfId="0" applyNumberFormat="1" applyFont="1" applyFill="1" applyBorder="1" applyAlignment="1">
      <x:alignment wrapText="1"/>
    </x:xf>
    <x:xf numFmtId="0" fontId="1" fillId="5" borderId="20" xfId="0" applyNumberFormat="1" applyFont="1" applyFill="1" applyBorder="1" applyAlignment="1">
      <x:alignment wrapText="1"/>
    </x:xf>
    <x:xf numFmtId="0" fontId="1" fillId="5" borderId="18" xfId="0" applyNumberFormat="1" applyFont="1" applyFill="1" applyBorder="1" applyAlignment="1">
      <x:alignment horizontal="center" wrapText="1"/>
    </x:xf>
    <x:xf numFmtId="0" fontId="1" fillId="5" borderId="19" xfId="0" applyNumberFormat="1" applyFont="1" applyFill="1" applyBorder="1" applyAlignment="1">
      <x:alignment horizontal="center" wrapText="1"/>
    </x:xf>
    <x:xf numFmtId="0" fontId="1" fillId="5" borderId="20" xfId="0" applyNumberFormat="1" applyFont="1" applyFill="1" applyBorder="1" applyAlignment="1">
      <x:alignment horizontal="center" wrapText="1"/>
    </x:xf>
    <x:xf numFmtId="0" fontId="1" fillId="5" borderId="18" xfId="0" applyNumberFormat="1" applyFont="1" applyFill="1" applyBorder="1" applyAlignment="1">
      <x:alignment horizontal="center" vertical="center" wrapText="1"/>
    </x:xf>
    <x:xf numFmtId="0" fontId="1" fillId="5" borderId="19" xfId="0" applyNumberFormat="1" applyFont="1" applyFill="1" applyBorder="1" applyAlignment="1">
      <x:alignment horizontal="center" vertical="center" wrapText="1"/>
    </x:xf>
    <x:xf numFmtId="0" fontId="1" fillId="5" borderId="20" xfId="0" applyNumberFormat="1" applyFont="1" applyFill="1" applyBorder="1" applyAlignment="1">
      <x:alignment horizontal="center" vertical="center" wrapText="1"/>
    </x:xf>
    <x:xf numFmtId="203" fontId="0" fillId="0" borderId="0" xfId="0" applyNumberFormat="1" applyFont="1" applyFill="1" applyBorder="1"/>
    <x:xf numFmtId="203" fontId="0" fillId="0" borderId="0" xfId="0" applyNumberFormat="1" applyFont="1" applyFill="1" applyBorder="1" applyAlignment="1">
      <x:alignment vertical="top"/>
    </x:xf>
    <x:xf numFmtId="203" fontId="0" fillId="0" borderId="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203"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25" xfId="0" applyNumberFormat="1" applyFont="1" applyFill="1" applyBorder="1" applyAlignment="1">
      <x:alignment vertical="top" wrapText="1"/>
    </x:xf>
    <x:xf numFmtId="203" fontId="0" fillId="0" xfId="0" applyNumberFormat="1" applyFont="1" applyFill="1" applyBorder="0" applyAlignment="1">
      <x:alignment vertical="top" wrapText="1"/>
    </x:xf>
    <x:xf numFmtId="0" fontId="1" fillId="5" borderId="26" xfId="0" applyNumberFormat="1" applyFont="1" applyFill="1" applyBorder="1"/>
    <x:xf numFmtId="0" fontId="1" fillId="5" borderId="26" xfId="0" applyNumberFormat="1" applyFont="1" applyFill="1" applyBorder="1" applyAlignment="1">
      <x:alignment wrapText="1"/>
    </x:xf>
    <x:xf numFmtId="0" fontId="1" fillId="5" borderId="26" xfId="0" applyNumberFormat="1" applyFont="1" applyFill="1" applyBorder="1" applyAlignment="1">
      <x:alignment horizontal="center" wrapText="1"/>
    </x:xf>
    <x:xf numFmtId="0" fontId="1" fillId="5" borderId="26" xfId="0" applyNumberFormat="1" applyFont="1" applyFill="1" applyBorder="1" applyAlignment="1">
      <x:alignment horizontal="center" vertical="center" wrapText="1"/>
    </x:xf>
    <x:xf numFmtId="0" fontId="0" fillId="0" borderId="24" xfId="0" applyNumberFormat="1" applyFont="1" applyFill="1" applyBorder="1" applyAlignment="1">
      <x:alignment wrapText="1"/>
    </x:xf>
    <x:xf numFmtId="0" fontId="0" fillId="0" xfId="0" applyNumberFormat="1" applyFont="1" applyFill="1" applyBorder="0" applyAlignment="1">
      <x:alignment wrapText="1"/>
    </x:xf>
    <x:xf numFmtId="0" fontId="0" fillId="0" borderId="25"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7" borderId="8" xfId="0" applyNumberFormat="1" applyFont="1" applyFill="1" applyBorder="1"/>
    <x:xf numFmtId="0" fontId="7" fillId="7" borderId="8" xfId="0" applyNumberFormat="1" applyFont="1" applyFill="1" applyBorder="1"/>
    <x:xf numFmtId="0" fontId="7" fillId="7" borderId="8" xfId="0" applyNumberFormat="1" applyFont="1" applyFill="1" applyBorder="1" applyAlignment="1">
      <x:alignment horizont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0" fillId="0" borderId="24" xfId="0" applyNumberFormat="1" applyFont="1" applyFill="1" applyBorder="1"/>
    <x:xf numFmtId="0" fontId="0" fillId="0" borderId="25" xfId="0" applyNumberFormat="1" applyFont="1" applyFill="1" applyBorder="1"/>
    <x:xf numFmtId="0" fontId="0" fillId="0" borderId="21" xfId="0" applyNumberFormat="1" applyFont="1" applyFill="1" applyBorder="1"/>
    <x:xf numFmtId="0" fontId="0" fillId="0" borderId="23" xfId="0" applyNumberFormat="1" applyFont="1" applyFill="1" applyBorder="1"/>
    <x:xf numFmtId="0" fontId="0" fillId="0" borderId="25" xfId="0" applyNumberFormat="1" applyFont="1" applyFill="1" applyBorder="1" applyAlignment="1">
      <x:alignment horizontal="center"/>
    </x:xf>
    <x:xf numFmtId="0" fontId="0" fillId="0" borderId="23" xfId="0" applyNumberFormat="1" applyFont="1" applyFill="1" applyBorder="1" applyAlignment="1">
      <x:alignment horizontal="center"/>
    </x:xf>
    <x:xf numFmtId="200" fontId="0" fillId="0" borderId="25" xfId="0" applyNumberFormat="1" applyFont="1" applyFill="1" applyBorder="1" applyAlignment="1">
      <x:alignment horizontal="center"/>
    </x:xf>
    <x:xf numFmtId="200" fontId="0" fillId="0" borderId="23" xfId="0" applyNumberFormat="1" applyFont="1" applyFill="1" applyBorder="1" applyAlignment="1">
      <x:alignment horizontal="center"/>
    </x:xf>
    <x:xf numFmtId="0" fontId="2" fillId="8" borderId="4" xfId="0" applyNumberFormat="1" applyFont="1" applyFill="1" applyBorder="1" applyAlignment="1">
      <x:alignment horizontal="center" vertical="center"/>
    </x:xf>
    <x:xf numFmtId="0" fontId="2" fillId="8" borderId="5" xfId="0" applyNumberFormat="1" applyFont="1" applyFill="1" applyBorder="1" applyAlignment="1">
      <x:alignment horizontal="center" vertical="center"/>
    </x:xf>
    <x:xf numFmtId="0" fontId="2" fillId="8" borderId="6" xfId="0" applyNumberFormat="1" applyFont="1" applyFill="1" applyBorder="1" applyAlignment="1">
      <x:alignment horizontal="center" vertical="center"/>
    </x:xf>
    <x:xf numFmtId="0" fontId="0" fillId="8" borderId="0" xfId="0" applyNumberFormat="1" applyFont="1" applyFill="1" applyBorder="1"/>
    <x:xf numFmtId="0" fontId="2" fillId="8" borderId="7" xfId="0" applyNumberFormat="1" applyFont="1" applyFill="1" applyBorder="1" applyAlignment="1">
      <x:alignment horizontal="center" vertical="center"/>
    </x:xf>
    <x:xf numFmtId="0" fontId="2" fillId="8" borderId="0" xfId="0" applyNumberFormat="1" applyFont="1" applyFill="1" applyBorder="1" applyAlignment="1">
      <x:alignment horizontal="center" vertical="center"/>
    </x:xf>
    <x:xf numFmtId="0" fontId="2" fillId="8" borderId="8" xfId="0" applyNumberFormat="1" applyFont="1" applyFill="1" applyBorder="1" applyAlignment="1">
      <x:alignment horizontal="center" vertical="center"/>
    </x:xf>
    <x:xf numFmtId="0" fontId="0" fillId="8" borderId="7" xfId="0" applyNumberFormat="1" applyFont="1" applyFill="1" applyBorder="1"/>
    <x:xf numFmtId="0" fontId="0" fillId="8" borderId="8" xfId="0" applyNumberFormat="1" applyFont="1" applyFill="1" applyBorder="1"/>
    <x:xf numFmtId="0" fontId="1" fillId="8" borderId="9"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8" borderId="18" xfId="0" applyNumberFormat="1" applyFont="1" applyFill="1" applyBorder="1" applyAlignment="1">
      <x:alignment horizontal="center" vertical="center" wrapText="1"/>
    </x:xf>
    <x:xf numFmtId="0" fontId="1" fillId="8" borderId="20" xfId="0" applyNumberFormat="1" applyFont="1" applyFill="1" applyBorder="1" applyAlignment="1">
      <x:alignment horizontal="center" vertical="center" wrapText="1"/>
    </x:xf>
    <x:xf numFmtId="202" fontId="0" fillId="8" borderId="0" xfId="0" applyNumberFormat="1" applyFont="1" applyFill="1" applyBorder="1"/>
    <x:xf numFmtId="0" fontId="0" fillId="8" borderId="24" xfId="0" applyNumberFormat="1" applyFont="1" applyFill="1" applyBorder="1"/>
    <x:xf numFmtId="200" fontId="0" fillId="8" borderId="25" xfId="0" applyNumberFormat="1" applyFont="1" applyFill="1" applyBorder="1" applyAlignment="1">
      <x:alignment horizontal="center"/>
    </x:xf>
    <x:xf numFmtId="201" fontId="0" fillId="8" borderId="0" xfId="0" applyNumberFormat="1" applyFont="1" applyFill="1" applyBorder="1"/>
    <x:xf numFmtId="0" fontId="0" fillId="8" borderId="21" xfId="0" applyNumberFormat="1" applyFont="1" applyFill="1" applyBorder="1"/>
    <x:xf numFmtId="200" fontId="0" fillId="8" borderId="23" xfId="0" applyNumberFormat="1" applyFont="1" applyFill="1" applyBorder="1" applyAlignment="1">
      <x:alignment horizontal="center"/>
    </x:xf>
    <x:xf numFmtId="0" fontId="1" fillId="8" borderId="10" xfId="0" applyNumberFormat="1" applyFont="1" applyFill="1" applyBorder="1" applyAlignment="1">
      <x:alignment horizontal="center" vertical="center" wrapText="1"/>
    </x:xf>
    <x:xf numFmtId="0" fontId="7" fillId="8" borderId="8" xfId="0" applyNumberFormat="1" applyFont="1" applyFill="1" applyBorder="1" applyAlignment="1">
      <x:alignment horizontal="center"/>
    </x:xf>
    <x:xf numFmtId="0" fontId="3" fillId="8" borderId="7" xfId="0" applyNumberFormat="1" applyFont="1" applyFill="1" applyBorder="1" applyAlignment="1">
      <x:alignment horizontal="left" vertical="center" wrapText="1"/>
    </x:xf>
    <x:xf numFmtId="0" fontId="3" fillId="8" borderId="0" xfId="0" applyNumberFormat="1" applyFont="1" applyFill="1" applyBorder="1" applyAlignment="1">
      <x:alignment horizontal="left" vertical="center" wrapText="1"/>
    </x:xf>
    <x:xf numFmtId="0" fontId="3" fillId="8" borderId="8" xfId="0" applyNumberFormat="1" applyFont="1" applyFill="1" applyBorder="1" applyAlignment="1">
      <x:alignment horizontal="left" vertical="center" wrapText="1"/>
    </x:xf>
    <x:xf numFmtId="0" fontId="3" fillId="8" borderId="9" xfId="0" applyNumberFormat="1" applyFont="1" applyFill="1" applyBorder="1" applyAlignment="1">
      <x:alignment horizontal="left" vertical="center" wrapText="1"/>
    </x:xf>
    <x:xf numFmtId="0" fontId="3" fillId="8" borderId="2" xfId="0" applyNumberFormat="1" applyFont="1" applyFill="1" applyBorder="1" applyAlignment="1">
      <x:alignment horizontal="left" vertical="center" wrapText="1"/>
    </x:xf>
    <x:xf numFmtId="0" fontId="3" fillId="8" borderId="10" xfId="0" applyNumberFormat="1" applyFont="1" applyFill="1" applyBorder="1" applyAlignment="1">
      <x:alignment horizontal="left" vertical="center" wrapText="1"/>
    </x:xf>
    <x:xf numFmtId="0" fontId="8" fillId="8" borderId="4" xfId="0" applyNumberFormat="1" applyFont="1" applyFill="1" applyBorder="1" applyAlignment="1">
      <x:alignment horizontal="center" vertical="center"/>
    </x:xf>
    <x:xf numFmtId="0" fontId="8" fillId="8" borderId="5" xfId="0" applyNumberFormat="1" applyFont="1" applyFill="1" applyBorder="1" applyAlignment="1">
      <x:alignment horizontal="center" vertical="center"/>
    </x:xf>
    <x:xf numFmtId="0" fontId="8" fillId="8" borderId="6" xfId="0" applyNumberFormat="1" applyFont="1" applyFill="1" applyBorder="1" applyAlignment="1">
      <x:alignment horizontal="center" vertical="center"/>
    </x:xf>
    <x:xf numFmtId="0" fontId="9" fillId="8" borderId="0" xfId="0" applyNumberFormat="1" applyFont="1" applyFill="1" applyBorder="1"/>
    <x:xf numFmtId="0" fontId="8" fillId="8" borderId="7" xfId="0" applyNumberFormat="1" applyFont="1" applyFill="1" applyBorder="1" applyAlignment="1">
      <x:alignment horizontal="center" vertical="center"/>
    </x:xf>
    <x:xf numFmtId="0" fontId="8" fillId="8" borderId="0" xfId="0" applyNumberFormat="1" applyFont="1" applyFill="1" applyBorder="1" applyAlignment="1">
      <x:alignment horizontal="center" vertical="center"/>
    </x:xf>
    <x:xf numFmtId="0" fontId="8" fillId="8" borderId="8" xfId="0" applyNumberFormat="1" applyFont="1" applyFill="1" applyBorder="1" applyAlignment="1">
      <x:alignment horizontal="center" vertical="center"/>
    </x:xf>
    <x:xf numFmtId="0" fontId="9" fillId="8" borderId="7" xfId="0" applyNumberFormat="1" applyFont="1" applyFill="1" applyBorder="1"/>
    <x:xf numFmtId="0" fontId="9" fillId="8" borderId="8" xfId="0" applyNumberFormat="1" applyFont="1" applyFill="1" applyBorder="1"/>
    <x:xf numFmtId="0" fontId="8" fillId="8" borderId="9" xfId="0" applyNumberFormat="1" applyFont="1" applyFill="1" applyBorder="1" applyAlignment="1">
      <x:alignment horizontal="center" vertical="center" wrapText="1"/>
    </x:xf>
    <x:xf numFmtId="0" fontId="8" fillId="8" borderId="2" xfId="0" applyNumberFormat="1" applyFont="1" applyFill="1" applyBorder="1" applyAlignment="1">
      <x:alignment horizontal="center" vertical="center" wrapText="1"/>
    </x:xf>
    <x:xf numFmtId="0" fontId="8" fillId="8" borderId="18" xfId="0" applyNumberFormat="1" applyFont="1" applyFill="1" applyBorder="1" applyAlignment="1">
      <x:alignment horizontal="center" vertical="center" wrapText="1"/>
    </x:xf>
    <x:xf numFmtId="0" fontId="8" fillId="8" borderId="20" xfId="0" applyNumberFormat="1" applyFont="1" applyFill="1" applyBorder="1" applyAlignment="1">
      <x:alignment horizontal="center" vertical="center" wrapText="1"/>
    </x:xf>
    <x:xf numFmtId="202" fontId="9" fillId="8" borderId="0" xfId="0" applyNumberFormat="1" applyFont="1" applyFill="1" applyBorder="1"/>
    <x:xf numFmtId="0" fontId="9" fillId="8" borderId="24" xfId="0" applyNumberFormat="1" applyFont="1" applyFill="1" applyBorder="1"/>
    <x:xf numFmtId="200" fontId="9" fillId="8" borderId="25" xfId="0" applyNumberFormat="1" applyFont="1" applyFill="1" applyBorder="1" applyAlignment="1">
      <x:alignment horizontal="center"/>
    </x:xf>
    <x:xf numFmtId="201" fontId="9" fillId="8" borderId="0" xfId="0" applyNumberFormat="1" applyFont="1" applyFill="1" applyBorder="1"/>
    <x:xf numFmtId="0" fontId="9" fillId="8" borderId="21" xfId="0" applyNumberFormat="1" applyFont="1" applyFill="1" applyBorder="1"/>
    <x:xf numFmtId="200" fontId="9" fillId="8" borderId="23" xfId="0" applyNumberFormat="1" applyFont="1" applyFill="1" applyBorder="1" applyAlignment="1">
      <x:alignment horizontal="center"/>
    </x:xf>
    <x:xf numFmtId="0" fontId="8" fillId="8" borderId="10" xfId="0" applyNumberFormat="1" applyFont="1" applyFill="1" applyBorder="1" applyAlignment="1">
      <x:alignment horizontal="center" vertical="center" wrapText="1"/>
    </x:xf>
    <x:xf numFmtId="0" fontId="8" fillId="8" borderId="8" xfId="0" applyNumberFormat="1" applyFont="1" applyFill="1" applyBorder="1" applyAlignment="1">
      <x:alignment horizontal="center"/>
    </x:xf>
    <x:xf numFmtId="0" fontId="9" fillId="8" borderId="7" xfId="0" applyNumberFormat="1" applyFont="1" applyFill="1" applyBorder="1" applyAlignment="1">
      <x:alignment horizontal="left" vertical="center" wrapText="1"/>
    </x:xf>
    <x:xf numFmtId="0" fontId="9" fillId="8" borderId="0" xfId="0" applyNumberFormat="1" applyFont="1" applyFill="1" applyBorder="1" applyAlignment="1">
      <x:alignment horizontal="left" vertical="center" wrapText="1"/>
    </x:xf>
    <x:xf numFmtId="0" fontId="9" fillId="8" borderId="8" xfId="0" applyNumberFormat="1" applyFont="1" applyFill="1" applyBorder="1" applyAlignment="1">
      <x:alignment horizontal="left" vertical="center" wrapText="1"/>
    </x:xf>
    <x:xf numFmtId="0" fontId="9" fillId="8" borderId="9" xfId="0" applyNumberFormat="1" applyFont="1" applyFill="1" applyBorder="1" applyAlignment="1">
      <x:alignment horizontal="left" vertical="center" wrapText="1"/>
    </x:xf>
    <x:xf numFmtId="0" fontId="9" fillId="8" borderId="2" xfId="0" applyNumberFormat="1" applyFont="1" applyFill="1" applyBorder="1" applyAlignment="1">
      <x:alignment horizontal="left" vertical="center" wrapText="1"/>
    </x:xf>
    <x:xf numFmtId="0" fontId="9" fillId="8" borderId="10" xfId="0" applyNumberFormat="1" applyFont="1" applyFill="1" applyBorder="1" applyAlignment="1">
      <x:alignment horizontal="left" vertical="center" wrapText="1"/>
    </x:xf>
    <x:xf numFmtId="0" fontId="9" fillId="8" borderId="0" xfId="0" applyNumberFormat="1" applyFont="1" applyFill="1" applyBorder="1" applyAlignment="1">
      <x:alignment vertical="center"/>
    </x:xf>
    <x:xf numFmtId="0" fontId="9" fillId="8" borderId="7" xfId="0" applyNumberFormat="1" applyFont="1" applyFill="1" applyBorder="1" applyAlignment="1">
      <x:alignment vertical="center"/>
    </x:xf>
    <x:xf numFmtId="0" fontId="9" fillId="8" borderId="8" xfId="0" applyNumberFormat="1" applyFont="1" applyFill="1" applyBorder="1" applyAlignment="1">
      <x:alignment vertical="center"/>
    </x:xf>
    <x:xf numFmtId="202" fontId="9" fillId="8" borderId="0" xfId="0" applyNumberFormat="1" applyFont="1" applyFill="1" applyBorder="1" applyAlignment="1">
      <x:alignment vertical="center"/>
    </x:xf>
    <x:xf numFmtId="0" fontId="9" fillId="8" borderId="24" xfId="0" applyNumberFormat="1" applyFont="1" applyFill="1" applyBorder="1" applyAlignment="1">
      <x:alignment vertical="center"/>
    </x:xf>
    <x:xf numFmtId="200" fontId="9" fillId="8" borderId="25" xfId="0" applyNumberFormat="1" applyFont="1" applyFill="1" applyBorder="1" applyAlignment="1">
      <x:alignment horizontal="center" vertical="center"/>
    </x:xf>
    <x:xf numFmtId="201" fontId="9" fillId="8" borderId="0" xfId="0" applyNumberFormat="1" applyFont="1" applyFill="1" applyBorder="1" applyAlignment="1">
      <x:alignment vertical="center"/>
    </x:xf>
    <x:xf numFmtId="0" fontId="9" fillId="8" borderId="21" xfId="0" applyNumberFormat="1" applyFont="1" applyFill="1" applyBorder="1" applyAlignment="1">
      <x:alignment vertical="center"/>
    </x:xf>
    <x:xf numFmtId="200" fontId="9" fillId="8" borderId="23" xfId="0" applyNumberFormat="1" applyFont="1" applyFill="1" applyBorder="1" applyAlignment="1">
      <x:alignment horizontal="center" vertical="center"/>
    </x:xf>
    <x:xf numFmtId="0" fontId="1" fillId="8" borderId="0" xfId="0" applyNumberFormat="1" applyFont="1" applyFill="1" applyBorder="1" applyAlignment="1">
      <x:alignment horizontal="center" vertical="center" wrapText="1"/>
    </x:xf>
    <x:xf numFmtId="0" fontId="7" fillId="8" borderId="0" xfId="0" applyNumberFormat="1" applyFont="1" applyFill="1" applyBorder="1" applyAlignment="1">
      <x:alignment horizontal="center"/>
    </x:xf>
    <x:xf numFmtId="0" fontId="8" fillId="8" borderId="0" xfId="0" applyNumberFormat="1" applyFont="1" applyFill="1" applyBorder="1" applyAlignment="1">
      <x:alignment horizontal="center" vertical="center" wrapText="1"/>
    </x:xf>
    <x:xf numFmtId="0" fontId="8" fillId="8" borderId="0" xfId="0" applyNumberFormat="1" applyFont="1" applyFill="1" applyBorder="1" applyAlignment="1">
      <x:alignment horizontal="center"/>
    </x:xf>
    <x:xf numFmtId="0" fontId="8" fillId="5" borderId="4" xfId="0" applyNumberFormat="1" applyFont="1" applyFill="1" applyBorder="1" applyAlignment="1">
      <x:alignment horizontal="center" vertical="center"/>
    </x:xf>
    <x:xf numFmtId="0" fontId="8" fillId="5" borderId="5" xfId="0" applyNumberFormat="1" applyFont="1" applyFill="1" applyBorder="1" applyAlignment="1">
      <x:alignment horizontal="center" vertical="center"/>
    </x:xf>
    <x:xf numFmtId="0" fontId="8" fillId="5" borderId="6" xfId="0" applyNumberFormat="1" applyFont="1" applyFill="1" applyBorder="1" applyAlignment="1">
      <x:alignment horizontal="center" vertical="center"/>
    </x:xf>
    <x:xf numFmtId="0" fontId="9" fillId="5" borderId="0" xfId="0" applyNumberFormat="1" applyFont="1" applyFill="1" applyBorder="1" applyAlignment="1">
      <x:alignment vertical="center"/>
    </x:xf>
    <x:xf numFmtId="0" fontId="8" fillId="5" borderId="7"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x:xf>
    <x:xf numFmtId="0" fontId="8" fillId="5" borderId="8" xfId="0" applyNumberFormat="1" applyFont="1" applyFill="1" applyBorder="1" applyAlignment="1">
      <x:alignment horizontal="center" vertical="center"/>
    </x:xf>
    <x:xf numFmtId="0" fontId="2" fillId="5" borderId="4" xfId="0" applyNumberFormat="1" applyFont="1" applyFill="1" applyBorder="1" applyAlignment="1">
      <x:alignment horizontal="center" vertical="center"/>
    </x:xf>
    <x:xf numFmtId="0" fontId="2" fillId="5" borderId="5" xfId="0" applyNumberFormat="1" applyFont="1" applyFill="1" applyBorder="1" applyAlignment="1">
      <x:alignment horizontal="center" vertical="center"/>
    </x:xf>
    <x:xf numFmtId="0" fontId="2" fillId="5" borderId="6" xfId="0" applyNumberFormat="1" applyFont="1" applyFill="1" applyBorder="1" applyAlignment="1">
      <x:alignment horizontal="center" vertical="center"/>
    </x:xf>
    <x:xf numFmtId="0" fontId="2" fillId="5" borderId="0" xfId="0" applyNumberFormat="1" applyFont="1" applyFill="1" applyBorder="1" applyAlignment="1">
      <x:alignment vertical="center"/>
    </x:xf>
    <x:xf numFmtId="0" fontId="2" fillId="5" borderId="7" xfId="0" applyNumberFormat="1" applyFont="1" applyFill="1" applyBorder="1" applyAlignment="1">
      <x:alignment horizontal="center" vertical="center"/>
    </x:xf>
    <x:xf numFmtId="0" fontId="2" fillId="5" borderId="0" xfId="0" applyNumberFormat="1" applyFont="1" applyFill="1" applyBorder="1" applyAlignment="1">
      <x:alignment horizontal="center" vertical="center"/>
    </x:xf>
    <x:xf numFmtId="0" fontId="2" fillId="5" borderId="8" xfId="0" applyNumberFormat="1" applyFont="1" applyFill="1" applyBorder="1" applyAlignment="1">
      <x:alignment horizontal="center" vertical="center"/>
    </x:xf>
    <x:xf numFmtId="0" fontId="8" fillId="5" borderId="9" xfId="0" applyNumberFormat="1" applyFont="1" applyFill="1" applyBorder="1" applyAlignment="1">
      <x:alignment horizontal="center" vertical="center" wrapText="1"/>
    </x:xf>
    <x:xf numFmtId="0" fontId="8" fillId="5" borderId="2" xfId="0" applyNumberFormat="1" applyFont="1" applyFill="1" applyBorder="1" applyAlignment="1">
      <x:alignment horizontal="center" vertical="center" wrapText="1"/>
    </x:xf>
    <x:xf numFmtId="0" fontId="10" fillId="5" borderId="9" xfId="0" applyNumberFormat="1" applyFont="1" applyFill="1" applyBorder="1" applyAlignment="1">
      <x:alignment horizontal="center" vertical="center" wrapText="1"/>
    </x:xf>
    <x:xf numFmtId="0" fontId="10" fillId="5" borderId="2" xfId="0" applyNumberFormat="1" applyFont="1" applyFill="1" applyBorder="1" applyAlignment="1">
      <x:alignment horizontal="center" vertical="center" wrapText="1"/>
    </x:xf>
    <x:xf numFmtId="0" fontId="10" fillId="5" borderId="18" xfId="0" applyNumberFormat="1" applyFont="1" applyFill="1" applyBorder="1" applyAlignment="1">
      <x:alignment horizontal="center" vertical="center" wrapText="1"/>
    </x:xf>
    <x:xf numFmtId="0" fontId="10" fillId="5" borderId="20" xfId="0" applyNumberFormat="1" applyFont="1" applyFill="1" applyBorder="1" applyAlignment="1">
      <x:alignment horizontal="center" vertical="center" wrapText="1"/>
    </x:xf>
    <x:xf numFmtId="0" fontId="8" fillId="5" borderId="0" xfId="0" applyNumberFormat="1" applyFont="1" applyFill="1" applyBorder="1" applyAlignment="1">
      <x:alignment horizontal="center" vertical="center" wrapText="1"/>
    </x:xf>
    <x:xf numFmtId="0" fontId="10" fillId="5" borderId="0" xfId="0" applyNumberFormat="1" applyFont="1" applyFill="1" applyBorder="1" applyAlignment="1">
      <x:alignment horizontal="center" vertical="center" wrapText="1"/>
    </x:xf>
    <x:xf numFmtId="0" fontId="8" fillId="5" borderId="18" xfId="0" applyNumberFormat="1" applyFont="1" applyFill="1" applyBorder="1" applyAlignment="1">
      <x:alignment horizontal="center" vertical="center" wrapText="1"/>
    </x:xf>
    <x:xf numFmtId="0" fontId="8" fillId="5" borderId="20" xfId="0" applyNumberFormat="1" applyFont="1" applyFill="1" applyBorder="1" applyAlignment="1">
      <x:alignment horizontal="center" vertical="center" wrapText="1"/>
    </x:xf>
    <x:xf numFmtId="0" fontId="9" fillId="7" borderId="0" xfId="0" applyNumberFormat="1" applyFont="1" applyFill="1" applyBorder="1" applyAlignment="1">
      <x:alignment vertical="center"/>
    </x:xf>
    <x:xf numFmtId="0" fontId="11" fillId="7" borderId="0" xfId="0" applyNumberFormat="1" applyFont="1" applyFill="1" applyBorder="1" applyAlignment="1">
      <x:alignment vertical="center"/>
    </x:xf>
    <x:xf numFmtId="0" fontId="10" fillId="5" borderId="19" xfId="0" applyNumberFormat="1" applyFont="1" applyFill="1" applyBorder="1" applyAlignment="1">
      <x:alignment horizontal="center" vertical="center" wrapText="1"/>
    </x:xf>
    <x:xf numFmtId="0" fontId="8" fillId="5" borderId="10" xfId="0" applyNumberFormat="1" applyFont="1" applyFill="1" applyBorder="1" applyAlignment="1">
      <x:alignment horizontal="center" vertical="center" wrapText="1"/>
    </x:xf>
    <x:xf numFmtId="0" fontId="10" fillId="5" borderId="10" xfId="0" applyNumberFormat="1" applyFont="1" applyFill="1" applyBorder="1" applyAlignment="1">
      <x:alignment horizontal="center" vertical="center" wrapText="1"/>
    </x:xf>
    <x:xf numFmtId="0" fontId="9" fillId="8" borderId="25" xfId="0" applyNumberFormat="1" applyFont="1" applyFill="1" applyBorder="1" applyAlignment="1">
      <x:alignment vertical="center"/>
    </x:xf>
    <x:xf numFmtId="201" fontId="9" fillId="8" borderId="23" xfId="0" applyNumberFormat="1" applyFont="1" applyFill="1" applyBorder="1" applyAlignment="1">
      <x:alignment vertical="center"/>
    </x:xf>
    <x:xf numFmtId="0" fontId="9" fillId="8" borderId="24" xfId="0" applyNumberFormat="1" applyFont="1" applyFill="1" applyBorder="1" applyAlignment="1">
      <x:alignment vertical="center" wrapText="1"/>
    </x:xf>
    <x:xf numFmtId="0" fontId="9" fillId="8" borderId="25" xfId="0" applyNumberFormat="1" applyFont="1" applyFill="1" applyBorder="1" applyAlignment="1">
      <x:alignment vertical="center" wrapText="1"/>
    </x:xf>
    <x:xf numFmtId="0" fontId="9" fillId="8" borderId="21" xfId="0" applyNumberFormat="1" applyFont="1" applyFill="1" applyBorder="1" applyAlignment="1">
      <x:alignment vertical="center" wrapText="1"/>
    </x:xf>
    <x:xf numFmtId="201" fontId="9" fillId="8" borderId="23" xfId="0" applyNumberFormat="1" applyFont="1" applyFill="1" applyBorder="1" applyAlignment="1">
      <x:alignment vertical="center" wrapText="1"/>
    </x:xf>
    <x:xf numFmtId="202" fontId="9" fillId="8" borderId="25" xfId="0" applyNumberFormat="1" applyFont="1" applyFill="1" applyBorder="1" applyAlignment="1">
      <x:alignment vertical="center"/>
    </x:xf>
    <x:xf numFmtId="0" fontId="11" fillId="7" borderId="25" xfId="0" applyNumberFormat="1" applyFont="1" applyFill="1" applyBorder="1" applyAlignment="1">
      <x:alignment vertical="center"/>
    </x:xf>
    <x:xf numFmtId="0" fontId="9" fillId="8" borderId="23" xfId="0" applyNumberFormat="1" applyFont="1" applyFill="1" applyBorder="1" applyAlignment="1">
      <x:alignment vertical="center"/>
    </x:xf>
    <x:xf numFmtId="202" fontId="9" fillId="8" borderId="25" xfId="0" applyNumberFormat="1" applyFont="1" applyFill="1" applyBorder="1" applyAlignment="1">
      <x:alignment vertical="center" wrapText="1"/>
    </x:xf>
    <x:xf numFmtId="0" fontId="11" fillId="7" borderId="25" xfId="0" applyNumberFormat="1" applyFont="1" applyFill="1" applyBorder="1" applyAlignment="1">
      <x:alignment vertical="center" wrapText="1"/>
    </x:xf>
    <x:xf numFmtId="0" fontId="9" fillId="8" borderId="23" xfId="0" applyNumberFormat="1" applyFont="1" applyFill="1" applyBorder="1" applyAlignment="1">
      <x:alignment vertical="center" wrapText="1"/>
    </x:xf>
    <x:xf numFmtId="200" fontId="9" fillId="8" borderId="25" xfId="0" applyNumberFormat="1" applyFont="1" applyFill="1" applyBorder="1" applyAlignment="1">
      <x:alignment horizontal="center" vertical="center" wrapText="1"/>
    </x:xf>
    <x:xf numFmtId="200" fontId="9" fillId="8" borderId="23" xfId="0" applyNumberFormat="1" applyFont="1" applyFill="1" applyBorder="1" applyAlignment="1">
      <x:alignment horizontal="center" vertical="center" wrapText="1"/>
    </x:xf>
    <x:xf numFmtId="0" fontId="9" fillId="8" xfId="0" applyNumberFormat="1" applyFont="1" applyFill="1" applyBorder="0" applyAlignment="1">
      <x:alignment vertical="center"/>
    </x:xf>
    <x:xf numFmtId="201" fontId="9" fillId="8" borderId="25" xfId="0" applyNumberFormat="1" applyFont="1" applyFill="1" applyBorder="1" applyAlignment="1">
      <x:alignment vertical="center"/>
    </x:xf>
    <x:xf numFmtId="0" fontId="9" fillId="8" borderId="22" xfId="0" applyNumberFormat="1" applyFont="1" applyFill="1" applyBorder="1" applyAlignment="1">
      <x:alignment vertical="center"/>
    </x:xf>
    <x:xf numFmtId="0" fontId="9" fillId="8" xfId="0" applyNumberFormat="1" applyFont="1" applyFill="1" applyBorder="0" applyAlignment="1">
      <x:alignment vertical="center" wrapText="1"/>
    </x:xf>
    <x:xf numFmtId="201" fontId="9" fillId="8" borderId="25" xfId="0" applyNumberFormat="1" applyFont="1" applyFill="1" applyBorder="1" applyAlignment="1">
      <x:alignment vertical="center" wrapText="1"/>
    </x:xf>
    <x:xf numFmtId="0" fontId="9" fillId="8" borderId="22" xfId="0" applyNumberFormat="1" applyFont="1" applyFill="1" applyBorder="1" applyAlignment="1">
      <x:alignment vertical="center" wrapText="1"/>
    </x:xf>
    <x:xf numFmtId="0" fontId="8" fillId="8" borderId="25" xfId="0" applyNumberFormat="1" applyFont="1" applyFill="1" applyBorder="1" applyAlignment="1">
      <x:alignment horizontal="center" vertical="center"/>
    </x:xf>
    <x:xf numFmtId="0" fontId="8" fillId="8" borderId="25" xfId="0" applyNumberFormat="1" applyFont="1" applyFill="1" applyBorder="1" applyAlignment="1">
      <x:alignment horizontal="center" vertical="center" wrapText="1"/>
    </x:xf>
    <x:xf numFmtId="0" fontId="9" fillId="6" borderId="7" xfId="0" applyNumberFormat="1" applyFont="1" applyFill="1" applyBorder="1" applyAlignment="1">
      <x:alignment horizontal="left" vertical="center" wrapText="1"/>
    </x:xf>
    <x:xf numFmtId="0" fontId="9" fillId="6" borderId="0" xfId="0" applyNumberFormat="1" applyFont="1" applyFill="1" applyBorder="1" applyAlignment="1">
      <x:alignment horizontal="left" vertical="center" wrapText="1"/>
    </x:xf>
    <x:xf numFmtId="0" fontId="9" fillId="6" borderId="8" xfId="0" applyNumberFormat="1" applyFont="1" applyFill="1" applyBorder="1" applyAlignment="1">
      <x:alignment horizontal="left" vertical="center" wrapText="1"/>
    </x:xf>
    <x:xf numFmtId="0" fontId="9" fillId="6" borderId="0" xfId="0" applyNumberFormat="1" applyFont="1" applyFill="1" applyBorder="1" applyAlignment="1">
      <x:alignment vertical="center"/>
    </x:xf>
    <x:xf numFmtId="0" fontId="9" fillId="6" borderId="9" xfId="0" applyNumberFormat="1" applyFont="1" applyFill="1" applyBorder="1" applyAlignment="1">
      <x:alignment horizontal="left" vertical="center" wrapText="1"/>
    </x:xf>
    <x:xf numFmtId="0" fontId="9" fillId="6" borderId="2" xfId="0" applyNumberFormat="1" applyFont="1" applyFill="1" applyBorder="1" applyAlignment="1">
      <x:alignment horizontal="left" vertical="center" wrapText="1"/>
    </x:xf>
    <x:xf numFmtId="0" fontId="9" fillId="6" borderId="10" xfId="0" applyNumberFormat="1" applyFont="1" applyFill="1" applyBorder="1" applyAlignment="1">
      <x:alignment horizontal="left" vertical="center" wrapText="1"/>
    </x:xf>
    <x:xf numFmtId="0" fontId="12" fillId="6" borderId="7"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borderId="8" xfId="0" applyNumberFormat="1" applyFont="1" applyFill="1" applyBorder="1" applyAlignment="1">
      <x:alignment horizontal="left" vertical="center" wrapText="1"/>
    </x:xf>
    <x:xf numFmtId="0" fontId="12" fillId="6" borderId="0" xfId="0" applyNumberFormat="1" applyFont="1" applyFill="1" applyBorder="1" applyAlignment="1">
      <x:alignment vertical="center"/>
    </x:xf>
    <x:xf numFmtId="0" fontId="12" fillId="6" borderId="9" xfId="0" applyNumberFormat="1" applyFont="1" applyFill="1" applyBorder="1" applyAlignment="1">
      <x:alignment horizontal="left" vertical="center" wrapText="1"/>
    </x:xf>
    <x:xf numFmtId="0" fontId="12" fillId="6" borderId="2" xfId="0" applyNumberFormat="1" applyFont="1" applyFill="1" applyBorder="1" applyAlignment="1">
      <x:alignment horizontal="left" vertical="center" wrapText="1"/>
    </x:xf>
    <x:xf numFmtId="0" fontId="12" fillId="6" borderId="10" xfId="0" applyNumberFormat="1" applyFont="1" applyFill="1" applyBorder="1" applyAlignment="1">
      <x:alignment horizontal="left" vertical="center" wrapText="1"/>
    </x:xf>
    <x:xf numFmtId="0" fontId="12" fillId="6" borderId="0" xfId="0" applyNumberFormat="1" applyFont="1" applyFill="1" applyBorder="1" applyAlignment="1">
      <x:alignment vertical="center" wrapText="1"/>
    </x:xf>
    <x:xf numFmtId="0" fontId="12" fillId="6" borderId="27" xfId="0" applyNumberFormat="1" applyFont="1" applyFill="1" applyBorder="1" applyAlignment="1">
      <x:alignment horizontal="left" vertical="center" wrapText="1"/>
    </x:xf>
    <x:xf numFmtId="0" fontId="12" fillId="6" borderId="28" xfId="0" applyNumberFormat="1" applyFont="1" applyFill="1" applyBorder="1" applyAlignment="1">
      <x:alignment horizontal="left" vertical="center" wrapText="1"/>
    </x:xf>
    <x:xf numFmtId="0" fontId="12" fillId="6" borderId="29" xfId="0" applyNumberFormat="1" applyFont="1" applyFill="1" applyBorder="1" applyAlignment="1">
      <x:alignment horizontal="left" vertical="center" wrapText="1"/>
    </x:xf>
    <x:xf numFmtId="0" fontId="12" fillId="6" borderId="30" xfId="0" applyNumberFormat="1" applyFont="1" applyFill="1" applyBorder="1" applyAlignment="1">
      <x:alignment horizontal="left" vertical="center" wrapText="1"/>
    </x:xf>
    <x:xf numFmtId="0" fontId="12" fillId="6" borderId="24"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xf numFmtId="0" fontId="12" fillId="6" borderId="25" xfId="0" applyNumberFormat="1" applyFont="1" applyFill="1" applyBorder="1" applyAlignment="1">
      <x:alignment horizontal="left" vertical="center" wrapText="1"/>
    </x:xf>
    <x:xf numFmtId="0" fontId="12" fillId="6" borderId="21" xfId="0" applyNumberFormat="1" applyFont="1" applyFill="1" applyBorder="1" applyAlignment="1">
      <x:alignment horizontal="left" vertical="center" wrapText="1"/>
    </x:xf>
    <x:xf numFmtId="0" fontId="12" fillId="6" borderId="22" xfId="0" applyNumberFormat="1" applyFont="1" applyFill="1" applyBorder="1" applyAlignment="1">
      <x:alignment horizontal="left" vertical="center" wrapText="1"/>
    </x:xf>
    <x:xf numFmtId="0" fontId="12" fillId="6" borderId="31" xfId="0" applyNumberFormat="1" applyFont="1" applyFill="1" applyBorder="1" applyAlignment="1">
      <x:alignment horizontal="left" vertical="center" wrapText="1"/>
    </x:xf>
    <x:xf numFmtId="0" fontId="12" fillId="6" borderId="23" xfId="0" applyNumberFormat="1" applyFont="1" applyFill="1" applyBorder="1" applyAlignment="1">
      <x:alignment horizontal="left" vertical="center" wrapText="1"/>
    </x:xf>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left" wrapText="1"/>
    </x:xf>
    <x:xf numFmtId="0" fontId="6" fillId="4" borderId="0" xfId="0" applyNumberFormat="1" applyFont="1" applyFill="1" applyBorder="1" applyAlignment="1">
      <x:alignment horizontal="left" vertical="center" wrapText="1"/>
    </x:xf>
    <x:xf numFmtId="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8" borderId="0" xfId="0" applyNumberFormat="1" applyFont="1" applyFill="1" applyBorder="1" applyAlignment="1">
      <x:alignment horizontal="center"/>
    </x:xf>
    <x:xf numFmtId="200" fontId="9" fillId="8" borderId="0" xfId="0" applyNumberFormat="1" applyFont="1" applyFill="1" applyBorder="1" applyAlignment="1">
      <x:alignment horizontal="center"/>
    </x:xf>
    <x:xf numFmtId="200" fontId="9" fillId="8" borderId="0" xfId="0" applyNumberFormat="1" applyFont="1" applyFill="1" applyBorder="1" applyAlignment="1">
      <x:alignment horizontal="center" vertical="center"/>
    </x:xf>
    <x:xf numFmtId="0" fontId="8" fillId="2" borderId="0" xfId="0" applyNumberFormat="1" applyFont="1" applyFill="1" applyBorder="1" applyAlignment="1">
      <x:alignment horizontal="center" vertical="center"/>
    </x:xf>
    <x:xf numFmtId="0" fontId="9"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8" fillId="2" borderId="0" xfId="0" applyNumberFormat="1" applyFont="1" applyFill="1" applyBorder="1" applyAlignment="1">
      <x:alignment horizontal="center" vertical="center" wrapText="1"/>
    </x:xf>
    <x:xf numFmtId="0" fontId="10" fillId="2" borderId="0" xfId="0" applyNumberFormat="1" applyFont="1" applyFill="1" applyBorder="1" applyAlignment="1">
      <x:alignment horizontal="center" vertical="center" wrapText="1"/>
    </x:xf>
    <x:xf numFmtId="0" fontId="9" fillId="8" borderId="0" xfId="0" applyNumberFormat="1" applyFont="1" applyFill="1" applyBorder="1" applyAlignment="1">
      <x:alignment vertical="center" wrapText="1"/>
    </x:xf>
    <x:xf numFmtId="201" fontId="9" fillId="8" borderId="0" xfId="0" applyNumberFormat="1" applyFont="1" applyFill="1" applyBorder="1" applyAlignment="1">
      <x:alignment vertical="center" wrapText="1"/>
    </x:xf>
    <x:xf numFmtId="202" fontId="9" fillId="8" borderId="0" xfId="0" applyNumberFormat="1" applyFont="1" applyFill="1" applyBorder="1" applyAlignment="1">
      <x:alignment vertical="center" wrapText="1"/>
    </x:xf>
    <x:xf numFmtId="0" fontId="11" fillId="7" borderId="0" xfId="0" applyNumberFormat="1" applyFont="1" applyFill="1" applyBorder="1" applyAlignment="1">
      <x:alignment vertical="center" wrapText="1"/>
    </x:xf>
    <x:xf numFmtId="200" fontId="9" fillId="8" borderId="0" xfId="0" applyNumberFormat="1" applyFont="1" applyFill="1" applyBorder="1" applyAlignment="1">
      <x:alignment horizontal="center" vertical="center" wrapText="1"/>
    </x:xf>
    <x:xf numFmtId="0" fontId="9" fillId="4" borderId="0" xfId="0" applyNumberFormat="1" applyFont="1" applyFill="1" applyBorder="1" applyAlignment="1">
      <x:alignment horizontal="left" vertical="center" wrapText="1"/>
    </x:xf>
    <x:xf numFmtId="0" fontId="9" fillId="4" borderId="0" xfId="0" applyNumberFormat="1" applyFont="1" applyFill="1" applyBorder="1" applyAlignment="1">
      <x:alignment vertical="center"/>
    </x:xf>
    <x:xf numFmtId="0" fontId="12" fillId="4" borderId="0" xfId="0" applyNumberFormat="1" applyFont="1" applyFill="1" applyBorder="1" applyAlignment="1">
      <x:alignment horizontal="left" vertical="center" wrapText="1"/>
    </x:xf>
    <x:xf numFmtId="0" fontId="12" fillId="4" borderId="0" xfId="0" applyNumberFormat="1" applyFont="1" applyFill="1" applyBorder="1" applyAlignment="1">
      <x:alignment vertical="center"/>
    </x:xf>
    <x:xf numFmtId="0" fontId="12" fillId="4" borderId="0" xfId="0" applyNumberFormat="1" applyFont="1" applyFill="1" applyBorder="1" applyAlignment="1">
      <x:alignment vertical="center" wrapText="1"/>
    </x:xf>
    <x:xf numFmtId="0" fontId="12" fillId="4" xfId="0" applyNumberFormat="1" applyFont="1" applyFill="1" applyBorder="0" applyAlignment="1">
      <x:alignment horizontal="left" vertical="center"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horizontal="center"/>
    </x:xf>
    <x:xf numFmtId="0" fontId="5" fillId="11" borderId="0" xfId="0" applyNumberFormat="1" applyFont="1" applyFill="1" applyBorder="1" applyAlignment="1">
      <x:alignment horizontal="center" vertical="center"/>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top"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wrapText="1"/>
    </x:xf>
    <x:xf numFmtId="0" fontId="1" fillId="13" borderId="0" xfId="0" applyNumberFormat="1" applyFont="1" applyFill="1" applyBorder="1" applyAlignment="1">
      <x:alignment horizontal="center" wrapText="1"/>
    </x:xf>
    <x:xf numFmtId="0" fontId="1" fillId="13" borderId="0" xfId="0" applyNumberFormat="1" applyFont="1" applyFill="1" applyBorder="1" applyAlignment="1">
      <x:alignment horizontal="center" vertical="center" wrapText="1"/>
    </x:xf>
    <x:xf numFmtId="0" fontId="13" fillId="11" borderId="0" xfId="0" applyNumberFormat="1" applyFont="1" applyFill="1" applyBorder="1"/>
    <x:xf numFmtId="0" fontId="13" fillId="11"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vertical="center"/>
    </x:xf>
    <x:xf numFmtId="0" fontId="14" fillId="0" borderId="0" xfId="0" applyNumberFormat="1" applyFont="1" applyFill="1" applyBorder="1"/>
    <x:xf numFmtId="0" fontId="14" fillId="0" borderId="0" xfId="0" applyNumberFormat="1" applyFont="1" applyFill="1" applyBorder="1" applyAlignment="1">
      <x:alignment horizontal="center"/>
    </x:xf>
    <x:xf numFmtId="200" fontId="0" fillId="0" borderId="0" xfId="0" applyNumberFormat="1" applyFont="1" applyFill="1" applyBorder="1"/>
    <x:xf numFmtId="200" fontId="0" fillId="14" borderId="0" xfId="0" applyNumberFormat="1" applyFont="1" applyFill="1" applyBorder="1"/>
    <x:xf numFmtId="0" fontId="0" fillId="14" borderId="0" xfId="0" applyNumberFormat="1" applyFont="1" applyFill="1" applyBorder="1"/>
    <x:xf numFmtId="200" fontId="15" fillId="14" borderId="0" xfId="0" applyNumberFormat="1" applyFont="1" applyFill="1" applyBorder="1"/>
    <x:xf numFmtId="0" fontId="15" fillId="14" borderId="0" xfId="0" applyNumberFormat="1" applyFont="1" applyFill="1" applyBorder="1"/>
    <x:xf numFmtId="200" fontId="15" fillId="14" borderId="32" xfId="0" applyNumberFormat="1" applyFont="1" applyFill="1" applyBorder="1"/>
    <x:xf numFmtId="0" fontId="15" fillId="14" borderId="33" xfId="0" applyNumberFormat="1" applyFont="1" applyFill="1" applyBorder="1"/>
    <x:xf numFmtId="0" fontId="15" fillId="14" borderId="34" xfId="0" applyNumberFormat="1" applyFont="1" applyFill="1" applyBorder="1"/>
    <x:xf numFmtId="0" fontId="15" fillId="14" borderId="35" xfId="0" applyNumberFormat="1" applyFont="1" applyFill="1" applyBorder="1"/>
    <x:xf numFmtId="0" fontId="15" fillId="14" xfId="0" applyNumberFormat="1" applyFont="1" applyFill="1" applyBorder="0"/>
    <x:xf numFmtId="0" fontId="15" fillId="14" borderId="36" xfId="0" applyNumberFormat="1" applyFont="1" applyFill="1" applyBorder="1"/>
    <x:xf numFmtId="0" fontId="15" fillId="14" borderId="37" xfId="0" applyNumberFormat="1" applyFont="1" applyFill="1" applyBorder="1"/>
    <x:xf numFmtId="0" fontId="15" fillId="14" borderId="38" xfId="0" applyNumberFormat="1" applyFont="1" applyFill="1" applyBorder="1"/>
    <x:xf numFmtId="0" fontId="15" fillId="14" borderId="39" xfId="0" applyNumberFormat="1" applyFont="1" applyFill="1" applyBorder="1"/>
    <x:xf numFmtId="200" fontId="15" fillId="14" borderId="32" xfId="0" applyNumberFormat="1" applyFont="1" applyFill="1" applyBorder="1" applyAlignment="1">
      <x:alignment horizontal="center"/>
    </x:xf>
    <x:xf numFmtId="0" fontId="15" fillId="14" borderId="33" xfId="0" applyNumberFormat="1" applyFont="1" applyFill="1" applyBorder="1" applyAlignment="1">
      <x:alignment horizontal="center"/>
    </x:xf>
    <x:xf numFmtId="0" fontId="15" fillId="14" borderId="34" xfId="0" applyNumberFormat="1" applyFont="1" applyFill="1" applyBorder="1" applyAlignment="1">
      <x:alignment horizontal="center"/>
    </x:xf>
    <x:xf numFmtId="0" fontId="15" fillId="14" borderId="35" xfId="0" applyNumberFormat="1" applyFont="1" applyFill="1" applyBorder="1" applyAlignment="1">
      <x:alignment horizontal="center"/>
    </x:xf>
    <x:xf numFmtId="0" fontId="15" fillId="14" xfId="0" applyNumberFormat="1" applyFont="1" applyFill="1" applyBorder="0" applyAlignment="1">
      <x:alignment horizontal="center"/>
    </x:xf>
    <x:xf numFmtId="0" fontId="15" fillId="14" borderId="36" xfId="0" applyNumberFormat="1" applyFont="1" applyFill="1" applyBorder="1" applyAlignment="1">
      <x:alignment horizontal="center"/>
    </x:xf>
    <x:xf numFmtId="0" fontId="15" fillId="14" borderId="37" xfId="0" applyNumberFormat="1" applyFont="1" applyFill="1" applyBorder="1" applyAlignment="1">
      <x:alignment horizontal="center"/>
    </x:xf>
    <x:xf numFmtId="0" fontId="15" fillId="14" borderId="38" xfId="0" applyNumberFormat="1" applyFont="1" applyFill="1" applyBorder="1" applyAlignment="1">
      <x:alignment horizontal="center"/>
    </x:xf>
    <x:xf numFmtId="0" fontId="15" fillId="14" borderId="39" xfId="0" applyNumberFormat="1" applyFont="1" applyFill="1" applyBorder="1" applyAlignment="1">
      <x:alignment horizontal="center"/>
    </x:xf>
    <x:xf numFmtId="200" fontId="15" fillId="14" borderId="32" xfId="0" applyNumberFormat="1" applyFont="1" applyFill="1" applyBorder="1" applyAlignment="1">
      <x:alignment horizontal="center" vertical="center"/>
    </x:xf>
    <x:xf numFmtId="0" fontId="15" fillId="14" borderId="33" xfId="0" applyNumberFormat="1" applyFont="1" applyFill="1" applyBorder="1" applyAlignment="1">
      <x:alignment horizontal="center" vertical="center"/>
    </x:xf>
    <x:xf numFmtId="0" fontId="15" fillId="14" borderId="34" xfId="0" applyNumberFormat="1" applyFont="1" applyFill="1" applyBorder="1" applyAlignment="1">
      <x:alignment horizontal="center" vertical="center"/>
    </x:xf>
    <x:xf numFmtId="0" fontId="15" fillId="14" borderId="35" xfId="0" applyNumberFormat="1" applyFont="1" applyFill="1" applyBorder="1" applyAlignment="1">
      <x:alignment horizontal="center" vertical="center"/>
    </x:xf>
    <x:xf numFmtId="0" fontId="15" fillId="14" xfId="0" applyNumberFormat="1" applyFont="1" applyFill="1" applyBorder="0" applyAlignment="1">
      <x:alignment horizontal="center" vertical="center"/>
    </x:xf>
    <x:xf numFmtId="0" fontId="15" fillId="14" borderId="36" xfId="0" applyNumberFormat="1" applyFont="1" applyFill="1" applyBorder="1" applyAlignment="1">
      <x:alignment horizontal="center" vertical="center"/>
    </x:xf>
    <x:xf numFmtId="0" fontId="15" fillId="14" borderId="37" xfId="0" applyNumberFormat="1" applyFont="1" applyFill="1" applyBorder="1" applyAlignment="1">
      <x:alignment horizontal="center" vertical="center"/>
    </x:xf>
    <x:xf numFmtId="0" fontId="15" fillId="14" borderId="38" xfId="0" applyNumberFormat="1" applyFont="1" applyFill="1" applyBorder="1" applyAlignment="1">
      <x:alignment horizontal="center" vertical="center"/>
    </x:xf>
    <x:xf numFmtId="0" fontId="15" fillId="14" borderId="39" xfId="0" applyNumberFormat="1" applyFont="1" applyFill="1" applyBorder="1" applyAlignment="1">
      <x:alignment horizontal="center" vertical="center"/>
    </x:xf>
    <x:xf numFmtId="202" fontId="0" fillId="14" borderId="0" xfId="0" applyNumberFormat="1" applyFont="1" applyFill="1" applyBorder="1"/>
    <x:xf numFmtId="202" fontId="15" fillId="14" borderId="0" xfId="0" applyNumberFormat="1" applyFont="1" applyFill="1" applyBorder="1"/>
    <x:xf numFmtId="202" fontId="15" fillId="14" borderId="32" xfId="0" applyNumberFormat="1" applyFont="1" applyFill="1" applyBorder="1"/>
    <x:xf numFmtId="202" fontId="15" fillId="14" borderId="32" xfId="0" applyNumberFormat="1" applyFont="1" applyFill="1" applyBorder="1" applyAlignment="1">
      <x:alignment horizontal="center"/>
    </x:xf>
    <x:xf numFmtId="202" fontId="15" fillId="14" borderId="32" xfId="0" applyNumberFormat="1" applyFont="1" applyFill="1" applyBorder="1" applyAlignment="1">
      <x:alignment horizontal="center" vertical="center"/>
    </x:xf>
    <x:xf numFmtId="0" fontId="16" fillId="0" borderId="0" xfId="0" applyNumberFormat="1" applyFont="1" applyFill="1" applyBorder="1"/>
    <x:xf numFmtId="0" fontId="16" fillId="0" borderId="0" xfId="0" applyNumberFormat="1" applyFont="1" applyFill="1" applyBorder="1" applyAlignment="1">
      <x:alignment horizontal="center"/>
    </x:xf>
    <x:xf numFmtId="0" fontId="16" fillId="0" borderId="0" xfId="0" applyNumberFormat="1" applyFont="1" applyFill="1" applyBorder="1" applyAlignment="1">
      <x:alignment horizontal="center" vertical="center"/>
    </x:xf>
    <x:xf numFmtId="0" fontId="0" fillId="15" borderId="0" xfId="0" applyNumberFormat="1" applyFont="1" applyFill="1" applyBorder="1"/>
    <x:xf numFmtId="0" fontId="17" fillId="15" borderId="0" xfId="0" applyNumberFormat="1" applyFont="1" applyFill="1" applyBorder="1"/>
    <x:xf numFmtId="0" fontId="17" fillId="15" borderId="40" xfId="0" applyNumberFormat="1" applyFont="1" applyFill="1" applyBorder="1"/>
    <x:xf numFmtId="0" fontId="17" fillId="15" borderId="41" xfId="0" applyNumberFormat="1" applyFont="1" applyFill="1" applyBorder="1"/>
    <x:xf numFmtId="0" fontId="17" fillId="15" borderId="42" xfId="0" applyNumberFormat="1" applyFont="1" applyFill="1" applyBorder="1"/>
    <x:xf numFmtId="0" fontId="17" fillId="15" borderId="43" xfId="0" applyNumberFormat="1" applyFont="1" applyFill="1" applyBorder="1"/>
    <x:xf numFmtId="0" fontId="17" fillId="15" xfId="0" applyNumberFormat="1" applyFont="1" applyFill="1" applyBorder="0"/>
    <x:xf numFmtId="0" fontId="17" fillId="15" borderId="44" xfId="0" applyNumberFormat="1" applyFont="1" applyFill="1" applyBorder="1"/>
    <x:xf numFmtId="0" fontId="17" fillId="15" borderId="45" xfId="0" applyNumberFormat="1" applyFont="1" applyFill="1" applyBorder="1"/>
    <x:xf numFmtId="0" fontId="17" fillId="15" borderId="46" xfId="0" applyNumberFormat="1" applyFont="1" applyFill="1" applyBorder="1"/>
    <x:xf numFmtId="0" fontId="17" fillId="15" borderId="47" xfId="0" applyNumberFormat="1" applyFont="1" applyFill="1" applyBorder="1"/>
    <x:xf numFmtId="0" fontId="17" fillId="15" borderId="40" xfId="0" applyNumberFormat="1" applyFont="1" applyFill="1" applyBorder="1" applyAlignment="1">
      <x:alignment wrapText="1"/>
    </x:xf>
    <x:xf numFmtId="0" fontId="17" fillId="15" borderId="41" xfId="0" applyNumberFormat="1" applyFont="1" applyFill="1" applyBorder="1" applyAlignment="1">
      <x:alignment wrapText="1"/>
    </x:xf>
    <x:xf numFmtId="0" fontId="17" fillId="15" borderId="42" xfId="0" applyNumberFormat="1" applyFont="1" applyFill="1" applyBorder="1" applyAlignment="1">
      <x:alignment wrapText="1"/>
    </x:xf>
    <x:xf numFmtId="0" fontId="17" fillId="15" borderId="43" xfId="0" applyNumberFormat="1" applyFont="1" applyFill="1" applyBorder="1" applyAlignment="1">
      <x:alignment wrapText="1"/>
    </x:xf>
    <x:xf numFmtId="0" fontId="17" fillId="15" xfId="0" applyNumberFormat="1" applyFont="1" applyFill="1" applyBorder="0" applyAlignment="1">
      <x:alignment wrapText="1"/>
    </x:xf>
    <x:xf numFmtId="0" fontId="17" fillId="15" borderId="44" xfId="0" applyNumberFormat="1" applyFont="1" applyFill="1" applyBorder="1" applyAlignment="1">
      <x:alignment wrapText="1"/>
    </x:xf>
    <x:xf numFmtId="0" fontId="17" fillId="15" borderId="45" xfId="0" applyNumberFormat="1" applyFont="1" applyFill="1" applyBorder="1" applyAlignment="1">
      <x:alignment wrapText="1"/>
    </x:xf>
    <x:xf numFmtId="0" fontId="17" fillId="15" borderId="46" xfId="0" applyNumberFormat="1" applyFont="1" applyFill="1" applyBorder="1" applyAlignment="1">
      <x:alignment wrapText="1"/>
    </x:xf>
    <x:xf numFmtId="0" fontId="17" fillId="15" borderId="47" xfId="0" applyNumberFormat="1" applyFont="1" applyFill="1" applyBorder="1" applyAlignment="1">
      <x:alignment wrapText="1"/>
    </x:xf>
    <x:xf numFmtId="0" fontId="17" fillId="15" borderId="40" xfId="0" applyNumberFormat="1" applyFont="1" applyFill="1" applyBorder="1" applyAlignment="1">
      <x:alignment horizontal="left" wrapText="1"/>
    </x:xf>
    <x:xf numFmtId="0" fontId="17" fillId="15" borderId="41" xfId="0" applyNumberFormat="1" applyFont="1" applyFill="1" applyBorder="1" applyAlignment="1">
      <x:alignment horizontal="left" wrapText="1"/>
    </x:xf>
    <x:xf numFmtId="0" fontId="17" fillId="15" borderId="42" xfId="0" applyNumberFormat="1" applyFont="1" applyFill="1" applyBorder="1" applyAlignment="1">
      <x:alignment horizontal="left" wrapText="1"/>
    </x:xf>
    <x:xf numFmtId="0" fontId="17" fillId="15" borderId="43" xfId="0" applyNumberFormat="1" applyFont="1" applyFill="1" applyBorder="1" applyAlignment="1">
      <x:alignment horizontal="left" wrapText="1"/>
    </x:xf>
    <x:xf numFmtId="0" fontId="17" fillId="15" xfId="0" applyNumberFormat="1" applyFont="1" applyFill="1" applyBorder="0" applyAlignment="1">
      <x:alignment horizontal="left" wrapText="1"/>
    </x:xf>
    <x:xf numFmtId="0" fontId="17" fillId="15" borderId="44" xfId="0" applyNumberFormat="1" applyFont="1" applyFill="1" applyBorder="1" applyAlignment="1">
      <x:alignment horizontal="left" wrapText="1"/>
    </x:xf>
    <x:xf numFmtId="0" fontId="17" fillId="15" borderId="45" xfId="0" applyNumberFormat="1" applyFont="1" applyFill="1" applyBorder="1" applyAlignment="1">
      <x:alignment horizontal="left" wrapText="1"/>
    </x:xf>
    <x:xf numFmtId="0" fontId="17" fillId="15" borderId="46" xfId="0" applyNumberFormat="1" applyFont="1" applyFill="1" applyBorder="1" applyAlignment="1">
      <x:alignment horizontal="left" wrapText="1"/>
    </x:xf>
    <x:xf numFmtId="0" fontId="17" fillId="15" borderId="47" xfId="0" applyNumberFormat="1" applyFont="1" applyFill="1" applyBorder="1" applyAlignment="1">
      <x:alignment horizontal="left" wrapText="1"/>
    </x:xf>
    <x:xf numFmtId="0" fontId="17" fillId="15" borderId="40" xfId="0" applyNumberFormat="1" applyFont="1" applyFill="1" applyBorder="1" applyAlignment="1">
      <x:alignment horizontal="left" vertical="center" wrapText="1"/>
    </x:xf>
    <x:xf numFmtId="0" fontId="17" fillId="15" borderId="41" xfId="0" applyNumberFormat="1" applyFont="1" applyFill="1" applyBorder="1" applyAlignment="1">
      <x:alignment horizontal="left" vertical="center" wrapText="1"/>
    </x:xf>
    <x:xf numFmtId="0" fontId="17" fillId="15" borderId="42" xfId="0" applyNumberFormat="1" applyFont="1" applyFill="1" applyBorder="1" applyAlignment="1">
      <x:alignment horizontal="left" vertical="center" wrapText="1"/>
    </x:xf>
    <x:xf numFmtId="0" fontId="17" fillId="15" borderId="43" xfId="0" applyNumberFormat="1" applyFont="1" applyFill="1" applyBorder="1" applyAlignment="1">
      <x:alignment horizontal="left" vertical="center" wrapText="1"/>
    </x:xf>
    <x:xf numFmtId="0" fontId="17" fillId="15" xfId="0" applyNumberFormat="1" applyFont="1" applyFill="1" applyBorder="0" applyAlignment="1">
      <x:alignment horizontal="left" vertical="center" wrapText="1"/>
    </x:xf>
    <x:xf numFmtId="0" fontId="17" fillId="15" borderId="44" xfId="0" applyNumberFormat="1" applyFont="1" applyFill="1" applyBorder="1" applyAlignment="1">
      <x:alignment horizontal="left" vertical="center" wrapText="1"/>
    </x:xf>
    <x:xf numFmtId="0" fontId="17" fillId="15" borderId="45" xfId="0" applyNumberFormat="1" applyFont="1" applyFill="1" applyBorder="1" applyAlignment="1">
      <x:alignment horizontal="left" vertical="center" wrapText="1"/>
    </x:xf>
    <x:xf numFmtId="0" fontId="17" fillId="15" borderId="46" xfId="0" applyNumberFormat="1" applyFont="1" applyFill="1" applyBorder="1" applyAlignment="1">
      <x:alignment horizontal="left" vertical="center" wrapText="1"/>
    </x:xf>
    <x:xf numFmtId="0" fontId="17" fillId="15" borderId="47" xfId="0" applyNumberFormat="1" applyFont="1" applyFill="1" applyBorder="1" applyAlignment="1">
      <x:alignment horizontal="left" vertical="center" wrapText="1"/>
    </x:xf>
    <x:xf numFmtId="0" fontId="12" fillId="16" borderId="0" xfId="0" applyNumberFormat="1" applyFont="1" applyFill="1" applyBorder="1" applyAlignment="1">
      <x:alignment horizontal="left" vertical="center" wrapText="1"/>
    </x:xf>
    <x:xf numFmtId="0" fontId="12" fillId="16" xfId="0" applyNumberFormat="1" applyFont="1" applyFill="1" applyBorder="0" applyAlignment="1">
      <x:alignment horizontal="left" vertical="center" wrapText="1"/>
    </x:xf>
    <x:xf numFmtId="0" fontId="18" fillId="16" borderId="0" xfId="0" applyNumberFormat="1" applyFont="1" applyFill="1" applyBorder="1" applyAlignment="1">
      <x:alignment horizontal="left" vertical="center" wrapText="1"/>
    </x:xf>
    <x:xf numFmtId="0" fontId="18" fillId="16" xfId="0" applyNumberFormat="1" applyFont="1" applyFill="1" applyBorder="0" applyAlignment="1">
      <x:alignment horizontal="left" vertical="center" wrapText="1"/>
    </x:xf>
    <x:xf numFmtId="0" fontId="18" fillId="16" borderId="0" xfId="0" applyNumberFormat="1" applyFont="1" applyFill="1" applyBorder="1" applyAlignment="1">
      <x:alignment horizontal="center" vertical="center" wrapText="1"/>
    </x:xf>
    <x:xf numFmtId="0" fontId="18" fillId="16" xfId="0" applyNumberFormat="1" applyFont="1" applyFill="1" applyBorder="0" applyAlignment="1">
      <x:alignment horizontal="center" vertical="center" wrapText="1"/>
    </x:xf>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13" fillId="2" borderId="0" xfId="0" applyNumberFormat="1" applyFont="1" applyFill="1" applyBorder="1"/>
    <x:xf numFmtId="0" fontId="13" fillId="2" borderId="0" xfId="0" applyNumberFormat="1" applyFont="1" applyFill="1" applyBorder="1" applyAlignment="1">
      <x:alignment horizontal="center"/>
    </x:xf>
    <x:xf numFmtId="0" fontId="13" fillId="2"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200" fontId="15" fillId="14" borderId="0" xfId="0" applyNumberFormat="1" applyFont="1" applyFill="1" applyBorder="1" applyAlignment="1">
      <x:alignment horizontal="center"/>
    </x:xf>
    <x:xf numFmtId="0" fontId="15" fillId="14" borderId="0" xfId="0" applyNumberFormat="1" applyFont="1" applyFill="1" applyBorder="1" applyAlignment="1">
      <x:alignment horizontal="center"/>
    </x:xf>
    <x:xf numFmtId="200" fontId="15" fillId="14" borderId="0" xfId="0" applyNumberFormat="1" applyFont="1" applyFill="1" applyBorder="1" applyAlignment="1">
      <x:alignment horizontal="center" vertical="center"/>
    </x:xf>
    <x:xf numFmtId="0" fontId="15" fillId="14" borderId="0" xfId="0" applyNumberFormat="1" applyFont="1" applyFill="1" applyBorder="1" applyAlignment="1">
      <x:alignment horizontal="center" vertical="center"/>
    </x:xf>
    <x:xf numFmtId="202" fontId="15" fillId="14" borderId="0" xfId="0" applyNumberFormat="1" applyFont="1" applyFill="1" applyBorder="1" applyAlignment="1">
      <x:alignment horizontal="center"/>
    </x:xf>
    <x:xf numFmtId="202" fontId="15" fillId="14" borderId="0" xfId="0" applyNumberFormat="1" applyFont="1" applyFill="1" applyBorder="1" applyAlignment="1">
      <x:alignment horizontal="center" vertical="center"/>
    </x:xf>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left" wrapText="1"/>
    </x:xf>
    <x:xf numFmtId="0" fontId="17" fillId="15" borderId="0" xfId="0" applyNumberFormat="1" applyFont="1" applyFill="1" applyBorder="1" applyAlignment="1">
      <x:alignment horizontal="left" vertical="center" wrapText="1"/>
    </x:xf>
    <x:xf numFmtId="0" fontId="12" fillId="7" borderId="0" xfId="0" applyNumberFormat="1" applyFont="1" applyFill="1" applyBorder="1" applyAlignment="1">
      <x:alignment horizontal="left" vertical="center" wrapText="1"/>
    </x:xf>
    <x:xf numFmtId="0" fontId="12" fillId="7" xfId="0" applyNumberFormat="1" applyFont="1" applyFill="1" applyBorder="0" applyAlignment="1">
      <x:alignment horizontal="left" vertical="center" wrapText="1"/>
    </x:xf>
    <x:xf numFmtId="0" fontId="18" fillId="7" borderId="0" xfId="0" applyNumberFormat="1" applyFont="1" applyFill="1" applyBorder="1" applyAlignment="1">
      <x:alignment horizontal="left" vertical="center" wrapText="1"/>
    </x:xf>
    <x:xf numFmtId="0" fontId="18" fillId="7" xfId="0" applyNumberFormat="1" applyFont="1" applyFill="1" applyBorder="0" applyAlignment="1">
      <x:alignment horizontal="left" vertical="center" wrapText="1"/>
    </x:xf>
    <x:xf numFmtId="0" fontId="18" fillId="7" borderId="0" xfId="0" applyNumberFormat="1" applyFont="1" applyFill="1" applyBorder="1" applyAlignment="1">
      <x:alignment horizontal="center" vertical="center" wrapText="1"/>
    </x:xf>
    <x:xf numFmtId="0" fontId="18" fillId="7" xfId="0" applyNumberFormat="1" applyFont="1" applyFill="1" applyBorder="0" applyAlignment="1">
      <x:alignment horizontal="center"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horizontal="center" wrapText="1"/>
    </x:xf>
    <x:xf numFmtId="0" fontId="1" fillId="17"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2" fillId="17" borderId="0" xfId="0" applyNumberFormat="1" applyFont="1" applyFill="1" applyBorder="1"/>
    <x:xf numFmtId="0" fontId="2" fillId="17" borderId="0" xfId="0" applyNumberFormat="1" applyFont="1" applyFill="1" applyBorder="1" applyAlignment="1">
      <x:alignment horizontal="center"/>
    </x:xf>
    <x:xf numFmtId="0" fontId="2" fillId="17" borderId="0" xfId="0" applyNumberFormat="1" applyFont="1" applyFill="1" applyBorder="1" applyAlignment="1">
      <x:alignment horizontal="center" vertical="center"/>
    </x:xf>
    <x:xf numFmtId="0" fontId="0" fillId="0" borderId="48" xfId="0" applyNumberFormat="1" applyFont="1" applyFill="1" applyBorder="1" applyAlignment="1">
      <x:alignment vertical="top" wrapText="1"/>
    </x:xf>
    <x:xf numFmtId="0" fontId="0" fillId="0" borderId="49" xfId="0" applyNumberFormat="1" applyFont="1" applyFill="1" applyBorder="1" applyAlignment="1">
      <x:alignment vertical="top" wrapText="1"/>
    </x:xf>
    <x:xf numFmtId="0" fontId="0" fillId="0" borderId="50" xfId="0" applyNumberFormat="1" applyFont="1" applyFill="1" applyBorder="1" applyAlignment="1">
      <x:alignment vertical="top" wrapText="1"/>
    </x:xf>
    <x:xf numFmtId="0" fontId="0" fillId="0" borderId="51" xfId="0" applyNumberFormat="1" applyFont="1" applyFill="1" applyBorder="1" applyAlignment="1">
      <x:alignment vertical="top" wrapText="1"/>
    </x:xf>
    <x:xf numFmtId="0" fontId="0" fillId="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54" xfId="0" applyNumberFormat="1" applyFont="1" applyFill="1" applyBorder="1" applyAlignment="1">
      <x:alignment vertical="top" wrapText="1"/>
    </x:xf>
    <x:xf numFmtId="0" fontId="0" fillId="0" borderId="55" xfId="0" applyNumberFormat="1" applyFont="1" applyFill="1" applyBorder="1" applyAlignment="1">
      <x:alignment vertical="top" wrapText="1"/>
    </x:xf>
    <x:xf numFmtId="0" fontId="0" fillId="18" borderId="0" xfId="0" applyNumberFormat="1" applyFont="1" applyFill="1" applyBorder="1"/>
    <x:xf numFmtId="0" fontId="19" fillId="18" borderId="0" xfId="0" applyNumberFormat="1" applyFont="1" applyFill="1" applyBorder="1"/>
    <x:xf numFmtId="0" fontId="19" fillId="18" borderId="0" xfId="0" applyNumberFormat="1" applyFont="1" applyFill="1" applyBorder="1" applyAlignment="1">
      <x:alignment horizontal="center"/>
    </x:xf>
    <x:xf numFmtId="0" fontId="19" fillId="18" borderId="0" xfId="0" applyNumberFormat="1" applyFont="1" applyFill="1" applyBorder="1" applyAlignment="1">
      <x:alignment horizontal="center" vertical="center"/>
    </x:xf>
    <x:xf numFmtId="0" fontId="0" fillId="0" borderId="48" xfId="0" applyNumberFormat="1" applyFont="1" applyFill="1" applyBorder="1" applyAlignment="1">
      <x:alignment wrapText="1"/>
    </x:xf>
    <x:xf numFmtId="0" fontId="0" fillId="0" borderId="49" xfId="0" applyNumberFormat="1" applyFont="1" applyFill="1" applyBorder="1" applyAlignment="1">
      <x:alignment wrapText="1"/>
    </x:xf>
    <x:xf numFmtId="0" fontId="0" fillId="0" borderId="50" xfId="0" applyNumberFormat="1" applyFont="1" applyFill="1" applyBorder="1" applyAlignment="1">
      <x:alignment wrapText="1"/>
    </x:xf>
    <x:xf numFmtId="0" fontId="0" fillId="0" borderId="51" xfId="0" applyNumberFormat="1" applyFont="1" applyFill="1" applyBorder="1" applyAlignment="1">
      <x:alignment wrapText="1"/>
    </x:xf>
    <x:xf numFmtId="0" fontId="0" fillId="0" borderId="52" xfId="0" applyNumberFormat="1" applyFont="1" applyFill="1" applyBorder="1" applyAlignment="1">
      <x:alignment wrapText="1"/>
    </x:xf>
    <x:xf numFmtId="0" fontId="0" fillId="0" borderId="53" xfId="0" applyNumberFormat="1" applyFont="1" applyFill="1" applyBorder="1" applyAlignment="1">
      <x:alignment wrapText="1"/>
    </x:xf>
    <x:xf numFmtId="0" fontId="0" fillId="0" borderId="54" xfId="0" applyNumberFormat="1" applyFont="1" applyFill="1" applyBorder="1" applyAlignment="1">
      <x:alignment wrapText="1"/>
    </x:xf>
    <x:xf numFmtId="0" fontId="0" fillId="0" borderId="55" xfId="0" applyNumberFormat="1" applyFont="1" applyFill="1" applyBorder="1" applyAlignment="1">
      <x:alignment wrapText="1"/>
    </x:xf>
    <x:xf numFmtId="0" fontId="18" fillId="19" borderId="0" xfId="0" applyNumberFormat="1" applyFont="1" applyFill="1" applyBorder="1" applyAlignment="1">
      <x:alignment horizontal="center" vertical="center" wrapText="1"/>
    </x:xf>
    <x:xf numFmtId="0" fontId="18" fillId="19" xfId="0" applyNumberFormat="1" applyFont="1" applyFill="1" applyBorder="0" applyAlignment="1">
      <x:alignment horizontal="center" vertical="center" wrapText="1"/>
    </x:xf>
    <x:xf numFmtId="0" fontId="19" fillId="13" borderId="0" xfId="0" applyNumberFormat="1" applyFont="1" applyFill="1" applyBorder="1"/>
    <x:xf numFmtId="0" fontId="19" fillId="13" borderId="0" xfId="0" applyNumberFormat="1" applyFont="1" applyFill="1" applyBorder="1" applyAlignment="1">
      <x:alignment horizontal="center"/>
    </x:xf>
    <x:xf numFmtId="0" fontId="19" fillId="13" borderId="0" xfId="0" applyNumberFormat="1" applyFont="1" applyFill="1" applyBorder="1" applyAlignment="1">
      <x:alignment horizontal="center" vertical="center"/>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wrapText="1"/>
    </x:xf>
    <x:xf numFmtId="0" fontId="1" fillId="20"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center" wrapText="1"/>
    </x:xf>
    <x:xf numFmtId="0" fontId="2" fillId="20" borderId="0" xfId="0" applyNumberFormat="1" applyFont="1" applyFill="1" applyBorder="1"/>
    <x:xf numFmtId="0" fontId="2" fillId="20" borderId="0" xfId="0" applyNumberFormat="1" applyFont="1" applyFill="1" applyBorder="1" applyAlignment="1">
      <x:alignment horizontal="center"/>
    </x:xf>
    <x:xf numFmtId="0" fontId="2" fillId="20" borderId="0" xfId="0" applyNumberFormat="1" applyFont="1" applyFill="1" applyBorder="1" applyAlignment="1">
      <x:alignment horizontal="center" vertical="center"/>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3" fillId="21" borderId="0" xfId="0" applyNumberFormat="1" applyFont="1" applyFill="1" applyBorder="1" applyAlignment="1">
      <x:alignment horizontal="center" wrapText="1"/>
    </x:xf>
    <x:xf numFmtId="0" fontId="1" fillId="20" borderId="0" xfId="0" applyNumberFormat="1" applyFont="1" applyFill="1" applyBorder="1" applyAlignment="1">
      <x:alignment horizontal="center"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 fillId="22" borderId="0" xfId="0" applyNumberFormat="1" applyFont="1" applyFill="1" applyBorder="1" applyAlignment="1">
      <x:alignment horizontal="center" wrapText="1"/>
    </x:xf>
    <x:xf numFmtId="0" fontId="1" fillId="22" borderId="0" xfId="0" applyNumberFormat="1" applyFont="1" applyFill="1" applyBorder="1" applyAlignment="1">
      <x:alignment horizontal="center" vertical="center" wrapText="1"/>
    </x:xf>
    <x:xf numFmtId="0" fontId="16" fillId="15" borderId="0" xfId="0" applyNumberFormat="1" applyFont="1" applyFill="1" applyBorder="1" applyAlignment="1">
      <x:alignment horizontal="left" vertical="center" wrapText="1"/>
    </x:xf>
    <x:xf numFmtId="0" fontId="16" fillId="15" borderId="0" xfId="0" applyNumberFormat="1" applyFont="1" applyFill="1" applyBorder="1" applyAlignment="1">
      <x:alignment horizontal="center" vertical="center" wrapText="1"/>
    </x:xf>
    <x:xf numFmtId="0" fontId="0" fillId="23" borderId="0" xfId="0" applyNumberFormat="1" applyFont="1" applyFill="1" applyBorder="1"/>
    <x:xf numFmtId="0" fontId="17" fillId="23" borderId="0" xfId="0" applyNumberFormat="1" applyFont="1" applyFill="1" applyBorder="1"/>
    <x:xf numFmtId="0" fontId="17" fillId="23" borderId="56" xfId="0" applyNumberFormat="1" applyFont="1" applyFill="1" applyBorder="1"/>
    <x:xf numFmtId="0" fontId="17" fillId="23" borderId="57" xfId="0" applyNumberFormat="1" applyFont="1" applyFill="1" applyBorder="1"/>
    <x:xf numFmtId="0" fontId="17" fillId="23" borderId="58" xfId="0" applyNumberFormat="1" applyFont="1" applyFill="1" applyBorder="1"/>
    <x:xf numFmtId="0" fontId="17" fillId="23" borderId="59" xfId="0" applyNumberFormat="1" applyFont="1" applyFill="1" applyBorder="1"/>
    <x:xf numFmtId="0" fontId="17" fillId="23" xfId="0" applyNumberFormat="1" applyFont="1" applyFill="1" applyBorder="0"/>
    <x:xf numFmtId="0" fontId="17" fillId="23" borderId="60" xfId="0" applyNumberFormat="1" applyFont="1" applyFill="1" applyBorder="1"/>
    <x:xf numFmtId="0" fontId="17" fillId="23" borderId="61" xfId="0" applyNumberFormat="1" applyFont="1" applyFill="1" applyBorder="1"/>
    <x:xf numFmtId="0" fontId="17" fillId="23" borderId="62" xfId="0" applyNumberFormat="1" applyFont="1" applyFill="1" applyBorder="1"/>
    <x:xf numFmtId="0" fontId="17" fillId="23" borderId="63" xfId="0" applyNumberFormat="1" applyFont="1" applyFill="1" applyBorder="1"/>
    <x:xf numFmtId="0" fontId="17" fillId="23" borderId="56" xfId="0" applyNumberFormat="1" applyFont="1" applyFill="1" applyBorder="1" applyAlignment="1">
      <x:alignment wrapText="1"/>
    </x:xf>
    <x:xf numFmtId="0" fontId="17" fillId="23" borderId="57" xfId="0" applyNumberFormat="1" applyFont="1" applyFill="1" applyBorder="1" applyAlignment="1">
      <x:alignment wrapText="1"/>
    </x:xf>
    <x:xf numFmtId="0" fontId="17" fillId="23" borderId="58" xfId="0" applyNumberFormat="1" applyFont="1" applyFill="1" applyBorder="1" applyAlignment="1">
      <x:alignment wrapText="1"/>
    </x:xf>
    <x:xf numFmtId="0" fontId="17" fillId="23" borderId="59" xfId="0" applyNumberFormat="1" applyFont="1" applyFill="1" applyBorder="1" applyAlignment="1">
      <x:alignment wrapText="1"/>
    </x:xf>
    <x:xf numFmtId="0" fontId="17" fillId="23" xfId="0" applyNumberFormat="1" applyFont="1" applyFill="1" applyBorder="0" applyAlignment="1">
      <x:alignment wrapText="1"/>
    </x:xf>
    <x:xf numFmtId="0" fontId="17" fillId="23" borderId="60" xfId="0" applyNumberFormat="1" applyFont="1" applyFill="1" applyBorder="1" applyAlignment="1">
      <x:alignment wrapText="1"/>
    </x:xf>
    <x:xf numFmtId="0" fontId="17" fillId="23" borderId="61" xfId="0" applyNumberFormat="1" applyFont="1" applyFill="1" applyBorder="1" applyAlignment="1">
      <x:alignment wrapText="1"/>
    </x:xf>
    <x:xf numFmtId="0" fontId="17" fillId="23" borderId="62" xfId="0" applyNumberFormat="1" applyFont="1" applyFill="1" applyBorder="1" applyAlignment="1">
      <x:alignment wrapText="1"/>
    </x:xf>
    <x:xf numFmtId="0" fontId="17" fillId="23" borderId="63" xfId="0" applyNumberFormat="1" applyFont="1" applyFill="1" applyBorder="1" applyAlignment="1">
      <x:alignment wrapText="1"/>
    </x:xf>
    <x:xf numFmtId="0" fontId="17" fillId="23" borderId="56" xfId="0" applyNumberFormat="1" applyFont="1" applyFill="1" applyBorder="1" applyAlignment="1">
      <x:alignment horizontal="left" wrapText="1"/>
    </x:xf>
    <x:xf numFmtId="0" fontId="17" fillId="23" borderId="57" xfId="0" applyNumberFormat="1" applyFont="1" applyFill="1" applyBorder="1" applyAlignment="1">
      <x:alignment horizontal="left" wrapText="1"/>
    </x:xf>
    <x:xf numFmtId="0" fontId="17" fillId="23" borderId="58" xfId="0" applyNumberFormat="1" applyFont="1" applyFill="1" applyBorder="1" applyAlignment="1">
      <x:alignment horizontal="left" wrapText="1"/>
    </x:xf>
    <x:xf numFmtId="0" fontId="17" fillId="23" borderId="59" xfId="0" applyNumberFormat="1" applyFont="1" applyFill="1" applyBorder="1" applyAlignment="1">
      <x:alignment horizontal="left" wrapText="1"/>
    </x:xf>
    <x:xf numFmtId="0" fontId="17" fillId="23" xfId="0" applyNumberFormat="1" applyFont="1" applyFill="1" applyBorder="0" applyAlignment="1">
      <x:alignment horizontal="left" wrapText="1"/>
    </x:xf>
    <x:xf numFmtId="0" fontId="17" fillId="23" borderId="60" xfId="0" applyNumberFormat="1" applyFont="1" applyFill="1" applyBorder="1" applyAlignment="1">
      <x:alignment horizontal="left" wrapText="1"/>
    </x:xf>
    <x:xf numFmtId="0" fontId="17" fillId="23" borderId="61" xfId="0" applyNumberFormat="1" applyFont="1" applyFill="1" applyBorder="1" applyAlignment="1">
      <x:alignment horizontal="left" wrapText="1"/>
    </x:xf>
    <x:xf numFmtId="0" fontId="17" fillId="23" borderId="62" xfId="0" applyNumberFormat="1" applyFont="1" applyFill="1" applyBorder="1" applyAlignment="1">
      <x:alignment horizontal="left" wrapText="1"/>
    </x:xf>
    <x:xf numFmtId="0" fontId="17" fillId="23" borderId="63" xfId="0" applyNumberFormat="1" applyFont="1" applyFill="1" applyBorder="1" applyAlignment="1">
      <x:alignment horizontal="left" wrapText="1"/>
    </x:xf>
    <x:xf numFmtId="0" fontId="17" fillId="23" borderId="56" xfId="0" applyNumberFormat="1" applyFont="1" applyFill="1" applyBorder="1" applyAlignment="1">
      <x:alignment horizontal="left" vertical="center" wrapText="1"/>
    </x:xf>
    <x:xf numFmtId="0" fontId="17" fillId="23" borderId="57" xfId="0" applyNumberFormat="1" applyFont="1" applyFill="1" applyBorder="1" applyAlignment="1">
      <x:alignment horizontal="left" vertical="center" wrapText="1"/>
    </x:xf>
    <x:xf numFmtId="0" fontId="17" fillId="23" borderId="58" xfId="0" applyNumberFormat="1" applyFont="1" applyFill="1" applyBorder="1" applyAlignment="1">
      <x:alignment horizontal="left" vertical="center" wrapText="1"/>
    </x:xf>
    <x:xf numFmtId="0" fontId="17" fillId="23" borderId="59" xfId="0" applyNumberFormat="1" applyFont="1" applyFill="1" applyBorder="1" applyAlignment="1">
      <x:alignment horizontal="left" vertical="center" wrapText="1"/>
    </x:xf>
    <x:xf numFmtId="0" fontId="17" fillId="23" xfId="0" applyNumberFormat="1" applyFont="1" applyFill="1" applyBorder="0" applyAlignment="1">
      <x:alignment horizontal="left" vertical="center" wrapText="1"/>
    </x:xf>
    <x:xf numFmtId="0" fontId="17" fillId="23" borderId="60" xfId="0" applyNumberFormat="1" applyFont="1" applyFill="1" applyBorder="1" applyAlignment="1">
      <x:alignment horizontal="left" vertical="center" wrapText="1"/>
    </x:xf>
    <x:xf numFmtId="0" fontId="17" fillId="23" borderId="61" xfId="0" applyNumberFormat="1" applyFont="1" applyFill="1" applyBorder="1" applyAlignment="1">
      <x:alignment horizontal="left" vertical="center" wrapText="1"/>
    </x:xf>
    <x:xf numFmtId="0" fontId="17" fillId="23" borderId="62" xfId="0" applyNumberFormat="1" applyFont="1" applyFill="1" applyBorder="1" applyAlignment="1">
      <x:alignment horizontal="left" vertical="center" wrapText="1"/>
    </x:xf>
    <x:xf numFmtId="0" fontId="17" fillId="23" borderId="63" xfId="0" applyNumberFormat="1" applyFont="1" applyFill="1" applyBorder="1" applyAlignment="1">
      <x:alignment horizontal="left" vertical="center"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0" fontId="18" fillId="24" borderId="0" xfId="0" applyNumberFormat="1" applyFont="1" applyFill="1" applyBorder="1" applyAlignment="1">
      <x:alignment horizontal="center" vertical="center" wrapText="1"/>
    </x:xf>
    <x:xf numFmtId="0" fontId="18" fillId="24" xfId="0" applyNumberFormat="1" applyFont="1" applyFill="1" applyBorder="0" applyAlignment="1">
      <x:alignment horizontal="center" vertical="center" wrapText="1"/>
    </x:xf>
    <x:xf numFmtId="0" fontId="3" fillId="4" borderId="0" xfId="0" applyNumberFormat="1" applyFont="1" applyFill="1" applyBorder="1" applyAlignment="1">
      <x:alignment horizontal="center" wrapText="1"/>
    </x:xf>
    <x:xf numFmtId="0" fontId="0" fillId="0" borderId="67" xfId="0" applyNumberFormat="1" applyFont="1" applyFill="1" applyBorder="1" applyAlignment="1">
      <x:alignment wrapText="1"/>
    </x:xf>
    <x:xf numFmtId="0" fontId="0" fillId="0" borderId="68" xfId="0" applyNumberFormat="1" applyFont="1" applyFill="1" applyBorder="1" applyAlignment="1">
      <x:alignment wrapText="1"/>
    </x:xf>
    <x:xf numFmtId="0" fontId="0" fillId="0" borderId="69" xfId="0" applyNumberFormat="1" applyFont="1" applyFill="1" applyBorder="1" applyAlignment="1">
      <x:alignment wrapText="1"/>
    </x:xf>
    <x:xf numFmtId="0" fontId="0" fillId="25" borderId="0" xfId="0" applyNumberFormat="1" applyFont="1" applyFill="1" applyBorder="1"/>
    <x:xf numFmtId="0" fontId="20" fillId="25" borderId="0" xfId="0" applyNumberFormat="1" applyFont="1" applyFill="1" applyBorder="1"/>
    <x:xf numFmtId="0" fontId="20" fillId="25" borderId="0" xfId="0" applyNumberFormat="1" applyFont="1" applyFill="1" applyBorder="1" applyAlignment="1">
      <x:alignment horizontal="center"/>
    </x:xf>
    <x:xf numFmtId="0" fontId="20" fillId="25" borderId="0" xfId="0" applyNumberFormat="1" applyFont="1" applyFill="1" applyBorder="1" applyAlignment="1">
      <x:alignment horizontal="center" vertical="center"/>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wrapText="1"/>
    </x:xf>
    <x:xf numFmtId="0" fontId="1" fillId="26" borderId="0" xfId="0" applyNumberFormat="1" applyFont="1" applyFill="1" applyBorder="1" applyAlignment="1">
      <x:alignment horizontal="center" wrapText="1"/>
    </x:xf>
    <x:xf numFmtId="0" fontId="1" fillId="26" borderId="0" xfId="0" applyNumberFormat="1" applyFont="1" applyFill="1" applyBorder="1" applyAlignment="1">
      <x:alignment horizontal="center" vertical="center" wrapText="1"/>
    </x:xf>
    <x:xf numFmtId="0" fontId="0" fillId="0" borderId="70" xfId="0" applyNumberFormat="1" applyFont="1" applyFill="1" applyBorder="1" applyAlignment="1">
      <x:alignment vertical="top" wrapText="1"/>
    </x:xf>
    <x:xf numFmtId="0" fontId="0" fillId="0" borderId="71" xfId="0" applyNumberFormat="1" applyFont="1" applyFill="1" applyBorder="1" applyAlignment="1">
      <x:alignment vertical="top" wrapText="1"/>
    </x:xf>
    <x:xf numFmtId="0" fontId="0" fillId="0" borderId="72" xfId="0" applyNumberFormat="1" applyFont="1" applyFill="1" applyBorder="1" applyAlignment="1">
      <x:alignment vertical="top" wrapText="1"/>
    </x:xf>
    <x:xf numFmtId="0" fontId="0" fillId="0" borderId="73" xfId="0" applyNumberFormat="1" applyFont="1" applyFill="1" applyBorder="1" applyAlignment="1">
      <x:alignment vertical="top" wrapText="1"/>
    </x:xf>
    <x:xf numFmtId="0" fontId="0" fillId="0" borderId="74" xfId="0" applyNumberFormat="1" applyFont="1" applyFill="1" applyBorder="1" applyAlignment="1">
      <x:alignment vertical="top" wrapText="1"/>
    </x:xf>
    <x:xf numFmtId="0" fontId="0" fillId="0" borderId="75" xfId="0" applyNumberFormat="1" applyFont="1" applyFill="1" applyBorder="1" applyAlignment="1">
      <x:alignment vertical="top" wrapText="1"/>
    </x:xf>
    <x:xf numFmtId="0" fontId="0" fillId="0" borderId="76" xfId="0" applyNumberFormat="1" applyFont="1" applyFill="1" applyBorder="1" applyAlignment="1">
      <x:alignment vertical="top" wrapText="1"/>
    </x:xf>
    <x:xf numFmtId="0" fontId="0" fillId="0" borderId="77" xfId="0" applyNumberFormat="1" applyFont="1" applyFill="1" applyBorder="1" applyAlignment="1">
      <x:alignment vertical="top" wrapText="1"/>
    </x:xf>
    <x:xf numFmtId="0" fontId="0" fillId="27" borderId="0" xfId="0" applyNumberFormat="1" applyFont="1" applyFill="1" applyBorder="1"/>
    <x:xf numFmtId="0" fontId="19" fillId="27" borderId="0" xfId="0" applyNumberFormat="1" applyFont="1" applyFill="1" applyBorder="1"/>
    <x:xf numFmtId="0" fontId="19" fillId="27" borderId="0" xfId="0" applyNumberFormat="1" applyFont="1" applyFill="1" applyBorder="1" applyAlignment="1">
      <x:alignment horizontal="center"/>
    </x:xf>
    <x:xf numFmtId="0" fontId="19" fillId="27" borderId="0" xfId="0" applyNumberFormat="1" applyFont="1" applyFill="1" applyBorder="1" applyAlignment="1">
      <x:alignment horizontal="center" vertical="center"/>
    </x:xf>
    <x:xf numFmtId="0" fontId="0" fillId="0" borderId="70" xfId="0" applyNumberFormat="1" applyFont="1" applyFill="1" applyBorder="1" applyAlignment="1">
      <x:alignment wrapText="1"/>
    </x:xf>
    <x:xf numFmtId="0" fontId="0" fillId="0" borderId="71" xfId="0" applyNumberFormat="1" applyFont="1" applyFill="1" applyBorder="1" applyAlignment="1">
      <x:alignment wrapText="1"/>
    </x:xf>
    <x:xf numFmtId="0" fontId="0" fillId="0" borderId="72" xfId="0" applyNumberFormat="1" applyFont="1" applyFill="1" applyBorder="1" applyAlignment="1">
      <x:alignment wrapText="1"/>
    </x:xf>
    <x:xf numFmtId="0" fontId="0" fillId="0" borderId="73" xfId="0" applyNumberFormat="1" applyFont="1" applyFill="1" applyBorder="1" applyAlignment="1">
      <x:alignment wrapText="1"/>
    </x:xf>
    <x:xf numFmtId="0" fontId="0" fillId="0" borderId="74" xfId="0" applyNumberFormat="1" applyFont="1" applyFill="1" applyBorder="1" applyAlignment="1">
      <x:alignment wrapText="1"/>
    </x:xf>
    <x:xf numFmtId="0" fontId="0" fillId="0" borderId="75" xfId="0" applyNumberFormat="1" applyFont="1" applyFill="1" applyBorder="1" applyAlignment="1">
      <x:alignment wrapText="1"/>
    </x:xf>
    <x:xf numFmtId="0" fontId="0" fillId="0" borderId="76" xfId="0" applyNumberFormat="1" applyFont="1" applyFill="1" applyBorder="1" applyAlignment="1">
      <x:alignment wrapText="1"/>
    </x:xf>
    <x:xf numFmtId="0" fontId="0" fillId="0" borderId="77" xfId="0" applyNumberFormat="1" applyFont="1" applyFill="1" applyBorder="1" applyAlignment="1">
      <x:alignment wrapText="1"/>
    </x:xf>
    <x:xf numFmtId="0" fontId="0" fillId="28" borderId="0" xfId="0" applyNumberFormat="1" applyFont="1" applyFill="1" applyBorder="1"/>
    <x:xf numFmtId="0" fontId="21" fillId="28" borderId="0" xfId="0" applyNumberFormat="1" applyFont="1" applyFill="1" applyBorder="1"/>
    <x:xf numFmtId="0" fontId="21" fillId="28" borderId="0" xfId="0" applyNumberFormat="1" applyFont="1" applyFill="1" applyBorder="1" applyAlignment="1">
      <x:alignment wrapText="1"/>
    </x:xf>
    <x:xf numFmtId="0" fontId="21" fillId="28" borderId="0" xfId="0" applyNumberFormat="1" applyFont="1" applyFill="1" applyBorder="1" applyAlignment="1">
      <x:alignment vertical="center" wrapText="1"/>
    </x:xf>
    <x:xf numFmtId="0" fontId="19" fillId="25" borderId="0" xfId="0" applyNumberFormat="1" applyFont="1" applyFill="1" applyBorder="1"/>
    <x:xf numFmtId="0" fontId="19" fillId="25" borderId="0" xfId="0" applyNumberFormat="1" applyFont="1" applyFill="1" applyBorder="1" applyAlignment="1">
      <x:alignment horizontal="center"/>
    </x:xf>
    <x:xf numFmtId="0" fontId="19" fillId="25" borderId="0" xfId="0" applyNumberFormat="1" applyFont="1" applyFill="1" applyBorder="1" applyAlignment="1">
      <x:alignment horizontal="center" vertical="center"/>
    </x:xf>
    <x:xf numFmtId="0" fontId="18" fillId="29" borderId="0" xfId="0" applyNumberFormat="1" applyFont="1" applyFill="1" applyBorder="1" applyAlignment="1">
      <x:alignment horizontal="center" vertical="center" wrapText="1"/>
    </x:xf>
    <x:xf numFmtId="0" fontId="18" fillId="29" xfId="0" applyNumberFormat="1" applyFont="1" applyFill="1" applyBorder="0" applyAlignment="1">
      <x:alignment horizontal="center" vertical="center" wrapText="1"/>
    </x:xf>
    <x:xf numFmtId="0" fontId="21" fillId="15" borderId="0" xfId="0" applyNumberFormat="1" applyFont="1" applyFill="1" applyBorder="1"/>
    <x:xf numFmtId="0" fontId="21" fillId="15" borderId="0" xfId="0" applyNumberFormat="1" applyFont="1" applyFill="1" applyBorder="1" applyAlignment="1">
      <x:alignment wrapText="1"/>
    </x:xf>
    <x:xf numFmtId="0" fontId="21" fillId="15" borderId="0" xfId="0" applyNumberFormat="1" applyFont="1" applyFill="1" applyBorder="1" applyAlignment="1">
      <x:alignment vertical="center" wrapText="1"/>
    </x:xf>
    <x:xf numFmtId="0" fontId="0" fillId="30" borderId="0" xfId="0" applyNumberFormat="1" applyFont="1" applyFill="1" applyBorder="1"/>
    <x:xf numFmtId="0" fontId="2" fillId="30" borderId="0" xfId="0" applyNumberFormat="1" applyFont="1" applyFill="1" applyBorder="1"/>
    <x:xf numFmtId="0" fontId="2" fillId="30" borderId="0" xfId="0" applyNumberFormat="1" applyFont="1" applyFill="1" applyBorder="1" applyAlignment="1">
      <x:alignment horizontal="center"/>
    </x:xf>
    <x:xf numFmtId="0" fontId="2" fillId="30" borderId="0" xfId="0" applyNumberFormat="1" applyFont="1" applyFill="1" applyBorder="1" applyAlignment="1">
      <x:alignment horizontal="center" vertical="center"/>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wrapText="1"/>
    </x:xf>
    <x:xf numFmtId="0" fontId="3" fillId="31" borderId="0" xfId="0" applyNumberFormat="1" applyFont="1" applyFill="1" applyBorder="1" applyAlignment="1">
      <x:alignment horizontal="center" wrapText="1"/>
    </x:xf>
    <x:xf numFmtId="0" fontId="3" fillId="31" borderId="0" xfId="0" applyNumberFormat="1" applyFont="1" applyFill="1" applyBorder="1" applyAlignment="1">
      <x:alignment horizontal="center" vertical="center" wrapText="1"/>
    </x:xf>
    <x:xf numFmtId="0" fontId="1" fillId="30" borderId="0" xfId="0" applyNumberFormat="1" applyFont="1" applyFill="1" applyBorder="1"/>
    <x:xf numFmtId="0" fontId="1" fillId="30" borderId="0" xfId="0" applyNumberFormat="1" applyFont="1" applyFill="1" applyBorder="1" applyAlignment="1">
      <x:alignment wrapText="1"/>
    </x:xf>
    <x:xf numFmtId="0" fontId="1" fillId="30" borderId="0" xfId="0" applyNumberFormat="1" applyFont="1" applyFill="1" applyBorder="1" applyAlignment="1">
      <x:alignment horizontal="center" wrapText="1"/>
    </x:xf>
    <x:xf numFmtId="0" fontId="1" fillId="30" borderId="0" xfId="0" applyNumberFormat="1" applyFont="1" applyFill="1" applyBorder="1" applyAlignment="1">
      <x:alignment horizontal="center" vertical="center" wrapText="1"/>
    </x:xf>
    <x:xf numFmtId="0" fontId="0" fillId="0" borderId="78" xfId="0" applyNumberFormat="1" applyFont="1" applyFill="1" applyBorder="1" applyAlignment="1">
      <x:alignment vertical="top" wrapText="1"/>
    </x:xf>
    <x:xf numFmtId="0" fontId="0" fillId="0" borderId="79" xfId="0" applyNumberFormat="1" applyFont="1" applyFill="1" applyBorder="1" applyAlignment="1">
      <x:alignment vertical="top" wrapText="1"/>
    </x:xf>
    <x:xf numFmtId="0" fontId="0" fillId="0" borderId="80" xfId="0" applyNumberFormat="1" applyFont="1" applyFill="1" applyBorder="1" applyAlignment="1">
      <x:alignment vertical="top" wrapText="1"/>
    </x:xf>
    <x:xf numFmtId="0" fontId="0" fillId="0" borderId="81" xfId="0" applyNumberFormat="1" applyFont="1" applyFill="1" applyBorder="1" applyAlignment="1">
      <x:alignment vertical="top" wrapText="1"/>
    </x:xf>
    <x:xf numFmtId="0" fontId="0" fillId="0" borderId="82" xfId="0" applyNumberFormat="1" applyFont="1" applyFill="1" applyBorder="1" applyAlignment="1">
      <x:alignment vertical="top" wrapText="1"/>
    </x:xf>
    <x:xf numFmtId="0" fontId="0" fillId="0" borderId="83" xfId="0" applyNumberFormat="1" applyFont="1" applyFill="1" applyBorder="1" applyAlignment="1">
      <x:alignment vertical="top" wrapText="1"/>
    </x:xf>
    <x:xf numFmtId="0" fontId="0" fillId="0" borderId="84" xfId="0" applyNumberFormat="1" applyFont="1" applyFill="1" applyBorder="1" applyAlignment="1">
      <x:alignment vertical="top" wrapText="1"/>
    </x:xf>
    <x:xf numFmtId="0" fontId="0" fillId="0" borderId="85" xfId="0" applyNumberFormat="1" applyFont="1" applyFill="1" applyBorder="1" applyAlignment="1">
      <x:alignment vertical="top" wrapText="1"/>
    </x:xf>
    <x:xf numFmtId="0" fontId="0" fillId="32" borderId="0" xfId="0" applyNumberFormat="1" applyFont="1" applyFill="1" applyBorder="1"/>
    <x:xf numFmtId="0" fontId="20" fillId="32" borderId="0" xfId="0" applyNumberFormat="1" applyFont="1" applyFill="1" applyBorder="1"/>
    <x:xf numFmtId="0" fontId="20" fillId="32" borderId="0" xfId="0" applyNumberFormat="1" applyFont="1" applyFill="1" applyBorder="1" applyAlignment="1">
      <x:alignment horizontal="center"/>
    </x:xf>
    <x:xf numFmtId="0" fontId="20" fillId="32" borderId="0" xfId="0" applyNumberFormat="1" applyFont="1" applyFill="1" applyBorder="1" applyAlignment="1">
      <x:alignment horizontal="center" vertical="center"/>
    </x:xf>
    <x:xf numFmtId="0" fontId="0" fillId="0" borderId="78" xfId="0" applyNumberFormat="1" applyFont="1" applyFill="1" applyBorder="1" applyAlignment="1">
      <x:alignment wrapText="1"/>
    </x:xf>
    <x:xf numFmtId="0" fontId="0" fillId="0" borderId="79" xfId="0" applyNumberFormat="1" applyFont="1" applyFill="1" applyBorder="1" applyAlignment="1">
      <x:alignment wrapText="1"/>
    </x:xf>
    <x:xf numFmtId="0" fontId="0" fillId="0" borderId="80" xfId="0" applyNumberFormat="1" applyFont="1" applyFill="1" applyBorder="1" applyAlignment="1">
      <x:alignment wrapText="1"/>
    </x:xf>
    <x:xf numFmtId="0" fontId="0" fillId="0" borderId="81" xfId="0" applyNumberFormat="1" applyFont="1" applyFill="1" applyBorder="1" applyAlignment="1">
      <x:alignment wrapText="1"/>
    </x:xf>
    <x:xf numFmtId="0" fontId="0" fillId="0" borderId="82" xfId="0" applyNumberFormat="1" applyFont="1" applyFill="1" applyBorder="1" applyAlignment="1">
      <x:alignment wrapText="1"/>
    </x:xf>
    <x:xf numFmtId="0" fontId="0" fillId="0" borderId="83" xfId="0" applyNumberFormat="1" applyFont="1" applyFill="1" applyBorder="1" applyAlignment="1">
      <x:alignment wrapText="1"/>
    </x:xf>
    <x:xf numFmtId="0" fontId="0" fillId="0" borderId="84" xfId="0" applyNumberFormat="1" applyFont="1" applyFill="1" applyBorder="1" applyAlignment="1">
      <x:alignment wrapText="1"/>
    </x:xf>
    <x:xf numFmtId="0" fontId="0" fillId="0" borderId="85" xfId="0" applyNumberFormat="1" applyFont="1" applyFill="1" applyBorder="1" applyAlignment="1">
      <x:alignment wrapText="1"/>
    </x:xf>
    <x:xf numFmtId="0" fontId="0" fillId="33" borderId="0" xfId="0" applyNumberFormat="1" applyFont="1" applyFill="1" applyBorder="1"/>
    <x:xf numFmtId="0" fontId="19" fillId="33" borderId="0" xfId="0" applyNumberFormat="1" applyFont="1" applyFill="1" applyBorder="1"/>
    <x:xf numFmtId="0" fontId="19" fillId="33" borderId="0" xfId="0" applyNumberFormat="1" applyFont="1" applyFill="1" applyBorder="1" applyAlignment="1">
      <x:alignment horizontal="center"/>
    </x:xf>
    <x:xf numFmtId="0" fontId="19" fillId="32" borderId="0" xfId="0" applyNumberFormat="1" applyFont="1" applyFill="1" applyBorder="1"/>
    <x:xf numFmtId="0" fontId="19" fillId="32" borderId="0" xfId="0" applyNumberFormat="1" applyFont="1" applyFill="1" applyBorder="1" applyAlignment="1">
      <x:alignment horizontal="center"/>
    </x:xf>
    <x:xf numFmtId="0" fontId="0" fillId="34" borderId="0" xfId="0" applyNumberFormat="1" applyFont="1" applyFill="1" applyBorder="1"/>
    <x:xf numFmtId="0" fontId="22" fillId="34" borderId="0" xfId="0" applyNumberFormat="1" applyFont="1" applyFill="1" applyBorder="1"/>
    <x:xf numFmtId="0" fontId="22" fillId="34" borderId="0" xfId="0" applyNumberFormat="1" applyFont="1" applyFill="1" applyBorder="1" applyAlignment="1">
      <x:alignment wrapText="1"/>
    </x:xf>
    <x:xf numFmtId="0" fontId="22" fillId="34" borderId="0" xfId="0" applyNumberFormat="1" applyFont="1" applyFill="1" applyBorder="1" applyAlignment="1">
      <x:alignment horizontal="center" wrapText="1"/>
    </x:xf>
    <x:xf numFmtId="0" fontId="22" fillId="34" borderId="0" xfId="0" applyNumberFormat="1" applyFont="1" applyFill="1" applyBorder="1" applyAlignment="1">
      <x:alignment horizontal="center" vertical="center" wrapText="1"/>
    </x:xf>
    <x:xf numFmtId="0" fontId="0" fillId="35" borderId="0" xfId="0" applyNumberFormat="1" applyFont="1" applyFill="1" applyBorder="1"/>
    <x:xf numFmtId="0" fontId="20" fillId="35" borderId="0" xfId="0" applyNumberFormat="1" applyFont="1" applyFill="1" applyBorder="1"/>
    <x:xf numFmtId="0" fontId="20" fillId="35" borderId="0" xfId="0" applyNumberFormat="1" applyFont="1" applyFill="1" applyBorder="1" applyAlignment="1">
      <x:alignment horizontal="center"/>
    </x:xf>
    <x:xf numFmtId="0" fontId="20" fillId="35" borderId="0" xfId="0" applyNumberFormat="1" applyFont="1" applyFill="1" applyBorder="1" applyAlignment="1">
      <x:alignment horizontal="center" vertical="center"/>
    </x:xf>
    <x:xf numFmtId="0" fontId="18" fillId="34" borderId="0" xfId="0" applyNumberFormat="1" applyFont="1" applyFill="1" applyBorder="1" applyAlignment="1">
      <x:alignment horizontal="center" vertical="center" wrapText="1"/>
    </x:xf>
    <x:xf numFmtId="0" fontId="18" fillId="34" xfId="0" applyNumberFormat="1" applyFont="1" applyFill="1" applyBorder="0" applyAlignment="1">
      <x:alignment horizontal="center" vertical="center" wrapText="1"/>
    </x:xf>
    <x:xf numFmtId="0" fontId="23" fillId="34" borderId="0" xfId="0" applyNumberFormat="1" applyFont="1" applyFill="1" applyBorder="1" applyAlignment="1">
      <x:alignment horizontal="center" vertical="center" wrapText="1"/>
    </x:xf>
    <x:xf numFmtId="0" fontId="23" fillId="34" xfId="0" applyNumberFormat="1" applyFont="1" applyFill="1" applyBorder="0" applyAlignment="1">
      <x:alignment horizontal="center" vertical="center" wrapText="1"/>
    </x:xf>
    <x:xf numFmtId="0" fontId="3" fillId="4" borderId="0" xfId="0" applyNumberFormat="1" applyFont="1" applyFill="1" applyBorder="1" applyAlignment="1">
      <x:alignment horizontal="center" vertical="center" wrapText="1"/>
    </x:xf>
    <x:xf numFmtId="0" fontId="0" fillId="36" borderId="0" xfId="0" applyNumberFormat="1" applyFont="1" applyFill="1" applyBorder="1"/>
    <x:xf numFmtId="0" fontId="2" fillId="36" borderId="0" xfId="0" applyNumberFormat="1" applyFont="1" applyFill="1" applyBorder="1"/>
    <x:xf numFmtId="0" fontId="2" fillId="36" borderId="86" xfId="0" applyNumberFormat="1" applyFont="1" applyFill="1" applyBorder="1"/>
    <x:xf numFmtId="0" fontId="2" fillId="36" borderId="87" xfId="0" applyNumberFormat="1" applyFont="1" applyFill="1" applyBorder="1"/>
    <x:xf numFmtId="0" fontId="2" fillId="36" borderId="88" xfId="0" applyNumberFormat="1" applyFont="1" applyFill="1" applyBorder="1"/>
    <x:xf numFmtId="0" fontId="2" fillId="36" borderId="89" xfId="0" applyNumberFormat="1" applyFont="1" applyFill="1" applyBorder="1"/>
    <x:xf numFmtId="0" fontId="2" fillId="36" borderId="90" xfId="0" applyNumberFormat="1" applyFont="1" applyFill="1" applyBorder="1"/>
    <x:xf numFmtId="0" fontId="2" fillId="36" borderId="91" xfId="0" applyNumberFormat="1" applyFont="1" applyFill="1" applyBorder="1"/>
    <x:xf numFmtId="0" fontId="2" fillId="36" borderId="86" xfId="0" applyNumberFormat="1" applyFont="1" applyFill="1" applyBorder="1" applyAlignment="1">
      <x:alignment wrapText="1"/>
    </x:xf>
    <x:xf numFmtId="0" fontId="2" fillId="36" borderId="87" xfId="0" applyNumberFormat="1" applyFont="1" applyFill="1" applyBorder="1" applyAlignment="1">
      <x:alignment wrapText="1"/>
    </x:xf>
    <x:xf numFmtId="0" fontId="2" fillId="36" borderId="88" xfId="0" applyNumberFormat="1" applyFont="1" applyFill="1" applyBorder="1" applyAlignment="1">
      <x:alignment wrapText="1"/>
    </x:xf>
    <x:xf numFmtId="0" fontId="2" fillId="36" borderId="89" xfId="0" applyNumberFormat="1" applyFont="1" applyFill="1" applyBorder="1" applyAlignment="1">
      <x:alignment wrapText="1"/>
    </x:xf>
    <x:xf numFmtId="0" fontId="2" fillId="36" borderId="90" xfId="0" applyNumberFormat="1" applyFont="1" applyFill="1" applyBorder="1" applyAlignment="1">
      <x:alignment wrapText="1"/>
    </x:xf>
    <x:xf numFmtId="0" fontId="2" fillId="36" borderId="91" xfId="0" applyNumberFormat="1" applyFont="1" applyFill="1" applyBorder="1" applyAlignment="1">
      <x:alignment wrapText="1"/>
    </x:xf>
    <x:xf numFmtId="0" fontId="2" fillId="36" borderId="86" xfId="0" applyNumberFormat="1" applyFont="1" applyFill="1" applyBorder="1" applyAlignment="1">
      <x:alignment horizontal="center" wrapText="1"/>
    </x:xf>
    <x:xf numFmtId="0" fontId="2" fillId="36" borderId="87" xfId="0" applyNumberFormat="1" applyFont="1" applyFill="1" applyBorder="1" applyAlignment="1">
      <x:alignment horizontal="center" wrapText="1"/>
    </x:xf>
    <x:xf numFmtId="0" fontId="2" fillId="36" borderId="88" xfId="0" applyNumberFormat="1" applyFont="1" applyFill="1" applyBorder="1" applyAlignment="1">
      <x:alignment horizontal="center" wrapText="1"/>
    </x:xf>
    <x:xf numFmtId="0" fontId="2" fillId="36" borderId="89" xfId="0" applyNumberFormat="1" applyFont="1" applyFill="1" applyBorder="1" applyAlignment="1">
      <x:alignment horizontal="center" wrapText="1"/>
    </x:xf>
    <x:xf numFmtId="0" fontId="2" fillId="36" borderId="90" xfId="0" applyNumberFormat="1" applyFont="1" applyFill="1" applyBorder="1" applyAlignment="1">
      <x:alignment horizontal="center" wrapText="1"/>
    </x:xf>
    <x:xf numFmtId="0" fontId="2" fillId="36" borderId="91" xfId="0" applyNumberFormat="1" applyFont="1" applyFill="1" applyBorder="1" applyAlignment="1">
      <x:alignment horizontal="center" wrapText="1"/>
    </x:xf>
    <x:xf numFmtId="0" fontId="2" fillId="36" borderId="86" xfId="0" applyNumberFormat="1" applyFont="1" applyFill="1" applyBorder="1" applyAlignment="1">
      <x:alignment horizontal="center" vertical="center" wrapText="1"/>
    </x:xf>
    <x:xf numFmtId="0" fontId="2" fillId="36" borderId="87" xfId="0" applyNumberFormat="1" applyFont="1" applyFill="1" applyBorder="1" applyAlignment="1">
      <x:alignment horizontal="center" vertical="center" wrapText="1"/>
    </x:xf>
    <x:xf numFmtId="0" fontId="2" fillId="36" borderId="88" xfId="0" applyNumberFormat="1" applyFont="1" applyFill="1" applyBorder="1" applyAlignment="1">
      <x:alignment horizontal="center" vertical="center" wrapText="1"/>
    </x:xf>
    <x:xf numFmtId="0" fontId="2" fillId="36" borderId="89" xfId="0" applyNumberFormat="1" applyFont="1" applyFill="1" applyBorder="1" applyAlignment="1">
      <x:alignment horizontal="center" vertical="center" wrapText="1"/>
    </x:xf>
    <x:xf numFmtId="0" fontId="2" fillId="36" borderId="90" xfId="0" applyNumberFormat="1" applyFont="1" applyFill="1" applyBorder="1" applyAlignment="1">
      <x:alignment horizontal="center" vertical="center" wrapText="1"/>
    </x:xf>
    <x:xf numFmtId="0" fontId="2" fillId="36" borderId="91" xfId="0" applyNumberFormat="1" applyFont="1" applyFill="1" applyBorder="1" applyAlignment="1">
      <x:alignment horizontal="center" vertical="center" wrapText="1"/>
    </x:xf>
    <x:xf numFmtId="0" fontId="0" fillId="37" borderId="0" xfId="0" applyNumberFormat="1" applyFont="1" applyFill="1" applyBorder="1"/>
    <x:xf numFmtId="0" fontId="24" fillId="37" borderId="0" xfId="0" applyNumberFormat="1" applyFont="1" applyFill="1" applyBorder="1"/>
    <x:xf numFmtId="0" fontId="24" fillId="37" borderId="86" xfId="0" applyNumberFormat="1" applyFont="1" applyFill="1" applyBorder="1"/>
    <x:xf numFmtId="0" fontId="24" fillId="37" borderId="87" xfId="0" applyNumberFormat="1" applyFont="1" applyFill="1" applyBorder="1"/>
    <x:xf numFmtId="0" fontId="24" fillId="37" borderId="88" xfId="0" applyNumberFormat="1" applyFont="1" applyFill="1" applyBorder="1"/>
    <x:xf numFmtId="0" fontId="24" fillId="37" borderId="89" xfId="0" applyNumberFormat="1" applyFont="1" applyFill="1" applyBorder="1"/>
    <x:xf numFmtId="0" fontId="24" fillId="37" borderId="90" xfId="0" applyNumberFormat="1" applyFont="1" applyFill="1" applyBorder="1"/>
    <x:xf numFmtId="0" fontId="24" fillId="37" borderId="91" xfId="0" applyNumberFormat="1" applyFont="1" applyFill="1" applyBorder="1"/>
    <x:xf numFmtId="0" fontId="24" fillId="37" borderId="86" xfId="0" applyNumberFormat="1" applyFont="1" applyFill="1" applyBorder="1" applyAlignment="1">
      <x:alignment wrapText="1"/>
    </x:xf>
    <x:xf numFmtId="0" fontId="24" fillId="37" borderId="87" xfId="0" applyNumberFormat="1" applyFont="1" applyFill="1" applyBorder="1" applyAlignment="1">
      <x:alignment wrapText="1"/>
    </x:xf>
    <x:xf numFmtId="0" fontId="24" fillId="37" borderId="88" xfId="0" applyNumberFormat="1" applyFont="1" applyFill="1" applyBorder="1" applyAlignment="1">
      <x:alignment wrapText="1"/>
    </x:xf>
    <x:xf numFmtId="0" fontId="24" fillId="37" borderId="89" xfId="0" applyNumberFormat="1" applyFont="1" applyFill="1" applyBorder="1" applyAlignment="1">
      <x:alignment wrapText="1"/>
    </x:xf>
    <x:xf numFmtId="0" fontId="24" fillId="37" borderId="90" xfId="0" applyNumberFormat="1" applyFont="1" applyFill="1" applyBorder="1" applyAlignment="1">
      <x:alignment wrapText="1"/>
    </x:xf>
    <x:xf numFmtId="0" fontId="24" fillId="37" borderId="91" xfId="0" applyNumberFormat="1" applyFont="1" applyFill="1" applyBorder="1" applyAlignment="1">
      <x:alignment wrapText="1"/>
    </x:xf>
    <x:xf numFmtId="0" fontId="24" fillId="37" borderId="86" xfId="0" applyNumberFormat="1" applyFont="1" applyFill="1" applyBorder="1" applyAlignment="1">
      <x:alignment horizontal="center" wrapText="1"/>
    </x:xf>
    <x:xf numFmtId="0" fontId="24" fillId="37" borderId="87" xfId="0" applyNumberFormat="1" applyFont="1" applyFill="1" applyBorder="1" applyAlignment="1">
      <x:alignment horizontal="center" wrapText="1"/>
    </x:xf>
    <x:xf numFmtId="0" fontId="24" fillId="37" borderId="88" xfId="0" applyNumberFormat="1" applyFont="1" applyFill="1" applyBorder="1" applyAlignment="1">
      <x:alignment horizontal="center" wrapText="1"/>
    </x:xf>
    <x:xf numFmtId="0" fontId="24" fillId="37" borderId="89" xfId="0" applyNumberFormat="1" applyFont="1" applyFill="1" applyBorder="1" applyAlignment="1">
      <x:alignment horizontal="center" wrapText="1"/>
    </x:xf>
    <x:xf numFmtId="0" fontId="24" fillId="37" borderId="90" xfId="0" applyNumberFormat="1" applyFont="1" applyFill="1" applyBorder="1" applyAlignment="1">
      <x:alignment horizontal="center" wrapText="1"/>
    </x:xf>
    <x:xf numFmtId="0" fontId="24" fillId="37" borderId="91" xfId="0" applyNumberFormat="1" applyFont="1" applyFill="1" applyBorder="1" applyAlignment="1">
      <x:alignment horizontal="center" wrapText="1"/>
    </x:xf>
    <x:xf numFmtId="0" fontId="24" fillId="37" borderId="86" xfId="0" applyNumberFormat="1" applyFont="1" applyFill="1" applyBorder="1" applyAlignment="1">
      <x:alignment horizontal="center" vertical="center" wrapText="1"/>
    </x:xf>
    <x:xf numFmtId="0" fontId="24" fillId="37" borderId="87" xfId="0" applyNumberFormat="1" applyFont="1" applyFill="1" applyBorder="1" applyAlignment="1">
      <x:alignment horizontal="center" vertical="center" wrapText="1"/>
    </x:xf>
    <x:xf numFmtId="0" fontId="24" fillId="37" borderId="88" xfId="0" applyNumberFormat="1" applyFont="1" applyFill="1" applyBorder="1" applyAlignment="1">
      <x:alignment horizontal="center" vertical="center" wrapText="1"/>
    </x:xf>
    <x:xf numFmtId="0" fontId="24" fillId="37" borderId="89" xfId="0" applyNumberFormat="1" applyFont="1" applyFill="1" applyBorder="1" applyAlignment="1">
      <x:alignment horizontal="center" vertical="center" wrapText="1"/>
    </x:xf>
    <x:xf numFmtId="0" fontId="24" fillId="37" borderId="90" xfId="0" applyNumberFormat="1" applyFont="1" applyFill="1" applyBorder="1" applyAlignment="1">
      <x:alignment horizontal="center" vertical="center" wrapText="1"/>
    </x:xf>
    <x:xf numFmtId="0" fontId="24" fillId="37" borderId="91" xfId="0" applyNumberFormat="1" applyFont="1" applyFill="1" applyBorder="1" applyAlignment="1">
      <x:alignment horizontal="center" vertical="center" wrapText="1"/>
    </x:xf>
    <x:xf numFmtId="0" fontId="0" fillId="38" borderId="0" xfId="0" applyNumberFormat="1" applyFont="1" applyFill="1" applyBorder="1"/>
    <x:xf numFmtId="0" fontId="1" fillId="38" borderId="0" xfId="0" applyNumberFormat="1" applyFont="1" applyFill="1" applyBorder="1"/>
    <x:xf numFmtId="0" fontId="1" fillId="38" borderId="92" xfId="0" applyNumberFormat="1" applyFont="1" applyFill="1" applyBorder="1"/>
    <x:xf numFmtId="0" fontId="1" fillId="38" borderId="93" xfId="0" applyNumberFormat="1" applyFont="1" applyFill="1" applyBorder="1"/>
    <x:xf numFmtId="0" fontId="1" fillId="38" borderId="94" xfId="0" applyNumberFormat="1" applyFont="1" applyFill="1" applyBorder="1"/>
    <x:xf numFmtId="0" fontId="1" fillId="38" borderId="92" xfId="0" applyNumberFormat="1" applyFont="1" applyFill="1" applyBorder="1" applyAlignment="1">
      <x:alignment wrapText="1"/>
    </x:xf>
    <x:xf numFmtId="0" fontId="1" fillId="38" borderId="93" xfId="0" applyNumberFormat="1" applyFont="1" applyFill="1" applyBorder="1" applyAlignment="1">
      <x:alignment wrapText="1"/>
    </x:xf>
    <x:xf numFmtId="0" fontId="1" fillId="38" borderId="94" xfId="0" applyNumberFormat="1" applyFont="1" applyFill="1" applyBorder="1" applyAlignment="1">
      <x:alignment wrapText="1"/>
    </x:xf>
    <x:xf numFmtId="0" fontId="1" fillId="38" borderId="92" xfId="0" applyNumberFormat="1" applyFont="1" applyFill="1" applyBorder="1" applyAlignment="1">
      <x:alignment horizontal="left" wrapText="1"/>
    </x:xf>
    <x:xf numFmtId="0" fontId="1" fillId="38" borderId="93" xfId="0" applyNumberFormat="1" applyFont="1" applyFill="1" applyBorder="1" applyAlignment="1">
      <x:alignment horizontal="left" wrapText="1"/>
    </x:xf>
    <x:xf numFmtId="0" fontId="1" fillId="38" borderId="94" xfId="0" applyNumberFormat="1" applyFont="1" applyFill="1" applyBorder="1" applyAlignment="1">
      <x:alignment horizontal="left" wrapText="1"/>
    </x:xf>
    <x:xf numFmtId="0" fontId="1" fillId="38" borderId="92" xfId="0" applyNumberFormat="1" applyFont="1" applyFill="1" applyBorder="1" applyAlignment="1">
      <x:alignment horizontal="left" vertical="center" wrapText="1"/>
    </x:xf>
    <x:xf numFmtId="0" fontId="1" fillId="38" borderId="93" xfId="0" applyNumberFormat="1" applyFont="1" applyFill="1" applyBorder="1" applyAlignment="1">
      <x:alignment horizontal="left" vertical="center" wrapText="1"/>
    </x:xf>
    <x:xf numFmtId="0" fontId="1" fillId="38" borderId="94" xfId="0" applyNumberFormat="1" applyFont="1" applyFill="1" applyBorder="1" applyAlignment="1">
      <x:alignment horizontal="left" vertical="center" wrapText="1"/>
    </x:xf>
    <x:xf numFmtId="0" fontId="0" fillId="39" borderId="0" xfId="0" applyNumberFormat="1" applyFont="1" applyFill="1" applyBorder="1"/>
    <x:xf numFmtId="0" fontId="25" fillId="39" borderId="0" xfId="0" applyNumberFormat="1" applyFont="1" applyFill="1" applyBorder="1"/>
    <x:xf numFmtId="0" fontId="25" fillId="39" borderId="86" xfId="0" applyNumberFormat="1" applyFont="1" applyFill="1" applyBorder="1"/>
    <x:xf numFmtId="0" fontId="25" fillId="39" borderId="87" xfId="0" applyNumberFormat="1" applyFont="1" applyFill="1" applyBorder="1"/>
    <x:xf numFmtId="0" fontId="25" fillId="39" borderId="88" xfId="0" applyNumberFormat="1" applyFont="1" applyFill="1" applyBorder="1"/>
    <x:xf numFmtId="0" fontId="25" fillId="39" borderId="95" xfId="0" applyNumberFormat="1" applyFont="1" applyFill="1" applyBorder="1"/>
    <x:xf numFmtId="0" fontId="25" fillId="39" xfId="0" applyNumberFormat="1" applyFont="1" applyFill="1" applyBorder="0"/>
    <x:xf numFmtId="0" fontId="25" fillId="39" borderId="96" xfId="0" applyNumberFormat="1" applyFont="1" applyFill="1" applyBorder="1"/>
    <x:xf numFmtId="0" fontId="25" fillId="39" borderId="89" xfId="0" applyNumberFormat="1" applyFont="1" applyFill="1" applyBorder="1"/>
    <x:xf numFmtId="0" fontId="25" fillId="39" borderId="90" xfId="0" applyNumberFormat="1" applyFont="1" applyFill="1" applyBorder="1"/>
    <x:xf numFmtId="0" fontId="25" fillId="39" borderId="91" xfId="0" applyNumberFormat="1" applyFont="1" applyFill="1" applyBorder="1"/>
    <x:xf numFmtId="0" fontId="25" fillId="39" borderId="86" xfId="0" applyNumberFormat="1" applyFont="1" applyFill="1" applyBorder="1" applyAlignment="1">
      <x:alignment wrapText="1"/>
    </x:xf>
    <x:xf numFmtId="0" fontId="25" fillId="39" borderId="87" xfId="0" applyNumberFormat="1" applyFont="1" applyFill="1" applyBorder="1" applyAlignment="1">
      <x:alignment wrapText="1"/>
    </x:xf>
    <x:xf numFmtId="0" fontId="25" fillId="39" borderId="88" xfId="0" applyNumberFormat="1" applyFont="1" applyFill="1" applyBorder="1" applyAlignment="1">
      <x:alignment wrapText="1"/>
    </x:xf>
    <x:xf numFmtId="0" fontId="25" fillId="39" borderId="95" xfId="0" applyNumberFormat="1" applyFont="1" applyFill="1" applyBorder="1" applyAlignment="1">
      <x:alignment wrapText="1"/>
    </x:xf>
    <x:xf numFmtId="0" fontId="25" fillId="39" xfId="0" applyNumberFormat="1" applyFont="1" applyFill="1" applyBorder="0" applyAlignment="1">
      <x:alignment wrapText="1"/>
    </x:xf>
    <x:xf numFmtId="0" fontId="25" fillId="39" borderId="96" xfId="0" applyNumberFormat="1" applyFont="1" applyFill="1" applyBorder="1" applyAlignment="1">
      <x:alignment wrapText="1"/>
    </x:xf>
    <x:xf numFmtId="0" fontId="25" fillId="39" borderId="89" xfId="0" applyNumberFormat="1" applyFont="1" applyFill="1" applyBorder="1" applyAlignment="1">
      <x:alignment wrapText="1"/>
    </x:xf>
    <x:xf numFmtId="0" fontId="25" fillId="39" borderId="90" xfId="0" applyNumberFormat="1" applyFont="1" applyFill="1" applyBorder="1" applyAlignment="1">
      <x:alignment wrapText="1"/>
    </x:xf>
    <x:xf numFmtId="0" fontId="25" fillId="39" borderId="91" xfId="0" applyNumberFormat="1" applyFont="1" applyFill="1" applyBorder="1" applyAlignment="1">
      <x:alignment wrapText="1"/>
    </x:xf>
    <x:xf numFmtId="0" fontId="25" fillId="39" borderId="86" xfId="0" applyNumberFormat="1" applyFont="1" applyFill="1" applyBorder="1" applyAlignment="1">
      <x:alignment horizontal="left" wrapText="1"/>
    </x:xf>
    <x:xf numFmtId="0" fontId="25" fillId="39" borderId="87" xfId="0" applyNumberFormat="1" applyFont="1" applyFill="1" applyBorder="1" applyAlignment="1">
      <x:alignment horizontal="left" wrapText="1"/>
    </x:xf>
    <x:xf numFmtId="0" fontId="25" fillId="39" borderId="88" xfId="0" applyNumberFormat="1" applyFont="1" applyFill="1" applyBorder="1" applyAlignment="1">
      <x:alignment horizontal="left" wrapText="1"/>
    </x:xf>
    <x:xf numFmtId="0" fontId="25" fillId="39" borderId="95" xfId="0" applyNumberFormat="1" applyFont="1" applyFill="1" applyBorder="1" applyAlignment="1">
      <x:alignment horizontal="left" wrapText="1"/>
    </x:xf>
    <x:xf numFmtId="0" fontId="25" fillId="39" xfId="0" applyNumberFormat="1" applyFont="1" applyFill="1" applyBorder="0" applyAlignment="1">
      <x:alignment horizontal="left" wrapText="1"/>
    </x:xf>
    <x:xf numFmtId="0" fontId="25" fillId="39" borderId="96" xfId="0" applyNumberFormat="1" applyFont="1" applyFill="1" applyBorder="1" applyAlignment="1">
      <x:alignment horizontal="left" wrapText="1"/>
    </x:xf>
    <x:xf numFmtId="0" fontId="25" fillId="39" borderId="89" xfId="0" applyNumberFormat="1" applyFont="1" applyFill="1" applyBorder="1" applyAlignment="1">
      <x:alignment horizontal="left" wrapText="1"/>
    </x:xf>
    <x:xf numFmtId="0" fontId="25" fillId="39" borderId="90" xfId="0" applyNumberFormat="1" applyFont="1" applyFill="1" applyBorder="1" applyAlignment="1">
      <x:alignment horizontal="left" wrapText="1"/>
    </x:xf>
    <x:xf numFmtId="0" fontId="25" fillId="39" borderId="91" xfId="0" applyNumberFormat="1" applyFont="1" applyFill="1" applyBorder="1" applyAlignment="1">
      <x:alignment horizontal="left" wrapText="1"/>
    </x:xf>
    <x:xf numFmtId="0" fontId="25" fillId="39" borderId="86" xfId="0" applyNumberFormat="1" applyFont="1" applyFill="1" applyBorder="1" applyAlignment="1">
      <x:alignment horizontal="left" vertical="center" wrapText="1"/>
    </x:xf>
    <x:xf numFmtId="0" fontId="25" fillId="39" borderId="87" xfId="0" applyNumberFormat="1" applyFont="1" applyFill="1" applyBorder="1" applyAlignment="1">
      <x:alignment horizontal="left" vertical="center" wrapText="1"/>
    </x:xf>
    <x:xf numFmtId="0" fontId="25" fillId="39" borderId="88" xfId="0" applyNumberFormat="1" applyFont="1" applyFill="1" applyBorder="1" applyAlignment="1">
      <x:alignment horizontal="left" vertical="center" wrapText="1"/>
    </x:xf>
    <x:xf numFmtId="0" fontId="25" fillId="39" borderId="95" xfId="0" applyNumberFormat="1" applyFont="1" applyFill="1" applyBorder="1" applyAlignment="1">
      <x:alignment horizontal="left" vertical="center" wrapText="1"/>
    </x:xf>
    <x:xf numFmtId="0" fontId="25" fillId="39" xfId="0" applyNumberFormat="1" applyFont="1" applyFill="1" applyBorder="0" applyAlignment="1">
      <x:alignment horizontal="left" vertical="center" wrapText="1"/>
    </x:xf>
    <x:xf numFmtId="0" fontId="25" fillId="39" borderId="96" xfId="0" applyNumberFormat="1" applyFont="1" applyFill="1" applyBorder="1" applyAlignment="1">
      <x:alignment horizontal="left" vertical="center" wrapText="1"/>
    </x:xf>
    <x:xf numFmtId="0" fontId="25" fillId="39" borderId="89" xfId="0" applyNumberFormat="1" applyFont="1" applyFill="1" applyBorder="1" applyAlignment="1">
      <x:alignment horizontal="left" vertical="center" wrapText="1"/>
    </x:xf>
    <x:xf numFmtId="0" fontId="25" fillId="39" borderId="90" xfId="0" applyNumberFormat="1" applyFont="1" applyFill="1" applyBorder="1" applyAlignment="1">
      <x:alignment horizontal="left" vertical="center" wrapText="1"/>
    </x:xf>
    <x:xf numFmtId="0" fontId="25" fillId="39" borderId="91" xfId="0" applyNumberFormat="1" applyFont="1" applyFill="1" applyBorder="1" applyAlignment="1">
      <x:alignment horizontal="left" vertical="center"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 fillId="36" borderId="86" xfId="0" applyNumberFormat="1" applyFont="1" applyFill="1" applyBorder="1" applyAlignment="1">
      <x:alignment horizontal="center" vertical="center" wrapText="1"/>
    </x:xf>
    <x:xf numFmtId="0" fontId="1" fillId="36" borderId="87" xfId="0" applyNumberFormat="1" applyFont="1" applyFill="1" applyBorder="1" applyAlignment="1">
      <x:alignment horizontal="center" vertical="center" wrapText="1"/>
    </x:xf>
    <x:xf numFmtId="0" fontId="1" fillId="36" borderId="88" xfId="0" applyNumberFormat="1" applyFont="1" applyFill="1" applyBorder="1" applyAlignment="1">
      <x:alignment horizontal="center" vertical="center" wrapText="1"/>
    </x:xf>
    <x:xf numFmtId="0" fontId="0" fillId="0" borderId="95" xfId="0" applyNumberFormat="1" applyFont="1" applyFill="1" applyBorder="1"/>
    <x:xf numFmtId="0" fontId="0" fillId="0" xfId="0" applyNumberFormat="1" applyFont="1" applyFill="1" applyBorder="0"/>
    <x:xf numFmtId="0" fontId="0" fillId="0" borderId="96" xfId="0" applyNumberFormat="1" applyFont="1" applyFill="1" applyBorder="1"/>
    <x:xf numFmtId="0" fontId="0" fillId="0" borderId="89" xfId="0" applyNumberFormat="1" applyFont="1" applyFill="1" applyBorder="1"/>
    <x:xf numFmtId="0" fontId="0" fillId="0" borderId="90" xfId="0" applyNumberFormat="1" applyFont="1" applyFill="1" applyBorder="1"/>
    <x:xf numFmtId="0" fontId="0" fillId="0" borderId="91" xfId="0" applyNumberFormat="1" applyFont="1" applyFill="1" applyBorder="1"/>
    <x:xf numFmtId="0" fontId="0" fillId="0" borderId="95" xfId="0" applyNumberFormat="1" applyFont="1" applyFill="1" applyBorder="1" applyAlignment="1">
      <x:alignment wrapText="1"/>
    </x:xf>
    <x:xf numFmtId="0" fontId="0" fillId="0" borderId="96" xfId="0" applyNumberFormat="1" applyFont="1" applyFill="1" applyBorder="1" applyAlignment="1">
      <x:alignment wrapText="1"/>
    </x:xf>
    <x:xf numFmtId="0" fontId="0" fillId="0" borderId="89" xfId="0" applyNumberFormat="1" applyFont="1" applyFill="1" applyBorder="1" applyAlignment="1">
      <x:alignment wrapText="1"/>
    </x:xf>
    <x:xf numFmtId="0" fontId="0" fillId="0" borderId="90" xfId="0" applyNumberFormat="1" applyFont="1" applyFill="1" applyBorder="1" applyAlignment="1">
      <x:alignment wrapText="1"/>
    </x:xf>
    <x:xf numFmtId="0" fontId="0" fillId="0" borderId="91" xfId="0" applyNumberFormat="1" applyFont="1" applyFill="1" applyBorder="1" applyAlignment="1">
      <x:alignment wrapText="1"/>
    </x:xf>
    <x:xf numFmtId="0" fontId="0" fillId="0" borderId="95" xfId="0" applyNumberFormat="1" applyFont="1" applyFill="1" applyBorder="1" applyAlignment="1">
      <x:alignment vertical="top" wrapText="1"/>
    </x:xf>
    <x:xf numFmtId="0" fontId="0" fillId="0" borderId="96" xfId="0" applyNumberFormat="1" applyFont="1" applyFill="1" applyBorder="1" applyAlignment="1">
      <x:alignment vertical="top" wrapText="1"/>
    </x:xf>
    <x:xf numFmtId="0" fontId="0" fillId="0" borderId="89" xfId="0" applyNumberFormat="1" applyFont="1" applyFill="1" applyBorder="1" applyAlignment="1">
      <x:alignment vertical="top" wrapText="1"/>
    </x:xf>
    <x:xf numFmtId="0" fontId="0" fillId="0" borderId="90" xfId="0" applyNumberFormat="1" applyFont="1" applyFill="1" applyBorder="1" applyAlignment="1">
      <x:alignment vertical="top" wrapText="1"/>
    </x:xf>
    <x:xf numFmtId="0" fontId="0" fillId="0" borderId="91" xfId="0" applyNumberFormat="1" applyFont="1" applyFill="1" applyBorder="1" applyAlignment="1">
      <x:alignment vertical="top" wrapText="1"/>
    </x:xf>
    <x:xf numFmtId="0" fontId="0" fillId="40" borderId="0" xfId="0" applyNumberFormat="1" applyFont="1" applyFill="1" applyBorder="1"/>
    <x:xf numFmtId="0" fontId="0" fillId="40" borderId="86" xfId="0" applyNumberFormat="1" applyFont="1" applyFill="1" applyBorder="1"/>
    <x:xf numFmtId="0" fontId="0" fillId="40" borderId="88" xfId="0" applyNumberFormat="1" applyFont="1" applyFill="1" applyBorder="1"/>
    <x:xf numFmtId="0" fontId="0" fillId="40" borderId="95" xfId="0" applyNumberFormat="1" applyFont="1" applyFill="1" applyBorder="1"/>
    <x:xf numFmtId="0" fontId="0" fillId="40" borderId="96" xfId="0" applyNumberFormat="1" applyFont="1" applyFill="1" applyBorder="1"/>
    <x:xf numFmtId="0" fontId="0" fillId="40" borderId="89" xfId="0" applyNumberFormat="1" applyFont="1" applyFill="1" applyBorder="1"/>
    <x:xf numFmtId="0" fontId="0" fillId="40" borderId="91" xfId="0" applyNumberFormat="1" applyFont="1" applyFill="1" applyBorder="1"/>
    <x:xf numFmtId="0" fontId="0" fillId="40" borderId="86" xfId="0" applyNumberFormat="1" applyFont="1" applyFill="1" applyBorder="1" applyAlignment="1">
      <x:alignment wrapText="1"/>
    </x:xf>
    <x:xf numFmtId="0" fontId="0" fillId="40" borderId="88" xfId="0" applyNumberFormat="1" applyFont="1" applyFill="1" applyBorder="1" applyAlignment="1">
      <x:alignment wrapText="1"/>
    </x:xf>
    <x:xf numFmtId="0" fontId="0" fillId="40" borderId="95" xfId="0" applyNumberFormat="1" applyFont="1" applyFill="1" applyBorder="1" applyAlignment="1">
      <x:alignment wrapText="1"/>
    </x:xf>
    <x:xf numFmtId="0" fontId="0" fillId="40" borderId="96" xfId="0" applyNumberFormat="1" applyFont="1" applyFill="1" applyBorder="1" applyAlignment="1">
      <x:alignment wrapText="1"/>
    </x:xf>
    <x:xf numFmtId="0" fontId="0" fillId="40" borderId="89" xfId="0" applyNumberFormat="1" applyFont="1" applyFill="1" applyBorder="1" applyAlignment="1">
      <x:alignment wrapText="1"/>
    </x:xf>
    <x:xf numFmtId="0" fontId="0" fillId="40" borderId="91" xfId="0" applyNumberFormat="1" applyFont="1" applyFill="1" applyBorder="1" applyAlignment="1">
      <x:alignment wrapText="1"/>
    </x:xf>
    <x:xf numFmtId="0" fontId="0" fillId="40" borderId="86" xfId="0" applyNumberFormat="1" applyFont="1" applyFill="1" applyBorder="1" applyAlignment="1">
      <x:alignment vertical="top" wrapText="1"/>
    </x:xf>
    <x:xf numFmtId="0" fontId="0" fillId="40" borderId="88" xfId="0" applyNumberFormat="1" applyFont="1" applyFill="1" applyBorder="1" applyAlignment="1">
      <x:alignment vertical="top" wrapText="1"/>
    </x:xf>
    <x:xf numFmtId="0" fontId="0" fillId="40" borderId="95" xfId="0" applyNumberFormat="1" applyFont="1" applyFill="1" applyBorder="1" applyAlignment="1">
      <x:alignment vertical="top" wrapText="1"/>
    </x:xf>
    <x:xf numFmtId="0" fontId="0" fillId="40" borderId="96" xfId="0" applyNumberFormat="1" applyFont="1" applyFill="1" applyBorder="1" applyAlignment="1">
      <x:alignment vertical="top" wrapText="1"/>
    </x:xf>
    <x:xf numFmtId="0" fontId="0" fillId="40" borderId="89" xfId="0" applyNumberFormat="1" applyFont="1" applyFill="1" applyBorder="1" applyAlignment="1">
      <x:alignment vertical="top" wrapText="1"/>
    </x:xf>
    <x:xf numFmtId="0" fontId="0" fillId="40" borderId="91" xfId="0" applyNumberFormat="1" applyFont="1" applyFill="1" applyBorder="1" applyAlignment="1">
      <x:alignment vertical="top" wrapText="1"/>
    </x:xf>
    <x:xf numFmtId="0" fontId="26" fillId="40" borderId="86" xfId="0" applyNumberFormat="1" applyFont="1" applyFill="1" applyBorder="1" applyAlignment="1">
      <x:alignment vertical="top" wrapText="1"/>
    </x:xf>
    <x:xf numFmtId="0" fontId="26" fillId="40" borderId="95" xfId="0" applyNumberFormat="1" applyFont="1" applyFill="1" applyBorder="1" applyAlignment="1">
      <x:alignment vertical="top" wrapText="1"/>
    </x:xf>
    <x:xf numFmtId="0" fontId="26" fillId="40" borderId="89" xfId="0" applyNumberFormat="1" applyFont="1" applyFill="1" applyBorder="1" applyAlignment="1">
      <x:alignment vertical="top" wrapText="1"/>
    </x:xf>
    <x:xf numFmtId="0" fontId="0" fillId="41" borderId="0" xfId="0" applyNumberFormat="1" applyFont="1" applyFill="1" applyBorder="1"/>
    <x:xf numFmtId="0" fontId="0" fillId="41" borderId="97" xfId="0" applyNumberFormat="1" applyFont="1" applyFill="1" applyBorder="1"/>
    <x:xf numFmtId="0" fontId="0" fillId="41" borderId="98" xfId="0" applyNumberFormat="1" applyFont="1" applyFill="1" applyBorder="1"/>
    <x:xf numFmtId="0" fontId="0" fillId="41" borderId="99" xfId="0" applyNumberFormat="1" applyFont="1" applyFill="1" applyBorder="1"/>
    <x:xf numFmtId="0" fontId="0" fillId="41" borderId="100" xfId="0" applyNumberFormat="1" applyFont="1" applyFill="1" applyBorder="1"/>
    <x:xf numFmtId="0" fontId="0" fillId="41" xfId="0" applyNumberFormat="1" applyFont="1" applyFill="1" applyBorder="0"/>
    <x:xf numFmtId="0" fontId="0" fillId="41" borderId="101" xfId="0" applyNumberFormat="1" applyFont="1" applyFill="1" applyBorder="1"/>
    <x:xf numFmtId="0" fontId="0" fillId="41" borderId="102" xfId="0" applyNumberFormat="1" applyFont="1" applyFill="1" applyBorder="1"/>
    <x:xf numFmtId="0" fontId="0" fillId="41" borderId="103" xfId="0" applyNumberFormat="1" applyFont="1" applyFill="1" applyBorder="1"/>
    <x:xf numFmtId="0" fontId="0" fillId="41" borderId="104" xfId="0" applyNumberFormat="1" applyFont="1" applyFill="1" applyBorder="1"/>
    <x:xf numFmtId="0" fontId="0" fillId="36" borderId="97" xfId="0" applyNumberFormat="1" applyFont="1" applyFill="1" applyBorder="1"/>
    <x:xf numFmtId="0" fontId="0" fillId="36" borderId="98" xfId="0" applyNumberFormat="1" applyFont="1" applyFill="1" applyBorder="1"/>
    <x:xf numFmtId="0" fontId="0" fillId="36" borderId="99" xfId="0" applyNumberFormat="1" applyFont="1" applyFill="1" applyBorder="1"/>
    <x:xf numFmtId="0" fontId="0" fillId="36" borderId="100" xfId="0" applyNumberFormat="1" applyFont="1" applyFill="1" applyBorder="1"/>
    <x:xf numFmtId="0" fontId="0" fillId="36" xfId="0" applyNumberFormat="1" applyFont="1" applyFill="1" applyBorder="0"/>
    <x:xf numFmtId="0" fontId="0" fillId="36" borderId="101" xfId="0" applyNumberFormat="1" applyFont="1" applyFill="1" applyBorder="1"/>
    <x:xf numFmtId="0" fontId="10" fillId="36" borderId="97" xfId="0" applyNumberFormat="1" applyFont="1" applyFill="1" applyBorder="1"/>
    <x:xf numFmtId="0" fontId="10" fillId="36" borderId="98" xfId="0" applyNumberFormat="1" applyFont="1" applyFill="1" applyBorder="1"/>
    <x:xf numFmtId="0" fontId="10" fillId="36" borderId="99" xfId="0" applyNumberFormat="1" applyFont="1" applyFill="1" applyBorder="1"/>
    <x:xf numFmtId="0" fontId="10" fillId="36" borderId="100" xfId="0" applyNumberFormat="1" applyFont="1" applyFill="1" applyBorder="1"/>
    <x:xf numFmtId="0" fontId="10" fillId="36" xfId="0" applyNumberFormat="1" applyFont="1" applyFill="1" applyBorder="0"/>
    <x:xf numFmtId="0" fontId="10" fillId="36" borderId="101" xfId="0" applyNumberFormat="1" applyFont="1" applyFill="1" applyBorder="1"/>
    <x:xf numFmtId="0" fontId="10" fillId="36" borderId="86" xfId="0" applyNumberFormat="1" applyFont="1" applyFill="1" applyBorder="1"/>
    <x:xf numFmtId="0" fontId="10" fillId="36" borderId="87" xfId="0" applyNumberFormat="1" applyFont="1" applyFill="1" applyBorder="1"/>
    <x:xf numFmtId="0" fontId="10" fillId="36" borderId="88" xfId="0" applyNumberFormat="1" applyFont="1" applyFill="1" applyBorder="1"/>
    <x:xf numFmtId="0" fontId="10" fillId="36" borderId="95" xfId="0" applyNumberFormat="1" applyFont="1" applyFill="1" applyBorder="1"/>
    <x:xf numFmtId="0" fontId="10" fillId="36" borderId="96" xfId="0" applyNumberFormat="1" applyFont="1" applyFill="1" applyBorder="1"/>
    <x:xf numFmtId="0" fontId="10" fillId="36" borderId="89" xfId="0" applyNumberFormat="1" applyFont="1" applyFill="1" applyBorder="1"/>
    <x:xf numFmtId="0" fontId="10" fillId="36" borderId="90" xfId="0" applyNumberFormat="1" applyFont="1" applyFill="1" applyBorder="1"/>
    <x:xf numFmtId="0" fontId="10" fillId="36" borderId="91" xfId="0" applyNumberFormat="1" applyFont="1" applyFill="1" applyBorder="1"/>
    <x:xf numFmtId="0" fontId="10" fillId="36" borderId="86" xfId="0" applyNumberFormat="1" applyFont="1" applyFill="1" applyBorder="1" applyAlignment="1">
      <x:alignment wrapText="1"/>
    </x:xf>
    <x:xf numFmtId="0" fontId="10" fillId="36" borderId="87" xfId="0" applyNumberFormat="1" applyFont="1" applyFill="1" applyBorder="1" applyAlignment="1">
      <x:alignment wrapText="1"/>
    </x:xf>
    <x:xf numFmtId="0" fontId="10" fillId="36" borderId="88" xfId="0" applyNumberFormat="1" applyFont="1" applyFill="1" applyBorder="1" applyAlignment="1">
      <x:alignment wrapText="1"/>
    </x:xf>
    <x:xf numFmtId="0" fontId="10" fillId="36" borderId="95" xfId="0" applyNumberFormat="1" applyFont="1" applyFill="1" applyBorder="1" applyAlignment="1">
      <x:alignment wrapText="1"/>
    </x:xf>
    <x:xf numFmtId="0" fontId="10" fillId="36" xfId="0" applyNumberFormat="1" applyFont="1" applyFill="1" applyBorder="0" applyAlignment="1">
      <x:alignment wrapText="1"/>
    </x:xf>
    <x:xf numFmtId="0" fontId="10" fillId="36" borderId="96" xfId="0" applyNumberFormat="1" applyFont="1" applyFill="1" applyBorder="1" applyAlignment="1">
      <x:alignment wrapText="1"/>
    </x:xf>
    <x:xf numFmtId="0" fontId="10" fillId="36" borderId="89" xfId="0" applyNumberFormat="1" applyFont="1" applyFill="1" applyBorder="1" applyAlignment="1">
      <x:alignment wrapText="1"/>
    </x:xf>
    <x:xf numFmtId="0" fontId="10" fillId="36" borderId="90" xfId="0" applyNumberFormat="1" applyFont="1" applyFill="1" applyBorder="1" applyAlignment="1">
      <x:alignment wrapText="1"/>
    </x:xf>
    <x:xf numFmtId="0" fontId="10" fillId="36" borderId="91" xfId="0" applyNumberFormat="1" applyFont="1" applyFill="1" applyBorder="1" applyAlignment="1">
      <x:alignment wrapText="1"/>
    </x:xf>
    <x:xf numFmtId="0" fontId="10" fillId="36" borderId="86" xfId="0" applyNumberFormat="1" applyFont="1" applyFill="1" applyBorder="1" applyAlignment="1">
      <x:alignment horizontal="center" wrapText="1"/>
    </x:xf>
    <x:xf numFmtId="0" fontId="10" fillId="36" borderId="87" xfId="0" applyNumberFormat="1" applyFont="1" applyFill="1" applyBorder="1" applyAlignment="1">
      <x:alignment horizontal="center" wrapText="1"/>
    </x:xf>
    <x:xf numFmtId="0" fontId="10" fillId="36" borderId="88" xfId="0" applyNumberFormat="1" applyFont="1" applyFill="1" applyBorder="1" applyAlignment="1">
      <x:alignment horizontal="center" wrapText="1"/>
    </x:xf>
    <x:xf numFmtId="0" fontId="10" fillId="36" borderId="95" xfId="0" applyNumberFormat="1" applyFont="1" applyFill="1" applyBorder="1" applyAlignment="1">
      <x:alignment horizontal="center" wrapText="1"/>
    </x:xf>
    <x:xf numFmtId="0" fontId="10" fillId="36" xfId="0" applyNumberFormat="1" applyFont="1" applyFill="1" applyBorder="0" applyAlignment="1">
      <x:alignment horizontal="center" wrapText="1"/>
    </x:xf>
    <x:xf numFmtId="0" fontId="10" fillId="36" borderId="96" xfId="0" applyNumberFormat="1" applyFont="1" applyFill="1" applyBorder="1" applyAlignment="1">
      <x:alignment horizontal="center" wrapText="1"/>
    </x:xf>
    <x:xf numFmtId="0" fontId="10" fillId="36" borderId="89" xfId="0" applyNumberFormat="1" applyFont="1" applyFill="1" applyBorder="1" applyAlignment="1">
      <x:alignment horizontal="center" wrapText="1"/>
    </x:xf>
    <x:xf numFmtId="0" fontId="10" fillId="36" borderId="90" xfId="0" applyNumberFormat="1" applyFont="1" applyFill="1" applyBorder="1" applyAlignment="1">
      <x:alignment horizontal="center" wrapText="1"/>
    </x:xf>
    <x:xf numFmtId="0" fontId="10" fillId="36" borderId="91" xfId="0" applyNumberFormat="1" applyFont="1" applyFill="1" applyBorder="1" applyAlignment="1">
      <x:alignment horizontal="center" wrapText="1"/>
    </x:xf>
    <x:xf numFmtId="0" fontId="10" fillId="36" borderId="86" xfId="0" applyNumberFormat="1" applyFont="1" applyFill="1" applyBorder="1" applyAlignment="1">
      <x:alignment horizontal="center" vertical="center" wrapText="1"/>
    </x:xf>
    <x:xf numFmtId="0" fontId="10" fillId="36" borderId="87" xfId="0" applyNumberFormat="1" applyFont="1" applyFill="1" applyBorder="1" applyAlignment="1">
      <x:alignment horizontal="center" vertical="center" wrapText="1"/>
    </x:xf>
    <x:xf numFmtId="0" fontId="10" fillId="36" borderId="88" xfId="0" applyNumberFormat="1" applyFont="1" applyFill="1" applyBorder="1" applyAlignment="1">
      <x:alignment horizontal="center" vertical="center" wrapText="1"/>
    </x:xf>
    <x:xf numFmtId="0" fontId="10" fillId="36" borderId="95" xfId="0" applyNumberFormat="1" applyFont="1" applyFill="1" applyBorder="1" applyAlignment="1">
      <x:alignment horizontal="center" vertical="center" wrapText="1"/>
    </x:xf>
    <x:xf numFmtId="0" fontId="10" fillId="36" xfId="0" applyNumberFormat="1" applyFont="1" applyFill="1" applyBorder="0" applyAlignment="1">
      <x:alignment horizontal="center" vertical="center" wrapText="1"/>
    </x:xf>
    <x:xf numFmtId="0" fontId="10" fillId="36" borderId="96" xfId="0" applyNumberFormat="1" applyFont="1" applyFill="1" applyBorder="1" applyAlignment="1">
      <x:alignment horizontal="center" vertical="center" wrapText="1"/>
    </x:xf>
    <x:xf numFmtId="0" fontId="10" fillId="36" borderId="89" xfId="0" applyNumberFormat="1" applyFont="1" applyFill="1" applyBorder="1" applyAlignment="1">
      <x:alignment horizontal="center" vertical="center" wrapText="1"/>
    </x:xf>
    <x:xf numFmtId="0" fontId="10" fillId="36" borderId="90" xfId="0" applyNumberFormat="1" applyFont="1" applyFill="1" applyBorder="1" applyAlignment="1">
      <x:alignment horizontal="center" vertical="center" wrapText="1"/>
    </x:xf>
    <x:xf numFmtId="0" fontId="10" fillId="36" borderId="91" xfId="0" applyNumberFormat="1" applyFont="1" applyFill="1" applyBorder="1" applyAlignment="1">
      <x:alignment horizontal="center" vertical="center" wrapText="1"/>
    </x:xf>
    <x:xf numFmtId="0" fontId="27" fillId="41" borderId="100" xfId="0" applyNumberFormat="1" applyFont="1" applyFill="1" applyBorder="1"/>
    <x:xf numFmtId="0" fontId="27" fillId="41" xfId="0" applyNumberFormat="1" applyFont="1" applyFill="1" applyBorder="0"/>
    <x:xf numFmtId="0" fontId="27" fillId="41" borderId="101" xfId="0" applyNumberFormat="1" applyFont="1" applyFill="1" applyBorder="1"/>
    <x:xf numFmtId="0" fontId="27" fillId="41" borderId="86" xfId="0" applyNumberFormat="1" applyFont="1" applyFill="1" applyBorder="1"/>
    <x:xf numFmtId="0" fontId="27" fillId="41" borderId="87" xfId="0" applyNumberFormat="1" applyFont="1" applyFill="1" applyBorder="1"/>
    <x:xf numFmtId="0" fontId="27" fillId="41" borderId="88" xfId="0" applyNumberFormat="1" applyFont="1" applyFill="1" applyBorder="1"/>
    <x:xf numFmtId="0" fontId="27" fillId="41" borderId="89" xfId="0" applyNumberFormat="1" applyFont="1" applyFill="1" applyBorder="1"/>
    <x:xf numFmtId="0" fontId="27" fillId="41" borderId="90" xfId="0" applyNumberFormat="1" applyFont="1" applyFill="1" applyBorder="1"/>
    <x:xf numFmtId="0" fontId="27" fillId="41" borderId="91" xfId="0" applyNumberFormat="1" applyFont="1" applyFill="1" applyBorder="1"/>
    <x:xf numFmtId="0" fontId="27" fillId="41" borderId="86" xfId="0" applyNumberFormat="1" applyFont="1" applyFill="1" applyBorder="1" applyAlignment="1">
      <x:alignment wrapText="1"/>
    </x:xf>
    <x:xf numFmtId="0" fontId="27" fillId="41" borderId="87" xfId="0" applyNumberFormat="1" applyFont="1" applyFill="1" applyBorder="1" applyAlignment="1">
      <x:alignment wrapText="1"/>
    </x:xf>
    <x:xf numFmtId="0" fontId="27" fillId="41" borderId="88" xfId="0" applyNumberFormat="1" applyFont="1" applyFill="1" applyBorder="1" applyAlignment="1">
      <x:alignment wrapText="1"/>
    </x:xf>
    <x:xf numFmtId="0" fontId="27" fillId="41" borderId="89" xfId="0" applyNumberFormat="1" applyFont="1" applyFill="1" applyBorder="1" applyAlignment="1">
      <x:alignment wrapText="1"/>
    </x:xf>
    <x:xf numFmtId="0" fontId="27" fillId="41" borderId="90" xfId="0" applyNumberFormat="1" applyFont="1" applyFill="1" applyBorder="1" applyAlignment="1">
      <x:alignment wrapText="1"/>
    </x:xf>
    <x:xf numFmtId="0" fontId="27" fillId="41" borderId="91" xfId="0" applyNumberFormat="1" applyFont="1" applyFill="1" applyBorder="1" applyAlignment="1">
      <x:alignment wrapText="1"/>
    </x:xf>
    <x:xf numFmtId="0" fontId="27" fillId="41" borderId="86" xfId="0" applyNumberFormat="1" applyFont="1" applyFill="1" applyBorder="1" applyAlignment="1">
      <x:alignment horizontal="left" wrapText="1"/>
    </x:xf>
    <x:xf numFmtId="0" fontId="27" fillId="41" borderId="87" xfId="0" applyNumberFormat="1" applyFont="1" applyFill="1" applyBorder="1" applyAlignment="1">
      <x:alignment horizontal="left" wrapText="1"/>
    </x:xf>
    <x:xf numFmtId="0" fontId="27" fillId="41" borderId="88" xfId="0" applyNumberFormat="1" applyFont="1" applyFill="1" applyBorder="1" applyAlignment="1">
      <x:alignment horizontal="left" wrapText="1"/>
    </x:xf>
    <x:xf numFmtId="0" fontId="27" fillId="41" borderId="89" xfId="0" applyNumberFormat="1" applyFont="1" applyFill="1" applyBorder="1" applyAlignment="1">
      <x:alignment horizontal="left" wrapText="1"/>
    </x:xf>
    <x:xf numFmtId="0" fontId="27" fillId="41" borderId="90" xfId="0" applyNumberFormat="1" applyFont="1" applyFill="1" applyBorder="1" applyAlignment="1">
      <x:alignment horizontal="left" wrapText="1"/>
    </x:xf>
    <x:xf numFmtId="0" fontId="27" fillId="41" borderId="91" xfId="0" applyNumberFormat="1" applyFont="1" applyFill="1" applyBorder="1" applyAlignment="1">
      <x:alignment horizontal="left" wrapText="1"/>
    </x:xf>
    <x:xf numFmtId="0" fontId="27" fillId="41" borderId="86" xfId="0" applyNumberFormat="1" applyFont="1" applyFill="1" applyBorder="1" applyAlignment="1">
      <x:alignment horizontal="left" vertical="center" wrapText="1"/>
    </x:xf>
    <x:xf numFmtId="0" fontId="27" fillId="41" borderId="87" xfId="0" applyNumberFormat="1" applyFont="1" applyFill="1" applyBorder="1" applyAlignment="1">
      <x:alignment horizontal="left" vertical="center" wrapText="1"/>
    </x:xf>
    <x:xf numFmtId="0" fontId="27" fillId="41" borderId="88" xfId="0" applyNumberFormat="1" applyFont="1" applyFill="1" applyBorder="1" applyAlignment="1">
      <x:alignment horizontal="left" vertical="center" wrapText="1"/>
    </x:xf>
    <x:xf numFmtId="0" fontId="27" fillId="41" borderId="89" xfId="0" applyNumberFormat="1" applyFont="1" applyFill="1" applyBorder="1" applyAlignment="1">
      <x:alignment horizontal="left" vertical="center" wrapText="1"/>
    </x:xf>
    <x:xf numFmtId="0" fontId="27" fillId="41" borderId="90" xfId="0" applyNumberFormat="1" applyFont="1" applyFill="1" applyBorder="1" applyAlignment="1">
      <x:alignment horizontal="left" vertical="center" wrapText="1"/>
    </x:xf>
    <x:xf numFmtId="0" fontId="27" fillId="41" borderId="91" xfId="0" applyNumberFormat="1" applyFont="1" applyFill="1" applyBorder="1" applyAlignment="1">
      <x:alignment horizontal="left" vertical="center" wrapText="1"/>
    </x:xf>
    <x:xf numFmtId="0" fontId="28" fillId="41" borderId="100" xfId="0" applyNumberFormat="1" applyFont="1" applyFill="1" applyBorder="1"/>
    <x:xf numFmtId="0" fontId="28" fillId="41" xfId="0" applyNumberFormat="1" applyFont="1" applyFill="1" applyBorder="0"/>
    <x:xf numFmtId="0" fontId="28" fillId="41" borderId="86" xfId="0" applyNumberFormat="1" applyFont="1" applyFill="1" applyBorder="1"/>
    <x:xf numFmtId="0" fontId="28" fillId="41" borderId="87" xfId="0" applyNumberFormat="1" applyFont="1" applyFill="1" applyBorder="1"/>
    <x:xf numFmtId="0" fontId="28" fillId="41" borderId="88" xfId="0" applyNumberFormat="1" applyFont="1" applyFill="1" applyBorder="1"/>
    <x:xf numFmtId="0" fontId="28" fillId="41" borderId="95" xfId="0" applyNumberFormat="1" applyFont="1" applyFill="1" applyBorder="1"/>
    <x:xf numFmtId="0" fontId="28" fillId="41" borderId="96" xfId="0" applyNumberFormat="1" applyFont="1" applyFill="1" applyBorder="1"/>
    <x:xf numFmtId="0" fontId="28" fillId="41" borderId="89" xfId="0" applyNumberFormat="1" applyFont="1" applyFill="1" applyBorder="1"/>
    <x:xf numFmtId="0" fontId="28" fillId="41" borderId="90" xfId="0" applyNumberFormat="1" applyFont="1" applyFill="1" applyBorder="1"/>
    <x:xf numFmtId="0" fontId="28" fillId="41" borderId="91" xfId="0" applyNumberFormat="1" applyFont="1" applyFill="1" applyBorder="1"/>
    <x:xf numFmtId="0" fontId="28" fillId="41" borderId="86" xfId="0" applyNumberFormat="1" applyFont="1" applyFill="1" applyBorder="1" applyAlignment="1">
      <x:alignment wrapText="1"/>
    </x:xf>
    <x:xf numFmtId="0" fontId="28" fillId="41" borderId="87" xfId="0" applyNumberFormat="1" applyFont="1" applyFill="1" applyBorder="1" applyAlignment="1">
      <x:alignment wrapText="1"/>
    </x:xf>
    <x:xf numFmtId="0" fontId="28" fillId="41" borderId="88" xfId="0" applyNumberFormat="1" applyFont="1" applyFill="1" applyBorder="1" applyAlignment="1">
      <x:alignment wrapText="1"/>
    </x:xf>
    <x:xf numFmtId="0" fontId="28" fillId="41" borderId="95" xfId="0" applyNumberFormat="1" applyFont="1" applyFill="1" applyBorder="1" applyAlignment="1">
      <x:alignment wrapText="1"/>
    </x:xf>
    <x:xf numFmtId="0" fontId="28" fillId="41" xfId="0" applyNumberFormat="1" applyFont="1" applyFill="1" applyBorder="0" applyAlignment="1">
      <x:alignment wrapText="1"/>
    </x:xf>
    <x:xf numFmtId="0" fontId="28" fillId="41" borderId="96" xfId="0" applyNumberFormat="1" applyFont="1" applyFill="1" applyBorder="1" applyAlignment="1">
      <x:alignment wrapText="1"/>
    </x:xf>
    <x:xf numFmtId="0" fontId="28" fillId="41" borderId="89" xfId="0" applyNumberFormat="1" applyFont="1" applyFill="1" applyBorder="1" applyAlignment="1">
      <x:alignment wrapText="1"/>
    </x:xf>
    <x:xf numFmtId="0" fontId="28" fillId="41" borderId="90" xfId="0" applyNumberFormat="1" applyFont="1" applyFill="1" applyBorder="1" applyAlignment="1">
      <x:alignment wrapText="1"/>
    </x:xf>
    <x:xf numFmtId="0" fontId="28" fillId="41" borderId="91" xfId="0" applyNumberFormat="1" applyFont="1" applyFill="1" applyBorder="1" applyAlignment="1">
      <x:alignment wrapText="1"/>
    </x:xf>
    <x:xf numFmtId="0" fontId="28" fillId="41" borderId="86" xfId="0" applyNumberFormat="1" applyFont="1" applyFill="1" applyBorder="1" applyAlignment="1">
      <x:alignment horizontal="left" wrapText="1"/>
    </x:xf>
    <x:xf numFmtId="0" fontId="28" fillId="41" borderId="87" xfId="0" applyNumberFormat="1" applyFont="1" applyFill="1" applyBorder="1" applyAlignment="1">
      <x:alignment horizontal="left" wrapText="1"/>
    </x:xf>
    <x:xf numFmtId="0" fontId="28" fillId="41" borderId="88" xfId="0" applyNumberFormat="1" applyFont="1" applyFill="1" applyBorder="1" applyAlignment="1">
      <x:alignment horizontal="left" wrapText="1"/>
    </x:xf>
    <x:xf numFmtId="0" fontId="28" fillId="41" borderId="95" xfId="0" applyNumberFormat="1" applyFont="1" applyFill="1" applyBorder="1" applyAlignment="1">
      <x:alignment horizontal="left" wrapText="1"/>
    </x:xf>
    <x:xf numFmtId="0" fontId="28" fillId="41" xfId="0" applyNumberFormat="1" applyFont="1" applyFill="1" applyBorder="0" applyAlignment="1">
      <x:alignment horizontal="left" wrapText="1"/>
    </x:xf>
    <x:xf numFmtId="0" fontId="28" fillId="41" borderId="96" xfId="0" applyNumberFormat="1" applyFont="1" applyFill="1" applyBorder="1" applyAlignment="1">
      <x:alignment horizontal="left" wrapText="1"/>
    </x:xf>
    <x:xf numFmtId="0" fontId="28" fillId="41" borderId="89" xfId="0" applyNumberFormat="1" applyFont="1" applyFill="1" applyBorder="1" applyAlignment="1">
      <x:alignment horizontal="left" wrapText="1"/>
    </x:xf>
    <x:xf numFmtId="0" fontId="28" fillId="41" borderId="90" xfId="0" applyNumberFormat="1" applyFont="1" applyFill="1" applyBorder="1" applyAlignment="1">
      <x:alignment horizontal="left" wrapText="1"/>
    </x:xf>
    <x:xf numFmtId="0" fontId="28" fillId="41" borderId="91" xfId="0" applyNumberFormat="1" applyFont="1" applyFill="1" applyBorder="1" applyAlignment="1">
      <x:alignment horizontal="left" wrapText="1"/>
    </x:xf>
    <x:xf numFmtId="0" fontId="28" fillId="41" borderId="86" xfId="0" applyNumberFormat="1" applyFont="1" applyFill="1" applyBorder="1" applyAlignment="1">
      <x:alignment horizontal="left" vertical="center" wrapText="1"/>
    </x:xf>
    <x:xf numFmtId="0" fontId="28" fillId="41" borderId="87" xfId="0" applyNumberFormat="1" applyFont="1" applyFill="1" applyBorder="1" applyAlignment="1">
      <x:alignment horizontal="left" vertical="center" wrapText="1"/>
    </x:xf>
    <x:xf numFmtId="0" fontId="28" fillId="41" borderId="88" xfId="0" applyNumberFormat="1" applyFont="1" applyFill="1" applyBorder="1" applyAlignment="1">
      <x:alignment horizontal="left" vertical="center" wrapText="1"/>
    </x:xf>
    <x:xf numFmtId="0" fontId="28" fillId="41" borderId="95" xfId="0" applyNumberFormat="1" applyFont="1" applyFill="1" applyBorder="1" applyAlignment="1">
      <x:alignment horizontal="left" vertical="center" wrapText="1"/>
    </x:xf>
    <x:xf numFmtId="0" fontId="28" fillId="41" xfId="0" applyNumberFormat="1" applyFont="1" applyFill="1" applyBorder="0" applyAlignment="1">
      <x:alignment horizontal="left" vertical="center" wrapText="1"/>
    </x:xf>
    <x:xf numFmtId="0" fontId="28" fillId="41" borderId="96" xfId="0" applyNumberFormat="1" applyFont="1" applyFill="1" applyBorder="1" applyAlignment="1">
      <x:alignment horizontal="left" vertical="center" wrapText="1"/>
    </x:xf>
    <x:xf numFmtId="0" fontId="28" fillId="41" borderId="89" xfId="0" applyNumberFormat="1" applyFont="1" applyFill="1" applyBorder="1" applyAlignment="1">
      <x:alignment horizontal="left" vertical="center" wrapText="1"/>
    </x:xf>
    <x:xf numFmtId="0" fontId="28" fillId="41" borderId="90" xfId="0" applyNumberFormat="1" applyFont="1" applyFill="1" applyBorder="1" applyAlignment="1">
      <x:alignment horizontal="left" vertical="center" wrapText="1"/>
    </x:xf>
    <x:xf numFmtId="0" fontId="28" fillId="41" borderId="91" xfId="0" applyNumberFormat="1" applyFont="1" applyFill="1" applyBorder="1" applyAlignment="1">
      <x:alignment horizontal="left" vertical="center" wrapText="1"/>
    </x:xf>
    <x:xf numFmtId="0" fontId="0" fillId="39" xfId="0" applyNumberFormat="1" applyFont="1" applyFill="1" applyBorder="0"/>
    <x:xf numFmtId="0" fontId="0" fillId="39" borderId="101" xfId="0" applyNumberFormat="1" applyFont="1" applyFill="1" applyBorder="1"/>
    <x:xf numFmtId="0" fontId="7" fillId="39" xfId="0" applyNumberFormat="1" applyFont="1" applyFill="1" applyBorder="0"/>
    <x:xf numFmtId="0" fontId="7" fillId="39" borderId="101" xfId="0" applyNumberFormat="1" applyFont="1" applyFill="1" applyBorder="1"/>
    <x:xf numFmtId="0" fontId="7" fillId="39" borderId="86" xfId="0" applyNumberFormat="1" applyFont="1" applyFill="1" applyBorder="1"/>
    <x:xf numFmtId="0" fontId="7" fillId="39" borderId="87" xfId="0" applyNumberFormat="1" applyFont="1" applyFill="1" applyBorder="1"/>
    <x:xf numFmtId="0" fontId="7" fillId="39" borderId="88" xfId="0" applyNumberFormat="1" applyFont="1" applyFill="1" applyBorder="1"/>
    <x:xf numFmtId="0" fontId="7" fillId="39" borderId="95" xfId="0" applyNumberFormat="1" applyFont="1" applyFill="1" applyBorder="1"/>
    <x:xf numFmtId="0" fontId="7" fillId="39" borderId="96" xfId="0" applyNumberFormat="1" applyFont="1" applyFill="1" applyBorder="1"/>
    <x:xf numFmtId="0" fontId="7" fillId="39" borderId="89" xfId="0" applyNumberFormat="1" applyFont="1" applyFill="1" applyBorder="1"/>
    <x:xf numFmtId="0" fontId="7" fillId="39" borderId="90" xfId="0" applyNumberFormat="1" applyFont="1" applyFill="1" applyBorder="1"/>
    <x:xf numFmtId="0" fontId="7" fillId="39" borderId="91" xfId="0" applyNumberFormat="1" applyFont="1" applyFill="1" applyBorder="1"/>
    <x:xf numFmtId="0" fontId="7" fillId="39" borderId="86" xfId="0" applyNumberFormat="1" applyFont="1" applyFill="1" applyBorder="1" applyAlignment="1">
      <x:alignment wrapText="1"/>
    </x:xf>
    <x:xf numFmtId="0" fontId="7" fillId="39" borderId="87" xfId="0" applyNumberFormat="1" applyFont="1" applyFill="1" applyBorder="1" applyAlignment="1">
      <x:alignment wrapText="1"/>
    </x:xf>
    <x:xf numFmtId="0" fontId="7" fillId="39" borderId="88" xfId="0" applyNumberFormat="1" applyFont="1" applyFill="1" applyBorder="1" applyAlignment="1">
      <x:alignment wrapText="1"/>
    </x:xf>
    <x:xf numFmtId="0" fontId="7" fillId="39" borderId="95" xfId="0" applyNumberFormat="1" applyFont="1" applyFill="1" applyBorder="1" applyAlignment="1">
      <x:alignment wrapText="1"/>
    </x:xf>
    <x:xf numFmtId="0" fontId="7" fillId="39" xfId="0" applyNumberFormat="1" applyFont="1" applyFill="1" applyBorder="0" applyAlignment="1">
      <x:alignment wrapText="1"/>
    </x:xf>
    <x:xf numFmtId="0" fontId="7" fillId="39" borderId="96" xfId="0" applyNumberFormat="1" applyFont="1" applyFill="1" applyBorder="1" applyAlignment="1">
      <x:alignment wrapText="1"/>
    </x:xf>
    <x:xf numFmtId="0" fontId="7" fillId="39" borderId="89" xfId="0" applyNumberFormat="1" applyFont="1" applyFill="1" applyBorder="1" applyAlignment="1">
      <x:alignment wrapText="1"/>
    </x:xf>
    <x:xf numFmtId="0" fontId="7" fillId="39" borderId="90" xfId="0" applyNumberFormat="1" applyFont="1" applyFill="1" applyBorder="1" applyAlignment="1">
      <x:alignment wrapText="1"/>
    </x:xf>
    <x:xf numFmtId="0" fontId="7" fillId="39" borderId="91" xfId="0" applyNumberFormat="1" applyFont="1" applyFill="1" applyBorder="1" applyAlignment="1">
      <x:alignment wrapText="1"/>
    </x:xf>
    <x:xf numFmtId="0" fontId="7" fillId="39" borderId="86" xfId="0" applyNumberFormat="1" applyFont="1" applyFill="1" applyBorder="1" applyAlignment="1">
      <x:alignment horizontal="center" wrapText="1"/>
    </x:xf>
    <x:xf numFmtId="0" fontId="7" fillId="39" borderId="87" xfId="0" applyNumberFormat="1" applyFont="1" applyFill="1" applyBorder="1" applyAlignment="1">
      <x:alignment horizontal="center" wrapText="1"/>
    </x:xf>
    <x:xf numFmtId="0" fontId="7" fillId="39" borderId="88" xfId="0" applyNumberFormat="1" applyFont="1" applyFill="1" applyBorder="1" applyAlignment="1">
      <x:alignment horizontal="center" wrapText="1"/>
    </x:xf>
    <x:xf numFmtId="0" fontId="7" fillId="39" borderId="95" xfId="0" applyNumberFormat="1" applyFont="1" applyFill="1" applyBorder="1" applyAlignment="1">
      <x:alignment horizontal="center" wrapText="1"/>
    </x:xf>
    <x:xf numFmtId="0" fontId="7" fillId="39" xfId="0" applyNumberFormat="1" applyFont="1" applyFill="1" applyBorder="0" applyAlignment="1">
      <x:alignment horizontal="center" wrapText="1"/>
    </x:xf>
    <x:xf numFmtId="0" fontId="7" fillId="39" borderId="96" xfId="0" applyNumberFormat="1" applyFont="1" applyFill="1" applyBorder="1" applyAlignment="1">
      <x:alignment horizontal="center" wrapText="1"/>
    </x:xf>
    <x:xf numFmtId="0" fontId="7" fillId="39" borderId="89" xfId="0" applyNumberFormat="1" applyFont="1" applyFill="1" applyBorder="1" applyAlignment="1">
      <x:alignment horizontal="center" wrapText="1"/>
    </x:xf>
    <x:xf numFmtId="0" fontId="7" fillId="39" borderId="90" xfId="0" applyNumberFormat="1" applyFont="1" applyFill="1" applyBorder="1" applyAlignment="1">
      <x:alignment horizontal="center" wrapText="1"/>
    </x:xf>
    <x:xf numFmtId="0" fontId="7" fillId="39" borderId="91" xfId="0" applyNumberFormat="1" applyFont="1" applyFill="1" applyBorder="1" applyAlignment="1">
      <x:alignment horizontal="center" wrapText="1"/>
    </x:xf>
    <x:xf numFmtId="0" fontId="7" fillId="39" borderId="86" xfId="0" applyNumberFormat="1" applyFont="1" applyFill="1" applyBorder="1" applyAlignment="1">
      <x:alignment horizontal="center" vertical="center" wrapText="1"/>
    </x:xf>
    <x:xf numFmtId="0" fontId="7" fillId="39" borderId="87" xfId="0" applyNumberFormat="1" applyFont="1" applyFill="1" applyBorder="1" applyAlignment="1">
      <x:alignment horizontal="center" vertical="center" wrapText="1"/>
    </x:xf>
    <x:xf numFmtId="0" fontId="7" fillId="39" borderId="88" xfId="0" applyNumberFormat="1" applyFont="1" applyFill="1" applyBorder="1" applyAlignment="1">
      <x:alignment horizontal="center" vertical="center" wrapText="1"/>
    </x:xf>
    <x:xf numFmtId="0" fontId="7" fillId="39" borderId="95" xfId="0" applyNumberFormat="1" applyFont="1" applyFill="1" applyBorder="1" applyAlignment="1">
      <x:alignment horizontal="center" vertical="center" wrapText="1"/>
    </x:xf>
    <x:xf numFmtId="0" fontId="7" fillId="39" xfId="0" applyNumberFormat="1" applyFont="1" applyFill="1" applyBorder="0" applyAlignment="1">
      <x:alignment horizontal="center" vertical="center" wrapText="1"/>
    </x:xf>
    <x:xf numFmtId="0" fontId="7" fillId="39" borderId="96" xfId="0" applyNumberFormat="1" applyFont="1" applyFill="1" applyBorder="1" applyAlignment="1">
      <x:alignment horizontal="center" vertical="center" wrapText="1"/>
    </x:xf>
    <x:xf numFmtId="0" fontId="7" fillId="39" borderId="89" xfId="0" applyNumberFormat="1" applyFont="1" applyFill="1" applyBorder="1" applyAlignment="1">
      <x:alignment horizontal="center" vertical="center" wrapText="1"/>
    </x:xf>
    <x:xf numFmtId="0" fontId="7" fillId="39" borderId="90" xfId="0" applyNumberFormat="1" applyFont="1" applyFill="1" applyBorder="1" applyAlignment="1">
      <x:alignment horizontal="center" vertical="center" wrapText="1"/>
    </x:xf>
    <x:xf numFmtId="0" fontId="7" fillId="39" borderId="91" xfId="0" applyNumberFormat="1" applyFont="1" applyFill="1" applyBorder="1" applyAlignment="1">
      <x:alignment horizontal="center" vertical="center" wrapText="1"/>
    </x:xf>
    <x:xf numFmtId="0" fontId="0" fillId="40" borderId="100" xfId="0" applyNumberFormat="1" applyFont="1" applyFill="1" applyBorder="1"/>
    <x:xf numFmtId="0" fontId="0" fillId="40" xfId="0" applyNumberFormat="1" applyFont="1" applyFill="1" applyBorder="0"/>
    <x:xf numFmtId="0" fontId="0" fillId="40" borderId="101" xfId="0" applyNumberFormat="1" applyFont="1" applyFill="1" applyBorder="1"/>
    <x:xf numFmtId="0" fontId="14" fillId="40" borderId="100" xfId="0" applyNumberFormat="1" applyFont="1" applyFill="1" applyBorder="1"/>
    <x:xf numFmtId="0" fontId="14" fillId="40" xfId="0" applyNumberFormat="1" applyFont="1" applyFill="1" applyBorder="0"/>
    <x:xf numFmtId="0" fontId="14" fillId="40" borderId="101" xfId="0" applyNumberFormat="1" applyFont="1" applyFill="1" applyBorder="1"/>
    <x:xf numFmtId="0" fontId="14" fillId="40" borderId="86" xfId="0" applyNumberFormat="1" applyFont="1" applyFill="1" applyBorder="1"/>
    <x:xf numFmtId="0" fontId="14" fillId="40" borderId="87" xfId="0" applyNumberFormat="1" applyFont="1" applyFill="1" applyBorder="1"/>
    <x:xf numFmtId="0" fontId="14" fillId="40" borderId="88" xfId="0" applyNumberFormat="1" applyFont="1" applyFill="1" applyBorder="1"/>
    <x:xf numFmtId="0" fontId="14" fillId="40" borderId="95" xfId="0" applyNumberFormat="1" applyFont="1" applyFill="1" applyBorder="1"/>
    <x:xf numFmtId="0" fontId="14" fillId="40" borderId="96" xfId="0" applyNumberFormat="1" applyFont="1" applyFill="1" applyBorder="1"/>
    <x:xf numFmtId="0" fontId="14" fillId="40" borderId="89" xfId="0" applyNumberFormat="1" applyFont="1" applyFill="1" applyBorder="1"/>
    <x:xf numFmtId="0" fontId="14" fillId="40" borderId="90" xfId="0" applyNumberFormat="1" applyFont="1" applyFill="1" applyBorder="1"/>
    <x:xf numFmtId="0" fontId="14" fillId="40" borderId="91" xfId="0" applyNumberFormat="1" applyFont="1" applyFill="1" applyBorder="1"/>
    <x:xf numFmtId="0" fontId="14" fillId="40" borderId="86" xfId="0" applyNumberFormat="1" applyFont="1" applyFill="1" applyBorder="1" applyAlignment="1">
      <x:alignment wrapText="1"/>
    </x:xf>
    <x:xf numFmtId="0" fontId="14" fillId="40" borderId="87" xfId="0" applyNumberFormat="1" applyFont="1" applyFill="1" applyBorder="1" applyAlignment="1">
      <x:alignment wrapText="1"/>
    </x:xf>
    <x:xf numFmtId="0" fontId="14" fillId="40" borderId="88" xfId="0" applyNumberFormat="1" applyFont="1" applyFill="1" applyBorder="1" applyAlignment="1">
      <x:alignment wrapText="1"/>
    </x:xf>
    <x:xf numFmtId="0" fontId="14" fillId="40" borderId="95" xfId="0" applyNumberFormat="1" applyFont="1" applyFill="1" applyBorder="1" applyAlignment="1">
      <x:alignment wrapText="1"/>
    </x:xf>
    <x:xf numFmtId="0" fontId="14" fillId="40" xfId="0" applyNumberFormat="1" applyFont="1" applyFill="1" applyBorder="0" applyAlignment="1">
      <x:alignment wrapText="1"/>
    </x:xf>
    <x:xf numFmtId="0" fontId="14" fillId="40" borderId="96" xfId="0" applyNumberFormat="1" applyFont="1" applyFill="1" applyBorder="1" applyAlignment="1">
      <x:alignment wrapText="1"/>
    </x:xf>
    <x:xf numFmtId="0" fontId="14" fillId="40" borderId="89" xfId="0" applyNumberFormat="1" applyFont="1" applyFill="1" applyBorder="1" applyAlignment="1">
      <x:alignment wrapText="1"/>
    </x:xf>
    <x:xf numFmtId="0" fontId="14" fillId="40" borderId="90" xfId="0" applyNumberFormat="1" applyFont="1" applyFill="1" applyBorder="1" applyAlignment="1">
      <x:alignment wrapText="1"/>
    </x:xf>
    <x:xf numFmtId="0" fontId="14" fillId="40" borderId="91" xfId="0" applyNumberFormat="1" applyFont="1" applyFill="1" applyBorder="1" applyAlignment="1">
      <x:alignment wrapText="1"/>
    </x:xf>
    <x:xf numFmtId="0" fontId="14" fillId="40" borderId="86" xfId="0" applyNumberFormat="1" applyFont="1" applyFill="1" applyBorder="1" applyAlignment="1">
      <x:alignment horizontal="center" wrapText="1"/>
    </x:xf>
    <x:xf numFmtId="0" fontId="14" fillId="40" borderId="87" xfId="0" applyNumberFormat="1" applyFont="1" applyFill="1" applyBorder="1" applyAlignment="1">
      <x:alignment horizontal="center" wrapText="1"/>
    </x:xf>
    <x:xf numFmtId="0" fontId="14" fillId="40" borderId="88" xfId="0" applyNumberFormat="1" applyFont="1" applyFill="1" applyBorder="1" applyAlignment="1">
      <x:alignment horizontal="center" wrapText="1"/>
    </x:xf>
    <x:xf numFmtId="0" fontId="14" fillId="40" borderId="95" xfId="0" applyNumberFormat="1" applyFont="1" applyFill="1" applyBorder="1" applyAlignment="1">
      <x:alignment horizontal="center" wrapText="1"/>
    </x:xf>
    <x:xf numFmtId="0" fontId="14" fillId="40" xfId="0" applyNumberFormat="1" applyFont="1" applyFill="1" applyBorder="0" applyAlignment="1">
      <x:alignment horizontal="center" wrapText="1"/>
    </x:xf>
    <x:xf numFmtId="0" fontId="14" fillId="40" borderId="96" xfId="0" applyNumberFormat="1" applyFont="1" applyFill="1" applyBorder="1" applyAlignment="1">
      <x:alignment horizontal="center" wrapText="1"/>
    </x:xf>
    <x:xf numFmtId="0" fontId="14" fillId="40" borderId="89" xfId="0" applyNumberFormat="1" applyFont="1" applyFill="1" applyBorder="1" applyAlignment="1">
      <x:alignment horizontal="center" wrapText="1"/>
    </x:xf>
    <x:xf numFmtId="0" fontId="14" fillId="40" borderId="90" xfId="0" applyNumberFormat="1" applyFont="1" applyFill="1" applyBorder="1" applyAlignment="1">
      <x:alignment horizontal="center" wrapText="1"/>
    </x:xf>
    <x:xf numFmtId="0" fontId="14" fillId="40" borderId="91" xfId="0" applyNumberFormat="1" applyFont="1" applyFill="1" applyBorder="1" applyAlignment="1">
      <x:alignment horizontal="center" wrapText="1"/>
    </x:xf>
    <x:xf numFmtId="0" fontId="14" fillId="40" borderId="86" xfId="0" applyNumberFormat="1" applyFont="1" applyFill="1" applyBorder="1" applyAlignment="1">
      <x:alignment horizontal="center" vertical="center" wrapText="1"/>
    </x:xf>
    <x:xf numFmtId="0" fontId="14" fillId="40" borderId="87" xfId="0" applyNumberFormat="1" applyFont="1" applyFill="1" applyBorder="1" applyAlignment="1">
      <x:alignment horizontal="center" vertical="center" wrapText="1"/>
    </x:xf>
    <x:xf numFmtId="0" fontId="14" fillId="40" borderId="88" xfId="0" applyNumberFormat="1" applyFont="1" applyFill="1" applyBorder="1" applyAlignment="1">
      <x:alignment horizontal="center" vertical="center" wrapText="1"/>
    </x:xf>
    <x:xf numFmtId="0" fontId="14" fillId="40" borderId="95" xfId="0" applyNumberFormat="1" applyFont="1" applyFill="1" applyBorder="1" applyAlignment="1">
      <x:alignment horizontal="center" vertical="center" wrapText="1"/>
    </x:xf>
    <x:xf numFmtId="0" fontId="14" fillId="40" xfId="0" applyNumberFormat="1" applyFont="1" applyFill="1" applyBorder="0" applyAlignment="1">
      <x:alignment horizontal="center" vertical="center" wrapText="1"/>
    </x:xf>
    <x:xf numFmtId="0" fontId="14" fillId="40" borderId="96" xfId="0" applyNumberFormat="1" applyFont="1" applyFill="1" applyBorder="1" applyAlignment="1">
      <x:alignment horizontal="center" vertical="center" wrapText="1"/>
    </x:xf>
    <x:xf numFmtId="0" fontId="14" fillId="40" borderId="89" xfId="0" applyNumberFormat="1" applyFont="1" applyFill="1" applyBorder="1" applyAlignment="1">
      <x:alignment horizontal="center" vertical="center" wrapText="1"/>
    </x:xf>
    <x:xf numFmtId="0" fontId="14" fillId="40" borderId="90" xfId="0" applyNumberFormat="1" applyFont="1" applyFill="1" applyBorder="1" applyAlignment="1">
      <x:alignment horizontal="center" vertical="center" wrapText="1"/>
    </x:xf>
    <x:xf numFmtId="0" fontId="14" fillId="40" borderId="91" xfId="0" applyNumberFormat="1" applyFont="1" applyFill="1" applyBorder="1" applyAlignment="1">
      <x:alignment horizontal="center" vertical="center" wrapText="1"/>
    </x:xf>
    <x:xf numFmtId="0" fontId="27" fillId="41" borderId="95" xfId="0" applyNumberFormat="1" applyFont="1" applyFill="1" applyBorder="1"/>
    <x:xf numFmtId="0" fontId="27" fillId="41" borderId="96" xfId="0" applyNumberFormat="1" applyFont="1" applyFill="1" applyBorder="1"/>
    <x:xf numFmtId="0" fontId="27" fillId="41" borderId="95" xfId="0" applyNumberFormat="1" applyFont="1" applyFill="1" applyBorder="1" applyAlignment="1">
      <x:alignment wrapText="1"/>
    </x:xf>
    <x:xf numFmtId="0" fontId="27" fillId="41" xfId="0" applyNumberFormat="1" applyFont="1" applyFill="1" applyBorder="0" applyAlignment="1">
      <x:alignment wrapText="1"/>
    </x:xf>
    <x:xf numFmtId="0" fontId="27" fillId="41" borderId="96" xfId="0" applyNumberFormat="1" applyFont="1" applyFill="1" applyBorder="1" applyAlignment="1">
      <x:alignment wrapText="1"/>
    </x:xf>
    <x:xf numFmtId="0" fontId="27" fillId="41" borderId="95" xfId="0" applyNumberFormat="1" applyFont="1" applyFill="1" applyBorder="1" applyAlignment="1">
      <x:alignment horizontal="left" wrapText="1"/>
    </x:xf>
    <x:xf numFmtId="0" fontId="27" fillId="41" xfId="0" applyNumberFormat="1" applyFont="1" applyFill="1" applyBorder="0" applyAlignment="1">
      <x:alignment horizontal="left" wrapText="1"/>
    </x:xf>
    <x:xf numFmtId="0" fontId="27" fillId="41" borderId="96" xfId="0" applyNumberFormat="1" applyFont="1" applyFill="1" applyBorder="1" applyAlignment="1">
      <x:alignment horizontal="left" wrapText="1"/>
    </x:xf>
    <x:xf numFmtId="0" fontId="27" fillId="41" borderId="95" xfId="0" applyNumberFormat="1" applyFont="1" applyFill="1" applyBorder="1" applyAlignment="1">
      <x:alignment horizontal="left" vertical="center" wrapText="1"/>
    </x:xf>
    <x:xf numFmtId="0" fontId="27" fillId="41" xfId="0" applyNumberFormat="1" applyFont="1" applyFill="1" applyBorder="0" applyAlignment="1">
      <x:alignment horizontal="left" vertical="center" wrapText="1"/>
    </x:xf>
    <x:xf numFmtId="0" fontId="27" fillId="41" borderId="96" xfId="0" applyNumberFormat="1" applyFont="1" applyFill="1" applyBorder="1" applyAlignment="1">
      <x:alignment horizontal="left" vertical="center" wrapText="1"/>
    </x:xf>
    <x:xf numFmtId="0" fontId="29" fillId="41" xfId="0" applyNumberFormat="1" applyFont="1" applyFill="1" applyBorder="0"/>
    <x:xf numFmtId="0" fontId="29" fillId="41" borderId="101" xfId="0" applyNumberFormat="1" applyFont="1" applyFill="1" applyBorder="1"/>
    <x:xf numFmtId="0" fontId="29" fillId="41" borderId="86" xfId="0" applyNumberFormat="1" applyFont="1" applyFill="1" applyBorder="1"/>
    <x:xf numFmtId="0" fontId="29" fillId="41" borderId="87" xfId="0" applyNumberFormat="1" applyFont="1" applyFill="1" applyBorder="1"/>
    <x:xf numFmtId="0" fontId="29" fillId="41" borderId="88" xfId="0" applyNumberFormat="1" applyFont="1" applyFill="1" applyBorder="1"/>
    <x:xf numFmtId="0" fontId="29" fillId="41" borderId="95" xfId="0" applyNumberFormat="1" applyFont="1" applyFill="1" applyBorder="1"/>
    <x:xf numFmtId="0" fontId="29" fillId="41" borderId="96" xfId="0" applyNumberFormat="1" applyFont="1" applyFill="1" applyBorder="1"/>
    <x:xf numFmtId="0" fontId="29" fillId="41" borderId="89" xfId="0" applyNumberFormat="1" applyFont="1" applyFill="1" applyBorder="1"/>
    <x:xf numFmtId="0" fontId="29" fillId="41" borderId="90" xfId="0" applyNumberFormat="1" applyFont="1" applyFill="1" applyBorder="1"/>
    <x:xf numFmtId="0" fontId="29" fillId="41" borderId="91" xfId="0" applyNumberFormat="1" applyFont="1" applyFill="1" applyBorder="1"/>
    <x:xf numFmtId="0" fontId="29" fillId="41" borderId="86" xfId="0" applyNumberFormat="1" applyFont="1" applyFill="1" applyBorder="1" applyAlignment="1">
      <x:alignment wrapText="1"/>
    </x:xf>
    <x:xf numFmtId="0" fontId="29" fillId="41" borderId="87" xfId="0" applyNumberFormat="1" applyFont="1" applyFill="1" applyBorder="1" applyAlignment="1">
      <x:alignment wrapText="1"/>
    </x:xf>
    <x:xf numFmtId="0" fontId="29" fillId="41" borderId="88" xfId="0" applyNumberFormat="1" applyFont="1" applyFill="1" applyBorder="1" applyAlignment="1">
      <x:alignment wrapText="1"/>
    </x:xf>
    <x:xf numFmtId="0" fontId="29" fillId="41" borderId="95" xfId="0" applyNumberFormat="1" applyFont="1" applyFill="1" applyBorder="1" applyAlignment="1">
      <x:alignment wrapText="1"/>
    </x:xf>
    <x:xf numFmtId="0" fontId="29" fillId="41" xfId="0" applyNumberFormat="1" applyFont="1" applyFill="1" applyBorder="0" applyAlignment="1">
      <x:alignment wrapText="1"/>
    </x:xf>
    <x:xf numFmtId="0" fontId="29" fillId="41" borderId="96" xfId="0" applyNumberFormat="1" applyFont="1" applyFill="1" applyBorder="1" applyAlignment="1">
      <x:alignment wrapText="1"/>
    </x:xf>
    <x:xf numFmtId="0" fontId="29" fillId="41" borderId="89" xfId="0" applyNumberFormat="1" applyFont="1" applyFill="1" applyBorder="1" applyAlignment="1">
      <x:alignment wrapText="1"/>
    </x:xf>
    <x:xf numFmtId="0" fontId="29" fillId="41" borderId="90" xfId="0" applyNumberFormat="1" applyFont="1" applyFill="1" applyBorder="1" applyAlignment="1">
      <x:alignment wrapText="1"/>
    </x:xf>
    <x:xf numFmtId="0" fontId="29" fillId="41" borderId="91" xfId="0" applyNumberFormat="1" applyFont="1" applyFill="1" applyBorder="1" applyAlignment="1">
      <x:alignment wrapText="1"/>
    </x:xf>
    <x:xf numFmtId="0" fontId="29" fillId="41" borderId="86" xfId="0" applyNumberFormat="1" applyFont="1" applyFill="1" applyBorder="1" applyAlignment="1">
      <x:alignment horizontal="center" wrapText="1"/>
    </x:xf>
    <x:xf numFmtId="0" fontId="29" fillId="41" borderId="87" xfId="0" applyNumberFormat="1" applyFont="1" applyFill="1" applyBorder="1" applyAlignment="1">
      <x:alignment horizontal="center" wrapText="1"/>
    </x:xf>
    <x:xf numFmtId="0" fontId="29" fillId="41" borderId="88" xfId="0" applyNumberFormat="1" applyFont="1" applyFill="1" applyBorder="1" applyAlignment="1">
      <x:alignment horizontal="center" wrapText="1"/>
    </x:xf>
    <x:xf numFmtId="0" fontId="29" fillId="41" borderId="95" xfId="0" applyNumberFormat="1" applyFont="1" applyFill="1" applyBorder="1" applyAlignment="1">
      <x:alignment horizontal="center" wrapText="1"/>
    </x:xf>
    <x:xf numFmtId="0" fontId="29" fillId="41" xfId="0" applyNumberFormat="1" applyFont="1" applyFill="1" applyBorder="0" applyAlignment="1">
      <x:alignment horizontal="center" wrapText="1"/>
    </x:xf>
    <x:xf numFmtId="0" fontId="29" fillId="41" borderId="96" xfId="0" applyNumberFormat="1" applyFont="1" applyFill="1" applyBorder="1" applyAlignment="1">
      <x:alignment horizontal="center" wrapText="1"/>
    </x:xf>
    <x:xf numFmtId="0" fontId="29" fillId="41" borderId="89" xfId="0" applyNumberFormat="1" applyFont="1" applyFill="1" applyBorder="1" applyAlignment="1">
      <x:alignment horizontal="center" wrapText="1"/>
    </x:xf>
    <x:xf numFmtId="0" fontId="29" fillId="41" borderId="90" xfId="0" applyNumberFormat="1" applyFont="1" applyFill="1" applyBorder="1" applyAlignment="1">
      <x:alignment horizontal="center" wrapText="1"/>
    </x:xf>
    <x:xf numFmtId="0" fontId="29" fillId="41" borderId="91" xfId="0" applyNumberFormat="1" applyFont="1" applyFill="1" applyBorder="1" applyAlignment="1">
      <x:alignment horizontal="center" wrapText="1"/>
    </x:xf>
    <x:xf numFmtId="0" fontId="29" fillId="41" borderId="86" xfId="0" applyNumberFormat="1" applyFont="1" applyFill="1" applyBorder="1" applyAlignment="1">
      <x:alignment horizontal="center" vertical="center" wrapText="1"/>
    </x:xf>
    <x:xf numFmtId="0" fontId="29" fillId="41" borderId="87" xfId="0" applyNumberFormat="1" applyFont="1" applyFill="1" applyBorder="1" applyAlignment="1">
      <x:alignment horizontal="center" vertical="center" wrapText="1"/>
    </x:xf>
    <x:xf numFmtId="0" fontId="29" fillId="41" borderId="88" xfId="0" applyNumberFormat="1" applyFont="1" applyFill="1" applyBorder="1" applyAlignment="1">
      <x:alignment horizontal="center" vertical="center" wrapText="1"/>
    </x:xf>
    <x:xf numFmtId="0" fontId="29" fillId="41" borderId="95" xfId="0" applyNumberFormat="1" applyFont="1" applyFill="1" applyBorder="1" applyAlignment="1">
      <x:alignment horizontal="center" vertical="center" wrapText="1"/>
    </x:xf>
    <x:xf numFmtId="0" fontId="29" fillId="41" xfId="0" applyNumberFormat="1" applyFont="1" applyFill="1" applyBorder="0" applyAlignment="1">
      <x:alignment horizontal="center" vertical="center" wrapText="1"/>
    </x:xf>
    <x:xf numFmtId="0" fontId="29" fillId="41" borderId="96" xfId="0" applyNumberFormat="1" applyFont="1" applyFill="1" applyBorder="1" applyAlignment="1">
      <x:alignment horizontal="center" vertical="center" wrapText="1"/>
    </x:xf>
    <x:xf numFmtId="0" fontId="29" fillId="41" borderId="89" xfId="0" applyNumberFormat="1" applyFont="1" applyFill="1" applyBorder="1" applyAlignment="1">
      <x:alignment horizontal="center" vertical="center" wrapText="1"/>
    </x:xf>
    <x:xf numFmtId="0" fontId="29" fillId="41" borderId="90" xfId="0" applyNumberFormat="1" applyFont="1" applyFill="1" applyBorder="1" applyAlignment="1">
      <x:alignment horizontal="center" vertical="center" wrapText="1"/>
    </x:xf>
    <x:xf numFmtId="0" fontId="29" fillId="41" borderId="91" xfId="0" applyNumberFormat="1" applyFont="1" applyFill="1" applyBorder="1" applyAlignment="1">
      <x:alignment horizontal="center" vertical="center" wrapText="1"/>
    </x:xf>
    <x:xf numFmtId="0" fontId="0" fillId="38" borderId="100" xfId="0" applyNumberFormat="1" applyFont="1" applyFill="1" applyBorder="1"/>
    <x:xf numFmtId="0" fontId="0" fillId="38" xfId="0" applyNumberFormat="1" applyFont="1" applyFill="1" applyBorder="0"/>
    <x:xf numFmtId="0" fontId="0" fillId="38" borderId="101" xfId="0" applyNumberFormat="1" applyFont="1" applyFill="1" applyBorder="1"/>
    <x:xf numFmtId="0" fontId="1" fillId="38" borderId="100" xfId="0" applyNumberFormat="1" applyFont="1" applyFill="1" applyBorder="1"/>
    <x:xf numFmtId="0" fontId="1" fillId="38" xfId="0" applyNumberFormat="1" applyFont="1" applyFill="1" applyBorder="0"/>
    <x:xf numFmtId="0" fontId="1" fillId="38" borderId="101" xfId="0" applyNumberFormat="1" applyFont="1" applyFill="1" applyBorder="1"/>
    <x:xf numFmtId="0" fontId="30" fillId="41" borderId="100" xfId="0" applyNumberFormat="1" applyFont="1" applyFill="1" applyBorder="1"/>
    <x:xf numFmtId="0" fontId="30" fillId="41" xfId="0" applyNumberFormat="1" applyFont="1" applyFill="1" applyBorder="0"/>
    <x:xf numFmtId="0" fontId="30" fillId="41" borderId="101" xfId="0" applyNumberFormat="1" applyFont="1" applyFill="1" applyBorder="1"/>
    <x:xf numFmtId="0" fontId="30" fillId="41" borderId="86" xfId="0" applyNumberFormat="1" applyFont="1" applyFill="1" applyBorder="1"/>
    <x:xf numFmtId="0" fontId="30" fillId="41" borderId="87" xfId="0" applyNumberFormat="1" applyFont="1" applyFill="1" applyBorder="1"/>
    <x:xf numFmtId="0" fontId="30" fillId="41" borderId="88" xfId="0" applyNumberFormat="1" applyFont="1" applyFill="1" applyBorder="1"/>
    <x:xf numFmtId="0" fontId="30" fillId="41" borderId="95" xfId="0" applyNumberFormat="1" applyFont="1" applyFill="1" applyBorder="1"/>
    <x:xf numFmtId="0" fontId="30" fillId="41" borderId="96" xfId="0" applyNumberFormat="1" applyFont="1" applyFill="1" applyBorder="1"/>
    <x:xf numFmtId="0" fontId="30" fillId="41" borderId="89" xfId="0" applyNumberFormat="1" applyFont="1" applyFill="1" applyBorder="1"/>
    <x:xf numFmtId="0" fontId="30" fillId="41" borderId="90" xfId="0" applyNumberFormat="1" applyFont="1" applyFill="1" applyBorder="1"/>
    <x:xf numFmtId="0" fontId="30" fillId="41" borderId="91" xfId="0" applyNumberFormat="1" applyFont="1" applyFill="1" applyBorder="1"/>
    <x:xf numFmtId="0" fontId="30" fillId="41" borderId="86" xfId="0" applyNumberFormat="1" applyFont="1" applyFill="1" applyBorder="1" applyAlignment="1">
      <x:alignment wrapText="1"/>
    </x:xf>
    <x:xf numFmtId="0" fontId="30" fillId="41" borderId="87" xfId="0" applyNumberFormat="1" applyFont="1" applyFill="1" applyBorder="1" applyAlignment="1">
      <x:alignment wrapText="1"/>
    </x:xf>
    <x:xf numFmtId="0" fontId="30" fillId="41" borderId="88" xfId="0" applyNumberFormat="1" applyFont="1" applyFill="1" applyBorder="1" applyAlignment="1">
      <x:alignment wrapText="1"/>
    </x:xf>
    <x:xf numFmtId="0" fontId="30" fillId="41" borderId="95" xfId="0" applyNumberFormat="1" applyFont="1" applyFill="1" applyBorder="1" applyAlignment="1">
      <x:alignment wrapText="1"/>
    </x:xf>
    <x:xf numFmtId="0" fontId="30" fillId="41" xfId="0" applyNumberFormat="1" applyFont="1" applyFill="1" applyBorder="0" applyAlignment="1">
      <x:alignment wrapText="1"/>
    </x:xf>
    <x:xf numFmtId="0" fontId="30" fillId="41" borderId="96" xfId="0" applyNumberFormat="1" applyFont="1" applyFill="1" applyBorder="1" applyAlignment="1">
      <x:alignment wrapText="1"/>
    </x:xf>
    <x:xf numFmtId="0" fontId="30" fillId="41" borderId="89" xfId="0" applyNumberFormat="1" applyFont="1" applyFill="1" applyBorder="1" applyAlignment="1">
      <x:alignment wrapText="1"/>
    </x:xf>
    <x:xf numFmtId="0" fontId="30" fillId="41" borderId="90" xfId="0" applyNumberFormat="1" applyFont="1" applyFill="1" applyBorder="1" applyAlignment="1">
      <x:alignment wrapText="1"/>
    </x:xf>
    <x:xf numFmtId="0" fontId="30" fillId="41" borderId="91" xfId="0" applyNumberFormat="1" applyFont="1" applyFill="1" applyBorder="1" applyAlignment="1">
      <x:alignment wrapText="1"/>
    </x:xf>
    <x:xf numFmtId="0" fontId="30" fillId="41" borderId="86" xfId="0" applyNumberFormat="1" applyFont="1" applyFill="1" applyBorder="1" applyAlignment="1">
      <x:alignment horizontal="left" wrapText="1"/>
    </x:xf>
    <x:xf numFmtId="0" fontId="30" fillId="41" borderId="87" xfId="0" applyNumberFormat="1" applyFont="1" applyFill="1" applyBorder="1" applyAlignment="1">
      <x:alignment horizontal="left" wrapText="1"/>
    </x:xf>
    <x:xf numFmtId="0" fontId="30" fillId="41" borderId="88" xfId="0" applyNumberFormat="1" applyFont="1" applyFill="1" applyBorder="1" applyAlignment="1">
      <x:alignment horizontal="left" wrapText="1"/>
    </x:xf>
    <x:xf numFmtId="0" fontId="30" fillId="41" borderId="95" xfId="0" applyNumberFormat="1" applyFont="1" applyFill="1" applyBorder="1" applyAlignment="1">
      <x:alignment horizontal="left" wrapText="1"/>
    </x:xf>
    <x:xf numFmtId="0" fontId="30" fillId="41" xfId="0" applyNumberFormat="1" applyFont="1" applyFill="1" applyBorder="0" applyAlignment="1">
      <x:alignment horizontal="left" wrapText="1"/>
    </x:xf>
    <x:xf numFmtId="0" fontId="30" fillId="41" borderId="96" xfId="0" applyNumberFormat="1" applyFont="1" applyFill="1" applyBorder="1" applyAlignment="1">
      <x:alignment horizontal="left" wrapText="1"/>
    </x:xf>
    <x:xf numFmtId="0" fontId="30" fillId="41" borderId="89" xfId="0" applyNumberFormat="1" applyFont="1" applyFill="1" applyBorder="1" applyAlignment="1">
      <x:alignment horizontal="left" wrapText="1"/>
    </x:xf>
    <x:xf numFmtId="0" fontId="30" fillId="41" borderId="90" xfId="0" applyNumberFormat="1" applyFont="1" applyFill="1" applyBorder="1" applyAlignment="1">
      <x:alignment horizontal="left" wrapText="1"/>
    </x:xf>
    <x:xf numFmtId="0" fontId="30" fillId="41" borderId="91" xfId="0" applyNumberFormat="1" applyFont="1" applyFill="1" applyBorder="1" applyAlignment="1">
      <x:alignment horizontal="left" wrapText="1"/>
    </x:xf>
    <x:xf numFmtId="0" fontId="30" fillId="41" borderId="86" xfId="0" applyNumberFormat="1" applyFont="1" applyFill="1" applyBorder="1" applyAlignment="1">
      <x:alignment horizontal="left" vertical="top" wrapText="1"/>
    </x:xf>
    <x:xf numFmtId="0" fontId="30" fillId="41" borderId="87" xfId="0" applyNumberFormat="1" applyFont="1" applyFill="1" applyBorder="1" applyAlignment="1">
      <x:alignment horizontal="left" vertical="top" wrapText="1"/>
    </x:xf>
    <x:xf numFmtId="0" fontId="30" fillId="41" borderId="88" xfId="0" applyNumberFormat="1" applyFont="1" applyFill="1" applyBorder="1" applyAlignment="1">
      <x:alignment horizontal="left" vertical="top" wrapText="1"/>
    </x:xf>
    <x:xf numFmtId="0" fontId="30" fillId="41" borderId="95" xfId="0" applyNumberFormat="1" applyFont="1" applyFill="1" applyBorder="1" applyAlignment="1">
      <x:alignment horizontal="left" vertical="top" wrapText="1"/>
    </x:xf>
    <x:xf numFmtId="0" fontId="30" fillId="41" xfId="0" applyNumberFormat="1" applyFont="1" applyFill="1" applyBorder="0" applyAlignment="1">
      <x:alignment horizontal="left" vertical="top" wrapText="1"/>
    </x:xf>
    <x:xf numFmtId="0" fontId="30" fillId="41" borderId="96" xfId="0" applyNumberFormat="1" applyFont="1" applyFill="1" applyBorder="1" applyAlignment="1">
      <x:alignment horizontal="left" vertical="top" wrapText="1"/>
    </x:xf>
    <x:xf numFmtId="0" fontId="30" fillId="41" borderId="89" xfId="0" applyNumberFormat="1" applyFont="1" applyFill="1" applyBorder="1" applyAlignment="1">
      <x:alignment horizontal="left" vertical="top" wrapText="1"/>
    </x:xf>
    <x:xf numFmtId="0" fontId="30" fillId="41" borderId="90" xfId="0" applyNumberFormat="1" applyFont="1" applyFill="1" applyBorder="1" applyAlignment="1">
      <x:alignment horizontal="left" vertical="top" wrapText="1"/>
    </x:xf>
    <x:xf numFmtId="0" fontId="30" fillId="41" borderId="91" xfId="0" applyNumberFormat="1" applyFont="1" applyFill="1" applyBorder="1" applyAlignment="1">
      <x:alignment horizontal="left" vertical="top" wrapText="1"/>
    </x:xf>
    <x:xf numFmtId="0" fontId="31" fillId="40" borderId="100" xfId="0" applyNumberFormat="1" applyFont="1" applyFill="1" applyBorder="1"/>
    <x:xf numFmtId="0" fontId="31" fillId="40" xfId="0" applyNumberFormat="1" applyFont="1" applyFill="1" applyBorder="0"/>
    <x:xf numFmtId="0" fontId="31" fillId="40" borderId="86" xfId="0" applyNumberFormat="1" applyFont="1" applyFill="1" applyBorder="1"/>
    <x:xf numFmtId="0" fontId="31" fillId="40" borderId="87" xfId="0" applyNumberFormat="1" applyFont="1" applyFill="1" applyBorder="1"/>
    <x:xf numFmtId="0" fontId="31" fillId="40" borderId="88" xfId="0" applyNumberFormat="1" applyFont="1" applyFill="1" applyBorder="1"/>
    <x:xf numFmtId="0" fontId="31" fillId="40" borderId="95" xfId="0" applyNumberFormat="1" applyFont="1" applyFill="1" applyBorder="1"/>
    <x:xf numFmtId="0" fontId="31" fillId="40" borderId="96" xfId="0" applyNumberFormat="1" applyFont="1" applyFill="1" applyBorder="1"/>
    <x:xf numFmtId="0" fontId="31" fillId="40" borderId="89" xfId="0" applyNumberFormat="1" applyFont="1" applyFill="1" applyBorder="1"/>
    <x:xf numFmtId="0" fontId="31" fillId="40" borderId="90" xfId="0" applyNumberFormat="1" applyFont="1" applyFill="1" applyBorder="1"/>
    <x:xf numFmtId="0" fontId="31" fillId="40" borderId="91" xfId="0" applyNumberFormat="1" applyFont="1" applyFill="1" applyBorder="1"/>
    <x:xf numFmtId="0" fontId="31" fillId="40" borderId="86" xfId="0" applyNumberFormat="1" applyFont="1" applyFill="1" applyBorder="1" applyAlignment="1">
      <x:alignment wrapText="1"/>
    </x:xf>
    <x:xf numFmtId="0" fontId="31" fillId="40" borderId="87" xfId="0" applyNumberFormat="1" applyFont="1" applyFill="1" applyBorder="1" applyAlignment="1">
      <x:alignment wrapText="1"/>
    </x:xf>
    <x:xf numFmtId="0" fontId="31" fillId="40" borderId="88" xfId="0" applyNumberFormat="1" applyFont="1" applyFill="1" applyBorder="1" applyAlignment="1">
      <x:alignment wrapText="1"/>
    </x:xf>
    <x:xf numFmtId="0" fontId="31" fillId="40" borderId="95" xfId="0" applyNumberFormat="1" applyFont="1" applyFill="1" applyBorder="1" applyAlignment="1">
      <x:alignment wrapText="1"/>
    </x:xf>
    <x:xf numFmtId="0" fontId="31" fillId="40" xfId="0" applyNumberFormat="1" applyFont="1" applyFill="1" applyBorder="0" applyAlignment="1">
      <x:alignment wrapText="1"/>
    </x:xf>
    <x:xf numFmtId="0" fontId="31" fillId="40" borderId="96" xfId="0" applyNumberFormat="1" applyFont="1" applyFill="1" applyBorder="1" applyAlignment="1">
      <x:alignment wrapText="1"/>
    </x:xf>
    <x:xf numFmtId="0" fontId="31" fillId="40" borderId="89" xfId="0" applyNumberFormat="1" applyFont="1" applyFill="1" applyBorder="1" applyAlignment="1">
      <x:alignment wrapText="1"/>
    </x:xf>
    <x:xf numFmtId="0" fontId="31" fillId="40" borderId="90" xfId="0" applyNumberFormat="1" applyFont="1" applyFill="1" applyBorder="1" applyAlignment="1">
      <x:alignment wrapText="1"/>
    </x:xf>
    <x:xf numFmtId="0" fontId="31" fillId="40" borderId="91" xfId="0" applyNumberFormat="1" applyFont="1" applyFill="1" applyBorder="1" applyAlignment="1">
      <x:alignment wrapText="1"/>
    </x:xf>
    <x:xf numFmtId="0" fontId="31" fillId="40" borderId="86" xfId="0" applyNumberFormat="1" applyFont="1" applyFill="1" applyBorder="1" applyAlignment="1">
      <x:alignment horizontal="left" wrapText="1"/>
    </x:xf>
    <x:xf numFmtId="0" fontId="31" fillId="40" borderId="87" xfId="0" applyNumberFormat="1" applyFont="1" applyFill="1" applyBorder="1" applyAlignment="1">
      <x:alignment horizontal="left" wrapText="1"/>
    </x:xf>
    <x:xf numFmtId="0" fontId="31" fillId="40" borderId="88" xfId="0" applyNumberFormat="1" applyFont="1" applyFill="1" applyBorder="1" applyAlignment="1">
      <x:alignment horizontal="left" wrapText="1"/>
    </x:xf>
    <x:xf numFmtId="0" fontId="31" fillId="40" borderId="95" xfId="0" applyNumberFormat="1" applyFont="1" applyFill="1" applyBorder="1" applyAlignment="1">
      <x:alignment horizontal="left" wrapText="1"/>
    </x:xf>
    <x:xf numFmtId="0" fontId="31" fillId="40" xfId="0" applyNumberFormat="1" applyFont="1" applyFill="1" applyBorder="0" applyAlignment="1">
      <x:alignment horizontal="left" wrapText="1"/>
    </x:xf>
    <x:xf numFmtId="0" fontId="31" fillId="40" borderId="96" xfId="0" applyNumberFormat="1" applyFont="1" applyFill="1" applyBorder="1" applyAlignment="1">
      <x:alignment horizontal="left" wrapText="1"/>
    </x:xf>
    <x:xf numFmtId="0" fontId="31" fillId="40" borderId="89" xfId="0" applyNumberFormat="1" applyFont="1" applyFill="1" applyBorder="1" applyAlignment="1">
      <x:alignment horizontal="left" wrapText="1"/>
    </x:xf>
    <x:xf numFmtId="0" fontId="31" fillId="40" borderId="90" xfId="0" applyNumberFormat="1" applyFont="1" applyFill="1" applyBorder="1" applyAlignment="1">
      <x:alignment horizontal="left" wrapText="1"/>
    </x:xf>
    <x:xf numFmtId="0" fontId="31" fillId="40" borderId="91" xfId="0" applyNumberFormat="1" applyFont="1" applyFill="1" applyBorder="1" applyAlignment="1">
      <x:alignment horizontal="left" wrapText="1"/>
    </x:xf>
    <x:xf numFmtId="0" fontId="31" fillId="40" borderId="86" xfId="0" applyNumberFormat="1" applyFont="1" applyFill="1" applyBorder="1" applyAlignment="1">
      <x:alignment horizontal="left" vertical="top" wrapText="1"/>
    </x:xf>
    <x:xf numFmtId="0" fontId="31" fillId="40" borderId="87" xfId="0" applyNumberFormat="1" applyFont="1" applyFill="1" applyBorder="1" applyAlignment="1">
      <x:alignment horizontal="left" vertical="top" wrapText="1"/>
    </x:xf>
    <x:xf numFmtId="0" fontId="31" fillId="40" borderId="88" xfId="0" applyNumberFormat="1" applyFont="1" applyFill="1" applyBorder="1" applyAlignment="1">
      <x:alignment horizontal="left" vertical="top" wrapText="1"/>
    </x:xf>
    <x:xf numFmtId="0" fontId="31" fillId="40" borderId="95" xfId="0" applyNumberFormat="1" applyFont="1" applyFill="1" applyBorder="1" applyAlignment="1">
      <x:alignment horizontal="left" vertical="top" wrapText="1"/>
    </x:xf>
    <x:xf numFmtId="0" fontId="31" fillId="40" xfId="0" applyNumberFormat="1" applyFont="1" applyFill="1" applyBorder="0" applyAlignment="1">
      <x:alignment horizontal="left" vertical="top" wrapText="1"/>
    </x:xf>
    <x:xf numFmtId="0" fontId="31" fillId="40" borderId="96" xfId="0" applyNumberFormat="1" applyFont="1" applyFill="1" applyBorder="1" applyAlignment="1">
      <x:alignment horizontal="left" vertical="top" wrapText="1"/>
    </x:xf>
    <x:xf numFmtId="0" fontId="31" fillId="40" borderId="89" xfId="0" applyNumberFormat="1" applyFont="1" applyFill="1" applyBorder="1" applyAlignment="1">
      <x:alignment horizontal="left" vertical="top" wrapText="1"/>
    </x:xf>
    <x:xf numFmtId="0" fontId="31" fillId="40" borderId="90" xfId="0" applyNumberFormat="1" applyFont="1" applyFill="1" applyBorder="1" applyAlignment="1">
      <x:alignment horizontal="left" vertical="top" wrapText="1"/>
    </x:xf>
    <x:xf numFmtId="0" fontId="31" fillId="40" borderId="91" xfId="0" applyNumberFormat="1" applyFont="1" applyFill="1" applyBorder="1" applyAlignment="1">
      <x:alignment horizontal="left" vertical="top" wrapText="1"/>
    </x:xf>
    <x:xf numFmtId="0" fontId="31" fillId="40" borderId="101" xfId="0" applyNumberFormat="1" applyFont="1" applyFill="1" applyBorder="1"/>
    <x:xf numFmtId="0" fontId="0" fillId="41" borderId="86" xfId="0" applyNumberFormat="1" applyFont="1" applyFill="1" applyBorder="1"/>
    <x:xf numFmtId="0" fontId="0" fillId="41" borderId="87" xfId="0" applyNumberFormat="1" applyFont="1" applyFill="1" applyBorder="1"/>
    <x:xf numFmtId="0" fontId="0" fillId="41" borderId="88" xfId="0" applyNumberFormat="1" applyFont="1" applyFill="1" applyBorder="1"/>
    <x:xf numFmtId="0" fontId="0" fillId="41" borderId="95" xfId="0" applyNumberFormat="1" applyFont="1" applyFill="1" applyBorder="1"/>
    <x:xf numFmtId="0" fontId="0" fillId="41" borderId="96" xfId="0" applyNumberFormat="1" applyFont="1" applyFill="1" applyBorder="1"/>
    <x:xf numFmtId="0" fontId="0" fillId="41" borderId="89" xfId="0" applyNumberFormat="1" applyFont="1" applyFill="1" applyBorder="1"/>
    <x:xf numFmtId="0" fontId="0" fillId="41" borderId="90" xfId="0" applyNumberFormat="1" applyFont="1" applyFill="1" applyBorder="1"/>
    <x:xf numFmtId="0" fontId="0" fillId="41" borderId="91" xfId="0" applyNumberFormat="1" applyFont="1" applyFill="1" applyBorder="1"/>
    <x:xf numFmtId="0" fontId="0" fillId="41" borderId="86" xfId="0" applyNumberFormat="1" applyFont="1" applyFill="1" applyBorder="1" applyAlignment="1">
      <x:alignment wrapText="1"/>
    </x:xf>
    <x:xf numFmtId="0" fontId="0" fillId="41" borderId="87" xfId="0" applyNumberFormat="1" applyFont="1" applyFill="1" applyBorder="1" applyAlignment="1">
      <x:alignment wrapText="1"/>
    </x:xf>
    <x:xf numFmtId="0" fontId="0" fillId="41" borderId="88" xfId="0" applyNumberFormat="1" applyFont="1" applyFill="1" applyBorder="1" applyAlignment="1">
      <x:alignment wrapText="1"/>
    </x:xf>
    <x:xf numFmtId="0" fontId="0" fillId="41" borderId="95" xfId="0" applyNumberFormat="1" applyFont="1" applyFill="1" applyBorder="1" applyAlignment="1">
      <x:alignment wrapText="1"/>
    </x:xf>
    <x:xf numFmtId="0" fontId="0" fillId="41" xfId="0" applyNumberFormat="1" applyFont="1" applyFill="1" applyBorder="0" applyAlignment="1">
      <x:alignment wrapText="1"/>
    </x:xf>
    <x:xf numFmtId="0" fontId="0" fillId="41" borderId="96" xfId="0" applyNumberFormat="1" applyFont="1" applyFill="1" applyBorder="1" applyAlignment="1">
      <x:alignment wrapText="1"/>
    </x:xf>
    <x:xf numFmtId="0" fontId="0" fillId="41" borderId="89" xfId="0" applyNumberFormat="1" applyFont="1" applyFill="1" applyBorder="1" applyAlignment="1">
      <x:alignment wrapText="1"/>
    </x:xf>
    <x:xf numFmtId="0" fontId="0" fillId="41" borderId="90" xfId="0" applyNumberFormat="1" applyFont="1" applyFill="1" applyBorder="1" applyAlignment="1">
      <x:alignment wrapText="1"/>
    </x:xf>
    <x:xf numFmtId="0" fontId="0" fillId="41" borderId="91" xfId="0" applyNumberFormat="1" applyFont="1" applyFill="1" applyBorder="1" applyAlignment="1">
      <x:alignment wrapText="1"/>
    </x:xf>
    <x:xf numFmtId="0" fontId="0" fillId="41" borderId="86" xfId="0" applyNumberFormat="1" applyFont="1" applyFill="1" applyBorder="1" applyAlignment="1">
      <x:alignment vertical="top" wrapText="1"/>
    </x:xf>
    <x:xf numFmtId="0" fontId="0" fillId="41" borderId="87" xfId="0" applyNumberFormat="1" applyFont="1" applyFill="1" applyBorder="1" applyAlignment="1">
      <x:alignment vertical="top" wrapText="1"/>
    </x:xf>
    <x:xf numFmtId="0" fontId="0" fillId="41" borderId="88" xfId="0" applyNumberFormat="1" applyFont="1" applyFill="1" applyBorder="1" applyAlignment="1">
      <x:alignment vertical="top" wrapText="1"/>
    </x:xf>
    <x:xf numFmtId="0" fontId="0" fillId="41" borderId="95" xfId="0" applyNumberFormat="1" applyFont="1" applyFill="1" applyBorder="1" applyAlignment="1">
      <x:alignment vertical="top" wrapText="1"/>
    </x:xf>
    <x:xf numFmtId="0" fontId="0" fillId="41" xfId="0" applyNumberFormat="1" applyFont="1" applyFill="1" applyBorder="0" applyAlignment="1">
      <x:alignment vertical="top" wrapText="1"/>
    </x:xf>
    <x:xf numFmtId="0" fontId="0" fillId="41" borderId="96" xfId="0" applyNumberFormat="1" applyFont="1" applyFill="1" applyBorder="1" applyAlignment="1">
      <x:alignment vertical="top" wrapText="1"/>
    </x:xf>
    <x:xf numFmtId="0" fontId="0" fillId="41" borderId="89" xfId="0" applyNumberFormat="1" applyFont="1" applyFill="1" applyBorder="1" applyAlignment="1">
      <x:alignment vertical="top" wrapText="1"/>
    </x:xf>
    <x:xf numFmtId="0" fontId="0" fillId="41" borderId="90" xfId="0" applyNumberFormat="1" applyFont="1" applyFill="1" applyBorder="1" applyAlignment="1">
      <x:alignment vertical="top" wrapText="1"/>
    </x:xf>
    <x:xf numFmtId="0" fontId="0" fillId="41" borderId="91" xfId="0" applyNumberFormat="1" applyFont="1" applyFill="1" applyBorder="1" applyAlignment="1">
      <x:alignment vertical="top" wrapText="1"/>
    </x:xf>
    <x:xf numFmtId="0" fontId="26" fillId="41" borderId="86" xfId="0" applyNumberFormat="1" applyFont="1" applyFill="1" applyBorder="1" applyAlignment="1">
      <x:alignment vertical="top" wrapText="1"/>
    </x:xf>
    <x:xf numFmtId="0" fontId="26" fillId="41" borderId="95" xfId="0" applyNumberFormat="1" applyFont="1" applyFill="1" applyBorder="1" applyAlignment="1">
      <x:alignment vertical="top" wrapText="1"/>
    </x:xf>
    <x:xf numFmtId="0" fontId="26" fillId="41" borderId="89" xfId="0" applyNumberFormat="1" applyFont="1" applyFill="1" applyBorder="1" applyAlignment="1">
      <x:alignment vertical="top" wrapText="1"/>
    </x:xf>
    <x:xf numFmtId="0" fontId="0" fillId="42" xfId="0" applyNumberFormat="1" applyFont="1" applyFill="1" applyBorder="0"/>
    <x:xf numFmtId="0" fontId="0" fillId="42" borderId="101" xfId="0" applyNumberFormat="1" applyFont="1" applyFill="1" applyBorder="1"/>
    <x:xf numFmtId="0" fontId="32" fillId="42" xfId="0" applyNumberFormat="1" applyFont="1" applyFill="1" applyBorder="0"/>
    <x:xf numFmtId="0" fontId="32" fillId="42" borderId="101" xfId="0" applyNumberFormat="1" applyFont="1" applyFill="1" applyBorder="1"/>
    <x:xf numFmtId="0" fontId="32" fillId="42" borderId="86" xfId="0" applyNumberFormat="1" applyFont="1" applyFill="1" applyBorder="1"/>
    <x:xf numFmtId="0" fontId="32" fillId="42" borderId="87" xfId="0" applyNumberFormat="1" applyFont="1" applyFill="1" applyBorder="1"/>
    <x:xf numFmtId="0" fontId="32" fillId="42" borderId="88" xfId="0" applyNumberFormat="1" applyFont="1" applyFill="1" applyBorder="1"/>
    <x:xf numFmtId="0" fontId="32" fillId="42" borderId="95" xfId="0" applyNumberFormat="1" applyFont="1" applyFill="1" applyBorder="1"/>
    <x:xf numFmtId="0" fontId="32" fillId="42" borderId="96" xfId="0" applyNumberFormat="1" applyFont="1" applyFill="1" applyBorder="1"/>
    <x:xf numFmtId="0" fontId="32" fillId="42" borderId="89" xfId="0" applyNumberFormat="1" applyFont="1" applyFill="1" applyBorder="1"/>
    <x:xf numFmtId="0" fontId="32" fillId="42" borderId="90" xfId="0" applyNumberFormat="1" applyFont="1" applyFill="1" applyBorder="1"/>
    <x:xf numFmtId="0" fontId="32" fillId="42" borderId="91" xfId="0" applyNumberFormat="1" applyFont="1" applyFill="1" applyBorder="1"/>
    <x:xf numFmtId="0" fontId="32" fillId="42" borderId="86" xfId="0" applyNumberFormat="1" applyFont="1" applyFill="1" applyBorder="1" applyAlignment="1">
      <x:alignment wrapText="1"/>
    </x:xf>
    <x:xf numFmtId="0" fontId="32" fillId="42" borderId="87" xfId="0" applyNumberFormat="1" applyFont="1" applyFill="1" applyBorder="1" applyAlignment="1">
      <x:alignment wrapText="1"/>
    </x:xf>
    <x:xf numFmtId="0" fontId="32" fillId="42" borderId="88" xfId="0" applyNumberFormat="1" applyFont="1" applyFill="1" applyBorder="1" applyAlignment="1">
      <x:alignment wrapText="1"/>
    </x:xf>
    <x:xf numFmtId="0" fontId="32" fillId="42" borderId="95" xfId="0" applyNumberFormat="1" applyFont="1" applyFill="1" applyBorder="1" applyAlignment="1">
      <x:alignment wrapText="1"/>
    </x:xf>
    <x:xf numFmtId="0" fontId="32" fillId="42" xfId="0" applyNumberFormat="1" applyFont="1" applyFill="1" applyBorder="0" applyAlignment="1">
      <x:alignment wrapText="1"/>
    </x:xf>
    <x:xf numFmtId="0" fontId="32" fillId="42" borderId="96" xfId="0" applyNumberFormat="1" applyFont="1" applyFill="1" applyBorder="1" applyAlignment="1">
      <x:alignment wrapText="1"/>
    </x:xf>
    <x:xf numFmtId="0" fontId="32" fillId="42" borderId="89" xfId="0" applyNumberFormat="1" applyFont="1" applyFill="1" applyBorder="1" applyAlignment="1">
      <x:alignment wrapText="1"/>
    </x:xf>
    <x:xf numFmtId="0" fontId="32" fillId="42" borderId="90" xfId="0" applyNumberFormat="1" applyFont="1" applyFill="1" applyBorder="1" applyAlignment="1">
      <x:alignment wrapText="1"/>
    </x:xf>
    <x:xf numFmtId="0" fontId="32" fillId="42" borderId="91" xfId="0" applyNumberFormat="1" applyFont="1" applyFill="1" applyBorder="1" applyAlignment="1">
      <x:alignment wrapText="1"/>
    </x:xf>
    <x:xf numFmtId="0" fontId="32" fillId="42" borderId="86" xfId="0" applyNumberFormat="1" applyFont="1" applyFill="1" applyBorder="1" applyAlignment="1">
      <x:alignment horizontal="left" wrapText="1"/>
    </x:xf>
    <x:xf numFmtId="0" fontId="32" fillId="42" borderId="87" xfId="0" applyNumberFormat="1" applyFont="1" applyFill="1" applyBorder="1" applyAlignment="1">
      <x:alignment horizontal="left" wrapText="1"/>
    </x:xf>
    <x:xf numFmtId="0" fontId="32" fillId="42" borderId="88" xfId="0" applyNumberFormat="1" applyFont="1" applyFill="1" applyBorder="1" applyAlignment="1">
      <x:alignment horizontal="left" wrapText="1"/>
    </x:xf>
    <x:xf numFmtId="0" fontId="32" fillId="42" borderId="95" xfId="0" applyNumberFormat="1" applyFont="1" applyFill="1" applyBorder="1" applyAlignment="1">
      <x:alignment horizontal="left" wrapText="1"/>
    </x:xf>
    <x:xf numFmtId="0" fontId="32" fillId="42" xfId="0" applyNumberFormat="1" applyFont="1" applyFill="1" applyBorder="0" applyAlignment="1">
      <x:alignment horizontal="left" wrapText="1"/>
    </x:xf>
    <x:xf numFmtId="0" fontId="32" fillId="42" borderId="96" xfId="0" applyNumberFormat="1" applyFont="1" applyFill="1" applyBorder="1" applyAlignment="1">
      <x:alignment horizontal="left" wrapText="1"/>
    </x:xf>
    <x:xf numFmtId="0" fontId="32" fillId="42" borderId="89" xfId="0" applyNumberFormat="1" applyFont="1" applyFill="1" applyBorder="1" applyAlignment="1">
      <x:alignment horizontal="left" wrapText="1"/>
    </x:xf>
    <x:xf numFmtId="0" fontId="32" fillId="42" borderId="90" xfId="0" applyNumberFormat="1" applyFont="1" applyFill="1" applyBorder="1" applyAlignment="1">
      <x:alignment horizontal="left" wrapText="1"/>
    </x:xf>
    <x:xf numFmtId="0" fontId="32" fillId="42" borderId="91" xfId="0" applyNumberFormat="1" applyFont="1" applyFill="1" applyBorder="1" applyAlignment="1">
      <x:alignment horizontal="left" wrapText="1"/>
    </x:xf>
    <x:xf numFmtId="0" fontId="32" fillId="42" borderId="86" xfId="0" applyNumberFormat="1" applyFont="1" applyFill="1" applyBorder="1" applyAlignment="1">
      <x:alignment horizontal="left" vertical="top" wrapText="1"/>
    </x:xf>
    <x:xf numFmtId="0" fontId="32" fillId="42" borderId="87" xfId="0" applyNumberFormat="1" applyFont="1" applyFill="1" applyBorder="1" applyAlignment="1">
      <x:alignment horizontal="left" vertical="top" wrapText="1"/>
    </x:xf>
    <x:xf numFmtId="0" fontId="32" fillId="42" borderId="88" xfId="0" applyNumberFormat="1" applyFont="1" applyFill="1" applyBorder="1" applyAlignment="1">
      <x:alignment horizontal="left" vertical="top" wrapText="1"/>
    </x:xf>
    <x:xf numFmtId="0" fontId="32" fillId="42" borderId="95" xfId="0" applyNumberFormat="1" applyFont="1" applyFill="1" applyBorder="1" applyAlignment="1">
      <x:alignment horizontal="left" vertical="top" wrapText="1"/>
    </x:xf>
    <x:xf numFmtId="0" fontId="32" fillId="42" xfId="0" applyNumberFormat="1" applyFont="1" applyFill="1" applyBorder="0" applyAlignment="1">
      <x:alignment horizontal="left" vertical="top" wrapText="1"/>
    </x:xf>
    <x:xf numFmtId="0" fontId="32" fillId="42" borderId="96" xfId="0" applyNumberFormat="1" applyFont="1" applyFill="1" applyBorder="1" applyAlignment="1">
      <x:alignment horizontal="left" vertical="top" wrapText="1"/>
    </x:xf>
    <x:xf numFmtId="0" fontId="32" fillId="42" borderId="89" xfId="0" applyNumberFormat="1" applyFont="1" applyFill="1" applyBorder="1" applyAlignment="1">
      <x:alignment horizontal="left" vertical="top" wrapText="1"/>
    </x:xf>
    <x:xf numFmtId="0" fontId="32" fillId="42" borderId="90" xfId="0" applyNumberFormat="1" applyFont="1" applyFill="1" applyBorder="1" applyAlignment="1">
      <x:alignment horizontal="left" vertical="top" wrapText="1"/>
    </x:xf>
    <x:xf numFmtId="0" fontId="32" fillId="42" borderId="91" xfId="0" applyNumberFormat="1" applyFont="1" applyFill="1" applyBorder="1" applyAlignment="1">
      <x:alignment horizontal="left" vertical="top" wrapText="1"/>
    </x:xf>
    <x:xf numFmtId="0" fontId="24" fillId="41" borderId="100" xfId="0" applyNumberFormat="1" applyFont="1" applyFill="1" applyBorder="1"/>
    <x:xf numFmtId="0" fontId="24" fillId="41" xfId="0" applyNumberFormat="1" applyFont="1" applyFill="1" applyBorder="0"/>
    <x:xf numFmtId="0" fontId="24" fillId="41" borderId="86" xfId="0" applyNumberFormat="1" applyFont="1" applyFill="1" applyBorder="1"/>
    <x:xf numFmtId="0" fontId="24" fillId="41" borderId="87" xfId="0" applyNumberFormat="1" applyFont="1" applyFill="1" applyBorder="1"/>
    <x:xf numFmtId="0" fontId="24" fillId="41" borderId="88" xfId="0" applyNumberFormat="1" applyFont="1" applyFill="1" applyBorder="1"/>
    <x:xf numFmtId="0" fontId="24" fillId="41" borderId="89" xfId="0" applyNumberFormat="1" applyFont="1" applyFill="1" applyBorder="1"/>
    <x:xf numFmtId="0" fontId="24" fillId="41" borderId="90" xfId="0" applyNumberFormat="1" applyFont="1" applyFill="1" applyBorder="1"/>
    <x:xf numFmtId="0" fontId="24" fillId="41" borderId="91" xfId="0" applyNumberFormat="1" applyFont="1" applyFill="1" applyBorder="1"/>
    <x:xf numFmtId="0" fontId="24" fillId="41" borderId="86" xfId="0" applyNumberFormat="1" applyFont="1" applyFill="1" applyBorder="1" applyAlignment="1">
      <x:alignment wrapText="1"/>
    </x:xf>
    <x:xf numFmtId="0" fontId="24" fillId="41" borderId="87" xfId="0" applyNumberFormat="1" applyFont="1" applyFill="1" applyBorder="1" applyAlignment="1">
      <x:alignment wrapText="1"/>
    </x:xf>
    <x:xf numFmtId="0" fontId="24" fillId="41" borderId="88" xfId="0" applyNumberFormat="1" applyFont="1" applyFill="1" applyBorder="1" applyAlignment="1">
      <x:alignment wrapText="1"/>
    </x:xf>
    <x:xf numFmtId="0" fontId="24" fillId="41" borderId="89" xfId="0" applyNumberFormat="1" applyFont="1" applyFill="1" applyBorder="1" applyAlignment="1">
      <x:alignment wrapText="1"/>
    </x:xf>
    <x:xf numFmtId="0" fontId="24" fillId="41" borderId="90" xfId="0" applyNumberFormat="1" applyFont="1" applyFill="1" applyBorder="1" applyAlignment="1">
      <x:alignment wrapText="1"/>
    </x:xf>
    <x:xf numFmtId="0" fontId="24" fillId="41" borderId="91" xfId="0" applyNumberFormat="1" applyFont="1" applyFill="1" applyBorder="1" applyAlignment="1">
      <x:alignment wrapText="1"/>
    </x:xf>
    <x:xf numFmtId="0" fontId="24" fillId="41" borderId="86" xfId="0" applyNumberFormat="1" applyFont="1" applyFill="1" applyBorder="1" applyAlignment="1">
      <x:alignment horizontal="left" wrapText="1"/>
    </x:xf>
    <x:xf numFmtId="0" fontId="24" fillId="41" borderId="87" xfId="0" applyNumberFormat="1" applyFont="1" applyFill="1" applyBorder="1" applyAlignment="1">
      <x:alignment horizontal="left" wrapText="1"/>
    </x:xf>
    <x:xf numFmtId="0" fontId="24" fillId="41" borderId="88" xfId="0" applyNumberFormat="1" applyFont="1" applyFill="1" applyBorder="1" applyAlignment="1">
      <x:alignment horizontal="left" wrapText="1"/>
    </x:xf>
    <x:xf numFmtId="0" fontId="24" fillId="41" borderId="89" xfId="0" applyNumberFormat="1" applyFont="1" applyFill="1" applyBorder="1" applyAlignment="1">
      <x:alignment horizontal="left" wrapText="1"/>
    </x:xf>
    <x:xf numFmtId="0" fontId="24" fillId="41" borderId="90" xfId="0" applyNumberFormat="1" applyFont="1" applyFill="1" applyBorder="1" applyAlignment="1">
      <x:alignment horizontal="left" wrapText="1"/>
    </x:xf>
    <x:xf numFmtId="0" fontId="24" fillId="41" borderId="91" xfId="0" applyNumberFormat="1" applyFont="1" applyFill="1" applyBorder="1" applyAlignment="1">
      <x:alignment horizontal="left" wrapText="1"/>
    </x:xf>
    <x:xf numFmtId="0" fontId="24" fillId="41" borderId="86" xfId="0" applyNumberFormat="1" applyFont="1" applyFill="1" applyBorder="1" applyAlignment="1">
      <x:alignment horizontal="left" vertical="top" wrapText="1"/>
    </x:xf>
    <x:xf numFmtId="0" fontId="24" fillId="41" borderId="87" xfId="0" applyNumberFormat="1" applyFont="1" applyFill="1" applyBorder="1" applyAlignment="1">
      <x:alignment horizontal="left" vertical="top" wrapText="1"/>
    </x:xf>
    <x:xf numFmtId="0" fontId="24" fillId="41" borderId="88" xfId="0" applyNumberFormat="1" applyFont="1" applyFill="1" applyBorder="1" applyAlignment="1">
      <x:alignment horizontal="left" vertical="top" wrapText="1"/>
    </x:xf>
    <x:xf numFmtId="0" fontId="24" fillId="41" borderId="89" xfId="0" applyNumberFormat="1" applyFont="1" applyFill="1" applyBorder="1" applyAlignment="1">
      <x:alignment horizontal="left" vertical="top" wrapText="1"/>
    </x:xf>
    <x:xf numFmtId="0" fontId="24" fillId="41" borderId="90" xfId="0" applyNumberFormat="1" applyFont="1" applyFill="1" applyBorder="1" applyAlignment="1">
      <x:alignment horizontal="left" vertical="top" wrapText="1"/>
    </x:xf>
    <x:xf numFmtId="0" fontId="24" fillId="41" borderId="91" xfId="0" applyNumberFormat="1" applyFont="1" applyFill="1" applyBorder="1" applyAlignment="1">
      <x:alignment horizontal="left" vertical="top" wrapText="1"/>
    </x:xf>
    <x:xf numFmtId="0" fontId="11" fillId="39" xfId="0" applyNumberFormat="1" applyFont="1" applyFill="1" applyBorder="0"/>
    <x:xf numFmtId="0" fontId="11" fillId="39" borderId="86" xfId="0" applyNumberFormat="1" applyFont="1" applyFill="1" applyBorder="1"/>
    <x:xf numFmtId="0" fontId="11" fillId="39" borderId="87" xfId="0" applyNumberFormat="1" applyFont="1" applyFill="1" applyBorder="1"/>
    <x:xf numFmtId="0" fontId="11" fillId="39" borderId="88" xfId="0" applyNumberFormat="1" applyFont="1" applyFill="1" applyBorder="1"/>
    <x:xf numFmtId="0" fontId="11" fillId="39" borderId="89" xfId="0" applyNumberFormat="1" applyFont="1" applyFill="1" applyBorder="1"/>
    <x:xf numFmtId="0" fontId="11" fillId="39" borderId="90" xfId="0" applyNumberFormat="1" applyFont="1" applyFill="1" applyBorder="1"/>
    <x:xf numFmtId="0" fontId="11" fillId="39" borderId="91" xfId="0" applyNumberFormat="1" applyFont="1" applyFill="1" applyBorder="1"/>
    <x:xf numFmtId="0" fontId="11" fillId="39" borderId="86" xfId="0" applyNumberFormat="1" applyFont="1" applyFill="1" applyBorder="1" applyAlignment="1">
      <x:alignment wrapText="1"/>
    </x:xf>
    <x:xf numFmtId="0" fontId="11" fillId="39" borderId="87" xfId="0" applyNumberFormat="1" applyFont="1" applyFill="1" applyBorder="1" applyAlignment="1">
      <x:alignment wrapText="1"/>
    </x:xf>
    <x:xf numFmtId="0" fontId="11" fillId="39" borderId="88" xfId="0" applyNumberFormat="1" applyFont="1" applyFill="1" applyBorder="1" applyAlignment="1">
      <x:alignment wrapText="1"/>
    </x:xf>
    <x:xf numFmtId="0" fontId="11" fillId="39" borderId="89" xfId="0" applyNumberFormat="1" applyFont="1" applyFill="1" applyBorder="1" applyAlignment="1">
      <x:alignment wrapText="1"/>
    </x:xf>
    <x:xf numFmtId="0" fontId="11" fillId="39" borderId="90" xfId="0" applyNumberFormat="1" applyFont="1" applyFill="1" applyBorder="1" applyAlignment="1">
      <x:alignment wrapText="1"/>
    </x:xf>
    <x:xf numFmtId="0" fontId="11" fillId="39" borderId="91" xfId="0" applyNumberFormat="1" applyFont="1" applyFill="1" applyBorder="1" applyAlignment="1">
      <x:alignment wrapText="1"/>
    </x:xf>
    <x:xf numFmtId="0" fontId="11" fillId="39" borderId="86" xfId="0" applyNumberFormat="1" applyFont="1" applyFill="1" applyBorder="1" applyAlignment="1">
      <x:alignment horizontal="center" wrapText="1"/>
    </x:xf>
    <x:xf numFmtId="0" fontId="11" fillId="39" borderId="87" xfId="0" applyNumberFormat="1" applyFont="1" applyFill="1" applyBorder="1" applyAlignment="1">
      <x:alignment horizontal="center" wrapText="1"/>
    </x:xf>
    <x:xf numFmtId="0" fontId="11" fillId="39" borderId="88" xfId="0" applyNumberFormat="1" applyFont="1" applyFill="1" applyBorder="1" applyAlignment="1">
      <x:alignment horizontal="center" wrapText="1"/>
    </x:xf>
    <x:xf numFmtId="0" fontId="11" fillId="39" borderId="89" xfId="0" applyNumberFormat="1" applyFont="1" applyFill="1" applyBorder="1" applyAlignment="1">
      <x:alignment horizontal="center" wrapText="1"/>
    </x:xf>
    <x:xf numFmtId="0" fontId="11" fillId="39" borderId="90" xfId="0" applyNumberFormat="1" applyFont="1" applyFill="1" applyBorder="1" applyAlignment="1">
      <x:alignment horizontal="center" wrapText="1"/>
    </x:xf>
    <x:xf numFmtId="0" fontId="11" fillId="39" borderId="91" xfId="0" applyNumberFormat="1" applyFont="1" applyFill="1" applyBorder="1" applyAlignment="1">
      <x:alignment horizontal="center" wrapText="1"/>
    </x:xf>
    <x:xf numFmtId="0" fontId="11" fillId="39" borderId="86" xfId="0" applyNumberFormat="1" applyFont="1" applyFill="1" applyBorder="1" applyAlignment="1">
      <x:alignment horizontal="center" vertical="center" wrapText="1"/>
    </x:xf>
    <x:xf numFmtId="0" fontId="11" fillId="39" borderId="87" xfId="0" applyNumberFormat="1" applyFont="1" applyFill="1" applyBorder="1" applyAlignment="1">
      <x:alignment horizontal="center" vertical="center" wrapText="1"/>
    </x:xf>
    <x:xf numFmtId="0" fontId="11" fillId="39" borderId="88" xfId="0" applyNumberFormat="1" applyFont="1" applyFill="1" applyBorder="1" applyAlignment="1">
      <x:alignment horizontal="center" vertical="center" wrapText="1"/>
    </x:xf>
    <x:xf numFmtId="0" fontId="11" fillId="39" borderId="89" xfId="0" applyNumberFormat="1" applyFont="1" applyFill="1" applyBorder="1" applyAlignment="1">
      <x:alignment horizontal="center" vertical="center" wrapText="1"/>
    </x:xf>
    <x:xf numFmtId="0" fontId="11" fillId="39" borderId="90" xfId="0" applyNumberFormat="1" applyFont="1" applyFill="1" applyBorder="1" applyAlignment="1">
      <x:alignment horizontal="center" vertical="center" wrapText="1"/>
    </x:xf>
    <x:xf numFmtId="0" fontId="11" fillId="39" borderId="91" xfId="0" applyNumberFormat="1" applyFont="1" applyFill="1" applyBorder="1" applyAlignment="1">
      <x:alignment horizontal="center" vertical="center" wrapText="1"/>
    </x:xf>
    <x:xf numFmtId="0" fontId="33" fillId="40" xfId="0" applyNumberFormat="1" applyFont="1" applyFill="1" applyBorder="0"/>
    <x:xf numFmtId="0" fontId="33" fillId="40" borderId="86" xfId="0" applyNumberFormat="1" applyFont="1" applyFill="1" applyBorder="1"/>
    <x:xf numFmtId="0" fontId="33" fillId="40" borderId="87" xfId="0" applyNumberFormat="1" applyFont="1" applyFill="1" applyBorder="1"/>
    <x:xf numFmtId="0" fontId="33" fillId="40" borderId="88" xfId="0" applyNumberFormat="1" applyFont="1" applyFill="1" applyBorder="1"/>
    <x:xf numFmtId="0" fontId="33" fillId="40" borderId="89" xfId="0" applyNumberFormat="1" applyFont="1" applyFill="1" applyBorder="1"/>
    <x:xf numFmtId="0" fontId="33" fillId="40" borderId="90" xfId="0" applyNumberFormat="1" applyFont="1" applyFill="1" applyBorder="1"/>
    <x:xf numFmtId="0" fontId="33" fillId="40" borderId="91" xfId="0" applyNumberFormat="1" applyFont="1" applyFill="1" applyBorder="1"/>
    <x:xf numFmtId="0" fontId="33" fillId="40" borderId="86" xfId="0" applyNumberFormat="1" applyFont="1" applyFill="1" applyBorder="1" applyAlignment="1">
      <x:alignment wrapText="1"/>
    </x:xf>
    <x:xf numFmtId="0" fontId="33" fillId="40" borderId="87" xfId="0" applyNumberFormat="1" applyFont="1" applyFill="1" applyBorder="1" applyAlignment="1">
      <x:alignment wrapText="1"/>
    </x:xf>
    <x:xf numFmtId="0" fontId="33" fillId="40" borderId="88" xfId="0" applyNumberFormat="1" applyFont="1" applyFill="1" applyBorder="1" applyAlignment="1">
      <x:alignment wrapText="1"/>
    </x:xf>
    <x:xf numFmtId="0" fontId="33" fillId="40" borderId="89" xfId="0" applyNumberFormat="1" applyFont="1" applyFill="1" applyBorder="1" applyAlignment="1">
      <x:alignment wrapText="1"/>
    </x:xf>
    <x:xf numFmtId="0" fontId="33" fillId="40" borderId="90" xfId="0" applyNumberFormat="1" applyFont="1" applyFill="1" applyBorder="1" applyAlignment="1">
      <x:alignment wrapText="1"/>
    </x:xf>
    <x:xf numFmtId="0" fontId="33" fillId="40" borderId="91" xfId="0" applyNumberFormat="1" applyFont="1" applyFill="1" applyBorder="1" applyAlignment="1">
      <x:alignment wrapText="1"/>
    </x:xf>
    <x:xf numFmtId="0" fontId="33" fillId="40" borderId="86" xfId="0" applyNumberFormat="1" applyFont="1" applyFill="1" applyBorder="1" applyAlignment="1">
      <x:alignment horizontal="left" wrapText="1"/>
    </x:xf>
    <x:xf numFmtId="0" fontId="33" fillId="40" borderId="87" xfId="0" applyNumberFormat="1" applyFont="1" applyFill="1" applyBorder="1" applyAlignment="1">
      <x:alignment horizontal="left" wrapText="1"/>
    </x:xf>
    <x:xf numFmtId="0" fontId="33" fillId="40" borderId="88" xfId="0" applyNumberFormat="1" applyFont="1" applyFill="1" applyBorder="1" applyAlignment="1">
      <x:alignment horizontal="left" wrapText="1"/>
    </x:xf>
    <x:xf numFmtId="0" fontId="33" fillId="40" borderId="89" xfId="0" applyNumberFormat="1" applyFont="1" applyFill="1" applyBorder="1" applyAlignment="1">
      <x:alignment horizontal="left" wrapText="1"/>
    </x:xf>
    <x:xf numFmtId="0" fontId="33" fillId="40" borderId="90" xfId="0" applyNumberFormat="1" applyFont="1" applyFill="1" applyBorder="1" applyAlignment="1">
      <x:alignment horizontal="left" wrapText="1"/>
    </x:xf>
    <x:xf numFmtId="0" fontId="33" fillId="40" borderId="91" xfId="0" applyNumberFormat="1" applyFont="1" applyFill="1" applyBorder="1" applyAlignment="1">
      <x:alignment horizontal="left" wrapText="1"/>
    </x:xf>
    <x:xf numFmtId="0" fontId="33" fillId="40" borderId="86" xfId="0" applyNumberFormat="1" applyFont="1" applyFill="1" applyBorder="1" applyAlignment="1">
      <x:alignment horizontal="left" vertical="top" wrapText="1"/>
    </x:xf>
    <x:xf numFmtId="0" fontId="33" fillId="40" borderId="87" xfId="0" applyNumberFormat="1" applyFont="1" applyFill="1" applyBorder="1" applyAlignment="1">
      <x:alignment horizontal="left" vertical="top" wrapText="1"/>
    </x:xf>
    <x:xf numFmtId="0" fontId="33" fillId="40" borderId="88" xfId="0" applyNumberFormat="1" applyFont="1" applyFill="1" applyBorder="1" applyAlignment="1">
      <x:alignment horizontal="left" vertical="top" wrapText="1"/>
    </x:xf>
    <x:xf numFmtId="0" fontId="33" fillId="40" borderId="89" xfId="0" applyNumberFormat="1" applyFont="1" applyFill="1" applyBorder="1" applyAlignment="1">
      <x:alignment horizontal="left" vertical="top" wrapText="1"/>
    </x:xf>
    <x:xf numFmtId="0" fontId="33" fillId="40" borderId="90" xfId="0" applyNumberFormat="1" applyFont="1" applyFill="1" applyBorder="1" applyAlignment="1">
      <x:alignment horizontal="left" vertical="top" wrapText="1"/>
    </x:xf>
    <x:xf numFmtId="0" fontId="33" fillId="40" borderId="91" xfId="0" applyNumberFormat="1" applyFont="1" applyFill="1" applyBorder="1" applyAlignment="1">
      <x:alignment horizontal="left" vertical="top" wrapText="1"/>
    </x:xf>
    <x:xf numFmtId="0" fontId="34" fillId="41" xfId="0" applyNumberFormat="1" applyFont="1" applyFill="1" applyBorder="0"/>
    <x:xf numFmtId="0" fontId="34" fillId="41" borderId="101" xfId="0" applyNumberFormat="1" applyFont="1" applyFill="1" applyBorder="1"/>
    <x:xf numFmtId="0" fontId="34" fillId="41" borderId="86" xfId="0" applyNumberFormat="1" applyFont="1" applyFill="1" applyBorder="1"/>
    <x:xf numFmtId="0" fontId="34" fillId="41" borderId="88" xfId="0" applyNumberFormat="1" applyFont="1" applyFill="1" applyBorder="1"/>
    <x:xf numFmtId="0" fontId="34" fillId="41" borderId="89" xfId="0" applyNumberFormat="1" applyFont="1" applyFill="1" applyBorder="1"/>
    <x:xf numFmtId="0" fontId="34" fillId="41" borderId="91" xfId="0" applyNumberFormat="1" applyFont="1" applyFill="1" applyBorder="1"/>
    <x:xf numFmtId="0" fontId="34" fillId="41" borderId="86" xfId="0" applyNumberFormat="1" applyFont="1" applyFill="1" applyBorder="1" applyAlignment="1">
      <x:alignment wrapText="1"/>
    </x:xf>
    <x:xf numFmtId="0" fontId="34" fillId="41" borderId="88" xfId="0" applyNumberFormat="1" applyFont="1" applyFill="1" applyBorder="1" applyAlignment="1">
      <x:alignment wrapText="1"/>
    </x:xf>
    <x:xf numFmtId="0" fontId="34" fillId="41" borderId="89" xfId="0" applyNumberFormat="1" applyFont="1" applyFill="1" applyBorder="1" applyAlignment="1">
      <x:alignment wrapText="1"/>
    </x:xf>
    <x:xf numFmtId="0" fontId="34" fillId="41" borderId="91" xfId="0" applyNumberFormat="1" applyFont="1" applyFill="1" applyBorder="1" applyAlignment="1">
      <x:alignment wrapText="1"/>
    </x:xf>
    <x:xf numFmtId="0" fontId="34" fillId="41" borderId="86" xfId="0" applyNumberFormat="1" applyFont="1" applyFill="1" applyBorder="1" applyAlignment="1">
      <x:alignment horizontal="left" wrapText="1"/>
    </x:xf>
    <x:xf numFmtId="0" fontId="34" fillId="41" borderId="88" xfId="0" applyNumberFormat="1" applyFont="1" applyFill="1" applyBorder="1" applyAlignment="1">
      <x:alignment horizontal="left" wrapText="1"/>
    </x:xf>
    <x:xf numFmtId="0" fontId="34" fillId="41" borderId="89" xfId="0" applyNumberFormat="1" applyFont="1" applyFill="1" applyBorder="1" applyAlignment="1">
      <x:alignment horizontal="left" wrapText="1"/>
    </x:xf>
    <x:xf numFmtId="0" fontId="34" fillId="41" borderId="91" xfId="0" applyNumberFormat="1" applyFont="1" applyFill="1" applyBorder="1" applyAlignment="1">
      <x:alignment horizontal="left" wrapText="1"/>
    </x:xf>
    <x:xf numFmtId="0" fontId="34" fillId="41" borderId="86" xfId="0" applyNumberFormat="1" applyFont="1" applyFill="1" applyBorder="1" applyAlignment="1">
      <x:alignment horizontal="left" vertical="top" wrapText="1"/>
    </x:xf>
    <x:xf numFmtId="0" fontId="34" fillId="41" borderId="88" xfId="0" applyNumberFormat="1" applyFont="1" applyFill="1" applyBorder="1" applyAlignment="1">
      <x:alignment horizontal="left" vertical="top" wrapText="1"/>
    </x:xf>
    <x:xf numFmtId="0" fontId="34" fillId="41" borderId="89" xfId="0" applyNumberFormat="1" applyFont="1" applyFill="1" applyBorder="1" applyAlignment="1">
      <x:alignment horizontal="left" vertical="top" wrapText="1"/>
    </x:xf>
    <x:xf numFmtId="0" fontId="34" fillId="41" borderId="91" xfId="0" applyNumberFormat="1" applyFont="1" applyFill="1" applyBorder="1" applyAlignment="1">
      <x:alignment horizontal="left" vertical="top" wrapText="1"/>
    </x:xf>
    <x:xf numFmtId="0" fontId="24" fillId="41" borderId="92" xfId="0" applyNumberFormat="1" applyFont="1" applyFill="1" applyBorder="1" applyAlignment="1">
      <x:alignment horizontal="left" vertical="top" wrapText="1"/>
    </x:xf>
    <x:xf numFmtId="0" fontId="24" fillId="41" borderId="93" xfId="0" applyNumberFormat="1" applyFont="1" applyFill="1" applyBorder="1" applyAlignment="1">
      <x:alignment horizontal="left" vertical="top" wrapText="1"/>
    </x:xf>
    <x:xf numFmtId="0" fontId="24" fillId="41" borderId="94" xfId="0" applyNumberFormat="1" applyFont="1" applyFill="1" applyBorder="1" applyAlignment="1">
      <x:alignment horizontal="left" vertical="top" wrapText="1"/>
    </x:xf>
    <x:xf numFmtId="0" fontId="11" fillId="39" borderId="92" xfId="0" applyNumberFormat="1" applyFont="1" applyFill="1" applyBorder="1" applyAlignment="1">
      <x:alignment horizontal="center" vertical="center" wrapText="1"/>
    </x:xf>
    <x:xf numFmtId="0" fontId="11" fillId="39" borderId="93" xfId="0" applyNumberFormat="1" applyFont="1" applyFill="1" applyBorder="1" applyAlignment="1">
      <x:alignment horizontal="center" vertical="center" wrapText="1"/>
    </x:xf>
    <x:xf numFmtId="0" fontId="11" fillId="39" borderId="94" xfId="0" applyNumberFormat="1" applyFont="1" applyFill="1" applyBorder="1" applyAlignment="1">
      <x:alignment horizontal="center" vertical="center" wrapText="1"/>
    </x:xf>
    <x:xf numFmtId="0" fontId="33" fillId="40" borderId="92" xfId="0" applyNumberFormat="1" applyFont="1" applyFill="1" applyBorder="1" applyAlignment="1">
      <x:alignment horizontal="left" vertical="top" wrapText="1"/>
    </x:xf>
    <x:xf numFmtId="0" fontId="33" fillId="40" borderId="93" xfId="0" applyNumberFormat="1" applyFont="1" applyFill="1" applyBorder="1" applyAlignment="1">
      <x:alignment horizontal="left" vertical="top" wrapText="1"/>
    </x:xf>
    <x:xf numFmtId="0" fontId="33" fillId="40" borderId="94" xfId="0" applyNumberFormat="1" applyFont="1" applyFill="1" applyBorder="1" applyAlignment="1">
      <x:alignment horizontal="left" vertical="top" wrapText="1"/>
    </x:xf>
    <x:xf numFmtId="0" fontId="34" fillId="41" borderId="92" xfId="0" applyNumberFormat="1" applyFont="1" applyFill="1" applyBorder="1" applyAlignment="1">
      <x:alignment horizontal="left" vertical="top" wrapText="1"/>
    </x:xf>
    <x:xf numFmtId="0" fontId="34" fillId="41" borderId="94" xfId="0" applyNumberFormat="1" applyFont="1" applyFill="1" applyBorder="1" applyAlignment="1">
      <x:alignment horizontal="left" vertical="top" wrapText="1"/>
    </x:xf>
    <x:xf numFmtId="0" fontId="11" fillId="42" borderId="89" xfId="0" applyNumberFormat="1" applyFont="1" applyFill="1" applyBorder="1" applyAlignment="1">
      <x:alignment horizontal="center" vertical="center" wrapText="1"/>
    </x:xf>
    <x:xf numFmtId="0" fontId="11" fillId="42" borderId="90" xfId="0" applyNumberFormat="1" applyFont="1" applyFill="1" applyBorder="1" applyAlignment="1">
      <x:alignment horizontal="center" vertical="center" wrapText="1"/>
    </x:xf>
    <x:xf numFmtId="0" fontId="11" fillId="42" borderId="91" xfId="0" applyNumberFormat="1" applyFont="1" applyFill="1" applyBorder="1" applyAlignment="1">
      <x:alignment horizontal="center" vertical="center" wrapText="1"/>
    </x:xf>
    <x:xf numFmtId="0" fontId="35" fillId="42" borderId="89" xfId="0" applyNumberFormat="1" applyFont="1" applyFill="1" applyBorder="1" applyAlignment="1">
      <x:alignment horizontal="center" vertical="center" wrapText="1"/>
    </x:xf>
    <x:xf numFmtId="0" fontId="35" fillId="42" borderId="90" xfId="0" applyNumberFormat="1" applyFont="1" applyFill="1" applyBorder="1" applyAlignment="1">
      <x:alignment horizontal="center" vertical="center" wrapText="1"/>
    </x:xf>
    <x:xf numFmtId="0" fontId="35" fillId="42" borderId="91" xfId="0" applyNumberFormat="1" applyFont="1" applyFill="1" applyBorder="1" applyAlignment="1">
      <x:alignment horizontal="center" vertical="center" wrapText="1"/>
    </x:xf>
    <x:xf numFmtId="0" fontId="35" fillId="42" xfId="0" applyNumberFormat="1" applyFont="1" applyFill="1" applyBorder="0"/>
    <x:xf numFmtId="0" fontId="35" fillId="42" borderId="92" xfId="0" applyNumberFormat="1" applyFont="1" applyFill="1" applyBorder="1" applyAlignment="1">
      <x:alignment horizontal="center" vertical="center" wrapText="1"/>
    </x:xf>
    <x:xf numFmtId="0" fontId="35" fillId="42" borderId="93" xfId="0" applyNumberFormat="1" applyFont="1" applyFill="1" applyBorder="1" applyAlignment="1">
      <x:alignment horizontal="center" vertical="center" wrapText="1"/>
    </x:xf>
    <x:xf numFmtId="0" fontId="35" fillId="42" borderId="94" xfId="0" applyNumberFormat="1" applyFont="1" applyFill="1" applyBorder="1" applyAlignment="1">
      <x:alignment horizontal="center" vertical="center" wrapText="1"/>
    </x:xf>
    <x:xf numFmtId="0" fontId="35" fillId="42" borderId="89" xfId="0" applyNumberFormat="1" applyFont="1" applyFill="1" applyBorder="1"/>
    <x:xf numFmtId="0" fontId="35" fillId="42" borderId="90" xfId="0" applyNumberFormat="1" applyFont="1" applyFill="1" applyBorder="1"/>
    <x:xf numFmtId="0" fontId="35" fillId="42" borderId="91" xfId="0" applyNumberFormat="1" applyFont="1" applyFill="1" applyBorder="1"/>
    <x:xf numFmtId="0" fontId="35" fillId="42" borderId="89" xfId="0" applyNumberFormat="1" applyFont="1" applyFill="1" applyBorder="1" applyAlignment="1">
      <x:alignment wrapText="1"/>
    </x:xf>
    <x:xf numFmtId="0" fontId="35" fillId="42" borderId="90" xfId="0" applyNumberFormat="1" applyFont="1" applyFill="1" applyBorder="1" applyAlignment="1">
      <x:alignment wrapText="1"/>
    </x:xf>
    <x:xf numFmtId="0" fontId="35" fillId="42" borderId="91" xfId="0" applyNumberFormat="1" applyFont="1" applyFill="1" applyBorder="1" applyAlignment="1">
      <x:alignment wrapText="1"/>
    </x:xf>
    <x:xf numFmtId="0" fontId="35" fillId="42" borderId="89" xfId="0" applyNumberFormat="1" applyFont="1" applyFill="1" applyBorder="1" applyAlignment="1">
      <x:alignment horizontal="center" wrapText="1"/>
    </x:xf>
    <x:xf numFmtId="0" fontId="35" fillId="42" borderId="90" xfId="0" applyNumberFormat="1" applyFont="1" applyFill="1" applyBorder="1" applyAlignment="1">
      <x:alignment horizontal="center" wrapText="1"/>
    </x:xf>
    <x:xf numFmtId="0" fontId="35" fillId="42" borderId="91" xfId="0" applyNumberFormat="1" applyFont="1" applyFill="1" applyBorder="1" applyAlignment="1">
      <x:alignment horizontal="center" wrapText="1"/>
    </x:xf>
    <x:xf numFmtId="0" fontId="35" fillId="43" borderId="89" xfId="0" applyNumberFormat="1" applyFont="1" applyFill="1" applyBorder="1" applyAlignment="1">
      <x:alignment horizontal="center" vertical="center" wrapText="1"/>
    </x:xf>
    <x:xf numFmtId="0" fontId="35" fillId="43" borderId="90" xfId="0" applyNumberFormat="1" applyFont="1" applyFill="1" applyBorder="1" applyAlignment="1">
      <x:alignment horizontal="center" vertical="center" wrapText="1"/>
    </x:xf>
    <x:xf numFmtId="0" fontId="35" fillId="43" borderId="91" xfId="0" applyNumberFormat="1" applyFont="1" applyFill="1" applyBorder="1" applyAlignment="1">
      <x:alignment horizontal="center" vertical="center" wrapText="1"/>
    </x:xf>
    <x:xf numFmtId="0" fontId="0" fillId="43" xfId="0" applyNumberFormat="1" applyFont="1" applyFill="1" applyBorder="0"/>
    <x:xf numFmtId="0" fontId="36" fillId="43" borderId="89" xfId="0" applyNumberFormat="1" applyFont="1" applyFill="1" applyBorder="1" applyAlignment="1">
      <x:alignment horizontal="center" vertical="center" wrapText="1"/>
    </x:xf>
    <x:xf numFmtId="0" fontId="36" fillId="43" borderId="90" xfId="0" applyNumberFormat="1" applyFont="1" applyFill="1" applyBorder="1" applyAlignment="1">
      <x:alignment horizontal="center" vertical="center" wrapText="1"/>
    </x:xf>
    <x:xf numFmtId="0" fontId="36" fillId="43" borderId="91" xfId="0" applyNumberFormat="1" applyFont="1" applyFill="1" applyBorder="1" applyAlignment="1">
      <x:alignment horizontal="center" vertical="center" wrapText="1"/>
    </x:xf>
    <x:xf numFmtId="0" fontId="36" fillId="43" xfId="0" applyNumberFormat="1" applyFont="1" applyFill="1" applyBorder="0"/>
    <x:xf numFmtId="0" fontId="36" fillId="43" borderId="92" xfId="0" applyNumberFormat="1" applyFont="1" applyFill="1" applyBorder="1" applyAlignment="1">
      <x:alignment horizontal="center" vertical="center" wrapText="1"/>
    </x:xf>
    <x:xf numFmtId="0" fontId="36" fillId="43" borderId="93" xfId="0" applyNumberFormat="1" applyFont="1" applyFill="1" applyBorder="1" applyAlignment="1">
      <x:alignment horizontal="center" vertical="center" wrapText="1"/>
    </x:xf>
    <x:xf numFmtId="0" fontId="36" fillId="43" borderId="94" xfId="0" applyNumberFormat="1" applyFont="1" applyFill="1" applyBorder="1" applyAlignment="1">
      <x:alignment horizontal="center" vertical="center" wrapText="1"/>
    </x:xf>
    <x:xf numFmtId="0" fontId="36" fillId="43" borderId="89" xfId="0" applyNumberFormat="1" applyFont="1" applyFill="1" applyBorder="1"/>
    <x:xf numFmtId="0" fontId="36" fillId="43" borderId="90" xfId="0" applyNumberFormat="1" applyFont="1" applyFill="1" applyBorder="1"/>
    <x:xf numFmtId="0" fontId="36" fillId="43" borderId="91" xfId="0" applyNumberFormat="1" applyFont="1" applyFill="1" applyBorder="1"/>
    <x:xf numFmtId="0" fontId="36" fillId="43" borderId="89" xfId="0" applyNumberFormat="1" applyFont="1" applyFill="1" applyBorder="1" applyAlignment="1">
      <x:alignment wrapText="1"/>
    </x:xf>
    <x:xf numFmtId="0" fontId="36" fillId="43" borderId="90" xfId="0" applyNumberFormat="1" applyFont="1" applyFill="1" applyBorder="1" applyAlignment="1">
      <x:alignment wrapText="1"/>
    </x:xf>
    <x:xf numFmtId="0" fontId="36" fillId="43" borderId="91" xfId="0" applyNumberFormat="1" applyFont="1" applyFill="1" applyBorder="1" applyAlignment="1">
      <x:alignment wrapText="1"/>
    </x:xf>
    <x:xf numFmtId="0" fontId="36" fillId="43" borderId="89" xfId="0" applyNumberFormat="1" applyFont="1" applyFill="1" applyBorder="1" applyAlignment="1">
      <x:alignment horizontal="center" wrapText="1"/>
    </x:xf>
    <x:xf numFmtId="0" fontId="36" fillId="43" borderId="90" xfId="0" applyNumberFormat="1" applyFont="1" applyFill="1" applyBorder="1" applyAlignment="1">
      <x:alignment horizontal="center" wrapText="1"/>
    </x:xf>
    <x:xf numFmtId="0" fontId="36" fillId="43" borderId="91" xfId="0" applyNumberFormat="1" applyFont="1" applyFill="1" applyBorder="1" applyAlignment="1">
      <x:alignment horizontal="center" wrapText="1"/>
    </x:xf>
    <x:xf numFmtId="0" fontId="0" fillId="37" borderId="100" xfId="0" applyNumberFormat="1" applyFont="1" applyFill="1" applyBorder="1"/>
    <x:xf numFmtId="0" fontId="0" fillId="37" xfId="0" applyNumberFormat="1" applyFont="1" applyFill="1" applyBorder="0"/>
    <x:xf numFmtId="0" fontId="24" fillId="37" borderId="100" xfId="0" applyNumberFormat="1" applyFont="1" applyFill="1" applyBorder="1"/>
    <x:xf numFmtId="0" fontId="24" fillId="37" xfId="0" applyNumberFormat="1" applyFont="1" applyFill="1" applyBorder="0"/>
    <x:xf numFmtId="0" fontId="24" fillId="37" borderId="95" xfId="0" applyNumberFormat="1" applyFont="1" applyFill="1" applyBorder="1"/>
    <x:xf numFmtId="0" fontId="24" fillId="37" borderId="96" xfId="0" applyNumberFormat="1" applyFont="1" applyFill="1" applyBorder="1"/>
    <x:xf numFmtId="0" fontId="24" fillId="37" borderId="95" xfId="0" applyNumberFormat="1" applyFont="1" applyFill="1" applyBorder="1" applyAlignment="1">
      <x:alignment wrapText="1"/>
    </x:xf>
    <x:xf numFmtId="0" fontId="24" fillId="37" xfId="0" applyNumberFormat="1" applyFont="1" applyFill="1" applyBorder="0" applyAlignment="1">
      <x:alignment wrapText="1"/>
    </x:xf>
    <x:xf numFmtId="0" fontId="24" fillId="37" borderId="96" xfId="0" applyNumberFormat="1" applyFont="1" applyFill="1" applyBorder="1" applyAlignment="1">
      <x:alignment wrapText="1"/>
    </x:xf>
    <x:xf numFmtId="0" fontId="24" fillId="37" borderId="86" xfId="0" applyNumberFormat="1" applyFont="1" applyFill="1" applyBorder="1" applyAlignment="1">
      <x:alignment horizontal="left" wrapText="1"/>
    </x:xf>
    <x:xf numFmtId="0" fontId="24" fillId="37" borderId="87" xfId="0" applyNumberFormat="1" applyFont="1" applyFill="1" applyBorder="1" applyAlignment="1">
      <x:alignment horizontal="left" wrapText="1"/>
    </x:xf>
    <x:xf numFmtId="0" fontId="24" fillId="37" borderId="88" xfId="0" applyNumberFormat="1" applyFont="1" applyFill="1" applyBorder="1" applyAlignment="1">
      <x:alignment horizontal="left" wrapText="1"/>
    </x:xf>
    <x:xf numFmtId="0" fontId="24" fillId="37" borderId="95" xfId="0" applyNumberFormat="1" applyFont="1" applyFill="1" applyBorder="1" applyAlignment="1">
      <x:alignment horizontal="left" wrapText="1"/>
    </x:xf>
    <x:xf numFmtId="0" fontId="24" fillId="37" xfId="0" applyNumberFormat="1" applyFont="1" applyFill="1" applyBorder="0" applyAlignment="1">
      <x:alignment horizontal="left" wrapText="1"/>
    </x:xf>
    <x:xf numFmtId="0" fontId="24" fillId="37" borderId="96" xfId="0" applyNumberFormat="1" applyFont="1" applyFill="1" applyBorder="1" applyAlignment="1">
      <x:alignment horizontal="left" wrapText="1"/>
    </x:xf>
    <x:xf numFmtId="0" fontId="24" fillId="37" borderId="89" xfId="0" applyNumberFormat="1" applyFont="1" applyFill="1" applyBorder="1" applyAlignment="1">
      <x:alignment horizontal="left" wrapText="1"/>
    </x:xf>
    <x:xf numFmtId="0" fontId="24" fillId="37" borderId="90" xfId="0" applyNumberFormat="1" applyFont="1" applyFill="1" applyBorder="1" applyAlignment="1">
      <x:alignment horizontal="left" wrapText="1"/>
    </x:xf>
    <x:xf numFmtId="0" fontId="24" fillId="37" borderId="91" xfId="0" applyNumberFormat="1" applyFont="1" applyFill="1" applyBorder="1" applyAlignment="1">
      <x:alignment horizontal="left" wrapText="1"/>
    </x:xf>
    <x:xf numFmtId="0" fontId="24" fillId="37" borderId="86" xfId="0" applyNumberFormat="1" applyFont="1" applyFill="1" applyBorder="1" applyAlignment="1">
      <x:alignment horizontal="left" vertical="top" wrapText="1"/>
    </x:xf>
    <x:xf numFmtId="0" fontId="24" fillId="37" borderId="87" xfId="0" applyNumberFormat="1" applyFont="1" applyFill="1" applyBorder="1" applyAlignment="1">
      <x:alignment horizontal="left" vertical="top" wrapText="1"/>
    </x:xf>
    <x:xf numFmtId="0" fontId="24" fillId="37" borderId="88" xfId="0" applyNumberFormat="1" applyFont="1" applyFill="1" applyBorder="1" applyAlignment="1">
      <x:alignment horizontal="left" vertical="top" wrapText="1"/>
    </x:xf>
    <x:xf numFmtId="0" fontId="24" fillId="37" borderId="95" xfId="0" applyNumberFormat="1" applyFont="1" applyFill="1" applyBorder="1" applyAlignment="1">
      <x:alignment horizontal="left" vertical="top" wrapText="1"/>
    </x:xf>
    <x:xf numFmtId="0" fontId="24" fillId="37" xfId="0" applyNumberFormat="1" applyFont="1" applyFill="1" applyBorder="0" applyAlignment="1">
      <x:alignment horizontal="left" vertical="top" wrapText="1"/>
    </x:xf>
    <x:xf numFmtId="0" fontId="24" fillId="37" borderId="96" xfId="0" applyNumberFormat="1" applyFont="1" applyFill="1" applyBorder="1" applyAlignment="1">
      <x:alignment horizontal="left" vertical="top" wrapText="1"/>
    </x:xf>
    <x:xf numFmtId="0" fontId="24" fillId="37" borderId="89" xfId="0" applyNumberFormat="1" applyFont="1" applyFill="1" applyBorder="1" applyAlignment="1">
      <x:alignment horizontal="left" vertical="top" wrapText="1"/>
    </x:xf>
    <x:xf numFmtId="0" fontId="24" fillId="37" borderId="90" xfId="0" applyNumberFormat="1" applyFont="1" applyFill="1" applyBorder="1" applyAlignment="1">
      <x:alignment horizontal="left" vertical="top" wrapText="1"/>
    </x:xf>
    <x:xf numFmtId="0" fontId="24" fillId="37" borderId="91" xfId="0" applyNumberFormat="1" applyFont="1" applyFill="1" applyBorder="1" applyAlignment="1">
      <x:alignment horizontal="left" vertical="top" wrapText="1"/>
    </x:xf>
    <x:xf numFmtId="0" fontId="37" fillId="41" xfId="0" applyNumberFormat="1" applyFont="1" applyFill="1" applyBorder="0"/>
    <x:xf numFmtId="0" fontId="37" fillId="41" borderId="101" xfId="0" applyNumberFormat="1" applyFont="1" applyFill="1" applyBorder="1"/>
    <x:xf numFmtId="0" fontId="37" fillId="41" borderId="86" xfId="0" applyNumberFormat="1" applyFont="1" applyFill="1" applyBorder="1"/>
    <x:xf numFmtId="0" fontId="37" fillId="41" borderId="88" xfId="0" applyNumberFormat="1" applyFont="1" applyFill="1" applyBorder="1"/>
    <x:xf numFmtId="0" fontId="37" fillId="41" borderId="95" xfId="0" applyNumberFormat="1" applyFont="1" applyFill="1" applyBorder="1"/>
    <x:xf numFmtId="0" fontId="37" fillId="41" borderId="96" xfId="0" applyNumberFormat="1" applyFont="1" applyFill="1" applyBorder="1"/>
    <x:xf numFmtId="0" fontId="37" fillId="41" borderId="89" xfId="0" applyNumberFormat="1" applyFont="1" applyFill="1" applyBorder="1"/>
    <x:xf numFmtId="0" fontId="37" fillId="41" borderId="91" xfId="0" applyNumberFormat="1" applyFont="1" applyFill="1" applyBorder="1"/>
    <x:xf numFmtId="0" fontId="37" fillId="41" borderId="86" xfId="0" applyNumberFormat="1" applyFont="1" applyFill="1" applyBorder="1" applyAlignment="1">
      <x:alignment wrapText="1"/>
    </x:xf>
    <x:xf numFmtId="0" fontId="37" fillId="41" borderId="88" xfId="0" applyNumberFormat="1" applyFont="1" applyFill="1" applyBorder="1" applyAlignment="1">
      <x:alignment wrapText="1"/>
    </x:xf>
    <x:xf numFmtId="0" fontId="37" fillId="41" borderId="95" xfId="0" applyNumberFormat="1" applyFont="1" applyFill="1" applyBorder="1" applyAlignment="1">
      <x:alignment wrapText="1"/>
    </x:xf>
    <x:xf numFmtId="0" fontId="37" fillId="41" borderId="96" xfId="0" applyNumberFormat="1" applyFont="1" applyFill="1" applyBorder="1" applyAlignment="1">
      <x:alignment wrapText="1"/>
    </x:xf>
    <x:xf numFmtId="0" fontId="37" fillId="41" borderId="89" xfId="0" applyNumberFormat="1" applyFont="1" applyFill="1" applyBorder="1" applyAlignment="1">
      <x:alignment wrapText="1"/>
    </x:xf>
    <x:xf numFmtId="0" fontId="37" fillId="41" borderId="91" xfId="0" applyNumberFormat="1" applyFont="1" applyFill="1" applyBorder="1" applyAlignment="1">
      <x:alignment wrapText="1"/>
    </x:xf>
    <x:xf numFmtId="0" fontId="37" fillId="41" borderId="86" xfId="0" applyNumberFormat="1" applyFont="1" applyFill="1" applyBorder="1" applyAlignment="1">
      <x:alignment horizontal="center" wrapText="1"/>
    </x:xf>
    <x:xf numFmtId="0" fontId="37" fillId="41" borderId="88" xfId="0" applyNumberFormat="1" applyFont="1" applyFill="1" applyBorder="1" applyAlignment="1">
      <x:alignment horizontal="center" wrapText="1"/>
    </x:xf>
    <x:xf numFmtId="0" fontId="37" fillId="41" borderId="95" xfId="0" applyNumberFormat="1" applyFont="1" applyFill="1" applyBorder="1" applyAlignment="1">
      <x:alignment horizontal="center" wrapText="1"/>
    </x:xf>
    <x:xf numFmtId="0" fontId="37" fillId="41" borderId="96" xfId="0" applyNumberFormat="1" applyFont="1" applyFill="1" applyBorder="1" applyAlignment="1">
      <x:alignment horizontal="center" wrapText="1"/>
    </x:xf>
    <x:xf numFmtId="0" fontId="37" fillId="41" borderId="89" xfId="0" applyNumberFormat="1" applyFont="1" applyFill="1" applyBorder="1" applyAlignment="1">
      <x:alignment horizontal="center" wrapText="1"/>
    </x:xf>
    <x:xf numFmtId="0" fontId="37" fillId="41" borderId="91" xfId="0" applyNumberFormat="1" applyFont="1" applyFill="1" applyBorder="1" applyAlignment="1">
      <x:alignment horizontal="center" wrapText="1"/>
    </x:xf>
    <x:xf numFmtId="0" fontId="37" fillId="41" borderId="86" xfId="0" applyNumberFormat="1" applyFont="1" applyFill="1" applyBorder="1" applyAlignment="1">
      <x:alignment horizontal="center" vertical="center" wrapText="1"/>
    </x:xf>
    <x:xf numFmtId="0" fontId="37" fillId="41" borderId="88" xfId="0" applyNumberFormat="1" applyFont="1" applyFill="1" applyBorder="1" applyAlignment="1">
      <x:alignment horizontal="center" vertical="center" wrapText="1"/>
    </x:xf>
    <x:xf numFmtId="0" fontId="37" fillId="41" borderId="95" xfId="0" applyNumberFormat="1" applyFont="1" applyFill="1" applyBorder="1" applyAlignment="1">
      <x:alignment horizontal="center" vertical="center" wrapText="1"/>
    </x:xf>
    <x:xf numFmtId="0" fontId="37" fillId="41" borderId="96" xfId="0" applyNumberFormat="1" applyFont="1" applyFill="1" applyBorder="1" applyAlignment="1">
      <x:alignment horizontal="center" vertical="center" wrapText="1"/>
    </x:xf>
    <x:xf numFmtId="0" fontId="37" fillId="41" borderId="89" xfId="0" applyNumberFormat="1" applyFont="1" applyFill="1" applyBorder="1" applyAlignment="1">
      <x:alignment horizontal="center" vertical="center" wrapText="1"/>
    </x:xf>
    <x:xf numFmtId="0" fontId="37" fillId="41" borderId="91" xfId="0" applyNumberFormat="1" applyFont="1" applyFill="1" applyBorder="1" applyAlignment="1">
      <x:alignment horizontal="center" vertical="center" wrapText="1"/>
    </x:xf>
    <x:xf numFmtId="0" fontId="0" fillId="42" borderId="100" xfId="0" applyNumberFormat="1" applyFont="1" applyFill="1" applyBorder="1"/>
    <x:xf numFmtId="0" fontId="38" fillId="42" borderId="100" xfId="0" applyNumberFormat="1" applyFont="1" applyFill="1" applyBorder="1"/>
    <x:xf numFmtId="0" fontId="38" fillId="42" xfId="0" applyNumberFormat="1" applyFont="1" applyFill="1" applyBorder="0"/>
    <x:xf numFmtId="0" fontId="38" fillId="42" borderId="101" xfId="0" applyNumberFormat="1" applyFont="1" applyFill="1" applyBorder="1"/>
    <x:xf numFmtId="0" fontId="38" fillId="42" borderId="86" xfId="0" applyNumberFormat="1" applyFont="1" applyFill="1" applyBorder="1"/>
    <x:xf numFmtId="0" fontId="38" fillId="42" borderId="87" xfId="0" applyNumberFormat="1" applyFont="1" applyFill="1" applyBorder="1"/>
    <x:xf numFmtId="0" fontId="38" fillId="42" borderId="88" xfId="0" applyNumberFormat="1" applyFont="1" applyFill="1" applyBorder="1"/>
    <x:xf numFmtId="0" fontId="38" fillId="42" borderId="95" xfId="0" applyNumberFormat="1" applyFont="1" applyFill="1" applyBorder="1"/>
    <x:xf numFmtId="0" fontId="38" fillId="42" borderId="96" xfId="0" applyNumberFormat="1" applyFont="1" applyFill="1" applyBorder="1"/>
    <x:xf numFmtId="0" fontId="38" fillId="42" borderId="89" xfId="0" applyNumberFormat="1" applyFont="1" applyFill="1" applyBorder="1"/>
    <x:xf numFmtId="0" fontId="38" fillId="42" borderId="90" xfId="0" applyNumberFormat="1" applyFont="1" applyFill="1" applyBorder="1"/>
    <x:xf numFmtId="0" fontId="38" fillId="42" borderId="91" xfId="0" applyNumberFormat="1" applyFont="1" applyFill="1" applyBorder="1"/>
    <x:xf numFmtId="0" fontId="38" fillId="42" borderId="86" xfId="0" applyNumberFormat="1" applyFont="1" applyFill="1" applyBorder="1" applyAlignment="1">
      <x:alignment wrapText="1"/>
    </x:xf>
    <x:xf numFmtId="0" fontId="38" fillId="42" borderId="87" xfId="0" applyNumberFormat="1" applyFont="1" applyFill="1" applyBorder="1" applyAlignment="1">
      <x:alignment wrapText="1"/>
    </x:xf>
    <x:xf numFmtId="0" fontId="38" fillId="42" borderId="88" xfId="0" applyNumberFormat="1" applyFont="1" applyFill="1" applyBorder="1" applyAlignment="1">
      <x:alignment wrapText="1"/>
    </x:xf>
    <x:xf numFmtId="0" fontId="38" fillId="42" borderId="95" xfId="0" applyNumberFormat="1" applyFont="1" applyFill="1" applyBorder="1" applyAlignment="1">
      <x:alignment wrapText="1"/>
    </x:xf>
    <x:xf numFmtId="0" fontId="38" fillId="42" xfId="0" applyNumberFormat="1" applyFont="1" applyFill="1" applyBorder="0" applyAlignment="1">
      <x:alignment wrapText="1"/>
    </x:xf>
    <x:xf numFmtId="0" fontId="38" fillId="42" borderId="96" xfId="0" applyNumberFormat="1" applyFont="1" applyFill="1" applyBorder="1" applyAlignment="1">
      <x:alignment wrapText="1"/>
    </x:xf>
    <x:xf numFmtId="0" fontId="38" fillId="42" borderId="89" xfId="0" applyNumberFormat="1" applyFont="1" applyFill="1" applyBorder="1" applyAlignment="1">
      <x:alignment wrapText="1"/>
    </x:xf>
    <x:xf numFmtId="0" fontId="38" fillId="42" borderId="90" xfId="0" applyNumberFormat="1" applyFont="1" applyFill="1" applyBorder="1" applyAlignment="1">
      <x:alignment wrapText="1"/>
    </x:xf>
    <x:xf numFmtId="0" fontId="38" fillId="42" borderId="91" xfId="0" applyNumberFormat="1" applyFont="1" applyFill="1" applyBorder="1" applyAlignment="1">
      <x:alignment wrapText="1"/>
    </x:xf>
    <x:xf numFmtId="0" fontId="38" fillId="42" borderId="86" xfId="0" applyNumberFormat="1" applyFont="1" applyFill="1" applyBorder="1" applyAlignment="1">
      <x:alignment horizontal="left" wrapText="1"/>
    </x:xf>
    <x:xf numFmtId="0" fontId="38" fillId="42" borderId="87" xfId="0" applyNumberFormat="1" applyFont="1" applyFill="1" applyBorder="1" applyAlignment="1">
      <x:alignment horizontal="left" wrapText="1"/>
    </x:xf>
    <x:xf numFmtId="0" fontId="38" fillId="42" borderId="88" xfId="0" applyNumberFormat="1" applyFont="1" applyFill="1" applyBorder="1" applyAlignment="1">
      <x:alignment horizontal="left" wrapText="1"/>
    </x:xf>
    <x:xf numFmtId="0" fontId="38" fillId="42" borderId="95" xfId="0" applyNumberFormat="1" applyFont="1" applyFill="1" applyBorder="1" applyAlignment="1">
      <x:alignment horizontal="left" wrapText="1"/>
    </x:xf>
    <x:xf numFmtId="0" fontId="38" fillId="42" xfId="0" applyNumberFormat="1" applyFont="1" applyFill="1" applyBorder="0" applyAlignment="1">
      <x:alignment horizontal="left" wrapText="1"/>
    </x:xf>
    <x:xf numFmtId="0" fontId="38" fillId="42" borderId="96" xfId="0" applyNumberFormat="1" applyFont="1" applyFill="1" applyBorder="1" applyAlignment="1">
      <x:alignment horizontal="left" wrapText="1"/>
    </x:xf>
    <x:xf numFmtId="0" fontId="38" fillId="42" borderId="89" xfId="0" applyNumberFormat="1" applyFont="1" applyFill="1" applyBorder="1" applyAlignment="1">
      <x:alignment horizontal="left" wrapText="1"/>
    </x:xf>
    <x:xf numFmtId="0" fontId="38" fillId="42" borderId="90" xfId="0" applyNumberFormat="1" applyFont="1" applyFill="1" applyBorder="1" applyAlignment="1">
      <x:alignment horizontal="left" wrapText="1"/>
    </x:xf>
    <x:xf numFmtId="0" fontId="38" fillId="42" borderId="91" xfId="0" applyNumberFormat="1" applyFont="1" applyFill="1" applyBorder="1" applyAlignment="1">
      <x:alignment horizontal="left" wrapText="1"/>
    </x:xf>
    <x:xf numFmtId="0" fontId="38" fillId="42" borderId="86" xfId="0" applyNumberFormat="1" applyFont="1" applyFill="1" applyBorder="1" applyAlignment="1">
      <x:alignment horizontal="left" vertical="center" wrapText="1"/>
    </x:xf>
    <x:xf numFmtId="0" fontId="38" fillId="42" borderId="87" xfId="0" applyNumberFormat="1" applyFont="1" applyFill="1" applyBorder="1" applyAlignment="1">
      <x:alignment horizontal="left" vertical="center" wrapText="1"/>
    </x:xf>
    <x:xf numFmtId="0" fontId="38" fillId="42" borderId="88" xfId="0" applyNumberFormat="1" applyFont="1" applyFill="1" applyBorder="1" applyAlignment="1">
      <x:alignment horizontal="left" vertical="center" wrapText="1"/>
    </x:xf>
    <x:xf numFmtId="0" fontId="38" fillId="42" borderId="95" xfId="0" applyNumberFormat="1" applyFont="1" applyFill="1" applyBorder="1" applyAlignment="1">
      <x:alignment horizontal="left" vertical="center" wrapText="1"/>
    </x:xf>
    <x:xf numFmtId="0" fontId="38" fillId="42" xfId="0" applyNumberFormat="1" applyFont="1" applyFill="1" applyBorder="0" applyAlignment="1">
      <x:alignment horizontal="left" vertical="center" wrapText="1"/>
    </x:xf>
    <x:xf numFmtId="0" fontId="38" fillId="42" borderId="96" xfId="0" applyNumberFormat="1" applyFont="1" applyFill="1" applyBorder="1" applyAlignment="1">
      <x:alignment horizontal="left" vertical="center" wrapText="1"/>
    </x:xf>
    <x:xf numFmtId="0" fontId="38" fillId="42" borderId="89" xfId="0" applyNumberFormat="1" applyFont="1" applyFill="1" applyBorder="1" applyAlignment="1">
      <x:alignment horizontal="left" vertical="center" wrapText="1"/>
    </x:xf>
    <x:xf numFmtId="0" fontId="38" fillId="42" borderId="90" xfId="0" applyNumberFormat="1" applyFont="1" applyFill="1" applyBorder="1" applyAlignment="1">
      <x:alignment horizontal="left" vertical="center" wrapText="1"/>
    </x:xf>
    <x:xf numFmtId="0" fontId="38" fillId="42" borderId="91" xfId="0" applyNumberFormat="1" applyFont="1" applyFill="1" applyBorder="1" applyAlignment="1">
      <x:alignment horizontal="left" vertical="center" wrapText="1"/>
    </x:xf>
    <x:xf numFmtId="0" fontId="33" fillId="41" borderId="100" xfId="0" applyNumberFormat="1" applyFont="1" applyFill="1" applyBorder="1"/>
    <x:xf numFmtId="0" fontId="33" fillId="41" xfId="0" applyNumberFormat="1" applyFont="1" applyFill="1" applyBorder="0"/>
    <x:xf numFmtId="0" fontId="33" fillId="41" borderId="86" xfId="0" applyNumberFormat="1" applyFont="1" applyFill="1" applyBorder="1"/>
    <x:xf numFmtId="0" fontId="33" fillId="41" borderId="87" xfId="0" applyNumberFormat="1" applyFont="1" applyFill="1" applyBorder="1"/>
    <x:xf numFmtId="0" fontId="33" fillId="41" borderId="88" xfId="0" applyNumberFormat="1" applyFont="1" applyFill="1" applyBorder="1"/>
    <x:xf numFmtId="0" fontId="33" fillId="41" borderId="95" xfId="0" applyNumberFormat="1" applyFont="1" applyFill="1" applyBorder="1"/>
    <x:xf numFmtId="0" fontId="33" fillId="41" borderId="96" xfId="0" applyNumberFormat="1" applyFont="1" applyFill="1" applyBorder="1"/>
    <x:xf numFmtId="0" fontId="33" fillId="41" borderId="89" xfId="0" applyNumberFormat="1" applyFont="1" applyFill="1" applyBorder="1"/>
    <x:xf numFmtId="0" fontId="33" fillId="41" borderId="90" xfId="0" applyNumberFormat="1" applyFont="1" applyFill="1" applyBorder="1"/>
    <x:xf numFmtId="0" fontId="33" fillId="41" borderId="91" xfId="0" applyNumberFormat="1" applyFont="1" applyFill="1" applyBorder="1"/>
    <x:xf numFmtId="0" fontId="33" fillId="41" borderId="86" xfId="0" applyNumberFormat="1" applyFont="1" applyFill="1" applyBorder="1" applyAlignment="1">
      <x:alignment wrapText="1"/>
    </x:xf>
    <x:xf numFmtId="0" fontId="33" fillId="41" borderId="87" xfId="0" applyNumberFormat="1" applyFont="1" applyFill="1" applyBorder="1" applyAlignment="1">
      <x:alignment wrapText="1"/>
    </x:xf>
    <x:xf numFmtId="0" fontId="33" fillId="41" borderId="88" xfId="0" applyNumberFormat="1" applyFont="1" applyFill="1" applyBorder="1" applyAlignment="1">
      <x:alignment wrapText="1"/>
    </x:xf>
    <x:xf numFmtId="0" fontId="33" fillId="41" borderId="95" xfId="0" applyNumberFormat="1" applyFont="1" applyFill="1" applyBorder="1" applyAlignment="1">
      <x:alignment wrapText="1"/>
    </x:xf>
    <x:xf numFmtId="0" fontId="33" fillId="41" xfId="0" applyNumberFormat="1" applyFont="1" applyFill="1" applyBorder="0" applyAlignment="1">
      <x:alignment wrapText="1"/>
    </x:xf>
    <x:xf numFmtId="0" fontId="33" fillId="41" borderId="96" xfId="0" applyNumberFormat="1" applyFont="1" applyFill="1" applyBorder="1" applyAlignment="1">
      <x:alignment wrapText="1"/>
    </x:xf>
    <x:xf numFmtId="0" fontId="33" fillId="41" borderId="89" xfId="0" applyNumberFormat="1" applyFont="1" applyFill="1" applyBorder="1" applyAlignment="1">
      <x:alignment wrapText="1"/>
    </x:xf>
    <x:xf numFmtId="0" fontId="33" fillId="41" borderId="90" xfId="0" applyNumberFormat="1" applyFont="1" applyFill="1" applyBorder="1" applyAlignment="1">
      <x:alignment wrapText="1"/>
    </x:xf>
    <x:xf numFmtId="0" fontId="33" fillId="41" borderId="91" xfId="0" applyNumberFormat="1" applyFont="1" applyFill="1" applyBorder="1" applyAlignment="1">
      <x:alignment wrapText="1"/>
    </x:xf>
    <x:xf numFmtId="0" fontId="33" fillId="41" borderId="86" xfId="0" applyNumberFormat="1" applyFont="1" applyFill="1" applyBorder="1" applyAlignment="1">
      <x:alignment horizontal="left" wrapText="1"/>
    </x:xf>
    <x:xf numFmtId="0" fontId="33" fillId="41" borderId="87" xfId="0" applyNumberFormat="1" applyFont="1" applyFill="1" applyBorder="1" applyAlignment="1">
      <x:alignment horizontal="left" wrapText="1"/>
    </x:xf>
    <x:xf numFmtId="0" fontId="33" fillId="41" borderId="88" xfId="0" applyNumberFormat="1" applyFont="1" applyFill="1" applyBorder="1" applyAlignment="1">
      <x:alignment horizontal="left" wrapText="1"/>
    </x:xf>
    <x:xf numFmtId="0" fontId="33" fillId="41" borderId="95" xfId="0" applyNumberFormat="1" applyFont="1" applyFill="1" applyBorder="1" applyAlignment="1">
      <x:alignment horizontal="left" wrapText="1"/>
    </x:xf>
    <x:xf numFmtId="0" fontId="33" fillId="41" xfId="0" applyNumberFormat="1" applyFont="1" applyFill="1" applyBorder="0" applyAlignment="1">
      <x:alignment horizontal="left" wrapText="1"/>
    </x:xf>
    <x:xf numFmtId="0" fontId="33" fillId="41" borderId="96" xfId="0" applyNumberFormat="1" applyFont="1" applyFill="1" applyBorder="1" applyAlignment="1">
      <x:alignment horizontal="left" wrapText="1"/>
    </x:xf>
    <x:xf numFmtId="0" fontId="33" fillId="41" borderId="89" xfId="0" applyNumberFormat="1" applyFont="1" applyFill="1" applyBorder="1" applyAlignment="1">
      <x:alignment horizontal="left" wrapText="1"/>
    </x:xf>
    <x:xf numFmtId="0" fontId="33" fillId="41" borderId="90" xfId="0" applyNumberFormat="1" applyFont="1" applyFill="1" applyBorder="1" applyAlignment="1">
      <x:alignment horizontal="left" wrapText="1"/>
    </x:xf>
    <x:xf numFmtId="0" fontId="33" fillId="41" borderId="91" xfId="0" applyNumberFormat="1" applyFont="1" applyFill="1" applyBorder="1" applyAlignment="1">
      <x:alignment horizontal="left" wrapText="1"/>
    </x:xf>
    <x:xf numFmtId="0" fontId="33" fillId="41" borderId="86" xfId="0" applyNumberFormat="1" applyFont="1" applyFill="1" applyBorder="1" applyAlignment="1">
      <x:alignment horizontal="left" vertical="top" wrapText="1"/>
    </x:xf>
    <x:xf numFmtId="0" fontId="33" fillId="41" borderId="87" xfId="0" applyNumberFormat="1" applyFont="1" applyFill="1" applyBorder="1" applyAlignment="1">
      <x:alignment horizontal="left" vertical="top" wrapText="1"/>
    </x:xf>
    <x:xf numFmtId="0" fontId="33" fillId="41" borderId="88" xfId="0" applyNumberFormat="1" applyFont="1" applyFill="1" applyBorder="1" applyAlignment="1">
      <x:alignment horizontal="left" vertical="top" wrapText="1"/>
    </x:xf>
    <x:xf numFmtId="0" fontId="33" fillId="41" borderId="95" xfId="0" applyNumberFormat="1" applyFont="1" applyFill="1" applyBorder="1" applyAlignment="1">
      <x:alignment horizontal="left" vertical="top" wrapText="1"/>
    </x:xf>
    <x:xf numFmtId="0" fontId="33" fillId="41" xfId="0" applyNumberFormat="1" applyFont="1" applyFill="1" applyBorder="0" applyAlignment="1">
      <x:alignment horizontal="left" vertical="top" wrapText="1"/>
    </x:xf>
    <x:xf numFmtId="0" fontId="33" fillId="41" borderId="96" xfId="0" applyNumberFormat="1" applyFont="1" applyFill="1" applyBorder="1" applyAlignment="1">
      <x:alignment horizontal="left" vertical="top" wrapText="1"/>
    </x:xf>
    <x:xf numFmtId="0" fontId="33" fillId="41" borderId="89" xfId="0" applyNumberFormat="1" applyFont="1" applyFill="1" applyBorder="1" applyAlignment="1">
      <x:alignment horizontal="left" vertical="top" wrapText="1"/>
    </x:xf>
    <x:xf numFmtId="0" fontId="33" fillId="41" borderId="90" xfId="0" applyNumberFormat="1" applyFont="1" applyFill="1" applyBorder="1" applyAlignment="1">
      <x:alignment horizontal="left" vertical="top" wrapText="1"/>
    </x:xf>
    <x:xf numFmtId="0" fontId="33" fillId="41" borderId="91" xfId="0" applyNumberFormat="1" applyFont="1" applyFill="1" applyBorder="1" applyAlignment="1">
      <x:alignment horizontal="left" vertical="top" wrapText="1"/>
    </x:xf>
    <x:xf numFmtId="0" fontId="33" fillId="41" borderId="101" xfId="0" applyNumberFormat="1" applyFont="1" applyFill="1" applyBorder="1"/>
    <x:xf numFmtId="0" fontId="24" fillId="41" borderId="95" xfId="0" applyNumberFormat="1" applyFont="1" applyFill="1" applyBorder="1"/>
    <x:xf numFmtId="0" fontId="24" fillId="41" borderId="96" xfId="0" applyNumberFormat="1" applyFont="1" applyFill="1" applyBorder="1"/>
    <x:xf numFmtId="0" fontId="24" fillId="41" borderId="95" xfId="0" applyNumberFormat="1" applyFont="1" applyFill="1" applyBorder="1" applyAlignment="1">
      <x:alignment wrapText="1"/>
    </x:xf>
    <x:xf numFmtId="0" fontId="24" fillId="41" xfId="0" applyNumberFormat="1" applyFont="1" applyFill="1" applyBorder="0" applyAlignment="1">
      <x:alignment wrapText="1"/>
    </x:xf>
    <x:xf numFmtId="0" fontId="24" fillId="41" borderId="96" xfId="0" applyNumberFormat="1" applyFont="1" applyFill="1" applyBorder="1" applyAlignment="1">
      <x:alignment wrapText="1"/>
    </x:xf>
    <x:xf numFmtId="0" fontId="24" fillId="41" borderId="95" xfId="0" applyNumberFormat="1" applyFont="1" applyFill="1" applyBorder="1" applyAlignment="1">
      <x:alignment horizontal="left" wrapText="1"/>
    </x:xf>
    <x:xf numFmtId="0" fontId="24" fillId="41" xfId="0" applyNumberFormat="1" applyFont="1" applyFill="1" applyBorder="0" applyAlignment="1">
      <x:alignment horizontal="left" wrapText="1"/>
    </x:xf>
    <x:xf numFmtId="0" fontId="24" fillId="41" borderId="96" xfId="0" applyNumberFormat="1" applyFont="1" applyFill="1" applyBorder="1" applyAlignment="1">
      <x:alignment horizontal="left" wrapText="1"/>
    </x:xf>
    <x:xf numFmtId="0" fontId="24" fillId="41" borderId="95" xfId="0" applyNumberFormat="1" applyFont="1" applyFill="1" applyBorder="1" applyAlignment="1">
      <x:alignment horizontal="left" vertical="top" wrapText="1"/>
    </x:xf>
    <x:xf numFmtId="0" fontId="24" fillId="41" xfId="0" applyNumberFormat="1" applyFont="1" applyFill="1" applyBorder="0" applyAlignment="1">
      <x:alignment horizontal="left" vertical="top" wrapText="1"/>
    </x:xf>
    <x:xf numFmtId="0" fontId="24" fillId="41" borderId="96" xfId="0" applyNumberFormat="1" applyFont="1" applyFill="1" applyBorder="1" applyAlignment="1">
      <x:alignment horizontal="left" vertical="top" wrapText="1"/>
    </x:xf>
    <x:xf numFmtId="0" fontId="33" fillId="40" borderId="101" xfId="0" applyNumberFormat="1" applyFont="1" applyFill="1" applyBorder="1"/>
    <x:xf numFmtId="0" fontId="33" fillId="40" borderId="95" xfId="0" applyNumberFormat="1" applyFont="1" applyFill="1" applyBorder="1"/>
    <x:xf numFmtId="0" fontId="33" fillId="40" borderId="96" xfId="0" applyNumberFormat="1" applyFont="1" applyFill="1" applyBorder="1"/>
    <x:xf numFmtId="0" fontId="33" fillId="40" borderId="95" xfId="0" applyNumberFormat="1" applyFont="1" applyFill="1" applyBorder="1" applyAlignment="1">
      <x:alignment wrapText="1"/>
    </x:xf>
    <x:xf numFmtId="0" fontId="33" fillId="40" xfId="0" applyNumberFormat="1" applyFont="1" applyFill="1" applyBorder="0" applyAlignment="1">
      <x:alignment wrapText="1"/>
    </x:xf>
    <x:xf numFmtId="0" fontId="33" fillId="40" borderId="96" xfId="0" applyNumberFormat="1" applyFont="1" applyFill="1" applyBorder="1" applyAlignment="1">
      <x:alignment wrapText="1"/>
    </x:xf>
    <x:xf numFmtId="0" fontId="33" fillId="40" borderId="95" xfId="0" applyNumberFormat="1" applyFont="1" applyFill="1" applyBorder="1" applyAlignment="1">
      <x:alignment horizontal="left" wrapText="1"/>
    </x:xf>
    <x:xf numFmtId="0" fontId="33" fillId="40" xfId="0" applyNumberFormat="1" applyFont="1" applyFill="1" applyBorder="0" applyAlignment="1">
      <x:alignment horizontal="left" wrapText="1"/>
    </x:xf>
    <x:xf numFmtId="0" fontId="33" fillId="40" borderId="96" xfId="0" applyNumberFormat="1" applyFont="1" applyFill="1" applyBorder="1" applyAlignment="1">
      <x:alignment horizontal="left" wrapText="1"/>
    </x:xf>
    <x:xf numFmtId="0" fontId="33" fillId="40" borderId="95" xfId="0" applyNumberFormat="1" applyFont="1" applyFill="1" applyBorder="1" applyAlignment="1">
      <x:alignment horizontal="left" vertical="top" wrapText="1"/>
    </x:xf>
    <x:xf numFmtId="0" fontId="33" fillId="40" xfId="0" applyNumberFormat="1" applyFont="1" applyFill="1" applyBorder="0" applyAlignment="1">
      <x:alignment horizontal="left" vertical="top" wrapText="1"/>
    </x:xf>
    <x:xf numFmtId="0" fontId="33" fillId="40" borderId="96" xfId="0" applyNumberFormat="1" applyFont="1" applyFill="1" applyBorder="1" applyAlignment="1">
      <x:alignment horizontal="left" vertical="top" wrapText="1"/>
    </x:xf>
    <x:xf numFmtId="0" fontId="0" fillId="36" borderId="102" xfId="0" applyNumberFormat="1" applyFont="1" applyFill="1" applyBorder="1"/>
    <x:xf numFmtId="0" fontId="0" fillId="36" borderId="103" xfId="0" applyNumberFormat="1" applyFont="1" applyFill="1" applyBorder="1"/>
    <x:xf numFmtId="0" fontId="0" fillId="36" borderId="104" xfId="0" applyNumberFormat="1" applyFont="1" applyFill="1" applyBorder="1"/>
    <x:xf numFmtId="0" fontId="39" fillId="36" borderId="100" xfId="0" applyNumberFormat="1" applyFont="1" applyFill="1" applyBorder="1"/>
    <x:xf numFmtId="0" fontId="39" fillId="36" xfId="0" applyNumberFormat="1" applyFont="1" applyFill="1" applyBorder="0"/>
    <x:xf numFmtId="0" fontId="39" fillId="36" borderId="101" xfId="0" applyNumberFormat="1" applyFont="1" applyFill="1" applyBorder="1"/>
    <x:xf numFmtId="0" fontId="39" fillId="36" borderId="102" xfId="0" applyNumberFormat="1" applyFont="1" applyFill="1" applyBorder="1"/>
    <x:xf numFmtId="0" fontId="39" fillId="36" borderId="103" xfId="0" applyNumberFormat="1" applyFont="1" applyFill="1" applyBorder="1"/>
    <x:xf numFmtId="0" fontId="39" fillId="36" borderId="104" xfId="0" applyNumberFormat="1" applyFont="1" applyFill="1" applyBorder="1"/>
    <x:xf numFmtId="0" fontId="39" fillId="36" borderId="86" xfId="0" applyNumberFormat="1" applyFont="1" applyFill="1" applyBorder="1"/>
    <x:xf numFmtId="0" fontId="39" fillId="36" borderId="87" xfId="0" applyNumberFormat="1" applyFont="1" applyFill="1" applyBorder="1"/>
    <x:xf numFmtId="0" fontId="39" fillId="36" borderId="88" xfId="0" applyNumberFormat="1" applyFont="1" applyFill="1" applyBorder="1"/>
    <x:xf numFmtId="0" fontId="39" fillId="36" borderId="95" xfId="0" applyNumberFormat="1" applyFont="1" applyFill="1" applyBorder="1"/>
    <x:xf numFmtId="0" fontId="39" fillId="36" borderId="96" xfId="0" applyNumberFormat="1" applyFont="1" applyFill="1" applyBorder="1"/>
    <x:xf numFmtId="0" fontId="39" fillId="36" borderId="89" xfId="0" applyNumberFormat="1" applyFont="1" applyFill="1" applyBorder="1"/>
    <x:xf numFmtId="0" fontId="39" fillId="36" borderId="90" xfId="0" applyNumberFormat="1" applyFont="1" applyFill="1" applyBorder="1"/>
    <x:xf numFmtId="0" fontId="39" fillId="36" borderId="91" xfId="0" applyNumberFormat="1" applyFont="1" applyFill="1" applyBorder="1"/>
    <x:xf numFmtId="0" fontId="39" fillId="36" borderId="86" xfId="0" applyNumberFormat="1" applyFont="1" applyFill="1" applyBorder="1" applyAlignment="1">
      <x:alignment wrapText="1"/>
    </x:xf>
    <x:xf numFmtId="0" fontId="39" fillId="36" borderId="87" xfId="0" applyNumberFormat="1" applyFont="1" applyFill="1" applyBorder="1" applyAlignment="1">
      <x:alignment wrapText="1"/>
    </x:xf>
    <x:xf numFmtId="0" fontId="39" fillId="36" borderId="88" xfId="0" applyNumberFormat="1" applyFont="1" applyFill="1" applyBorder="1" applyAlignment="1">
      <x:alignment wrapText="1"/>
    </x:xf>
    <x:xf numFmtId="0" fontId="39" fillId="36" borderId="95" xfId="0" applyNumberFormat="1" applyFont="1" applyFill="1" applyBorder="1" applyAlignment="1">
      <x:alignment wrapText="1"/>
    </x:xf>
    <x:xf numFmtId="0" fontId="39" fillId="36" xfId="0" applyNumberFormat="1" applyFont="1" applyFill="1" applyBorder="0" applyAlignment="1">
      <x:alignment wrapText="1"/>
    </x:xf>
    <x:xf numFmtId="0" fontId="39" fillId="36" borderId="96" xfId="0" applyNumberFormat="1" applyFont="1" applyFill="1" applyBorder="1" applyAlignment="1">
      <x:alignment wrapText="1"/>
    </x:xf>
    <x:xf numFmtId="0" fontId="39" fillId="36" borderId="89" xfId="0" applyNumberFormat="1" applyFont="1" applyFill="1" applyBorder="1" applyAlignment="1">
      <x:alignment wrapText="1"/>
    </x:xf>
    <x:xf numFmtId="0" fontId="39" fillId="36" borderId="90" xfId="0" applyNumberFormat="1" applyFont="1" applyFill="1" applyBorder="1" applyAlignment="1">
      <x:alignment wrapText="1"/>
    </x:xf>
    <x:xf numFmtId="0" fontId="39" fillId="36" borderId="91" xfId="0" applyNumberFormat="1" applyFont="1" applyFill="1" applyBorder="1" applyAlignment="1">
      <x:alignment wrapText="1"/>
    </x:xf>
    <x:xf numFmtId="0" fontId="39" fillId="36" borderId="86" xfId="0" applyNumberFormat="1" applyFont="1" applyFill="1" applyBorder="1" applyAlignment="1">
      <x:alignment horizontal="center" wrapText="1"/>
    </x:xf>
    <x:xf numFmtId="0" fontId="39" fillId="36" borderId="87" xfId="0" applyNumberFormat="1" applyFont="1" applyFill="1" applyBorder="1" applyAlignment="1">
      <x:alignment horizontal="center" wrapText="1"/>
    </x:xf>
    <x:xf numFmtId="0" fontId="39" fillId="36" borderId="88" xfId="0" applyNumberFormat="1" applyFont="1" applyFill="1" applyBorder="1" applyAlignment="1">
      <x:alignment horizontal="center" wrapText="1"/>
    </x:xf>
    <x:xf numFmtId="0" fontId="39" fillId="36" borderId="95" xfId="0" applyNumberFormat="1" applyFont="1" applyFill="1" applyBorder="1" applyAlignment="1">
      <x:alignment horizontal="center" wrapText="1"/>
    </x:xf>
    <x:xf numFmtId="0" fontId="39" fillId="36" xfId="0" applyNumberFormat="1" applyFont="1" applyFill="1" applyBorder="0" applyAlignment="1">
      <x:alignment horizontal="center" wrapText="1"/>
    </x:xf>
    <x:xf numFmtId="0" fontId="39" fillId="36" borderId="96" xfId="0" applyNumberFormat="1" applyFont="1" applyFill="1" applyBorder="1" applyAlignment="1">
      <x:alignment horizontal="center" wrapText="1"/>
    </x:xf>
    <x:xf numFmtId="0" fontId="39" fillId="36" borderId="89" xfId="0" applyNumberFormat="1" applyFont="1" applyFill="1" applyBorder="1" applyAlignment="1">
      <x:alignment horizontal="center" wrapText="1"/>
    </x:xf>
    <x:xf numFmtId="0" fontId="39" fillId="36" borderId="90" xfId="0" applyNumberFormat="1" applyFont="1" applyFill="1" applyBorder="1" applyAlignment="1">
      <x:alignment horizontal="center" wrapText="1"/>
    </x:xf>
    <x:xf numFmtId="0" fontId="39" fillId="36" borderId="91" xfId="0" applyNumberFormat="1" applyFont="1" applyFill="1" applyBorder="1" applyAlignment="1">
      <x:alignment horizontal="center" wrapText="1"/>
    </x:xf>
    <x:xf numFmtId="0" fontId="39" fillId="36" borderId="86" xfId="0" applyNumberFormat="1" applyFont="1" applyFill="1" applyBorder="1" applyAlignment="1">
      <x:alignment horizontal="center" vertical="center" wrapText="1"/>
    </x:xf>
    <x:xf numFmtId="0" fontId="39" fillId="36" borderId="87" xfId="0" applyNumberFormat="1" applyFont="1" applyFill="1" applyBorder="1" applyAlignment="1">
      <x:alignment horizontal="center" vertical="center" wrapText="1"/>
    </x:xf>
    <x:xf numFmtId="0" fontId="39" fillId="36" borderId="88" xfId="0" applyNumberFormat="1" applyFont="1" applyFill="1" applyBorder="1" applyAlignment="1">
      <x:alignment horizontal="center" vertical="center" wrapText="1"/>
    </x:xf>
    <x:xf numFmtId="0" fontId="39" fillId="36" borderId="95" xfId="0" applyNumberFormat="1" applyFont="1" applyFill="1" applyBorder="1" applyAlignment="1">
      <x:alignment horizontal="center" vertical="center" wrapText="1"/>
    </x:xf>
    <x:xf numFmtId="0" fontId="39" fillId="36" xfId="0" applyNumberFormat="1" applyFont="1" applyFill="1" applyBorder="0" applyAlignment="1">
      <x:alignment horizontal="center" vertical="center" wrapText="1"/>
    </x:xf>
    <x:xf numFmtId="0" fontId="39" fillId="36" borderId="96" xfId="0" applyNumberFormat="1" applyFont="1" applyFill="1" applyBorder="1" applyAlignment="1">
      <x:alignment horizontal="center" vertical="center" wrapText="1"/>
    </x:xf>
    <x:xf numFmtId="0" fontId="39" fillId="36" borderId="89" xfId="0" applyNumberFormat="1" applyFont="1" applyFill="1" applyBorder="1" applyAlignment="1">
      <x:alignment horizontal="center" vertical="center" wrapText="1"/>
    </x:xf>
    <x:xf numFmtId="0" fontId="39" fillId="36" borderId="90" xfId="0" applyNumberFormat="1" applyFont="1" applyFill="1" applyBorder="1" applyAlignment="1">
      <x:alignment horizontal="center" vertical="center" wrapText="1"/>
    </x:xf>
    <x:xf numFmtId="0" fontId="39" fillId="36" borderId="91" xfId="0" applyNumberFormat="1" applyFont="1" applyFill="1" applyBorder="1" applyAlignment="1">
      <x:alignment horizontal="center" vertical="center" wrapText="1"/>
    </x:xf>
    <x:xf numFmtId="0" fontId="40" fillId="41" borderId="100" xfId="0" applyNumberFormat="1" applyFont="1" applyFill="1" applyBorder="1"/>
    <x:xf numFmtId="0" fontId="40" fillId="41" xfId="0" applyNumberFormat="1" applyFont="1" applyFill="1" applyBorder="0"/>
    <x:xf numFmtId="0" fontId="40" fillId="41" borderId="101" xfId="0" applyNumberFormat="1" applyFont="1" applyFill="1" applyBorder="1"/>
    <x:xf numFmtId="0" fontId="40" fillId="41" borderId="86" xfId="0" applyNumberFormat="1" applyFont="1" applyFill="1" applyBorder="1"/>
    <x:xf numFmtId="0" fontId="40" fillId="41" borderId="87" xfId="0" applyNumberFormat="1" applyFont="1" applyFill="1" applyBorder="1"/>
    <x:xf numFmtId="0" fontId="40" fillId="41" borderId="88" xfId="0" applyNumberFormat="1" applyFont="1" applyFill="1" applyBorder="1"/>
    <x:xf numFmtId="0" fontId="40" fillId="41" borderId="95" xfId="0" applyNumberFormat="1" applyFont="1" applyFill="1" applyBorder="1"/>
    <x:xf numFmtId="0" fontId="40" fillId="41" borderId="96" xfId="0" applyNumberFormat="1" applyFont="1" applyFill="1" applyBorder="1"/>
    <x:xf numFmtId="0" fontId="40" fillId="41" borderId="89" xfId="0" applyNumberFormat="1" applyFont="1" applyFill="1" applyBorder="1"/>
    <x:xf numFmtId="0" fontId="40" fillId="41" borderId="90" xfId="0" applyNumberFormat="1" applyFont="1" applyFill="1" applyBorder="1"/>
    <x:xf numFmtId="0" fontId="40" fillId="41" borderId="91" xfId="0" applyNumberFormat="1" applyFont="1" applyFill="1" applyBorder="1"/>
    <x:xf numFmtId="0" fontId="40" fillId="41" borderId="86" xfId="0" applyNumberFormat="1" applyFont="1" applyFill="1" applyBorder="1" applyAlignment="1">
      <x:alignment wrapText="1"/>
    </x:xf>
    <x:xf numFmtId="0" fontId="40" fillId="41" borderId="87" xfId="0" applyNumberFormat="1" applyFont="1" applyFill="1" applyBorder="1" applyAlignment="1">
      <x:alignment wrapText="1"/>
    </x:xf>
    <x:xf numFmtId="0" fontId="40" fillId="41" borderId="88" xfId="0" applyNumberFormat="1" applyFont="1" applyFill="1" applyBorder="1" applyAlignment="1">
      <x:alignment wrapText="1"/>
    </x:xf>
    <x:xf numFmtId="0" fontId="40" fillId="41" borderId="95" xfId="0" applyNumberFormat="1" applyFont="1" applyFill="1" applyBorder="1" applyAlignment="1">
      <x:alignment wrapText="1"/>
    </x:xf>
    <x:xf numFmtId="0" fontId="40" fillId="41" xfId="0" applyNumberFormat="1" applyFont="1" applyFill="1" applyBorder="0" applyAlignment="1">
      <x:alignment wrapText="1"/>
    </x:xf>
    <x:xf numFmtId="0" fontId="40" fillId="41" borderId="96" xfId="0" applyNumberFormat="1" applyFont="1" applyFill="1" applyBorder="1" applyAlignment="1">
      <x:alignment wrapText="1"/>
    </x:xf>
    <x:xf numFmtId="0" fontId="40" fillId="41" borderId="89" xfId="0" applyNumberFormat="1" applyFont="1" applyFill="1" applyBorder="1" applyAlignment="1">
      <x:alignment wrapText="1"/>
    </x:xf>
    <x:xf numFmtId="0" fontId="40" fillId="41" borderId="90" xfId="0" applyNumberFormat="1" applyFont="1" applyFill="1" applyBorder="1" applyAlignment="1">
      <x:alignment wrapText="1"/>
    </x:xf>
    <x:xf numFmtId="0" fontId="40" fillId="41" borderId="91" xfId="0" applyNumberFormat="1" applyFont="1" applyFill="1" applyBorder="1" applyAlignment="1">
      <x:alignment wrapText="1"/>
    </x:xf>
    <x:xf numFmtId="0" fontId="40" fillId="41" borderId="86" xfId="0" applyNumberFormat="1" applyFont="1" applyFill="1" applyBorder="1" applyAlignment="1">
      <x:alignment horizontal="left" wrapText="1"/>
    </x:xf>
    <x:xf numFmtId="0" fontId="40" fillId="41" borderId="87" xfId="0" applyNumberFormat="1" applyFont="1" applyFill="1" applyBorder="1" applyAlignment="1">
      <x:alignment horizontal="left" wrapText="1"/>
    </x:xf>
    <x:xf numFmtId="0" fontId="40" fillId="41" borderId="88" xfId="0" applyNumberFormat="1" applyFont="1" applyFill="1" applyBorder="1" applyAlignment="1">
      <x:alignment horizontal="left" wrapText="1"/>
    </x:xf>
    <x:xf numFmtId="0" fontId="40" fillId="41" borderId="95" xfId="0" applyNumberFormat="1" applyFont="1" applyFill="1" applyBorder="1" applyAlignment="1">
      <x:alignment horizontal="left" wrapText="1"/>
    </x:xf>
    <x:xf numFmtId="0" fontId="40" fillId="41" xfId="0" applyNumberFormat="1" applyFont="1" applyFill="1" applyBorder="0" applyAlignment="1">
      <x:alignment horizontal="left" wrapText="1"/>
    </x:xf>
    <x:xf numFmtId="0" fontId="40" fillId="41" borderId="96" xfId="0" applyNumberFormat="1" applyFont="1" applyFill="1" applyBorder="1" applyAlignment="1">
      <x:alignment horizontal="left" wrapText="1"/>
    </x:xf>
    <x:xf numFmtId="0" fontId="40" fillId="41" borderId="89" xfId="0" applyNumberFormat="1" applyFont="1" applyFill="1" applyBorder="1" applyAlignment="1">
      <x:alignment horizontal="left" wrapText="1"/>
    </x:xf>
    <x:xf numFmtId="0" fontId="40" fillId="41" borderId="90" xfId="0" applyNumberFormat="1" applyFont="1" applyFill="1" applyBorder="1" applyAlignment="1">
      <x:alignment horizontal="left" wrapText="1"/>
    </x:xf>
    <x:xf numFmtId="0" fontId="40" fillId="41" borderId="91" xfId="0" applyNumberFormat="1" applyFont="1" applyFill="1" applyBorder="1" applyAlignment="1">
      <x:alignment horizontal="left" wrapText="1"/>
    </x:xf>
    <x:xf numFmtId="0" fontId="40" fillId="41" borderId="86" xfId="0" applyNumberFormat="1" applyFont="1" applyFill="1" applyBorder="1" applyAlignment="1">
      <x:alignment horizontal="left" vertical="center" wrapText="1"/>
    </x:xf>
    <x:xf numFmtId="0" fontId="40" fillId="41" borderId="87" xfId="0" applyNumberFormat="1" applyFont="1" applyFill="1" applyBorder="1" applyAlignment="1">
      <x:alignment horizontal="left" vertical="center" wrapText="1"/>
    </x:xf>
    <x:xf numFmtId="0" fontId="40" fillId="41" borderId="88" xfId="0" applyNumberFormat="1" applyFont="1" applyFill="1" applyBorder="1" applyAlignment="1">
      <x:alignment horizontal="left" vertical="center" wrapText="1"/>
    </x:xf>
    <x:xf numFmtId="0" fontId="40" fillId="41" borderId="95" xfId="0" applyNumberFormat="1" applyFont="1" applyFill="1" applyBorder="1" applyAlignment="1">
      <x:alignment horizontal="left" vertical="center" wrapText="1"/>
    </x:xf>
    <x:xf numFmtId="0" fontId="40" fillId="41" xfId="0" applyNumberFormat="1" applyFont="1" applyFill="1" applyBorder="0" applyAlignment="1">
      <x:alignment horizontal="left" vertical="center" wrapText="1"/>
    </x:xf>
    <x:xf numFmtId="0" fontId="40" fillId="41" borderId="96" xfId="0" applyNumberFormat="1" applyFont="1" applyFill="1" applyBorder="1" applyAlignment="1">
      <x:alignment horizontal="left" vertical="center" wrapText="1"/>
    </x:xf>
    <x:xf numFmtId="0" fontId="40" fillId="41" borderId="89" xfId="0" applyNumberFormat="1" applyFont="1" applyFill="1" applyBorder="1" applyAlignment="1">
      <x:alignment horizontal="left" vertical="center" wrapText="1"/>
    </x:xf>
    <x:xf numFmtId="0" fontId="40" fillId="41" borderId="90" xfId="0" applyNumberFormat="1" applyFont="1" applyFill="1" applyBorder="1" applyAlignment="1">
      <x:alignment horizontal="left" vertical="center" wrapText="1"/>
    </x:xf>
    <x:xf numFmtId="0" fontId="40" fillId="41" borderId="91" xfId="0" applyNumberFormat="1" applyFont="1" applyFill="1" applyBorder="1" applyAlignment="1">
      <x:alignment horizontal="left" vertical="center" wrapText="1"/>
    </x:xf>
    <x:xf numFmtId="0" fontId="0" fillId="39" borderId="100" xfId="0" applyNumberFormat="1" applyFont="1" applyFill="1" applyBorder="1"/>
    <x:xf numFmtId="0" fontId="11" fillId="39" borderId="100" xfId="0" applyNumberFormat="1" applyFont="1" applyFill="1" applyBorder="1"/>
    <x:xf numFmtId="0" fontId="11" fillId="39" borderId="101" xfId="0" applyNumberFormat="1" applyFont="1" applyFill="1" applyBorder="1"/>
    <x:xf numFmtId="0" fontId="11" fillId="39" borderId="95" xfId="0" applyNumberFormat="1" applyFont="1" applyFill="1" applyBorder="1"/>
    <x:xf numFmtId="0" fontId="11" fillId="39" borderId="96" xfId="0" applyNumberFormat="1" applyFont="1" applyFill="1" applyBorder="1"/>
    <x:xf numFmtId="0" fontId="11" fillId="39" borderId="95" xfId="0" applyNumberFormat="1" applyFont="1" applyFill="1" applyBorder="1" applyAlignment="1">
      <x:alignment wrapText="1"/>
    </x:xf>
    <x:xf numFmtId="0" fontId="11" fillId="39" xfId="0" applyNumberFormat="1" applyFont="1" applyFill="1" applyBorder="0" applyAlignment="1">
      <x:alignment wrapText="1"/>
    </x:xf>
    <x:xf numFmtId="0" fontId="11" fillId="39" borderId="96" xfId="0" applyNumberFormat="1" applyFont="1" applyFill="1" applyBorder="1" applyAlignment="1">
      <x:alignment wrapText="1"/>
    </x:xf>
    <x:xf numFmtId="0" fontId="11" fillId="39" borderId="95" xfId="0" applyNumberFormat="1" applyFont="1" applyFill="1" applyBorder="1" applyAlignment="1">
      <x:alignment horizontal="center" wrapText="1"/>
    </x:xf>
    <x:xf numFmtId="0" fontId="11" fillId="39" xfId="0" applyNumberFormat="1" applyFont="1" applyFill="1" applyBorder="0" applyAlignment="1">
      <x:alignment horizontal="center" wrapText="1"/>
    </x:xf>
    <x:xf numFmtId="0" fontId="11" fillId="39" borderId="96" xfId="0" applyNumberFormat="1" applyFont="1" applyFill="1" applyBorder="1" applyAlignment="1">
      <x:alignment horizontal="center" wrapText="1"/>
    </x:xf>
    <x:xf numFmtId="0" fontId="11" fillId="39" borderId="95" xfId="0" applyNumberFormat="1" applyFont="1" applyFill="1" applyBorder="1" applyAlignment="1">
      <x:alignment horizontal="center" vertical="center" wrapText="1"/>
    </x:xf>
    <x:xf numFmtId="0" fontId="11" fillId="39" xfId="0" applyNumberFormat="1" applyFont="1" applyFill="1" applyBorder="0" applyAlignment="1">
      <x:alignment horizontal="center" vertical="center" wrapText="1"/>
    </x:xf>
    <x:xf numFmtId="0" fontId="11" fillId="39" borderId="96" xfId="0" applyNumberFormat="1" applyFont="1" applyFill="1" applyBorder="1" applyAlignment="1">
      <x:alignment horizontal="center" vertical="center" wrapText="1"/>
    </x:xf>
    <x:xf numFmtId="0" fontId="24" fillId="41" borderId="101" xfId="0" applyNumberFormat="1" applyFont="1" applyFill="1" applyBorder="1"/>
    <x:xf numFmtId="0" fontId="24" fillId="40" borderId="100" xfId="0" applyNumberFormat="1" applyFont="1" applyFill="1" applyBorder="1"/>
    <x:xf numFmtId="0" fontId="24" fillId="40" xfId="0" applyNumberFormat="1" applyFont="1" applyFill="1" applyBorder="0"/>
    <x:xf numFmtId="0" fontId="24" fillId="40" borderId="101" xfId="0" applyNumberFormat="1" applyFont="1" applyFill="1" applyBorder="1"/>
    <x:xf numFmtId="0" fontId="24" fillId="40" borderId="86" xfId="0" applyNumberFormat="1" applyFont="1" applyFill="1" applyBorder="1"/>
    <x:xf numFmtId="0" fontId="24" fillId="40" borderId="87" xfId="0" applyNumberFormat="1" applyFont="1" applyFill="1" applyBorder="1"/>
    <x:xf numFmtId="0" fontId="24" fillId="40" borderId="88" xfId="0" applyNumberFormat="1" applyFont="1" applyFill="1" applyBorder="1"/>
    <x:xf numFmtId="0" fontId="24" fillId="40" borderId="95" xfId="0" applyNumberFormat="1" applyFont="1" applyFill="1" applyBorder="1"/>
    <x:xf numFmtId="0" fontId="24" fillId="40" borderId="96" xfId="0" applyNumberFormat="1" applyFont="1" applyFill="1" applyBorder="1"/>
    <x:xf numFmtId="0" fontId="24" fillId="40" borderId="89" xfId="0" applyNumberFormat="1" applyFont="1" applyFill="1" applyBorder="1"/>
    <x:xf numFmtId="0" fontId="24" fillId="40" borderId="90" xfId="0" applyNumberFormat="1" applyFont="1" applyFill="1" applyBorder="1"/>
    <x:xf numFmtId="0" fontId="24" fillId="40" borderId="91" xfId="0" applyNumberFormat="1" applyFont="1" applyFill="1" applyBorder="1"/>
    <x:xf numFmtId="0" fontId="24" fillId="40" borderId="86" xfId="0" applyNumberFormat="1" applyFont="1" applyFill="1" applyBorder="1" applyAlignment="1">
      <x:alignment wrapText="1"/>
    </x:xf>
    <x:xf numFmtId="0" fontId="24" fillId="40" borderId="87" xfId="0" applyNumberFormat="1" applyFont="1" applyFill="1" applyBorder="1" applyAlignment="1">
      <x:alignment wrapText="1"/>
    </x:xf>
    <x:xf numFmtId="0" fontId="24" fillId="40" borderId="88" xfId="0" applyNumberFormat="1" applyFont="1" applyFill="1" applyBorder="1" applyAlignment="1">
      <x:alignment wrapText="1"/>
    </x:xf>
    <x:xf numFmtId="0" fontId="24" fillId="40" borderId="95" xfId="0" applyNumberFormat="1" applyFont="1" applyFill="1" applyBorder="1" applyAlignment="1">
      <x:alignment wrapText="1"/>
    </x:xf>
    <x:xf numFmtId="0" fontId="24" fillId="40" xfId="0" applyNumberFormat="1" applyFont="1" applyFill="1" applyBorder="0" applyAlignment="1">
      <x:alignment wrapText="1"/>
    </x:xf>
    <x:xf numFmtId="0" fontId="24" fillId="40" borderId="96" xfId="0" applyNumberFormat="1" applyFont="1" applyFill="1" applyBorder="1" applyAlignment="1">
      <x:alignment wrapText="1"/>
    </x:xf>
    <x:xf numFmtId="0" fontId="24" fillId="40" borderId="89" xfId="0" applyNumberFormat="1" applyFont="1" applyFill="1" applyBorder="1" applyAlignment="1">
      <x:alignment wrapText="1"/>
    </x:xf>
    <x:xf numFmtId="0" fontId="24" fillId="40" borderId="90" xfId="0" applyNumberFormat="1" applyFont="1" applyFill="1" applyBorder="1" applyAlignment="1">
      <x:alignment wrapText="1"/>
    </x:xf>
    <x:xf numFmtId="0" fontId="24" fillId="40" borderId="91" xfId="0" applyNumberFormat="1" applyFont="1" applyFill="1" applyBorder="1" applyAlignment="1">
      <x:alignment wrapText="1"/>
    </x:xf>
    <x:xf numFmtId="0" fontId="24" fillId="40" borderId="86" xfId="0" applyNumberFormat="1" applyFont="1" applyFill="1" applyBorder="1" applyAlignment="1">
      <x:alignment horizontal="left" wrapText="1"/>
    </x:xf>
    <x:xf numFmtId="0" fontId="24" fillId="40" borderId="87" xfId="0" applyNumberFormat="1" applyFont="1" applyFill="1" applyBorder="1" applyAlignment="1">
      <x:alignment horizontal="left" wrapText="1"/>
    </x:xf>
    <x:xf numFmtId="0" fontId="24" fillId="40" borderId="88" xfId="0" applyNumberFormat="1" applyFont="1" applyFill="1" applyBorder="1" applyAlignment="1">
      <x:alignment horizontal="left" wrapText="1"/>
    </x:xf>
    <x:xf numFmtId="0" fontId="24" fillId="40" borderId="95" xfId="0" applyNumberFormat="1" applyFont="1" applyFill="1" applyBorder="1" applyAlignment="1">
      <x:alignment horizontal="left" wrapText="1"/>
    </x:xf>
    <x:xf numFmtId="0" fontId="24" fillId="40" xfId="0" applyNumberFormat="1" applyFont="1" applyFill="1" applyBorder="0" applyAlignment="1">
      <x:alignment horizontal="left" wrapText="1"/>
    </x:xf>
    <x:xf numFmtId="0" fontId="24" fillId="40" borderId="96" xfId="0" applyNumberFormat="1" applyFont="1" applyFill="1" applyBorder="1" applyAlignment="1">
      <x:alignment horizontal="left" wrapText="1"/>
    </x:xf>
    <x:xf numFmtId="0" fontId="24" fillId="40" borderId="89" xfId="0" applyNumberFormat="1" applyFont="1" applyFill="1" applyBorder="1" applyAlignment="1">
      <x:alignment horizontal="left" wrapText="1"/>
    </x:xf>
    <x:xf numFmtId="0" fontId="24" fillId="40" borderId="90" xfId="0" applyNumberFormat="1" applyFont="1" applyFill="1" applyBorder="1" applyAlignment="1">
      <x:alignment horizontal="left" wrapText="1"/>
    </x:xf>
    <x:xf numFmtId="0" fontId="24" fillId="40" borderId="91" xfId="0" applyNumberFormat="1" applyFont="1" applyFill="1" applyBorder="1" applyAlignment="1">
      <x:alignment horizontal="left" wrapText="1"/>
    </x:xf>
    <x:xf numFmtId="0" fontId="24" fillId="40" borderId="86" xfId="0" applyNumberFormat="1" applyFont="1" applyFill="1" applyBorder="1" applyAlignment="1">
      <x:alignment horizontal="left" vertical="top" wrapText="1"/>
    </x:xf>
    <x:xf numFmtId="0" fontId="24" fillId="40" borderId="87" xfId="0" applyNumberFormat="1" applyFont="1" applyFill="1" applyBorder="1" applyAlignment="1">
      <x:alignment horizontal="left" vertical="top" wrapText="1"/>
    </x:xf>
    <x:xf numFmtId="0" fontId="24" fillId="40" borderId="88" xfId="0" applyNumberFormat="1" applyFont="1" applyFill="1" applyBorder="1" applyAlignment="1">
      <x:alignment horizontal="left" vertical="top" wrapText="1"/>
    </x:xf>
    <x:xf numFmtId="0" fontId="24" fillId="40" borderId="95" xfId="0" applyNumberFormat="1" applyFont="1" applyFill="1" applyBorder="1" applyAlignment="1">
      <x:alignment horizontal="left" vertical="top" wrapText="1"/>
    </x:xf>
    <x:xf numFmtId="0" fontId="24" fillId="40" xfId="0" applyNumberFormat="1" applyFont="1" applyFill="1" applyBorder="0" applyAlignment="1">
      <x:alignment horizontal="left" vertical="top" wrapText="1"/>
    </x:xf>
    <x:xf numFmtId="0" fontId="24" fillId="40" borderId="96" xfId="0" applyNumberFormat="1" applyFont="1" applyFill="1" applyBorder="1" applyAlignment="1">
      <x:alignment horizontal="left" vertical="top" wrapText="1"/>
    </x:xf>
    <x:xf numFmtId="0" fontId="24" fillId="40" borderId="89" xfId="0" applyNumberFormat="1" applyFont="1" applyFill="1" applyBorder="1" applyAlignment="1">
      <x:alignment horizontal="left" vertical="top" wrapText="1"/>
    </x:xf>
    <x:xf numFmtId="0" fontId="24" fillId="40" borderId="90" xfId="0" applyNumberFormat="1" applyFont="1" applyFill="1" applyBorder="1" applyAlignment="1">
      <x:alignment horizontal="left" vertical="top" wrapText="1"/>
    </x:xf>
    <x:xf numFmtId="0" fontId="24" fillId="40" borderId="91" xfId="0" applyNumberFormat="1" applyFont="1" applyFill="1" applyBorder="1" applyAlignment="1">
      <x:alignment horizontal="left" vertical="top" wrapText="1"/>
    </x:xf>
    <x:xf numFmtId="0" fontId="34" fillId="41" borderId="100" xfId="0" applyNumberFormat="1" applyFont="1" applyFill="1" applyBorder="1"/>
    <x:xf numFmtId="0" fontId="34" fillId="41" borderId="87" xfId="0" applyNumberFormat="1" applyFont="1" applyFill="1" applyBorder="1"/>
    <x:xf numFmtId="0" fontId="34" fillId="41" borderId="95" xfId="0" applyNumberFormat="1" applyFont="1" applyFill="1" applyBorder="1"/>
    <x:xf numFmtId="0" fontId="34" fillId="41" borderId="96" xfId="0" applyNumberFormat="1" applyFont="1" applyFill="1" applyBorder="1"/>
    <x:xf numFmtId="0" fontId="34" fillId="41" borderId="90" xfId="0" applyNumberFormat="1" applyFont="1" applyFill="1" applyBorder="1"/>
    <x:xf numFmtId="0" fontId="34" fillId="41" borderId="87" xfId="0" applyNumberFormat="1" applyFont="1" applyFill="1" applyBorder="1" applyAlignment="1">
      <x:alignment wrapText="1"/>
    </x:xf>
    <x:xf numFmtId="0" fontId="34" fillId="41" borderId="95" xfId="0" applyNumberFormat="1" applyFont="1" applyFill="1" applyBorder="1" applyAlignment="1">
      <x:alignment wrapText="1"/>
    </x:xf>
    <x:xf numFmtId="0" fontId="34" fillId="41" xfId="0" applyNumberFormat="1" applyFont="1" applyFill="1" applyBorder="0" applyAlignment="1">
      <x:alignment wrapText="1"/>
    </x:xf>
    <x:xf numFmtId="0" fontId="34" fillId="41" borderId="96" xfId="0" applyNumberFormat="1" applyFont="1" applyFill="1" applyBorder="1" applyAlignment="1">
      <x:alignment wrapText="1"/>
    </x:xf>
    <x:xf numFmtId="0" fontId="34" fillId="41" borderId="90" xfId="0" applyNumberFormat="1" applyFont="1" applyFill="1" applyBorder="1" applyAlignment="1">
      <x:alignment wrapText="1"/>
    </x:xf>
    <x:xf numFmtId="0" fontId="34" fillId="41" borderId="87" xfId="0" applyNumberFormat="1" applyFont="1" applyFill="1" applyBorder="1" applyAlignment="1">
      <x:alignment horizontal="left" wrapText="1"/>
    </x:xf>
    <x:xf numFmtId="0" fontId="34" fillId="41" borderId="95" xfId="0" applyNumberFormat="1" applyFont="1" applyFill="1" applyBorder="1" applyAlignment="1">
      <x:alignment horizontal="left" wrapText="1"/>
    </x:xf>
    <x:xf numFmtId="0" fontId="34" fillId="41" xfId="0" applyNumberFormat="1" applyFont="1" applyFill="1" applyBorder="0" applyAlignment="1">
      <x:alignment horizontal="left" wrapText="1"/>
    </x:xf>
    <x:xf numFmtId="0" fontId="34" fillId="41" borderId="96" xfId="0" applyNumberFormat="1" applyFont="1" applyFill="1" applyBorder="1" applyAlignment="1">
      <x:alignment horizontal="left" wrapText="1"/>
    </x:xf>
    <x:xf numFmtId="0" fontId="34" fillId="41" borderId="90" xfId="0" applyNumberFormat="1" applyFont="1" applyFill="1" applyBorder="1" applyAlignment="1">
      <x:alignment horizontal="left" wrapText="1"/>
    </x:xf>
    <x:xf numFmtId="0" fontId="34" fillId="41" borderId="87" xfId="0" applyNumberFormat="1" applyFont="1" applyFill="1" applyBorder="1" applyAlignment="1">
      <x:alignment horizontal="left" vertical="top" wrapText="1"/>
    </x:xf>
    <x:xf numFmtId="0" fontId="34" fillId="41" borderId="95" xfId="0" applyNumberFormat="1" applyFont="1" applyFill="1" applyBorder="1" applyAlignment="1">
      <x:alignment horizontal="left" vertical="top" wrapText="1"/>
    </x:xf>
    <x:xf numFmtId="0" fontId="34" fillId="41" xfId="0" applyNumberFormat="1" applyFont="1" applyFill="1" applyBorder="0" applyAlignment="1">
      <x:alignment horizontal="left" vertical="top" wrapText="1"/>
    </x:xf>
    <x:xf numFmtId="0" fontId="34" fillId="41" borderId="96" xfId="0" applyNumberFormat="1" applyFont="1" applyFill="1" applyBorder="1" applyAlignment="1">
      <x:alignment horizontal="left" vertical="top" wrapText="1"/>
    </x:xf>
    <x:xf numFmtId="0" fontId="34" fillId="41" borderId="90" xfId="0" applyNumberFormat="1" applyFont="1" applyFill="1" applyBorder="1" applyAlignment="1">
      <x:alignment horizontal="left" vertical="top" wrapText="1"/>
    </x:xf>
    <x:xf numFmtId="0" fontId="33" fillId="40" borderId="100" xfId="0" applyNumberFormat="1" applyFont="1" applyFill="1" applyBorder="1"/>
    <x:xf numFmtId="0" fontId="0" fillId="42" borderId="0" xfId="0" applyNumberFormat="1" applyFont="1" applyFill="1" applyBorder="1"/>
    <x:xf numFmtId="0" fontId="38" fillId="42" borderId="0" xfId="0" applyNumberFormat="1" applyFont="1" applyFill="1" applyBorder="1"/>
    <x:xf numFmtId="0" fontId="15" fillId="41" borderId="100" xfId="0" applyNumberFormat="1" applyFont="1" applyFill="1" applyBorder="1"/>
    <x:xf numFmtId="0" fontId="15" fillId="41" xfId="0" applyNumberFormat="1" applyFont="1" applyFill="1" applyBorder="0"/>
    <x:xf numFmtId="0" fontId="15" fillId="41" borderId="101" xfId="0" applyNumberFormat="1" applyFont="1" applyFill="1" applyBorder="1"/>
    <x:xf numFmtId="0" fontId="15" fillId="41" borderId="86" xfId="0" applyNumberFormat="1" applyFont="1" applyFill="1" applyBorder="1"/>
    <x:xf numFmtId="0" fontId="15" fillId="41" borderId="87" xfId="0" applyNumberFormat="1" applyFont="1" applyFill="1" applyBorder="1"/>
    <x:xf numFmtId="0" fontId="15" fillId="41" borderId="88" xfId="0" applyNumberFormat="1" applyFont="1" applyFill="1" applyBorder="1"/>
    <x:xf numFmtId="0" fontId="15" fillId="41" borderId="95" xfId="0" applyNumberFormat="1" applyFont="1" applyFill="1" applyBorder="1"/>
    <x:xf numFmtId="0" fontId="15" fillId="41" borderId="96" xfId="0" applyNumberFormat="1" applyFont="1" applyFill="1" applyBorder="1"/>
    <x:xf numFmtId="0" fontId="15" fillId="41" borderId="89" xfId="0" applyNumberFormat="1" applyFont="1" applyFill="1" applyBorder="1"/>
    <x:xf numFmtId="0" fontId="15" fillId="41" borderId="90" xfId="0" applyNumberFormat="1" applyFont="1" applyFill="1" applyBorder="1"/>
    <x:xf numFmtId="0" fontId="15" fillId="41" borderId="91" xfId="0" applyNumberFormat="1" applyFont="1" applyFill="1" applyBorder="1"/>
    <x:xf numFmtId="0" fontId="15" fillId="41" borderId="86" xfId="0" applyNumberFormat="1" applyFont="1" applyFill="1" applyBorder="1" applyAlignment="1">
      <x:alignment wrapText="1"/>
    </x:xf>
    <x:xf numFmtId="0" fontId="15" fillId="41" borderId="87" xfId="0" applyNumberFormat="1" applyFont="1" applyFill="1" applyBorder="1" applyAlignment="1">
      <x:alignment wrapText="1"/>
    </x:xf>
    <x:xf numFmtId="0" fontId="15" fillId="41" borderId="88" xfId="0" applyNumberFormat="1" applyFont="1" applyFill="1" applyBorder="1" applyAlignment="1">
      <x:alignment wrapText="1"/>
    </x:xf>
    <x:xf numFmtId="0" fontId="15" fillId="41" borderId="95" xfId="0" applyNumberFormat="1" applyFont="1" applyFill="1" applyBorder="1" applyAlignment="1">
      <x:alignment wrapText="1"/>
    </x:xf>
    <x:xf numFmtId="0" fontId="15" fillId="41" xfId="0" applyNumberFormat="1" applyFont="1" applyFill="1" applyBorder="0" applyAlignment="1">
      <x:alignment wrapText="1"/>
    </x:xf>
    <x:xf numFmtId="0" fontId="15" fillId="41" borderId="96" xfId="0" applyNumberFormat="1" applyFont="1" applyFill="1" applyBorder="1" applyAlignment="1">
      <x:alignment wrapText="1"/>
    </x:xf>
    <x:xf numFmtId="0" fontId="15" fillId="41" borderId="89" xfId="0" applyNumberFormat="1" applyFont="1" applyFill="1" applyBorder="1" applyAlignment="1">
      <x:alignment wrapText="1"/>
    </x:xf>
    <x:xf numFmtId="0" fontId="15" fillId="41" borderId="90" xfId="0" applyNumberFormat="1" applyFont="1" applyFill="1" applyBorder="1" applyAlignment="1">
      <x:alignment wrapText="1"/>
    </x:xf>
    <x:xf numFmtId="0" fontId="15" fillId="41" borderId="91" xfId="0" applyNumberFormat="1" applyFont="1" applyFill="1" applyBorder="1" applyAlignment="1">
      <x:alignment wrapText="1"/>
    </x:xf>
    <x:xf numFmtId="0" fontId="15" fillId="41" borderId="86" xfId="0" applyNumberFormat="1" applyFont="1" applyFill="1" applyBorder="1" applyAlignment="1">
      <x:alignment horizontal="center" wrapText="1"/>
    </x:xf>
    <x:xf numFmtId="0" fontId="15" fillId="41" borderId="87" xfId="0" applyNumberFormat="1" applyFont="1" applyFill="1" applyBorder="1" applyAlignment="1">
      <x:alignment horizontal="center" wrapText="1"/>
    </x:xf>
    <x:xf numFmtId="0" fontId="15" fillId="41" borderId="88" xfId="0" applyNumberFormat="1" applyFont="1" applyFill="1" applyBorder="1" applyAlignment="1">
      <x:alignment horizontal="center" wrapText="1"/>
    </x:xf>
    <x:xf numFmtId="0" fontId="15" fillId="41" borderId="95" xfId="0" applyNumberFormat="1" applyFont="1" applyFill="1" applyBorder="1" applyAlignment="1">
      <x:alignment horizontal="center" wrapText="1"/>
    </x:xf>
    <x:xf numFmtId="0" fontId="15" fillId="41" xfId="0" applyNumberFormat="1" applyFont="1" applyFill="1" applyBorder="0" applyAlignment="1">
      <x:alignment horizontal="center" wrapText="1"/>
    </x:xf>
    <x:xf numFmtId="0" fontId="15" fillId="41" borderId="96" xfId="0" applyNumberFormat="1" applyFont="1" applyFill="1" applyBorder="1" applyAlignment="1">
      <x:alignment horizontal="center" wrapText="1"/>
    </x:xf>
    <x:xf numFmtId="0" fontId="15" fillId="41" borderId="89" xfId="0" applyNumberFormat="1" applyFont="1" applyFill="1" applyBorder="1" applyAlignment="1">
      <x:alignment horizontal="center" wrapText="1"/>
    </x:xf>
    <x:xf numFmtId="0" fontId="15" fillId="41" borderId="90" xfId="0" applyNumberFormat="1" applyFont="1" applyFill="1" applyBorder="1" applyAlignment="1">
      <x:alignment horizontal="center" wrapText="1"/>
    </x:xf>
    <x:xf numFmtId="0" fontId="15" fillId="41" borderId="91" xfId="0" applyNumberFormat="1" applyFont="1" applyFill="1" applyBorder="1" applyAlignment="1">
      <x:alignment horizontal="center" wrapText="1"/>
    </x:xf>
    <x:xf numFmtId="0" fontId="15" fillId="41" borderId="86" xfId="0" applyNumberFormat="1" applyFont="1" applyFill="1" applyBorder="1" applyAlignment="1">
      <x:alignment horizontal="center" vertical="center" wrapText="1"/>
    </x:xf>
    <x:xf numFmtId="0" fontId="15" fillId="41" borderId="87" xfId="0" applyNumberFormat="1" applyFont="1" applyFill="1" applyBorder="1" applyAlignment="1">
      <x:alignment horizontal="center" vertical="center" wrapText="1"/>
    </x:xf>
    <x:xf numFmtId="0" fontId="15" fillId="41" borderId="88" xfId="0" applyNumberFormat="1" applyFont="1" applyFill="1" applyBorder="1" applyAlignment="1">
      <x:alignment horizontal="center" vertical="center" wrapText="1"/>
    </x:xf>
    <x:xf numFmtId="0" fontId="15" fillId="41" borderId="95" xfId="0" applyNumberFormat="1" applyFont="1" applyFill="1" applyBorder="1" applyAlignment="1">
      <x:alignment horizontal="center" vertical="center" wrapText="1"/>
    </x:xf>
    <x:xf numFmtId="0" fontId="15" fillId="41" xfId="0" applyNumberFormat="1" applyFont="1" applyFill="1" applyBorder="0" applyAlignment="1">
      <x:alignment horizontal="center" vertical="center" wrapText="1"/>
    </x:xf>
    <x:xf numFmtId="0" fontId="15" fillId="41" borderId="96" xfId="0" applyNumberFormat="1" applyFont="1" applyFill="1" applyBorder="1" applyAlignment="1">
      <x:alignment horizontal="center" vertical="center" wrapText="1"/>
    </x:xf>
    <x:xf numFmtId="0" fontId="15" fillId="41" borderId="89" xfId="0" applyNumberFormat="1" applyFont="1" applyFill="1" applyBorder="1" applyAlignment="1">
      <x:alignment horizontal="center" vertical="center" wrapText="1"/>
    </x:xf>
    <x:xf numFmtId="0" fontId="15" fillId="41" borderId="90" xfId="0" applyNumberFormat="1" applyFont="1" applyFill="1" applyBorder="1" applyAlignment="1">
      <x:alignment horizontal="center" vertical="center" wrapText="1"/>
    </x:xf>
    <x:xf numFmtId="0" fontId="15" fillId="41" borderId="91" xfId="0" applyNumberFormat="1" applyFont="1" applyFill="1" applyBorder="1" applyAlignment="1">
      <x:alignment horizontal="center" vertical="center" wrapText="1"/>
    </x:xf>
    <x:xf numFmtId="0" fontId="41" fillId="40" xfId="0" applyNumberFormat="1" applyFont="1" applyFill="1" applyBorder="0"/>
    <x:xf numFmtId="0" fontId="41" fillId="40" borderId="86" xfId="0" applyNumberFormat="1" applyFont="1" applyFill="1" applyBorder="1"/>
    <x:xf numFmtId="0" fontId="41" fillId="40" borderId="87" xfId="0" applyNumberFormat="1" applyFont="1" applyFill="1" applyBorder="1"/>
    <x:xf numFmtId="0" fontId="41" fillId="40" borderId="88" xfId="0" applyNumberFormat="1" applyFont="1" applyFill="1" applyBorder="1"/>
    <x:xf numFmtId="0" fontId="41" fillId="40" borderId="95" xfId="0" applyNumberFormat="1" applyFont="1" applyFill="1" applyBorder="1"/>
    <x:xf numFmtId="0" fontId="41" fillId="40" borderId="96" xfId="0" applyNumberFormat="1" applyFont="1" applyFill="1" applyBorder="1"/>
    <x:xf numFmtId="0" fontId="41" fillId="40" borderId="89" xfId="0" applyNumberFormat="1" applyFont="1" applyFill="1" applyBorder="1"/>
    <x:xf numFmtId="0" fontId="41" fillId="40" borderId="90" xfId="0" applyNumberFormat="1" applyFont="1" applyFill="1" applyBorder="1"/>
    <x:xf numFmtId="0" fontId="41" fillId="40" borderId="91" xfId="0" applyNumberFormat="1" applyFont="1" applyFill="1" applyBorder="1"/>
    <x:xf numFmtId="0" fontId="41" fillId="40" borderId="86" xfId="0" applyNumberFormat="1" applyFont="1" applyFill="1" applyBorder="1" applyAlignment="1">
      <x:alignment wrapText="1"/>
    </x:xf>
    <x:xf numFmtId="0" fontId="41" fillId="40" borderId="87" xfId="0" applyNumberFormat="1" applyFont="1" applyFill="1" applyBorder="1" applyAlignment="1">
      <x:alignment wrapText="1"/>
    </x:xf>
    <x:xf numFmtId="0" fontId="41" fillId="40" borderId="88" xfId="0" applyNumberFormat="1" applyFont="1" applyFill="1" applyBorder="1" applyAlignment="1">
      <x:alignment wrapText="1"/>
    </x:xf>
    <x:xf numFmtId="0" fontId="41" fillId="40" borderId="95" xfId="0" applyNumberFormat="1" applyFont="1" applyFill="1" applyBorder="1" applyAlignment="1">
      <x:alignment wrapText="1"/>
    </x:xf>
    <x:xf numFmtId="0" fontId="41" fillId="40" xfId="0" applyNumberFormat="1" applyFont="1" applyFill="1" applyBorder="0" applyAlignment="1">
      <x:alignment wrapText="1"/>
    </x:xf>
    <x:xf numFmtId="0" fontId="41" fillId="40" borderId="96" xfId="0" applyNumberFormat="1" applyFont="1" applyFill="1" applyBorder="1" applyAlignment="1">
      <x:alignment wrapText="1"/>
    </x:xf>
    <x:xf numFmtId="0" fontId="41" fillId="40" borderId="89" xfId="0" applyNumberFormat="1" applyFont="1" applyFill="1" applyBorder="1" applyAlignment="1">
      <x:alignment wrapText="1"/>
    </x:xf>
    <x:xf numFmtId="0" fontId="41" fillId="40" borderId="90" xfId="0" applyNumberFormat="1" applyFont="1" applyFill="1" applyBorder="1" applyAlignment="1">
      <x:alignment wrapText="1"/>
    </x:xf>
    <x:xf numFmtId="0" fontId="41" fillId="40" borderId="91" xfId="0" applyNumberFormat="1" applyFont="1" applyFill="1" applyBorder="1" applyAlignment="1">
      <x:alignment wrapText="1"/>
    </x:xf>
    <x:xf numFmtId="0" fontId="41" fillId="40" borderId="86" xfId="0" applyNumberFormat="1" applyFont="1" applyFill="1" applyBorder="1" applyAlignment="1">
      <x:alignment horizontal="center" wrapText="1"/>
    </x:xf>
    <x:xf numFmtId="0" fontId="41" fillId="40" borderId="87" xfId="0" applyNumberFormat="1" applyFont="1" applyFill="1" applyBorder="1" applyAlignment="1">
      <x:alignment horizontal="center" wrapText="1"/>
    </x:xf>
    <x:xf numFmtId="0" fontId="41" fillId="40" borderId="88" xfId="0" applyNumberFormat="1" applyFont="1" applyFill="1" applyBorder="1" applyAlignment="1">
      <x:alignment horizontal="center" wrapText="1"/>
    </x:xf>
    <x:xf numFmtId="0" fontId="41" fillId="40" borderId="95" xfId="0" applyNumberFormat="1" applyFont="1" applyFill="1" applyBorder="1" applyAlignment="1">
      <x:alignment horizontal="center" wrapText="1"/>
    </x:xf>
    <x:xf numFmtId="0" fontId="41" fillId="40" xfId="0" applyNumberFormat="1" applyFont="1" applyFill="1" applyBorder="0" applyAlignment="1">
      <x:alignment horizontal="center" wrapText="1"/>
    </x:xf>
    <x:xf numFmtId="0" fontId="41" fillId="40" borderId="96" xfId="0" applyNumberFormat="1" applyFont="1" applyFill="1" applyBorder="1" applyAlignment="1">
      <x:alignment horizontal="center" wrapText="1"/>
    </x:xf>
    <x:xf numFmtId="0" fontId="41" fillId="40" borderId="89" xfId="0" applyNumberFormat="1" applyFont="1" applyFill="1" applyBorder="1" applyAlignment="1">
      <x:alignment horizontal="center" wrapText="1"/>
    </x:xf>
    <x:xf numFmtId="0" fontId="41" fillId="40" borderId="90" xfId="0" applyNumberFormat="1" applyFont="1" applyFill="1" applyBorder="1" applyAlignment="1">
      <x:alignment horizontal="center" wrapText="1"/>
    </x:xf>
    <x:xf numFmtId="0" fontId="41" fillId="40" borderId="91" xfId="0" applyNumberFormat="1" applyFont="1" applyFill="1" applyBorder="1" applyAlignment="1">
      <x:alignment horizontal="center" wrapText="1"/>
    </x:xf>
    <x:xf numFmtId="0" fontId="41" fillId="40" borderId="86" xfId="0" applyNumberFormat="1" applyFont="1" applyFill="1" applyBorder="1" applyAlignment="1">
      <x:alignment horizontal="center" vertical="center" wrapText="1"/>
    </x:xf>
    <x:xf numFmtId="0" fontId="41" fillId="40" borderId="87" xfId="0" applyNumberFormat="1" applyFont="1" applyFill="1" applyBorder="1" applyAlignment="1">
      <x:alignment horizontal="center" vertical="center" wrapText="1"/>
    </x:xf>
    <x:xf numFmtId="0" fontId="41" fillId="40" borderId="88" xfId="0" applyNumberFormat="1" applyFont="1" applyFill="1" applyBorder="1" applyAlignment="1">
      <x:alignment horizontal="center" vertical="center" wrapText="1"/>
    </x:xf>
    <x:xf numFmtId="0" fontId="41" fillId="40" borderId="95" xfId="0" applyNumberFormat="1" applyFont="1" applyFill="1" applyBorder="1" applyAlignment="1">
      <x:alignment horizontal="center" vertical="center" wrapText="1"/>
    </x:xf>
    <x:xf numFmtId="0" fontId="41" fillId="40" xfId="0" applyNumberFormat="1" applyFont="1" applyFill="1" applyBorder="0" applyAlignment="1">
      <x:alignment horizontal="center" vertical="center" wrapText="1"/>
    </x:xf>
    <x:xf numFmtId="0" fontId="41" fillId="40" borderId="96" xfId="0" applyNumberFormat="1" applyFont="1" applyFill="1" applyBorder="1" applyAlignment="1">
      <x:alignment horizontal="center" vertical="center" wrapText="1"/>
    </x:xf>
    <x:xf numFmtId="0" fontId="41" fillId="40" borderId="89" xfId="0" applyNumberFormat="1" applyFont="1" applyFill="1" applyBorder="1" applyAlignment="1">
      <x:alignment horizontal="center" vertical="center" wrapText="1"/>
    </x:xf>
    <x:xf numFmtId="0" fontId="41" fillId="40" borderId="90" xfId="0" applyNumberFormat="1" applyFont="1" applyFill="1" applyBorder="1" applyAlignment="1">
      <x:alignment horizontal="center" vertical="center" wrapText="1"/>
    </x:xf>
    <x:xf numFmtId="0" fontId="41" fillId="40" borderId="91" xfId="0" applyNumberFormat="1" applyFont="1" applyFill="1" applyBorder="1" applyAlignment="1">
      <x:alignment horizontal="center" vertical="center" wrapText="1"/>
    </x:xf>
    <x:xf numFmtId="0" fontId="32" fillId="42" borderId="100" xfId="0" applyNumberFormat="1" applyFont="1" applyFill="1" applyBorder="1"/>
    <x:xf numFmtId="0" fontId="32" fillId="42" borderId="86" xfId="0" applyNumberFormat="1" applyFont="1" applyFill="1" applyBorder="1" applyAlignment="1">
      <x:alignment horizontal="center" wrapText="1"/>
    </x:xf>
    <x:xf numFmtId="0" fontId="32" fillId="42" borderId="87" xfId="0" applyNumberFormat="1" applyFont="1" applyFill="1" applyBorder="1" applyAlignment="1">
      <x:alignment horizontal="center" wrapText="1"/>
    </x:xf>
    <x:xf numFmtId="0" fontId="32" fillId="42" borderId="88" xfId="0" applyNumberFormat="1" applyFont="1" applyFill="1" applyBorder="1" applyAlignment="1">
      <x:alignment horizontal="center" wrapText="1"/>
    </x:xf>
    <x:xf numFmtId="0" fontId="32" fillId="42" borderId="95" xfId="0" applyNumberFormat="1" applyFont="1" applyFill="1" applyBorder="1" applyAlignment="1">
      <x:alignment horizontal="center" wrapText="1"/>
    </x:xf>
    <x:xf numFmtId="0" fontId="32" fillId="42" xfId="0" applyNumberFormat="1" applyFont="1" applyFill="1" applyBorder="0" applyAlignment="1">
      <x:alignment horizontal="center" wrapText="1"/>
    </x:xf>
    <x:xf numFmtId="0" fontId="32" fillId="42" borderId="96" xfId="0" applyNumberFormat="1" applyFont="1" applyFill="1" applyBorder="1" applyAlignment="1">
      <x:alignment horizontal="center" wrapText="1"/>
    </x:xf>
    <x:xf numFmtId="0" fontId="32" fillId="42" borderId="89" xfId="0" applyNumberFormat="1" applyFont="1" applyFill="1" applyBorder="1" applyAlignment="1">
      <x:alignment horizontal="center" wrapText="1"/>
    </x:xf>
    <x:xf numFmtId="0" fontId="32" fillId="42" borderId="90" xfId="0" applyNumberFormat="1" applyFont="1" applyFill="1" applyBorder="1" applyAlignment="1">
      <x:alignment horizontal="center" wrapText="1"/>
    </x:xf>
    <x:xf numFmtId="0" fontId="32" fillId="42" borderId="91" xfId="0" applyNumberFormat="1" applyFont="1" applyFill="1" applyBorder="1" applyAlignment="1">
      <x:alignment horizontal="center" wrapText="1"/>
    </x:xf>
    <x:xf numFmtId="0" fontId="32" fillId="42" borderId="86" xfId="0" applyNumberFormat="1" applyFont="1" applyFill="1" applyBorder="1" applyAlignment="1">
      <x:alignment horizontal="center" vertical="center" wrapText="1"/>
    </x:xf>
    <x:xf numFmtId="0" fontId="32" fillId="42" borderId="87" xfId="0" applyNumberFormat="1" applyFont="1" applyFill="1" applyBorder="1" applyAlignment="1">
      <x:alignment horizontal="center" vertical="center" wrapText="1"/>
    </x:xf>
    <x:xf numFmtId="0" fontId="32" fillId="42" borderId="88" xfId="0" applyNumberFormat="1" applyFont="1" applyFill="1" applyBorder="1" applyAlignment="1">
      <x:alignment horizontal="center" vertical="center" wrapText="1"/>
    </x:xf>
    <x:xf numFmtId="0" fontId="32" fillId="42" borderId="95" xfId="0" applyNumberFormat="1" applyFont="1" applyFill="1" applyBorder="1" applyAlignment="1">
      <x:alignment horizontal="center" vertical="center" wrapText="1"/>
    </x:xf>
    <x:xf numFmtId="0" fontId="32" fillId="42" xfId="0" applyNumberFormat="1" applyFont="1" applyFill="1" applyBorder="0" applyAlignment="1">
      <x:alignment horizontal="center" vertical="center" wrapText="1"/>
    </x:xf>
    <x:xf numFmtId="0" fontId="32" fillId="42" borderId="96" xfId="0" applyNumberFormat="1" applyFont="1" applyFill="1" applyBorder="1" applyAlignment="1">
      <x:alignment horizontal="center" vertical="center" wrapText="1"/>
    </x:xf>
    <x:xf numFmtId="0" fontId="32" fillId="42" borderId="89" xfId="0" applyNumberFormat="1" applyFont="1" applyFill="1" applyBorder="1" applyAlignment="1">
      <x:alignment horizontal="center" vertical="center" wrapText="1"/>
    </x:xf>
    <x:xf numFmtId="0" fontId="32" fillId="42" borderId="90" xfId="0" applyNumberFormat="1" applyFont="1" applyFill="1" applyBorder="1" applyAlignment="1">
      <x:alignment horizontal="center" vertical="center" wrapText="1"/>
    </x:xf>
    <x:xf numFmtId="0" fontId="32" fillId="42" borderId="91" xfId="0" applyNumberFormat="1" applyFont="1" applyFill="1" applyBorder="1" applyAlignment="1">
      <x:alignment horizontal="center" vertical="center" wrapText="1"/>
    </x:xf>
    <x:xf numFmtId="0" fontId="31" fillId="41" borderId="100" xfId="0" applyNumberFormat="1" applyFont="1" applyFill="1" applyBorder="1"/>
    <x:xf numFmtId="0" fontId="31" fillId="41" xfId="0" applyNumberFormat="1" applyFont="1" applyFill="1" applyBorder="0"/>
    <x:xf numFmtId="0" fontId="31" fillId="41" borderId="86" xfId="0" applyNumberFormat="1" applyFont="1" applyFill="1" applyBorder="1"/>
    <x:xf numFmtId="0" fontId="31" fillId="41" borderId="87" xfId="0" applyNumberFormat="1" applyFont="1" applyFill="1" applyBorder="1"/>
    <x:xf numFmtId="0" fontId="31" fillId="41" borderId="88" xfId="0" applyNumberFormat="1" applyFont="1" applyFill="1" applyBorder="1"/>
    <x:xf numFmtId="0" fontId="31" fillId="41" borderId="95" xfId="0" applyNumberFormat="1" applyFont="1" applyFill="1" applyBorder="1"/>
    <x:xf numFmtId="0" fontId="31" fillId="41" borderId="96" xfId="0" applyNumberFormat="1" applyFont="1" applyFill="1" applyBorder="1"/>
    <x:xf numFmtId="0" fontId="31" fillId="41" borderId="89" xfId="0" applyNumberFormat="1" applyFont="1" applyFill="1" applyBorder="1"/>
    <x:xf numFmtId="0" fontId="31" fillId="41" borderId="90" xfId="0" applyNumberFormat="1" applyFont="1" applyFill="1" applyBorder="1"/>
    <x:xf numFmtId="0" fontId="31" fillId="41" borderId="91" xfId="0" applyNumberFormat="1" applyFont="1" applyFill="1" applyBorder="1"/>
    <x:xf numFmtId="0" fontId="31" fillId="41" borderId="86" xfId="0" applyNumberFormat="1" applyFont="1" applyFill="1" applyBorder="1" applyAlignment="1">
      <x:alignment wrapText="1"/>
    </x:xf>
    <x:xf numFmtId="0" fontId="31" fillId="41" borderId="87" xfId="0" applyNumberFormat="1" applyFont="1" applyFill="1" applyBorder="1" applyAlignment="1">
      <x:alignment wrapText="1"/>
    </x:xf>
    <x:xf numFmtId="0" fontId="31" fillId="41" borderId="88" xfId="0" applyNumberFormat="1" applyFont="1" applyFill="1" applyBorder="1" applyAlignment="1">
      <x:alignment wrapText="1"/>
    </x:xf>
    <x:xf numFmtId="0" fontId="31" fillId="41" borderId="95" xfId="0" applyNumberFormat="1" applyFont="1" applyFill="1" applyBorder="1" applyAlignment="1">
      <x:alignment wrapText="1"/>
    </x:xf>
    <x:xf numFmtId="0" fontId="31" fillId="41" xfId="0" applyNumberFormat="1" applyFont="1" applyFill="1" applyBorder="0" applyAlignment="1">
      <x:alignment wrapText="1"/>
    </x:xf>
    <x:xf numFmtId="0" fontId="31" fillId="41" borderId="96" xfId="0" applyNumberFormat="1" applyFont="1" applyFill="1" applyBorder="1" applyAlignment="1">
      <x:alignment wrapText="1"/>
    </x:xf>
    <x:xf numFmtId="0" fontId="31" fillId="41" borderId="89" xfId="0" applyNumberFormat="1" applyFont="1" applyFill="1" applyBorder="1" applyAlignment="1">
      <x:alignment wrapText="1"/>
    </x:xf>
    <x:xf numFmtId="0" fontId="31" fillId="41" borderId="90" xfId="0" applyNumberFormat="1" applyFont="1" applyFill="1" applyBorder="1" applyAlignment="1">
      <x:alignment wrapText="1"/>
    </x:xf>
    <x:xf numFmtId="0" fontId="31" fillId="41" borderId="91" xfId="0" applyNumberFormat="1" applyFont="1" applyFill="1" applyBorder="1" applyAlignment="1">
      <x:alignment wrapText="1"/>
    </x:xf>
    <x:xf numFmtId="0" fontId="31" fillId="41" borderId="86" xfId="0" applyNumberFormat="1" applyFont="1" applyFill="1" applyBorder="1" applyAlignment="1">
      <x:alignment horizontal="left" wrapText="1"/>
    </x:xf>
    <x:xf numFmtId="0" fontId="31" fillId="41" borderId="87" xfId="0" applyNumberFormat="1" applyFont="1" applyFill="1" applyBorder="1" applyAlignment="1">
      <x:alignment horizontal="left" wrapText="1"/>
    </x:xf>
    <x:xf numFmtId="0" fontId="31" fillId="41" borderId="88" xfId="0" applyNumberFormat="1" applyFont="1" applyFill="1" applyBorder="1" applyAlignment="1">
      <x:alignment horizontal="left" wrapText="1"/>
    </x:xf>
    <x:xf numFmtId="0" fontId="31" fillId="41" borderId="95" xfId="0" applyNumberFormat="1" applyFont="1" applyFill="1" applyBorder="1" applyAlignment="1">
      <x:alignment horizontal="left" wrapText="1"/>
    </x:xf>
    <x:xf numFmtId="0" fontId="31" fillId="41" xfId="0" applyNumberFormat="1" applyFont="1" applyFill="1" applyBorder="0" applyAlignment="1">
      <x:alignment horizontal="left" wrapText="1"/>
    </x:xf>
    <x:xf numFmtId="0" fontId="31" fillId="41" borderId="96" xfId="0" applyNumberFormat="1" applyFont="1" applyFill="1" applyBorder="1" applyAlignment="1">
      <x:alignment horizontal="left" wrapText="1"/>
    </x:xf>
    <x:xf numFmtId="0" fontId="31" fillId="41" borderId="89" xfId="0" applyNumberFormat="1" applyFont="1" applyFill="1" applyBorder="1" applyAlignment="1">
      <x:alignment horizontal="left" wrapText="1"/>
    </x:xf>
    <x:xf numFmtId="0" fontId="31" fillId="41" borderId="90" xfId="0" applyNumberFormat="1" applyFont="1" applyFill="1" applyBorder="1" applyAlignment="1">
      <x:alignment horizontal="left" wrapText="1"/>
    </x:xf>
    <x:xf numFmtId="0" fontId="31" fillId="41" borderId="91" xfId="0" applyNumberFormat="1" applyFont="1" applyFill="1" applyBorder="1" applyAlignment="1">
      <x:alignment horizontal="left" wrapText="1"/>
    </x:xf>
    <x:xf numFmtId="0" fontId="31" fillId="41" borderId="86" xfId="0" applyNumberFormat="1" applyFont="1" applyFill="1" applyBorder="1" applyAlignment="1">
      <x:alignment horizontal="left" vertical="top" wrapText="1"/>
    </x:xf>
    <x:xf numFmtId="0" fontId="31" fillId="41" borderId="87" xfId="0" applyNumberFormat="1" applyFont="1" applyFill="1" applyBorder="1" applyAlignment="1">
      <x:alignment horizontal="left" vertical="top" wrapText="1"/>
    </x:xf>
    <x:xf numFmtId="0" fontId="31" fillId="41" borderId="88" xfId="0" applyNumberFormat="1" applyFont="1" applyFill="1" applyBorder="1" applyAlignment="1">
      <x:alignment horizontal="left" vertical="top" wrapText="1"/>
    </x:xf>
    <x:xf numFmtId="0" fontId="31" fillId="41" borderId="95" xfId="0" applyNumberFormat="1" applyFont="1" applyFill="1" applyBorder="1" applyAlignment="1">
      <x:alignment horizontal="left" vertical="top" wrapText="1"/>
    </x:xf>
    <x:xf numFmtId="0" fontId="31" fillId="41" xfId="0" applyNumberFormat="1" applyFont="1" applyFill="1" applyBorder="0" applyAlignment="1">
      <x:alignment horizontal="left" vertical="top" wrapText="1"/>
    </x:xf>
    <x:xf numFmtId="0" fontId="31" fillId="41" borderId="96" xfId="0" applyNumberFormat="1" applyFont="1" applyFill="1" applyBorder="1" applyAlignment="1">
      <x:alignment horizontal="left" vertical="top" wrapText="1"/>
    </x:xf>
    <x:xf numFmtId="0" fontId="31" fillId="41" borderId="89" xfId="0" applyNumberFormat="1" applyFont="1" applyFill="1" applyBorder="1" applyAlignment="1">
      <x:alignment horizontal="left" vertical="top" wrapText="1"/>
    </x:xf>
    <x:xf numFmtId="0" fontId="31" fillId="41" borderId="90" xfId="0" applyNumberFormat="1" applyFont="1" applyFill="1" applyBorder="1" applyAlignment="1">
      <x:alignment horizontal="left" vertical="top" wrapText="1"/>
    </x:xf>
    <x:xf numFmtId="0" fontId="31" fillId="41" borderId="91" xfId="0" applyNumberFormat="1" applyFont="1" applyFill="1" applyBorder="1" applyAlignment="1">
      <x:alignment horizontal="left" vertical="top" wrapText="1"/>
    </x:xf>
    <x:xf numFmtId="0" fontId="31" fillId="41" borderId="101" xfId="0" applyNumberFormat="1" applyFont="1" applyFill="1" applyBorder="1"/>
    <x:xf numFmtId="0" fontId="31" fillId="40" borderId="86" xfId="0" applyNumberFormat="1" applyFont="1" applyFill="1" applyBorder="1" applyAlignment="1">
      <x:alignment horizontal="center" wrapText="1"/>
    </x:xf>
    <x:xf numFmtId="0" fontId="31" fillId="40" borderId="87" xfId="0" applyNumberFormat="1" applyFont="1" applyFill="1" applyBorder="1" applyAlignment="1">
      <x:alignment horizontal="center" wrapText="1"/>
    </x:xf>
    <x:xf numFmtId="0" fontId="31" fillId="40" borderId="88" xfId="0" applyNumberFormat="1" applyFont="1" applyFill="1" applyBorder="1" applyAlignment="1">
      <x:alignment horizontal="center" wrapText="1"/>
    </x:xf>
    <x:xf numFmtId="0" fontId="31" fillId="40" borderId="95" xfId="0" applyNumberFormat="1" applyFont="1" applyFill="1" applyBorder="1" applyAlignment="1">
      <x:alignment horizontal="center" wrapText="1"/>
    </x:xf>
    <x:xf numFmtId="0" fontId="31" fillId="40" xfId="0" applyNumberFormat="1" applyFont="1" applyFill="1" applyBorder="0" applyAlignment="1">
      <x:alignment horizontal="center" wrapText="1"/>
    </x:xf>
    <x:xf numFmtId="0" fontId="31" fillId="40" borderId="96" xfId="0" applyNumberFormat="1" applyFont="1" applyFill="1" applyBorder="1" applyAlignment="1">
      <x:alignment horizontal="center" wrapText="1"/>
    </x:xf>
    <x:xf numFmtId="0" fontId="31" fillId="40" borderId="89" xfId="0" applyNumberFormat="1" applyFont="1" applyFill="1" applyBorder="1" applyAlignment="1">
      <x:alignment horizontal="center" wrapText="1"/>
    </x:xf>
    <x:xf numFmtId="0" fontId="31" fillId="40" borderId="90" xfId="0" applyNumberFormat="1" applyFont="1" applyFill="1" applyBorder="1" applyAlignment="1">
      <x:alignment horizontal="center" wrapText="1"/>
    </x:xf>
    <x:xf numFmtId="0" fontId="31" fillId="40" borderId="91" xfId="0" applyNumberFormat="1" applyFont="1" applyFill="1" applyBorder="1" applyAlignment="1">
      <x:alignment horizontal="center" wrapText="1"/>
    </x:xf>
    <x:xf numFmtId="0" fontId="31" fillId="40" borderId="86" xfId="0" applyNumberFormat="1" applyFont="1" applyFill="1" applyBorder="1" applyAlignment="1">
      <x:alignment horizontal="center" vertical="center" wrapText="1"/>
    </x:xf>
    <x:xf numFmtId="0" fontId="31" fillId="40" borderId="87" xfId="0" applyNumberFormat="1" applyFont="1" applyFill="1" applyBorder="1" applyAlignment="1">
      <x:alignment horizontal="center" vertical="center" wrapText="1"/>
    </x:xf>
    <x:xf numFmtId="0" fontId="31" fillId="40" borderId="88" xfId="0" applyNumberFormat="1" applyFont="1" applyFill="1" applyBorder="1" applyAlignment="1">
      <x:alignment horizontal="center" vertical="center" wrapText="1"/>
    </x:xf>
    <x:xf numFmtId="0" fontId="31" fillId="40" borderId="95" xfId="0" applyNumberFormat="1" applyFont="1" applyFill="1" applyBorder="1" applyAlignment="1">
      <x:alignment horizontal="center" vertical="center" wrapText="1"/>
    </x:xf>
    <x:xf numFmtId="0" fontId="31" fillId="40" xfId="0" applyNumberFormat="1" applyFont="1" applyFill="1" applyBorder="0" applyAlignment="1">
      <x:alignment horizontal="center" vertical="center" wrapText="1"/>
    </x:xf>
    <x:xf numFmtId="0" fontId="31" fillId="40" borderId="96" xfId="0" applyNumberFormat="1" applyFont="1" applyFill="1" applyBorder="1" applyAlignment="1">
      <x:alignment horizontal="center" vertical="center" wrapText="1"/>
    </x:xf>
    <x:xf numFmtId="0" fontId="31" fillId="40" borderId="89" xfId="0" applyNumberFormat="1" applyFont="1" applyFill="1" applyBorder="1" applyAlignment="1">
      <x:alignment horizontal="center" vertical="center" wrapText="1"/>
    </x:xf>
    <x:xf numFmtId="0" fontId="31" fillId="40" borderId="90" xfId="0" applyNumberFormat="1" applyFont="1" applyFill="1" applyBorder="1" applyAlignment="1">
      <x:alignment horizontal="center" vertical="center" wrapText="1"/>
    </x:xf>
    <x:xf numFmtId="0" fontId="31" fillId="40" borderId="91" xfId="0" applyNumberFormat="1" applyFont="1" applyFill="1" applyBorder="1" applyAlignment="1">
      <x:alignment horizontal="center" vertical="center" wrapText="1"/>
    </x:xf>
    <x:xf numFmtId="0" fontId="0" fillId="37" borderId="101" xfId="0" applyNumberFormat="1" applyFont="1" applyFill="1" applyBorder="1"/>
    <x:xf numFmtId="0" fontId="26" fillId="37" xfId="0" applyNumberFormat="1" applyFont="1" applyFill="1" applyBorder="0"/>
    <x:xf numFmtId="0" fontId="26" fillId="37" borderId="101" xfId="0" applyNumberFormat="1" applyFont="1" applyFill="1" applyBorder="1"/>
    <x:xf numFmtId="0" fontId="26" fillId="37" borderId="86" xfId="0" applyNumberFormat="1" applyFont="1" applyFill="1" applyBorder="1"/>
    <x:xf numFmtId="0" fontId="26" fillId="37" borderId="87" xfId="0" applyNumberFormat="1" applyFont="1" applyFill="1" applyBorder="1"/>
    <x:xf numFmtId="0" fontId="26" fillId="37" borderId="88" xfId="0" applyNumberFormat="1" applyFont="1" applyFill="1" applyBorder="1"/>
    <x:xf numFmtId="0" fontId="26" fillId="37" borderId="95" xfId="0" applyNumberFormat="1" applyFont="1" applyFill="1" applyBorder="1"/>
    <x:xf numFmtId="0" fontId="26" fillId="37" borderId="96" xfId="0" applyNumberFormat="1" applyFont="1" applyFill="1" applyBorder="1"/>
    <x:xf numFmtId="0" fontId="26" fillId="37" borderId="89" xfId="0" applyNumberFormat="1" applyFont="1" applyFill="1" applyBorder="1"/>
    <x:xf numFmtId="0" fontId="26" fillId="37" borderId="90" xfId="0" applyNumberFormat="1" applyFont="1" applyFill="1" applyBorder="1"/>
    <x:xf numFmtId="0" fontId="26" fillId="37" borderId="91" xfId="0" applyNumberFormat="1" applyFont="1" applyFill="1" applyBorder="1"/>
    <x:xf numFmtId="0" fontId="26" fillId="37" borderId="86" xfId="0" applyNumberFormat="1" applyFont="1" applyFill="1" applyBorder="1" applyAlignment="1">
      <x:alignment wrapText="1"/>
    </x:xf>
    <x:xf numFmtId="0" fontId="26" fillId="37" borderId="87" xfId="0" applyNumberFormat="1" applyFont="1" applyFill="1" applyBorder="1" applyAlignment="1">
      <x:alignment wrapText="1"/>
    </x:xf>
    <x:xf numFmtId="0" fontId="26" fillId="37" borderId="88" xfId="0" applyNumberFormat="1" applyFont="1" applyFill="1" applyBorder="1" applyAlignment="1">
      <x:alignment wrapText="1"/>
    </x:xf>
    <x:xf numFmtId="0" fontId="26" fillId="37" borderId="95" xfId="0" applyNumberFormat="1" applyFont="1" applyFill="1" applyBorder="1" applyAlignment="1">
      <x:alignment wrapText="1"/>
    </x:xf>
    <x:xf numFmtId="0" fontId="26" fillId="37" xfId="0" applyNumberFormat="1" applyFont="1" applyFill="1" applyBorder="0" applyAlignment="1">
      <x:alignment wrapText="1"/>
    </x:xf>
    <x:xf numFmtId="0" fontId="26" fillId="37" borderId="96" xfId="0" applyNumberFormat="1" applyFont="1" applyFill="1" applyBorder="1" applyAlignment="1">
      <x:alignment wrapText="1"/>
    </x:xf>
    <x:xf numFmtId="0" fontId="26" fillId="37" borderId="89" xfId="0" applyNumberFormat="1" applyFont="1" applyFill="1" applyBorder="1" applyAlignment="1">
      <x:alignment wrapText="1"/>
    </x:xf>
    <x:xf numFmtId="0" fontId="26" fillId="37" borderId="90" xfId="0" applyNumberFormat="1" applyFont="1" applyFill="1" applyBorder="1" applyAlignment="1">
      <x:alignment wrapText="1"/>
    </x:xf>
    <x:xf numFmtId="0" fontId="26" fillId="37" borderId="91" xfId="0" applyNumberFormat="1" applyFont="1" applyFill="1" applyBorder="1" applyAlignment="1">
      <x:alignment wrapText="1"/>
    </x:xf>
    <x:xf numFmtId="0" fontId="26" fillId="37" borderId="86" xfId="0" applyNumberFormat="1" applyFont="1" applyFill="1" applyBorder="1" applyAlignment="1">
      <x:alignment horizontal="center" wrapText="1"/>
    </x:xf>
    <x:xf numFmtId="0" fontId="26" fillId="37" borderId="87" xfId="0" applyNumberFormat="1" applyFont="1" applyFill="1" applyBorder="1" applyAlignment="1">
      <x:alignment horizontal="center" wrapText="1"/>
    </x:xf>
    <x:xf numFmtId="0" fontId="26" fillId="37" borderId="88" xfId="0" applyNumberFormat="1" applyFont="1" applyFill="1" applyBorder="1" applyAlignment="1">
      <x:alignment horizontal="center" wrapText="1"/>
    </x:xf>
    <x:xf numFmtId="0" fontId="26" fillId="37" borderId="95" xfId="0" applyNumberFormat="1" applyFont="1" applyFill="1" applyBorder="1" applyAlignment="1">
      <x:alignment horizontal="center" wrapText="1"/>
    </x:xf>
    <x:xf numFmtId="0" fontId="26" fillId="37" xfId="0" applyNumberFormat="1" applyFont="1" applyFill="1" applyBorder="0" applyAlignment="1">
      <x:alignment horizontal="center" wrapText="1"/>
    </x:xf>
    <x:xf numFmtId="0" fontId="26" fillId="37" borderId="96" xfId="0" applyNumberFormat="1" applyFont="1" applyFill="1" applyBorder="1" applyAlignment="1">
      <x:alignment horizontal="center" wrapText="1"/>
    </x:xf>
    <x:xf numFmtId="0" fontId="26" fillId="37" borderId="89" xfId="0" applyNumberFormat="1" applyFont="1" applyFill="1" applyBorder="1" applyAlignment="1">
      <x:alignment horizontal="center" wrapText="1"/>
    </x:xf>
    <x:xf numFmtId="0" fontId="26" fillId="37" borderId="90" xfId="0" applyNumberFormat="1" applyFont="1" applyFill="1" applyBorder="1" applyAlignment="1">
      <x:alignment horizontal="center" wrapText="1"/>
    </x:xf>
    <x:xf numFmtId="0" fontId="26" fillId="37" borderId="91" xfId="0" applyNumberFormat="1" applyFont="1" applyFill="1" applyBorder="1" applyAlignment="1">
      <x:alignment horizontal="center" wrapText="1"/>
    </x:xf>
    <x:xf numFmtId="0" fontId="26" fillId="37" borderId="86" xfId="0" applyNumberFormat="1" applyFont="1" applyFill="1" applyBorder="1" applyAlignment="1">
      <x:alignment horizontal="center" vertical="center" wrapText="1"/>
    </x:xf>
    <x:xf numFmtId="0" fontId="26" fillId="37" borderId="87" xfId="0" applyNumberFormat="1" applyFont="1" applyFill="1" applyBorder="1" applyAlignment="1">
      <x:alignment horizontal="center" vertical="center" wrapText="1"/>
    </x:xf>
    <x:xf numFmtId="0" fontId="26" fillId="37" borderId="88" xfId="0" applyNumberFormat="1" applyFont="1" applyFill="1" applyBorder="1" applyAlignment="1">
      <x:alignment horizontal="center" vertical="center" wrapText="1"/>
    </x:xf>
    <x:xf numFmtId="0" fontId="26" fillId="37" borderId="95" xfId="0" applyNumberFormat="1" applyFont="1" applyFill="1" applyBorder="1" applyAlignment="1">
      <x:alignment horizontal="center" vertical="center" wrapText="1"/>
    </x:xf>
    <x:xf numFmtId="0" fontId="26" fillId="37" xfId="0" applyNumberFormat="1" applyFont="1" applyFill="1" applyBorder="0" applyAlignment="1">
      <x:alignment horizontal="center" vertical="center" wrapText="1"/>
    </x:xf>
    <x:xf numFmtId="0" fontId="26" fillId="37" borderId="96" xfId="0" applyNumberFormat="1" applyFont="1" applyFill="1" applyBorder="1" applyAlignment="1">
      <x:alignment horizontal="center" vertical="center" wrapText="1"/>
    </x:xf>
    <x:xf numFmtId="0" fontId="26" fillId="37" borderId="89" xfId="0" applyNumberFormat="1" applyFont="1" applyFill="1" applyBorder="1" applyAlignment="1">
      <x:alignment horizontal="center" vertical="center" wrapText="1"/>
    </x:xf>
    <x:xf numFmtId="0" fontId="26" fillId="37" borderId="90" xfId="0" applyNumberFormat="1" applyFont="1" applyFill="1" applyBorder="1" applyAlignment="1">
      <x:alignment horizontal="center" vertical="center" wrapText="1"/>
    </x:xf>
    <x:xf numFmtId="0" fontId="26" fillId="37" borderId="91" xfId="0" applyNumberFormat="1" applyFont="1" applyFill="1" applyBorder="1" applyAlignment="1">
      <x:alignment horizontal="center" vertical="center" wrapText="1"/>
    </x:xf>
    <x:xf numFmtId="0" fontId="11" fillId="39" borderId="86" xfId="0" applyNumberFormat="1" applyFont="1" applyFill="1" applyBorder="1" applyAlignment="1">
      <x:alignment horizontal="left" wrapText="1"/>
    </x:xf>
    <x:xf numFmtId="0" fontId="11" fillId="39" borderId="87" xfId="0" applyNumberFormat="1" applyFont="1" applyFill="1" applyBorder="1" applyAlignment="1">
      <x:alignment horizontal="left" wrapText="1"/>
    </x:xf>
    <x:xf numFmtId="0" fontId="11" fillId="39" borderId="88" xfId="0" applyNumberFormat="1" applyFont="1" applyFill="1" applyBorder="1" applyAlignment="1">
      <x:alignment horizontal="left" wrapText="1"/>
    </x:xf>
    <x:xf numFmtId="0" fontId="11" fillId="39" borderId="95" xfId="0" applyNumberFormat="1" applyFont="1" applyFill="1" applyBorder="1" applyAlignment="1">
      <x:alignment horizontal="left" wrapText="1"/>
    </x:xf>
    <x:xf numFmtId="0" fontId="11" fillId="39" xfId="0" applyNumberFormat="1" applyFont="1" applyFill="1" applyBorder="0" applyAlignment="1">
      <x:alignment horizontal="left" wrapText="1"/>
    </x:xf>
    <x:xf numFmtId="0" fontId="11" fillId="39" borderId="96" xfId="0" applyNumberFormat="1" applyFont="1" applyFill="1" applyBorder="1" applyAlignment="1">
      <x:alignment horizontal="left" wrapText="1"/>
    </x:xf>
    <x:xf numFmtId="0" fontId="11" fillId="39" borderId="89" xfId="0" applyNumberFormat="1" applyFont="1" applyFill="1" applyBorder="1" applyAlignment="1">
      <x:alignment horizontal="left" wrapText="1"/>
    </x:xf>
    <x:xf numFmtId="0" fontId="11" fillId="39" borderId="90" xfId="0" applyNumberFormat="1" applyFont="1" applyFill="1" applyBorder="1" applyAlignment="1">
      <x:alignment horizontal="left" wrapText="1"/>
    </x:xf>
    <x:xf numFmtId="0" fontId="11" fillId="39" borderId="91" xfId="0" applyNumberFormat="1" applyFont="1" applyFill="1" applyBorder="1" applyAlignment="1">
      <x:alignment horizontal="left" wrapText="1"/>
    </x:xf>
    <x:xf numFmtId="0" fontId="11" fillId="39" borderId="86" xfId="0" applyNumberFormat="1" applyFont="1" applyFill="1" applyBorder="1" applyAlignment="1">
      <x:alignment horizontal="left" vertical="top" wrapText="1"/>
    </x:xf>
    <x:xf numFmtId="0" fontId="11" fillId="39" borderId="87" xfId="0" applyNumberFormat="1" applyFont="1" applyFill="1" applyBorder="1" applyAlignment="1">
      <x:alignment horizontal="left" vertical="top" wrapText="1"/>
    </x:xf>
    <x:xf numFmtId="0" fontId="11" fillId="39" borderId="88" xfId="0" applyNumberFormat="1" applyFont="1" applyFill="1" applyBorder="1" applyAlignment="1">
      <x:alignment horizontal="left" vertical="top" wrapText="1"/>
    </x:xf>
    <x:xf numFmtId="0" fontId="11" fillId="39" borderId="95" xfId="0" applyNumberFormat="1" applyFont="1" applyFill="1" applyBorder="1" applyAlignment="1">
      <x:alignment horizontal="left" vertical="top" wrapText="1"/>
    </x:xf>
    <x:xf numFmtId="0" fontId="11" fillId="39" xfId="0" applyNumberFormat="1" applyFont="1" applyFill="1" applyBorder="0" applyAlignment="1">
      <x:alignment horizontal="left" vertical="top" wrapText="1"/>
    </x:xf>
    <x:xf numFmtId="0" fontId="11" fillId="39" borderId="96" xfId="0" applyNumberFormat="1" applyFont="1" applyFill="1" applyBorder="1" applyAlignment="1">
      <x:alignment horizontal="left" vertical="top" wrapText="1"/>
    </x:xf>
    <x:xf numFmtId="0" fontId="11" fillId="39" borderId="89" xfId="0" applyNumberFormat="1" applyFont="1" applyFill="1" applyBorder="1" applyAlignment="1">
      <x:alignment horizontal="left" vertical="top" wrapText="1"/>
    </x:xf>
    <x:xf numFmtId="0" fontId="11" fillId="39" borderId="90" xfId="0" applyNumberFormat="1" applyFont="1" applyFill="1" applyBorder="1" applyAlignment="1">
      <x:alignment horizontal="left" vertical="top" wrapText="1"/>
    </x:xf>
    <x:xf numFmtId="0" fontId="11" fillId="39" borderId="91" xfId="0" applyNumberFormat="1" applyFont="1" applyFill="1" applyBorder="1" applyAlignment="1">
      <x:alignment horizontal="left" vertical="top" wrapText="1"/>
    </x:xf>
    <x:xf numFmtId="0" fontId="28" fillId="41" borderId="101" xfId="0" applyNumberFormat="1" applyFont="1" applyFill="1" applyBorder="1"/>
    <x:xf numFmtId="0" fontId="28" fillId="41" borderId="86" xfId="0" applyNumberFormat="1" applyFont="1" applyFill="1" applyBorder="1" applyAlignment="1">
      <x:alignment horizontal="center" wrapText="1"/>
    </x:xf>
    <x:xf numFmtId="0" fontId="28" fillId="41" borderId="87" xfId="0" applyNumberFormat="1" applyFont="1" applyFill="1" applyBorder="1" applyAlignment="1">
      <x:alignment horizontal="center" wrapText="1"/>
    </x:xf>
    <x:xf numFmtId="0" fontId="28" fillId="41" borderId="88" xfId="0" applyNumberFormat="1" applyFont="1" applyFill="1" applyBorder="1" applyAlignment="1">
      <x:alignment horizontal="center" wrapText="1"/>
    </x:xf>
    <x:xf numFmtId="0" fontId="28" fillId="41" borderId="95" xfId="0" applyNumberFormat="1" applyFont="1" applyFill="1" applyBorder="1" applyAlignment="1">
      <x:alignment horizontal="center" wrapText="1"/>
    </x:xf>
    <x:xf numFmtId="0" fontId="28" fillId="41" xfId="0" applyNumberFormat="1" applyFont="1" applyFill="1" applyBorder="0" applyAlignment="1">
      <x:alignment horizontal="center" wrapText="1"/>
    </x:xf>
    <x:xf numFmtId="0" fontId="28" fillId="41" borderId="96" xfId="0" applyNumberFormat="1" applyFont="1" applyFill="1" applyBorder="1" applyAlignment="1">
      <x:alignment horizontal="center" wrapText="1"/>
    </x:xf>
    <x:xf numFmtId="0" fontId="28" fillId="41" borderId="89" xfId="0" applyNumberFormat="1" applyFont="1" applyFill="1" applyBorder="1" applyAlignment="1">
      <x:alignment horizontal="center" wrapText="1"/>
    </x:xf>
    <x:xf numFmtId="0" fontId="28" fillId="41" borderId="90" xfId="0" applyNumberFormat="1" applyFont="1" applyFill="1" applyBorder="1" applyAlignment="1">
      <x:alignment horizontal="center" wrapText="1"/>
    </x:xf>
    <x:xf numFmtId="0" fontId="28" fillId="41" borderId="91" xfId="0" applyNumberFormat="1" applyFont="1" applyFill="1" applyBorder="1" applyAlignment="1">
      <x:alignment horizontal="center" wrapText="1"/>
    </x:xf>
    <x:xf numFmtId="0" fontId="28" fillId="41" borderId="86" xfId="0" applyNumberFormat="1" applyFont="1" applyFill="1" applyBorder="1" applyAlignment="1">
      <x:alignment horizontal="center" vertical="center" wrapText="1"/>
    </x:xf>
    <x:xf numFmtId="0" fontId="28" fillId="41" borderId="87" xfId="0" applyNumberFormat="1" applyFont="1" applyFill="1" applyBorder="1" applyAlignment="1">
      <x:alignment horizontal="center" vertical="center" wrapText="1"/>
    </x:xf>
    <x:xf numFmtId="0" fontId="28" fillId="41" borderId="88" xfId="0" applyNumberFormat="1" applyFont="1" applyFill="1" applyBorder="1" applyAlignment="1">
      <x:alignment horizontal="center" vertical="center" wrapText="1"/>
    </x:xf>
    <x:xf numFmtId="0" fontId="28" fillId="41" borderId="95" xfId="0" applyNumberFormat="1" applyFont="1" applyFill="1" applyBorder="1" applyAlignment="1">
      <x:alignment horizontal="center" vertical="center" wrapText="1"/>
    </x:xf>
    <x:xf numFmtId="0" fontId="28" fillId="41" xfId="0" applyNumberFormat="1" applyFont="1" applyFill="1" applyBorder="0" applyAlignment="1">
      <x:alignment horizontal="center" vertical="center" wrapText="1"/>
    </x:xf>
    <x:xf numFmtId="0" fontId="28" fillId="41" borderId="96" xfId="0" applyNumberFormat="1" applyFont="1" applyFill="1" applyBorder="1" applyAlignment="1">
      <x:alignment horizontal="center" vertical="center" wrapText="1"/>
    </x:xf>
    <x:xf numFmtId="0" fontId="28" fillId="41" borderId="89" xfId="0" applyNumberFormat="1" applyFont="1" applyFill="1" applyBorder="1" applyAlignment="1">
      <x:alignment horizontal="center" vertical="center" wrapText="1"/>
    </x:xf>
    <x:xf numFmtId="0" fontId="28" fillId="41" borderId="90" xfId="0" applyNumberFormat="1" applyFont="1" applyFill="1" applyBorder="1" applyAlignment="1">
      <x:alignment horizontal="center" vertical="center" wrapText="1"/>
    </x:xf>
    <x:xf numFmtId="0" fontId="28" fillId="41" borderId="91" xfId="0" applyNumberFormat="1" applyFont="1" applyFill="1" applyBorder="1" applyAlignment="1">
      <x:alignment horizontal="center" vertical="center" wrapText="1"/>
    </x:xf>
    <x:xf numFmtId="0" fontId="41" fillId="40" borderId="100" xfId="0" applyNumberFormat="1" applyFont="1" applyFill="1" applyBorder="1"/>
    <x:xf numFmtId="0" fontId="41" fillId="40" borderId="101" xfId="0" applyNumberFormat="1" applyFont="1" applyFill="1" applyBorder="1"/>
    <x:xf numFmtId="0" fontId="38" fillId="42" borderId="86" xfId="0" applyNumberFormat="1" applyFont="1" applyFill="1" applyBorder="1" applyAlignment="1">
      <x:alignment horizontal="center" wrapText="1"/>
    </x:xf>
    <x:xf numFmtId="0" fontId="38" fillId="42" borderId="87" xfId="0" applyNumberFormat="1" applyFont="1" applyFill="1" applyBorder="1" applyAlignment="1">
      <x:alignment horizontal="center" wrapText="1"/>
    </x:xf>
    <x:xf numFmtId="0" fontId="38" fillId="42" borderId="88" xfId="0" applyNumberFormat="1" applyFont="1" applyFill="1" applyBorder="1" applyAlignment="1">
      <x:alignment horizontal="center" wrapText="1"/>
    </x:xf>
    <x:xf numFmtId="0" fontId="38" fillId="42" borderId="95" xfId="0" applyNumberFormat="1" applyFont="1" applyFill="1" applyBorder="1" applyAlignment="1">
      <x:alignment horizontal="center" wrapText="1"/>
    </x:xf>
    <x:xf numFmtId="0" fontId="38" fillId="42" xfId="0" applyNumberFormat="1" applyFont="1" applyFill="1" applyBorder="0" applyAlignment="1">
      <x:alignment horizontal="center" wrapText="1"/>
    </x:xf>
    <x:xf numFmtId="0" fontId="38" fillId="42" borderId="96" xfId="0" applyNumberFormat="1" applyFont="1" applyFill="1" applyBorder="1" applyAlignment="1">
      <x:alignment horizontal="center" wrapText="1"/>
    </x:xf>
    <x:xf numFmtId="0" fontId="38" fillId="42" borderId="89" xfId="0" applyNumberFormat="1" applyFont="1" applyFill="1" applyBorder="1" applyAlignment="1">
      <x:alignment horizontal="center" wrapText="1"/>
    </x:xf>
    <x:xf numFmtId="0" fontId="38" fillId="42" borderId="90" xfId="0" applyNumberFormat="1" applyFont="1" applyFill="1" applyBorder="1" applyAlignment="1">
      <x:alignment horizontal="center" wrapText="1"/>
    </x:xf>
    <x:xf numFmtId="0" fontId="38" fillId="42" borderId="91" xfId="0" applyNumberFormat="1" applyFont="1" applyFill="1" applyBorder="1" applyAlignment="1">
      <x:alignment horizontal="center" wrapText="1"/>
    </x:xf>
    <x:xf numFmtId="0" fontId="38" fillId="42" borderId="86" xfId="0" applyNumberFormat="1" applyFont="1" applyFill="1" applyBorder="1" applyAlignment="1">
      <x:alignment horizontal="center" vertical="center" wrapText="1"/>
    </x:xf>
    <x:xf numFmtId="0" fontId="38" fillId="42" borderId="87" xfId="0" applyNumberFormat="1" applyFont="1" applyFill="1" applyBorder="1" applyAlignment="1">
      <x:alignment horizontal="center" vertical="center" wrapText="1"/>
    </x:xf>
    <x:xf numFmtId="0" fontId="38" fillId="42" borderId="88" xfId="0" applyNumberFormat="1" applyFont="1" applyFill="1" applyBorder="1" applyAlignment="1">
      <x:alignment horizontal="center" vertical="center" wrapText="1"/>
    </x:xf>
    <x:xf numFmtId="0" fontId="38" fillId="42" borderId="95" xfId="0" applyNumberFormat="1" applyFont="1" applyFill="1" applyBorder="1" applyAlignment="1">
      <x:alignment horizontal="center" vertical="center" wrapText="1"/>
    </x:xf>
    <x:xf numFmtId="0" fontId="38" fillId="42" xfId="0" applyNumberFormat="1" applyFont="1" applyFill="1" applyBorder="0" applyAlignment="1">
      <x:alignment horizontal="center" vertical="center" wrapText="1"/>
    </x:xf>
    <x:xf numFmtId="0" fontId="38" fillId="42" borderId="96" xfId="0" applyNumberFormat="1" applyFont="1" applyFill="1" applyBorder="1" applyAlignment="1">
      <x:alignment horizontal="center" vertical="center" wrapText="1"/>
    </x:xf>
    <x:xf numFmtId="0" fontId="38" fillId="42" borderId="89" xfId="0" applyNumberFormat="1" applyFont="1" applyFill="1" applyBorder="1" applyAlignment="1">
      <x:alignment horizontal="center" vertical="center" wrapText="1"/>
    </x:xf>
    <x:xf numFmtId="0" fontId="38" fillId="42" borderId="90" xfId="0" applyNumberFormat="1" applyFont="1" applyFill="1" applyBorder="1" applyAlignment="1">
      <x:alignment horizontal="center" vertical="center" wrapText="1"/>
    </x:xf>
    <x:xf numFmtId="0" fontId="38" fillId="42" borderId="91" xfId="0" applyNumberFormat="1" applyFont="1" applyFill="1" applyBorder="1" applyAlignment="1">
      <x:alignment horizontal="center" vertical="center" wrapText="1"/>
    </x:xf>
    <x:xf numFmtId="0" fontId="10" fillId="38" borderId="100" xfId="0" applyNumberFormat="1" applyFont="1" applyFill="1" applyBorder="1"/>
    <x:xf numFmtId="0" fontId="10" fillId="38" xfId="0" applyNumberFormat="1" applyFont="1" applyFill="1" applyBorder="0"/>
    <x:xf numFmtId="0" fontId="10" fillId="38" borderId="86" xfId="0" applyNumberFormat="1" applyFont="1" applyFill="1" applyBorder="1"/>
    <x:xf numFmtId="0" fontId="10" fillId="38" borderId="87" xfId="0" applyNumberFormat="1" applyFont="1" applyFill="1" applyBorder="1"/>
    <x:xf numFmtId="0" fontId="10" fillId="38" borderId="88" xfId="0" applyNumberFormat="1" applyFont="1" applyFill="1" applyBorder="1"/>
    <x:xf numFmtId="0" fontId="10" fillId="38" borderId="95" xfId="0" applyNumberFormat="1" applyFont="1" applyFill="1" applyBorder="1"/>
    <x:xf numFmtId="0" fontId="10" fillId="38" borderId="96" xfId="0" applyNumberFormat="1" applyFont="1" applyFill="1" applyBorder="1"/>
    <x:xf numFmtId="0" fontId="10" fillId="38" borderId="89" xfId="0" applyNumberFormat="1" applyFont="1" applyFill="1" applyBorder="1"/>
    <x:xf numFmtId="0" fontId="10" fillId="38" borderId="90" xfId="0" applyNumberFormat="1" applyFont="1" applyFill="1" applyBorder="1"/>
    <x:xf numFmtId="0" fontId="10" fillId="38" borderId="91" xfId="0" applyNumberFormat="1" applyFont="1" applyFill="1" applyBorder="1"/>
    <x:xf numFmtId="0" fontId="10" fillId="38" borderId="86" xfId="0" applyNumberFormat="1" applyFont="1" applyFill="1" applyBorder="1" applyAlignment="1">
      <x:alignment wrapText="1"/>
    </x:xf>
    <x:xf numFmtId="0" fontId="10" fillId="38" borderId="87" xfId="0" applyNumberFormat="1" applyFont="1" applyFill="1" applyBorder="1" applyAlignment="1">
      <x:alignment wrapText="1"/>
    </x:xf>
    <x:xf numFmtId="0" fontId="10" fillId="38" borderId="88" xfId="0" applyNumberFormat="1" applyFont="1" applyFill="1" applyBorder="1" applyAlignment="1">
      <x:alignment wrapText="1"/>
    </x:xf>
    <x:xf numFmtId="0" fontId="10" fillId="38" borderId="95" xfId="0" applyNumberFormat="1" applyFont="1" applyFill="1" applyBorder="1" applyAlignment="1">
      <x:alignment wrapText="1"/>
    </x:xf>
    <x:xf numFmtId="0" fontId="10" fillId="38" xfId="0" applyNumberFormat="1" applyFont="1" applyFill="1" applyBorder="0" applyAlignment="1">
      <x:alignment wrapText="1"/>
    </x:xf>
    <x:xf numFmtId="0" fontId="10" fillId="38" borderId="96" xfId="0" applyNumberFormat="1" applyFont="1" applyFill="1" applyBorder="1" applyAlignment="1">
      <x:alignment wrapText="1"/>
    </x:xf>
    <x:xf numFmtId="0" fontId="10" fillId="38" borderId="89" xfId="0" applyNumberFormat="1" applyFont="1" applyFill="1" applyBorder="1" applyAlignment="1">
      <x:alignment wrapText="1"/>
    </x:xf>
    <x:xf numFmtId="0" fontId="10" fillId="38" borderId="90" xfId="0" applyNumberFormat="1" applyFont="1" applyFill="1" applyBorder="1" applyAlignment="1">
      <x:alignment wrapText="1"/>
    </x:xf>
    <x:xf numFmtId="0" fontId="10" fillId="38" borderId="91" xfId="0" applyNumberFormat="1" applyFont="1" applyFill="1" applyBorder="1" applyAlignment="1">
      <x:alignment wrapText="1"/>
    </x:xf>
    <x:xf numFmtId="0" fontId="10" fillId="38" borderId="86" xfId="0" applyNumberFormat="1" applyFont="1" applyFill="1" applyBorder="1" applyAlignment="1">
      <x:alignment horizontal="center" wrapText="1"/>
    </x:xf>
    <x:xf numFmtId="0" fontId="10" fillId="38" borderId="87" xfId="0" applyNumberFormat="1" applyFont="1" applyFill="1" applyBorder="1" applyAlignment="1">
      <x:alignment horizontal="center" wrapText="1"/>
    </x:xf>
    <x:xf numFmtId="0" fontId="10" fillId="38" borderId="88" xfId="0" applyNumberFormat="1" applyFont="1" applyFill="1" applyBorder="1" applyAlignment="1">
      <x:alignment horizontal="center" wrapText="1"/>
    </x:xf>
    <x:xf numFmtId="0" fontId="10" fillId="38" borderId="95" xfId="0" applyNumberFormat="1" applyFont="1" applyFill="1" applyBorder="1" applyAlignment="1">
      <x:alignment horizontal="center" wrapText="1"/>
    </x:xf>
    <x:xf numFmtId="0" fontId="10" fillId="38" xfId="0" applyNumberFormat="1" applyFont="1" applyFill="1" applyBorder="0" applyAlignment="1">
      <x:alignment horizontal="center" wrapText="1"/>
    </x:xf>
    <x:xf numFmtId="0" fontId="10" fillId="38" borderId="96" xfId="0" applyNumberFormat="1" applyFont="1" applyFill="1" applyBorder="1" applyAlignment="1">
      <x:alignment horizontal="center" wrapText="1"/>
    </x:xf>
    <x:xf numFmtId="0" fontId="10" fillId="38" borderId="89" xfId="0" applyNumberFormat="1" applyFont="1" applyFill="1" applyBorder="1" applyAlignment="1">
      <x:alignment horizontal="center" wrapText="1"/>
    </x:xf>
    <x:xf numFmtId="0" fontId="10" fillId="38" borderId="90" xfId="0" applyNumberFormat="1" applyFont="1" applyFill="1" applyBorder="1" applyAlignment="1">
      <x:alignment horizontal="center" wrapText="1"/>
    </x:xf>
    <x:xf numFmtId="0" fontId="10" fillId="38" borderId="91" xfId="0" applyNumberFormat="1" applyFont="1" applyFill="1" applyBorder="1" applyAlignment="1">
      <x:alignment horizontal="center" wrapText="1"/>
    </x:xf>
    <x:xf numFmtId="0" fontId="10" fillId="38" borderId="86" xfId="0" applyNumberFormat="1" applyFont="1" applyFill="1" applyBorder="1" applyAlignment="1">
      <x:alignment horizontal="center" vertical="center" wrapText="1"/>
    </x:xf>
    <x:xf numFmtId="0" fontId="10" fillId="38" borderId="87" xfId="0" applyNumberFormat="1" applyFont="1" applyFill="1" applyBorder="1" applyAlignment="1">
      <x:alignment horizontal="center" vertical="center" wrapText="1"/>
    </x:xf>
    <x:xf numFmtId="0" fontId="10" fillId="38" borderId="88" xfId="0" applyNumberFormat="1" applyFont="1" applyFill="1" applyBorder="1" applyAlignment="1">
      <x:alignment horizontal="center" vertical="center" wrapText="1"/>
    </x:xf>
    <x:xf numFmtId="0" fontId="10" fillId="38" borderId="95" xfId="0" applyNumberFormat="1" applyFont="1" applyFill="1" applyBorder="1" applyAlignment="1">
      <x:alignment horizontal="center" vertical="center" wrapText="1"/>
    </x:xf>
    <x:xf numFmtId="0" fontId="10" fillId="38" xfId="0" applyNumberFormat="1" applyFont="1" applyFill="1" applyBorder="0" applyAlignment="1">
      <x:alignment horizontal="center" vertical="center" wrapText="1"/>
    </x:xf>
    <x:xf numFmtId="0" fontId="10" fillId="38" borderId="96" xfId="0" applyNumberFormat="1" applyFont="1" applyFill="1" applyBorder="1" applyAlignment="1">
      <x:alignment horizontal="center" vertical="center" wrapText="1"/>
    </x:xf>
    <x:xf numFmtId="0" fontId="10" fillId="38" borderId="89" xfId="0" applyNumberFormat="1" applyFont="1" applyFill="1" applyBorder="1" applyAlignment="1">
      <x:alignment horizontal="center" vertical="center" wrapText="1"/>
    </x:xf>
    <x:xf numFmtId="0" fontId="10" fillId="38" borderId="90" xfId="0" applyNumberFormat="1" applyFont="1" applyFill="1" applyBorder="1" applyAlignment="1">
      <x:alignment horizontal="center" vertical="center" wrapText="1"/>
    </x:xf>
    <x:xf numFmtId="0" fontId="10" fillId="38" borderId="91" xfId="0" applyNumberFormat="1" applyFont="1" applyFill="1" applyBorder="1" applyAlignment="1">
      <x:alignment horizontal="center" vertical="center" wrapText="1"/>
    </x:xf>
    <x:xf numFmtId="0" fontId="42" fillId="41" xfId="0" applyNumberFormat="1" applyFont="1" applyFill="1" applyBorder="0"/>
    <x:xf numFmtId="0" fontId="42" fillId="41" borderId="101" xfId="0" applyNumberFormat="1" applyFont="1" applyFill="1" applyBorder="1"/>
    <x:xf numFmtId="0" fontId="42" fillId="41" borderId="86" xfId="0" applyNumberFormat="1" applyFont="1" applyFill="1" applyBorder="1"/>
    <x:xf numFmtId="0" fontId="42" fillId="41" borderId="87" xfId="0" applyNumberFormat="1" applyFont="1" applyFill="1" applyBorder="1"/>
    <x:xf numFmtId="0" fontId="42" fillId="41" borderId="88" xfId="0" applyNumberFormat="1" applyFont="1" applyFill="1" applyBorder="1"/>
    <x:xf numFmtId="0" fontId="42" fillId="41" borderId="95" xfId="0" applyNumberFormat="1" applyFont="1" applyFill="1" applyBorder="1"/>
    <x:xf numFmtId="0" fontId="42" fillId="41" borderId="96" xfId="0" applyNumberFormat="1" applyFont="1" applyFill="1" applyBorder="1"/>
    <x:xf numFmtId="0" fontId="42" fillId="41" borderId="89" xfId="0" applyNumberFormat="1" applyFont="1" applyFill="1" applyBorder="1"/>
    <x:xf numFmtId="0" fontId="42" fillId="41" borderId="90" xfId="0" applyNumberFormat="1" applyFont="1" applyFill="1" applyBorder="1"/>
    <x:xf numFmtId="0" fontId="42" fillId="41" borderId="91" xfId="0" applyNumberFormat="1" applyFont="1" applyFill="1" applyBorder="1"/>
    <x:xf numFmtId="0" fontId="42" fillId="41" borderId="86" xfId="0" applyNumberFormat="1" applyFont="1" applyFill="1" applyBorder="1" applyAlignment="1">
      <x:alignment wrapText="1"/>
    </x:xf>
    <x:xf numFmtId="0" fontId="42" fillId="41" borderId="87" xfId="0" applyNumberFormat="1" applyFont="1" applyFill="1" applyBorder="1" applyAlignment="1">
      <x:alignment wrapText="1"/>
    </x:xf>
    <x:xf numFmtId="0" fontId="42" fillId="41" borderId="88" xfId="0" applyNumberFormat="1" applyFont="1" applyFill="1" applyBorder="1" applyAlignment="1">
      <x:alignment wrapText="1"/>
    </x:xf>
    <x:xf numFmtId="0" fontId="42" fillId="41" borderId="95" xfId="0" applyNumberFormat="1" applyFont="1" applyFill="1" applyBorder="1" applyAlignment="1">
      <x:alignment wrapText="1"/>
    </x:xf>
    <x:xf numFmtId="0" fontId="42" fillId="41" xfId="0" applyNumberFormat="1" applyFont="1" applyFill="1" applyBorder="0" applyAlignment="1">
      <x:alignment wrapText="1"/>
    </x:xf>
    <x:xf numFmtId="0" fontId="42" fillId="41" borderId="96" xfId="0" applyNumberFormat="1" applyFont="1" applyFill="1" applyBorder="1" applyAlignment="1">
      <x:alignment wrapText="1"/>
    </x:xf>
    <x:xf numFmtId="0" fontId="42" fillId="41" borderId="89" xfId="0" applyNumberFormat="1" applyFont="1" applyFill="1" applyBorder="1" applyAlignment="1">
      <x:alignment wrapText="1"/>
    </x:xf>
    <x:xf numFmtId="0" fontId="42" fillId="41" borderId="90" xfId="0" applyNumberFormat="1" applyFont="1" applyFill="1" applyBorder="1" applyAlignment="1">
      <x:alignment wrapText="1"/>
    </x:xf>
    <x:xf numFmtId="0" fontId="42" fillId="41" borderId="91" xfId="0" applyNumberFormat="1" applyFont="1" applyFill="1" applyBorder="1" applyAlignment="1">
      <x:alignment wrapText="1"/>
    </x:xf>
    <x:xf numFmtId="0" fontId="42" fillId="41" borderId="86" xfId="0" applyNumberFormat="1" applyFont="1" applyFill="1" applyBorder="1" applyAlignment="1">
      <x:alignment horizontal="center" wrapText="1"/>
    </x:xf>
    <x:xf numFmtId="0" fontId="42" fillId="41" borderId="87" xfId="0" applyNumberFormat="1" applyFont="1" applyFill="1" applyBorder="1" applyAlignment="1">
      <x:alignment horizontal="center" wrapText="1"/>
    </x:xf>
    <x:xf numFmtId="0" fontId="42" fillId="41" borderId="88" xfId="0" applyNumberFormat="1" applyFont="1" applyFill="1" applyBorder="1" applyAlignment="1">
      <x:alignment horizontal="center" wrapText="1"/>
    </x:xf>
    <x:xf numFmtId="0" fontId="42" fillId="41" borderId="95" xfId="0" applyNumberFormat="1" applyFont="1" applyFill="1" applyBorder="1" applyAlignment="1">
      <x:alignment horizontal="center" wrapText="1"/>
    </x:xf>
    <x:xf numFmtId="0" fontId="42" fillId="41" xfId="0" applyNumberFormat="1" applyFont="1" applyFill="1" applyBorder="0" applyAlignment="1">
      <x:alignment horizontal="center" wrapText="1"/>
    </x:xf>
    <x:xf numFmtId="0" fontId="42" fillId="41" borderId="96" xfId="0" applyNumberFormat="1" applyFont="1" applyFill="1" applyBorder="1" applyAlignment="1">
      <x:alignment horizontal="center" wrapText="1"/>
    </x:xf>
    <x:xf numFmtId="0" fontId="42" fillId="41" borderId="89" xfId="0" applyNumberFormat="1" applyFont="1" applyFill="1" applyBorder="1" applyAlignment="1">
      <x:alignment horizontal="center" wrapText="1"/>
    </x:xf>
    <x:xf numFmtId="0" fontId="42" fillId="41" borderId="90" xfId="0" applyNumberFormat="1" applyFont="1" applyFill="1" applyBorder="1" applyAlignment="1">
      <x:alignment horizontal="center" wrapText="1"/>
    </x:xf>
    <x:xf numFmtId="0" fontId="42" fillId="41" borderId="91" xfId="0" applyNumberFormat="1" applyFont="1" applyFill="1" applyBorder="1" applyAlignment="1">
      <x:alignment horizontal="center" wrapText="1"/>
    </x:xf>
    <x:xf numFmtId="0" fontId="42" fillId="41" borderId="86" xfId="0" applyNumberFormat="1" applyFont="1" applyFill="1" applyBorder="1" applyAlignment="1">
      <x:alignment horizontal="center" vertical="center" wrapText="1"/>
    </x:xf>
    <x:xf numFmtId="0" fontId="42" fillId="41" borderId="87" xfId="0" applyNumberFormat="1" applyFont="1" applyFill="1" applyBorder="1" applyAlignment="1">
      <x:alignment horizontal="center" vertical="center" wrapText="1"/>
    </x:xf>
    <x:xf numFmtId="0" fontId="42" fillId="41" borderId="88" xfId="0" applyNumberFormat="1" applyFont="1" applyFill="1" applyBorder="1" applyAlignment="1">
      <x:alignment horizontal="center" vertical="center" wrapText="1"/>
    </x:xf>
    <x:xf numFmtId="0" fontId="42" fillId="41" borderId="95" xfId="0" applyNumberFormat="1" applyFont="1" applyFill="1" applyBorder="1" applyAlignment="1">
      <x:alignment horizontal="center" vertical="center" wrapText="1"/>
    </x:xf>
    <x:xf numFmtId="0" fontId="42" fillId="41" xfId="0" applyNumberFormat="1" applyFont="1" applyFill="1" applyBorder="0" applyAlignment="1">
      <x:alignment horizontal="center" vertical="center" wrapText="1"/>
    </x:xf>
    <x:xf numFmtId="0" fontId="42" fillId="41" borderId="96" xfId="0" applyNumberFormat="1" applyFont="1" applyFill="1" applyBorder="1" applyAlignment="1">
      <x:alignment horizontal="center" vertical="center" wrapText="1"/>
    </x:xf>
    <x:xf numFmtId="0" fontId="42" fillId="41" borderId="89" xfId="0" applyNumberFormat="1" applyFont="1" applyFill="1" applyBorder="1" applyAlignment="1">
      <x:alignment horizontal="center" vertical="center" wrapText="1"/>
    </x:xf>
    <x:xf numFmtId="0" fontId="42" fillId="41" borderId="90" xfId="0" applyNumberFormat="1" applyFont="1" applyFill="1" applyBorder="1" applyAlignment="1">
      <x:alignment horizontal="center" vertical="center" wrapText="1"/>
    </x:xf>
    <x:xf numFmtId="0" fontId="42" fillId="41" borderId="91" xfId="0" applyNumberFormat="1" applyFont="1" applyFill="1" applyBorder="1" applyAlignment="1">
      <x:alignment horizontal="center" vertical="center" wrapText="1"/>
    </x:xf>
    <x:xf numFmtId="0" fontId="42" fillId="40" xfId="0" applyNumberFormat="1" applyFont="1" applyFill="1" applyBorder="0"/>
    <x:xf numFmtId="0" fontId="42" fillId="40" borderId="101" xfId="0" applyNumberFormat="1" applyFont="1" applyFill="1" applyBorder="1"/>
    <x:xf numFmtId="0" fontId="42" fillId="40" borderId="86" xfId="0" applyNumberFormat="1" applyFont="1" applyFill="1" applyBorder="1"/>
    <x:xf numFmtId="0" fontId="42" fillId="40" borderId="87" xfId="0" applyNumberFormat="1" applyFont="1" applyFill="1" applyBorder="1"/>
    <x:xf numFmtId="0" fontId="42" fillId="40" borderId="88" xfId="0" applyNumberFormat="1" applyFont="1" applyFill="1" applyBorder="1"/>
    <x:xf numFmtId="0" fontId="42" fillId="40" borderId="95" xfId="0" applyNumberFormat="1" applyFont="1" applyFill="1" applyBorder="1"/>
    <x:xf numFmtId="0" fontId="42" fillId="40" borderId="96" xfId="0" applyNumberFormat="1" applyFont="1" applyFill="1" applyBorder="1"/>
    <x:xf numFmtId="0" fontId="42" fillId="40" borderId="89" xfId="0" applyNumberFormat="1" applyFont="1" applyFill="1" applyBorder="1"/>
    <x:xf numFmtId="0" fontId="42" fillId="40" borderId="90" xfId="0" applyNumberFormat="1" applyFont="1" applyFill="1" applyBorder="1"/>
    <x:xf numFmtId="0" fontId="42" fillId="40" borderId="91" xfId="0" applyNumberFormat="1" applyFont="1" applyFill="1" applyBorder="1"/>
    <x:xf numFmtId="0" fontId="42" fillId="40" borderId="86" xfId="0" applyNumberFormat="1" applyFont="1" applyFill="1" applyBorder="1" applyAlignment="1">
      <x:alignment wrapText="1"/>
    </x:xf>
    <x:xf numFmtId="0" fontId="42" fillId="40" borderId="87" xfId="0" applyNumberFormat="1" applyFont="1" applyFill="1" applyBorder="1" applyAlignment="1">
      <x:alignment wrapText="1"/>
    </x:xf>
    <x:xf numFmtId="0" fontId="42" fillId="40" borderId="88" xfId="0" applyNumberFormat="1" applyFont="1" applyFill="1" applyBorder="1" applyAlignment="1">
      <x:alignment wrapText="1"/>
    </x:xf>
    <x:xf numFmtId="0" fontId="42" fillId="40" borderId="95" xfId="0" applyNumberFormat="1" applyFont="1" applyFill="1" applyBorder="1" applyAlignment="1">
      <x:alignment wrapText="1"/>
    </x:xf>
    <x:xf numFmtId="0" fontId="42" fillId="40" xfId="0" applyNumberFormat="1" applyFont="1" applyFill="1" applyBorder="0" applyAlignment="1">
      <x:alignment wrapText="1"/>
    </x:xf>
    <x:xf numFmtId="0" fontId="42" fillId="40" borderId="96" xfId="0" applyNumberFormat="1" applyFont="1" applyFill="1" applyBorder="1" applyAlignment="1">
      <x:alignment wrapText="1"/>
    </x:xf>
    <x:xf numFmtId="0" fontId="42" fillId="40" borderId="89" xfId="0" applyNumberFormat="1" applyFont="1" applyFill="1" applyBorder="1" applyAlignment="1">
      <x:alignment wrapText="1"/>
    </x:xf>
    <x:xf numFmtId="0" fontId="42" fillId="40" borderId="90" xfId="0" applyNumberFormat="1" applyFont="1" applyFill="1" applyBorder="1" applyAlignment="1">
      <x:alignment wrapText="1"/>
    </x:xf>
    <x:xf numFmtId="0" fontId="42" fillId="40" borderId="91" xfId="0" applyNumberFormat="1" applyFont="1" applyFill="1" applyBorder="1" applyAlignment="1">
      <x:alignment wrapText="1"/>
    </x:xf>
    <x:xf numFmtId="0" fontId="42" fillId="40" borderId="86" xfId="0" applyNumberFormat="1" applyFont="1" applyFill="1" applyBorder="1" applyAlignment="1">
      <x:alignment horizontal="left" wrapText="1"/>
    </x:xf>
    <x:xf numFmtId="0" fontId="42" fillId="40" borderId="87" xfId="0" applyNumberFormat="1" applyFont="1" applyFill="1" applyBorder="1" applyAlignment="1">
      <x:alignment horizontal="left" wrapText="1"/>
    </x:xf>
    <x:xf numFmtId="0" fontId="42" fillId="40" borderId="88" xfId="0" applyNumberFormat="1" applyFont="1" applyFill="1" applyBorder="1" applyAlignment="1">
      <x:alignment horizontal="left" wrapText="1"/>
    </x:xf>
    <x:xf numFmtId="0" fontId="42" fillId="40" borderId="95" xfId="0" applyNumberFormat="1" applyFont="1" applyFill="1" applyBorder="1" applyAlignment="1">
      <x:alignment horizontal="left" wrapText="1"/>
    </x:xf>
    <x:xf numFmtId="0" fontId="42" fillId="40" xfId="0" applyNumberFormat="1" applyFont="1" applyFill="1" applyBorder="0" applyAlignment="1">
      <x:alignment horizontal="left" wrapText="1"/>
    </x:xf>
    <x:xf numFmtId="0" fontId="42" fillId="40" borderId="96" xfId="0" applyNumberFormat="1" applyFont="1" applyFill="1" applyBorder="1" applyAlignment="1">
      <x:alignment horizontal="left" wrapText="1"/>
    </x:xf>
    <x:xf numFmtId="0" fontId="42" fillId="40" borderId="89" xfId="0" applyNumberFormat="1" applyFont="1" applyFill="1" applyBorder="1" applyAlignment="1">
      <x:alignment horizontal="left" wrapText="1"/>
    </x:xf>
    <x:xf numFmtId="0" fontId="42" fillId="40" borderId="90" xfId="0" applyNumberFormat="1" applyFont="1" applyFill="1" applyBorder="1" applyAlignment="1">
      <x:alignment horizontal="left" wrapText="1"/>
    </x:xf>
    <x:xf numFmtId="0" fontId="42" fillId="40" borderId="91" xfId="0" applyNumberFormat="1" applyFont="1" applyFill="1" applyBorder="1" applyAlignment="1">
      <x:alignment horizontal="left" wrapText="1"/>
    </x:xf>
    <x:xf numFmtId="0" fontId="42" fillId="40" borderId="86" xfId="0" applyNumberFormat="1" applyFont="1" applyFill="1" applyBorder="1" applyAlignment="1">
      <x:alignment horizontal="left" vertical="center" wrapText="1"/>
    </x:xf>
    <x:xf numFmtId="0" fontId="42" fillId="40" borderId="87" xfId="0" applyNumberFormat="1" applyFont="1" applyFill="1" applyBorder="1" applyAlignment="1">
      <x:alignment horizontal="left" vertical="center" wrapText="1"/>
    </x:xf>
    <x:xf numFmtId="0" fontId="42" fillId="40" borderId="88" xfId="0" applyNumberFormat="1" applyFont="1" applyFill="1" applyBorder="1" applyAlignment="1">
      <x:alignment horizontal="left" vertical="center" wrapText="1"/>
    </x:xf>
    <x:xf numFmtId="0" fontId="42" fillId="40" borderId="95" xfId="0" applyNumberFormat="1" applyFont="1" applyFill="1" applyBorder="1" applyAlignment="1">
      <x:alignment horizontal="left" vertical="center" wrapText="1"/>
    </x:xf>
    <x:xf numFmtId="0" fontId="42" fillId="40" xfId="0" applyNumberFormat="1" applyFont="1" applyFill="1" applyBorder="0" applyAlignment="1">
      <x:alignment horizontal="left" vertical="center" wrapText="1"/>
    </x:xf>
    <x:xf numFmtId="0" fontId="42" fillId="40" borderId="96" xfId="0" applyNumberFormat="1" applyFont="1" applyFill="1" applyBorder="1" applyAlignment="1">
      <x:alignment horizontal="left" vertical="center" wrapText="1"/>
    </x:xf>
    <x:xf numFmtId="0" fontId="42" fillId="40" borderId="89" xfId="0" applyNumberFormat="1" applyFont="1" applyFill="1" applyBorder="1" applyAlignment="1">
      <x:alignment horizontal="left" vertical="center" wrapText="1"/>
    </x:xf>
    <x:xf numFmtId="0" fontId="42" fillId="40" borderId="90" xfId="0" applyNumberFormat="1" applyFont="1" applyFill="1" applyBorder="1" applyAlignment="1">
      <x:alignment horizontal="left" vertical="center" wrapText="1"/>
    </x:xf>
    <x:xf numFmtId="0" fontId="42" fillId="40" borderId="91" xfId="0" applyNumberFormat="1" applyFont="1" applyFill="1" applyBorder="1" applyAlignment="1">
      <x:alignment horizontal="left" vertical="center" wrapText="1"/>
    </x:xf>
    <x:xf numFmtId="0" fontId="43" fillId="41" xfId="0" applyNumberFormat="1" applyFont="1" applyFill="1" applyBorder="0"/>
    <x:xf numFmtId="0" fontId="43" fillId="41" borderId="86" xfId="0" applyNumberFormat="1" applyFont="1" applyFill="1" applyBorder="1"/>
    <x:xf numFmtId="0" fontId="43" fillId="41" borderId="87" xfId="0" applyNumberFormat="1" applyFont="1" applyFill="1" applyBorder="1"/>
    <x:xf numFmtId="0" fontId="43" fillId="41" borderId="88" xfId="0" applyNumberFormat="1" applyFont="1" applyFill="1" applyBorder="1"/>
    <x:xf numFmtId="0" fontId="43" fillId="41" borderId="95" xfId="0" applyNumberFormat="1" applyFont="1" applyFill="1" applyBorder="1"/>
    <x:xf numFmtId="0" fontId="43" fillId="41" borderId="96" xfId="0" applyNumberFormat="1" applyFont="1" applyFill="1" applyBorder="1"/>
    <x:xf numFmtId="0" fontId="43" fillId="41" borderId="89" xfId="0" applyNumberFormat="1" applyFont="1" applyFill="1" applyBorder="1"/>
    <x:xf numFmtId="0" fontId="43" fillId="41" borderId="90" xfId="0" applyNumberFormat="1" applyFont="1" applyFill="1" applyBorder="1"/>
    <x:xf numFmtId="0" fontId="43" fillId="41" borderId="91" xfId="0" applyNumberFormat="1" applyFont="1" applyFill="1" applyBorder="1"/>
    <x:xf numFmtId="0" fontId="43" fillId="41" borderId="86" xfId="0" applyNumberFormat="1" applyFont="1" applyFill="1" applyBorder="1" applyAlignment="1">
      <x:alignment wrapText="1"/>
    </x:xf>
    <x:xf numFmtId="0" fontId="43" fillId="41" borderId="87" xfId="0" applyNumberFormat="1" applyFont="1" applyFill="1" applyBorder="1" applyAlignment="1">
      <x:alignment wrapText="1"/>
    </x:xf>
    <x:xf numFmtId="0" fontId="43" fillId="41" borderId="88" xfId="0" applyNumberFormat="1" applyFont="1" applyFill="1" applyBorder="1" applyAlignment="1">
      <x:alignment wrapText="1"/>
    </x:xf>
    <x:xf numFmtId="0" fontId="43" fillId="41" borderId="95" xfId="0" applyNumberFormat="1" applyFont="1" applyFill="1" applyBorder="1" applyAlignment="1">
      <x:alignment wrapText="1"/>
    </x:xf>
    <x:xf numFmtId="0" fontId="43" fillId="41" xfId="0" applyNumberFormat="1" applyFont="1" applyFill="1" applyBorder="0" applyAlignment="1">
      <x:alignment wrapText="1"/>
    </x:xf>
    <x:xf numFmtId="0" fontId="43" fillId="41" borderId="96" xfId="0" applyNumberFormat="1" applyFont="1" applyFill="1" applyBorder="1" applyAlignment="1">
      <x:alignment wrapText="1"/>
    </x:xf>
    <x:xf numFmtId="0" fontId="43" fillId="41" borderId="89" xfId="0" applyNumberFormat="1" applyFont="1" applyFill="1" applyBorder="1" applyAlignment="1">
      <x:alignment wrapText="1"/>
    </x:xf>
    <x:xf numFmtId="0" fontId="43" fillId="41" borderId="90" xfId="0" applyNumberFormat="1" applyFont="1" applyFill="1" applyBorder="1" applyAlignment="1">
      <x:alignment wrapText="1"/>
    </x:xf>
    <x:xf numFmtId="0" fontId="43" fillId="41" borderId="91" xfId="0" applyNumberFormat="1" applyFont="1" applyFill="1" applyBorder="1" applyAlignment="1">
      <x:alignment wrapText="1"/>
    </x:xf>
    <x:xf numFmtId="0" fontId="43" fillId="41" borderId="86" xfId="0" applyNumberFormat="1" applyFont="1" applyFill="1" applyBorder="1" applyAlignment="1">
      <x:alignment horizontal="left" wrapText="1"/>
    </x:xf>
    <x:xf numFmtId="0" fontId="43" fillId="41" borderId="87" xfId="0" applyNumberFormat="1" applyFont="1" applyFill="1" applyBorder="1" applyAlignment="1">
      <x:alignment horizontal="left" wrapText="1"/>
    </x:xf>
    <x:xf numFmtId="0" fontId="43" fillId="41" borderId="88" xfId="0" applyNumberFormat="1" applyFont="1" applyFill="1" applyBorder="1" applyAlignment="1">
      <x:alignment horizontal="left" wrapText="1"/>
    </x:xf>
    <x:xf numFmtId="0" fontId="43" fillId="41" borderId="95" xfId="0" applyNumberFormat="1" applyFont="1" applyFill="1" applyBorder="1" applyAlignment="1">
      <x:alignment horizontal="left" wrapText="1"/>
    </x:xf>
    <x:xf numFmtId="0" fontId="43" fillId="41" xfId="0" applyNumberFormat="1" applyFont="1" applyFill="1" applyBorder="0" applyAlignment="1">
      <x:alignment horizontal="left" wrapText="1"/>
    </x:xf>
    <x:xf numFmtId="0" fontId="43" fillId="41" borderId="96" xfId="0" applyNumberFormat="1" applyFont="1" applyFill="1" applyBorder="1" applyAlignment="1">
      <x:alignment horizontal="left" wrapText="1"/>
    </x:xf>
    <x:xf numFmtId="0" fontId="43" fillId="41" borderId="89" xfId="0" applyNumberFormat="1" applyFont="1" applyFill="1" applyBorder="1" applyAlignment="1">
      <x:alignment horizontal="left" wrapText="1"/>
    </x:xf>
    <x:xf numFmtId="0" fontId="43" fillId="41" borderId="90" xfId="0" applyNumberFormat="1" applyFont="1" applyFill="1" applyBorder="1" applyAlignment="1">
      <x:alignment horizontal="left" wrapText="1"/>
    </x:xf>
    <x:xf numFmtId="0" fontId="43" fillId="41" borderId="91" xfId="0" applyNumberFormat="1" applyFont="1" applyFill="1" applyBorder="1" applyAlignment="1">
      <x:alignment horizontal="left" wrapText="1"/>
    </x:xf>
    <x:xf numFmtId="0" fontId="43" fillId="41" borderId="86" xfId="0" applyNumberFormat="1" applyFont="1" applyFill="1" applyBorder="1" applyAlignment="1">
      <x:alignment horizontal="left" vertical="top" wrapText="1"/>
    </x:xf>
    <x:xf numFmtId="0" fontId="43" fillId="41" borderId="87" xfId="0" applyNumberFormat="1" applyFont="1" applyFill="1" applyBorder="1" applyAlignment="1">
      <x:alignment horizontal="left" vertical="top" wrapText="1"/>
    </x:xf>
    <x:xf numFmtId="0" fontId="43" fillId="41" borderId="88" xfId="0" applyNumberFormat="1" applyFont="1" applyFill="1" applyBorder="1" applyAlignment="1">
      <x:alignment horizontal="left" vertical="top" wrapText="1"/>
    </x:xf>
    <x:xf numFmtId="0" fontId="43" fillId="41" borderId="95" xfId="0" applyNumberFormat="1" applyFont="1" applyFill="1" applyBorder="1" applyAlignment="1">
      <x:alignment horizontal="left" vertical="top" wrapText="1"/>
    </x:xf>
    <x:xf numFmtId="0" fontId="43" fillId="41" xfId="0" applyNumberFormat="1" applyFont="1" applyFill="1" applyBorder="0" applyAlignment="1">
      <x:alignment horizontal="left" vertical="top" wrapText="1"/>
    </x:xf>
    <x:xf numFmtId="0" fontId="43" fillId="41" borderId="96" xfId="0" applyNumberFormat="1" applyFont="1" applyFill="1" applyBorder="1" applyAlignment="1">
      <x:alignment horizontal="left" vertical="top" wrapText="1"/>
    </x:xf>
    <x:xf numFmtId="0" fontId="43" fillId="41" borderId="89" xfId="0" applyNumberFormat="1" applyFont="1" applyFill="1" applyBorder="1" applyAlignment="1">
      <x:alignment horizontal="left" vertical="top" wrapText="1"/>
    </x:xf>
    <x:xf numFmtId="0" fontId="43" fillId="41" borderId="90" xfId="0" applyNumberFormat="1" applyFont="1" applyFill="1" applyBorder="1" applyAlignment="1">
      <x:alignment horizontal="left" vertical="top" wrapText="1"/>
    </x:xf>
    <x:xf numFmtId="0" fontId="43" fillId="41" borderId="91" xfId="0" applyNumberFormat="1" applyFont="1" applyFill="1" applyBorder="1" applyAlignment="1">
      <x:alignment horizontal="left" vertical="top" wrapText="1"/>
    </x:xf>
    <x:xf numFmtId="0" fontId="44" fillId="39" xfId="0" applyNumberFormat="1" applyFont="1" applyFill="1" applyBorder="0"/>
    <x:xf numFmtId="0" fontId="44" fillId="39" borderId="101" xfId="0" applyNumberFormat="1" applyFont="1" applyFill="1" applyBorder="1"/>
    <x:xf numFmtId="0" fontId="44" fillId="39" borderId="86" xfId="0" applyNumberFormat="1" applyFont="1" applyFill="1" applyBorder="1"/>
    <x:xf numFmtId="0" fontId="44" fillId="39" borderId="87" xfId="0" applyNumberFormat="1" applyFont="1" applyFill="1" applyBorder="1"/>
    <x:xf numFmtId="0" fontId="44" fillId="39" borderId="88" xfId="0" applyNumberFormat="1" applyFont="1" applyFill="1" applyBorder="1"/>
    <x:xf numFmtId="0" fontId="44" fillId="39" borderId="95" xfId="0" applyNumberFormat="1" applyFont="1" applyFill="1" applyBorder="1"/>
    <x:xf numFmtId="0" fontId="44" fillId="39" borderId="96" xfId="0" applyNumberFormat="1" applyFont="1" applyFill="1" applyBorder="1"/>
    <x:xf numFmtId="0" fontId="44" fillId="39" borderId="89" xfId="0" applyNumberFormat="1" applyFont="1" applyFill="1" applyBorder="1"/>
    <x:xf numFmtId="0" fontId="44" fillId="39" borderId="90" xfId="0" applyNumberFormat="1" applyFont="1" applyFill="1" applyBorder="1"/>
    <x:xf numFmtId="0" fontId="44" fillId="39" borderId="91" xfId="0" applyNumberFormat="1" applyFont="1" applyFill="1" applyBorder="1"/>
    <x:xf numFmtId="0" fontId="44" fillId="39" borderId="86" xfId="0" applyNumberFormat="1" applyFont="1" applyFill="1" applyBorder="1" applyAlignment="1">
      <x:alignment wrapText="1"/>
    </x:xf>
    <x:xf numFmtId="0" fontId="44" fillId="39" borderId="87" xfId="0" applyNumberFormat="1" applyFont="1" applyFill="1" applyBorder="1" applyAlignment="1">
      <x:alignment wrapText="1"/>
    </x:xf>
    <x:xf numFmtId="0" fontId="44" fillId="39" borderId="88" xfId="0" applyNumberFormat="1" applyFont="1" applyFill="1" applyBorder="1" applyAlignment="1">
      <x:alignment wrapText="1"/>
    </x:xf>
    <x:xf numFmtId="0" fontId="44" fillId="39" borderId="95" xfId="0" applyNumberFormat="1" applyFont="1" applyFill="1" applyBorder="1" applyAlignment="1">
      <x:alignment wrapText="1"/>
    </x:xf>
    <x:xf numFmtId="0" fontId="44" fillId="39" xfId="0" applyNumberFormat="1" applyFont="1" applyFill="1" applyBorder="0" applyAlignment="1">
      <x:alignment wrapText="1"/>
    </x:xf>
    <x:xf numFmtId="0" fontId="44" fillId="39" borderId="96" xfId="0" applyNumberFormat="1" applyFont="1" applyFill="1" applyBorder="1" applyAlignment="1">
      <x:alignment wrapText="1"/>
    </x:xf>
    <x:xf numFmtId="0" fontId="44" fillId="39" borderId="89" xfId="0" applyNumberFormat="1" applyFont="1" applyFill="1" applyBorder="1" applyAlignment="1">
      <x:alignment wrapText="1"/>
    </x:xf>
    <x:xf numFmtId="0" fontId="44" fillId="39" borderId="90" xfId="0" applyNumberFormat="1" applyFont="1" applyFill="1" applyBorder="1" applyAlignment="1">
      <x:alignment wrapText="1"/>
    </x:xf>
    <x:xf numFmtId="0" fontId="44" fillId="39" borderId="91" xfId="0" applyNumberFormat="1" applyFont="1" applyFill="1" applyBorder="1" applyAlignment="1">
      <x:alignment wrapText="1"/>
    </x:xf>
    <x:xf numFmtId="0" fontId="44" fillId="39" borderId="86" xfId="0" applyNumberFormat="1" applyFont="1" applyFill="1" applyBorder="1" applyAlignment="1">
      <x:alignment horizontal="center" wrapText="1"/>
    </x:xf>
    <x:xf numFmtId="0" fontId="44" fillId="39" borderId="87" xfId="0" applyNumberFormat="1" applyFont="1" applyFill="1" applyBorder="1" applyAlignment="1">
      <x:alignment horizontal="center" wrapText="1"/>
    </x:xf>
    <x:xf numFmtId="0" fontId="44" fillId="39" borderId="88" xfId="0" applyNumberFormat="1" applyFont="1" applyFill="1" applyBorder="1" applyAlignment="1">
      <x:alignment horizontal="center" wrapText="1"/>
    </x:xf>
    <x:xf numFmtId="0" fontId="44" fillId="39" borderId="95" xfId="0" applyNumberFormat="1" applyFont="1" applyFill="1" applyBorder="1" applyAlignment="1">
      <x:alignment horizontal="center" wrapText="1"/>
    </x:xf>
    <x:xf numFmtId="0" fontId="44" fillId="39" xfId="0" applyNumberFormat="1" applyFont="1" applyFill="1" applyBorder="0" applyAlignment="1">
      <x:alignment horizontal="center" wrapText="1"/>
    </x:xf>
    <x:xf numFmtId="0" fontId="44" fillId="39" borderId="96" xfId="0" applyNumberFormat="1" applyFont="1" applyFill="1" applyBorder="1" applyAlignment="1">
      <x:alignment horizontal="center" wrapText="1"/>
    </x:xf>
    <x:xf numFmtId="0" fontId="44" fillId="39" borderId="89" xfId="0" applyNumberFormat="1" applyFont="1" applyFill="1" applyBorder="1" applyAlignment="1">
      <x:alignment horizontal="center" wrapText="1"/>
    </x:xf>
    <x:xf numFmtId="0" fontId="44" fillId="39" borderId="90" xfId="0" applyNumberFormat="1" applyFont="1" applyFill="1" applyBorder="1" applyAlignment="1">
      <x:alignment horizontal="center" wrapText="1"/>
    </x:xf>
    <x:xf numFmtId="0" fontId="44" fillId="39" borderId="91" xfId="0" applyNumberFormat="1" applyFont="1" applyFill="1" applyBorder="1" applyAlignment="1">
      <x:alignment horizontal="center" wrapText="1"/>
    </x:xf>
    <x:xf numFmtId="0" fontId="44" fillId="39" borderId="86" xfId="0" applyNumberFormat="1" applyFont="1" applyFill="1" applyBorder="1" applyAlignment="1">
      <x:alignment horizontal="center" vertical="center" wrapText="1"/>
    </x:xf>
    <x:xf numFmtId="0" fontId="44" fillId="39" borderId="87" xfId="0" applyNumberFormat="1" applyFont="1" applyFill="1" applyBorder="1" applyAlignment="1">
      <x:alignment horizontal="center" vertical="center" wrapText="1"/>
    </x:xf>
    <x:xf numFmtId="0" fontId="44" fillId="39" borderId="88" xfId="0" applyNumberFormat="1" applyFont="1" applyFill="1" applyBorder="1" applyAlignment="1">
      <x:alignment horizontal="center" vertical="center" wrapText="1"/>
    </x:xf>
    <x:xf numFmtId="0" fontId="44" fillId="39" borderId="95" xfId="0" applyNumberFormat="1" applyFont="1" applyFill="1" applyBorder="1" applyAlignment="1">
      <x:alignment horizontal="center" vertical="center" wrapText="1"/>
    </x:xf>
    <x:xf numFmtId="0" fontId="44" fillId="39" xfId="0" applyNumberFormat="1" applyFont="1" applyFill="1" applyBorder="0" applyAlignment="1">
      <x:alignment horizontal="center" vertical="center" wrapText="1"/>
    </x:xf>
    <x:xf numFmtId="0" fontId="44" fillId="39" borderId="96" xfId="0" applyNumberFormat="1" applyFont="1" applyFill="1" applyBorder="1" applyAlignment="1">
      <x:alignment horizontal="center" vertical="center" wrapText="1"/>
    </x:xf>
    <x:xf numFmtId="0" fontId="44" fillId="39" borderId="89" xfId="0" applyNumberFormat="1" applyFont="1" applyFill="1" applyBorder="1" applyAlignment="1">
      <x:alignment horizontal="center" vertical="center" wrapText="1"/>
    </x:xf>
    <x:xf numFmtId="0" fontId="44" fillId="39" borderId="90" xfId="0" applyNumberFormat="1" applyFont="1" applyFill="1" applyBorder="1" applyAlignment="1">
      <x:alignment horizontal="center" vertical="center" wrapText="1"/>
    </x:xf>
    <x:xf numFmtId="0" fontId="44" fillId="39" borderId="91" xfId="0" applyNumberFormat="1" applyFont="1" applyFill="1" applyBorder="1" applyAlignment="1">
      <x:alignment horizontal="center" vertical="center" wrapText="1"/>
    </x:xf>
    <x:xf numFmtId="0" fontId="37" fillId="37" xfId="0" applyNumberFormat="1" applyFont="1" applyFill="1" applyBorder="0"/>
    <x:xf numFmtId="0" fontId="37" fillId="37" borderId="86" xfId="0" applyNumberFormat="1" applyFont="1" applyFill="1" applyBorder="1"/>
    <x:xf numFmtId="0" fontId="37" fillId="37" borderId="87" xfId="0" applyNumberFormat="1" applyFont="1" applyFill="1" applyBorder="1"/>
    <x:xf numFmtId="0" fontId="37" fillId="37" borderId="88" xfId="0" applyNumberFormat="1" applyFont="1" applyFill="1" applyBorder="1"/>
    <x:xf numFmtId="0" fontId="37" fillId="37" borderId="95" xfId="0" applyNumberFormat="1" applyFont="1" applyFill="1" applyBorder="1"/>
    <x:xf numFmtId="0" fontId="37" fillId="37" borderId="96" xfId="0" applyNumberFormat="1" applyFont="1" applyFill="1" applyBorder="1"/>
    <x:xf numFmtId="0" fontId="37" fillId="37" borderId="89" xfId="0" applyNumberFormat="1" applyFont="1" applyFill="1" applyBorder="1"/>
    <x:xf numFmtId="0" fontId="37" fillId="37" borderId="90" xfId="0" applyNumberFormat="1" applyFont="1" applyFill="1" applyBorder="1"/>
    <x:xf numFmtId="0" fontId="37" fillId="37" borderId="91" xfId="0" applyNumberFormat="1" applyFont="1" applyFill="1" applyBorder="1"/>
    <x:xf numFmtId="0" fontId="37" fillId="37" borderId="86" xfId="0" applyNumberFormat="1" applyFont="1" applyFill="1" applyBorder="1" applyAlignment="1">
      <x:alignment wrapText="1"/>
    </x:xf>
    <x:xf numFmtId="0" fontId="37" fillId="37" borderId="87" xfId="0" applyNumberFormat="1" applyFont="1" applyFill="1" applyBorder="1" applyAlignment="1">
      <x:alignment wrapText="1"/>
    </x:xf>
    <x:xf numFmtId="0" fontId="37" fillId="37" borderId="88" xfId="0" applyNumberFormat="1" applyFont="1" applyFill="1" applyBorder="1" applyAlignment="1">
      <x:alignment wrapText="1"/>
    </x:xf>
    <x:xf numFmtId="0" fontId="37" fillId="37" borderId="95" xfId="0" applyNumberFormat="1" applyFont="1" applyFill="1" applyBorder="1" applyAlignment="1">
      <x:alignment wrapText="1"/>
    </x:xf>
    <x:xf numFmtId="0" fontId="37" fillId="37" xfId="0" applyNumberFormat="1" applyFont="1" applyFill="1" applyBorder="0" applyAlignment="1">
      <x:alignment wrapText="1"/>
    </x:xf>
    <x:xf numFmtId="0" fontId="37" fillId="37" borderId="96" xfId="0" applyNumberFormat="1" applyFont="1" applyFill="1" applyBorder="1" applyAlignment="1">
      <x:alignment wrapText="1"/>
    </x:xf>
    <x:xf numFmtId="0" fontId="37" fillId="37" borderId="89" xfId="0" applyNumberFormat="1" applyFont="1" applyFill="1" applyBorder="1" applyAlignment="1">
      <x:alignment wrapText="1"/>
    </x:xf>
    <x:xf numFmtId="0" fontId="37" fillId="37" borderId="90" xfId="0" applyNumberFormat="1" applyFont="1" applyFill="1" applyBorder="1" applyAlignment="1">
      <x:alignment wrapText="1"/>
    </x:xf>
    <x:xf numFmtId="0" fontId="37" fillId="37" borderId="91" xfId="0" applyNumberFormat="1" applyFont="1" applyFill="1" applyBorder="1" applyAlignment="1">
      <x:alignment wrapText="1"/>
    </x:xf>
    <x:xf numFmtId="0" fontId="37" fillId="37" borderId="86" xfId="0" applyNumberFormat="1" applyFont="1" applyFill="1" applyBorder="1" applyAlignment="1">
      <x:alignment horizontal="center" wrapText="1"/>
    </x:xf>
    <x:xf numFmtId="0" fontId="37" fillId="37" borderId="87" xfId="0" applyNumberFormat="1" applyFont="1" applyFill="1" applyBorder="1" applyAlignment="1">
      <x:alignment horizontal="center" wrapText="1"/>
    </x:xf>
    <x:xf numFmtId="0" fontId="37" fillId="37" borderId="88" xfId="0" applyNumberFormat="1" applyFont="1" applyFill="1" applyBorder="1" applyAlignment="1">
      <x:alignment horizontal="center" wrapText="1"/>
    </x:xf>
    <x:xf numFmtId="0" fontId="37" fillId="37" borderId="95" xfId="0" applyNumberFormat="1" applyFont="1" applyFill="1" applyBorder="1" applyAlignment="1">
      <x:alignment horizontal="center" wrapText="1"/>
    </x:xf>
    <x:xf numFmtId="0" fontId="37" fillId="37" xfId="0" applyNumberFormat="1" applyFont="1" applyFill="1" applyBorder="0" applyAlignment="1">
      <x:alignment horizontal="center" wrapText="1"/>
    </x:xf>
    <x:xf numFmtId="0" fontId="37" fillId="37" borderId="96" xfId="0" applyNumberFormat="1" applyFont="1" applyFill="1" applyBorder="1" applyAlignment="1">
      <x:alignment horizontal="center" wrapText="1"/>
    </x:xf>
    <x:xf numFmtId="0" fontId="37" fillId="37" borderId="89" xfId="0" applyNumberFormat="1" applyFont="1" applyFill="1" applyBorder="1" applyAlignment="1">
      <x:alignment horizontal="center" wrapText="1"/>
    </x:xf>
    <x:xf numFmtId="0" fontId="37" fillId="37" borderId="90" xfId="0" applyNumberFormat="1" applyFont="1" applyFill="1" applyBorder="1" applyAlignment="1">
      <x:alignment horizontal="center" wrapText="1"/>
    </x:xf>
    <x:xf numFmtId="0" fontId="37" fillId="37" borderId="91" xfId="0" applyNumberFormat="1" applyFont="1" applyFill="1" applyBorder="1" applyAlignment="1">
      <x:alignment horizontal="center" wrapText="1"/>
    </x:xf>
    <x:xf numFmtId="0" fontId="37" fillId="37" borderId="86" xfId="0" applyNumberFormat="1" applyFont="1" applyFill="1" applyBorder="1" applyAlignment="1">
      <x:alignment horizontal="center" vertical="center" wrapText="1"/>
    </x:xf>
    <x:xf numFmtId="0" fontId="37" fillId="37" borderId="87" xfId="0" applyNumberFormat="1" applyFont="1" applyFill="1" applyBorder="1" applyAlignment="1">
      <x:alignment horizontal="center" vertical="center" wrapText="1"/>
    </x:xf>
    <x:xf numFmtId="0" fontId="37" fillId="37" borderId="88" xfId="0" applyNumberFormat="1" applyFont="1" applyFill="1" applyBorder="1" applyAlignment="1">
      <x:alignment horizontal="center" vertical="center" wrapText="1"/>
    </x:xf>
    <x:xf numFmtId="0" fontId="37" fillId="37" borderId="95" xfId="0" applyNumberFormat="1" applyFont="1" applyFill="1" applyBorder="1" applyAlignment="1">
      <x:alignment horizontal="center" vertical="center" wrapText="1"/>
    </x:xf>
    <x:xf numFmtId="0" fontId="37" fillId="37" xfId="0" applyNumberFormat="1" applyFont="1" applyFill="1" applyBorder="0" applyAlignment="1">
      <x:alignment horizontal="center" vertical="center" wrapText="1"/>
    </x:xf>
    <x:xf numFmtId="0" fontId="37" fillId="37" borderId="96" xfId="0" applyNumberFormat="1" applyFont="1" applyFill="1" applyBorder="1" applyAlignment="1">
      <x:alignment horizontal="center" vertical="center" wrapText="1"/>
    </x:xf>
    <x:xf numFmtId="0" fontId="37" fillId="37" borderId="89" xfId="0" applyNumberFormat="1" applyFont="1" applyFill="1" applyBorder="1" applyAlignment="1">
      <x:alignment horizontal="center" vertical="center" wrapText="1"/>
    </x:xf>
    <x:xf numFmtId="0" fontId="37" fillId="37" borderId="90" xfId="0" applyNumberFormat="1" applyFont="1" applyFill="1" applyBorder="1" applyAlignment="1">
      <x:alignment horizontal="center" vertical="center" wrapText="1"/>
    </x:xf>
    <x:xf numFmtId="0" fontId="37" fillId="37" borderId="91" xfId="0" applyNumberFormat="1" applyFont="1" applyFill="1" applyBorder="1" applyAlignment="1">
      <x:alignment horizontal="center" vertical="center" wrapText="1"/>
    </x:xf>
    <x:xf numFmtId="0" fontId="45" fillId="42" xfId="0" applyNumberFormat="1" applyFont="1" applyFill="1" applyBorder="0"/>
    <x:xf numFmtId="0" fontId="45" fillId="42" borderId="86" xfId="0" applyNumberFormat="1" applyFont="1" applyFill="1" applyBorder="1"/>
    <x:xf numFmtId="0" fontId="45" fillId="42" borderId="87" xfId="0" applyNumberFormat="1" applyFont="1" applyFill="1" applyBorder="1"/>
    <x:xf numFmtId="0" fontId="45" fillId="42" borderId="88" xfId="0" applyNumberFormat="1" applyFont="1" applyFill="1" applyBorder="1"/>
    <x:xf numFmtId="0" fontId="45" fillId="42" borderId="95" xfId="0" applyNumberFormat="1" applyFont="1" applyFill="1" applyBorder="1"/>
    <x:xf numFmtId="0" fontId="45" fillId="42" borderId="96" xfId="0" applyNumberFormat="1" applyFont="1" applyFill="1" applyBorder="1"/>
    <x:xf numFmtId="0" fontId="45" fillId="42" borderId="89" xfId="0" applyNumberFormat="1" applyFont="1" applyFill="1" applyBorder="1"/>
    <x:xf numFmtId="0" fontId="45" fillId="42" borderId="90" xfId="0" applyNumberFormat="1" applyFont="1" applyFill="1" applyBorder="1"/>
    <x:xf numFmtId="0" fontId="45" fillId="42" borderId="91" xfId="0" applyNumberFormat="1" applyFont="1" applyFill="1" applyBorder="1"/>
    <x:xf numFmtId="0" fontId="45" fillId="42" borderId="86" xfId="0" applyNumberFormat="1" applyFont="1" applyFill="1" applyBorder="1" applyAlignment="1">
      <x:alignment wrapText="1"/>
    </x:xf>
    <x:xf numFmtId="0" fontId="45" fillId="42" borderId="87" xfId="0" applyNumberFormat="1" applyFont="1" applyFill="1" applyBorder="1" applyAlignment="1">
      <x:alignment wrapText="1"/>
    </x:xf>
    <x:xf numFmtId="0" fontId="45" fillId="42" borderId="88" xfId="0" applyNumberFormat="1" applyFont="1" applyFill="1" applyBorder="1" applyAlignment="1">
      <x:alignment wrapText="1"/>
    </x:xf>
    <x:xf numFmtId="0" fontId="45" fillId="42" borderId="95" xfId="0" applyNumberFormat="1" applyFont="1" applyFill="1" applyBorder="1" applyAlignment="1">
      <x:alignment wrapText="1"/>
    </x:xf>
    <x:xf numFmtId="0" fontId="45" fillId="42" xfId="0" applyNumberFormat="1" applyFont="1" applyFill="1" applyBorder="0" applyAlignment="1">
      <x:alignment wrapText="1"/>
    </x:xf>
    <x:xf numFmtId="0" fontId="45" fillId="42" borderId="96" xfId="0" applyNumberFormat="1" applyFont="1" applyFill="1" applyBorder="1" applyAlignment="1">
      <x:alignment wrapText="1"/>
    </x:xf>
    <x:xf numFmtId="0" fontId="45" fillId="42" borderId="89" xfId="0" applyNumberFormat="1" applyFont="1" applyFill="1" applyBorder="1" applyAlignment="1">
      <x:alignment wrapText="1"/>
    </x:xf>
    <x:xf numFmtId="0" fontId="45" fillId="42" borderId="90" xfId="0" applyNumberFormat="1" applyFont="1" applyFill="1" applyBorder="1" applyAlignment="1">
      <x:alignment wrapText="1"/>
    </x:xf>
    <x:xf numFmtId="0" fontId="45" fillId="42" borderId="91" xfId="0" applyNumberFormat="1" applyFont="1" applyFill="1" applyBorder="1" applyAlignment="1">
      <x:alignment wrapText="1"/>
    </x:xf>
    <x:xf numFmtId="0" fontId="45" fillId="42" borderId="86" xfId="0" applyNumberFormat="1" applyFont="1" applyFill="1" applyBorder="1" applyAlignment="1">
      <x:alignment horizontal="center" wrapText="1"/>
    </x:xf>
    <x:xf numFmtId="0" fontId="45" fillId="42" borderId="87" xfId="0" applyNumberFormat="1" applyFont="1" applyFill="1" applyBorder="1" applyAlignment="1">
      <x:alignment horizontal="center" wrapText="1"/>
    </x:xf>
    <x:xf numFmtId="0" fontId="45" fillId="42" borderId="88" xfId="0" applyNumberFormat="1" applyFont="1" applyFill="1" applyBorder="1" applyAlignment="1">
      <x:alignment horizontal="center" wrapText="1"/>
    </x:xf>
    <x:xf numFmtId="0" fontId="45" fillId="42" borderId="95" xfId="0" applyNumberFormat="1" applyFont="1" applyFill="1" applyBorder="1" applyAlignment="1">
      <x:alignment horizontal="center" wrapText="1"/>
    </x:xf>
    <x:xf numFmtId="0" fontId="45" fillId="42" xfId="0" applyNumberFormat="1" applyFont="1" applyFill="1" applyBorder="0" applyAlignment="1">
      <x:alignment horizontal="center" wrapText="1"/>
    </x:xf>
    <x:xf numFmtId="0" fontId="45" fillId="42" borderId="96" xfId="0" applyNumberFormat="1" applyFont="1" applyFill="1" applyBorder="1" applyAlignment="1">
      <x:alignment horizontal="center" wrapText="1"/>
    </x:xf>
    <x:xf numFmtId="0" fontId="45" fillId="42" borderId="89" xfId="0" applyNumberFormat="1" applyFont="1" applyFill="1" applyBorder="1" applyAlignment="1">
      <x:alignment horizontal="center" wrapText="1"/>
    </x:xf>
    <x:xf numFmtId="0" fontId="45" fillId="42" borderId="90" xfId="0" applyNumberFormat="1" applyFont="1" applyFill="1" applyBorder="1" applyAlignment="1">
      <x:alignment horizontal="center" wrapText="1"/>
    </x:xf>
    <x:xf numFmtId="0" fontId="45" fillId="42" borderId="91" xfId="0" applyNumberFormat="1" applyFont="1" applyFill="1" applyBorder="1" applyAlignment="1">
      <x:alignment horizontal="center" wrapText="1"/>
    </x:xf>
    <x:xf numFmtId="0" fontId="45" fillId="42" borderId="86" xfId="0" applyNumberFormat="1" applyFont="1" applyFill="1" applyBorder="1" applyAlignment="1">
      <x:alignment horizontal="center" vertical="center" wrapText="1"/>
    </x:xf>
    <x:xf numFmtId="0" fontId="45" fillId="42" borderId="87" xfId="0" applyNumberFormat="1" applyFont="1" applyFill="1" applyBorder="1" applyAlignment="1">
      <x:alignment horizontal="center" vertical="center" wrapText="1"/>
    </x:xf>
    <x:xf numFmtId="0" fontId="45" fillId="42" borderId="88" xfId="0" applyNumberFormat="1" applyFont="1" applyFill="1" applyBorder="1" applyAlignment="1">
      <x:alignment horizontal="center" vertical="center" wrapText="1"/>
    </x:xf>
    <x:xf numFmtId="0" fontId="45" fillId="42" borderId="95" xfId="0" applyNumberFormat="1" applyFont="1" applyFill="1" applyBorder="1" applyAlignment="1">
      <x:alignment horizontal="center" vertical="center" wrapText="1"/>
    </x:xf>
    <x:xf numFmtId="0" fontId="45" fillId="42" xfId="0" applyNumberFormat="1" applyFont="1" applyFill="1" applyBorder="0" applyAlignment="1">
      <x:alignment horizontal="center" vertical="center" wrapText="1"/>
    </x:xf>
    <x:xf numFmtId="0" fontId="45" fillId="42" borderId="96" xfId="0" applyNumberFormat="1" applyFont="1" applyFill="1" applyBorder="1" applyAlignment="1">
      <x:alignment horizontal="center" vertical="center" wrapText="1"/>
    </x:xf>
    <x:xf numFmtId="0" fontId="45" fillId="42" borderId="89" xfId="0" applyNumberFormat="1" applyFont="1" applyFill="1" applyBorder="1" applyAlignment="1">
      <x:alignment horizontal="center" vertical="center" wrapText="1"/>
    </x:xf>
    <x:xf numFmtId="0" fontId="45" fillId="42" borderId="90" xfId="0" applyNumberFormat="1" applyFont="1" applyFill="1" applyBorder="1" applyAlignment="1">
      <x:alignment horizontal="center" vertical="center" wrapText="1"/>
    </x:xf>
    <x:xf numFmtId="0" fontId="45" fillId="42" borderId="91" xfId="0" applyNumberFormat="1" applyFont="1" applyFill="1" applyBorder="1" applyAlignment="1">
      <x:alignment horizontal="center" vertical="center" wrapText="1"/>
    </x:xf>
    <x:xf numFmtId="0" fontId="46" fillId="38" xfId="0" applyNumberFormat="1" applyFont="1" applyFill="1" applyBorder="0"/>
    <x:xf numFmtId="0" fontId="46" fillId="38" borderId="101" xfId="0" applyNumberFormat="1" applyFont="1" applyFill="1" applyBorder="1"/>
    <x:xf numFmtId="0" fontId="46" fillId="38" borderId="86" xfId="0" applyNumberFormat="1" applyFont="1" applyFill="1" applyBorder="1"/>
    <x:xf numFmtId="0" fontId="46" fillId="38" borderId="87" xfId="0" applyNumberFormat="1" applyFont="1" applyFill="1" applyBorder="1"/>
    <x:xf numFmtId="0" fontId="46" fillId="38" borderId="88" xfId="0" applyNumberFormat="1" applyFont="1" applyFill="1" applyBorder="1"/>
    <x:xf numFmtId="0" fontId="46" fillId="38" borderId="95" xfId="0" applyNumberFormat="1" applyFont="1" applyFill="1" applyBorder="1"/>
    <x:xf numFmtId="0" fontId="46" fillId="38" borderId="96" xfId="0" applyNumberFormat="1" applyFont="1" applyFill="1" applyBorder="1"/>
    <x:xf numFmtId="0" fontId="46" fillId="38" borderId="89" xfId="0" applyNumberFormat="1" applyFont="1" applyFill="1" applyBorder="1"/>
    <x:xf numFmtId="0" fontId="46" fillId="38" borderId="90" xfId="0" applyNumberFormat="1" applyFont="1" applyFill="1" applyBorder="1"/>
    <x:xf numFmtId="0" fontId="46" fillId="38" borderId="91" xfId="0" applyNumberFormat="1" applyFont="1" applyFill="1" applyBorder="1"/>
    <x:xf numFmtId="0" fontId="46" fillId="38" borderId="86" xfId="0" applyNumberFormat="1" applyFont="1" applyFill="1" applyBorder="1" applyAlignment="1">
      <x:alignment wrapText="1"/>
    </x:xf>
    <x:xf numFmtId="0" fontId="46" fillId="38" borderId="87" xfId="0" applyNumberFormat="1" applyFont="1" applyFill="1" applyBorder="1" applyAlignment="1">
      <x:alignment wrapText="1"/>
    </x:xf>
    <x:xf numFmtId="0" fontId="46" fillId="38" borderId="88" xfId="0" applyNumberFormat="1" applyFont="1" applyFill="1" applyBorder="1" applyAlignment="1">
      <x:alignment wrapText="1"/>
    </x:xf>
    <x:xf numFmtId="0" fontId="46" fillId="38" borderId="95" xfId="0" applyNumberFormat="1" applyFont="1" applyFill="1" applyBorder="1" applyAlignment="1">
      <x:alignment wrapText="1"/>
    </x:xf>
    <x:xf numFmtId="0" fontId="46" fillId="38" xfId="0" applyNumberFormat="1" applyFont="1" applyFill="1" applyBorder="0" applyAlignment="1">
      <x:alignment wrapText="1"/>
    </x:xf>
    <x:xf numFmtId="0" fontId="46" fillId="38" borderId="96" xfId="0" applyNumberFormat="1" applyFont="1" applyFill="1" applyBorder="1" applyAlignment="1">
      <x:alignment wrapText="1"/>
    </x:xf>
    <x:xf numFmtId="0" fontId="46" fillId="38" borderId="89" xfId="0" applyNumberFormat="1" applyFont="1" applyFill="1" applyBorder="1" applyAlignment="1">
      <x:alignment wrapText="1"/>
    </x:xf>
    <x:xf numFmtId="0" fontId="46" fillId="38" borderId="90" xfId="0" applyNumberFormat="1" applyFont="1" applyFill="1" applyBorder="1" applyAlignment="1">
      <x:alignment wrapText="1"/>
    </x:xf>
    <x:xf numFmtId="0" fontId="46" fillId="38" borderId="91" xfId="0" applyNumberFormat="1" applyFont="1" applyFill="1" applyBorder="1" applyAlignment="1">
      <x:alignment wrapText="1"/>
    </x:xf>
    <x:xf numFmtId="0" fontId="46" fillId="38" borderId="86" xfId="0" applyNumberFormat="1" applyFont="1" applyFill="1" applyBorder="1" applyAlignment="1">
      <x:alignment horizontal="center" wrapText="1"/>
    </x:xf>
    <x:xf numFmtId="0" fontId="46" fillId="38" borderId="87" xfId="0" applyNumberFormat="1" applyFont="1" applyFill="1" applyBorder="1" applyAlignment="1">
      <x:alignment horizontal="center" wrapText="1"/>
    </x:xf>
    <x:xf numFmtId="0" fontId="46" fillId="38" borderId="88" xfId="0" applyNumberFormat="1" applyFont="1" applyFill="1" applyBorder="1" applyAlignment="1">
      <x:alignment horizontal="center" wrapText="1"/>
    </x:xf>
    <x:xf numFmtId="0" fontId="46" fillId="38" borderId="95" xfId="0" applyNumberFormat="1" applyFont="1" applyFill="1" applyBorder="1" applyAlignment="1">
      <x:alignment horizontal="center" wrapText="1"/>
    </x:xf>
    <x:xf numFmtId="0" fontId="46" fillId="38" xfId="0" applyNumberFormat="1" applyFont="1" applyFill="1" applyBorder="0" applyAlignment="1">
      <x:alignment horizontal="center" wrapText="1"/>
    </x:xf>
    <x:xf numFmtId="0" fontId="46" fillId="38" borderId="96" xfId="0" applyNumberFormat="1" applyFont="1" applyFill="1" applyBorder="1" applyAlignment="1">
      <x:alignment horizontal="center" wrapText="1"/>
    </x:xf>
    <x:xf numFmtId="0" fontId="46" fillId="38" borderId="89" xfId="0" applyNumberFormat="1" applyFont="1" applyFill="1" applyBorder="1" applyAlignment="1">
      <x:alignment horizontal="center" wrapText="1"/>
    </x:xf>
    <x:xf numFmtId="0" fontId="46" fillId="38" borderId="90" xfId="0" applyNumberFormat="1" applyFont="1" applyFill="1" applyBorder="1" applyAlignment="1">
      <x:alignment horizontal="center" wrapText="1"/>
    </x:xf>
    <x:xf numFmtId="0" fontId="46" fillId="38" borderId="91" xfId="0" applyNumberFormat="1" applyFont="1" applyFill="1" applyBorder="1" applyAlignment="1">
      <x:alignment horizontal="center" wrapText="1"/>
    </x:xf>
    <x:xf numFmtId="0" fontId="46" fillId="38" borderId="86" xfId="0" applyNumberFormat="1" applyFont="1" applyFill="1" applyBorder="1" applyAlignment="1">
      <x:alignment horizontal="center" vertical="center" wrapText="1"/>
    </x:xf>
    <x:xf numFmtId="0" fontId="46" fillId="38" borderId="87" xfId="0" applyNumberFormat="1" applyFont="1" applyFill="1" applyBorder="1" applyAlignment="1">
      <x:alignment horizontal="center" vertical="center" wrapText="1"/>
    </x:xf>
    <x:xf numFmtId="0" fontId="46" fillId="38" borderId="88" xfId="0" applyNumberFormat="1" applyFont="1" applyFill="1" applyBorder="1" applyAlignment="1">
      <x:alignment horizontal="center" vertical="center" wrapText="1"/>
    </x:xf>
    <x:xf numFmtId="0" fontId="46" fillId="38" borderId="95" xfId="0" applyNumberFormat="1" applyFont="1" applyFill="1" applyBorder="1" applyAlignment="1">
      <x:alignment horizontal="center" vertical="center" wrapText="1"/>
    </x:xf>
    <x:xf numFmtId="0" fontId="46" fillId="38" xfId="0" applyNumberFormat="1" applyFont="1" applyFill="1" applyBorder="0" applyAlignment="1">
      <x:alignment horizontal="center" vertical="center" wrapText="1"/>
    </x:xf>
    <x:xf numFmtId="0" fontId="46" fillId="38" borderId="96" xfId="0" applyNumberFormat="1" applyFont="1" applyFill="1" applyBorder="1" applyAlignment="1">
      <x:alignment horizontal="center" vertical="center" wrapText="1"/>
    </x:xf>
    <x:xf numFmtId="0" fontId="46" fillId="38" borderId="89" xfId="0" applyNumberFormat="1" applyFont="1" applyFill="1" applyBorder="1" applyAlignment="1">
      <x:alignment horizontal="center" vertical="center" wrapText="1"/>
    </x:xf>
    <x:xf numFmtId="0" fontId="46" fillId="38" borderId="90" xfId="0" applyNumberFormat="1" applyFont="1" applyFill="1" applyBorder="1" applyAlignment="1">
      <x:alignment horizontal="center" vertical="center" wrapText="1"/>
    </x:xf>
    <x:xf numFmtId="0" fontId="46" fillId="38" borderId="91" xfId="0" applyNumberFormat="1" applyFont="1" applyFill="1" applyBorder="1" applyAlignment="1">
      <x:alignment horizontal="center" vertical="center" wrapText="1"/>
    </x:xf>
    <x:xf numFmtId="0" fontId="27" fillId="40" xfId="0" applyNumberFormat="1" applyFont="1" applyFill="1" applyBorder="0"/>
    <x:xf numFmtId="0" fontId="27" fillId="40" borderId="101" xfId="0" applyNumberFormat="1" applyFont="1" applyFill="1" applyBorder="1"/>
    <x:xf numFmtId="0" fontId="27" fillId="40" borderId="86" xfId="0" applyNumberFormat="1" applyFont="1" applyFill="1" applyBorder="1"/>
    <x:xf numFmtId="0" fontId="27" fillId="40" borderId="87" xfId="0" applyNumberFormat="1" applyFont="1" applyFill="1" applyBorder="1"/>
    <x:xf numFmtId="0" fontId="27" fillId="40" borderId="88" xfId="0" applyNumberFormat="1" applyFont="1" applyFill="1" applyBorder="1"/>
    <x:xf numFmtId="0" fontId="27" fillId="40" borderId="95" xfId="0" applyNumberFormat="1" applyFont="1" applyFill="1" applyBorder="1"/>
    <x:xf numFmtId="0" fontId="27" fillId="40" borderId="96" xfId="0" applyNumberFormat="1" applyFont="1" applyFill="1" applyBorder="1"/>
    <x:xf numFmtId="0" fontId="27" fillId="40" borderId="89" xfId="0" applyNumberFormat="1" applyFont="1" applyFill="1" applyBorder="1"/>
    <x:xf numFmtId="0" fontId="27" fillId="40" borderId="90" xfId="0" applyNumberFormat="1" applyFont="1" applyFill="1" applyBorder="1"/>
    <x:xf numFmtId="0" fontId="27" fillId="40" borderId="91" xfId="0" applyNumberFormat="1" applyFont="1" applyFill="1" applyBorder="1"/>
    <x:xf numFmtId="0" fontId="27" fillId="40" borderId="86" xfId="0" applyNumberFormat="1" applyFont="1" applyFill="1" applyBorder="1" applyAlignment="1">
      <x:alignment wrapText="1"/>
    </x:xf>
    <x:xf numFmtId="0" fontId="27" fillId="40" borderId="87" xfId="0" applyNumberFormat="1" applyFont="1" applyFill="1" applyBorder="1" applyAlignment="1">
      <x:alignment wrapText="1"/>
    </x:xf>
    <x:xf numFmtId="0" fontId="27" fillId="40" borderId="88" xfId="0" applyNumberFormat="1" applyFont="1" applyFill="1" applyBorder="1" applyAlignment="1">
      <x:alignment wrapText="1"/>
    </x:xf>
    <x:xf numFmtId="0" fontId="27" fillId="40" borderId="95" xfId="0" applyNumberFormat="1" applyFont="1" applyFill="1" applyBorder="1" applyAlignment="1">
      <x:alignment wrapText="1"/>
    </x:xf>
    <x:xf numFmtId="0" fontId="27" fillId="40" xfId="0" applyNumberFormat="1" applyFont="1" applyFill="1" applyBorder="0" applyAlignment="1">
      <x:alignment wrapText="1"/>
    </x:xf>
    <x:xf numFmtId="0" fontId="27" fillId="40" borderId="96" xfId="0" applyNumberFormat="1" applyFont="1" applyFill="1" applyBorder="1" applyAlignment="1">
      <x:alignment wrapText="1"/>
    </x:xf>
    <x:xf numFmtId="0" fontId="27" fillId="40" borderId="89" xfId="0" applyNumberFormat="1" applyFont="1" applyFill="1" applyBorder="1" applyAlignment="1">
      <x:alignment wrapText="1"/>
    </x:xf>
    <x:xf numFmtId="0" fontId="27" fillId="40" borderId="90" xfId="0" applyNumberFormat="1" applyFont="1" applyFill="1" applyBorder="1" applyAlignment="1">
      <x:alignment wrapText="1"/>
    </x:xf>
    <x:xf numFmtId="0" fontId="27" fillId="40" borderId="91" xfId="0" applyNumberFormat="1" applyFont="1" applyFill="1" applyBorder="1" applyAlignment="1">
      <x:alignment wrapText="1"/>
    </x:xf>
    <x:xf numFmtId="0" fontId="27" fillId="40" borderId="86" xfId="0" applyNumberFormat="1" applyFont="1" applyFill="1" applyBorder="1" applyAlignment="1">
      <x:alignment horizontal="center" wrapText="1"/>
    </x:xf>
    <x:xf numFmtId="0" fontId="27" fillId="40" borderId="87" xfId="0" applyNumberFormat="1" applyFont="1" applyFill="1" applyBorder="1" applyAlignment="1">
      <x:alignment horizontal="center" wrapText="1"/>
    </x:xf>
    <x:xf numFmtId="0" fontId="27" fillId="40" borderId="88" xfId="0" applyNumberFormat="1" applyFont="1" applyFill="1" applyBorder="1" applyAlignment="1">
      <x:alignment horizontal="center" wrapText="1"/>
    </x:xf>
    <x:xf numFmtId="0" fontId="27" fillId="40" borderId="95" xfId="0" applyNumberFormat="1" applyFont="1" applyFill="1" applyBorder="1" applyAlignment="1">
      <x:alignment horizontal="center" wrapText="1"/>
    </x:xf>
    <x:xf numFmtId="0" fontId="27" fillId="40" xfId="0" applyNumberFormat="1" applyFont="1" applyFill="1" applyBorder="0" applyAlignment="1">
      <x:alignment horizontal="center" wrapText="1"/>
    </x:xf>
    <x:xf numFmtId="0" fontId="27" fillId="40" borderId="96" xfId="0" applyNumberFormat="1" applyFont="1" applyFill="1" applyBorder="1" applyAlignment="1">
      <x:alignment horizontal="center" wrapText="1"/>
    </x:xf>
    <x:xf numFmtId="0" fontId="27" fillId="40" borderId="89" xfId="0" applyNumberFormat="1" applyFont="1" applyFill="1" applyBorder="1" applyAlignment="1">
      <x:alignment horizontal="center" wrapText="1"/>
    </x:xf>
    <x:xf numFmtId="0" fontId="27" fillId="40" borderId="90" xfId="0" applyNumberFormat="1" applyFont="1" applyFill="1" applyBorder="1" applyAlignment="1">
      <x:alignment horizontal="center" wrapText="1"/>
    </x:xf>
    <x:xf numFmtId="0" fontId="27" fillId="40" borderId="91" xfId="0" applyNumberFormat="1" applyFont="1" applyFill="1" applyBorder="1" applyAlignment="1">
      <x:alignment horizontal="center" wrapText="1"/>
    </x:xf>
    <x:xf numFmtId="0" fontId="27" fillId="40" borderId="86" xfId="0" applyNumberFormat="1" applyFont="1" applyFill="1" applyBorder="1" applyAlignment="1">
      <x:alignment horizontal="center" vertical="center" wrapText="1"/>
    </x:xf>
    <x:xf numFmtId="0" fontId="27" fillId="40" borderId="87" xfId="0" applyNumberFormat="1" applyFont="1" applyFill="1" applyBorder="1" applyAlignment="1">
      <x:alignment horizontal="center" vertical="center" wrapText="1"/>
    </x:xf>
    <x:xf numFmtId="0" fontId="27" fillId="40" borderId="88" xfId="0" applyNumberFormat="1" applyFont="1" applyFill="1" applyBorder="1" applyAlignment="1">
      <x:alignment horizontal="center" vertical="center" wrapText="1"/>
    </x:xf>
    <x:xf numFmtId="0" fontId="27" fillId="40" borderId="95" xfId="0" applyNumberFormat="1" applyFont="1" applyFill="1" applyBorder="1" applyAlignment="1">
      <x:alignment horizontal="center" vertical="center" wrapText="1"/>
    </x:xf>
    <x:xf numFmtId="0" fontId="27" fillId="40" xfId="0" applyNumberFormat="1" applyFont="1" applyFill="1" applyBorder="0" applyAlignment="1">
      <x:alignment horizontal="center" vertical="center" wrapText="1"/>
    </x:xf>
    <x:xf numFmtId="0" fontId="27" fillId="40" borderId="96" xfId="0" applyNumberFormat="1" applyFont="1" applyFill="1" applyBorder="1" applyAlignment="1">
      <x:alignment horizontal="center" vertical="center" wrapText="1"/>
    </x:xf>
    <x:xf numFmtId="0" fontId="27" fillId="40" borderId="89" xfId="0" applyNumberFormat="1" applyFont="1" applyFill="1" applyBorder="1" applyAlignment="1">
      <x:alignment horizontal="center" vertical="center" wrapText="1"/>
    </x:xf>
    <x:xf numFmtId="0" fontId="27" fillId="40" borderId="90" xfId="0" applyNumberFormat="1" applyFont="1" applyFill="1" applyBorder="1" applyAlignment="1">
      <x:alignment horizontal="center" vertical="center" wrapText="1"/>
    </x:xf>
    <x:xf numFmtId="0" fontId="27" fillId="40" borderId="91" xfId="0" applyNumberFormat="1" applyFont="1" applyFill="1" applyBorder="1" applyAlignment="1">
      <x:alignment horizontal="center" vertical="center" wrapText="1"/>
    </x:xf>
    <x:xf numFmtId="0" fontId="36" fillId="43" borderId="86" xfId="0" applyNumberFormat="1" applyFont="1" applyFill="1" applyBorder="1"/>
    <x:xf numFmtId="0" fontId="36" fillId="43" borderId="87" xfId="0" applyNumberFormat="1" applyFont="1" applyFill="1" applyBorder="1"/>
    <x:xf numFmtId="0" fontId="36" fillId="43" borderId="88" xfId="0" applyNumberFormat="1" applyFont="1" applyFill="1" applyBorder="1"/>
    <x:xf numFmtId="0" fontId="36" fillId="43" borderId="95" xfId="0" applyNumberFormat="1" applyFont="1" applyFill="1" applyBorder="1"/>
    <x:xf numFmtId="0" fontId="36" fillId="43" borderId="96" xfId="0" applyNumberFormat="1" applyFont="1" applyFill="1" applyBorder="1"/>
    <x:xf numFmtId="0" fontId="36" fillId="43" borderId="86" xfId="0" applyNumberFormat="1" applyFont="1" applyFill="1" applyBorder="1" applyAlignment="1">
      <x:alignment wrapText="1"/>
    </x:xf>
    <x:xf numFmtId="0" fontId="36" fillId="43" borderId="87" xfId="0" applyNumberFormat="1" applyFont="1" applyFill="1" applyBorder="1" applyAlignment="1">
      <x:alignment wrapText="1"/>
    </x:xf>
    <x:xf numFmtId="0" fontId="36" fillId="43" borderId="88" xfId="0" applyNumberFormat="1" applyFont="1" applyFill="1" applyBorder="1" applyAlignment="1">
      <x:alignment wrapText="1"/>
    </x:xf>
    <x:xf numFmtId="0" fontId="36" fillId="43" borderId="95" xfId="0" applyNumberFormat="1" applyFont="1" applyFill="1" applyBorder="1" applyAlignment="1">
      <x:alignment wrapText="1"/>
    </x:xf>
    <x:xf numFmtId="0" fontId="36" fillId="43" xfId="0" applyNumberFormat="1" applyFont="1" applyFill="1" applyBorder="0" applyAlignment="1">
      <x:alignment wrapText="1"/>
    </x:xf>
    <x:xf numFmtId="0" fontId="36" fillId="43" borderId="96" xfId="0" applyNumberFormat="1" applyFont="1" applyFill="1" applyBorder="1" applyAlignment="1">
      <x:alignment wrapText="1"/>
    </x:xf>
    <x:xf numFmtId="0" fontId="36" fillId="43" borderId="86" xfId="0" applyNumberFormat="1" applyFont="1" applyFill="1" applyBorder="1" applyAlignment="1">
      <x:alignment horizontal="left" wrapText="1"/>
    </x:xf>
    <x:xf numFmtId="0" fontId="36" fillId="43" borderId="87" xfId="0" applyNumberFormat="1" applyFont="1" applyFill="1" applyBorder="1" applyAlignment="1">
      <x:alignment horizontal="left" wrapText="1"/>
    </x:xf>
    <x:xf numFmtId="0" fontId="36" fillId="43" borderId="88" xfId="0" applyNumberFormat="1" applyFont="1" applyFill="1" applyBorder="1" applyAlignment="1">
      <x:alignment horizontal="left" wrapText="1"/>
    </x:xf>
    <x:xf numFmtId="0" fontId="36" fillId="43" borderId="95" xfId="0" applyNumberFormat="1" applyFont="1" applyFill="1" applyBorder="1" applyAlignment="1">
      <x:alignment horizontal="left" wrapText="1"/>
    </x:xf>
    <x:xf numFmtId="0" fontId="36" fillId="43" xfId="0" applyNumberFormat="1" applyFont="1" applyFill="1" applyBorder="0" applyAlignment="1">
      <x:alignment horizontal="left" wrapText="1"/>
    </x:xf>
    <x:xf numFmtId="0" fontId="36" fillId="43" borderId="96" xfId="0" applyNumberFormat="1" applyFont="1" applyFill="1" applyBorder="1" applyAlignment="1">
      <x:alignment horizontal="left" wrapText="1"/>
    </x:xf>
    <x:xf numFmtId="0" fontId="36" fillId="43" borderId="89" xfId="0" applyNumberFormat="1" applyFont="1" applyFill="1" applyBorder="1" applyAlignment="1">
      <x:alignment horizontal="left" wrapText="1"/>
    </x:xf>
    <x:xf numFmtId="0" fontId="36" fillId="43" borderId="90" xfId="0" applyNumberFormat="1" applyFont="1" applyFill="1" applyBorder="1" applyAlignment="1">
      <x:alignment horizontal="left" wrapText="1"/>
    </x:xf>
    <x:xf numFmtId="0" fontId="36" fillId="43" borderId="91" xfId="0" applyNumberFormat="1" applyFont="1" applyFill="1" applyBorder="1" applyAlignment="1">
      <x:alignment horizontal="left" wrapText="1"/>
    </x:xf>
    <x:xf numFmtId="0" fontId="36" fillId="43" borderId="86" xfId="0" applyNumberFormat="1" applyFont="1" applyFill="1" applyBorder="1" applyAlignment="1">
      <x:alignment horizontal="left" vertical="top" wrapText="1"/>
    </x:xf>
    <x:xf numFmtId="0" fontId="36" fillId="43" borderId="87" xfId="0" applyNumberFormat="1" applyFont="1" applyFill="1" applyBorder="1" applyAlignment="1">
      <x:alignment horizontal="left" vertical="top" wrapText="1"/>
    </x:xf>
    <x:xf numFmtId="0" fontId="36" fillId="43" borderId="88" xfId="0" applyNumberFormat="1" applyFont="1" applyFill="1" applyBorder="1" applyAlignment="1">
      <x:alignment horizontal="left" vertical="top" wrapText="1"/>
    </x:xf>
    <x:xf numFmtId="0" fontId="36" fillId="43" borderId="95" xfId="0" applyNumberFormat="1" applyFont="1" applyFill="1" applyBorder="1" applyAlignment="1">
      <x:alignment horizontal="left" vertical="top" wrapText="1"/>
    </x:xf>
    <x:xf numFmtId="0" fontId="36" fillId="43" xfId="0" applyNumberFormat="1" applyFont="1" applyFill="1" applyBorder="0" applyAlignment="1">
      <x:alignment horizontal="left" vertical="top" wrapText="1"/>
    </x:xf>
    <x:xf numFmtId="0" fontId="36" fillId="43" borderId="96" xfId="0" applyNumberFormat="1" applyFont="1" applyFill="1" applyBorder="1" applyAlignment="1">
      <x:alignment horizontal="left" vertical="top" wrapText="1"/>
    </x:xf>
    <x:xf numFmtId="0" fontId="36" fillId="43" borderId="89" xfId="0" applyNumberFormat="1" applyFont="1" applyFill="1" applyBorder="1" applyAlignment="1">
      <x:alignment horizontal="left" vertical="top" wrapText="1"/>
    </x:xf>
    <x:xf numFmtId="0" fontId="36" fillId="43" borderId="90" xfId="0" applyNumberFormat="1" applyFont="1" applyFill="1" applyBorder="1" applyAlignment="1">
      <x:alignment horizontal="left" vertical="top" wrapText="1"/>
    </x:xf>
    <x:xf numFmtId="0" fontId="36" fillId="43" borderId="91" xfId="0" applyNumberFormat="1" applyFont="1" applyFill="1" applyBorder="1" applyAlignment="1">
      <x:alignment horizontal="left" vertical="top" wrapText="1"/>
    </x:xf>
    <x:xf numFmtId="0" fontId="35" fillId="42" borderId="101" xfId="0" applyNumberFormat="1" applyFont="1" applyFill="1" applyBorder="1"/>
    <x:xf numFmtId="0" fontId="35" fillId="42" borderId="86" xfId="0" applyNumberFormat="1" applyFont="1" applyFill="1" applyBorder="1"/>
    <x:xf numFmtId="0" fontId="35" fillId="42" borderId="87" xfId="0" applyNumberFormat="1" applyFont="1" applyFill="1" applyBorder="1"/>
    <x:xf numFmtId="0" fontId="35" fillId="42" borderId="88" xfId="0" applyNumberFormat="1" applyFont="1" applyFill="1" applyBorder="1"/>
    <x:xf numFmtId="0" fontId="35" fillId="42" borderId="95" xfId="0" applyNumberFormat="1" applyFont="1" applyFill="1" applyBorder="1"/>
    <x:xf numFmtId="0" fontId="35" fillId="42" borderId="96" xfId="0" applyNumberFormat="1" applyFont="1" applyFill="1" applyBorder="1"/>
    <x:xf numFmtId="0" fontId="35" fillId="42" borderId="86" xfId="0" applyNumberFormat="1" applyFont="1" applyFill="1" applyBorder="1" applyAlignment="1">
      <x:alignment wrapText="1"/>
    </x:xf>
    <x:xf numFmtId="0" fontId="35" fillId="42" borderId="87" xfId="0" applyNumberFormat="1" applyFont="1" applyFill="1" applyBorder="1" applyAlignment="1">
      <x:alignment wrapText="1"/>
    </x:xf>
    <x:xf numFmtId="0" fontId="35" fillId="42" borderId="88" xfId="0" applyNumberFormat="1" applyFont="1" applyFill="1" applyBorder="1" applyAlignment="1">
      <x:alignment wrapText="1"/>
    </x:xf>
    <x:xf numFmtId="0" fontId="35" fillId="42" borderId="95" xfId="0" applyNumberFormat="1" applyFont="1" applyFill="1" applyBorder="1" applyAlignment="1">
      <x:alignment wrapText="1"/>
    </x:xf>
    <x:xf numFmtId="0" fontId="35" fillId="42" xfId="0" applyNumberFormat="1" applyFont="1" applyFill="1" applyBorder="0" applyAlignment="1">
      <x:alignment wrapText="1"/>
    </x:xf>
    <x:xf numFmtId="0" fontId="35" fillId="42" borderId="96" xfId="0" applyNumberFormat="1" applyFont="1" applyFill="1" applyBorder="1" applyAlignment="1">
      <x:alignment wrapText="1"/>
    </x:xf>
    <x:xf numFmtId="0" fontId="35" fillId="42" borderId="86" xfId="0" applyNumberFormat="1" applyFont="1" applyFill="1" applyBorder="1" applyAlignment="1">
      <x:alignment horizontal="left" wrapText="1"/>
    </x:xf>
    <x:xf numFmtId="0" fontId="35" fillId="42" borderId="87" xfId="0" applyNumberFormat="1" applyFont="1" applyFill="1" applyBorder="1" applyAlignment="1">
      <x:alignment horizontal="left" wrapText="1"/>
    </x:xf>
    <x:xf numFmtId="0" fontId="35" fillId="42" borderId="88" xfId="0" applyNumberFormat="1" applyFont="1" applyFill="1" applyBorder="1" applyAlignment="1">
      <x:alignment horizontal="left" wrapText="1"/>
    </x:xf>
    <x:xf numFmtId="0" fontId="35" fillId="42" borderId="95" xfId="0" applyNumberFormat="1" applyFont="1" applyFill="1" applyBorder="1" applyAlignment="1">
      <x:alignment horizontal="left" wrapText="1"/>
    </x:xf>
    <x:xf numFmtId="0" fontId="35" fillId="42" xfId="0" applyNumberFormat="1" applyFont="1" applyFill="1" applyBorder="0" applyAlignment="1">
      <x:alignment horizontal="left" wrapText="1"/>
    </x:xf>
    <x:xf numFmtId="0" fontId="35" fillId="42" borderId="96" xfId="0" applyNumberFormat="1" applyFont="1" applyFill="1" applyBorder="1" applyAlignment="1">
      <x:alignment horizontal="left" wrapText="1"/>
    </x:xf>
    <x:xf numFmtId="0" fontId="35" fillId="42" borderId="89" xfId="0" applyNumberFormat="1" applyFont="1" applyFill="1" applyBorder="1" applyAlignment="1">
      <x:alignment horizontal="left" wrapText="1"/>
    </x:xf>
    <x:xf numFmtId="0" fontId="35" fillId="42" borderId="90" xfId="0" applyNumberFormat="1" applyFont="1" applyFill="1" applyBorder="1" applyAlignment="1">
      <x:alignment horizontal="left" wrapText="1"/>
    </x:xf>
    <x:xf numFmtId="0" fontId="35" fillId="42" borderId="91" xfId="0" applyNumberFormat="1" applyFont="1" applyFill="1" applyBorder="1" applyAlignment="1">
      <x:alignment horizontal="left" wrapText="1"/>
    </x:xf>
    <x:xf numFmtId="0" fontId="35" fillId="42" borderId="86" xfId="0" applyNumberFormat="1" applyFont="1" applyFill="1" applyBorder="1" applyAlignment="1">
      <x:alignment horizontal="left" vertical="top" wrapText="1"/>
    </x:xf>
    <x:xf numFmtId="0" fontId="35" fillId="42" borderId="87" xfId="0" applyNumberFormat="1" applyFont="1" applyFill="1" applyBorder="1" applyAlignment="1">
      <x:alignment horizontal="left" vertical="top" wrapText="1"/>
    </x:xf>
    <x:xf numFmtId="0" fontId="35" fillId="42" borderId="88" xfId="0" applyNumberFormat="1" applyFont="1" applyFill="1" applyBorder="1" applyAlignment="1">
      <x:alignment horizontal="left" vertical="top" wrapText="1"/>
    </x:xf>
    <x:xf numFmtId="0" fontId="35" fillId="42" borderId="95" xfId="0" applyNumberFormat="1" applyFont="1" applyFill="1" applyBorder="1" applyAlignment="1">
      <x:alignment horizontal="left" vertical="top" wrapText="1"/>
    </x:xf>
    <x:xf numFmtId="0" fontId="35" fillId="42" xfId="0" applyNumberFormat="1" applyFont="1" applyFill="1" applyBorder="0" applyAlignment="1">
      <x:alignment horizontal="left" vertical="top" wrapText="1"/>
    </x:xf>
    <x:xf numFmtId="0" fontId="35" fillId="42" borderId="96" xfId="0" applyNumberFormat="1" applyFont="1" applyFill="1" applyBorder="1" applyAlignment="1">
      <x:alignment horizontal="left" vertical="top" wrapText="1"/>
    </x:xf>
    <x:xf numFmtId="0" fontId="35" fillId="42" borderId="89" xfId="0" applyNumberFormat="1" applyFont="1" applyFill="1" applyBorder="1" applyAlignment="1">
      <x:alignment horizontal="left" vertical="top" wrapText="1"/>
    </x:xf>
    <x:xf numFmtId="0" fontId="35" fillId="42" borderId="90" xfId="0" applyNumberFormat="1" applyFont="1" applyFill="1" applyBorder="1" applyAlignment="1">
      <x:alignment horizontal="left" vertical="top" wrapText="1"/>
    </x:xf>
    <x:xf numFmtId="0" fontId="35" fillId="42" borderId="91" xfId="0" applyNumberFormat="1" applyFont="1" applyFill="1" applyBorder="1" applyAlignment="1">
      <x:alignment horizontal="left" vertical="top" wrapText="1"/>
    </x:xf>
    <x:xf numFmtId="0" fontId="37" fillId="37" borderId="100" xfId="0" applyNumberFormat="1" applyFont="1" applyFill="1" applyBorder="1"/>
    <x:xf numFmtId="0" fontId="37" fillId="37" borderId="86" xfId="0" applyNumberFormat="1" applyFont="1" applyFill="1" applyBorder="1" applyAlignment="1">
      <x:alignment horizontal="left" wrapText="1"/>
    </x:xf>
    <x:xf numFmtId="0" fontId="37" fillId="37" borderId="87" xfId="0" applyNumberFormat="1" applyFont="1" applyFill="1" applyBorder="1" applyAlignment="1">
      <x:alignment horizontal="left" wrapText="1"/>
    </x:xf>
    <x:xf numFmtId="0" fontId="37" fillId="37" borderId="88" xfId="0" applyNumberFormat="1" applyFont="1" applyFill="1" applyBorder="1" applyAlignment="1">
      <x:alignment horizontal="left" wrapText="1"/>
    </x:xf>
    <x:xf numFmtId="0" fontId="37" fillId="37" borderId="95" xfId="0" applyNumberFormat="1" applyFont="1" applyFill="1" applyBorder="1" applyAlignment="1">
      <x:alignment horizontal="left" wrapText="1"/>
    </x:xf>
    <x:xf numFmtId="0" fontId="37" fillId="37" xfId="0" applyNumberFormat="1" applyFont="1" applyFill="1" applyBorder="0" applyAlignment="1">
      <x:alignment horizontal="left" wrapText="1"/>
    </x:xf>
    <x:xf numFmtId="0" fontId="37" fillId="37" borderId="96" xfId="0" applyNumberFormat="1" applyFont="1" applyFill="1" applyBorder="1" applyAlignment="1">
      <x:alignment horizontal="left" wrapText="1"/>
    </x:xf>
    <x:xf numFmtId="0" fontId="37" fillId="37" borderId="89" xfId="0" applyNumberFormat="1" applyFont="1" applyFill="1" applyBorder="1" applyAlignment="1">
      <x:alignment horizontal="left" wrapText="1"/>
    </x:xf>
    <x:xf numFmtId="0" fontId="37" fillId="37" borderId="90" xfId="0" applyNumberFormat="1" applyFont="1" applyFill="1" applyBorder="1" applyAlignment="1">
      <x:alignment horizontal="left" wrapText="1"/>
    </x:xf>
    <x:xf numFmtId="0" fontId="37" fillId="37" borderId="91" xfId="0" applyNumberFormat="1" applyFont="1" applyFill="1" applyBorder="1" applyAlignment="1">
      <x:alignment horizontal="left" wrapText="1"/>
    </x:xf>
    <x:xf numFmtId="0" fontId="37" fillId="37" borderId="86" xfId="0" applyNumberFormat="1" applyFont="1" applyFill="1" applyBorder="1" applyAlignment="1">
      <x:alignment horizontal="left" vertical="top" wrapText="1"/>
    </x:xf>
    <x:xf numFmtId="0" fontId="37" fillId="37" borderId="87" xfId="0" applyNumberFormat="1" applyFont="1" applyFill="1" applyBorder="1" applyAlignment="1">
      <x:alignment horizontal="left" vertical="top" wrapText="1"/>
    </x:xf>
    <x:xf numFmtId="0" fontId="37" fillId="37" borderId="88" xfId="0" applyNumberFormat="1" applyFont="1" applyFill="1" applyBorder="1" applyAlignment="1">
      <x:alignment horizontal="left" vertical="top" wrapText="1"/>
    </x:xf>
    <x:xf numFmtId="0" fontId="37" fillId="37" borderId="95" xfId="0" applyNumberFormat="1" applyFont="1" applyFill="1" applyBorder="1" applyAlignment="1">
      <x:alignment horizontal="left" vertical="top" wrapText="1"/>
    </x:xf>
    <x:xf numFmtId="0" fontId="37" fillId="37" xfId="0" applyNumberFormat="1" applyFont="1" applyFill="1" applyBorder="0" applyAlignment="1">
      <x:alignment horizontal="left" vertical="top" wrapText="1"/>
    </x:xf>
    <x:xf numFmtId="0" fontId="37" fillId="37" borderId="96" xfId="0" applyNumberFormat="1" applyFont="1" applyFill="1" applyBorder="1" applyAlignment="1">
      <x:alignment horizontal="left" vertical="top" wrapText="1"/>
    </x:xf>
    <x:xf numFmtId="0" fontId="37" fillId="37" borderId="89" xfId="0" applyNumberFormat="1" applyFont="1" applyFill="1" applyBorder="1" applyAlignment="1">
      <x:alignment horizontal="left" vertical="top" wrapText="1"/>
    </x:xf>
    <x:xf numFmtId="0" fontId="37" fillId="37" borderId="90" xfId="0" applyNumberFormat="1" applyFont="1" applyFill="1" applyBorder="1" applyAlignment="1">
      <x:alignment horizontal="left" vertical="top" wrapText="1"/>
    </x:xf>
    <x:xf numFmtId="0" fontId="37" fillId="37" borderId="91" xfId="0" applyNumberFormat="1" applyFont="1" applyFill="1" applyBorder="1" applyAlignment="1">
      <x:alignment horizontal="left" vertical="top" wrapText="1"/>
    </x:xf>
    <x:xf numFmtId="0" fontId="44" fillId="39" borderId="86" xfId="0" applyNumberFormat="1" applyFont="1" applyFill="1" applyBorder="1" applyAlignment="1">
      <x:alignment horizontal="left" wrapText="1"/>
    </x:xf>
    <x:xf numFmtId="0" fontId="44" fillId="39" borderId="87" xfId="0" applyNumberFormat="1" applyFont="1" applyFill="1" applyBorder="1" applyAlignment="1">
      <x:alignment horizontal="left" wrapText="1"/>
    </x:xf>
    <x:xf numFmtId="0" fontId="44" fillId="39" borderId="88" xfId="0" applyNumberFormat="1" applyFont="1" applyFill="1" applyBorder="1" applyAlignment="1">
      <x:alignment horizontal="left" wrapText="1"/>
    </x:xf>
    <x:xf numFmtId="0" fontId="44" fillId="39" borderId="95" xfId="0" applyNumberFormat="1" applyFont="1" applyFill="1" applyBorder="1" applyAlignment="1">
      <x:alignment horizontal="left" wrapText="1"/>
    </x:xf>
    <x:xf numFmtId="0" fontId="44" fillId="39" xfId="0" applyNumberFormat="1" applyFont="1" applyFill="1" applyBorder="0" applyAlignment="1">
      <x:alignment horizontal="left" wrapText="1"/>
    </x:xf>
    <x:xf numFmtId="0" fontId="44" fillId="39" borderId="96" xfId="0" applyNumberFormat="1" applyFont="1" applyFill="1" applyBorder="1" applyAlignment="1">
      <x:alignment horizontal="left" wrapText="1"/>
    </x:xf>
    <x:xf numFmtId="0" fontId="44" fillId="39" borderId="89" xfId="0" applyNumberFormat="1" applyFont="1" applyFill="1" applyBorder="1" applyAlignment="1">
      <x:alignment horizontal="left" wrapText="1"/>
    </x:xf>
    <x:xf numFmtId="0" fontId="44" fillId="39" borderId="90" xfId="0" applyNumberFormat="1" applyFont="1" applyFill="1" applyBorder="1" applyAlignment="1">
      <x:alignment horizontal="left" wrapText="1"/>
    </x:xf>
    <x:xf numFmtId="0" fontId="44" fillId="39" borderId="91" xfId="0" applyNumberFormat="1" applyFont="1" applyFill="1" applyBorder="1" applyAlignment="1">
      <x:alignment horizontal="left" wrapText="1"/>
    </x:xf>
    <x:xf numFmtId="0" fontId="44" fillId="39" borderId="86" xfId="0" applyNumberFormat="1" applyFont="1" applyFill="1" applyBorder="1" applyAlignment="1">
      <x:alignment horizontal="left" vertical="top" wrapText="1"/>
    </x:xf>
    <x:xf numFmtId="0" fontId="44" fillId="39" borderId="87" xfId="0" applyNumberFormat="1" applyFont="1" applyFill="1" applyBorder="1" applyAlignment="1">
      <x:alignment horizontal="left" vertical="top" wrapText="1"/>
    </x:xf>
    <x:xf numFmtId="0" fontId="44" fillId="39" borderId="88" xfId="0" applyNumberFormat="1" applyFont="1" applyFill="1" applyBorder="1" applyAlignment="1">
      <x:alignment horizontal="left" vertical="top" wrapText="1"/>
    </x:xf>
    <x:xf numFmtId="0" fontId="44" fillId="39" borderId="95" xfId="0" applyNumberFormat="1" applyFont="1" applyFill="1" applyBorder="1" applyAlignment="1">
      <x:alignment horizontal="left" vertical="top" wrapText="1"/>
    </x:xf>
    <x:xf numFmtId="0" fontId="44" fillId="39" xfId="0" applyNumberFormat="1" applyFont="1" applyFill="1" applyBorder="0" applyAlignment="1">
      <x:alignment horizontal="left" vertical="top" wrapText="1"/>
    </x:xf>
    <x:xf numFmtId="0" fontId="44" fillId="39" borderId="96" xfId="0" applyNumberFormat="1" applyFont="1" applyFill="1" applyBorder="1" applyAlignment="1">
      <x:alignment horizontal="left" vertical="top" wrapText="1"/>
    </x:xf>
    <x:xf numFmtId="0" fontId="44" fillId="39" borderId="89" xfId="0" applyNumberFormat="1" applyFont="1" applyFill="1" applyBorder="1" applyAlignment="1">
      <x:alignment horizontal="left" vertical="top" wrapText="1"/>
    </x:xf>
    <x:xf numFmtId="0" fontId="44" fillId="39" borderId="90" xfId="0" applyNumberFormat="1" applyFont="1" applyFill="1" applyBorder="1" applyAlignment="1">
      <x:alignment horizontal="left" vertical="top" wrapText="1"/>
    </x:xf>
    <x:xf numFmtId="0" fontId="44" fillId="39" borderId="91" xfId="0" applyNumberFormat="1" applyFont="1" applyFill="1" applyBorder="1" applyAlignment="1">
      <x:alignment horizontal="left" vertical="top" wrapText="1"/>
    </x:xf>
    <x:xf numFmtId="0" fontId="44" fillId="39" borderId="100" xfId="0" applyNumberFormat="1" applyFont="1" applyFill="1" applyBorder="1"/>
    <x:xf numFmtId="0" fontId="45" fillId="42" borderId="101" xfId="0" applyNumberFormat="1" applyFont="1" applyFill="1" applyBorder="1"/>
    <x:xf numFmtId="0" fontId="45" fillId="42" borderId="86" xfId="0" applyNumberFormat="1" applyFont="1" applyFill="1" applyBorder="1" applyAlignment="1">
      <x:alignment horizontal="left" wrapText="1"/>
    </x:xf>
    <x:xf numFmtId="0" fontId="45" fillId="42" borderId="87" xfId="0" applyNumberFormat="1" applyFont="1" applyFill="1" applyBorder="1" applyAlignment="1">
      <x:alignment horizontal="left" wrapText="1"/>
    </x:xf>
    <x:xf numFmtId="0" fontId="45" fillId="42" borderId="88" xfId="0" applyNumberFormat="1" applyFont="1" applyFill="1" applyBorder="1" applyAlignment="1">
      <x:alignment horizontal="left" wrapText="1"/>
    </x:xf>
    <x:xf numFmtId="0" fontId="45" fillId="42" borderId="95" xfId="0" applyNumberFormat="1" applyFont="1" applyFill="1" applyBorder="1" applyAlignment="1">
      <x:alignment horizontal="left" wrapText="1"/>
    </x:xf>
    <x:xf numFmtId="0" fontId="45" fillId="42" xfId="0" applyNumberFormat="1" applyFont="1" applyFill="1" applyBorder="0" applyAlignment="1">
      <x:alignment horizontal="left" wrapText="1"/>
    </x:xf>
    <x:xf numFmtId="0" fontId="45" fillId="42" borderId="96" xfId="0" applyNumberFormat="1" applyFont="1" applyFill="1" applyBorder="1" applyAlignment="1">
      <x:alignment horizontal="left" wrapText="1"/>
    </x:xf>
    <x:xf numFmtId="0" fontId="45" fillId="42" borderId="89" xfId="0" applyNumberFormat="1" applyFont="1" applyFill="1" applyBorder="1" applyAlignment="1">
      <x:alignment horizontal="left" wrapText="1"/>
    </x:xf>
    <x:xf numFmtId="0" fontId="45" fillId="42" borderId="90" xfId="0" applyNumberFormat="1" applyFont="1" applyFill="1" applyBorder="1" applyAlignment="1">
      <x:alignment horizontal="left" wrapText="1"/>
    </x:xf>
    <x:xf numFmtId="0" fontId="45" fillId="42" borderId="91" xfId="0" applyNumberFormat="1" applyFont="1" applyFill="1" applyBorder="1" applyAlignment="1">
      <x:alignment horizontal="left" wrapText="1"/>
    </x:xf>
    <x:xf numFmtId="0" fontId="45" fillId="42" borderId="86" xfId="0" applyNumberFormat="1" applyFont="1" applyFill="1" applyBorder="1" applyAlignment="1">
      <x:alignment horizontal="left" vertical="top" wrapText="1"/>
    </x:xf>
    <x:xf numFmtId="0" fontId="45" fillId="42" borderId="87" xfId="0" applyNumberFormat="1" applyFont="1" applyFill="1" applyBorder="1" applyAlignment="1">
      <x:alignment horizontal="left" vertical="top" wrapText="1"/>
    </x:xf>
    <x:xf numFmtId="0" fontId="45" fillId="42" borderId="88" xfId="0" applyNumberFormat="1" applyFont="1" applyFill="1" applyBorder="1" applyAlignment="1">
      <x:alignment horizontal="left" vertical="top" wrapText="1"/>
    </x:xf>
    <x:xf numFmtId="0" fontId="45" fillId="42" borderId="95" xfId="0" applyNumberFormat="1" applyFont="1" applyFill="1" applyBorder="1" applyAlignment="1">
      <x:alignment horizontal="left" vertical="top" wrapText="1"/>
    </x:xf>
    <x:xf numFmtId="0" fontId="45" fillId="42" xfId="0" applyNumberFormat="1" applyFont="1" applyFill="1" applyBorder="0" applyAlignment="1">
      <x:alignment horizontal="left" vertical="top" wrapText="1"/>
    </x:xf>
    <x:xf numFmtId="0" fontId="45" fillId="42" borderId="96" xfId="0" applyNumberFormat="1" applyFont="1" applyFill="1" applyBorder="1" applyAlignment="1">
      <x:alignment horizontal="left" vertical="top" wrapText="1"/>
    </x:xf>
    <x:xf numFmtId="0" fontId="45" fillId="42" borderId="89" xfId="0" applyNumberFormat="1" applyFont="1" applyFill="1" applyBorder="1" applyAlignment="1">
      <x:alignment horizontal="left" vertical="top" wrapText="1"/>
    </x:xf>
    <x:xf numFmtId="0" fontId="45" fillId="42" borderId="90" xfId="0" applyNumberFormat="1" applyFont="1" applyFill="1" applyBorder="1" applyAlignment="1">
      <x:alignment horizontal="left" vertical="top" wrapText="1"/>
    </x:xf>
    <x:xf numFmtId="0" fontId="45" fillId="42" borderId="91" xfId="0" applyNumberFormat="1" applyFont="1" applyFill="1" applyBorder="1" applyAlignment="1">
      <x:alignment horizontal="left" vertical="top" wrapText="1"/>
    </x:xf>
    <x:xf numFmtId="0" fontId="0" fillId="43" borderId="100" xfId="0" applyNumberFormat="1" applyFont="1" applyFill="1" applyBorder="1"/>
    <x:xf numFmtId="0" fontId="47" fillId="43" borderId="100" xfId="0" applyNumberFormat="1" applyFont="1" applyFill="1" applyBorder="1"/>
    <x:xf numFmtId="0" fontId="47" fillId="43" xfId="0" applyNumberFormat="1" applyFont="1" applyFill="1" applyBorder="0"/>
    <x:xf numFmtId="0" fontId="47" fillId="43" borderId="86" xfId="0" applyNumberFormat="1" applyFont="1" applyFill="1" applyBorder="1"/>
    <x:xf numFmtId="0" fontId="47" fillId="43" borderId="87" xfId="0" applyNumberFormat="1" applyFont="1" applyFill="1" applyBorder="1"/>
    <x:xf numFmtId="0" fontId="47" fillId="43" borderId="88" xfId="0" applyNumberFormat="1" applyFont="1" applyFill="1" applyBorder="1"/>
    <x:xf numFmtId="0" fontId="47" fillId="43" borderId="95" xfId="0" applyNumberFormat="1" applyFont="1" applyFill="1" applyBorder="1"/>
    <x:xf numFmtId="0" fontId="47" fillId="43" borderId="96" xfId="0" applyNumberFormat="1" applyFont="1" applyFill="1" applyBorder="1"/>
    <x:xf numFmtId="0" fontId="47" fillId="43" borderId="89" xfId="0" applyNumberFormat="1" applyFont="1" applyFill="1" applyBorder="1"/>
    <x:xf numFmtId="0" fontId="47" fillId="43" borderId="90" xfId="0" applyNumberFormat="1" applyFont="1" applyFill="1" applyBorder="1"/>
    <x:xf numFmtId="0" fontId="47" fillId="43" borderId="91" xfId="0" applyNumberFormat="1" applyFont="1" applyFill="1" applyBorder="1"/>
    <x:xf numFmtId="0" fontId="47" fillId="43" borderId="86" xfId="0" applyNumberFormat="1" applyFont="1" applyFill="1" applyBorder="1" applyAlignment="1">
      <x:alignment wrapText="1"/>
    </x:xf>
    <x:xf numFmtId="0" fontId="47" fillId="43" borderId="87" xfId="0" applyNumberFormat="1" applyFont="1" applyFill="1" applyBorder="1" applyAlignment="1">
      <x:alignment wrapText="1"/>
    </x:xf>
    <x:xf numFmtId="0" fontId="47" fillId="43" borderId="88" xfId="0" applyNumberFormat="1" applyFont="1" applyFill="1" applyBorder="1" applyAlignment="1">
      <x:alignment wrapText="1"/>
    </x:xf>
    <x:xf numFmtId="0" fontId="47" fillId="43" borderId="95" xfId="0" applyNumberFormat="1" applyFont="1" applyFill="1" applyBorder="1" applyAlignment="1">
      <x:alignment wrapText="1"/>
    </x:xf>
    <x:xf numFmtId="0" fontId="47" fillId="43" xfId="0" applyNumberFormat="1" applyFont="1" applyFill="1" applyBorder="0" applyAlignment="1">
      <x:alignment wrapText="1"/>
    </x:xf>
    <x:xf numFmtId="0" fontId="47" fillId="43" borderId="96" xfId="0" applyNumberFormat="1" applyFont="1" applyFill="1" applyBorder="1" applyAlignment="1">
      <x:alignment wrapText="1"/>
    </x:xf>
    <x:xf numFmtId="0" fontId="47" fillId="43" borderId="89" xfId="0" applyNumberFormat="1" applyFont="1" applyFill="1" applyBorder="1" applyAlignment="1">
      <x:alignment wrapText="1"/>
    </x:xf>
    <x:xf numFmtId="0" fontId="47" fillId="43" borderId="90" xfId="0" applyNumberFormat="1" applyFont="1" applyFill="1" applyBorder="1" applyAlignment="1">
      <x:alignment wrapText="1"/>
    </x:xf>
    <x:xf numFmtId="0" fontId="47" fillId="43" borderId="91" xfId="0" applyNumberFormat="1" applyFont="1" applyFill="1" applyBorder="1" applyAlignment="1">
      <x:alignment wrapText="1"/>
    </x:xf>
    <x:xf numFmtId="0" fontId="47" fillId="43" borderId="86" xfId="0" applyNumberFormat="1" applyFont="1" applyFill="1" applyBorder="1" applyAlignment="1">
      <x:alignment horizontal="left" wrapText="1"/>
    </x:xf>
    <x:xf numFmtId="0" fontId="47" fillId="43" borderId="87" xfId="0" applyNumberFormat="1" applyFont="1" applyFill="1" applyBorder="1" applyAlignment="1">
      <x:alignment horizontal="left" wrapText="1"/>
    </x:xf>
    <x:xf numFmtId="0" fontId="47" fillId="43" borderId="88" xfId="0" applyNumberFormat="1" applyFont="1" applyFill="1" applyBorder="1" applyAlignment="1">
      <x:alignment horizontal="left" wrapText="1"/>
    </x:xf>
    <x:xf numFmtId="0" fontId="47" fillId="43" borderId="95" xfId="0" applyNumberFormat="1" applyFont="1" applyFill="1" applyBorder="1" applyAlignment="1">
      <x:alignment horizontal="left" wrapText="1"/>
    </x:xf>
    <x:xf numFmtId="0" fontId="47" fillId="43" xfId="0" applyNumberFormat="1" applyFont="1" applyFill="1" applyBorder="0" applyAlignment="1">
      <x:alignment horizontal="left" wrapText="1"/>
    </x:xf>
    <x:xf numFmtId="0" fontId="47" fillId="43" borderId="96" xfId="0" applyNumberFormat="1" applyFont="1" applyFill="1" applyBorder="1" applyAlignment="1">
      <x:alignment horizontal="left" wrapText="1"/>
    </x:xf>
    <x:xf numFmtId="0" fontId="47" fillId="43" borderId="89" xfId="0" applyNumberFormat="1" applyFont="1" applyFill="1" applyBorder="1" applyAlignment="1">
      <x:alignment horizontal="left" wrapText="1"/>
    </x:xf>
    <x:xf numFmtId="0" fontId="47" fillId="43" borderId="90" xfId="0" applyNumberFormat="1" applyFont="1" applyFill="1" applyBorder="1" applyAlignment="1">
      <x:alignment horizontal="left" wrapText="1"/>
    </x:xf>
    <x:xf numFmtId="0" fontId="47" fillId="43" borderId="91" xfId="0" applyNumberFormat="1" applyFont="1" applyFill="1" applyBorder="1" applyAlignment="1">
      <x:alignment horizontal="left" wrapText="1"/>
    </x:xf>
    <x:xf numFmtId="0" fontId="47" fillId="43" borderId="86" xfId="0" applyNumberFormat="1" applyFont="1" applyFill="1" applyBorder="1" applyAlignment="1">
      <x:alignment horizontal="left" vertical="top" wrapText="1"/>
    </x:xf>
    <x:xf numFmtId="0" fontId="47" fillId="43" borderId="87" xfId="0" applyNumberFormat="1" applyFont="1" applyFill="1" applyBorder="1" applyAlignment="1">
      <x:alignment horizontal="left" vertical="top" wrapText="1"/>
    </x:xf>
    <x:xf numFmtId="0" fontId="47" fillId="43" borderId="88" xfId="0" applyNumberFormat="1" applyFont="1" applyFill="1" applyBorder="1" applyAlignment="1">
      <x:alignment horizontal="left" vertical="top" wrapText="1"/>
    </x:xf>
    <x:xf numFmtId="0" fontId="47" fillId="43" borderId="95" xfId="0" applyNumberFormat="1" applyFont="1" applyFill="1" applyBorder="1" applyAlignment="1">
      <x:alignment horizontal="left" vertical="top" wrapText="1"/>
    </x:xf>
    <x:xf numFmtId="0" fontId="47" fillId="43" xfId="0" applyNumberFormat="1" applyFont="1" applyFill="1" applyBorder="0" applyAlignment="1">
      <x:alignment horizontal="left" vertical="top" wrapText="1"/>
    </x:xf>
    <x:xf numFmtId="0" fontId="47" fillId="43" borderId="96" xfId="0" applyNumberFormat="1" applyFont="1" applyFill="1" applyBorder="1" applyAlignment="1">
      <x:alignment horizontal="left" vertical="top" wrapText="1"/>
    </x:xf>
    <x:xf numFmtId="0" fontId="47" fillId="43" borderId="89" xfId="0" applyNumberFormat="1" applyFont="1" applyFill="1" applyBorder="1" applyAlignment="1">
      <x:alignment horizontal="left" vertical="top" wrapText="1"/>
    </x:xf>
    <x:xf numFmtId="0" fontId="47" fillId="43" borderId="90" xfId="0" applyNumberFormat="1" applyFont="1" applyFill="1" applyBorder="1" applyAlignment="1">
      <x:alignment horizontal="left" vertical="top" wrapText="1"/>
    </x:xf>
    <x:xf numFmtId="0" fontId="47" fillId="43" borderId="91" xfId="0" applyNumberFormat="1" applyFont="1" applyFill="1" applyBorder="1" applyAlignment="1">
      <x:alignment horizontal="left" vertical="top" wrapText="1"/>
    </x:xf>
    <x:xf numFmtId="0" fontId="42" fillId="40" borderId="86" xfId="0" applyNumberFormat="1" applyFont="1" applyFill="1" applyBorder="1" applyAlignment="1">
      <x:alignment horizontal="left" vertical="top" wrapText="1"/>
    </x:xf>
    <x:xf numFmtId="0" fontId="42" fillId="40" borderId="87" xfId="0" applyNumberFormat="1" applyFont="1" applyFill="1" applyBorder="1" applyAlignment="1">
      <x:alignment horizontal="left" vertical="top" wrapText="1"/>
    </x:xf>
    <x:xf numFmtId="0" fontId="42" fillId="40" borderId="88" xfId="0" applyNumberFormat="1" applyFont="1" applyFill="1" applyBorder="1" applyAlignment="1">
      <x:alignment horizontal="left" vertical="top" wrapText="1"/>
    </x:xf>
    <x:xf numFmtId="0" fontId="42" fillId="40" borderId="95" xfId="0" applyNumberFormat="1" applyFont="1" applyFill="1" applyBorder="1" applyAlignment="1">
      <x:alignment horizontal="left" vertical="top" wrapText="1"/>
    </x:xf>
    <x:xf numFmtId="0" fontId="42" fillId="40" xfId="0" applyNumberFormat="1" applyFont="1" applyFill="1" applyBorder="0" applyAlignment="1">
      <x:alignment horizontal="left" vertical="top" wrapText="1"/>
    </x:xf>
    <x:xf numFmtId="0" fontId="42" fillId="40" borderId="96" xfId="0" applyNumberFormat="1" applyFont="1" applyFill="1" applyBorder="1" applyAlignment="1">
      <x:alignment horizontal="left" vertical="top" wrapText="1"/>
    </x:xf>
    <x:xf numFmtId="0" fontId="42" fillId="40" borderId="89" xfId="0" applyNumberFormat="1" applyFont="1" applyFill="1" applyBorder="1" applyAlignment="1">
      <x:alignment horizontal="left" vertical="top" wrapText="1"/>
    </x:xf>
    <x:xf numFmtId="0" fontId="42" fillId="40" borderId="90" xfId="0" applyNumberFormat="1" applyFont="1" applyFill="1" applyBorder="1" applyAlignment="1">
      <x:alignment horizontal="left" vertical="top" wrapText="1"/>
    </x:xf>
    <x:xf numFmtId="0" fontId="42" fillId="40" borderId="91" xfId="0" applyNumberFormat="1" applyFont="1" applyFill="1" applyBorder="1" applyAlignment="1">
      <x:alignment horizontal="left" vertical="top" wrapText="1"/>
    </x:xf>
    <x:xf numFmtId="0" fontId="37" fillId="41" borderId="100" xfId="0" applyNumberFormat="1" applyFont="1" applyFill="1" applyBorder="1"/>
    <x:xf numFmtId="0" fontId="37" fillId="41" borderId="87" xfId="0" applyNumberFormat="1" applyFont="1" applyFill="1" applyBorder="1"/>
    <x:xf numFmtId="0" fontId="37" fillId="41" borderId="90" xfId="0" applyNumberFormat="1" applyFont="1" applyFill="1" applyBorder="1"/>
    <x:xf numFmtId="0" fontId="37" fillId="41" borderId="87" xfId="0" applyNumberFormat="1" applyFont="1" applyFill="1" applyBorder="1" applyAlignment="1">
      <x:alignment wrapText="1"/>
    </x:xf>
    <x:xf numFmtId="0" fontId="37" fillId="41" xfId="0" applyNumberFormat="1" applyFont="1" applyFill="1" applyBorder="0" applyAlignment="1">
      <x:alignment wrapText="1"/>
    </x:xf>
    <x:xf numFmtId="0" fontId="37" fillId="41" borderId="90" xfId="0" applyNumberFormat="1" applyFont="1" applyFill="1" applyBorder="1" applyAlignment="1">
      <x:alignment wrapText="1"/>
    </x:xf>
    <x:xf numFmtId="0" fontId="37" fillId="41" borderId="86" xfId="0" applyNumberFormat="1" applyFont="1" applyFill="1" applyBorder="1" applyAlignment="1">
      <x:alignment horizontal="left" wrapText="1"/>
    </x:xf>
    <x:xf numFmtId="0" fontId="37" fillId="41" borderId="87" xfId="0" applyNumberFormat="1" applyFont="1" applyFill="1" applyBorder="1" applyAlignment="1">
      <x:alignment horizontal="left" wrapText="1"/>
    </x:xf>
    <x:xf numFmtId="0" fontId="37" fillId="41" borderId="88" xfId="0" applyNumberFormat="1" applyFont="1" applyFill="1" applyBorder="1" applyAlignment="1">
      <x:alignment horizontal="left" wrapText="1"/>
    </x:xf>
    <x:xf numFmtId="0" fontId="37" fillId="41" borderId="95" xfId="0" applyNumberFormat="1" applyFont="1" applyFill="1" applyBorder="1" applyAlignment="1">
      <x:alignment horizontal="left" wrapText="1"/>
    </x:xf>
    <x:xf numFmtId="0" fontId="37" fillId="41" xfId="0" applyNumberFormat="1" applyFont="1" applyFill="1" applyBorder="0" applyAlignment="1">
      <x:alignment horizontal="left" wrapText="1"/>
    </x:xf>
    <x:xf numFmtId="0" fontId="37" fillId="41" borderId="96" xfId="0" applyNumberFormat="1" applyFont="1" applyFill="1" applyBorder="1" applyAlignment="1">
      <x:alignment horizontal="left" wrapText="1"/>
    </x:xf>
    <x:xf numFmtId="0" fontId="37" fillId="41" borderId="89" xfId="0" applyNumberFormat="1" applyFont="1" applyFill="1" applyBorder="1" applyAlignment="1">
      <x:alignment horizontal="left" wrapText="1"/>
    </x:xf>
    <x:xf numFmtId="0" fontId="37" fillId="41" borderId="90" xfId="0" applyNumberFormat="1" applyFont="1" applyFill="1" applyBorder="1" applyAlignment="1">
      <x:alignment horizontal="left" wrapText="1"/>
    </x:xf>
    <x:xf numFmtId="0" fontId="37" fillId="41" borderId="91" xfId="0" applyNumberFormat="1" applyFont="1" applyFill="1" applyBorder="1" applyAlignment="1">
      <x:alignment horizontal="left" wrapText="1"/>
    </x:xf>
    <x:xf numFmtId="0" fontId="37" fillId="41" borderId="86" xfId="0" applyNumberFormat="1" applyFont="1" applyFill="1" applyBorder="1" applyAlignment="1">
      <x:alignment horizontal="left" vertical="top" wrapText="1"/>
    </x:xf>
    <x:xf numFmtId="0" fontId="37" fillId="41" borderId="87" xfId="0" applyNumberFormat="1" applyFont="1" applyFill="1" applyBorder="1" applyAlignment="1">
      <x:alignment horizontal="left" vertical="top" wrapText="1"/>
    </x:xf>
    <x:xf numFmtId="0" fontId="37" fillId="41" borderId="88" xfId="0" applyNumberFormat="1" applyFont="1" applyFill="1" applyBorder="1" applyAlignment="1">
      <x:alignment horizontal="left" vertical="top" wrapText="1"/>
    </x:xf>
    <x:xf numFmtId="0" fontId="37" fillId="41" borderId="95" xfId="0" applyNumberFormat="1" applyFont="1" applyFill="1" applyBorder="1" applyAlignment="1">
      <x:alignment horizontal="left" vertical="top" wrapText="1"/>
    </x:xf>
    <x:xf numFmtId="0" fontId="37" fillId="41" xfId="0" applyNumberFormat="1" applyFont="1" applyFill="1" applyBorder="0" applyAlignment="1">
      <x:alignment horizontal="left" vertical="top" wrapText="1"/>
    </x:xf>
    <x:xf numFmtId="0" fontId="37" fillId="41" borderId="96" xfId="0" applyNumberFormat="1" applyFont="1" applyFill="1" applyBorder="1" applyAlignment="1">
      <x:alignment horizontal="left" vertical="top" wrapText="1"/>
    </x:xf>
    <x:xf numFmtId="0" fontId="37" fillId="41" borderId="89" xfId="0" applyNumberFormat="1" applyFont="1" applyFill="1" applyBorder="1" applyAlignment="1">
      <x:alignment horizontal="left" vertical="top" wrapText="1"/>
    </x:xf>
    <x:xf numFmtId="0" fontId="37" fillId="41" borderId="90" xfId="0" applyNumberFormat="1" applyFont="1" applyFill="1" applyBorder="1" applyAlignment="1">
      <x:alignment horizontal="left" vertical="top" wrapText="1"/>
    </x:xf>
    <x:xf numFmtId="0" fontId="37" fillId="41" borderId="91" xfId="0" applyNumberFormat="1" applyFont="1" applyFill="1" applyBorder="1" applyAlignment="1">
      <x:alignment horizontal="left" vertical="top" wrapText="1"/>
    </x:xf>
    <x:xf numFmtId="0" fontId="0" fillId="43" borderId="101" xfId="0" applyNumberFormat="1" applyFont="1" applyFill="1" applyBorder="1"/>
    <x:xf numFmtId="0" fontId="36" fillId="43" borderId="100" xfId="0" applyNumberFormat="1" applyFont="1" applyFill="1" applyBorder="1"/>
    <x:xf numFmtId="0" fontId="36" fillId="43" borderId="101" xfId="0" applyNumberFormat="1" applyFont="1" applyFill="1" applyBorder="1"/>
    <x:xf numFmtId="0" fontId="36" fillId="43" borderId="86" xfId="0" applyNumberFormat="1" applyFont="1" applyFill="1" applyBorder="1" applyAlignment="1">
      <x:alignment horizontal="center" wrapText="1"/>
    </x:xf>
    <x:xf numFmtId="0" fontId="36" fillId="43" borderId="87" xfId="0" applyNumberFormat="1" applyFont="1" applyFill="1" applyBorder="1" applyAlignment="1">
      <x:alignment horizontal="center" wrapText="1"/>
    </x:xf>
    <x:xf numFmtId="0" fontId="36" fillId="43" borderId="88" xfId="0" applyNumberFormat="1" applyFont="1" applyFill="1" applyBorder="1" applyAlignment="1">
      <x:alignment horizontal="center" wrapText="1"/>
    </x:xf>
    <x:xf numFmtId="0" fontId="36" fillId="43" borderId="95" xfId="0" applyNumberFormat="1" applyFont="1" applyFill="1" applyBorder="1" applyAlignment="1">
      <x:alignment horizontal="center" wrapText="1"/>
    </x:xf>
    <x:xf numFmtId="0" fontId="36" fillId="43" xfId="0" applyNumberFormat="1" applyFont="1" applyFill="1" applyBorder="0" applyAlignment="1">
      <x:alignment horizontal="center" wrapText="1"/>
    </x:xf>
    <x:xf numFmtId="0" fontId="36" fillId="43" borderId="96" xfId="0" applyNumberFormat="1" applyFont="1" applyFill="1" applyBorder="1" applyAlignment="1">
      <x:alignment horizontal="center" wrapText="1"/>
    </x:xf>
    <x:xf numFmtId="0" fontId="36" fillId="43" borderId="86" xfId="0" applyNumberFormat="1" applyFont="1" applyFill="1" applyBorder="1" applyAlignment="1">
      <x:alignment horizontal="center" vertical="center" wrapText="1"/>
    </x:xf>
    <x:xf numFmtId="0" fontId="36" fillId="43" borderId="87" xfId="0" applyNumberFormat="1" applyFont="1" applyFill="1" applyBorder="1" applyAlignment="1">
      <x:alignment horizontal="center" vertical="center" wrapText="1"/>
    </x:xf>
    <x:xf numFmtId="0" fontId="36" fillId="43" borderId="88" xfId="0" applyNumberFormat="1" applyFont="1" applyFill="1" applyBorder="1" applyAlignment="1">
      <x:alignment horizontal="center" vertical="center" wrapText="1"/>
    </x:xf>
    <x:xf numFmtId="0" fontId="36" fillId="43" borderId="95" xfId="0" applyNumberFormat="1" applyFont="1" applyFill="1" applyBorder="1" applyAlignment="1">
      <x:alignment horizontal="center" vertical="center" wrapText="1"/>
    </x:xf>
    <x:xf numFmtId="0" fontId="36" fillId="43" xfId="0" applyNumberFormat="1" applyFont="1" applyFill="1" applyBorder="0" applyAlignment="1">
      <x:alignment horizontal="center" vertical="center" wrapText="1"/>
    </x:xf>
    <x:xf numFmtId="0" fontId="36" fillId="43" borderId="96" xfId="0" applyNumberFormat="1" applyFont="1" applyFill="1" applyBorder="1" applyAlignment="1">
      <x:alignment horizontal="center" vertical="center" wrapText="1"/>
    </x:xf>
    <x:xf numFmtId="0" fontId="33" fillId="37" xfId="0" applyNumberFormat="1" applyFont="1" applyFill="1" applyBorder="0"/>
    <x:xf numFmtId="0" fontId="33" fillId="37" borderId="101" xfId="0" applyNumberFormat="1" applyFont="1" applyFill="1" applyBorder="1"/>
    <x:xf numFmtId="0" fontId="33" fillId="37" borderId="86" xfId="0" applyNumberFormat="1" applyFont="1" applyFill="1" applyBorder="1"/>
    <x:xf numFmtId="0" fontId="33" fillId="37" borderId="87" xfId="0" applyNumberFormat="1" applyFont="1" applyFill="1" applyBorder="1"/>
    <x:xf numFmtId="0" fontId="33" fillId="37" borderId="88" xfId="0" applyNumberFormat="1" applyFont="1" applyFill="1" applyBorder="1"/>
    <x:xf numFmtId="0" fontId="33" fillId="37" borderId="95" xfId="0" applyNumberFormat="1" applyFont="1" applyFill="1" applyBorder="1"/>
    <x:xf numFmtId="0" fontId="33" fillId="37" borderId="96" xfId="0" applyNumberFormat="1" applyFont="1" applyFill="1" applyBorder="1"/>
    <x:xf numFmtId="0" fontId="33" fillId="37" borderId="89" xfId="0" applyNumberFormat="1" applyFont="1" applyFill="1" applyBorder="1"/>
    <x:xf numFmtId="0" fontId="33" fillId="37" borderId="90" xfId="0" applyNumberFormat="1" applyFont="1" applyFill="1" applyBorder="1"/>
    <x:xf numFmtId="0" fontId="33" fillId="37" borderId="91" xfId="0" applyNumberFormat="1" applyFont="1" applyFill="1" applyBorder="1"/>
    <x:xf numFmtId="0" fontId="33" fillId="37" borderId="86" xfId="0" applyNumberFormat="1" applyFont="1" applyFill="1" applyBorder="1" applyAlignment="1">
      <x:alignment wrapText="1"/>
    </x:xf>
    <x:xf numFmtId="0" fontId="33" fillId="37" borderId="87" xfId="0" applyNumberFormat="1" applyFont="1" applyFill="1" applyBorder="1" applyAlignment="1">
      <x:alignment wrapText="1"/>
    </x:xf>
    <x:xf numFmtId="0" fontId="33" fillId="37" borderId="88" xfId="0" applyNumberFormat="1" applyFont="1" applyFill="1" applyBorder="1" applyAlignment="1">
      <x:alignment wrapText="1"/>
    </x:xf>
    <x:xf numFmtId="0" fontId="33" fillId="37" borderId="95" xfId="0" applyNumberFormat="1" applyFont="1" applyFill="1" applyBorder="1" applyAlignment="1">
      <x:alignment wrapText="1"/>
    </x:xf>
    <x:xf numFmtId="0" fontId="33" fillId="37" xfId="0" applyNumberFormat="1" applyFont="1" applyFill="1" applyBorder="0" applyAlignment="1">
      <x:alignment wrapText="1"/>
    </x:xf>
    <x:xf numFmtId="0" fontId="33" fillId="37" borderId="96" xfId="0" applyNumberFormat="1" applyFont="1" applyFill="1" applyBorder="1" applyAlignment="1">
      <x:alignment wrapText="1"/>
    </x:xf>
    <x:xf numFmtId="0" fontId="33" fillId="37" borderId="89" xfId="0" applyNumberFormat="1" applyFont="1" applyFill="1" applyBorder="1" applyAlignment="1">
      <x:alignment wrapText="1"/>
    </x:xf>
    <x:xf numFmtId="0" fontId="33" fillId="37" borderId="90" xfId="0" applyNumberFormat="1" applyFont="1" applyFill="1" applyBorder="1" applyAlignment="1">
      <x:alignment wrapText="1"/>
    </x:xf>
    <x:xf numFmtId="0" fontId="33" fillId="37" borderId="91" xfId="0" applyNumberFormat="1" applyFont="1" applyFill="1" applyBorder="1" applyAlignment="1">
      <x:alignment wrapText="1"/>
    </x:xf>
    <x:xf numFmtId="0" fontId="33" fillId="37" borderId="86" xfId="0" applyNumberFormat="1" applyFont="1" applyFill="1" applyBorder="1" applyAlignment="1">
      <x:alignment horizontal="left" wrapText="1"/>
    </x:xf>
    <x:xf numFmtId="0" fontId="33" fillId="37" borderId="87" xfId="0" applyNumberFormat="1" applyFont="1" applyFill="1" applyBorder="1" applyAlignment="1">
      <x:alignment horizontal="left" wrapText="1"/>
    </x:xf>
    <x:xf numFmtId="0" fontId="33" fillId="37" borderId="88" xfId="0" applyNumberFormat="1" applyFont="1" applyFill="1" applyBorder="1" applyAlignment="1">
      <x:alignment horizontal="left" wrapText="1"/>
    </x:xf>
    <x:xf numFmtId="0" fontId="33" fillId="37" borderId="95" xfId="0" applyNumberFormat="1" applyFont="1" applyFill="1" applyBorder="1" applyAlignment="1">
      <x:alignment horizontal="left" wrapText="1"/>
    </x:xf>
    <x:xf numFmtId="0" fontId="33" fillId="37" xfId="0" applyNumberFormat="1" applyFont="1" applyFill="1" applyBorder="0" applyAlignment="1">
      <x:alignment horizontal="left" wrapText="1"/>
    </x:xf>
    <x:xf numFmtId="0" fontId="33" fillId="37" borderId="96" xfId="0" applyNumberFormat="1" applyFont="1" applyFill="1" applyBorder="1" applyAlignment="1">
      <x:alignment horizontal="left" wrapText="1"/>
    </x:xf>
    <x:xf numFmtId="0" fontId="33" fillId="37" borderId="89" xfId="0" applyNumberFormat="1" applyFont="1" applyFill="1" applyBorder="1" applyAlignment="1">
      <x:alignment horizontal="left" wrapText="1"/>
    </x:xf>
    <x:xf numFmtId="0" fontId="33" fillId="37" borderId="90" xfId="0" applyNumberFormat="1" applyFont="1" applyFill="1" applyBorder="1" applyAlignment="1">
      <x:alignment horizontal="left" wrapText="1"/>
    </x:xf>
    <x:xf numFmtId="0" fontId="33" fillId="37" borderId="91" xfId="0" applyNumberFormat="1" applyFont="1" applyFill="1" applyBorder="1" applyAlignment="1">
      <x:alignment horizontal="left" wrapText="1"/>
    </x:xf>
    <x:xf numFmtId="0" fontId="33" fillId="37" borderId="86" xfId="0" applyNumberFormat="1" applyFont="1" applyFill="1" applyBorder="1" applyAlignment="1">
      <x:alignment horizontal="left" vertical="top" wrapText="1"/>
    </x:xf>
    <x:xf numFmtId="0" fontId="33" fillId="37" borderId="87" xfId="0" applyNumberFormat="1" applyFont="1" applyFill="1" applyBorder="1" applyAlignment="1">
      <x:alignment horizontal="left" vertical="top" wrapText="1"/>
    </x:xf>
    <x:xf numFmtId="0" fontId="33" fillId="37" borderId="88" xfId="0" applyNumberFormat="1" applyFont="1" applyFill="1" applyBorder="1" applyAlignment="1">
      <x:alignment horizontal="left" vertical="top" wrapText="1"/>
    </x:xf>
    <x:xf numFmtId="0" fontId="33" fillId="37" borderId="95" xfId="0" applyNumberFormat="1" applyFont="1" applyFill="1" applyBorder="1" applyAlignment="1">
      <x:alignment horizontal="left" vertical="top" wrapText="1"/>
    </x:xf>
    <x:xf numFmtId="0" fontId="33" fillId="37" xfId="0" applyNumberFormat="1" applyFont="1" applyFill="1" applyBorder="0" applyAlignment="1">
      <x:alignment horizontal="left" vertical="top" wrapText="1"/>
    </x:xf>
    <x:xf numFmtId="0" fontId="33" fillId="37" borderId="96" xfId="0" applyNumberFormat="1" applyFont="1" applyFill="1" applyBorder="1" applyAlignment="1">
      <x:alignment horizontal="left" vertical="top" wrapText="1"/>
    </x:xf>
    <x:xf numFmtId="0" fontId="33" fillId="37" borderId="89" xfId="0" applyNumberFormat="1" applyFont="1" applyFill="1" applyBorder="1" applyAlignment="1">
      <x:alignment horizontal="left" vertical="top" wrapText="1"/>
    </x:xf>
    <x:xf numFmtId="0" fontId="33" fillId="37" borderId="90" xfId="0" applyNumberFormat="1" applyFont="1" applyFill="1" applyBorder="1" applyAlignment="1">
      <x:alignment horizontal="left" vertical="top" wrapText="1"/>
    </x:xf>
    <x:xf numFmtId="0" fontId="33" fillId="37" borderId="91" xfId="0" applyNumberFormat="1" applyFont="1" applyFill="1" applyBorder="1" applyAlignment="1">
      <x:alignment horizontal="left" vertical="top" wrapText="1"/>
    </x:xf>
    <x:xf numFmtId="0" fontId="19" fillId="38" xfId="0" applyNumberFormat="1" applyFont="1" applyFill="1" applyBorder="0"/>
    <x:xf numFmtId="0" fontId="19" fillId="38" borderId="86" xfId="0" applyNumberFormat="1" applyFont="1" applyFill="1" applyBorder="1"/>
    <x:xf numFmtId="0" fontId="19" fillId="38" borderId="87" xfId="0" applyNumberFormat="1" applyFont="1" applyFill="1" applyBorder="1"/>
    <x:xf numFmtId="0" fontId="19" fillId="38" borderId="88" xfId="0" applyNumberFormat="1" applyFont="1" applyFill="1" applyBorder="1"/>
    <x:xf numFmtId="0" fontId="19" fillId="38" borderId="95" xfId="0" applyNumberFormat="1" applyFont="1" applyFill="1" applyBorder="1"/>
    <x:xf numFmtId="0" fontId="19" fillId="38" borderId="96" xfId="0" applyNumberFormat="1" applyFont="1" applyFill="1" applyBorder="1"/>
    <x:xf numFmtId="0" fontId="19" fillId="38" borderId="89" xfId="0" applyNumberFormat="1" applyFont="1" applyFill="1" applyBorder="1"/>
    <x:xf numFmtId="0" fontId="19" fillId="38" borderId="90" xfId="0" applyNumberFormat="1" applyFont="1" applyFill="1" applyBorder="1"/>
    <x:xf numFmtId="0" fontId="19" fillId="38" borderId="91" xfId="0" applyNumberFormat="1" applyFont="1" applyFill="1" applyBorder="1"/>
    <x:xf numFmtId="0" fontId="19" fillId="38" borderId="86" xfId="0" applyNumberFormat="1" applyFont="1" applyFill="1" applyBorder="1" applyAlignment="1">
      <x:alignment wrapText="1"/>
    </x:xf>
    <x:xf numFmtId="0" fontId="19" fillId="38" borderId="87" xfId="0" applyNumberFormat="1" applyFont="1" applyFill="1" applyBorder="1" applyAlignment="1">
      <x:alignment wrapText="1"/>
    </x:xf>
    <x:xf numFmtId="0" fontId="19" fillId="38" borderId="88" xfId="0" applyNumberFormat="1" applyFont="1" applyFill="1" applyBorder="1" applyAlignment="1">
      <x:alignment wrapText="1"/>
    </x:xf>
    <x:xf numFmtId="0" fontId="19" fillId="38" borderId="95" xfId="0" applyNumberFormat="1" applyFont="1" applyFill="1" applyBorder="1" applyAlignment="1">
      <x:alignment wrapText="1"/>
    </x:xf>
    <x:xf numFmtId="0" fontId="19" fillId="38" xfId="0" applyNumberFormat="1" applyFont="1" applyFill="1" applyBorder="0" applyAlignment="1">
      <x:alignment wrapText="1"/>
    </x:xf>
    <x:xf numFmtId="0" fontId="19" fillId="38" borderId="96" xfId="0" applyNumberFormat="1" applyFont="1" applyFill="1" applyBorder="1" applyAlignment="1">
      <x:alignment wrapText="1"/>
    </x:xf>
    <x:xf numFmtId="0" fontId="19" fillId="38" borderId="89" xfId="0" applyNumberFormat="1" applyFont="1" applyFill="1" applyBorder="1" applyAlignment="1">
      <x:alignment wrapText="1"/>
    </x:xf>
    <x:xf numFmtId="0" fontId="19" fillId="38" borderId="90" xfId="0" applyNumberFormat="1" applyFont="1" applyFill="1" applyBorder="1" applyAlignment="1">
      <x:alignment wrapText="1"/>
    </x:xf>
    <x:xf numFmtId="0" fontId="19" fillId="38" borderId="91" xfId="0" applyNumberFormat="1" applyFont="1" applyFill="1" applyBorder="1" applyAlignment="1">
      <x:alignment wrapText="1"/>
    </x:xf>
    <x:xf numFmtId="0" fontId="19" fillId="38" borderId="86" xfId="0" applyNumberFormat="1" applyFont="1" applyFill="1" applyBorder="1" applyAlignment="1">
      <x:alignment horizontal="center" wrapText="1"/>
    </x:xf>
    <x:xf numFmtId="0" fontId="19" fillId="38" borderId="87" xfId="0" applyNumberFormat="1" applyFont="1" applyFill="1" applyBorder="1" applyAlignment="1">
      <x:alignment horizontal="center" wrapText="1"/>
    </x:xf>
    <x:xf numFmtId="0" fontId="19" fillId="38" borderId="88" xfId="0" applyNumberFormat="1" applyFont="1" applyFill="1" applyBorder="1" applyAlignment="1">
      <x:alignment horizontal="center" wrapText="1"/>
    </x:xf>
    <x:xf numFmtId="0" fontId="19" fillId="38" borderId="95" xfId="0" applyNumberFormat="1" applyFont="1" applyFill="1" applyBorder="1" applyAlignment="1">
      <x:alignment horizontal="center" wrapText="1"/>
    </x:xf>
    <x:xf numFmtId="0" fontId="19" fillId="38" xfId="0" applyNumberFormat="1" applyFont="1" applyFill="1" applyBorder="0" applyAlignment="1">
      <x:alignment horizontal="center" wrapText="1"/>
    </x:xf>
    <x:xf numFmtId="0" fontId="19" fillId="38" borderId="96" xfId="0" applyNumberFormat="1" applyFont="1" applyFill="1" applyBorder="1" applyAlignment="1">
      <x:alignment horizontal="center" wrapText="1"/>
    </x:xf>
    <x:xf numFmtId="0" fontId="19" fillId="38" borderId="89" xfId="0" applyNumberFormat="1" applyFont="1" applyFill="1" applyBorder="1" applyAlignment="1">
      <x:alignment horizontal="center" wrapText="1"/>
    </x:xf>
    <x:xf numFmtId="0" fontId="19" fillId="38" borderId="90" xfId="0" applyNumberFormat="1" applyFont="1" applyFill="1" applyBorder="1" applyAlignment="1">
      <x:alignment horizontal="center" wrapText="1"/>
    </x:xf>
    <x:xf numFmtId="0" fontId="19" fillId="38" borderId="91" xfId="0" applyNumberFormat="1" applyFont="1" applyFill="1" applyBorder="1" applyAlignment="1">
      <x:alignment horizontal="center" wrapText="1"/>
    </x:xf>
    <x:xf numFmtId="0" fontId="19" fillId="38" borderId="86" xfId="0" applyNumberFormat="1" applyFont="1" applyFill="1" applyBorder="1" applyAlignment="1">
      <x:alignment horizontal="center" vertical="center" wrapText="1"/>
    </x:xf>
    <x:xf numFmtId="0" fontId="19" fillId="38" borderId="87" xfId="0" applyNumberFormat="1" applyFont="1" applyFill="1" applyBorder="1" applyAlignment="1">
      <x:alignment horizontal="center" vertical="center" wrapText="1"/>
    </x:xf>
    <x:xf numFmtId="0" fontId="19" fillId="38" borderId="88" xfId="0" applyNumberFormat="1" applyFont="1" applyFill="1" applyBorder="1" applyAlignment="1">
      <x:alignment horizontal="center" vertical="center" wrapText="1"/>
    </x:xf>
    <x:xf numFmtId="0" fontId="19" fillId="38" borderId="95" xfId="0" applyNumberFormat="1" applyFont="1" applyFill="1" applyBorder="1" applyAlignment="1">
      <x:alignment horizontal="center" vertical="center" wrapText="1"/>
    </x:xf>
    <x:xf numFmtId="0" fontId="19" fillId="38" xfId="0" applyNumberFormat="1" applyFont="1" applyFill="1" applyBorder="0" applyAlignment="1">
      <x:alignment horizontal="center" vertical="center" wrapText="1"/>
    </x:xf>
    <x:xf numFmtId="0" fontId="19" fillId="38" borderId="96" xfId="0" applyNumberFormat="1" applyFont="1" applyFill="1" applyBorder="1" applyAlignment="1">
      <x:alignment horizontal="center" vertical="center" wrapText="1"/>
    </x:xf>
    <x:xf numFmtId="0" fontId="19" fillId="38" borderId="89" xfId="0" applyNumberFormat="1" applyFont="1" applyFill="1" applyBorder="1" applyAlignment="1">
      <x:alignment horizontal="center" vertical="center" wrapText="1"/>
    </x:xf>
    <x:xf numFmtId="0" fontId="19" fillId="38" borderId="90" xfId="0" applyNumberFormat="1" applyFont="1" applyFill="1" applyBorder="1" applyAlignment="1">
      <x:alignment horizontal="center" vertical="center" wrapText="1"/>
    </x:xf>
    <x:xf numFmtId="0" fontId="19" fillId="38" borderId="91" xfId="0" applyNumberFormat="1" applyFont="1" applyFill="1" applyBorder="1" applyAlignment="1">
      <x:alignment horizontal="center" vertical="center" wrapText="1"/>
    </x:xf>
    <x:xf numFmtId="0" fontId="48" fillId="39" borderId="100" xfId="0" applyNumberFormat="1" applyFont="1" applyFill="1" applyBorder="1"/>
    <x:xf numFmtId="0" fontId="48" fillId="39" xfId="0" applyNumberFormat="1" applyFont="1" applyFill="1" applyBorder="0"/>
    <x:xf numFmtId="0" fontId="48" fillId="39" borderId="101" xfId="0" applyNumberFormat="1" applyFont="1" applyFill="1" applyBorder="1"/>
    <x:xf numFmtId="0" fontId="48" fillId="39" borderId="86" xfId="0" applyNumberFormat="1" applyFont="1" applyFill="1" applyBorder="1"/>
    <x:xf numFmtId="0" fontId="48" fillId="39" borderId="87" xfId="0" applyNumberFormat="1" applyFont="1" applyFill="1" applyBorder="1"/>
    <x:xf numFmtId="0" fontId="48" fillId="39" borderId="88" xfId="0" applyNumberFormat="1" applyFont="1" applyFill="1" applyBorder="1"/>
    <x:xf numFmtId="0" fontId="48" fillId="39" borderId="95" xfId="0" applyNumberFormat="1" applyFont="1" applyFill="1" applyBorder="1"/>
    <x:xf numFmtId="0" fontId="48" fillId="39" borderId="96" xfId="0" applyNumberFormat="1" applyFont="1" applyFill="1" applyBorder="1"/>
    <x:xf numFmtId="0" fontId="48" fillId="39" borderId="89" xfId="0" applyNumberFormat="1" applyFont="1" applyFill="1" applyBorder="1"/>
    <x:xf numFmtId="0" fontId="48" fillId="39" borderId="90" xfId="0" applyNumberFormat="1" applyFont="1" applyFill="1" applyBorder="1"/>
    <x:xf numFmtId="0" fontId="48" fillId="39" borderId="91" xfId="0" applyNumberFormat="1" applyFont="1" applyFill="1" applyBorder="1"/>
    <x:xf numFmtId="0" fontId="48" fillId="39" borderId="86" xfId="0" applyNumberFormat="1" applyFont="1" applyFill="1" applyBorder="1" applyAlignment="1">
      <x:alignment wrapText="1"/>
    </x:xf>
    <x:xf numFmtId="0" fontId="48" fillId="39" borderId="87" xfId="0" applyNumberFormat="1" applyFont="1" applyFill="1" applyBorder="1" applyAlignment="1">
      <x:alignment wrapText="1"/>
    </x:xf>
    <x:xf numFmtId="0" fontId="48" fillId="39" borderId="88" xfId="0" applyNumberFormat="1" applyFont="1" applyFill="1" applyBorder="1" applyAlignment="1">
      <x:alignment wrapText="1"/>
    </x:xf>
    <x:xf numFmtId="0" fontId="48" fillId="39" borderId="95" xfId="0" applyNumberFormat="1" applyFont="1" applyFill="1" applyBorder="1" applyAlignment="1">
      <x:alignment wrapText="1"/>
    </x:xf>
    <x:xf numFmtId="0" fontId="48" fillId="39" xfId="0" applyNumberFormat="1" applyFont="1" applyFill="1" applyBorder="0" applyAlignment="1">
      <x:alignment wrapText="1"/>
    </x:xf>
    <x:xf numFmtId="0" fontId="48" fillId="39" borderId="96" xfId="0" applyNumberFormat="1" applyFont="1" applyFill="1" applyBorder="1" applyAlignment="1">
      <x:alignment wrapText="1"/>
    </x:xf>
    <x:xf numFmtId="0" fontId="48" fillId="39" borderId="89" xfId="0" applyNumberFormat="1" applyFont="1" applyFill="1" applyBorder="1" applyAlignment="1">
      <x:alignment wrapText="1"/>
    </x:xf>
    <x:xf numFmtId="0" fontId="48" fillId="39" borderId="90" xfId="0" applyNumberFormat="1" applyFont="1" applyFill="1" applyBorder="1" applyAlignment="1">
      <x:alignment wrapText="1"/>
    </x:xf>
    <x:xf numFmtId="0" fontId="48" fillId="39" borderId="91" xfId="0" applyNumberFormat="1" applyFont="1" applyFill="1" applyBorder="1" applyAlignment="1">
      <x:alignment wrapText="1"/>
    </x:xf>
    <x:xf numFmtId="0" fontId="48" fillId="39" borderId="86" xfId="0" applyNumberFormat="1" applyFont="1" applyFill="1" applyBorder="1" applyAlignment="1">
      <x:alignment horizontal="center" wrapText="1"/>
    </x:xf>
    <x:xf numFmtId="0" fontId="48" fillId="39" borderId="87" xfId="0" applyNumberFormat="1" applyFont="1" applyFill="1" applyBorder="1" applyAlignment="1">
      <x:alignment horizontal="center" wrapText="1"/>
    </x:xf>
    <x:xf numFmtId="0" fontId="48" fillId="39" borderId="88" xfId="0" applyNumberFormat="1" applyFont="1" applyFill="1" applyBorder="1" applyAlignment="1">
      <x:alignment horizontal="center" wrapText="1"/>
    </x:xf>
    <x:xf numFmtId="0" fontId="48" fillId="39" borderId="95" xfId="0" applyNumberFormat="1" applyFont="1" applyFill="1" applyBorder="1" applyAlignment="1">
      <x:alignment horizontal="center" wrapText="1"/>
    </x:xf>
    <x:xf numFmtId="0" fontId="48" fillId="39" xfId="0" applyNumberFormat="1" applyFont="1" applyFill="1" applyBorder="0" applyAlignment="1">
      <x:alignment horizontal="center" wrapText="1"/>
    </x:xf>
    <x:xf numFmtId="0" fontId="48" fillId="39" borderId="96" xfId="0" applyNumberFormat="1" applyFont="1" applyFill="1" applyBorder="1" applyAlignment="1">
      <x:alignment horizontal="center" wrapText="1"/>
    </x:xf>
    <x:xf numFmtId="0" fontId="48" fillId="39" borderId="89" xfId="0" applyNumberFormat="1" applyFont="1" applyFill="1" applyBorder="1" applyAlignment="1">
      <x:alignment horizontal="center" wrapText="1"/>
    </x:xf>
    <x:xf numFmtId="0" fontId="48" fillId="39" borderId="90" xfId="0" applyNumberFormat="1" applyFont="1" applyFill="1" applyBorder="1" applyAlignment="1">
      <x:alignment horizontal="center" wrapText="1"/>
    </x:xf>
    <x:xf numFmtId="0" fontId="48" fillId="39" borderId="91" xfId="0" applyNumberFormat="1" applyFont="1" applyFill="1" applyBorder="1" applyAlignment="1">
      <x:alignment horizontal="center" wrapText="1"/>
    </x:xf>
    <x:xf numFmtId="0" fontId="48" fillId="39" borderId="86" xfId="0" applyNumberFormat="1" applyFont="1" applyFill="1" applyBorder="1" applyAlignment="1">
      <x:alignment horizontal="center" vertical="center" wrapText="1"/>
    </x:xf>
    <x:xf numFmtId="0" fontId="48" fillId="39" borderId="87" xfId="0" applyNumberFormat="1" applyFont="1" applyFill="1" applyBorder="1" applyAlignment="1">
      <x:alignment horizontal="center" vertical="center" wrapText="1"/>
    </x:xf>
    <x:xf numFmtId="0" fontId="48" fillId="39" borderId="88" xfId="0" applyNumberFormat="1" applyFont="1" applyFill="1" applyBorder="1" applyAlignment="1">
      <x:alignment horizontal="center" vertical="center" wrapText="1"/>
    </x:xf>
    <x:xf numFmtId="0" fontId="48" fillId="39" borderId="95" xfId="0" applyNumberFormat="1" applyFont="1" applyFill="1" applyBorder="1" applyAlignment="1">
      <x:alignment horizontal="center" vertical="center" wrapText="1"/>
    </x:xf>
    <x:xf numFmtId="0" fontId="48" fillId="39" xfId="0" applyNumberFormat="1" applyFont="1" applyFill="1" applyBorder="0" applyAlignment="1">
      <x:alignment horizontal="center" vertical="center" wrapText="1"/>
    </x:xf>
    <x:xf numFmtId="0" fontId="48" fillId="39" borderId="96" xfId="0" applyNumberFormat="1" applyFont="1" applyFill="1" applyBorder="1" applyAlignment="1">
      <x:alignment horizontal="center" vertical="center" wrapText="1"/>
    </x:xf>
    <x:xf numFmtId="0" fontId="48" fillId="39" borderId="89" xfId="0" applyNumberFormat="1" applyFont="1" applyFill="1" applyBorder="1" applyAlignment="1">
      <x:alignment horizontal="center" vertical="center" wrapText="1"/>
    </x:xf>
    <x:xf numFmtId="0" fontId="48" fillId="39" borderId="90" xfId="0" applyNumberFormat="1" applyFont="1" applyFill="1" applyBorder="1" applyAlignment="1">
      <x:alignment horizontal="center" vertical="center" wrapText="1"/>
    </x:xf>
    <x:xf numFmtId="0" fontId="48" fillId="39" borderId="91" xfId="0" applyNumberFormat="1" applyFont="1" applyFill="1" applyBorder="1" applyAlignment="1">
      <x:alignment horizontal="center" vertical="center" wrapText="1"/>
    </x:xf>
    <x:xf numFmtId="0" fontId="1" fillId="38" borderId="86" xfId="0" applyNumberFormat="1" applyFont="1" applyFill="1" applyBorder="1"/>
    <x:xf numFmtId="0" fontId="1" fillId="38" borderId="87" xfId="0" applyNumberFormat="1" applyFont="1" applyFill="1" applyBorder="1"/>
    <x:xf numFmtId="0" fontId="1" fillId="38" borderId="88" xfId="0" applyNumberFormat="1" applyFont="1" applyFill="1" applyBorder="1"/>
    <x:xf numFmtId="0" fontId="1" fillId="38" borderId="95" xfId="0" applyNumberFormat="1" applyFont="1" applyFill="1" applyBorder="1"/>
    <x:xf numFmtId="0" fontId="1" fillId="38" borderId="96" xfId="0" applyNumberFormat="1" applyFont="1" applyFill="1" applyBorder="1"/>
    <x:xf numFmtId="0" fontId="1" fillId="38" borderId="89" xfId="0" applyNumberFormat="1" applyFont="1" applyFill="1" applyBorder="1"/>
    <x:xf numFmtId="0" fontId="1" fillId="38" borderId="90" xfId="0" applyNumberFormat="1" applyFont="1" applyFill="1" applyBorder="1"/>
    <x:xf numFmtId="0" fontId="1" fillId="38" borderId="91" xfId="0" applyNumberFormat="1" applyFont="1" applyFill="1" applyBorder="1"/>
    <x:xf numFmtId="0" fontId="1" fillId="38" borderId="86" xfId="0" applyNumberFormat="1" applyFont="1" applyFill="1" applyBorder="1" applyAlignment="1">
      <x:alignment wrapText="1"/>
    </x:xf>
    <x:xf numFmtId="0" fontId="1" fillId="38" borderId="87" xfId="0" applyNumberFormat="1" applyFont="1" applyFill="1" applyBorder="1" applyAlignment="1">
      <x:alignment wrapText="1"/>
    </x:xf>
    <x:xf numFmtId="0" fontId="1" fillId="38" borderId="88" xfId="0" applyNumberFormat="1" applyFont="1" applyFill="1" applyBorder="1" applyAlignment="1">
      <x:alignment wrapText="1"/>
    </x:xf>
    <x:xf numFmtId="0" fontId="1" fillId="38" borderId="95" xfId="0" applyNumberFormat="1" applyFont="1" applyFill="1" applyBorder="1" applyAlignment="1">
      <x:alignment wrapText="1"/>
    </x:xf>
    <x:xf numFmtId="0" fontId="1" fillId="38" xfId="0" applyNumberFormat="1" applyFont="1" applyFill="1" applyBorder="0" applyAlignment="1">
      <x:alignment wrapText="1"/>
    </x:xf>
    <x:xf numFmtId="0" fontId="1" fillId="38" borderId="96" xfId="0" applyNumberFormat="1" applyFont="1" applyFill="1" applyBorder="1" applyAlignment="1">
      <x:alignment wrapText="1"/>
    </x:xf>
    <x:xf numFmtId="0" fontId="1" fillId="38" borderId="89" xfId="0" applyNumberFormat="1" applyFont="1" applyFill="1" applyBorder="1" applyAlignment="1">
      <x:alignment wrapText="1"/>
    </x:xf>
    <x:xf numFmtId="0" fontId="1" fillId="38" borderId="90" xfId="0" applyNumberFormat="1" applyFont="1" applyFill="1" applyBorder="1" applyAlignment="1">
      <x:alignment wrapText="1"/>
    </x:xf>
    <x:xf numFmtId="0" fontId="1" fillId="38" borderId="91" xfId="0" applyNumberFormat="1" applyFont="1" applyFill="1" applyBorder="1" applyAlignment="1">
      <x:alignment wrapText="1"/>
    </x:xf>
    <x:xf numFmtId="0" fontId="1" fillId="38" borderId="86" xfId="0" applyNumberFormat="1" applyFont="1" applyFill="1" applyBorder="1" applyAlignment="1">
      <x:alignment horizontal="center" wrapText="1"/>
    </x:xf>
    <x:xf numFmtId="0" fontId="1" fillId="38" borderId="87" xfId="0" applyNumberFormat="1" applyFont="1" applyFill="1" applyBorder="1" applyAlignment="1">
      <x:alignment horizontal="center" wrapText="1"/>
    </x:xf>
    <x:xf numFmtId="0" fontId="1" fillId="38" borderId="88" xfId="0" applyNumberFormat="1" applyFont="1" applyFill="1" applyBorder="1" applyAlignment="1">
      <x:alignment horizontal="center" wrapText="1"/>
    </x:xf>
    <x:xf numFmtId="0" fontId="1" fillId="38" borderId="95" xfId="0" applyNumberFormat="1" applyFont="1" applyFill="1" applyBorder="1" applyAlignment="1">
      <x:alignment horizontal="center" wrapText="1"/>
    </x:xf>
    <x:xf numFmtId="0" fontId="1" fillId="38" xfId="0" applyNumberFormat="1" applyFont="1" applyFill="1" applyBorder="0" applyAlignment="1">
      <x:alignment horizontal="center" wrapText="1"/>
    </x:xf>
    <x:xf numFmtId="0" fontId="1" fillId="38" borderId="96" xfId="0" applyNumberFormat="1" applyFont="1" applyFill="1" applyBorder="1" applyAlignment="1">
      <x:alignment horizontal="center" wrapText="1"/>
    </x:xf>
    <x:xf numFmtId="0" fontId="1" fillId="38" borderId="89" xfId="0" applyNumberFormat="1" applyFont="1" applyFill="1" applyBorder="1" applyAlignment="1">
      <x:alignment horizontal="center" wrapText="1"/>
    </x:xf>
    <x:xf numFmtId="0" fontId="1" fillId="38" borderId="90" xfId="0" applyNumberFormat="1" applyFont="1" applyFill="1" applyBorder="1" applyAlignment="1">
      <x:alignment horizontal="center" wrapText="1"/>
    </x:xf>
    <x:xf numFmtId="0" fontId="1" fillId="38" borderId="91" xfId="0" applyNumberFormat="1" applyFont="1" applyFill="1" applyBorder="1" applyAlignment="1">
      <x:alignment horizontal="center" wrapText="1"/>
    </x:xf>
    <x:xf numFmtId="0" fontId="1" fillId="38" borderId="86" xfId="0" applyNumberFormat="1" applyFont="1" applyFill="1" applyBorder="1" applyAlignment="1">
      <x:alignment horizontal="center" vertical="center" wrapText="1"/>
    </x:xf>
    <x:xf numFmtId="0" fontId="1" fillId="38" borderId="87" xfId="0" applyNumberFormat="1" applyFont="1" applyFill="1" applyBorder="1" applyAlignment="1">
      <x:alignment horizontal="center" vertical="center" wrapText="1"/>
    </x:xf>
    <x:xf numFmtId="0" fontId="1" fillId="38" borderId="88" xfId="0" applyNumberFormat="1" applyFont="1" applyFill="1" applyBorder="1" applyAlignment="1">
      <x:alignment horizontal="center" vertical="center" wrapText="1"/>
    </x:xf>
    <x:xf numFmtId="0" fontId="1" fillId="38" borderId="95" xfId="0" applyNumberFormat="1" applyFont="1" applyFill="1" applyBorder="1" applyAlignment="1">
      <x:alignment horizontal="center" vertical="center" wrapText="1"/>
    </x:xf>
    <x:xf numFmtId="0" fontId="1" fillId="38" xfId="0" applyNumberFormat="1" applyFont="1" applyFill="1" applyBorder="0" applyAlignment="1">
      <x:alignment horizontal="center" vertical="center" wrapText="1"/>
    </x:xf>
    <x:xf numFmtId="0" fontId="1" fillId="38" borderId="96" xfId="0" applyNumberFormat="1" applyFont="1" applyFill="1" applyBorder="1" applyAlignment="1">
      <x:alignment horizontal="center" vertical="center" wrapText="1"/>
    </x:xf>
    <x:xf numFmtId="0" fontId="1" fillId="38" borderId="89" xfId="0" applyNumberFormat="1" applyFont="1" applyFill="1" applyBorder="1" applyAlignment="1">
      <x:alignment horizontal="center" vertical="center" wrapText="1"/>
    </x:xf>
    <x:xf numFmtId="0" fontId="1" fillId="38" borderId="90" xfId="0" applyNumberFormat="1" applyFont="1" applyFill="1" applyBorder="1" applyAlignment="1">
      <x:alignment horizontal="center" vertical="center" wrapText="1"/>
    </x:xf>
    <x:xf numFmtId="0" fontId="1" fillId="38" borderId="91" xfId="0" applyNumberFormat="1" applyFont="1" applyFill="1" applyBorder="1" applyAlignment="1">
      <x:alignment horizontal="center" vertical="center" wrapText="1"/>
    </x:xf>
    <x:xf numFmtId="0" fontId="47" fillId="43" borderId="101" xfId="0" applyNumberFormat="1" applyFont="1" applyFill="1" applyBorder="1"/>
    <x:xf numFmtId="0" fontId="31" fillId="41" borderId="86" xfId="0" applyNumberFormat="1" applyFont="1" applyFill="1" applyBorder="1" applyAlignment="1">
      <x:alignment horizontal="center" wrapText="1"/>
    </x:xf>
    <x:xf numFmtId="0" fontId="31" fillId="41" borderId="87" xfId="0" applyNumberFormat="1" applyFont="1" applyFill="1" applyBorder="1" applyAlignment="1">
      <x:alignment horizontal="center" wrapText="1"/>
    </x:xf>
    <x:xf numFmtId="0" fontId="31" fillId="41" borderId="88" xfId="0" applyNumberFormat="1" applyFont="1" applyFill="1" applyBorder="1" applyAlignment="1">
      <x:alignment horizontal="center" wrapText="1"/>
    </x:xf>
    <x:xf numFmtId="0" fontId="31" fillId="41" borderId="95" xfId="0" applyNumberFormat="1" applyFont="1" applyFill="1" applyBorder="1" applyAlignment="1">
      <x:alignment horizontal="center" wrapText="1"/>
    </x:xf>
    <x:xf numFmtId="0" fontId="31" fillId="41" xfId="0" applyNumberFormat="1" applyFont="1" applyFill="1" applyBorder="0" applyAlignment="1">
      <x:alignment horizontal="center" wrapText="1"/>
    </x:xf>
    <x:xf numFmtId="0" fontId="31" fillId="41" borderId="96" xfId="0" applyNumberFormat="1" applyFont="1" applyFill="1" applyBorder="1" applyAlignment="1">
      <x:alignment horizontal="center" wrapText="1"/>
    </x:xf>
    <x:xf numFmtId="0" fontId="31" fillId="41" borderId="89" xfId="0" applyNumberFormat="1" applyFont="1" applyFill="1" applyBorder="1" applyAlignment="1">
      <x:alignment horizontal="center" wrapText="1"/>
    </x:xf>
    <x:xf numFmtId="0" fontId="31" fillId="41" borderId="90" xfId="0" applyNumberFormat="1" applyFont="1" applyFill="1" applyBorder="1" applyAlignment="1">
      <x:alignment horizontal="center" wrapText="1"/>
    </x:xf>
    <x:xf numFmtId="0" fontId="31" fillId="41" borderId="91" xfId="0" applyNumberFormat="1" applyFont="1" applyFill="1" applyBorder="1" applyAlignment="1">
      <x:alignment horizontal="center" wrapText="1"/>
    </x:xf>
    <x:xf numFmtId="0" fontId="31" fillId="41" borderId="86" xfId="0" applyNumberFormat="1" applyFont="1" applyFill="1" applyBorder="1" applyAlignment="1">
      <x:alignment horizontal="center" vertical="center" wrapText="1"/>
    </x:xf>
    <x:xf numFmtId="0" fontId="31" fillId="41" borderId="87" xfId="0" applyNumberFormat="1" applyFont="1" applyFill="1" applyBorder="1" applyAlignment="1">
      <x:alignment horizontal="center" vertical="center" wrapText="1"/>
    </x:xf>
    <x:xf numFmtId="0" fontId="31" fillId="41" borderId="88" xfId="0" applyNumberFormat="1" applyFont="1" applyFill="1" applyBorder="1" applyAlignment="1">
      <x:alignment horizontal="center" vertical="center" wrapText="1"/>
    </x:xf>
    <x:xf numFmtId="0" fontId="31" fillId="41" borderId="95" xfId="0" applyNumberFormat="1" applyFont="1" applyFill="1" applyBorder="1" applyAlignment="1">
      <x:alignment horizontal="center" vertical="center" wrapText="1"/>
    </x:xf>
    <x:xf numFmtId="0" fontId="31" fillId="41" xfId="0" applyNumberFormat="1" applyFont="1" applyFill="1" applyBorder="0" applyAlignment="1">
      <x:alignment horizontal="center" vertical="center" wrapText="1"/>
    </x:xf>
    <x:xf numFmtId="0" fontId="31" fillId="41" borderId="96" xfId="0" applyNumberFormat="1" applyFont="1" applyFill="1" applyBorder="1" applyAlignment="1">
      <x:alignment horizontal="center" vertical="center" wrapText="1"/>
    </x:xf>
    <x:xf numFmtId="0" fontId="31" fillId="41" borderId="89" xfId="0" applyNumberFormat="1" applyFont="1" applyFill="1" applyBorder="1" applyAlignment="1">
      <x:alignment horizontal="center" vertical="center" wrapText="1"/>
    </x:xf>
    <x:xf numFmtId="0" fontId="31" fillId="41" borderId="90" xfId="0" applyNumberFormat="1" applyFont="1" applyFill="1" applyBorder="1" applyAlignment="1">
      <x:alignment horizontal="center" vertical="center" wrapText="1"/>
    </x:xf>
    <x:xf numFmtId="0" fontId="31" fillId="41" borderId="91" xfId="0" applyNumberFormat="1" applyFont="1" applyFill="1" applyBorder="1" applyAlignment="1">
      <x:alignment horizontal="center" vertical="center" wrapText="1"/>
    </x:xf>
    <x:xf numFmtId="0" fontId="29" fillId="40" xfId="0" applyNumberFormat="1" applyFont="1" applyFill="1" applyBorder="0"/>
    <x:xf numFmtId="0" fontId="29" fillId="40" borderId="86" xfId="0" applyNumberFormat="1" applyFont="1" applyFill="1" applyBorder="1"/>
    <x:xf numFmtId="0" fontId="29" fillId="40" borderId="87" xfId="0" applyNumberFormat="1" applyFont="1" applyFill="1" applyBorder="1"/>
    <x:xf numFmtId="0" fontId="29" fillId="40" borderId="88" xfId="0" applyNumberFormat="1" applyFont="1" applyFill="1" applyBorder="1"/>
    <x:xf numFmtId="0" fontId="29" fillId="40" borderId="95" xfId="0" applyNumberFormat="1" applyFont="1" applyFill="1" applyBorder="1"/>
    <x:xf numFmtId="0" fontId="29" fillId="40" borderId="96" xfId="0" applyNumberFormat="1" applyFont="1" applyFill="1" applyBorder="1"/>
    <x:xf numFmtId="0" fontId="29" fillId="40" borderId="89" xfId="0" applyNumberFormat="1" applyFont="1" applyFill="1" applyBorder="1"/>
    <x:xf numFmtId="0" fontId="29" fillId="40" borderId="90" xfId="0" applyNumberFormat="1" applyFont="1" applyFill="1" applyBorder="1"/>
    <x:xf numFmtId="0" fontId="29" fillId="40" borderId="91" xfId="0" applyNumberFormat="1" applyFont="1" applyFill="1" applyBorder="1"/>
    <x:xf numFmtId="0" fontId="29" fillId="40" borderId="86" xfId="0" applyNumberFormat="1" applyFont="1" applyFill="1" applyBorder="1" applyAlignment="1">
      <x:alignment wrapText="1"/>
    </x:xf>
    <x:xf numFmtId="0" fontId="29" fillId="40" borderId="87" xfId="0" applyNumberFormat="1" applyFont="1" applyFill="1" applyBorder="1" applyAlignment="1">
      <x:alignment wrapText="1"/>
    </x:xf>
    <x:xf numFmtId="0" fontId="29" fillId="40" borderId="88" xfId="0" applyNumberFormat="1" applyFont="1" applyFill="1" applyBorder="1" applyAlignment="1">
      <x:alignment wrapText="1"/>
    </x:xf>
    <x:xf numFmtId="0" fontId="29" fillId="40" borderId="95" xfId="0" applyNumberFormat="1" applyFont="1" applyFill="1" applyBorder="1" applyAlignment="1">
      <x:alignment wrapText="1"/>
    </x:xf>
    <x:xf numFmtId="0" fontId="29" fillId="40" xfId="0" applyNumberFormat="1" applyFont="1" applyFill="1" applyBorder="0" applyAlignment="1">
      <x:alignment wrapText="1"/>
    </x:xf>
    <x:xf numFmtId="0" fontId="29" fillId="40" borderId="96" xfId="0" applyNumberFormat="1" applyFont="1" applyFill="1" applyBorder="1" applyAlignment="1">
      <x:alignment wrapText="1"/>
    </x:xf>
    <x:xf numFmtId="0" fontId="29" fillId="40" borderId="89" xfId="0" applyNumberFormat="1" applyFont="1" applyFill="1" applyBorder="1" applyAlignment="1">
      <x:alignment wrapText="1"/>
    </x:xf>
    <x:xf numFmtId="0" fontId="29" fillId="40" borderId="90" xfId="0" applyNumberFormat="1" applyFont="1" applyFill="1" applyBorder="1" applyAlignment="1">
      <x:alignment wrapText="1"/>
    </x:xf>
    <x:xf numFmtId="0" fontId="29" fillId="40" borderId="91" xfId="0" applyNumberFormat="1" applyFont="1" applyFill="1" applyBorder="1" applyAlignment="1">
      <x:alignment wrapText="1"/>
    </x:xf>
    <x:xf numFmtId="0" fontId="29" fillId="40" borderId="86" xfId="0" applyNumberFormat="1" applyFont="1" applyFill="1" applyBorder="1" applyAlignment="1">
      <x:alignment horizontal="center" wrapText="1"/>
    </x:xf>
    <x:xf numFmtId="0" fontId="29" fillId="40" borderId="87" xfId="0" applyNumberFormat="1" applyFont="1" applyFill="1" applyBorder="1" applyAlignment="1">
      <x:alignment horizontal="center" wrapText="1"/>
    </x:xf>
    <x:xf numFmtId="0" fontId="29" fillId="40" borderId="88" xfId="0" applyNumberFormat="1" applyFont="1" applyFill="1" applyBorder="1" applyAlignment="1">
      <x:alignment horizontal="center" wrapText="1"/>
    </x:xf>
    <x:xf numFmtId="0" fontId="29" fillId="40" borderId="95" xfId="0" applyNumberFormat="1" applyFont="1" applyFill="1" applyBorder="1" applyAlignment="1">
      <x:alignment horizontal="center" wrapText="1"/>
    </x:xf>
    <x:xf numFmtId="0" fontId="29" fillId="40" xfId="0" applyNumberFormat="1" applyFont="1" applyFill="1" applyBorder="0" applyAlignment="1">
      <x:alignment horizontal="center" wrapText="1"/>
    </x:xf>
    <x:xf numFmtId="0" fontId="29" fillId="40" borderId="96" xfId="0" applyNumberFormat="1" applyFont="1" applyFill="1" applyBorder="1" applyAlignment="1">
      <x:alignment horizontal="center" wrapText="1"/>
    </x:xf>
    <x:xf numFmtId="0" fontId="29" fillId="40" borderId="89" xfId="0" applyNumberFormat="1" applyFont="1" applyFill="1" applyBorder="1" applyAlignment="1">
      <x:alignment horizontal="center" wrapText="1"/>
    </x:xf>
    <x:xf numFmtId="0" fontId="29" fillId="40" borderId="90" xfId="0" applyNumberFormat="1" applyFont="1" applyFill="1" applyBorder="1" applyAlignment="1">
      <x:alignment horizontal="center" wrapText="1"/>
    </x:xf>
    <x:xf numFmtId="0" fontId="29" fillId="40" borderId="91" xfId="0" applyNumberFormat="1" applyFont="1" applyFill="1" applyBorder="1" applyAlignment="1">
      <x:alignment horizontal="center" wrapText="1"/>
    </x:xf>
    <x:xf numFmtId="0" fontId="29" fillId="40" borderId="86" xfId="0" applyNumberFormat="1" applyFont="1" applyFill="1" applyBorder="1" applyAlignment="1">
      <x:alignment horizontal="center" vertical="center" wrapText="1"/>
    </x:xf>
    <x:xf numFmtId="0" fontId="29" fillId="40" borderId="87" xfId="0" applyNumberFormat="1" applyFont="1" applyFill="1" applyBorder="1" applyAlignment="1">
      <x:alignment horizontal="center" vertical="center" wrapText="1"/>
    </x:xf>
    <x:xf numFmtId="0" fontId="29" fillId="40" borderId="88" xfId="0" applyNumberFormat="1" applyFont="1" applyFill="1" applyBorder="1" applyAlignment="1">
      <x:alignment horizontal="center" vertical="center" wrapText="1"/>
    </x:xf>
    <x:xf numFmtId="0" fontId="29" fillId="40" borderId="95" xfId="0" applyNumberFormat="1" applyFont="1" applyFill="1" applyBorder="1" applyAlignment="1">
      <x:alignment horizontal="center" vertical="center" wrapText="1"/>
    </x:xf>
    <x:xf numFmtId="0" fontId="29" fillId="40" xfId="0" applyNumberFormat="1" applyFont="1" applyFill="1" applyBorder="0" applyAlignment="1">
      <x:alignment horizontal="center" vertical="center" wrapText="1"/>
    </x:xf>
    <x:xf numFmtId="0" fontId="29" fillId="40" borderId="96" xfId="0" applyNumberFormat="1" applyFont="1" applyFill="1" applyBorder="1" applyAlignment="1">
      <x:alignment horizontal="center" vertical="center" wrapText="1"/>
    </x:xf>
    <x:xf numFmtId="0" fontId="29" fillId="40" borderId="89" xfId="0" applyNumberFormat="1" applyFont="1" applyFill="1" applyBorder="1" applyAlignment="1">
      <x:alignment horizontal="center" vertical="center" wrapText="1"/>
    </x:xf>
    <x:xf numFmtId="0" fontId="29" fillId="40" borderId="90" xfId="0" applyNumberFormat="1" applyFont="1" applyFill="1" applyBorder="1" applyAlignment="1">
      <x:alignment horizontal="center" vertical="center" wrapText="1"/>
    </x:xf>
    <x:xf numFmtId="0" fontId="29" fillId="40" borderId="91" xfId="0" applyNumberFormat="1" applyFont="1" applyFill="1" applyBorder="1" applyAlignment="1">
      <x:alignment horizontal="center" vertical="center" wrapText="1"/>
    </x:xf>
    <x:xf numFmtId="0" fontId="38" fillId="42" borderId="86" xfId="0" applyNumberFormat="1" applyFont="1" applyFill="1" applyBorder="1" applyAlignment="1">
      <x:alignment horizontal="left" vertical="top" wrapText="1"/>
    </x:xf>
    <x:xf numFmtId="0" fontId="38" fillId="42" borderId="87" xfId="0" applyNumberFormat="1" applyFont="1" applyFill="1" applyBorder="1" applyAlignment="1">
      <x:alignment horizontal="left" vertical="top" wrapText="1"/>
    </x:xf>
    <x:xf numFmtId="0" fontId="38" fillId="42" borderId="88" xfId="0" applyNumberFormat="1" applyFont="1" applyFill="1" applyBorder="1" applyAlignment="1">
      <x:alignment horizontal="left" vertical="top" wrapText="1"/>
    </x:xf>
    <x:xf numFmtId="0" fontId="38" fillId="42" borderId="95" xfId="0" applyNumberFormat="1" applyFont="1" applyFill="1" applyBorder="1" applyAlignment="1">
      <x:alignment horizontal="left" vertical="top" wrapText="1"/>
    </x:xf>
    <x:xf numFmtId="0" fontId="38" fillId="42" xfId="0" applyNumberFormat="1" applyFont="1" applyFill="1" applyBorder="0" applyAlignment="1">
      <x:alignment horizontal="left" vertical="top" wrapText="1"/>
    </x:xf>
    <x:xf numFmtId="0" fontId="38" fillId="42" borderId="96" xfId="0" applyNumberFormat="1" applyFont="1" applyFill="1" applyBorder="1" applyAlignment="1">
      <x:alignment horizontal="left" vertical="top" wrapText="1"/>
    </x:xf>
    <x:xf numFmtId="0" fontId="38" fillId="42" borderId="89" xfId="0" applyNumberFormat="1" applyFont="1" applyFill="1" applyBorder="1" applyAlignment="1">
      <x:alignment horizontal="left" vertical="top" wrapText="1"/>
    </x:xf>
    <x:xf numFmtId="0" fontId="38" fillId="42" borderId="90" xfId="0" applyNumberFormat="1" applyFont="1" applyFill="1" applyBorder="1" applyAlignment="1">
      <x:alignment horizontal="left" vertical="top" wrapText="1"/>
    </x:xf>
    <x:xf numFmtId="0" fontId="38" fillId="42" borderId="91" xfId="0" applyNumberFormat="1" applyFont="1" applyFill="1" applyBorder="1" applyAlignment="1">
      <x:alignment horizontal="left" vertical="top" wrapText="1"/>
    </x:xf>
    <x:xf numFmtId="0" fontId="33" fillId="37" borderId="86" xfId="0" applyNumberFormat="1" applyFont="1" applyFill="1" applyBorder="1" applyAlignment="1">
      <x:alignment horizontal="center" wrapText="1"/>
    </x:xf>
    <x:xf numFmtId="0" fontId="33" fillId="37" borderId="88" xfId="0" applyNumberFormat="1" applyFont="1" applyFill="1" applyBorder="1" applyAlignment="1">
      <x:alignment horizontal="center" wrapText="1"/>
    </x:xf>
    <x:xf numFmtId="0" fontId="33" fillId="37" borderId="95" xfId="0" applyNumberFormat="1" applyFont="1" applyFill="1" applyBorder="1" applyAlignment="1">
      <x:alignment horizontal="center" wrapText="1"/>
    </x:xf>
    <x:xf numFmtId="0" fontId="33" fillId="37" borderId="96" xfId="0" applyNumberFormat="1" applyFont="1" applyFill="1" applyBorder="1" applyAlignment="1">
      <x:alignment horizontal="center" wrapText="1"/>
    </x:xf>
    <x:xf numFmtId="0" fontId="33" fillId="37" borderId="89" xfId="0" applyNumberFormat="1" applyFont="1" applyFill="1" applyBorder="1" applyAlignment="1">
      <x:alignment horizontal="center" wrapText="1"/>
    </x:xf>
    <x:xf numFmtId="0" fontId="33" fillId="37" borderId="91" xfId="0" applyNumberFormat="1" applyFont="1" applyFill="1" applyBorder="1" applyAlignment="1">
      <x:alignment horizontal="center" wrapText="1"/>
    </x:xf>
    <x:xf numFmtId="0" fontId="33" fillId="37" borderId="86" xfId="0" applyNumberFormat="1" applyFont="1" applyFill="1" applyBorder="1" applyAlignment="1">
      <x:alignment horizontal="center" vertical="center" wrapText="1"/>
    </x:xf>
    <x:xf numFmtId="0" fontId="33" fillId="37" borderId="88" xfId="0" applyNumberFormat="1" applyFont="1" applyFill="1" applyBorder="1" applyAlignment="1">
      <x:alignment horizontal="center" vertical="center" wrapText="1"/>
    </x:xf>
    <x:xf numFmtId="0" fontId="33" fillId="37" borderId="95" xfId="0" applyNumberFormat="1" applyFont="1" applyFill="1" applyBorder="1" applyAlignment="1">
      <x:alignment horizontal="center" vertical="center" wrapText="1"/>
    </x:xf>
    <x:xf numFmtId="0" fontId="33" fillId="37" borderId="96" xfId="0" applyNumberFormat="1" applyFont="1" applyFill="1" applyBorder="1" applyAlignment="1">
      <x:alignment horizontal="center" vertical="center" wrapText="1"/>
    </x:xf>
    <x:xf numFmtId="0" fontId="33" fillId="37" borderId="89" xfId="0" applyNumberFormat="1" applyFont="1" applyFill="1" applyBorder="1" applyAlignment="1">
      <x:alignment horizontal="center" vertical="center" wrapText="1"/>
    </x:xf>
    <x:xf numFmtId="0" fontId="33" fillId="37" borderId="91" xfId="0" applyNumberFormat="1" applyFont="1" applyFill="1" applyBorder="1" applyAlignment="1">
      <x:alignment horizontal="center" vertical="center" wrapText="1"/>
    </x:xf>
    <x:xf numFmtId="0" fontId="23" fillId="39" borderId="0" xfId="0" applyNumberFormat="1" applyFont="1" applyFill="1" applyBorder="1" applyAlignment="1">
      <x:alignment horizontal="center" vertical="center" wrapText="1"/>
    </x:xf>
    <x:xf numFmtId="0" fontId="23" fillId="39" xfId="0" applyNumberFormat="1" applyFont="1" applyFill="1" applyBorder="0" applyAlignment="1">
      <x:alignment horizontal="center" vertical="center" wrapText="1"/>
    </x:xf>
    <x:xf numFmtId="0" fontId="18" fillId="39" borderId="0" xfId="0" applyNumberFormat="1" applyFont="1" applyFill="1" applyBorder="1" applyAlignment="1">
      <x:alignment horizontal="center" vertical="center" wrapText="1"/>
    </x:xf>
    <x:xf numFmtId="0" fontId="18" fillId="39" xfId="0" applyNumberFormat="1" applyFont="1" applyFill="1" applyBorder="0" applyAlignment="1">
      <x:alignment horizontal="center" vertical="center" wrapText="1"/>
    </x:xf>
  </x:cellXfs>
  <x:cellStyles count="1">
    <x:cellStyle name="Normal" xfId="0"/>
  </x:cellStyles>
  <x:dxfs count="28">
    <x:dxf>
      <x:font>
        <x:b/>
        <x:color rgb="FF2E7D32"/>
      </x:font>
      <x:fill>
        <x:patternFill>
          <x:bgColor rgb="FFE5F4E7"/>
        </x:patternFill>
      </x:fill>
    </x:dxf>
    <x:dxf>
      <x:font>
        <x:b/>
        <x:color rgb="FF2F6B9A"/>
      </x:font>
      <x:fill>
        <x:patternFill>
          <x:bgColor rgb="FFDCEAF5"/>
        </x:patternFill>
      </x:fill>
    </x:dxf>
    <x:dxf>
      <x:font>
        <x:b/>
        <x:color rgb="FFB3261E"/>
      </x:font>
      <x:fill>
        <x:patternFill>
          <x:bgColor rgb="FFFDE8E7"/>
        </x:patternFill>
      </x:fill>
    </x:dxf>
    <x:dxf>
      <x:font>
        <x:color rgb="FF5F6B76"/>
      </x:font>
      <x:fill>
        <x:patternFill>
          <x:bgColor rgb="FFF3F5F7"/>
        </x:patternFill>
      </x:fill>
    </x:dxf>
    <x:dxf>
      <x:font>
        <x:color rgb="FFB3261E"/>
      </x:font>
      <x:fill>
        <x:patternFill>
          <x:bgColor rgb="FFFDE8E7"/>
        </x:patternFill>
      </x:fill>
    </x:dxf>
    <x:dxf>
      <x:font>
        <x:color rgb="FFB7791F"/>
      </x:font>
      <x:fill>
        <x:patternFill>
          <x:bgColor rgb="FFFFF4D6"/>
        </x:patternFill>
      </x:fill>
    </x:dxf>
    <x:dxf>
      <x:font>
        <x:color rgb="FF2E7D32"/>
      </x:font>
      <x:fill>
        <x:patternFill>
          <x:bgColor rgb="FFE5F4E7"/>
        </x:patternFill>
      </x:fill>
    </x:dxf>
    <x:dxf>
      <x:font>
        <x:b/>
        <x:color rgb="FF2E7D32"/>
      </x:font>
      <x:fill>
        <x:patternFill>
          <x:bgColor rgb="FFE5F4E7"/>
        </x:patternFill>
      </x:fill>
    </x:dxf>
    <x:dxf>
      <x:font>
        <x:color rgb="FF5F6B76"/>
      </x:font>
      <x:fill>
        <x:patternFill>
          <x:bgColor rgb="FFF3F5F7"/>
        </x:patternFill>
      </x:fill>
    </x:dxf>
    <x:dxf>
      <x:font>
        <x:b/>
        <x:color rgb="FF2F6B9A"/>
      </x:font>
      <x:fill>
        <x:patternFill>
          <x:bgColor rgb="FFDCEAF5"/>
        </x:patternFill>
      </x:fill>
    </x:dxf>
    <x:dxf>
      <x:font>
        <x:b/>
        <x:color rgb="FF2E7D32"/>
      </x:font>
      <x:fill>
        <x:patternFill>
          <x:bgColor rgb="FFE5F4E7"/>
        </x:patternFill>
      </x:fill>
    </x:dxf>
    <x:dxf>
      <x:font>
        <x:b/>
        <x:color rgb="FFB7791F"/>
      </x:font>
      <x:fill>
        <x:patternFill>
          <x:bgColor rgb="FFFFF4D6"/>
        </x:patternFill>
      </x:fill>
    </x:dxf>
    <x:dxf>
      <x:font>
        <x:b/>
        <x:color rgb="FFB3261E"/>
      </x:font>
      <x:fill>
        <x:patternFill>
          <x:bgColor rgb="FFFDE8E7"/>
        </x:patternFill>
      </x:fill>
    </x:dxf>
    <x:dxf>
      <x:font>
        <x:b/>
        <x:color rgb="FF2E7D32"/>
      </x:font>
      <x:fill>
        <x:patternFill>
          <x:bgColor rgb="FFE5F4E7"/>
        </x:patternFill>
      </x:fill>
    </x:dxf>
    <x:dxf>
      <x:font>
        <x:color rgb="FFB7791F"/>
      </x:font>
      <x:fill>
        <x:patternFill>
          <x:bgColor rgb="FFFFF4D6"/>
        </x:patternFill>
      </x:fill>
    </x:dxf>
    <x:dxf>
      <x:font>
        <x:b/>
        <x:color rgb="FFB3261E"/>
      </x:font>
      <x:fill>
        <x:patternFill>
          <x:bgColor rgb="FFFDE8E7"/>
        </x:patternFill>
      </x:fill>
    </x:dxf>
    <x:dxf>
      <x:font>
        <x:b/>
        <x:color rgb="FF2E7D32"/>
      </x:font>
      <x:fill>
        <x:patternFill>
          <x:bgColor rgb="FFE5F4E7"/>
        </x:patternFill>
      </x:fill>
    </x:dxf>
    <x:dxf>
      <x:font>
        <x:color rgb="FFB7791F"/>
      </x:font>
      <x:fill>
        <x:patternFill>
          <x:bgColor rgb="FFFFF4D6"/>
        </x:patternFill>
      </x:fill>
    </x:dxf>
    <x:dxf>
      <x:font>
        <x:b/>
        <x:color rgb="FF2E7D32"/>
      </x:font>
      <x:fill>
        <x:patternFill>
          <x:bgColor rgb="FFE5F4E7"/>
        </x:patternFill>
      </x:fill>
    </x:dxf>
    <x:dxf>
      <x:font>
        <x:b/>
        <x:color rgb="FF2E7D32"/>
      </x:font>
      <x:fill>
        <x:patternFill>
          <x:bgColor rgb="FFE5F4E7"/>
        </x:patternFill>
      </x:fill>
    </x:dxf>
    <x:dxf>
      <x:font>
        <x:color rgb="FF5F6B76"/>
      </x:font>
      <x:fill>
        <x:patternFill>
          <x:bgColor rgb="FFF3F5F7"/>
        </x:patternFill>
      </x:fill>
    </x:dxf>
    <x:dxf>
      <x:font>
        <x:b/>
        <x:color rgb="FF2E7D32"/>
      </x:font>
      <x:fill>
        <x:patternFill>
          <x:bgColor rgb="FFE5F4E7"/>
        </x:patternFill>
      </x:fill>
    </x:dxf>
    <x:dxf>
      <x:font>
        <x:color rgb="FF5F6B76"/>
      </x:font>
      <x:fill>
        <x:patternFill>
          <x:bgColor rgb="FFF3F5F7"/>
        </x:patternFill>
      </x:fill>
    </x:dxf>
    <x:dxf>
      <x:font>
        <x:b/>
        <x:color rgb="FF2E7D32"/>
      </x:font>
      <x:fill>
        <x:patternFill>
          <x:bgColor rgb="FFE5F4E7"/>
        </x:patternFill>
      </x:fill>
    </x:dxf>
    <x:dxf>
      <x:font>
        <x:color rgb="FF8A5A00"/>
      </x:font>
      <x:fill>
        <x:patternFill>
          <x:bgColor rgb="FFFFF4D6"/>
        </x:patternFill>
      </x:fill>
    </x:dxf>
    <x:dxf>
      <x:font>
        <x:b/>
        <x:color rgb="FF2E7D32"/>
      </x:font>
      <x:fill>
        <x:patternFill>
          <x:bgColor rgb="FFE5F4E7"/>
        </x:patternFill>
      </x:fill>
    </x:dxf>
    <x:dxf>
      <x:font>
        <x:color rgb="FF8A5A00"/>
      </x:font>
      <x:fill>
        <x:patternFill>
          <x:bgColor rgb="FFFFF4D6"/>
        </x:patternFill>
      </x:fill>
    </x:dxf>
    <x:dxf>
      <x:font>
        <x:b/>
        <x:color rgb="FF8B1E1E"/>
      </x:font>
      <x:fill>
        <x:patternFill>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46c0399e764fe3" /><Relationship Type="http://schemas.openxmlformats.org/officeDocument/2006/relationships/theme" Target="/xl/theme/theme1.xml" Id="Re92e060a82eb4e10" /><Relationship Type="http://schemas.openxmlformats.org/officeDocument/2006/relationships/sharedStrings" Target="/xl/sharedStrings.xml" Id="Ref27cb0e142f405b" /><Relationship Type="http://schemas.openxmlformats.org/officeDocument/2006/relationships/worksheet" Target="/xl/worksheets/sheet1.xml" Id="Re544ea674ae64f25" /><Relationship Type="http://schemas.openxmlformats.org/officeDocument/2006/relationships/worksheet" Target="/xl/worksheets/sheet2.xml" Id="R229dfa9acfcc4b50" /><Relationship Type="http://schemas.openxmlformats.org/officeDocument/2006/relationships/worksheet" Target="/xl/worksheets/sheet3.xml" Id="Rabc0bbfe7f9648d7" /><Relationship Type="http://schemas.openxmlformats.org/officeDocument/2006/relationships/worksheet" Target="/xl/worksheets/sheet4.xml" Id="R39e8b937f180496f" /><Relationship Type="http://schemas.openxmlformats.org/officeDocument/2006/relationships/worksheet" Target="/xl/worksheets/sheet5.xml" Id="Re02d850eb1d34844" /><Relationship Type="http://schemas.openxmlformats.org/officeDocument/2006/relationships/worksheet" Target="/xl/worksheets/sheet6.xml" Id="R9d9b5f0577db4a64" /><Relationship Type="http://schemas.openxmlformats.org/officeDocument/2006/relationships/worksheet" Target="/xl/worksheets/sheet7.xml" Id="R7ccf4c9eb4b347f6" /><Relationship Type="http://schemas.openxmlformats.org/officeDocument/2006/relationships/worksheet" Target="/xl/worksheets/sheet8.xml" Id="Rd875c5f47f7f4ddd" /><Relationship Type="http://schemas.openxmlformats.org/officeDocument/2006/relationships/worksheet" Target="/xl/worksheets/sheet9.xml" Id="R8b0a28c514ca4abd" /><Relationship Type="http://schemas.openxmlformats.org/officeDocument/2006/relationships/worksheet" Target="/xl/worksheets/sheet10.xml" Id="R25bba3eb96674fa8" /><Relationship Type="http://schemas.openxmlformats.org/officeDocument/2006/relationships/worksheet" Target="/xl/worksheets/sheet11.xml" Id="R22a142f1b35c44ea" /><Relationship Type="http://schemas.openxmlformats.org/officeDocument/2006/relationships/worksheet" Target="/xl/worksheets/sheet12.xml" Id="R1a90024569c9435e" /><Relationship Type="http://schemas.openxmlformats.org/officeDocument/2006/relationships/worksheet" Target="/xl/worksheets/sheet13.xml" Id="R2991820fed714929" /><Relationship Type="http://schemas.openxmlformats.org/officeDocument/2006/relationships/worksheet" Target="/xl/worksheets/sheet14.xml" Id="R4639e7ed6ecf4d4f" /><Relationship Type="http://schemas.openxmlformats.org/officeDocument/2006/relationships/worksheet" Target="/xl/worksheets/sheet15.xml" Id="R29684d09ce394741" /><Relationship Type="http://schemas.openxmlformats.org/officeDocument/2006/relationships/worksheet" Target="/xl/worksheets/sheet16.xml" Id="R1e00d0e9d42843da" /><Relationship Type="http://schemas.openxmlformats.org/officeDocument/2006/relationships/worksheet" Target="/xl/worksheets/sheet17.xml" Id="R73de4d1bc116405c" /><Relationship Type="http://schemas.openxmlformats.org/officeDocument/2006/relationships/worksheet" Target="/xl/worksheets/sheet18.xml" Id="Re9f71eb0d0be41db" /><Relationship Type="http://schemas.openxmlformats.org/officeDocument/2006/relationships/worksheet" Target="/xl/worksheets/sheet19.xml" Id="R084a82de41784b37" /><Relationship Type="http://schemas.openxmlformats.org/officeDocument/2006/relationships/worksheet" Target="/xl/worksheets/sheet20.xml" Id="Rb356e92f41ad445c" /><Relationship Type="http://schemas.openxmlformats.org/officeDocument/2006/relationships/worksheet" Target="/xl/worksheets/sheet21.xml" Id="Rdb3128f65d17495a" /><Relationship Type="http://schemas.openxmlformats.org/officeDocument/2006/relationships/worksheet" Target="/xl/worksheets/sheet22.xml" Id="R7d6688e2ed0d4f2b" /><Relationship Type="http://schemas.openxmlformats.org/officeDocument/2006/relationships/worksheet" Target="/xl/worksheets/sheet23.xml" Id="R59d3a797e92f49a0" /><Relationship Type="http://schemas.openxmlformats.org/officeDocument/2006/relationships/worksheet" Target="/xl/worksheets/sheet24.xml" Id="Rbde0f8f26d8a4ec2" /><Relationship Type="http://schemas.openxmlformats.org/officeDocument/2006/relationships/worksheet" Target="/xl/worksheets/sheet25.xml" Id="R5d44420d03c04bb4" /><Relationship Type="http://schemas.openxmlformats.org/officeDocument/2006/relationships/worksheet" Target="/xl/worksheets/sheet26.xml" Id="Rd8b52bacd1be4e2f" /><Relationship Type="http://schemas.openxmlformats.org/officeDocument/2006/relationships/worksheet" Target="/xl/worksheets/sheet27.xml" Id="Ra9e137b1c297414a" /></Relationships>
</file>

<file path=xl/drawings/_rels/drawing1.xml.rels>&#65279;<?xml version="1.0" encoding="utf-8"?><Relationships xmlns="http://schemas.openxmlformats.org/package/2006/relationships"><Relationship Type="http://schemas.openxmlformats.org/officeDocument/2006/relationships/chart" Target="/xl/drawings/charts/chart1.xml" Id="Ra6b098c05c7e4e2a" /><Relationship Type="http://schemas.openxmlformats.org/officeDocument/2006/relationships/chart" Target="/xl/drawings/charts/chart2.xml" Id="R0c7de74e77cb4129" /><Relationship Type="http://schemas.openxmlformats.org/officeDocument/2006/relationships/chart" Target="/xl/drawings/charts/chart3.xml" Id="R779863bd74344da7" /><Relationship Type="http://schemas.openxmlformats.org/officeDocument/2006/relationships/chart" Target="/xl/drawings/charts/chart4.xml" Id="R6a3c2a471b43400e" /><Relationship Type="http://schemas.openxmlformats.org/officeDocument/2006/relationships/chart" Target="/xl/drawings/charts/chart5.xml" Id="R661fedf8faa24e08" /><Relationship Type="http://schemas.openxmlformats.org/officeDocument/2006/relationships/chart" Target="/xl/drawings/charts/chart6.xml" Id="R29466a65883e4a0c" /><Relationship Type="http://schemas.openxmlformats.org/officeDocument/2006/relationships/chart" Target="/xl/drawings/charts/chart7.xml" Id="R8e4ea24a84c34ad1" /></Relationships>
</file>

<file path=xl/drawings/charts/chart1.xml><?xml version="1.0" encoding="utf-8"?>
<c:chartSpace xmlns:c="http://schemas.openxmlformats.org/drawingml/2006/chart">
  <c:lang val="en-US"/>
  <c:roundedCorners val="0"/>
  <c:chart>
    <c:plotArea>
      <c:layout/>
      <c:barChart>
        <c:barDir val="bar"/>
        <c:grouping val="clustered"/>
        <c:varyColors val="0"/>
        <c:ser>
          <c:idx val="0"/>
          <c:order val="0"/>
          <c:tx>
            <c:v>Events</c:v>
          </c:tx>
          <c:cat>
            <c:strRef>
              <c:f>'Analytics Data'!$X$5:$X$12</c:f>
              <c:strCache>
                <c:ptCount val="0"/>
              </c:strCache>
            </c:strRef>
          </c:cat>
          <c:val>
            <c:numRef>
              <c:f>'Analytics Data'!$Y$5:$Y$12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Events</c:v>
          </c:tx>
          <c:cat>
            <c:strRef>
              <c:f>'Analytics Data'!$X$45:$X$52</c:f>
              <c:strCache>
                <c:ptCount val="0"/>
              </c:strCache>
            </c:strRef>
          </c:cat>
          <c:val>
            <c:numRef>
              <c:f>'Analytics Data'!$Y$45:$Y$52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pieChart>
        <c:ser>
          <c:idx val="0"/>
          <c:order val="0"/>
          <c:tx>
            <c:v>Events</c:v>
          </c:tx>
          <c:cat>
            <c:strRef>
              <c:f>'Analytics Data'!$T$61:$T$65</c:f>
              <c:strCache>
                <c:ptCount val="0"/>
              </c:strCache>
            </c:strRef>
          </c:cat>
          <c:val>
            <c:numRef>
              <c:f>'Analytics Data'!$U$61:$U$65</c:f>
              <c:numCache>
                <c:formatCode>0</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pieChart>
        <c:ser>
          <c:idx val="0"/>
          <c:order val="0"/>
          <c:tx>
            <c:v>Events</c:v>
          </c:tx>
          <c:cat>
            <c:strRef>
              <c:f>'Analytics Data'!$X$61:$X$67</c:f>
              <c:strCache>
                <c:ptCount val="0"/>
              </c:strCache>
            </c:strRef>
          </c:cat>
          <c:val>
            <c:numRef>
              <c:f>'Analytics Data'!$Y$61:$Y$67</c:f>
              <c:numCache>
                <c:formatCode>0</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ayout/>
      <c:barChart>
        <c:barDir val="bar"/>
        <c:grouping val="clustered"/>
        <c:varyColors val="0"/>
        <c:ser>
          <c:idx val="0"/>
          <c:order val="0"/>
          <c:tx>
            <c:v>Claims</c:v>
          </c:tx>
          <c:cat>
            <c:strRef>
              <c:f>'Analytics Data'!$T$71:$T$82</c:f>
              <c:strCache>
                <c:ptCount val="0"/>
              </c:strCache>
            </c:strRef>
          </c:cat>
          <c:val>
            <c:numRef>
              <c:f>'Analytics Data'!$V$71:$V$82</c:f>
              <c:numCache>
                <c:formatCode>0</c:formatCode>
                <c:ptCount val="0"/>
              </c:numCache>
            </c:numRef>
          </c:val>
        </c:ser>
        <c:ser>
          <c:idx val="1"/>
          <c:order val="1"/>
          <c:tx>
            <c:v>Sources</c:v>
          </c:tx>
          <c:cat>
            <c:strRef>
              <c:f>'Analytics Data'!$T$71:$T$82</c:f>
              <c:strCache>
                <c:ptCount val="0"/>
              </c:strCache>
            </c:strRef>
          </c:cat>
          <c:val>
            <c:numRef>
              <c:f>'Analytics Data'!$W$71:$W$82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ayout/>
      <c:barChart>
        <c:barDir val="bar"/>
        <c:grouping val="clustered"/>
        <c:varyColors val="0"/>
        <c:ser>
          <c:idx val="0"/>
          <c:order val="0"/>
          <c:tx>
            <c:v>Events</c:v>
          </c:tx>
          <c:cat>
            <c:strRef>
              <c:f>'Analytics Data'!$AC$5:$AC$15</c:f>
              <c:strCache>
                <c:ptCount val="0"/>
              </c:strCache>
            </c:strRef>
          </c:cat>
          <c:val>
            <c:numRef>
              <c:f>'Analytics Data'!$AD$5:$AD$15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ayout/>
      <c:pieChart>
        <c:ser>
          <c:idx val="0"/>
          <c:order val="0"/>
          <c:tx>
            <c:v>Events</c:v>
          </c:tx>
          <c:cat>
            <c:strRef>
              <c:f>'Analytics Data'!$AF$5:$AF$12</c:f>
              <c:strCache>
                <c:ptCount val="0"/>
              </c:strCache>
            </c:strRef>
          </c:cat>
          <c:val>
            <c:numRef>
              <c:f>'Analytics Data'!$AG$5:$AG$12</c:f>
              <c:numCache>
                <c:formatCode>0</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7</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6b098c05c7e4e2a"/>
        </a:graphicData>
      </a:graphic>
    </xdr:graphicFrame>
    <xdr:clientData/>
  </xdr:twoCellAnchor>
  <xdr:twoCellAnchor>
    <xdr:from>
      <xdr:col>7</xdr:col>
      <xdr:colOff>0</xdr:colOff>
      <xdr:row>14</xdr:row>
      <xdr:rowOff>0</xdr:rowOff>
    </xdr:from>
    <xdr:to>
      <xdr:col>15</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c7de74e77cb4129"/>
        </a:graphicData>
      </a:graphic>
    </xdr:graphicFrame>
    <xdr:clientData/>
  </xdr:twoCellAnchor>
  <xdr:twoCellAnchor>
    <xdr:from>
      <xdr:col>0</xdr:col>
      <xdr:colOff>0</xdr:colOff>
      <xdr:row>32</xdr:row>
      <xdr:rowOff>0</xdr:rowOff>
    </xdr:from>
    <xdr:to>
      <xdr:col>7</xdr:col>
      <xdr:colOff>0</xdr:colOff>
      <xdr:row>48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9863bd74344da7"/>
        </a:graphicData>
      </a:graphic>
    </xdr:graphicFrame>
    <xdr:clientData/>
  </xdr:twoCellAnchor>
  <xdr:twoCellAnchor>
    <xdr:from>
      <xdr:col>7</xdr:col>
      <xdr:colOff>0</xdr:colOff>
      <xdr:row>32</xdr:row>
      <xdr:rowOff>0</xdr:rowOff>
    </xdr:from>
    <xdr:to>
      <xdr:col>15</xdr:col>
      <xdr:colOff>0</xdr:colOff>
      <xdr:row>48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3c2a471b43400e"/>
        </a:graphicData>
      </a:graphic>
    </xdr:graphicFrame>
    <xdr:clientData/>
  </xdr:twoCellAnchor>
  <xdr:twoCellAnchor>
    <xdr:from>
      <xdr:col>0</xdr:col>
      <xdr:colOff>0</xdr:colOff>
      <xdr:row>49</xdr:row>
      <xdr:rowOff>0</xdr:rowOff>
    </xdr:from>
    <xdr:to>
      <xdr:col>15</xdr:col>
      <xdr:colOff>0</xdr:colOff>
      <xdr:row>68</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1fedf8faa24e08"/>
        </a:graphicData>
      </a:graphic>
    </xdr:graphicFrame>
    <xdr:clientData/>
  </xdr:twoCellAnchor>
  <xdr:twoCellAnchor>
    <xdr:from>
      <xdr:col>0</xdr:col>
      <xdr:colOff>0</xdr:colOff>
      <xdr:row>69</xdr:row>
      <xdr:rowOff>0</xdr:rowOff>
    </xdr:from>
    <xdr:to>
      <xdr:col>7</xdr:col>
      <xdr:colOff>0</xdr:colOff>
      <xdr:row>86</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9466a65883e4a0c"/>
        </a:graphicData>
      </a:graphic>
    </xdr:graphicFrame>
    <xdr:clientData/>
  </xdr:twoCellAnchor>
  <xdr:twoCellAnchor>
    <xdr:from>
      <xdr:col>7</xdr:col>
      <xdr:colOff>0</xdr:colOff>
      <xdr:row>69</xdr:row>
      <xdr:rowOff>0</xdr:rowOff>
    </xdr:from>
    <xdr:to>
      <xdr:col>15</xdr:col>
      <xdr:colOff>0</xdr:colOff>
      <xdr:row>86</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4ea24a84c34ad1"/>
        </a:graphicData>
      </a:graphic>
    </xdr:graphicFrame>
    <xdr:clientData/>
  </xdr:twoCellAnchor>
</xdr:wsDr>
</file>

<file path=xl/tables/table1.xml><?xml version="1.0" encoding="utf-8"?>
<x:table xmlns:x="http://schemas.openxmlformats.org/spreadsheetml/2006/main" id="1" name="Week1TasksTable" displayName="Week1TasksTable" ref="A1:M254" headerRowCount="1">
  <x:tableColumns count="13">
    <x:tableColumn id="1" name="Task ID"/>
    <x:tableColumn id="2" name="Day"/>
    <x:tableColumn id="3" name="Workstream"/>
    <x:tableColumn id="4" name="Task"/>
    <x:tableColumn id="5" name="Details / Acceptance Criteria"/>
    <x:tableColumn id="6" name="Owner"/>
    <x:tableColumn id="7" name="Priority"/>
    <x:tableColumn id="8" name="Status"/>
    <x:tableColumn id="9" name="Dependency"/>
    <x:tableColumn id="10" name="Deliverable / Evidence"/>
    <x:tableColumn id="11" name="Estimated Minutes"/>
    <x:tableColumn id="12" name="Actual Minutes"/>
    <x:tableColumn id="13" name="Notes"/>
  </x:tableColumns>
  <x:tableStyleInfo name="TableStyleMedium2" showRowStripes="1"/>
</x:table>
</file>

<file path=xl/tables/table2.xml><?xml version="1.0" encoding="utf-8"?>
<x:table xmlns:x="http://schemas.openxmlformats.org/spreadsheetml/2006/main" id="12" name="EventsTable" displayName="EventsTable" ref="A4:AF15" headerRowCount="1">
  <x:tableColumns count="32">
    <x:tableColumn id="1" name="Event ID"/>
    <x:tableColumn id="2" name="Event title"/>
    <x:tableColumn id="3" name="Event type"/>
    <x:tableColumn id="4" name="Main issue"/>
    <x:tableColumn id="5" name="State"/>
    <x:tableColumn id="6" name="District"/>
    <x:tableColumn id="7" name="General location"/>
    <x:tableColumn id="8" name="Start date"/>
    <x:tableColumn id="9" name="End date"/>
    <x:tableColumn id="10" name="Event status"/>
    <x:tableColumn id="11" name="Short neutral summary"/>
    <x:tableColumn id="12" name="Organising group"/>
    <x:tableColumn id="13" name="Authority involved"/>
    <x:tableColumn id="14" name="Verification status"/>
    <x:tableColumn id="15" name="Date added"/>
    <x:tableColumn id="16" name="Last reviewed"/>
    <x:tableColumn id="17" name="Published status"/>
    <x:tableColumn id="18" name="Scope status"/>
    <x:tableColumn id="19" name="Last confirmed active"/>
    <x:tableColumn id="20" name="Internal notes"/>
    <x:tableColumn id="21" name="Claim count"/>
    <x:tableColumn id="22" name="Source count"/>
    <x:tableColumn id="23" name="Observed Duration (Days)"/>
    <x:tableColumn id="24" name="Activity Pattern"/>
    <x:tableColumn id="25" name="Primary Topic"/>
    <x:tableColumn id="26" name="Demand Category"/>
    <x:tableColumn id="27" name="Related Policy / Project / Law"/>
    <x:tableColumn id="28" name="Official Response Date"/>
    <x:tableColumn id="29" name="Outcome Follow-up Date"/>
    <x:tableColumn id="30" name="Lead Discovery Channel"/>
    <x:tableColumn id="31" name="Coverage Profile"/>
    <x:tableColumn id="32" name="Latest Official Response"/>
  </x:tableColumns>
  <x:tableStyleInfo name="TableStyleMedium2" showRowStripes="1"/>
</x:table>
</file>

<file path=xl/tables/table3.xml><?xml version="1.0" encoding="utf-8"?>
<x:table xmlns:x="http://schemas.openxmlformats.org/spreadsheetml/2006/main" id="3" name="ClaimsTable" displayName="ClaimsTable" ref="A4:J93" headerRowCount="1">
  <x:tableColumns count="10">
    <x:tableColumn id="1" name="Claim ID"/>
    <x:tableColumn id="2" name="Event ID"/>
    <x:tableColumn id="3" name="Claim text"/>
    <x:tableColumn id="4" name="Claim category"/>
    <x:tableColumn id="5" name="Person or organisation making the claim"/>
    <x:tableColumn id="6" name="Claim status"/>
    <x:tableColumn id="7" name="Verification notes"/>
    <x:tableColumn id="8" name="Disputed by"/>
    <x:tableColumn id="9" name="Public wording"/>
    <x:tableColumn id="10" name="Publication readiness"/>
  </x:tableColumns>
  <x:tableStyleInfo name="TableStyleMedium2" showRowStripes="1"/>
</x:table>
</file>

<file path=xl/tables/table4.xml><?xml version="1.0" encoding="utf-8"?>
<x:table xmlns:x="http://schemas.openxmlformats.org/spreadsheetml/2006/main" id="4" name="SourcesTable" displayName="SourcesTable" ref="A4:O50" headerRowCount="1">
  <x:tableColumns count="15">
    <x:tableColumn id="1" name="Source ID"/>
    <x:tableColumn id="2" name="Event ID"/>
    <x:tableColumn id="3" name="Publisher"/>
    <x:tableColumn id="4" name="Headline"/>
    <x:tableColumn id="5" name="Reporter"/>
    <x:tableColumn id="6" name="Source URL"/>
    <x:tableColumn id="7" name="Publication date"/>
    <x:tableColumn id="8" name="Source type"/>
    <x:tableColumn id="9" name="Original or syndicated"/>
    <x:tableColumn id="10" name="Claims supported"/>
    <x:tableColumn id="11" name="Reliability notes"/>
    <x:tableColumn id="12" name="Date accessed"/>
    <x:tableColumn id="13" name="Corrected or updated"/>
    <x:tableColumn id="14" name="Archived reference"/>
    <x:tableColumn id="15" name="Source role"/>
  </x:tableColumns>
  <x:tableStyleInfo name="TableStyleMedium2" showRowStripes="1"/>
</x:table>
</file>

<file path=xl/tables/table5.xml><?xml version="1.0" encoding="utf-8"?>
<x:table xmlns:x="http://schemas.openxmlformats.org/spreadsheetml/2006/main" id="5" name="OrganisationsTable" displayName="OrganisationsTable" ref="A4:G70" headerRowCount="1">
  <x:tableColumns count="7">
    <x:tableColumn id="1" name="Organisation ID"/>
    <x:tableColumn id="2" name="Official name"/>
    <x:tableColumn id="3" name="Organisation type"/>
    <x:tableColumn id="4" name="State"/>
    <x:tableColumn id="5" name="Website"/>
    <x:tableColumn id="6" name="Public spokesperson"/>
    <x:tableColumn id="7" name="Notes"/>
  </x:tableColumns>
  <x:tableStyleInfo name="TableStyleMedium2" showRowStripes="1"/>
</x:table>
</file>

<file path=xl/tables/table6.xml><?xml version="1.0" encoding="utf-8"?>
<x:table xmlns:x="http://schemas.openxmlformats.org/spreadsheetml/2006/main" id="6" name="CorrectionsTable" displayName="CorrectionsTable" ref="A4:I6" headerRowCount="1">
  <x:tableColumns count="9">
    <x:tableColumn id="1" name="Correction ID"/>
    <x:tableColumn id="2" name="Event ID"/>
    <x:tableColumn id="3" name="Date corrected"/>
    <x:tableColumn id="4" name="Previous wording"/>
    <x:tableColumn id="5" name="Corrected wording"/>
    <x:tableColumn id="6" name="Reason"/>
    <x:tableColumn id="7" name="Supporting source"/>
    <x:tableColumn id="8" name="Correction stage"/>
    <x:tableColumn id="9" name="Review status"/>
  </x:tableColumns>
  <x:tableStyleInfo name="TableStyleMedium2" showRowStripes="1"/>
</x:table>
</file>

<file path=xl/tables/table7.xml><?xml version="1.0" encoding="utf-8"?>
<x:table xmlns:x="http://schemas.openxmlformats.org/spreadsheetml/2006/main" id="7" name="DataDictionaryTable" displayName="DataDictionaryTable" ref="A4:G105" headerRowCount="1">
  <x:tableColumns count="7">
    <x:tableColumn id="1" name="Sheet"/>
    <x:tableColumn id="2" name="Field"/>
    <x:tableColumn id="3" name="Definition"/>
    <x:tableColumn id="4" name="Required?"/>
    <x:tableColumn id="5" name="Data type"/>
    <x:tableColumn id="6" name="Allowed values / rules"/>
    <x:tableColumn id="7" name="Example"/>
  </x:tableColumns>
  <x:tableStyleInfo name="TableStyleMedium2" showRowStripes="1"/>
</x:table>
</file>

<file path=xl/tables/table8.xml><?xml version="1.0" encoding="utf-8"?>
<x:table xmlns:x="http://schemas.openxmlformats.org/spreadsheetml/2006/main" id="8" name="DecisionsTable" displayName="DecisionsTable" ref="A5:H11" headerRowCount="1">
  <x:tableColumns count="8">
    <x:tableColumn id="1" name="Decision ID"/>
    <x:tableColumn id="2" name="Decision date"/>
    <x:tableColumn id="3" name="Decision"/>
    <x:tableColumn id="4" name="Previous position"/>
    <x:tableColumn id="5" name="New position"/>
    <x:tableColumn id="6" name="Reason"/>
    <x:tableColumn id="7" name="Operational consequence"/>
    <x:tableColumn id="8" name="Approved by"/>
  </x:tableColumns>
  <x:tableStyleInfo name="TableStyleMedium2" showRowStripes="1"/>
</x:table>
</file>

<file path=xl/tables/table9.xml><?xml version="1.0" encoding="utf-8"?>
<x:table xmlns:x="http://schemas.openxmlformats.org/spreadsheetml/2006/main" id="9" name="CandidateEventsTable" displayName="CandidateEventsTable" ref="A5:L24" headerRowCount="1">
  <x:tableColumns count="12">
    <x:tableColumn id="1" name="Candidate ID"/>
    <x:tableColumn id="2" name="Candidate event"/>
    <x:tableColumn id="3" name="State / UT"/>
    <x:tableColumn id="4" name="Event date / period"/>
    <x:tableColumn id="5" name="Issue category"/>
    <x:tableColumn id="6" name="Source 1"/>
    <x:tableColumn id="7" name="Source 2 / primary support"/>
    <x:tableColumn id="8" name="Occurrence evidence"/>
    <x:tableColumn id="9" name="Source independence"/>
    <x:tableColumn id="10" name="Decision"/>
    <x:tableColumn id="11" name="Decision reason"/>
    <x:tableColumn id="12" name="Event ID"/>
  </x:tableColumns>
  <x:tableStyleInfo name="TableStyleMedium2" showRowStripes="1"/>
</x:table>
</file>

<file path=xl/tables/table10.xml><?xml version="1.0" encoding="utf-8"?>
<x:table xmlns:x="http://schemas.openxmlformats.org/spreadsheetml/2006/main" id="11" name="VerificationMethodologyTable" displayName="VerificationMethodologyTable" ref="A9:F33" headerRowCount="1">
  <x:tableColumns count="6">
    <x:tableColumn id="1" name="Section"/>
    <x:tableColumn id="2" name="Definition / Rule"/>
    <x:tableColumn id="3" name="Operational Test"/>
    <x:tableColumn id="4" name="Public Wording / Label"/>
    <x:tableColumn id="5" name="Minimum Action Before Publication"/>
    <x:tableColumn id="6" name="Important Limit"/>
  </x:tableColumns>
  <x:tableStyleInfo name="TableStyleMedium2" showRowStripes="1"/>
</x:table>
</file>

<file path=xl/tables/table11.xml><?xml version="1.0" encoding="utf-8"?>
<x:table xmlns:x="http://schemas.openxmlformats.org/spreadsheetml/2006/main" id="15" name="AlternativeLeadDiscoveryTable" displayName="AlternativeLeadDiscoveryTable" ref="A54:F67" headerRowCount="1">
  <x:tableColumns count="6">
    <x:tableColumn id="1" name="Discovery mechanism"/>
    <x:tableColumn id="2" name="How to search"/>
    <x:tableColumn id="3" name="Typical signals"/>
    <x:tableColumn id="4" name="Minimum step before selecting the lead"/>
    <x:tableColumn id="5" name="Main risk"/>
    <x:tableColumn id="6" name="Lean review cadence"/>
  </x:tableColumns>
  <x:tableStyleInfo name="TableStyleMedium2" showRowStripes="1"/>
</x:table>
</file>

<file path=xl/tables/table12.xml><?xml version="1.0" encoding="utf-8"?>
<x:table xmlns:x="http://schemas.openxmlformats.org/spreadsheetml/2006/main" id="19" name="AutomatedVerificationRulesTable" displayName="AutomatedVerificationRulesTable" ref="A95:F109" headerRowCount="1">
  <x:tableColumns count="6">
    <x:tableColumn id="1" name="Rule"/>
    <x:tableColumn id="2" name="Required Behaviour"/>
    <x:tableColumn id="3" name="Automated System May"/>
    <x:tableColumn id="4" name="Automated System Must Not"/>
    <x:tableColumn id="5" name="Human Control"/>
    <x:tableColumn id="6" name="Audit Evidence"/>
  </x:tableColumns>
  <x:tableStyleInfo name="TableStyleMedium2" showRowStripes="1"/>
</x:table>
</file>

<file path=xl/tables/table13.xml><?xml version="1.0" encoding="utf-8"?>
<x:table xmlns:x="http://schemas.openxmlformats.org/spreadsheetml/2006/main" id="13" name="Day5ResearchLogTable" displayName="Day5ResearchLogTable" ref="A5:L15" headerRowCount="1">
  <x:tableColumns count="12">
    <x:tableColumn id="1" name="Log ID"/>
    <x:tableColumn id="2" name="Candidate / Event"/>
    <x:tableColumn id="3" name="State / UT"/>
    <x:tableColumn id="4" name="Discovery Channel"/>
    <x:tableColumn id="5" name="Lead URL"/>
    <x:tableColumn id="6" name="Traditional Coverage Found?"/>
    <x:tableColumn id="7" name="Independent Verification Sources"/>
    <x:tableColumn id="8" name="Decision"/>
    <x:tableColumn id="9" name="Undercoverage / Public-Interest Reason"/>
    <x:tableColumn id="10" name="Workflow Problem Found"/>
    <x:tableColumn id="11" name="Schema / Methodology Action"/>
    <x:tableColumn id="12" name="Follow-up"/>
  </x:tableColumns>
  <x:tableStyleInfo name="TableStyleMedium2" showRowStripes="1"/>
</x:table>
</file>

<file path=xl/tables/table14.xml><?xml version="1.0" encoding="utf-8"?>
<x:table xmlns:x="http://schemas.openxmlformats.org/spreadsheetml/2006/main" id="14" name="Day5SchemaReviewTable" displayName="Day5SchemaReviewTable" ref="A5:G27" headerRowCount="1">
  <x:tableColumns count="7">
    <x:tableColumn id="1" name="Review ID"/>
    <x:tableColumn id="2" name="Review Item"/>
    <x:tableColumn id="3" name="Evidence from Day 5"/>
    <x:tableColumn id="4" name="Decision"/>
    <x:tableColumn id="5" name="Rationale"/>
    <x:tableColumn id="6" name="Workbook / Methodology Action"/>
    <x:tableColumn id="7" name="Status"/>
  </x:tableColumns>
  <x:tableStyleInfo name="TableStyleMedium2" showRowStripes="1"/>
</x:table>
</file>

<file path=xl/tables/table15.xml><?xml version="1.0" encoding="utf-8"?>
<x:table xmlns:x="http://schemas.openxmlformats.org/spreadsheetml/2006/main" id="16" name="AutomatedPipelineTable" displayName="AutomatedPipelineTable" ref="A6:H22" headerRowCount="1">
  <x:tableColumns count="8">
    <x:tableColumn id="1" name="Stage"/>
    <x:tableColumn id="2" name="Automated Function"/>
    <x:tableColumn id="3" name="Primary Technique"/>
    <x:tableColumn id="4" name="Inputs"/>
    <x:tableColumn id="5" name="Structured Output"/>
    <x:tableColumn id="6" name="Human / Hard Gate"/>
    <x:tableColumn id="7" name="Failure Handling"/>
    <x:tableColumn id="8" name="Recommended Cadence"/>
  </x:tableColumns>
  <x:tableStyleInfo name="TableStyleMedium2" showRowStripes="1"/>
</x:table>
</file>

<file path=xl/tables/table16.xml><?xml version="1.0" encoding="utf-8"?>
<x:table xmlns:x="http://schemas.openxmlformats.org/spreadsheetml/2006/main" id="17" name="SourceUniverseTable" displayName="SourceUniverseTable" ref="A6:J25" headerRowCount="1">
  <x:tableColumns count="10">
    <x:tableColumn id="1" name="Source Class"/>
    <x:tableColumn id="2" name="Examples / Seed Sources"/>
    <x:tableColumn id="3" name="Collection Method"/>
    <x:tableColumn id="4" name="Languages / Geography"/>
    <x:tableColumn id="5" name="Default Cadence"/>
    <x:tableColumn id="6" name="Discovery Value"/>
    <x:tableColumn id="7" name="Verification Value"/>
    <x:tableColumn id="8" name="Remote-Lead Value"/>
    <x:tableColumn id="9" name="Legal / Privacy Control"/>
    <x:tableColumn id="10" name="Failure / Fallback"/>
  </x:tableColumns>
  <x:tableStyleInfo name="TableStyleMedium2" showRowStripes="1"/>
</x:table>
</file>

<file path=xl/tables/table17.xml><?xml version="1.0" encoding="utf-8"?>
<x:table xmlns:x="http://schemas.openxmlformats.org/spreadsheetml/2006/main" id="18" name="PublicationGatesTable" displayName="PublicationGatesTable" ref="A6:H21" headerRowCount="1">
  <x:tableColumns count="8">
    <x:tableColumn id="1" name="Gate ID"/>
    <x:tableColumn id="2" name="Hard Gate"/>
    <x:tableColumn id="3" name="Applies When"/>
    <x:tableColumn id="4" name="Pass Condition"/>
    <x:tableColumn id="5" name="Automation Role"/>
    <x:tableColumn id="6" name="Mandatory Human Action"/>
    <x:tableColumn id="7" name="Failure Result"/>
    <x:tableColumn id="8" name="Override Allow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7480fb529a4296" /></Relationships>
</file>

<file path=xl/worksheets/_rels/sheet4.xml.rels>&#65279;<?xml version="1.0" encoding="utf-8"?><Relationships xmlns="http://schemas.openxmlformats.org/package/2006/relationships"><Relationship Type="http://schemas.openxmlformats.org/officeDocument/2006/relationships/table" Target="/xl/tables/table2.xml" Id="R80ba3787efd4436a" /></Relationships>
</file>

<file path=xl/worksheets/_rels/sheet5.xml.rels>&#65279;<?xml version="1.0" encoding="utf-8"?><Relationships xmlns="http://schemas.openxmlformats.org/package/2006/relationships"><Relationship Type="http://schemas.openxmlformats.org/officeDocument/2006/relationships/table" Target="/xl/tables/table3.xml" Id="R16281247ade04363" /></Relationships>
</file>

<file path=xl/worksheets/_rels/sheet6.xml.rels>&#65279;<?xml version="1.0" encoding="utf-8"?><Relationships xmlns="http://schemas.openxmlformats.org/package/2006/relationships"><Relationship Type="http://schemas.openxmlformats.org/officeDocument/2006/relationships/table" Target="/xl/tables/table4.xml" Id="Rc38f293239044861" /></Relationships>
</file>

<file path=xl/worksheets/_rels/sheet7.xml.rels>&#65279;<?xml version="1.0" encoding="utf-8"?><Relationships xmlns="http://schemas.openxmlformats.org/package/2006/relationships"><Relationship Type="http://schemas.openxmlformats.org/officeDocument/2006/relationships/table" Target="/xl/tables/table5.xml" Id="Re2bc9335d6c9449f" /></Relationships>
</file>

<file path=xl/worksheets/_rels/sheet8.xml.rels>&#65279;<?xml version="1.0" encoding="utf-8"?><Relationships xmlns="http://schemas.openxmlformats.org/package/2006/relationships"><Relationship Type="http://schemas.openxmlformats.org/officeDocument/2006/relationships/table" Target="/xl/tables/table6.xml" Id="R1cc87977bd7b4dc7" /></Relationships>
</file>

<file path=xl/worksheets/_rels/sheet10.xml.rels>&#65279;<?xml version="1.0" encoding="utf-8"?><Relationships xmlns="http://schemas.openxmlformats.org/package/2006/relationships"><Relationship Type="http://schemas.openxmlformats.org/officeDocument/2006/relationships/table" Target="/xl/tables/table7.xml" Id="R795cc6276e7743ff" /></Relationships>
</file>

<file path=xl/worksheets/_rels/sheet11.xml.rels>&#65279;<?xml version="1.0" encoding="utf-8"?><Relationships xmlns="http://schemas.openxmlformats.org/package/2006/relationships"><Relationship Type="http://schemas.openxmlformats.org/officeDocument/2006/relationships/table" Target="/xl/tables/table8.xml" Id="R9a79d3a7e71b439c" /></Relationships>
</file>

<file path=xl/worksheets/_rels/sheet12.xml.rels>&#65279;<?xml version="1.0" encoding="utf-8"?><Relationships xmlns="http://schemas.openxmlformats.org/package/2006/relationships"><Relationship Type="http://schemas.openxmlformats.org/officeDocument/2006/relationships/table" Target="/xl/tables/table9.xml" Id="Rd2322c661cae47dd" /></Relationships>
</file>

<file path=xl/worksheets/_rels/sheet13.xml.rels>&#65279;<?xml version="1.0" encoding="utf-8"?><Relationships xmlns="http://schemas.openxmlformats.org/package/2006/relationships"><Relationship Type="http://schemas.openxmlformats.org/officeDocument/2006/relationships/drawing" Target="/xl/drawings/drawing1.xml" Id="Rb320e245b1d04a45" /></Relationships>
</file>

<file path=xl/worksheets/_rels/sheet15.xml.rels>&#65279;<?xml version="1.0" encoding="utf-8"?><Relationships xmlns="http://schemas.openxmlformats.org/package/2006/relationships"><Relationship Type="http://schemas.openxmlformats.org/officeDocument/2006/relationships/table" Target="/xl/tables/table10.xml" Id="R94ed64e8e9044cc9" /><Relationship Type="http://schemas.openxmlformats.org/officeDocument/2006/relationships/table" Target="/xl/tables/table11.xml" Id="R373eeee1318b4483" /><Relationship Type="http://schemas.openxmlformats.org/officeDocument/2006/relationships/table" Target="/xl/tables/table12.xml" Id="R6bbcd0abba434596" /></Relationships>
</file>

<file path=xl/worksheets/_rels/sheet16.xml.rels>&#65279;<?xml version="1.0" encoding="utf-8"?><Relationships xmlns="http://schemas.openxmlformats.org/package/2006/relationships"><Relationship Type="http://schemas.openxmlformats.org/officeDocument/2006/relationships/table" Target="/xl/tables/table13.xml" Id="R2f384615324e4406" /></Relationships>
</file>

<file path=xl/worksheets/_rels/sheet17.xml.rels>&#65279;<?xml version="1.0" encoding="utf-8"?><Relationships xmlns="http://schemas.openxmlformats.org/package/2006/relationships"><Relationship Type="http://schemas.openxmlformats.org/officeDocument/2006/relationships/table" Target="/xl/tables/table14.xml" Id="R1205d0bd932c4bb1" /></Relationships>
</file>

<file path=xl/worksheets/_rels/sheet18.xml.rels>&#65279;<?xml version="1.0" encoding="utf-8"?><Relationships xmlns="http://schemas.openxmlformats.org/package/2006/relationships"><Relationship Type="http://schemas.openxmlformats.org/officeDocument/2006/relationships/table" Target="/xl/tables/table15.xml" Id="R0046061bd4bc4298" /></Relationships>
</file>

<file path=xl/worksheets/_rels/sheet19.xml.rels>&#65279;<?xml version="1.0" encoding="utf-8"?><Relationships xmlns="http://schemas.openxmlformats.org/package/2006/relationships"><Relationship Type="http://schemas.openxmlformats.org/officeDocument/2006/relationships/table" Target="/xl/tables/table16.xml" Id="Rbc78850f29bf486b" /></Relationships>
</file>

<file path=xl/worksheets/_rels/sheet20.xml.rels>&#65279;<?xml version="1.0" encoding="utf-8"?><Relationships xmlns="http://schemas.openxmlformats.org/package/2006/relationships"><Relationship Type="http://schemas.openxmlformats.org/officeDocument/2006/relationships/table" Target="/xl/tables/table17.xml" Id="Rec7656cae3e34e5d" /></Relationships>
</file>

<file path=xl/worksheets/sheet1.xml><?xml version="1.0" encoding="utf-8"?>
<x:worksheet xmlns:x="http://schemas.openxmlformats.org/spreadsheetml/2006/main">
  <x:sheetFormatPr defaultRowHeight="15"/>
  <x:cols>
    <x:col min="1" max="1" width="22" hidden="0" customWidth="1"/>
    <x:col min="2" max="2" width="14" hidden="0" customWidth="1"/>
    <x:col min="3" max="3" width="14" hidden="0" customWidth="1"/>
    <x:col min="4" max="4" width="26" hidden="0" customWidth="1"/>
    <x:col min="5" max="5" width="28" hidden="0" customWidth="1"/>
    <x:col min="6" max="6" width="27" hidden="0" customWidth="1"/>
    <x:col min="7" max="7" width="22" hidden="0" customWidth="1"/>
    <x:col min="8" max="8" width="16" hidden="0" customWidth="1"/>
    <x:col min="10" max="10" width="23" hidden="0" customWidth="1"/>
    <x:col min="11" max="11" width="12" hidden="0" customWidth="1"/>
    <x:col min="9" max="9" width="4" hidden="0" customWidth="1"/>
  </x:cols>
  <x:sheetData>
    <x:row r="1" ht="25" customHeight="1">
      <x:c r="A1" s="216" t="str">
        <x:v>India Observed — Week 1 Execution Tracker</x:v>
      </x:c>
      <x:c r="B1" s="217"/>
      <x:c r="C1" s="217"/>
      <x:c r="D1" s="217"/>
      <x:c r="E1" s="217"/>
      <x:c r="F1" s="217"/>
      <x:c r="G1" s="217"/>
      <x:c r="H1" s="218"/>
      <x:c r="I1" s="221"/>
      <x:c r="J1" s="221"/>
      <x:c r="K1" s="221"/>
    </x:row>
    <x:row r="2" ht="25" customHeight="1">
      <x:c r="A2" s="220"/>
      <x:c r="B2" s="221"/>
      <x:c r="C2" s="221"/>
      <x:c r="D2" s="221"/>
      <x:c r="E2" s="221"/>
      <x:c r="F2" s="221"/>
      <x:c r="G2" s="221"/>
      <x:c r="H2" s="222"/>
      <x:c r="I2" s="221"/>
      <x:c r="J2" s="221"/>
      <x:c r="K2" s="221"/>
    </x:row>
    <x:row r="3">
      <x:c r="A3" s="197"/>
      <x:c r="B3" s="196"/>
      <x:c r="C3" s="196"/>
      <x:c r="D3" s="196"/>
      <x:c r="E3" s="196"/>
      <x:c r="F3" s="196"/>
      <x:c r="G3" s="196"/>
      <x:c r="H3" s="198"/>
      <x:c r="I3" s="196"/>
      <x:c r="J3" s="196"/>
      <x:c r="K3" s="196"/>
    </x:row>
    <x:row r="4">
      <x:c r="A4" s="227" t="str">
        <x:v>Metric</x:v>
      </x:c>
      <x:c r="B4" s="228" t="str">
        <x:v>Value</x:v>
      </x:c>
      <x:c r="C4" s="196"/>
      <x:c r="D4" s="227" t="str">
        <x:v>Effort</x:v>
      </x:c>
      <x:c r="E4" s="228" t="str">
        <x:v>Value</x:v>
      </x:c>
      <x:c r="F4" s="196"/>
      <x:c r="G4" s="196"/>
      <x:c r="H4" s="198"/>
      <x:c r="I4" s="196"/>
      <x:c r="J4" s="227" t="str">
        <x:v>Repository data</x:v>
      </x:c>
      <x:c r="K4" s="228" t="str">
        <x:v>Count</x:v>
      </x:c>
    </x:row>
    <x:row r="5">
      <x:c r="A5" s="240" t="str">
        <x:v>Total tasks</x:v>
      </x:c>
      <x:c r="B5" s="241" t="n">
        <x:f>COUNTA('Week 1 Tasks'!A2:A254)</x:f>
        <x:v>253</x:v>
      </x:c>
      <x:c r="C5" s="196"/>
      <x:c r="D5" s="240" t="str">
        <x:v>Estimated hours</x:v>
      </x:c>
      <x:c r="E5" s="247" t="n">
        <x:f>SUM('Week 1 Tasks'!K2:K254)/60</x:f>
        <x:v>65.51666666666667</x:v>
      </x:c>
      <x:c r="F5" s="196"/>
      <x:c r="G5" s="196"/>
      <x:c r="H5" s="198"/>
      <x:c r="I5" s="196"/>
      <x:c r="J5" s="240" t="str">
        <x:v>Event records</x:v>
      </x:c>
      <x:c r="K5" s="250" t="n">
        <x:f>COUNTA(Events!A5:A500)</x:f>
        <x:v>11</x:v>
      </x:c>
    </x:row>
    <x:row r="6">
      <x:c r="A6" s="240" t="str">
        <x:v>Completed</x:v>
      </x:c>
      <x:c r="B6" s="241" t="n">
        <x:f>COUNTIF('Week 1 Tasks'!H2:H254,"Complete")</x:f>
        <x:v>212</x:v>
      </x:c>
      <x:c r="C6" s="196"/>
      <x:c r="D6" s="240" t="str">
        <x:v>Actual hours</x:v>
      </x:c>
      <x:c r="E6" s="247" t="n">
        <x:f>SUM('Week 1 Tasks'!L2:L254)/60</x:f>
        <x:v>0</x:v>
      </x:c>
      <x:c r="F6" s="196"/>
      <x:c r="G6" s="196"/>
      <x:c r="H6" s="198"/>
      <x:c r="I6" s="196"/>
      <x:c r="J6" s="240" t="str">
        <x:v>Claims</x:v>
      </x:c>
      <x:c r="K6" s="250" t="n">
        <x:f>COUNTA(Claims!A5:A500)</x:f>
        <x:v>89</x:v>
      </x:c>
    </x:row>
    <x:row r="7">
      <x:c r="A7" s="240" t="str">
        <x:v>In progress</x:v>
      </x:c>
      <x:c r="B7" s="241" t="n">
        <x:f>COUNTIF('Week 1 Tasks'!H2:H254,"In Progress")</x:f>
        <x:v>0</x:v>
      </x:c>
      <x:c r="C7" s="196"/>
      <x:c r="D7" s="240" t="str">
        <x:v>Remaining estimated hours</x:v>
      </x:c>
      <x:c r="E7" s="247" t="n">
        <x:f>SUMIF('Week 1 Tasks'!H2:H254,"&lt;&gt;Complete",'Week 1 Tasks'!K2:K254)/60</x:f>
        <x:v>11.916666666666666</x:v>
      </x:c>
      <x:c r="F7" s="196"/>
      <x:c r="G7" s="196"/>
      <x:c r="H7" s="198"/>
      <x:c r="I7" s="196"/>
      <x:c r="J7" s="240" t="str">
        <x:v>Sources</x:v>
      </x:c>
      <x:c r="K7" s="250" t="n">
        <x:f>COUNTA(Sources!A5:A500)</x:f>
        <x:v>46</x:v>
      </x:c>
    </x:row>
    <x:row r="8">
      <x:c r="A8" s="240" t="str">
        <x:v>Blocked</x:v>
      </x:c>
      <x:c r="B8" s="241" t="n">
        <x:f>COUNTIF('Week 1 Tasks'!H2:H254,"Blocked")</x:f>
        <x:v>0</x:v>
      </x:c>
      <x:c r="C8" s="196"/>
      <x:c r="D8" s="240" t="str">
        <x:v>Day 6 status</x:v>
      </x:c>
      <x:c r="E8" s="248" t="str">
        <x:v>Complete</x:v>
      </x:c>
      <x:c r="F8" s="196"/>
      <x:c r="G8" s="196"/>
      <x:c r="H8" s="198"/>
      <x:c r="I8" s="196"/>
      <x:c r="J8" s="240" t="str">
        <x:v>Organisations</x:v>
      </x:c>
      <x:c r="K8" s="250" t="n">
        <x:f>COUNTA(Organisations!A5:A500)</x:f>
        <x:v>66</x:v>
      </x:c>
    </x:row>
    <x:row r="9">
      <x:c r="A9" s="242" t="str">
        <x:v>Overall completion</x:v>
      </x:c>
      <x:c r="B9" s="243" t="n">
        <x:f>IF(B5=0,0,B6/B5)</x:f>
        <x:v>0.8379446640316206</x:v>
      </x:c>
      <x:c r="C9" s="196"/>
      <x:c r="D9" s="242" t="str">
        <x:v>Next focus</x:v>
      </x:c>
      <x:c r="E9" s="249" t="str">
        <x:v>Day 7 — Engineering foundation with Codex</x:v>
      </x:c>
      <x:c r="F9" s="196"/>
      <x:c r="G9" s="196"/>
      <x:c r="H9" s="198"/>
      <x:c r="I9" s="196"/>
      <x:c r="J9" s="242" t="str">
        <x:v>Corrections</x:v>
      </x:c>
      <x:c r="K9" s="251" t="n">
        <x:f>COUNTA(Corrections!A5:A500)</x:f>
        <x:v>2</x:v>
      </x:c>
    </x:row>
    <x:row r="10">
      <x:c r="A10" s="197"/>
      <x:c r="B10" s="196"/>
      <x:c r="C10" s="196"/>
      <x:c r="D10" s="196"/>
      <x:c r="E10" s="196"/>
      <x:c r="F10" s="196"/>
      <x:c r="G10" s="196"/>
      <x:c r="H10" s="198"/>
      <x:c r="I10" s="196"/>
      <x:c r="J10" s="196"/>
      <x:c r="K10" s="196"/>
    </x:row>
    <x:row r="11">
      <x:c r="A11" s="227" t="str">
        <x:v>Day</x:v>
      </x:c>
      <x:c r="B11" s="235" t="str">
        <x:v>Total tasks</x:v>
      </x:c>
      <x:c r="C11" s="235" t="str">
        <x:v>Completed</x:v>
      </x:c>
      <x:c r="D11" s="228" t="str">
        <x:v>Completion %</x:v>
      </x:c>
      <x:c r="E11" s="196"/>
      <x:c r="F11" s="227" t="str">
        <x:v>Week 1 deliverable</x:v>
      </x:c>
      <x:c r="G11" s="235" t="str">
        <x:v>Expected</x:v>
      </x:c>
      <x:c r="H11" s="228" t="str">
        <x:v>Status</x:v>
      </x:c>
      <x:c r="I11" s="196"/>
      <x:c r="J11" s="196"/>
      <x:c r="K11" s="196"/>
    </x:row>
    <x:row r="12">
      <x:c r="A12" s="240" t="str">
        <x:v>Day 1</x:v>
      </x:c>
      <x:c r="B12" s="255" t="n">
        <x:f>COUNTIF('Week 1 Tasks'!B2:B254,"Day 1")</x:f>
        <x:v>15</x:v>
      </x:c>
      <x:c r="C12" s="255" t="n">
        <x:f>COUNTIFS('Week 1 Tasks'!B2:B254,"Day 1",'Week 1 Tasks'!H2:H254,"Complete")</x:f>
        <x:v>15</x:v>
      </x:c>
      <x:c r="D12" s="256" t="n">
        <x:f>IF(B12=0,0,C12/B12)</x:f>
        <x:v>1</x:v>
      </x:c>
      <x:c r="E12" s="196"/>
      <x:c r="F12" s="240" t="str">
        <x:v>Pilot scope brief</x:v>
      </x:c>
      <x:c r="G12" s="255" t="str">
        <x:v>Revised national scope v0.2</x:v>
      </x:c>
      <x:c r="H12" s="241" t="str">
        <x:v>Complete</x:v>
      </x:c>
      <x:c r="I12" s="196"/>
      <x:c r="J12" s="196"/>
      <x:c r="K12" s="196"/>
    </x:row>
    <x:row r="13">
      <x:c r="A13" s="240" t="str">
        <x:v>Day 2</x:v>
      </x:c>
      <x:c r="B13" s="255" t="n">
        <x:f>COUNTIF('Week 1 Tasks'!B2:B254,"Day 2")</x:f>
        <x:v>63</x:v>
      </x:c>
      <x:c r="C13" s="255" t="n">
        <x:f>COUNTIFS('Week 1 Tasks'!B2:B254,"Day 2",'Week 1 Tasks'!H2:H254,"Complete")</x:f>
        <x:v>63</x:v>
      </x:c>
      <x:c r="D13" s="256" t="n">
        <x:f>IF(B13=0,0,C13/B13)</x:f>
        <x:v>1</x:v>
      </x:c>
      <x:c r="E13" s="196"/>
      <x:c r="F13" s="240" t="str">
        <x:v>Spreadsheet data model</x:v>
      </x:c>
      <x:c r="G13" s="255" t="str">
        <x:v>Core registers + controls</x:v>
      </x:c>
      <x:c r="H13" s="259" t="str">
        <x:v>Complete</x:v>
      </x:c>
      <x:c r="I13" s="196"/>
      <x:c r="J13" s="196"/>
      <x:c r="K13" s="196"/>
    </x:row>
    <x:row r="14">
      <x:c r="A14" s="240" t="str">
        <x:v>Day 3</x:v>
      </x:c>
      <x:c r="B14" s="255" t="n">
        <x:f>COUNTIF('Week 1 Tasks'!B2:B254,"Day 3")</x:f>
        <x:v>47</x:v>
      </x:c>
      <x:c r="C14" s="255" t="n">
        <x:f>COUNTIFS('Week 1 Tasks'!B2:B254,"Day 3",'Week 1 Tasks'!H2:H254,"Complete")</x:f>
        <x:v>47</x:v>
      </x:c>
      <x:c r="D14" s="256" t="n">
        <x:f>IF(B14=0,0,C14/B14)</x:f>
        <x:v>1</x:v>
      </x:c>
      <x:c r="E14" s="196"/>
      <x:c r="F14" s="240" t="str">
        <x:v>First event records</x:v>
      </x:c>
      <x:c r="G14" s="255" t="str">
        <x:v>Six national events</x:v>
      </x:c>
      <x:c r="H14" s="241" t="str">
        <x:v>Complete</x:v>
      </x:c>
      <x:c r="I14" s="196"/>
      <x:c r="J14" s="196"/>
      <x:c r="K14" s="196"/>
    </x:row>
    <x:row r="15">
      <x:c r="A15" s="240" t="str">
        <x:v>Day 4</x:v>
      </x:c>
      <x:c r="B15" s="255" t="n">
        <x:f>COUNTIF('Week 1 Tasks'!B2:B254,"Day 4")</x:f>
        <x:v>22</x:v>
      </x:c>
      <x:c r="C15" s="255" t="n">
        <x:f>COUNTIFS('Week 1 Tasks'!B2:B254,"Day 4",'Week 1 Tasks'!H2:H254,"Complete")</x:f>
        <x:v>22</x:v>
      </x:c>
      <x:c r="D15" s="256" t="n">
        <x:f>IF(B15=0,0,C15/B15)</x:f>
        <x:v>1</x:v>
      </x:c>
      <x:c r="E15" s="196"/>
      <x:c r="F15" s="240" t="str">
        <x:v>Verification methodology</x:v>
      </x:c>
      <x:c r="G15" s="255" t="str">
        <x:v>Version 0.1</x:v>
      </x:c>
      <x:c r="H15" s="241" t="str">
        <x:v>Complete</x:v>
      </x:c>
      <x:c r="I15" s="196"/>
      <x:c r="J15" s="196"/>
      <x:c r="K15" s="196"/>
    </x:row>
    <x:row r="16">
      <x:c r="A16" s="240" t="str">
        <x:v>Day 5</x:v>
      </x:c>
      <x:c r="B16" s="255" t="n">
        <x:f>COUNTIF('Week 1 Tasks'!B2:B254,"Day 5")</x:f>
        <x:v>45</x:v>
      </x:c>
      <x:c r="C16" s="255" t="n">
        <x:f>COUNTIFS('Week 1 Tasks'!B2:B254,"Day 5",'Week 1 Tasks'!H2:H254,"Complete")</x:f>
        <x:v>45</x:v>
      </x:c>
      <x:c r="D16" s="256" t="n">
        <x:f>IF(B16=0,0,C16/B16)</x:f>
        <x:v>1</x:v>
      </x:c>
      <x:c r="E16" s="196"/>
      <x:c r="F16" s="240" t="str">
        <x:v>Tested schema</x:v>
      </x:c>
      <x:c r="G16" s="255" t="str">
        <x:v>11 events + schema v0.2</x:v>
      </x:c>
      <x:c r="H16" s="241" t="str">
        <x:v>Complete</x:v>
      </x:c>
      <x:c r="I16" s="196"/>
      <x:c r="J16" s="196"/>
      <x:c r="K16" s="196"/>
    </x:row>
    <x:row r="17">
      <x:c r="A17" s="240" t="str">
        <x:v>Day 6</x:v>
      </x:c>
      <x:c r="B17" s="255" t="n">
        <x:f>COUNTIF('Week 1 Tasks'!B2:B254,"Day 6")</x:f>
        <x:v>20</x:v>
      </x:c>
      <x:c r="C17" s="255" t="n">
        <x:f>COUNTIFS('Week 1 Tasks'!B2:B254,"Day 6",'Week 1 Tasks'!H2:H254,"Complete")</x:f>
        <x:v>20</x:v>
      </x:c>
      <x:c r="D17" s="256" t="n">
        <x:f>IF(B17=0,0,C17/B17)</x:f>
        <x:v>1</x:v>
      </x:c>
      <x:c r="E17" s="196"/>
      <x:c r="F17" s="240" t="str">
        <x:v>Wireframes</x:v>
      </x:c>
      <x:c r="G17" s="255" t="str">
        <x:v>6 wireframes + UX review</x:v>
      </x:c>
      <x:c r="H17" s="241" t="str">
        <x:v>Complete</x:v>
      </x:c>
      <x:c r="I17" s="196"/>
      <x:c r="J17" s="196"/>
      <x:c r="K17" s="196"/>
    </x:row>
    <x:row r="18">
      <x:c r="A18" s="240" t="str">
        <x:v>Day 7</x:v>
      </x:c>
      <x:c r="B18" s="255" t="n">
        <x:f>COUNTIF('Week 1 Tasks'!B2:B254,"Day 7")</x:f>
        <x:v>41</x:v>
      </x:c>
      <x:c r="C18" s="255" t="n">
        <x:f>COUNTIFS('Week 1 Tasks'!B2:B254,"Day 7",'Week 1 Tasks'!H2:H254,"Complete")</x:f>
        <x:v>0</x:v>
      </x:c>
      <x:c r="D18" s="256" t="n">
        <x:f>IF(B18=0,0,C18/B18)</x:f>
        <x:v>0</x:v>
      </x:c>
      <x:c r="E18" s="196"/>
      <x:c r="F18" s="242" t="str">
        <x:v>Engineering foundation</x:v>
      </x:c>
      <x:c r="G18" s="257" t="str">
        <x:v>Staging + migrations</x:v>
      </x:c>
      <x:c r="H18" s="249" t="str">
        <x:v>Not Started</x:v>
      </x:c>
      <x:c r="I18" s="196"/>
      <x:c r="J18" s="196"/>
      <x:c r="K18" s="196"/>
    </x:row>
    <x:row r="19">
      <x:c r="A19" s="242" t="str">
        <x:v>Week 1</x:v>
      </x:c>
      <x:c r="B19" s="257" t="n">
        <x:f>B5</x:f>
        <x:v>253</x:v>
      </x:c>
      <x:c r="C19" s="257" t="n">
        <x:f>B6</x:f>
        <x:v>212</x:v>
      </x:c>
      <x:c r="D19" s="243" t="n">
        <x:f>B9</x:f>
        <x:v>0.8379446640316206</x:v>
      </x:c>
      <x:c r="E19" s="196"/>
      <x:c r="F19" s="196"/>
      <x:c r="G19" s="196"/>
      <x:c r="H19" s="198"/>
      <x:c r="I19" s="196"/>
      <x:c r="J19" s="196"/>
      <x:c r="K19" s="196"/>
    </x:row>
    <x:row r="20">
      <x:c r="A20" s="197"/>
      <x:c r="B20" s="196"/>
      <x:c r="C20" s="196"/>
      <x:c r="D20" s="196"/>
      <x:c r="E20" s="196"/>
      <x:c r="F20" s="196"/>
      <x:c r="G20" s="196"/>
      <x:c r="H20" s="198"/>
      <x:c r="I20" s="196"/>
      <x:c r="J20" s="196"/>
      <x:c r="K20" s="196"/>
    </x:row>
    <x:row r="21">
      <x:c r="A21" s="275" t="str">
        <x:v>Current position: Day 1 through Day 6 are complete. The first public experience is defined through six low-fidelity wireframes covering the event record, home, browsing, methodology, lead submission and corrections. Day 7 will begin the engineering foundation, where Codex becomes the appropriate implementation tool.</x:v>
      </x:c>
      <x:c r="B21" s="276"/>
      <x:c r="C21" s="276"/>
      <x:c r="D21" s="276"/>
      <x:c r="E21" s="276"/>
      <x:c r="F21" s="276"/>
      <x:c r="G21" s="276"/>
      <x:c r="H21" s="277"/>
      <x:c r="I21" s="276"/>
      <x:c r="J21" s="276"/>
      <x:c r="K21" s="278"/>
    </x:row>
    <x:row r="22">
      <x:c r="A22" s="2654" t="str">
        <x:v>DAY 6 COMPLETE: Review the Wireframe Index and six WF worksheets. No production code has been created yet; Codex starts with the Day 7 engineering foundation.</x:v>
      </x:c>
      <x:c r="B22" s="2655"/>
      <x:c r="C22" s="2655"/>
      <x:c r="D22" s="2655"/>
      <x:c r="E22" s="2655"/>
      <x:c r="F22" s="2655"/>
      <x:c r="G22" s="2655"/>
      <x:c r="H22" s="2654"/>
      <x:c r="I22" s="2655"/>
      <x:c r="J22" s="2655"/>
      <x:c r="K22" s="2654"/>
    </x:row>
    <x:row r="23">
      <x:c r="A23" s="2654"/>
      <x:c r="B23" s="2655"/>
      <x:c r="C23" s="2655"/>
      <x:c r="D23" s="2655"/>
      <x:c r="E23" s="2655"/>
      <x:c r="F23" s="2655"/>
      <x:c r="G23" s="2655"/>
      <x:c r="H23" s="2654"/>
      <x:c r="I23" s="2655"/>
      <x:c r="J23" s="2655"/>
      <x:c r="K23" s="2654"/>
    </x:row>
    <x:row r="24">
      <x:c r="A24" s="2654"/>
      <x:c r="B24" s="2655"/>
      <x:c r="C24" s="2655"/>
      <x:c r="D24" s="2655"/>
      <x:c r="E24" s="2655"/>
      <x:c r="F24" s="2655"/>
      <x:c r="G24" s="2655"/>
      <x:c r="H24" s="2654"/>
      <x:c r="I24" s="2655"/>
      <x:c r="J24" s="2655"/>
      <x:c r="K24" s="2654"/>
    </x:row>
    <x:row r="25">
      <x:c r="A25" s="282"/>
      <x:c r="B25" s="283"/>
      <x:c r="C25" s="283"/>
      <x:c r="D25" s="283"/>
      <x:c r="E25" s="283"/>
      <x:c r="F25" s="283"/>
      <x:c r="G25" s="283"/>
      <x:c r="H25" s="284"/>
      <x:c r="I25" s="283"/>
      <x:c r="J25" s="283"/>
      <x:c r="K25" s="285"/>
    </x:row>
  </x:sheetData>
  <x:mergeCells>
    <x:mergeCell ref="A1:K2"/>
    <x:mergeCell ref="A22:K24"/>
  </x:mergeCells>
  <x:conditionalFormatting sqref="H12:H17">
    <x:cfRule type="expression" dxfId="7" priority="2">
      <x:formula>H12="Complete"</x:formula>
    </x:cfRule>
    <x:cfRule type="expression" dxfId="8" priority="3">
      <x:formula>H12="Not Started"</x:formula>
    </x:cfRule>
  </x:conditionalFormatting>
  <x:conditionalFormatting sqref="D12:D19">
    <x:cfRule type="dataBar" priority="4">
      <x:dataBar>
        <x:cfvo type="min"/>
        <x:cfvo type="max"/>
        <x:color rgb="FF2F6B9A"/>
      </x:dataBar>
      <x:extLst>
        <x:ext xmlns:x14="http://schemas.microsoft.com/office/spreadsheetml/2009/9/main" uri="{B025F937-C7B1-47D3-B67F-A62EFF666E3E}">
          <x14:id>{169BE573-5479-287D-BE93-74B15E11EBFA}</x14:id>
        </x:ext>
      </x:extLst>
    </x:cfRule>
  </x:conditionalFormatting>
  <x:conditionalFormatting sqref="H12:H18">
    <x:cfRule type="expression" dxfId="19" priority="5">
      <x:formula>H12="Complete"</x:formula>
    </x:cfRule>
    <x:cfRule type="expression" dxfId="20" priority="6">
      <x:formula>H12="Not Started"</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169BE573-5479-287D-BE93-74B15E11EBFA}">
            <x14:dataBar gradient="1">
              <x14:cfvo type="min"/>
              <x14:cfvo type="max"/>
              <x14:fillColor rgb="FF2F6B9A"/>
            </x14:dataBar>
          </x14:cfRule>
          <xm:sqref>D12:D19</xm:sqref>
        </x14:conditionalFormatting>
      </x14:conditionalFormattings>
    </x:ext>
  </x:extLst>
</x:worksheet>
</file>

<file path=xl/worksheets/sheet2.xml><?xml version="1.0" encoding="utf-8"?>
<x:worksheet xmlns:x="http://schemas.openxmlformats.org/spreadsheetml/2006/main">
  <x:sheetFormatPr defaultRowHeight="15"/>
  <x:cols>
    <x:col min="1" max="1" width="11" hidden="0" customWidth="1"/>
    <x:col min="2" max="2" width="9" hidden="0" customWidth="1"/>
    <x:col min="3" max="3" width="20" hidden="0" customWidth="1"/>
    <x:col min="4" max="4" width="34" hidden="0" customWidth="1"/>
    <x:col min="5" max="5" width="48" hidden="0" customWidth="1"/>
    <x:col min="6" max="6" width="12" hidden="0" customWidth="1"/>
    <x:col min="7" max="7" width="10" hidden="0" customWidth="1"/>
    <x:col min="8" max="8" width="14" hidden="0" customWidth="1"/>
    <x:col min="9" max="9" width="20" hidden="0" customWidth="1"/>
    <x:col min="10" max="10" width="28" hidden="0" customWidth="1"/>
    <x:col min="11" max="11" width="16" hidden="0" customWidth="1"/>
    <x:col min="12" max="12" width="14" hidden="0" customWidth="1"/>
    <x:col min="13" max="13" width="28" hidden="0" customWidth="1"/>
  </x:cols>
  <x:sheetData>
    <x:row r="1" ht="34" customHeight="1">
      <x:c r="A1" s="7" t="str">
        <x:v>Task ID</x:v>
      </x:c>
      <x:c r="B1" s="7" t="str">
        <x:v>Day</x:v>
      </x:c>
      <x:c r="C1" s="7" t="str">
        <x:v>Workstream</x:v>
      </x:c>
      <x:c r="D1" s="7" t="str">
        <x:v>Task</x:v>
      </x:c>
      <x:c r="E1" s="7" t="str">
        <x:v>Details / Acceptance Criteria</x:v>
      </x:c>
      <x:c r="F1" s="7" t="str">
        <x:v>Owner</x:v>
      </x:c>
      <x:c r="G1" s="7" t="str">
        <x:v>Priority</x:v>
      </x:c>
      <x:c r="H1" s="7" t="str">
        <x:v>Status</x:v>
      </x:c>
      <x:c r="I1" s="7" t="str">
        <x:v>Dependency</x:v>
      </x:c>
      <x:c r="J1" s="7" t="str">
        <x:v>Deliverable / Evidence</x:v>
      </x:c>
      <x:c r="K1" s="7" t="str">
        <x:v>Estimated Minutes</x:v>
      </x:c>
      <x:c r="L1" s="7" t="str">
        <x:v>Actual Minutes</x:v>
      </x:c>
      <x:c r="M1" s="7" t="str">
        <x:v>Notes</x:v>
      </x:c>
    </x:row>
    <x:row r="2">
      <x:c r="A2" s="20" t="str">
        <x:v>W1-001</x:v>
      </x:c>
      <x:c r="B2" s="20" t="str">
        <x:v>Day 1</x:v>
      </x:c>
      <x:c r="C2" s="20" t="str">
        <x:v>Project scope</x:v>
      </x:c>
      <x:c r="D2" s="20" t="str">
        <x:v>Create the India Observed project folder</x:v>
      </x:c>
      <x:c r="E2" s="20" t="str">
        <x:v>Create one main folder to hold all project documents and research.</x:v>
      </x:c>
      <x:c r="F2" s="20" t="str">
        <x:v>Founder</x:v>
      </x:c>
      <x:c r="G2" s="20" t="str">
        <x:v>High</x:v>
      </x:c>
      <x:c r="H2" s="20" t="str">
        <x:v>Complete</x:v>
      </x:c>
      <x:c r="I2" s="20" t="str"/>
      <x:c r="J2" s="20" t="str">
        <x:v>India Observed folder created</x:v>
      </x:c>
      <x:c r="K2" s="21" t="n">
        <x:v>5</x:v>
      </x:c>
      <x:c r="L2" s="21" t="str"/>
      <x:c r="M2" s="20" t="str"/>
    </x:row>
    <x:row r="3">
      <x:c r="A3" s="20" t="str">
        <x:v>W1-002</x:v>
      </x:c>
      <x:c r="B3" s="20" t="str">
        <x:v>Day 1</x:v>
      </x:c>
      <x:c r="C3" s="20" t="str">
        <x:v>Project scope</x:v>
      </x:c>
      <x:c r="D3" s="20" t="str">
        <x:v>Create the one-page pilot project brief</x:v>
      </x:c>
      <x:c r="E3" s="20" t="str">
        <x:v>Open a document and create the initial project brief structure.</x:v>
      </x:c>
      <x:c r="F3" s="20" t="str">
        <x:v>Founder</x:v>
      </x:c>
      <x:c r="G3" s="20" t="str">
        <x:v>High</x:v>
      </x:c>
      <x:c r="H3" s="20" t="str">
        <x:v>Complete</x:v>
      </x:c>
      <x:c r="I3" s="20" t="str">
        <x:v>W1-001</x:v>
      </x:c>
      <x:c r="J3" s="20" t="str">
        <x:v>Pilot brief file</x:v>
      </x:c>
      <x:c r="K3" s="21" t="n">
        <x:v>10</x:v>
      </x:c>
      <x:c r="L3" s="21" t="str"/>
      <x:c r="M3" s="20" t="str"/>
    </x:row>
    <x:row r="4">
      <x:c r="A4" s="20" t="str">
        <x:v>W1-003</x:v>
      </x:c>
      <x:c r="B4" s="20" t="str">
        <x:v>Day 1</x:v>
      </x:c>
      <x:c r="C4" s="20" t="str">
        <x:v>Project scope</x:v>
      </x:c>
      <x:c r="D4" s="20" t="str">
        <x:v>Select the pilot geography</x:v>
      </x:c>
      <x:c r="E4" s="20" t="str">
        <x:v>Pilot geography revised from Himachal Pradesh to all India on 15 July 2026, while retaining a deliberately curated one-person workflow.</x:v>
      </x:c>
      <x:c r="F4" s="20" t="str">
        <x:v>Founder</x:v>
      </x:c>
      <x:c r="G4" s="20" t="str">
        <x:v>High</x:v>
      </x:c>
      <x:c r="H4" s="20" t="str">
        <x:v>Complete</x:v>
      </x:c>
      <x:c r="I4" s="20" t="str"/>
      <x:c r="J4" s="20" t="str">
        <x:v>Pilot geography recorded</x:v>
      </x:c>
      <x:c r="K4" s="21" t="n">
        <x:v>10</x:v>
      </x:c>
      <x:c r="L4" s="21" t="str"/>
      <x:c r="M4" s="20" t="str">
        <x:v>Scope decision revised by founder on 15 July 2026. National coverage is allowed, but entries remain selectively researched rather than comprehensive.</x:v>
      </x:c>
    </x:row>
    <x:row r="5">
      <x:c r="A5" s="20" t="str">
        <x:v>W1-004</x:v>
      </x:c>
      <x:c r="B5" s="20" t="str">
        <x:v>Day 1</x:v>
      </x:c>
      <x:c r="C5" s="20" t="str">
        <x:v>Project scope</x:v>
      </x:c>
      <x:c r="D5" s="20" t="str">
        <x:v>Confirm the first vertical</x:v>
      </x:c>
      <x:c r="E5" s="20" t="str">
        <x:v>Freeze Protests and Civic Movements as the first repository vertical.</x:v>
      </x:c>
      <x:c r="F5" s="20" t="str">
        <x:v>Founder</x:v>
      </x:c>
      <x:c r="G5" s="20" t="str">
        <x:v>High</x:v>
      </x:c>
      <x:c r="H5" s="20" t="str">
        <x:v>Complete</x:v>
      </x:c>
      <x:c r="I5" s="20" t="str"/>
      <x:c r="J5" s="20" t="str">
        <x:v>First vertical recorded</x:v>
      </x:c>
      <x:c r="K5" s="21" t="n">
        <x:v>10</x:v>
      </x:c>
      <x:c r="L5" s="21" t="str"/>
      <x:c r="M5" s="20" t="str"/>
    </x:row>
    <x:row r="6">
      <x:c r="A6" s="20" t="str">
        <x:v>W1-005</x:v>
      </x:c>
      <x:c r="B6" s="20" t="str">
        <x:v>Day 1</x:v>
      </x:c>
      <x:c r="C6" s="20" t="str">
        <x:v>Project scope</x:v>
      </x:c>
      <x:c r="D6" s="20" t="str">
        <x:v>Set the initial coverage period</x:v>
      </x:c>
      <x:c r="E6" s="20" t="str">
        <x:v>Record that the pilot covers events from 1 July 2026 onward.</x:v>
      </x:c>
      <x:c r="F6" s="20" t="str">
        <x:v>Founder</x:v>
      </x:c>
      <x:c r="G6" s="20" t="str">
        <x:v>High</x:v>
      </x:c>
      <x:c r="H6" s="20" t="str">
        <x:v>Complete</x:v>
      </x:c>
      <x:c r="I6" s="20" t="str"/>
      <x:c r="J6" s="20" t="str">
        <x:v>Coverage period recorded</x:v>
      </x:c>
      <x:c r="K6" s="21" t="n">
        <x:v>5</x:v>
      </x:c>
      <x:c r="L6" s="21" t="str"/>
      <x:c r="M6" s="20" t="str"/>
    </x:row>
    <x:row r="7">
      <x:c r="A7" s="20" t="str">
        <x:v>W1-006</x:v>
      </x:c>
      <x:c r="B7" s="20" t="str">
        <x:v>Day 1</x:v>
      </x:c>
      <x:c r="C7" s="20" t="str">
        <x:v>Project scope</x:v>
      </x:c>
      <x:c r="D7" s="20" t="str">
        <x:v>Define event types to include</x:v>
      </x:c>
      <x:c r="E7" s="20" t="str">
        <x:v>List protests, demonstrations, strikes, marches, sit-ins, dharnas, hunger strikes and civic campaigns.</x:v>
      </x:c>
      <x:c r="F7" s="20" t="str">
        <x:v>Founder</x:v>
      </x:c>
      <x:c r="G7" s="20" t="str">
        <x:v>High</x:v>
      </x:c>
      <x:c r="H7" s="20" t="str">
        <x:v>Complete</x:v>
      </x:c>
      <x:c r="I7" s="20" t="str"/>
      <x:c r="J7" s="20" t="str">
        <x:v>Inclusion categories</x:v>
      </x:c>
      <x:c r="K7" s="21" t="n">
        <x:v>20</x:v>
      </x:c>
      <x:c r="L7" s="21" t="str"/>
      <x:c r="M7" s="20" t="str"/>
    </x:row>
    <x:row r="8">
      <x:c r="A8" s="20" t="str">
        <x:v>W1-007</x:v>
      </x:c>
      <x:c r="B8" s="20" t="str">
        <x:v>Day 1</x:v>
      </x:c>
      <x:c r="C8" s="20" t="str">
        <x:v>Project scope</x:v>
      </x:c>
      <x:c r="D8" s="20" t="str">
        <x:v>Define events and information to exclude</x:v>
      </x:c>
      <x:c r="E8" s="20" t="str">
        <x:v>Exclude private disputes, routine political rallies, unverified claims, participant tracking and tactical information.</x:v>
      </x:c>
      <x:c r="F8" s="20" t="str">
        <x:v>Founder</x:v>
      </x:c>
      <x:c r="G8" s="20" t="str">
        <x:v>High</x:v>
      </x:c>
      <x:c r="H8" s="20" t="str">
        <x:v>Complete</x:v>
      </x:c>
      <x:c r="I8" s="20" t="str"/>
      <x:c r="J8" s="20" t="str">
        <x:v>Exclusion criteria</x:v>
      </x:c>
      <x:c r="K8" s="21" t="n">
        <x:v>25</x:v>
      </x:c>
      <x:c r="L8" s="21" t="str"/>
      <x:c r="M8" s="20" t="str"/>
    </x:row>
    <x:row r="9">
      <x:c r="A9" s="20" t="str">
        <x:v>W1-008</x:v>
      </x:c>
      <x:c r="B9" s="20" t="str">
        <x:v>Day 1</x:v>
      </x:c>
      <x:c r="C9" s="20" t="str">
        <x:v>Project scope</x:v>
      </x:c>
      <x:c r="D9" s="20" t="str">
        <x:v>Write the platform purpose statement</x:v>
      </x:c>
      <x:c r="E9" s="20" t="str">
        <x:v>Write a one-sentence neutral description of India Observed.</x:v>
      </x:c>
      <x:c r="F9" s="20" t="str">
        <x:v>Founder</x:v>
      </x:c>
      <x:c r="G9" s="20" t="str">
        <x:v>High</x:v>
      </x:c>
      <x:c r="H9" s="20" t="str">
        <x:v>Complete</x:v>
      </x:c>
      <x:c r="I9" s="20" t="str"/>
      <x:c r="J9" s="20" t="str">
        <x:v>Purpose statement</x:v>
      </x:c>
      <x:c r="K9" s="21" t="n">
        <x:v>15</x:v>
      </x:c>
      <x:c r="L9" s="21" t="str"/>
      <x:c r="M9" s="20" t="str"/>
    </x:row>
    <x:row r="10">
      <x:c r="A10" s="20" t="str">
        <x:v>W1-009</x:v>
      </x:c>
      <x:c r="B10" s="20" t="str">
        <x:v>Day 1</x:v>
      </x:c>
      <x:c r="C10" s="20" t="str">
        <x:v>Project scope</x:v>
      </x:c>
      <x:c r="D10" s="20" t="str">
        <x:v>Define intended users</x:v>
      </x:c>
      <x:c r="E10" s="20" t="str">
        <x:v>List public users, researchers, journalists, academics, lawyers, civil society and administrators.</x:v>
      </x:c>
      <x:c r="F10" s="20" t="str">
        <x:v>Founder</x:v>
      </x:c>
      <x:c r="G10" s="20" t="str">
        <x:v>High</x:v>
      </x:c>
      <x:c r="H10" s="20" t="str">
        <x:v>Complete</x:v>
      </x:c>
      <x:c r="I10" s="20" t="str"/>
      <x:c r="J10" s="20" t="str">
        <x:v>User groups documented</x:v>
      </x:c>
      <x:c r="K10" s="21" t="n">
        <x:v>15</x:v>
      </x:c>
      <x:c r="L10" s="21" t="str"/>
      <x:c r="M10" s="20" t="str"/>
    </x:row>
    <x:row r="11">
      <x:c r="A11" s="20" t="str">
        <x:v>W1-010</x:v>
      </x:c>
      <x:c r="B11" s="20" t="str">
        <x:v>Day 1</x:v>
      </x:c>
      <x:c r="C11" s="20" t="str">
        <x:v>Project scope</x:v>
      </x:c>
      <x:c r="D11" s="20" t="str">
        <x:v>Document what the platform will not do</x:v>
      </x:c>
      <x:c r="E11" s="20" t="str">
        <x:v>Explicitly state that the platform will not live-track protests, identify ordinary participants or publish unsupported allegations.</x:v>
      </x:c>
      <x:c r="F11" s="20" t="str">
        <x:v>Founder</x:v>
      </x:c>
      <x:c r="G11" s="20" t="str">
        <x:v>High</x:v>
      </x:c>
      <x:c r="H11" s="20" t="str">
        <x:v>Complete</x:v>
      </x:c>
      <x:c r="I11" s="20" t="str"/>
      <x:c r="J11" s="20" t="str">
        <x:v>Non-goals documented</x:v>
      </x:c>
      <x:c r="K11" s="21" t="n">
        <x:v>20</x:v>
      </x:c>
      <x:c r="L11" s="21" t="str"/>
      <x:c r="M11" s="20" t="str"/>
    </x:row>
    <x:row r="12">
      <x:c r="A12" s="20" t="str">
        <x:v>W1-011</x:v>
      </x:c>
      <x:c r="B12" s="20" t="str">
        <x:v>Day 1</x:v>
      </x:c>
      <x:c r="C12" s="20" t="str">
        <x:v>Project scope</x:v>
      </x:c>
      <x:c r="D12" s="20" t="str">
        <x:v>Define the initial editorial position</x:v>
      </x:c>
      <x:c r="E12" s="20" t="str">
        <x:v>Record neutrality, evidence-led language, source attribution and transparent corrections.</x:v>
      </x:c>
      <x:c r="F12" s="20" t="str">
        <x:v>Founder</x:v>
      </x:c>
      <x:c r="G12" s="20" t="str">
        <x:v>High</x:v>
      </x:c>
      <x:c r="H12" s="20" t="str">
        <x:v>Complete</x:v>
      </x:c>
      <x:c r="I12" s="20" t="str"/>
      <x:c r="J12" s="20" t="str">
        <x:v>Editorial position</x:v>
      </x:c>
      <x:c r="K12" s="21" t="n">
        <x:v>20</x:v>
      </x:c>
      <x:c r="L12" s="21" t="str"/>
      <x:c r="M12" s="20" t="str"/>
    </x:row>
    <x:row r="13">
      <x:c r="A13" s="20" t="str">
        <x:v>W1-012</x:v>
      </x:c>
      <x:c r="B13" s="20" t="str">
        <x:v>Day 1</x:v>
      </x:c>
      <x:c r="C13" s="20" t="str">
        <x:v>Project scope</x:v>
      </x:c>
      <x:c r="D13" s="20" t="str">
        <x:v>Define pilot success criteria</x:v>
      </x:c>
      <x:c r="E13" s="20" t="str">
        <x:v>Record measurable criteria for 50 high-quality event records and manageable one-person operations.</x:v>
      </x:c>
      <x:c r="F13" s="20" t="str">
        <x:v>Founder</x:v>
      </x:c>
      <x:c r="G13" s="20" t="str">
        <x:v>High</x:v>
      </x:c>
      <x:c r="H13" s="20" t="str">
        <x:v>Complete</x:v>
      </x:c>
      <x:c r="I13" s="20" t="str"/>
      <x:c r="J13" s="20" t="str">
        <x:v>Success criteria</x:v>
      </x:c>
      <x:c r="K13" s="21" t="n">
        <x:v>15</x:v>
      </x:c>
      <x:c r="L13" s="21" t="str"/>
      <x:c r="M13" s="20" t="str"/>
    </x:row>
    <x:row r="14">
      <x:c r="A14" s="20" t="str">
        <x:v>W1-013</x:v>
      </x:c>
      <x:c r="B14" s="20" t="str">
        <x:v>Day 1</x:v>
      </x:c>
      <x:c r="C14" s="20" t="str">
        <x:v>Project scope</x:v>
      </x:c>
      <x:c r="D14" s="20" t="str">
        <x:v>Save the final brief as Version 0.1</x:v>
      </x:c>
      <x:c r="E14" s="20" t="str">
        <x:v>Save the frozen scope using a clear version-controlled filename.</x:v>
      </x:c>
      <x:c r="F14" s="20" t="str">
        <x:v>Founder</x:v>
      </x:c>
      <x:c r="G14" s="20" t="str">
        <x:v>High</x:v>
      </x:c>
      <x:c r="H14" s="20" t="str">
        <x:v>Complete</x:v>
      </x:c>
      <x:c r="I14" s="20" t="str"/>
      <x:c r="J14" s="20" t="str">
        <x:v>India Observed - Pilot Project Brief v0.1</x:v>
      </x:c>
      <x:c r="K14" s="21" t="n">
        <x:v>5</x:v>
      </x:c>
      <x:c r="L14" s="21" t="str"/>
      <x:c r="M14" s="20" t="str"/>
    </x:row>
    <x:row r="15">
      <x:c r="A15" s="20" t="str">
        <x:v>W1-014</x:v>
      </x:c>
      <x:c r="B15" s="20" t="str">
        <x:v>Day 1</x:v>
      </x:c>
      <x:c r="C15" s="20" t="str">
        <x:v>Project scope</x:v>
      </x:c>
      <x:c r="D15" s="20" t="str">
        <x:v>Create the project subfolder structure</x:v>
      </x:c>
      <x:c r="E15" s="20" t="str">
        <x:v>Create folders for Project Brief, Methodology, Event Research, Data Model, Legal and Policies, Website, and Corrections.</x:v>
      </x:c>
      <x:c r="F15" s="20" t="str">
        <x:v>Founder</x:v>
      </x:c>
      <x:c r="G15" s="20" t="str">
        <x:v>High</x:v>
      </x:c>
      <x:c r="H15" s="20" t="str">
        <x:v>Complete</x:v>
      </x:c>
      <x:c r="I15" s="20" t="str">
        <x:v>W1-001</x:v>
      </x:c>
      <x:c r="J15" s="20" t="str">
        <x:v>Seven project subfolders</x:v>
      </x:c>
      <x:c r="K15" s="21" t="n">
        <x:v>10</x:v>
      </x:c>
      <x:c r="L15" s="21" t="str"/>
      <x:c r="M15" s="20" t="str"/>
    </x:row>
    <x:row r="16">
      <x:c r="A16" s="20" t="str">
        <x:v>W1-015</x:v>
      </x:c>
      <x:c r="B16" s="20" t="str">
        <x:v>Day 1</x:v>
      </x:c>
      <x:c r="C16" s="20" t="str">
        <x:v>Project scope</x:v>
      </x:c>
      <x:c r="D16" s="20" t="str">
        <x:v>Freeze Day 1 scope</x:v>
      </x:c>
      <x:c r="E16" s="20" t="str">
        <x:v>Review the brief once and avoid adding environment, education, health, uploads or commercial features to the pilot.</x:v>
      </x:c>
      <x:c r="F16" s="20" t="str">
        <x:v>Founder</x:v>
      </x:c>
      <x:c r="G16" s="20" t="str">
        <x:v>High</x:v>
      </x:c>
      <x:c r="H16" s="20" t="str">
        <x:v>Complete</x:v>
      </x:c>
      <x:c r="I16" s="20" t="str">
        <x:v>W1-002, W1-003, W1-004, W1-005, W1-006, W1-007, W1-008, W1-009, W1-010, W1-011, W1-012, W1-013, W1-014</x:v>
      </x:c>
      <x:c r="J16" s="20" t="str">
        <x:v>Day 1 scope frozen</x:v>
      </x:c>
      <x:c r="K16" s="21" t="n">
        <x:v>10</x:v>
      </x:c>
      <x:c r="L16" s="21" t="str"/>
      <x:c r="M16" s="20" t="str"/>
    </x:row>
    <x:row r="17">
      <x:c r="A17" s="16" t="str">
        <x:v>W1-016</x:v>
      </x:c>
      <x:c r="B17" s="16" t="str">
        <x:v>Day 2</x:v>
      </x:c>
      <x:c r="C17" s="16" t="str">
        <x:v>Data model</x:v>
      </x:c>
      <x:c r="D17" s="16" t="str">
        <x:v>Create the pilot spreadsheet</x:v>
      </x:c>
      <x:c r="E17" s="16" t="str">
        <x:v>Create a new workbook named India Observed — Civic Events Pilot.</x:v>
      </x:c>
      <x:c r="F17" s="16" t="str">
        <x:v>Founder</x:v>
      </x:c>
      <x:c r="G17" s="16" t="str">
        <x:v>High</x:v>
      </x:c>
      <x:c r="H17" s="16" t="str">
        <x:v>Complete</x:v>
      </x:c>
      <x:c r="I17" s="16" t="str"/>
      <x:c r="J17" s="16" t="str">
        <x:v>Pilot spreadsheet</x:v>
      </x:c>
      <x:c r="K17" s="18" t="n">
        <x:v>10</x:v>
      </x:c>
      <x:c r="L17" s="18" t="str"/>
      <x:c r="M17" s="16" t="str">
        <x:v>Completed in this workbook: Events, Claims, Sources, Organisations and Corrections registers created.</x:v>
      </x:c>
    </x:row>
    <x:row r="18">
      <x:c r="A18" s="16" t="str">
        <x:v>W1-017</x:v>
      </x:c>
      <x:c r="B18" s="16" t="str">
        <x:v>Day 2</x:v>
      </x:c>
      <x:c r="C18" s="16" t="str">
        <x:v>Data model</x:v>
      </x:c>
      <x:c r="D18" s="16" t="str">
        <x:v>Create the Events sheet</x:v>
      </x:c>
      <x:c r="E18" s="16" t="str">
        <x:v>Add a worksheet named Events.</x:v>
      </x:c>
      <x:c r="F18" s="16" t="str">
        <x:v>Founder</x:v>
      </x:c>
      <x:c r="G18" s="16" t="str">
        <x:v>High</x:v>
      </x:c>
      <x:c r="H18" s="16" t="str">
        <x:v>Complete</x:v>
      </x:c>
      <x:c r="I18" s="16" t="str">
        <x:v>W1-016</x:v>
      </x:c>
      <x:c r="J18" s="16" t="str">
        <x:v>Events sheet</x:v>
      </x:c>
      <x:c r="K18" s="18" t="n">
        <x:v>5</x:v>
      </x:c>
      <x:c r="L18" s="18" t="str"/>
      <x:c r="M18" s="16" t="str"/>
    </x:row>
    <x:row r="19">
      <x:c r="A19" s="16" t="str">
        <x:v>W1-018</x:v>
      </x:c>
      <x:c r="B19" s="16" t="str">
        <x:v>Day 2</x:v>
      </x:c>
      <x:c r="C19" s="16" t="str">
        <x:v>Events sheet</x:v>
      </x:c>
      <x:c r="D19" s="16" t="str">
        <x:v>Add Event ID column</x:v>
      </x:c>
      <x:c r="E19" s="16" t="str">
        <x:v>Unique identifier such as IO-CM-HP-0001.</x:v>
      </x:c>
      <x:c r="F19" s="16" t="str">
        <x:v>Founder</x:v>
      </x:c>
      <x:c r="G19" s="16" t="str">
        <x:v>High</x:v>
      </x:c>
      <x:c r="H19" s="16" t="str">
        <x:v>Complete</x:v>
      </x:c>
      <x:c r="I19" s="16" t="str">
        <x:v>W1-017</x:v>
      </x:c>
      <x:c r="J19" s="16" t="str">
        <x:v>Event ID field</x:v>
      </x:c>
      <x:c r="K19" s="18" t="n">
        <x:v>4</x:v>
      </x:c>
      <x:c r="L19" s="18" t="str"/>
      <x:c r="M19" s="16" t="str"/>
    </x:row>
    <x:row r="20">
      <x:c r="A20" s="16" t="str">
        <x:v>W1-019</x:v>
      </x:c>
      <x:c r="B20" s="16" t="str">
        <x:v>Day 2</x:v>
      </x:c>
      <x:c r="C20" s="16" t="str">
        <x:v>Events sheet</x:v>
      </x:c>
      <x:c r="D20" s="16" t="str">
        <x:v>Add Event title column</x:v>
      </x:c>
      <x:c r="E20" s="16" t="str">
        <x:v>Neutral title describing the event.</x:v>
      </x:c>
      <x:c r="F20" s="16" t="str">
        <x:v>Founder</x:v>
      </x:c>
      <x:c r="G20" s="16" t="str">
        <x:v>High</x:v>
      </x:c>
      <x:c r="H20" s="16" t="str">
        <x:v>Complete</x:v>
      </x:c>
      <x:c r="I20" s="16" t="str">
        <x:v>W1-018</x:v>
      </x:c>
      <x:c r="J20" s="16" t="str">
        <x:v>Event title field</x:v>
      </x:c>
      <x:c r="K20" s="18" t="n">
        <x:v>4</x:v>
      </x:c>
      <x:c r="L20" s="18" t="str"/>
      <x:c r="M20" s="16" t="str"/>
    </x:row>
    <x:row r="21">
      <x:c r="A21" s="16" t="str">
        <x:v>W1-020</x:v>
      </x:c>
      <x:c r="B21" s="16" t="str">
        <x:v>Day 2</x:v>
      </x:c>
      <x:c r="C21" s="16" t="str">
        <x:v>Events sheet</x:v>
      </x:c>
      <x:c r="D21" s="16" t="str">
        <x:v>Add Event type column</x:v>
      </x:c>
      <x:c r="E21" s="16" t="str">
        <x:v>Demonstration, strike, march, sit-in, dharna, hunger strike or civic campaign.</x:v>
      </x:c>
      <x:c r="F21" s="16" t="str">
        <x:v>Founder</x:v>
      </x:c>
      <x:c r="G21" s="16" t="str">
        <x:v>High</x:v>
      </x:c>
      <x:c r="H21" s="16" t="str">
        <x:v>Complete</x:v>
      </x:c>
      <x:c r="I21" s="16" t="str">
        <x:v>W1-019</x:v>
      </x:c>
      <x:c r="J21" s="16" t="str">
        <x:v>Event type field</x:v>
      </x:c>
      <x:c r="K21" s="18" t="n">
        <x:v>4</x:v>
      </x:c>
      <x:c r="L21" s="18" t="str"/>
      <x:c r="M21" s="16" t="str"/>
    </x:row>
    <x:row r="22">
      <x:c r="A22" s="16" t="str">
        <x:v>W1-021</x:v>
      </x:c>
      <x:c r="B22" s="16" t="str">
        <x:v>Day 2</x:v>
      </x:c>
      <x:c r="C22" s="16" t="str">
        <x:v>Events sheet</x:v>
      </x:c>
      <x:c r="D22" s="16" t="str">
        <x:v>Add Main issue column</x:v>
      </x:c>
      <x:c r="E22" s="16" t="str">
        <x:v>Primary issue or public demand.</x:v>
      </x:c>
      <x:c r="F22" s="16" t="str">
        <x:v>Founder</x:v>
      </x:c>
      <x:c r="G22" s="16" t="str">
        <x:v>High</x:v>
      </x:c>
      <x:c r="H22" s="16" t="str">
        <x:v>Complete</x:v>
      </x:c>
      <x:c r="I22" s="16" t="str">
        <x:v>W1-020</x:v>
      </x:c>
      <x:c r="J22" s="16" t="str">
        <x:v>Main issue field</x:v>
      </x:c>
      <x:c r="K22" s="18" t="n">
        <x:v>4</x:v>
      </x:c>
      <x:c r="L22" s="18" t="str"/>
      <x:c r="M22" s="16" t="str"/>
    </x:row>
    <x:row r="23">
      <x:c r="A23" s="16" t="str">
        <x:v>W1-022</x:v>
      </x:c>
      <x:c r="B23" s="16" t="str">
        <x:v>Day 2</x:v>
      </x:c>
      <x:c r="C23" s="16" t="str">
        <x:v>Events sheet</x:v>
      </x:c>
      <x:c r="D23" s="16" t="str">
        <x:v>Add State column</x:v>
      </x:c>
      <x:c r="E23" s="16" t="str">
        <x:v>State where the event occurred.</x:v>
      </x:c>
      <x:c r="F23" s="16" t="str">
        <x:v>Founder</x:v>
      </x:c>
      <x:c r="G23" s="16" t="str">
        <x:v>High</x:v>
      </x:c>
      <x:c r="H23" s="16" t="str">
        <x:v>Complete</x:v>
      </x:c>
      <x:c r="I23" s="16" t="str">
        <x:v>W1-021</x:v>
      </x:c>
      <x:c r="J23" s="16" t="str">
        <x:v>State field</x:v>
      </x:c>
      <x:c r="K23" s="18" t="n">
        <x:v>4</x:v>
      </x:c>
      <x:c r="L23" s="18" t="str"/>
      <x:c r="M23" s="16" t="str"/>
    </x:row>
    <x:row r="24">
      <x:c r="A24" s="16" t="str">
        <x:v>W1-023</x:v>
      </x:c>
      <x:c r="B24" s="16" t="str">
        <x:v>Day 2</x:v>
      </x:c>
      <x:c r="C24" s="16" t="str">
        <x:v>Events sheet</x:v>
      </x:c>
      <x:c r="D24" s="16" t="str">
        <x:v>Add District column</x:v>
      </x:c>
      <x:c r="E24" s="16" t="str">
        <x:v>District where the event occurred.</x:v>
      </x:c>
      <x:c r="F24" s="16" t="str">
        <x:v>Founder</x:v>
      </x:c>
      <x:c r="G24" s="16" t="str">
        <x:v>High</x:v>
      </x:c>
      <x:c r="H24" s="16" t="str">
        <x:v>Complete</x:v>
      </x:c>
      <x:c r="I24" s="16" t="str">
        <x:v>W1-022</x:v>
      </x:c>
      <x:c r="J24" s="16" t="str">
        <x:v>District field</x:v>
      </x:c>
      <x:c r="K24" s="18" t="n">
        <x:v>4</x:v>
      </x:c>
      <x:c r="L24" s="18" t="str"/>
      <x:c r="M24" s="16" t="str"/>
    </x:row>
    <x:row r="25">
      <x:c r="A25" s="16" t="str">
        <x:v>W1-024</x:v>
      </x:c>
      <x:c r="B25" s="16" t="str">
        <x:v>Day 2</x:v>
      </x:c>
      <x:c r="C25" s="16" t="str">
        <x:v>Events sheet</x:v>
      </x:c>
      <x:c r="D25" s="16" t="str">
        <x:v>Add General location column</x:v>
      </x:c>
      <x:c r="E25" s="16" t="str">
        <x:v>Broad location; avoid tactical or participant-level precision.</x:v>
      </x:c>
      <x:c r="F25" s="16" t="str">
        <x:v>Founder</x:v>
      </x:c>
      <x:c r="G25" s="16" t="str">
        <x:v>High</x:v>
      </x:c>
      <x:c r="H25" s="16" t="str">
        <x:v>Complete</x:v>
      </x:c>
      <x:c r="I25" s="16" t="str">
        <x:v>W1-023</x:v>
      </x:c>
      <x:c r="J25" s="16" t="str">
        <x:v>General location field</x:v>
      </x:c>
      <x:c r="K25" s="18" t="n">
        <x:v>4</x:v>
      </x:c>
      <x:c r="L25" s="18" t="str"/>
      <x:c r="M25" s="16" t="str"/>
    </x:row>
    <x:row r="26">
      <x:c r="A26" s="16" t="str">
        <x:v>W1-025</x:v>
      </x:c>
      <x:c r="B26" s="16" t="str">
        <x:v>Day 2</x:v>
      </x:c>
      <x:c r="C26" s="16" t="str">
        <x:v>Events sheet</x:v>
      </x:c>
      <x:c r="D26" s="16" t="str">
        <x:v>Add Start date column</x:v>
      </x:c>
      <x:c r="E26" s="16" t="str">
        <x:v>Date the event began.</x:v>
      </x:c>
      <x:c r="F26" s="16" t="str">
        <x:v>Founder</x:v>
      </x:c>
      <x:c r="G26" s="16" t="str">
        <x:v>High</x:v>
      </x:c>
      <x:c r="H26" s="16" t="str">
        <x:v>Complete</x:v>
      </x:c>
      <x:c r="I26" s="16" t="str">
        <x:v>W1-024</x:v>
      </x:c>
      <x:c r="J26" s="16" t="str">
        <x:v>Start date field</x:v>
      </x:c>
      <x:c r="K26" s="18" t="n">
        <x:v>4</x:v>
      </x:c>
      <x:c r="L26" s="18" t="str"/>
      <x:c r="M26" s="16" t="str"/>
    </x:row>
    <x:row r="27">
      <x:c r="A27" s="16" t="str">
        <x:v>W1-026</x:v>
      </x:c>
      <x:c r="B27" s="16" t="str">
        <x:v>Day 2</x:v>
      </x:c>
      <x:c r="C27" s="16" t="str">
        <x:v>Events sheet</x:v>
      </x:c>
      <x:c r="D27" s="16" t="str">
        <x:v>Add End date column</x:v>
      </x:c>
      <x:c r="E27" s="16" t="str">
        <x:v>Date the event ended, if known.</x:v>
      </x:c>
      <x:c r="F27" s="16" t="str">
        <x:v>Founder</x:v>
      </x:c>
      <x:c r="G27" s="16" t="str">
        <x:v>High</x:v>
      </x:c>
      <x:c r="H27" s="16" t="str">
        <x:v>Complete</x:v>
      </x:c>
      <x:c r="I27" s="16" t="str">
        <x:v>W1-025</x:v>
      </x:c>
      <x:c r="J27" s="16" t="str">
        <x:v>End date field</x:v>
      </x:c>
      <x:c r="K27" s="18" t="n">
        <x:v>4</x:v>
      </x:c>
      <x:c r="L27" s="18" t="str"/>
      <x:c r="M27" s="16" t="str"/>
    </x:row>
    <x:row r="28">
      <x:c r="A28" s="16" t="str">
        <x:v>W1-027</x:v>
      </x:c>
      <x:c r="B28" s="16" t="str">
        <x:v>Day 2</x:v>
      </x:c>
      <x:c r="C28" s="16" t="str">
        <x:v>Events sheet</x:v>
      </x:c>
      <x:c r="D28" s="16" t="str">
        <x:v>Add Event status column</x:v>
      </x:c>
      <x:c r="E28" s="16" t="str">
        <x:v>Continuing, concluded, unresolved or outcome pending.</x:v>
      </x:c>
      <x:c r="F28" s="16" t="str">
        <x:v>Founder</x:v>
      </x:c>
      <x:c r="G28" s="16" t="str">
        <x:v>High</x:v>
      </x:c>
      <x:c r="H28" s="16" t="str">
        <x:v>Complete</x:v>
      </x:c>
      <x:c r="I28" s="16" t="str">
        <x:v>W1-026</x:v>
      </x:c>
      <x:c r="J28" s="16" t="str">
        <x:v>Event status field</x:v>
      </x:c>
      <x:c r="K28" s="18" t="n">
        <x:v>4</x:v>
      </x:c>
      <x:c r="L28" s="18" t="str"/>
      <x:c r="M28" s="16" t="str"/>
    </x:row>
    <x:row r="29">
      <x:c r="A29" s="16" t="str">
        <x:v>W1-028</x:v>
      </x:c>
      <x:c r="B29" s="16" t="str">
        <x:v>Day 2</x:v>
      </x:c>
      <x:c r="C29" s="16" t="str">
        <x:v>Events sheet</x:v>
      </x:c>
      <x:c r="D29" s="16" t="str">
        <x:v>Add Short neutral summary column</x:v>
      </x:c>
      <x:c r="E29" s="16" t="str">
        <x:v>Two-to-four sentence evidence-led description.</x:v>
      </x:c>
      <x:c r="F29" s="16" t="str">
        <x:v>Founder</x:v>
      </x:c>
      <x:c r="G29" s="16" t="str">
        <x:v>High</x:v>
      </x:c>
      <x:c r="H29" s="16" t="str">
        <x:v>Complete</x:v>
      </x:c>
      <x:c r="I29" s="16" t="str">
        <x:v>W1-027</x:v>
      </x:c>
      <x:c r="J29" s="16" t="str">
        <x:v>Short neutral summary field</x:v>
      </x:c>
      <x:c r="K29" s="18" t="n">
        <x:v>4</x:v>
      </x:c>
      <x:c r="L29" s="18" t="str"/>
      <x:c r="M29" s="16" t="str"/>
    </x:row>
    <x:row r="30">
      <x:c r="A30" s="16" t="str">
        <x:v>W1-029</x:v>
      </x:c>
      <x:c r="B30" s="16" t="str">
        <x:v>Day 2</x:v>
      </x:c>
      <x:c r="C30" s="16" t="str">
        <x:v>Events sheet</x:v>
      </x:c>
      <x:c r="D30" s="16" t="str">
        <x:v>Add Organising group column</x:v>
      </x:c>
      <x:c r="E30" s="16" t="str">
        <x:v>Publicly identified organisation or group, if any.</x:v>
      </x:c>
      <x:c r="F30" s="16" t="str">
        <x:v>Founder</x:v>
      </x:c>
      <x:c r="G30" s="16" t="str">
        <x:v>High</x:v>
      </x:c>
      <x:c r="H30" s="16" t="str">
        <x:v>Complete</x:v>
      </x:c>
      <x:c r="I30" s="16" t="str">
        <x:v>W1-028</x:v>
      </x:c>
      <x:c r="J30" s="16" t="str">
        <x:v>Organising group field</x:v>
      </x:c>
      <x:c r="K30" s="18" t="n">
        <x:v>4</x:v>
      </x:c>
      <x:c r="L30" s="18" t="str"/>
      <x:c r="M30" s="16" t="str"/>
    </x:row>
    <x:row r="31">
      <x:c r="A31" s="16" t="str">
        <x:v>W1-030</x:v>
      </x:c>
      <x:c r="B31" s="16" t="str">
        <x:v>Day 2</x:v>
      </x:c>
      <x:c r="C31" s="16" t="str">
        <x:v>Events sheet</x:v>
      </x:c>
      <x:c r="D31" s="16" t="str">
        <x:v>Add Authority involved column</x:v>
      </x:c>
      <x:c r="E31" s="16" t="str">
        <x:v>Relevant department, district authority, police or institution.</x:v>
      </x:c>
      <x:c r="F31" s="16" t="str">
        <x:v>Founder</x:v>
      </x:c>
      <x:c r="G31" s="16" t="str">
        <x:v>High</x:v>
      </x:c>
      <x:c r="H31" s="16" t="str">
        <x:v>Complete</x:v>
      </x:c>
      <x:c r="I31" s="16" t="str">
        <x:v>W1-029</x:v>
      </x:c>
      <x:c r="J31" s="16" t="str">
        <x:v>Authority involved field</x:v>
      </x:c>
      <x:c r="K31" s="18" t="n">
        <x:v>4</x:v>
      </x:c>
      <x:c r="L31" s="18" t="str"/>
      <x:c r="M31" s="16" t="str"/>
    </x:row>
    <x:row r="32">
      <x:c r="A32" s="16" t="str">
        <x:v>W1-031</x:v>
      </x:c>
      <x:c r="B32" s="16" t="str">
        <x:v>Day 2</x:v>
      </x:c>
      <x:c r="C32" s="16" t="str">
        <x:v>Events sheet</x:v>
      </x:c>
      <x:c r="D32" s="16" t="str">
        <x:v>Add Verification status column</x:v>
      </x:c>
      <x:c r="E32" s="16" t="str">
        <x:v>Reported, corroborated, occurrence verified, disputed or other approved status.</x:v>
      </x:c>
      <x:c r="F32" s="16" t="str">
        <x:v>Founder</x:v>
      </x:c>
      <x:c r="G32" s="16" t="str">
        <x:v>High</x:v>
      </x:c>
      <x:c r="H32" s="16" t="str">
        <x:v>Complete</x:v>
      </x:c>
      <x:c r="I32" s="16" t="str">
        <x:v>W1-030</x:v>
      </x:c>
      <x:c r="J32" s="16" t="str">
        <x:v>Verification status field</x:v>
      </x:c>
      <x:c r="K32" s="18" t="n">
        <x:v>4</x:v>
      </x:c>
      <x:c r="L32" s="18" t="str"/>
      <x:c r="M32" s="16" t="str"/>
    </x:row>
    <x:row r="33">
      <x:c r="A33" s="16" t="str">
        <x:v>W1-032</x:v>
      </x:c>
      <x:c r="B33" s="16" t="str">
        <x:v>Day 2</x:v>
      </x:c>
      <x:c r="C33" s="16" t="str">
        <x:v>Events sheet</x:v>
      </x:c>
      <x:c r="D33" s="16" t="str">
        <x:v>Add Date added column</x:v>
      </x:c>
      <x:c r="E33" s="16" t="str">
        <x:v>Date the record was first entered.</x:v>
      </x:c>
      <x:c r="F33" s="16" t="str">
        <x:v>Founder</x:v>
      </x:c>
      <x:c r="G33" s="16" t="str">
        <x:v>High</x:v>
      </x:c>
      <x:c r="H33" s="16" t="str">
        <x:v>Complete</x:v>
      </x:c>
      <x:c r="I33" s="16" t="str">
        <x:v>W1-031</x:v>
      </x:c>
      <x:c r="J33" s="16" t="str">
        <x:v>Date added field</x:v>
      </x:c>
      <x:c r="K33" s="18" t="n">
        <x:v>4</x:v>
      </x:c>
      <x:c r="L33" s="18" t="str"/>
      <x:c r="M33" s="16" t="str"/>
    </x:row>
    <x:row r="34">
      <x:c r="A34" s="16" t="str">
        <x:v>W1-033</x:v>
      </x:c>
      <x:c r="B34" s="16" t="str">
        <x:v>Day 2</x:v>
      </x:c>
      <x:c r="C34" s="16" t="str">
        <x:v>Events sheet</x:v>
      </x:c>
      <x:c r="D34" s="16" t="str">
        <x:v>Add Last reviewed column</x:v>
      </x:c>
      <x:c r="E34" s="16" t="str">
        <x:v>Date the record was most recently checked.</x:v>
      </x:c>
      <x:c r="F34" s="16" t="str">
        <x:v>Founder</x:v>
      </x:c>
      <x:c r="G34" s="16" t="str">
        <x:v>High</x:v>
      </x:c>
      <x:c r="H34" s="16" t="str">
        <x:v>Complete</x:v>
      </x:c>
      <x:c r="I34" s="16" t="str">
        <x:v>W1-032</x:v>
      </x:c>
      <x:c r="J34" s="16" t="str">
        <x:v>Last reviewed field</x:v>
      </x:c>
      <x:c r="K34" s="18" t="n">
        <x:v>4</x:v>
      </x:c>
      <x:c r="L34" s="18" t="str"/>
      <x:c r="M34" s="16" t="str"/>
    </x:row>
    <x:row r="35">
      <x:c r="A35" s="16" t="str">
        <x:v>W1-034</x:v>
      </x:c>
      <x:c r="B35" s="16" t="str">
        <x:v>Day 2</x:v>
      </x:c>
      <x:c r="C35" s="16" t="str">
        <x:v>Events sheet</x:v>
      </x:c>
      <x:c r="D35" s="16" t="str">
        <x:v>Add Published status column</x:v>
      </x:c>
      <x:c r="E35" s="16" t="str">
        <x:v>Candidate, draft, published, unpublished or archived.</x:v>
      </x:c>
      <x:c r="F35" s="16" t="str">
        <x:v>Founder</x:v>
      </x:c>
      <x:c r="G35" s="16" t="str">
        <x:v>High</x:v>
      </x:c>
      <x:c r="H35" s="16" t="str">
        <x:v>Complete</x:v>
      </x:c>
      <x:c r="I35" s="16" t="str">
        <x:v>W1-033</x:v>
      </x:c>
      <x:c r="J35" s="16" t="str">
        <x:v>Published status field</x:v>
      </x:c>
      <x:c r="K35" s="18" t="n">
        <x:v>4</x:v>
      </x:c>
      <x:c r="L35" s="18" t="str"/>
      <x:c r="M35" s="16" t="str"/>
    </x:row>
    <x:row r="36">
      <x:c r="A36" s="16" t="str">
        <x:v>W1-035</x:v>
      </x:c>
      <x:c r="B36" s="16" t="str">
        <x:v>Day 2</x:v>
      </x:c>
      <x:c r="C36" s="16" t="str">
        <x:v>Data model</x:v>
      </x:c>
      <x:c r="D36" s="16" t="str">
        <x:v>Create the Claims sheet</x:v>
      </x:c>
      <x:c r="E36" s="16" t="str">
        <x:v>Add a worksheet named Claims.</x:v>
      </x:c>
      <x:c r="F36" s="16" t="str">
        <x:v>Founder</x:v>
      </x:c>
      <x:c r="G36" s="16" t="str">
        <x:v>High</x:v>
      </x:c>
      <x:c r="H36" s="16" t="str">
        <x:v>Complete</x:v>
      </x:c>
      <x:c r="I36" s="16" t="str">
        <x:v>W1-016</x:v>
      </x:c>
      <x:c r="J36" s="16" t="str">
        <x:v>Claims sheet</x:v>
      </x:c>
      <x:c r="K36" s="18" t="n">
        <x:v>5</x:v>
      </x:c>
      <x:c r="L36" s="18" t="str"/>
      <x:c r="M36" s="16" t="str"/>
    </x:row>
    <x:row r="37">
      <x:c r="A37" s="16" t="str">
        <x:v>W1-036</x:v>
      </x:c>
      <x:c r="B37" s="16" t="str">
        <x:v>Day 2</x:v>
      </x:c>
      <x:c r="C37" s="16" t="str">
        <x:v>Claims sheet</x:v>
      </x:c>
      <x:c r="D37" s="16" t="str">
        <x:v>Add Claim ID column</x:v>
      </x:c>
      <x:c r="E37" s="16" t="str">
        <x:v>Unique identifier for each factual claim.</x:v>
      </x:c>
      <x:c r="F37" s="16" t="str">
        <x:v>Founder</x:v>
      </x:c>
      <x:c r="G37" s="16" t="str">
        <x:v>High</x:v>
      </x:c>
      <x:c r="H37" s="16" t="str">
        <x:v>Complete</x:v>
      </x:c>
      <x:c r="I37" s="16" t="str">
        <x:v>W1-035</x:v>
      </x:c>
      <x:c r="J37" s="16" t="str">
        <x:v>Claim ID field</x:v>
      </x:c>
      <x:c r="K37" s="18" t="n">
        <x:v>4</x:v>
      </x:c>
      <x:c r="L37" s="18" t="str"/>
      <x:c r="M37" s="16" t="str"/>
    </x:row>
    <x:row r="38">
      <x:c r="A38" s="16" t="str">
        <x:v>W1-037</x:v>
      </x:c>
      <x:c r="B38" s="16" t="str">
        <x:v>Day 2</x:v>
      </x:c>
      <x:c r="C38" s="16" t="str">
        <x:v>Claims sheet</x:v>
      </x:c>
      <x:c r="D38" s="16" t="str">
        <x:v>Add Event ID link column</x:v>
      </x:c>
      <x:c r="E38" s="16" t="str">
        <x:v>Connect each claim to its event.</x:v>
      </x:c>
      <x:c r="F38" s="16" t="str">
        <x:v>Founder</x:v>
      </x:c>
      <x:c r="G38" s="16" t="str">
        <x:v>High</x:v>
      </x:c>
      <x:c r="H38" s="16" t="str">
        <x:v>Complete</x:v>
      </x:c>
      <x:c r="I38" s="16" t="str">
        <x:v>W1-036</x:v>
      </x:c>
      <x:c r="J38" s="16" t="str">
        <x:v>Event ID link field</x:v>
      </x:c>
      <x:c r="K38" s="18" t="n">
        <x:v>4</x:v>
      </x:c>
      <x:c r="L38" s="18" t="str"/>
      <x:c r="M38" s="16" t="str"/>
    </x:row>
    <x:row r="39">
      <x:c r="A39" s="16" t="str">
        <x:v>W1-038</x:v>
      </x:c>
      <x:c r="B39" s="16" t="str">
        <x:v>Day 2</x:v>
      </x:c>
      <x:c r="C39" s="16" t="str">
        <x:v>Claims sheet</x:v>
      </x:c>
      <x:c r="D39" s="16" t="str">
        <x:v>Add Claim text column</x:v>
      </x:c>
      <x:c r="E39" s="16" t="str">
        <x:v>One precise factual statement per row.</x:v>
      </x:c>
      <x:c r="F39" s="16" t="str">
        <x:v>Founder</x:v>
      </x:c>
      <x:c r="G39" s="16" t="str">
        <x:v>High</x:v>
      </x:c>
      <x:c r="H39" s="16" t="str">
        <x:v>Complete</x:v>
      </x:c>
      <x:c r="I39" s="16" t="str">
        <x:v>W1-037</x:v>
      </x:c>
      <x:c r="J39" s="16" t="str">
        <x:v>Claim text field</x:v>
      </x:c>
      <x:c r="K39" s="18" t="n">
        <x:v>4</x:v>
      </x:c>
      <x:c r="L39" s="18" t="str"/>
      <x:c r="M39" s="16" t="str"/>
    </x:row>
    <x:row r="40">
      <x:c r="A40" s="16" t="str">
        <x:v>W1-039</x:v>
      </x:c>
      <x:c r="B40" s="16" t="str">
        <x:v>Day 2</x:v>
      </x:c>
      <x:c r="C40" s="16" t="str">
        <x:v>Claims sheet</x:v>
      </x:c>
      <x:c r="D40" s="16" t="str">
        <x:v>Add Claim category column</x:v>
      </x:c>
      <x:c r="E40" s="16" t="str">
        <x:v>Occurrence, demand, response, arrest, injury, disruption, outcome or other.</x:v>
      </x:c>
      <x:c r="F40" s="16" t="str">
        <x:v>Founder</x:v>
      </x:c>
      <x:c r="G40" s="16" t="str">
        <x:v>High</x:v>
      </x:c>
      <x:c r="H40" s="16" t="str">
        <x:v>Complete</x:v>
      </x:c>
      <x:c r="I40" s="16" t="str">
        <x:v>W1-038</x:v>
      </x:c>
      <x:c r="J40" s="16" t="str">
        <x:v>Claim category field</x:v>
      </x:c>
      <x:c r="K40" s="18" t="n">
        <x:v>4</x:v>
      </x:c>
      <x:c r="L40" s="18" t="str"/>
      <x:c r="M40" s="16" t="str"/>
    </x:row>
    <x:row r="41">
      <x:c r="A41" s="16" t="str">
        <x:v>W1-040</x:v>
      </x:c>
      <x:c r="B41" s="16" t="str">
        <x:v>Day 2</x:v>
      </x:c>
      <x:c r="C41" s="16" t="str">
        <x:v>Claims sheet</x:v>
      </x:c>
      <x:c r="D41" s="16" t="str">
        <x:v>Add Claimant column</x:v>
      </x:c>
      <x:c r="E41" s="16" t="str">
        <x:v>Person or organisation making the claim.</x:v>
      </x:c>
      <x:c r="F41" s="16" t="str">
        <x:v>Founder</x:v>
      </x:c>
      <x:c r="G41" s="16" t="str">
        <x:v>High</x:v>
      </x:c>
      <x:c r="H41" s="16" t="str">
        <x:v>Complete</x:v>
      </x:c>
      <x:c r="I41" s="16" t="str">
        <x:v>W1-039</x:v>
      </x:c>
      <x:c r="J41" s="16" t="str">
        <x:v>Claimant field</x:v>
      </x:c>
      <x:c r="K41" s="18" t="n">
        <x:v>4</x:v>
      </x:c>
      <x:c r="L41" s="18" t="str"/>
      <x:c r="M41" s="16" t="str"/>
    </x:row>
    <x:row r="42">
      <x:c r="A42" s="16" t="str">
        <x:v>W1-041</x:v>
      </x:c>
      <x:c r="B42" s="16" t="str">
        <x:v>Day 2</x:v>
      </x:c>
      <x:c r="C42" s="16" t="str">
        <x:v>Claims sheet</x:v>
      </x:c>
      <x:c r="D42" s="16" t="str">
        <x:v>Add Claim status column</x:v>
      </x:c>
      <x:c r="E42" s="16" t="str">
        <x:v>Corroborated, attributed, disputed, unconfirmed or corrected.</x:v>
      </x:c>
      <x:c r="F42" s="16" t="str">
        <x:v>Founder</x:v>
      </x:c>
      <x:c r="G42" s="16" t="str">
        <x:v>High</x:v>
      </x:c>
      <x:c r="H42" s="16" t="str">
        <x:v>Complete</x:v>
      </x:c>
      <x:c r="I42" s="16" t="str">
        <x:v>W1-040</x:v>
      </x:c>
      <x:c r="J42" s="16" t="str">
        <x:v>Claim status field</x:v>
      </x:c>
      <x:c r="K42" s="18" t="n">
        <x:v>4</x:v>
      </x:c>
      <x:c r="L42" s="18" t="str"/>
      <x:c r="M42" s="16" t="str"/>
    </x:row>
    <x:row r="43">
      <x:c r="A43" s="16" t="str">
        <x:v>W1-042</x:v>
      </x:c>
      <x:c r="B43" s="16" t="str">
        <x:v>Day 2</x:v>
      </x:c>
      <x:c r="C43" s="16" t="str">
        <x:v>Claims sheet</x:v>
      </x:c>
      <x:c r="D43" s="16" t="str">
        <x:v>Add Verification notes column</x:v>
      </x:c>
      <x:c r="E43" s="16" t="str">
        <x:v>Explain how the status was assigned.</x:v>
      </x:c>
      <x:c r="F43" s="16" t="str">
        <x:v>Founder</x:v>
      </x:c>
      <x:c r="G43" s="16" t="str">
        <x:v>High</x:v>
      </x:c>
      <x:c r="H43" s="16" t="str">
        <x:v>Complete</x:v>
      </x:c>
      <x:c r="I43" s="16" t="str">
        <x:v>W1-041</x:v>
      </x:c>
      <x:c r="J43" s="16" t="str">
        <x:v>Verification notes field</x:v>
      </x:c>
      <x:c r="K43" s="18" t="n">
        <x:v>4</x:v>
      </x:c>
      <x:c r="L43" s="18" t="str"/>
      <x:c r="M43" s="16" t="str"/>
    </x:row>
    <x:row r="44">
      <x:c r="A44" s="16" t="str">
        <x:v>W1-043</x:v>
      </x:c>
      <x:c r="B44" s="16" t="str">
        <x:v>Day 2</x:v>
      </x:c>
      <x:c r="C44" s="16" t="str">
        <x:v>Claims sheet</x:v>
      </x:c>
      <x:c r="D44" s="16" t="str">
        <x:v>Add Disputed by column</x:v>
      </x:c>
      <x:c r="E44" s="16" t="str">
        <x:v>Name the public party contesting the claim, when applicable.</x:v>
      </x:c>
      <x:c r="F44" s="16" t="str">
        <x:v>Founder</x:v>
      </x:c>
      <x:c r="G44" s="16" t="str">
        <x:v>High</x:v>
      </x:c>
      <x:c r="H44" s="16" t="str">
        <x:v>Complete</x:v>
      </x:c>
      <x:c r="I44" s="16" t="str">
        <x:v>W1-042</x:v>
      </x:c>
      <x:c r="J44" s="16" t="str">
        <x:v>Disputed by field</x:v>
      </x:c>
      <x:c r="K44" s="18" t="n">
        <x:v>4</x:v>
      </x:c>
      <x:c r="L44" s="18" t="str"/>
      <x:c r="M44" s="16" t="str"/>
    </x:row>
    <x:row r="45">
      <x:c r="A45" s="16" t="str">
        <x:v>W1-044</x:v>
      </x:c>
      <x:c r="B45" s="16" t="str">
        <x:v>Day 2</x:v>
      </x:c>
      <x:c r="C45" s="16" t="str">
        <x:v>Claims sheet</x:v>
      </x:c>
      <x:c r="D45" s="16" t="str">
        <x:v>Add Public wording column</x:v>
      </x:c>
      <x:c r="E45" s="16" t="str">
        <x:v>Final neutral wording suitable for publication.</x:v>
      </x:c>
      <x:c r="F45" s="16" t="str">
        <x:v>Founder</x:v>
      </x:c>
      <x:c r="G45" s="16" t="str">
        <x:v>High</x:v>
      </x:c>
      <x:c r="H45" s="16" t="str">
        <x:v>Complete</x:v>
      </x:c>
      <x:c r="I45" s="16" t="str">
        <x:v>W1-043</x:v>
      </x:c>
      <x:c r="J45" s="16" t="str">
        <x:v>Public wording field</x:v>
      </x:c>
      <x:c r="K45" s="18" t="n">
        <x:v>4</x:v>
      </x:c>
      <x:c r="L45" s="18" t="str"/>
      <x:c r="M45" s="16" t="str"/>
    </x:row>
    <x:row r="46">
      <x:c r="A46" s="16" t="str">
        <x:v>W1-045</x:v>
      </x:c>
      <x:c r="B46" s="16" t="str">
        <x:v>Day 2</x:v>
      </x:c>
      <x:c r="C46" s="16" t="str">
        <x:v>Data model</x:v>
      </x:c>
      <x:c r="D46" s="16" t="str">
        <x:v>Create the Sources sheet</x:v>
      </x:c>
      <x:c r="E46" s="16" t="str">
        <x:v>Add a worksheet named Sources.</x:v>
      </x:c>
      <x:c r="F46" s="16" t="str">
        <x:v>Founder</x:v>
      </x:c>
      <x:c r="G46" s="16" t="str">
        <x:v>High</x:v>
      </x:c>
      <x:c r="H46" s="16" t="str">
        <x:v>Complete</x:v>
      </x:c>
      <x:c r="I46" s="16" t="str">
        <x:v>W1-016</x:v>
      </x:c>
      <x:c r="J46" s="16" t="str">
        <x:v>Sources sheet</x:v>
      </x:c>
      <x:c r="K46" s="18" t="n">
        <x:v>5</x:v>
      </x:c>
      <x:c r="L46" s="18" t="str"/>
      <x:c r="M46" s="16" t="str"/>
    </x:row>
    <x:row r="47">
      <x:c r="A47" s="16" t="str">
        <x:v>W1-046</x:v>
      </x:c>
      <x:c r="B47" s="16" t="str">
        <x:v>Day 2</x:v>
      </x:c>
      <x:c r="C47" s="16" t="str">
        <x:v>Sources sheet</x:v>
      </x:c>
      <x:c r="D47" s="16" t="str">
        <x:v>Add Source ID column</x:v>
      </x:c>
      <x:c r="E47" s="16" t="str">
        <x:v>Unique identifier for each source.</x:v>
      </x:c>
      <x:c r="F47" s="16" t="str">
        <x:v>Founder</x:v>
      </x:c>
      <x:c r="G47" s="16" t="str">
        <x:v>High</x:v>
      </x:c>
      <x:c r="H47" s="16" t="str">
        <x:v>Complete</x:v>
      </x:c>
      <x:c r="I47" s="16" t="str">
        <x:v>W1-045</x:v>
      </x:c>
      <x:c r="J47" s="16" t="str">
        <x:v>Source ID field</x:v>
      </x:c>
      <x:c r="K47" s="18" t="n">
        <x:v>4</x:v>
      </x:c>
      <x:c r="L47" s="18" t="str"/>
      <x:c r="M47" s="16" t="str"/>
    </x:row>
    <x:row r="48">
      <x:c r="A48" s="16" t="str">
        <x:v>W1-047</x:v>
      </x:c>
      <x:c r="B48" s="16" t="str">
        <x:v>Day 2</x:v>
      </x:c>
      <x:c r="C48" s="16" t="str">
        <x:v>Sources sheet</x:v>
      </x:c>
      <x:c r="D48" s="16" t="str">
        <x:v>Add Event ID link column</x:v>
      </x:c>
      <x:c r="E48" s="16" t="str">
        <x:v>Connect the source to the relevant event.</x:v>
      </x:c>
      <x:c r="F48" s="16" t="str">
        <x:v>Founder</x:v>
      </x:c>
      <x:c r="G48" s="16" t="str">
        <x:v>High</x:v>
      </x:c>
      <x:c r="H48" s="16" t="str">
        <x:v>Complete</x:v>
      </x:c>
      <x:c r="I48" s="16" t="str">
        <x:v>W1-046</x:v>
      </x:c>
      <x:c r="J48" s="16" t="str">
        <x:v>Event ID link field</x:v>
      </x:c>
      <x:c r="K48" s="18" t="n">
        <x:v>4</x:v>
      </x:c>
      <x:c r="L48" s="18" t="str"/>
      <x:c r="M48" s="16" t="str"/>
    </x:row>
    <x:row r="49">
      <x:c r="A49" s="16" t="str">
        <x:v>W1-048</x:v>
      </x:c>
      <x:c r="B49" s="16" t="str">
        <x:v>Day 2</x:v>
      </x:c>
      <x:c r="C49" s="16" t="str">
        <x:v>Sources sheet</x:v>
      </x:c>
      <x:c r="D49" s="16" t="str">
        <x:v>Add Publisher column</x:v>
      </x:c>
      <x:c r="E49" s="16" t="str">
        <x:v>Name of newspaper, channel, authority or organisation.</x:v>
      </x:c>
      <x:c r="F49" s="16" t="str">
        <x:v>Founder</x:v>
      </x:c>
      <x:c r="G49" s="16" t="str">
        <x:v>High</x:v>
      </x:c>
      <x:c r="H49" s="16" t="str">
        <x:v>Complete</x:v>
      </x:c>
      <x:c r="I49" s="16" t="str">
        <x:v>W1-047</x:v>
      </x:c>
      <x:c r="J49" s="16" t="str">
        <x:v>Publisher field</x:v>
      </x:c>
      <x:c r="K49" s="18" t="n">
        <x:v>4</x:v>
      </x:c>
      <x:c r="L49" s="18" t="str"/>
      <x:c r="M49" s="16" t="str"/>
    </x:row>
    <x:row r="50">
      <x:c r="A50" s="16" t="str">
        <x:v>W1-049</x:v>
      </x:c>
      <x:c r="B50" s="16" t="str">
        <x:v>Day 2</x:v>
      </x:c>
      <x:c r="C50" s="16" t="str">
        <x:v>Sources sheet</x:v>
      </x:c>
      <x:c r="D50" s="16" t="str">
        <x:v>Add Headline column</x:v>
      </x:c>
      <x:c r="E50" s="16" t="str">
        <x:v>Original article, video or document title.</x:v>
      </x:c>
      <x:c r="F50" s="16" t="str">
        <x:v>Founder</x:v>
      </x:c>
      <x:c r="G50" s="16" t="str">
        <x:v>High</x:v>
      </x:c>
      <x:c r="H50" s="16" t="str">
        <x:v>Complete</x:v>
      </x:c>
      <x:c r="I50" s="16" t="str">
        <x:v>W1-048</x:v>
      </x:c>
      <x:c r="J50" s="16" t="str">
        <x:v>Headline field</x:v>
      </x:c>
      <x:c r="K50" s="18" t="n">
        <x:v>4</x:v>
      </x:c>
      <x:c r="L50" s="18" t="str"/>
      <x:c r="M50" s="16" t="str"/>
    </x:row>
    <x:row r="51">
      <x:c r="A51" s="16" t="str">
        <x:v>W1-050</x:v>
      </x:c>
      <x:c r="B51" s="16" t="str">
        <x:v>Day 2</x:v>
      </x:c>
      <x:c r="C51" s="16" t="str">
        <x:v>Sources sheet</x:v>
      </x:c>
      <x:c r="D51" s="16" t="str">
        <x:v>Add Reporter column</x:v>
      </x:c>
      <x:c r="E51" s="16" t="str">
        <x:v>Named reporter or author, where available.</x:v>
      </x:c>
      <x:c r="F51" s="16" t="str">
        <x:v>Founder</x:v>
      </x:c>
      <x:c r="G51" s="16" t="str">
        <x:v>High</x:v>
      </x:c>
      <x:c r="H51" s="16" t="str">
        <x:v>Complete</x:v>
      </x:c>
      <x:c r="I51" s="16" t="str">
        <x:v>W1-049</x:v>
      </x:c>
      <x:c r="J51" s="16" t="str">
        <x:v>Reporter field</x:v>
      </x:c>
      <x:c r="K51" s="18" t="n">
        <x:v>4</x:v>
      </x:c>
      <x:c r="L51" s="18" t="str"/>
      <x:c r="M51" s="16" t="str"/>
    </x:row>
    <x:row r="52">
      <x:c r="A52" s="16" t="str">
        <x:v>W1-051</x:v>
      </x:c>
      <x:c r="B52" s="16" t="str">
        <x:v>Day 2</x:v>
      </x:c>
      <x:c r="C52" s="16" t="str">
        <x:v>Sources sheet</x:v>
      </x:c>
      <x:c r="D52" s="16" t="str">
        <x:v>Add Source URL column</x:v>
      </x:c>
      <x:c r="E52" s="16" t="str">
        <x:v>Original public link.</x:v>
      </x:c>
      <x:c r="F52" s="16" t="str">
        <x:v>Founder</x:v>
      </x:c>
      <x:c r="G52" s="16" t="str">
        <x:v>High</x:v>
      </x:c>
      <x:c r="H52" s="16" t="str">
        <x:v>Complete</x:v>
      </x:c>
      <x:c r="I52" s="16" t="str">
        <x:v>W1-050</x:v>
      </x:c>
      <x:c r="J52" s="16" t="str">
        <x:v>Source URL field</x:v>
      </x:c>
      <x:c r="K52" s="18" t="n">
        <x:v>4</x:v>
      </x:c>
      <x:c r="L52" s="18" t="str"/>
      <x:c r="M52" s="16" t="str"/>
    </x:row>
    <x:row r="53">
      <x:c r="A53" s="16" t="str">
        <x:v>W1-052</x:v>
      </x:c>
      <x:c r="B53" s="16" t="str">
        <x:v>Day 2</x:v>
      </x:c>
      <x:c r="C53" s="16" t="str">
        <x:v>Sources sheet</x:v>
      </x:c>
      <x:c r="D53" s="16" t="str">
        <x:v>Add Publication date column</x:v>
      </x:c>
      <x:c r="E53" s="16" t="str">
        <x:v>Original publication date and time when available.</x:v>
      </x:c>
      <x:c r="F53" s="16" t="str">
        <x:v>Founder</x:v>
      </x:c>
      <x:c r="G53" s="16" t="str">
        <x:v>High</x:v>
      </x:c>
      <x:c r="H53" s="16" t="str">
        <x:v>Complete</x:v>
      </x:c>
      <x:c r="I53" s="16" t="str">
        <x:v>W1-051</x:v>
      </x:c>
      <x:c r="J53" s="16" t="str">
        <x:v>Publication date field</x:v>
      </x:c>
      <x:c r="K53" s="18" t="n">
        <x:v>4</x:v>
      </x:c>
      <x:c r="L53" s="18" t="str"/>
      <x:c r="M53" s="16" t="str"/>
    </x:row>
    <x:row r="54">
      <x:c r="A54" s="16" t="str">
        <x:v>W1-053</x:v>
      </x:c>
      <x:c r="B54" s="16" t="str">
        <x:v>Day 2</x:v>
      </x:c>
      <x:c r="C54" s="16" t="str">
        <x:v>Sources sheet</x:v>
      </x:c>
      <x:c r="D54" s="16" t="str">
        <x:v>Add Source type column</x:v>
      </x:c>
      <x:c r="E54" s="16" t="str">
        <x:v>News, official record, organiser statement, court record, video or other.</x:v>
      </x:c>
      <x:c r="F54" s="16" t="str">
        <x:v>Founder</x:v>
      </x:c>
      <x:c r="G54" s="16" t="str">
        <x:v>High</x:v>
      </x:c>
      <x:c r="H54" s="16" t="str">
        <x:v>Complete</x:v>
      </x:c>
      <x:c r="I54" s="16" t="str">
        <x:v>W1-052</x:v>
      </x:c>
      <x:c r="J54" s="16" t="str">
        <x:v>Source type field</x:v>
      </x:c>
      <x:c r="K54" s="18" t="n">
        <x:v>4</x:v>
      </x:c>
      <x:c r="L54" s="18" t="str"/>
      <x:c r="M54" s="16" t="str"/>
    </x:row>
    <x:row r="55">
      <x:c r="A55" s="16" t="str">
        <x:v>W1-054</x:v>
      </x:c>
      <x:c r="B55" s="16" t="str">
        <x:v>Day 2</x:v>
      </x:c>
      <x:c r="C55" s="16" t="str">
        <x:v>Sources sheet</x:v>
      </x:c>
      <x:c r="D55" s="16" t="str">
        <x:v>Add Original or syndicated column</x:v>
      </x:c>
      <x:c r="E55" s="16" t="str">
        <x:v>Identify whether the source contains independent reporting.</x:v>
      </x:c>
      <x:c r="F55" s="16" t="str">
        <x:v>Founder</x:v>
      </x:c>
      <x:c r="G55" s="16" t="str">
        <x:v>High</x:v>
      </x:c>
      <x:c r="H55" s="16" t="str">
        <x:v>Complete</x:v>
      </x:c>
      <x:c r="I55" s="16" t="str">
        <x:v>W1-053</x:v>
      </x:c>
      <x:c r="J55" s="16" t="str">
        <x:v>Original or syndicated field</x:v>
      </x:c>
      <x:c r="K55" s="18" t="n">
        <x:v>4</x:v>
      </x:c>
      <x:c r="L55" s="18" t="str"/>
      <x:c r="M55" s="16" t="str"/>
    </x:row>
    <x:row r="56">
      <x:c r="A56" s="16" t="str">
        <x:v>W1-055</x:v>
      </x:c>
      <x:c r="B56" s="16" t="str">
        <x:v>Day 2</x:v>
      </x:c>
      <x:c r="C56" s="16" t="str">
        <x:v>Sources sheet</x:v>
      </x:c>
      <x:c r="D56" s="16" t="str">
        <x:v>Add Claims supported column</x:v>
      </x:c>
      <x:c r="E56" s="16" t="str">
        <x:v>List the claim IDs supported by the source.</x:v>
      </x:c>
      <x:c r="F56" s="16" t="str">
        <x:v>Founder</x:v>
      </x:c>
      <x:c r="G56" s="16" t="str">
        <x:v>High</x:v>
      </x:c>
      <x:c r="H56" s="16" t="str">
        <x:v>Complete</x:v>
      </x:c>
      <x:c r="I56" s="16" t="str">
        <x:v>W1-054</x:v>
      </x:c>
      <x:c r="J56" s="16" t="str">
        <x:v>Claims supported field</x:v>
      </x:c>
      <x:c r="K56" s="18" t="n">
        <x:v>4</x:v>
      </x:c>
      <x:c r="L56" s="18" t="str"/>
      <x:c r="M56" s="16" t="str"/>
    </x:row>
    <x:row r="57">
      <x:c r="A57" s="16" t="str">
        <x:v>W1-056</x:v>
      </x:c>
      <x:c r="B57" s="16" t="str">
        <x:v>Day 2</x:v>
      </x:c>
      <x:c r="C57" s="16" t="str">
        <x:v>Sources sheet</x:v>
      </x:c>
      <x:c r="D57" s="16" t="str">
        <x:v>Add Reliability notes column</x:v>
      </x:c>
      <x:c r="E57" s="16" t="str">
        <x:v>Record strengths, weaknesses and provenance.</x:v>
      </x:c>
      <x:c r="F57" s="16" t="str">
        <x:v>Founder</x:v>
      </x:c>
      <x:c r="G57" s="16" t="str">
        <x:v>High</x:v>
      </x:c>
      <x:c r="H57" s="16" t="str">
        <x:v>Complete</x:v>
      </x:c>
      <x:c r="I57" s="16" t="str">
        <x:v>W1-055</x:v>
      </x:c>
      <x:c r="J57" s="16" t="str">
        <x:v>Reliability notes field</x:v>
      </x:c>
      <x:c r="K57" s="18" t="n">
        <x:v>4</x:v>
      </x:c>
      <x:c r="L57" s="18" t="str"/>
      <x:c r="M57" s="16" t="str"/>
    </x:row>
    <x:row r="58">
      <x:c r="A58" s="16" t="str">
        <x:v>W1-057</x:v>
      </x:c>
      <x:c r="B58" s="16" t="str">
        <x:v>Day 2</x:v>
      </x:c>
      <x:c r="C58" s="16" t="str">
        <x:v>Sources sheet</x:v>
      </x:c>
      <x:c r="D58" s="16" t="str">
        <x:v>Add Date accessed column</x:v>
      </x:c>
      <x:c r="E58" s="16" t="str">
        <x:v>Date India Observed reviewed the source.</x:v>
      </x:c>
      <x:c r="F58" s="16" t="str">
        <x:v>Founder</x:v>
      </x:c>
      <x:c r="G58" s="16" t="str">
        <x:v>High</x:v>
      </x:c>
      <x:c r="H58" s="16" t="str">
        <x:v>Complete</x:v>
      </x:c>
      <x:c r="I58" s="16" t="str">
        <x:v>W1-056</x:v>
      </x:c>
      <x:c r="J58" s="16" t="str">
        <x:v>Date accessed field</x:v>
      </x:c>
      <x:c r="K58" s="18" t="n">
        <x:v>4</x:v>
      </x:c>
      <x:c r="L58" s="18" t="str"/>
      <x:c r="M58" s="16" t="str"/>
    </x:row>
    <x:row r="59">
      <x:c r="A59" s="16" t="str">
        <x:v>W1-058</x:v>
      </x:c>
      <x:c r="B59" s="16" t="str">
        <x:v>Day 2</x:v>
      </x:c>
      <x:c r="C59" s="16" t="str">
        <x:v>Sources sheet</x:v>
      </x:c>
      <x:c r="D59" s="16" t="str">
        <x:v>Add Corrected or updated column</x:v>
      </x:c>
      <x:c r="E59" s="16" t="str">
        <x:v>Record publisher corrections or updates.</x:v>
      </x:c>
      <x:c r="F59" s="16" t="str">
        <x:v>Founder</x:v>
      </x:c>
      <x:c r="G59" s="16" t="str">
        <x:v>High</x:v>
      </x:c>
      <x:c r="H59" s="16" t="str">
        <x:v>Complete</x:v>
      </x:c>
      <x:c r="I59" s="16" t="str">
        <x:v>W1-057</x:v>
      </x:c>
      <x:c r="J59" s="16" t="str">
        <x:v>Corrected or updated field</x:v>
      </x:c>
      <x:c r="K59" s="18" t="n">
        <x:v>4</x:v>
      </x:c>
      <x:c r="L59" s="18" t="str"/>
      <x:c r="M59" s="16" t="str"/>
    </x:row>
    <x:row r="60">
      <x:c r="A60" s="16" t="str">
        <x:v>W1-059</x:v>
      </x:c>
      <x:c r="B60" s="16" t="str">
        <x:v>Day 2</x:v>
      </x:c>
      <x:c r="C60" s="16" t="str">
        <x:v>Sources sheet</x:v>
      </x:c>
      <x:c r="D60" s="16" t="str">
        <x:v>Add Archived reference column</x:v>
      </x:c>
      <x:c r="E60" s="16" t="str">
        <x:v>Internal reference for a lawful archive or screenshot if retained.</x:v>
      </x:c>
      <x:c r="F60" s="16" t="str">
        <x:v>Founder</x:v>
      </x:c>
      <x:c r="G60" s="16" t="str">
        <x:v>High</x:v>
      </x:c>
      <x:c r="H60" s="16" t="str">
        <x:v>Complete</x:v>
      </x:c>
      <x:c r="I60" s="16" t="str">
        <x:v>W1-058</x:v>
      </x:c>
      <x:c r="J60" s="16" t="str">
        <x:v>Archived reference field</x:v>
      </x:c>
      <x:c r="K60" s="18" t="n">
        <x:v>4</x:v>
      </x:c>
      <x:c r="L60" s="18" t="str"/>
      <x:c r="M60" s="16" t="str"/>
    </x:row>
    <x:row r="61">
      <x:c r="A61" s="16" t="str">
        <x:v>W1-060</x:v>
      </x:c>
      <x:c r="B61" s="16" t="str">
        <x:v>Day 2</x:v>
      </x:c>
      <x:c r="C61" s="16" t="str">
        <x:v>Data model</x:v>
      </x:c>
      <x:c r="D61" s="16" t="str">
        <x:v>Create the Organisations sheet</x:v>
      </x:c>
      <x:c r="E61" s="16" t="str">
        <x:v>Add a worksheet named Organisations.</x:v>
      </x:c>
      <x:c r="F61" s="16" t="str">
        <x:v>Founder</x:v>
      </x:c>
      <x:c r="G61" s="16" t="str">
        <x:v>High</x:v>
      </x:c>
      <x:c r="H61" s="16" t="str">
        <x:v>Complete</x:v>
      </x:c>
      <x:c r="I61" s="16" t="str">
        <x:v>W1-016</x:v>
      </x:c>
      <x:c r="J61" s="16" t="str">
        <x:v>Organisations sheet</x:v>
      </x:c>
      <x:c r="K61" s="18" t="n">
        <x:v>5</x:v>
      </x:c>
      <x:c r="L61" s="18" t="str"/>
      <x:c r="M61" s="16" t="str"/>
    </x:row>
    <x:row r="62">
      <x:c r="A62" s="16" t="str">
        <x:v>W1-061</x:v>
      </x:c>
      <x:c r="B62" s="16" t="str">
        <x:v>Day 2</x:v>
      </x:c>
      <x:c r="C62" s="16" t="str">
        <x:v>Organisations sheet</x:v>
      </x:c>
      <x:c r="D62" s="16" t="str">
        <x:v>Add Organisation ID column</x:v>
      </x:c>
      <x:c r="E62" s="16" t="str">
        <x:v>Unique identifier.</x:v>
      </x:c>
      <x:c r="F62" s="16" t="str">
        <x:v>Founder</x:v>
      </x:c>
      <x:c r="G62" s="16" t="str">
        <x:v>High</x:v>
      </x:c>
      <x:c r="H62" s="16" t="str">
        <x:v>Complete</x:v>
      </x:c>
      <x:c r="I62" s="16" t="str">
        <x:v>W1-060</x:v>
      </x:c>
      <x:c r="J62" s="16" t="str">
        <x:v>Organisation ID field</x:v>
      </x:c>
      <x:c r="K62" s="18" t="n">
        <x:v>4</x:v>
      </x:c>
      <x:c r="L62" s="18" t="str"/>
      <x:c r="M62" s="16" t="str"/>
    </x:row>
    <x:row r="63">
      <x:c r="A63" s="16" t="str">
        <x:v>W1-062</x:v>
      </x:c>
      <x:c r="B63" s="16" t="str">
        <x:v>Day 2</x:v>
      </x:c>
      <x:c r="C63" s="16" t="str">
        <x:v>Organisations sheet</x:v>
      </x:c>
      <x:c r="D63" s="16" t="str">
        <x:v>Add Official name column</x:v>
      </x:c>
      <x:c r="E63" s="16" t="str">
        <x:v>Standard organisation name.</x:v>
      </x:c>
      <x:c r="F63" s="16" t="str">
        <x:v>Founder</x:v>
      </x:c>
      <x:c r="G63" s="16" t="str">
        <x:v>High</x:v>
      </x:c>
      <x:c r="H63" s="16" t="str">
        <x:v>Complete</x:v>
      </x:c>
      <x:c r="I63" s="16" t="str">
        <x:v>W1-061</x:v>
      </x:c>
      <x:c r="J63" s="16" t="str">
        <x:v>Official name field</x:v>
      </x:c>
      <x:c r="K63" s="18" t="n">
        <x:v>4</x:v>
      </x:c>
      <x:c r="L63" s="18" t="str"/>
      <x:c r="M63" s="16" t="str"/>
    </x:row>
    <x:row r="64">
      <x:c r="A64" s="16" t="str">
        <x:v>W1-063</x:v>
      </x:c>
      <x:c r="B64" s="16" t="str">
        <x:v>Day 2</x:v>
      </x:c>
      <x:c r="C64" s="16" t="str">
        <x:v>Organisations sheet</x:v>
      </x:c>
      <x:c r="D64" s="16" t="str">
        <x:v>Add Organisation type column</x:v>
      </x:c>
      <x:c r="E64" s="16" t="str">
        <x:v>Government, civil society, union, community group, political body or other.</x:v>
      </x:c>
      <x:c r="F64" s="16" t="str">
        <x:v>Founder</x:v>
      </x:c>
      <x:c r="G64" s="16" t="str">
        <x:v>High</x:v>
      </x:c>
      <x:c r="H64" s="16" t="str">
        <x:v>Complete</x:v>
      </x:c>
      <x:c r="I64" s="16" t="str">
        <x:v>W1-062</x:v>
      </x:c>
      <x:c r="J64" s="16" t="str">
        <x:v>Organisation type field</x:v>
      </x:c>
      <x:c r="K64" s="18" t="n">
        <x:v>4</x:v>
      </x:c>
      <x:c r="L64" s="18" t="str"/>
      <x:c r="M64" s="16" t="str"/>
    </x:row>
    <x:row r="65">
      <x:c r="A65" s="16" t="str">
        <x:v>W1-064</x:v>
      </x:c>
      <x:c r="B65" s="16" t="str">
        <x:v>Day 2</x:v>
      </x:c>
      <x:c r="C65" s="16" t="str">
        <x:v>Organisations sheet</x:v>
      </x:c>
      <x:c r="D65" s="16" t="str">
        <x:v>Add State column</x:v>
      </x:c>
      <x:c r="E65" s="16" t="str">
        <x:v>Primary state of operation where relevant.</x:v>
      </x:c>
      <x:c r="F65" s="16" t="str">
        <x:v>Founder</x:v>
      </x:c>
      <x:c r="G65" s="16" t="str">
        <x:v>High</x:v>
      </x:c>
      <x:c r="H65" s="16" t="str">
        <x:v>Complete</x:v>
      </x:c>
      <x:c r="I65" s="16" t="str">
        <x:v>W1-063</x:v>
      </x:c>
      <x:c r="J65" s="16" t="str">
        <x:v>State field</x:v>
      </x:c>
      <x:c r="K65" s="18" t="n">
        <x:v>4</x:v>
      </x:c>
      <x:c r="L65" s="18" t="str"/>
      <x:c r="M65" s="16" t="str"/>
    </x:row>
    <x:row r="66">
      <x:c r="A66" s="16" t="str">
        <x:v>W1-065</x:v>
      </x:c>
      <x:c r="B66" s="16" t="str">
        <x:v>Day 2</x:v>
      </x:c>
      <x:c r="C66" s="16" t="str">
        <x:v>Organisations sheet</x:v>
      </x:c>
      <x:c r="D66" s="16" t="str">
        <x:v>Add Website column</x:v>
      </x:c>
      <x:c r="E66" s="16" t="str">
        <x:v>Official website or public page.</x:v>
      </x:c>
      <x:c r="F66" s="16" t="str">
        <x:v>Founder</x:v>
      </x:c>
      <x:c r="G66" s="16" t="str">
        <x:v>High</x:v>
      </x:c>
      <x:c r="H66" s="16" t="str">
        <x:v>Complete</x:v>
      </x:c>
      <x:c r="I66" s="16" t="str">
        <x:v>W1-064</x:v>
      </x:c>
      <x:c r="J66" s="16" t="str">
        <x:v>Website field</x:v>
      </x:c>
      <x:c r="K66" s="18" t="n">
        <x:v>4</x:v>
      </x:c>
      <x:c r="L66" s="18" t="str"/>
      <x:c r="M66" s="16" t="str"/>
    </x:row>
    <x:row r="67">
      <x:c r="A67" s="16" t="str">
        <x:v>W1-066</x:v>
      </x:c>
      <x:c r="B67" s="16" t="str">
        <x:v>Day 2</x:v>
      </x:c>
      <x:c r="C67" s="16" t="str">
        <x:v>Organisations sheet</x:v>
      </x:c>
      <x:c r="D67" s="16" t="str">
        <x:v>Add Public spokesperson column</x:v>
      </x:c>
      <x:c r="E67" s="16" t="str">
        <x:v>Publicly identified representative, if relevant.</x:v>
      </x:c>
      <x:c r="F67" s="16" t="str">
        <x:v>Founder</x:v>
      </x:c>
      <x:c r="G67" s="16" t="str">
        <x:v>High</x:v>
      </x:c>
      <x:c r="H67" s="16" t="str">
        <x:v>Complete</x:v>
      </x:c>
      <x:c r="I67" s="16" t="str">
        <x:v>W1-065</x:v>
      </x:c>
      <x:c r="J67" s="16" t="str">
        <x:v>Public spokesperson field</x:v>
      </x:c>
      <x:c r="K67" s="18" t="n">
        <x:v>4</x:v>
      </x:c>
      <x:c r="L67" s="18" t="str"/>
      <x:c r="M67" s="16" t="str"/>
    </x:row>
    <x:row r="68">
      <x:c r="A68" s="16" t="str">
        <x:v>W1-067</x:v>
      </x:c>
      <x:c r="B68" s="16" t="str">
        <x:v>Day 2</x:v>
      </x:c>
      <x:c r="C68" s="16" t="str">
        <x:v>Organisations sheet</x:v>
      </x:c>
      <x:c r="D68" s="16" t="str">
        <x:v>Add Notes column</x:v>
      </x:c>
      <x:c r="E68" s="16" t="str">
        <x:v>Name variations and contextual notes.</x:v>
      </x:c>
      <x:c r="F68" s="16" t="str">
        <x:v>Founder</x:v>
      </x:c>
      <x:c r="G68" s="16" t="str">
        <x:v>High</x:v>
      </x:c>
      <x:c r="H68" s="16" t="str">
        <x:v>Complete</x:v>
      </x:c>
      <x:c r="I68" s="16" t="str">
        <x:v>W1-066</x:v>
      </x:c>
      <x:c r="J68" s="16" t="str">
        <x:v>Notes field</x:v>
      </x:c>
      <x:c r="K68" s="18" t="n">
        <x:v>4</x:v>
      </x:c>
      <x:c r="L68" s="18" t="str"/>
      <x:c r="M68" s="16" t="str"/>
    </x:row>
    <x:row r="69">
      <x:c r="A69" s="16" t="str">
        <x:v>W1-068</x:v>
      </x:c>
      <x:c r="B69" s="16" t="str">
        <x:v>Day 2</x:v>
      </x:c>
      <x:c r="C69" s="16" t="str">
        <x:v>Data model</x:v>
      </x:c>
      <x:c r="D69" s="16" t="str">
        <x:v>Create the Corrections sheet</x:v>
      </x:c>
      <x:c r="E69" s="16" t="str">
        <x:v>Add a worksheet named Corrections.</x:v>
      </x:c>
      <x:c r="F69" s="16" t="str">
        <x:v>Founder</x:v>
      </x:c>
      <x:c r="G69" s="16" t="str">
        <x:v>High</x:v>
      </x:c>
      <x:c r="H69" s="16" t="str">
        <x:v>Complete</x:v>
      </x:c>
      <x:c r="I69" s="16" t="str">
        <x:v>W1-016</x:v>
      </x:c>
      <x:c r="J69" s="16" t="str">
        <x:v>Corrections sheet</x:v>
      </x:c>
      <x:c r="K69" s="18" t="n">
        <x:v>5</x:v>
      </x:c>
      <x:c r="L69" s="18" t="str"/>
      <x:c r="M69" s="16" t="str"/>
    </x:row>
    <x:row r="70">
      <x:c r="A70" s="16" t="str">
        <x:v>W1-069</x:v>
      </x:c>
      <x:c r="B70" s="16" t="str">
        <x:v>Day 2</x:v>
      </x:c>
      <x:c r="C70" s="16" t="str">
        <x:v>Corrections sheet</x:v>
      </x:c>
      <x:c r="D70" s="16" t="str">
        <x:v>Add Correction ID column</x:v>
      </x:c>
      <x:c r="E70" s="16" t="str">
        <x:v>Unique correction identifier.</x:v>
      </x:c>
      <x:c r="F70" s="16" t="str">
        <x:v>Founder</x:v>
      </x:c>
      <x:c r="G70" s="16" t="str">
        <x:v>High</x:v>
      </x:c>
      <x:c r="H70" s="16" t="str">
        <x:v>Complete</x:v>
      </x:c>
      <x:c r="I70" s="16" t="str">
        <x:v>W1-068</x:v>
      </x:c>
      <x:c r="J70" s="16" t="str">
        <x:v>Correction ID field</x:v>
      </x:c>
      <x:c r="K70" s="18" t="n">
        <x:v>4</x:v>
      </x:c>
      <x:c r="L70" s="18" t="str"/>
      <x:c r="M70" s="16" t="str"/>
    </x:row>
    <x:row r="71">
      <x:c r="A71" s="16" t="str">
        <x:v>W1-070</x:v>
      </x:c>
      <x:c r="B71" s="16" t="str">
        <x:v>Day 2</x:v>
      </x:c>
      <x:c r="C71" s="16" t="str">
        <x:v>Corrections sheet</x:v>
      </x:c>
      <x:c r="D71" s="16" t="str">
        <x:v>Add Event ID link column</x:v>
      </x:c>
      <x:c r="E71" s="16" t="str">
        <x:v>Connect the correction to the event.</x:v>
      </x:c>
      <x:c r="F71" s="16" t="str">
        <x:v>Founder</x:v>
      </x:c>
      <x:c r="G71" s="16" t="str">
        <x:v>High</x:v>
      </x:c>
      <x:c r="H71" s="16" t="str">
        <x:v>Complete</x:v>
      </x:c>
      <x:c r="I71" s="16" t="str">
        <x:v>W1-069</x:v>
      </x:c>
      <x:c r="J71" s="16" t="str">
        <x:v>Event ID link field</x:v>
      </x:c>
      <x:c r="K71" s="18" t="n">
        <x:v>4</x:v>
      </x:c>
      <x:c r="L71" s="18" t="str"/>
      <x:c r="M71" s="16" t="str"/>
    </x:row>
    <x:row r="72">
      <x:c r="A72" s="16" t="str">
        <x:v>W1-071</x:v>
      </x:c>
      <x:c r="B72" s="16" t="str">
        <x:v>Day 2</x:v>
      </x:c>
      <x:c r="C72" s="16" t="str">
        <x:v>Corrections sheet</x:v>
      </x:c>
      <x:c r="D72" s="16" t="str">
        <x:v>Add Date corrected column</x:v>
      </x:c>
      <x:c r="E72" s="16" t="str">
        <x:v>Date of the correction.</x:v>
      </x:c>
      <x:c r="F72" s="16" t="str">
        <x:v>Founder</x:v>
      </x:c>
      <x:c r="G72" s="16" t="str">
        <x:v>High</x:v>
      </x:c>
      <x:c r="H72" s="16" t="str">
        <x:v>Complete</x:v>
      </x:c>
      <x:c r="I72" s="16" t="str">
        <x:v>W1-070</x:v>
      </x:c>
      <x:c r="J72" s="16" t="str">
        <x:v>Date corrected field</x:v>
      </x:c>
      <x:c r="K72" s="18" t="n">
        <x:v>4</x:v>
      </x:c>
      <x:c r="L72" s="18" t="str"/>
      <x:c r="M72" s="16" t="str"/>
    </x:row>
    <x:row r="73">
      <x:c r="A73" s="16" t="str">
        <x:v>W1-072</x:v>
      </x:c>
      <x:c r="B73" s="16" t="str">
        <x:v>Day 2</x:v>
      </x:c>
      <x:c r="C73" s="16" t="str">
        <x:v>Corrections sheet</x:v>
      </x:c>
      <x:c r="D73" s="16" t="str">
        <x:v>Add Previous wording column</x:v>
      </x:c>
      <x:c r="E73" s="16" t="str">
        <x:v>Exact earlier wording.</x:v>
      </x:c>
      <x:c r="F73" s="16" t="str">
        <x:v>Founder</x:v>
      </x:c>
      <x:c r="G73" s="16" t="str">
        <x:v>High</x:v>
      </x:c>
      <x:c r="H73" s="16" t="str">
        <x:v>Complete</x:v>
      </x:c>
      <x:c r="I73" s="16" t="str">
        <x:v>W1-071</x:v>
      </x:c>
      <x:c r="J73" s="16" t="str">
        <x:v>Previous wording field</x:v>
      </x:c>
      <x:c r="K73" s="18" t="n">
        <x:v>4</x:v>
      </x:c>
      <x:c r="L73" s="18" t="str"/>
      <x:c r="M73" s="16" t="str"/>
    </x:row>
    <x:row r="74">
      <x:c r="A74" s="16" t="str">
        <x:v>W1-073</x:v>
      </x:c>
      <x:c r="B74" s="16" t="str">
        <x:v>Day 2</x:v>
      </x:c>
      <x:c r="C74" s="16" t="str">
        <x:v>Corrections sheet</x:v>
      </x:c>
      <x:c r="D74" s="16" t="str">
        <x:v>Add Corrected wording column</x:v>
      </x:c>
      <x:c r="E74" s="16" t="str">
        <x:v>Replacement wording.</x:v>
      </x:c>
      <x:c r="F74" s="16" t="str">
        <x:v>Founder</x:v>
      </x:c>
      <x:c r="G74" s="16" t="str">
        <x:v>High</x:v>
      </x:c>
      <x:c r="H74" s="16" t="str">
        <x:v>Complete</x:v>
      </x:c>
      <x:c r="I74" s="16" t="str">
        <x:v>W1-072</x:v>
      </x:c>
      <x:c r="J74" s="16" t="str">
        <x:v>Corrected wording field</x:v>
      </x:c>
      <x:c r="K74" s="18" t="n">
        <x:v>4</x:v>
      </x:c>
      <x:c r="L74" s="18" t="str"/>
      <x:c r="M74" s="16" t="str"/>
    </x:row>
    <x:row r="75">
      <x:c r="A75" s="16" t="str">
        <x:v>W1-074</x:v>
      </x:c>
      <x:c r="B75" s="16" t="str">
        <x:v>Day 2</x:v>
      </x:c>
      <x:c r="C75" s="16" t="str">
        <x:v>Corrections sheet</x:v>
      </x:c>
      <x:c r="D75" s="16" t="str">
        <x:v>Add Reason column</x:v>
      </x:c>
      <x:c r="E75" s="16" t="str">
        <x:v>Why the correction was necessary.</x:v>
      </x:c>
      <x:c r="F75" s="16" t="str">
        <x:v>Founder</x:v>
      </x:c>
      <x:c r="G75" s="16" t="str">
        <x:v>High</x:v>
      </x:c>
      <x:c r="H75" s="16" t="str">
        <x:v>Complete</x:v>
      </x:c>
      <x:c r="I75" s="16" t="str">
        <x:v>W1-073</x:v>
      </x:c>
      <x:c r="J75" s="16" t="str">
        <x:v>Reason field</x:v>
      </x:c>
      <x:c r="K75" s="18" t="n">
        <x:v>4</x:v>
      </x:c>
      <x:c r="L75" s="18" t="str"/>
      <x:c r="M75" s="16" t="str"/>
    </x:row>
    <x:row r="76">
      <x:c r="A76" s="16" t="str">
        <x:v>W1-075</x:v>
      </x:c>
      <x:c r="B76" s="16" t="str">
        <x:v>Day 2</x:v>
      </x:c>
      <x:c r="C76" s="16" t="str">
        <x:v>Corrections sheet</x:v>
      </x:c>
      <x:c r="D76" s="16" t="str">
        <x:v>Add Supporting source column</x:v>
      </x:c>
      <x:c r="E76" s="16" t="str">
        <x:v>Source or evidence supporting the change.</x:v>
      </x:c>
      <x:c r="F76" s="16" t="str">
        <x:v>Founder</x:v>
      </x:c>
      <x:c r="G76" s="16" t="str">
        <x:v>High</x:v>
      </x:c>
      <x:c r="H76" s="16" t="str">
        <x:v>Complete</x:v>
      </x:c>
      <x:c r="I76" s="16" t="str">
        <x:v>W1-074</x:v>
      </x:c>
      <x:c r="J76" s="16" t="str">
        <x:v>Supporting source field</x:v>
      </x:c>
      <x:c r="K76" s="18" t="n">
        <x:v>4</x:v>
      </x:c>
      <x:c r="L76" s="18" t="str"/>
      <x:c r="M76" s="16" t="str"/>
    </x:row>
    <x:row r="77">
      <x:c r="A77" s="16" t="str">
        <x:v>W1-076</x:v>
      </x:c>
      <x:c r="B77" s="16" t="str">
        <x:v>Day 2</x:v>
      </x:c>
      <x:c r="C77" s="16" t="str">
        <x:v>Data model</x:v>
      </x:c>
      <x:c r="D77" s="16" t="str">
        <x:v>Review and standardise all field names</x:v>
      </x:c>
      <x:c r="E77" s="16" t="str">
        <x:v>Remove duplicate fields, standardise spelling and ensure every field has one clear purpose.</x:v>
      </x:c>
      <x:c r="F77" s="16" t="str">
        <x:v>Founder</x:v>
      </x:c>
      <x:c r="G77" s="16" t="str">
        <x:v>High</x:v>
      </x:c>
      <x:c r="H77" s="16" t="str">
        <x:v>Complete</x:v>
      </x:c>
      <x:c r="I77" s="16" t="str">
        <x:v>W1-017, W1-035, W1-045, W1-060, W1-068</x:v>
      </x:c>
      <x:c r="J77" s="16" t="str">
        <x:v>Approved spreadsheet schema</x:v>
      </x:c>
      <x:c r="K77" s="18" t="n">
        <x:v>30</x:v>
      </x:c>
      <x:c r="L77" s="18" t="str"/>
      <x:c r="M77" s="16" t="str">
        <x:v>Field names standardised; scope status, last-confirmed date, internal notes, claim count and source count added as controlled extensions.</x:v>
      </x:c>
    </x:row>
    <x:row r="78">
      <x:c r="A78" s="16" t="str">
        <x:v>W1-077</x:v>
      </x:c>
      <x:c r="B78" s="16" t="str">
        <x:v>Day 2</x:v>
      </x:c>
      <x:c r="C78" s="16" t="str">
        <x:v>Data model</x:v>
      </x:c>
      <x:c r="D78" s="16" t="str">
        <x:v>Create sample IDs for each sheet</x:v>
      </x:c>
      <x:c r="E78" s="16" t="str">
        <x:v>Enter one example ID format for events, claims, sources, organisations and corrections.</x:v>
      </x:c>
      <x:c r="F78" s="16" t="str">
        <x:v>Founder</x:v>
      </x:c>
      <x:c r="G78" s="16" t="str">
        <x:v>High</x:v>
      </x:c>
      <x:c r="H78" s="16" t="str">
        <x:v>Complete</x:v>
      </x:c>
      <x:c r="I78" s="16" t="str">
        <x:v>W1-076</x:v>
      </x:c>
      <x:c r="J78" s="16" t="str">
        <x:v>ID naming convention</x:v>
      </x:c>
      <x:c r="K78" s="18" t="n">
        <x:v>15</x:v>
      </x:c>
      <x:c r="L78" s="18" t="str"/>
      <x:c r="M78" s="16" t="str">
        <x:v>ID patterns documented on the Lists and Data Dictionary sheets.</x:v>
      </x:c>
    </x:row>
    <x:row r="79">
      <x:c r="A79" s="16" t="str">
        <x:v>W1-078</x:v>
      </x:c>
      <x:c r="B79" s="16" t="str">
        <x:v>Day 2</x:v>
      </x:c>
      <x:c r="C79" s="16" t="str">
        <x:v>Data model</x:v>
      </x:c>
      <x:c r="D79" s="16" t="str">
        <x:v>Freeze the Day 2 spreadsheet template</x:v>
      </x:c>
      <x:c r="E79" s="16" t="str">
        <x:v>Save a clean master copy before entering research data.</x:v>
      </x:c>
      <x:c r="F79" s="16" t="str">
        <x:v>Founder</x:v>
      </x:c>
      <x:c r="G79" s="16" t="str">
        <x:v>High</x:v>
      </x:c>
      <x:c r="H79" s="16" t="str">
        <x:v>Complete</x:v>
      </x:c>
      <x:c r="I79" s="16" t="str">
        <x:v>W1-076</x:v>
      </x:c>
      <x:c r="J79" s="16" t="str">
        <x:v>Day 2 spreadsheet template complete</x:v>
      </x:c>
      <x:c r="K79" s="18" t="n">
        <x:v>10</x:v>
      </x:c>
      <x:c r="L79" s="18" t="str"/>
      <x:c r="M79" s="16" t="str">
        <x:v>Day 2 template frozen with validation lists, tables, formulas and first methodology-test record IO-CM-MP-0001.</x:v>
      </x:c>
    </x:row>
    <x:row r="80">
      <x:c r="A80" s="16" t="str">
        <x:v>W1-079</x:v>
      </x:c>
      <x:c r="B80" s="16" t="str">
        <x:v>Day 3</x:v>
      </x:c>
      <x:c r="C80" s="16" t="str">
        <x:v>Research setup</x:v>
      </x:c>
      <x:c r="D80" s="16" t="str">
        <x:v>Create a national candidate-event research list</x:v>
      </x:c>
      <x:c r="E80" s="16" t="str">
        <x:v>Identify at least eight possible civic events across India, then select five that meet the inclusion and source-independence criteria.</x:v>
      </x:c>
      <x:c r="F80" s="16" t="str">
        <x:v>Founder</x:v>
      </x:c>
      <x:c r="G80" s="16" t="str">
        <x:v>High</x:v>
      </x:c>
      <x:c r="H80" s="16" t="str">
        <x:v>Complete</x:v>
      </x:c>
      <x:c r="I80" s="16" t="str"/>
      <x:c r="J80" s="16" t="str">
        <x:v>Eight national candidates reviewed; five selected</x:v>
      </x:c>
      <x:c r="K80" s="18" t="n">
        <x:v>45</x:v>
      </x:c>
      <x:c r="L80" s="18" t="str"/>
      <x:c r="M80" s="16" t="str">
        <x:v>Candidate Events sheet created with eight national candidates, five selected and three retained for later research.</x:v>
      </x:c>
    </x:row>
    <x:row r="81">
      <x:c r="A81" s="16" t="str">
        <x:v>W1-080</x:v>
      </x:c>
      <x:c r="B81" s="16" t="str">
        <x:v>Day 3</x:v>
      </x:c>
      <x:c r="C81" s="16" t="str">
        <x:v>Event 1 research</x:v>
      </x:c>
      <x:c r="D81" s="16" t="str">
        <x:v>Identify Event 1</x:v>
      </x:c>
      <x:c r="E81" s="16" t="str">
        <x:v>Choose one real event that fits the frozen pilot scope.</x:v>
      </x:c>
      <x:c r="F81" s="16" t="str">
        <x:v>Founder</x:v>
      </x:c>
      <x:c r="G81" s="16" t="str">
        <x:v>High</x:v>
      </x:c>
      <x:c r="H81" s="16" t="str">
        <x:v>Complete</x:v>
      </x:c>
      <x:c r="I81" s="16" t="str">
        <x:v>W1-079</x:v>
      </x:c>
      <x:c r="J81" s="16" t="str">
        <x:v>Event 1 selected</x:v>
      </x:c>
      <x:c r="K81" s="18" t="n">
        <x:v>15</x:v>
      </x:c>
      <x:c r="L81" s="18" t="str"/>
      <x:c r="M81" s="16" t="str">
        <x:v>Completed for IO-CM-MP-0001 — Bundelkhand rehabilitation and compensation protest.</x:v>
      </x:c>
    </x:row>
    <x:row r="82">
      <x:c r="A82" s="16" t="str">
        <x:v>W1-081</x:v>
      </x:c>
      <x:c r="B82" s="16" t="str">
        <x:v>Day 3</x:v>
      </x:c>
      <x:c r="C82" s="16" t="str">
        <x:v>Event 1 research</x:v>
      </x:c>
      <x:c r="D82" s="16" t="str">
        <x:v>Find the first credible source for Event 1</x:v>
      </x:c>
      <x:c r="E82" s="16" t="str">
        <x:v>Prefer original reporting, an official notice or a traceable primary source.</x:v>
      </x:c>
      <x:c r="F82" s="16" t="str">
        <x:v>Founder</x:v>
      </x:c>
      <x:c r="G82" s="16" t="str">
        <x:v>High</x:v>
      </x:c>
      <x:c r="H82" s="16" t="str">
        <x:v>Complete</x:v>
      </x:c>
      <x:c r="I82" s="16" t="str">
        <x:v>W1-080</x:v>
      </x:c>
      <x:c r="J82" s="16" t="str">
        <x:v>Source 1 saved</x:v>
      </x:c>
      <x:c r="K82" s="18" t="n">
        <x:v>20</x:v>
      </x:c>
      <x:c r="L82" s="18" t="str"/>
      <x:c r="M82" s="16" t="str">
        <x:v>Completed for IO-CM-MP-0001 — Bundelkhand rehabilitation and compensation protest.</x:v>
      </x:c>
    </x:row>
    <x:row r="83">
      <x:c r="A83" s="16" t="str">
        <x:v>W1-082</x:v>
      </x:c>
      <x:c r="B83" s="16" t="str">
        <x:v>Day 3</x:v>
      </x:c>
      <x:c r="C83" s="16" t="str">
        <x:v>Event 1 research</x:v>
      </x:c>
      <x:c r="D83" s="16" t="str">
        <x:v>Find an independent corroborating source for Event 1</x:v>
      </x:c>
      <x:c r="E83" s="16" t="str">
        <x:v>Confirm that it does not merely copy the first source or the same news agency.</x:v>
      </x:c>
      <x:c r="F83" s="16" t="str">
        <x:v>Founder</x:v>
      </x:c>
      <x:c r="G83" s="16" t="str">
        <x:v>High</x:v>
      </x:c>
      <x:c r="H83" s="16" t="str">
        <x:v>Complete</x:v>
      </x:c>
      <x:c r="I83" s="16" t="str">
        <x:v>W1-081</x:v>
      </x:c>
      <x:c r="J83" s="16" t="str">
        <x:v>Independent Source 2 saved</x:v>
      </x:c>
      <x:c r="K83" s="18" t="n">
        <x:v>25</x:v>
      </x:c>
      <x:c r="L83" s="18" t="str"/>
      <x:c r="M83" s="16" t="str">
        <x:v>Completed for IO-CM-MP-0001 — Bundelkhand rehabilitation and compensation protest.</x:v>
      </x:c>
    </x:row>
    <x:row r="84">
      <x:c r="A84" s="16" t="str">
        <x:v>W1-083</x:v>
      </x:c>
      <x:c r="B84" s="16" t="str">
        <x:v>Day 3</x:v>
      </x:c>
      <x:c r="C84" s="16" t="str">
        <x:v>Event 1 research</x:v>
      </x:c>
      <x:c r="D84" s="16" t="str">
        <x:v>Enter Event 1 in the Events sheet</x:v>
      </x:c>
      <x:c r="E84" s="16" t="str">
        <x:v>Complete all available event-level fields and leave unknown facts blank rather than guessing.</x:v>
      </x:c>
      <x:c r="F84" s="16" t="str">
        <x:v>Founder</x:v>
      </x:c>
      <x:c r="G84" s="16" t="str">
        <x:v>High</x:v>
      </x:c>
      <x:c r="H84" s="16" t="str">
        <x:v>Complete</x:v>
      </x:c>
      <x:c r="I84" s="16" t="str">
        <x:v>W1-082</x:v>
      </x:c>
      <x:c r="J84" s="16" t="str">
        <x:v>Event 1 row</x:v>
      </x:c>
      <x:c r="K84" s="18" t="n">
        <x:v>20</x:v>
      </x:c>
      <x:c r="L84" s="18" t="str"/>
      <x:c r="M84" s="16" t="str">
        <x:v>Completed for IO-CM-MP-0001 — Bundelkhand rehabilitation and compensation protest.</x:v>
      </x:c>
    </x:row>
    <x:row r="85">
      <x:c r="A85" s="16" t="str">
        <x:v>W1-084</x:v>
      </x:c>
      <x:c r="B85" s="16" t="str">
        <x:v>Day 3</x:v>
      </x:c>
      <x:c r="C85" s="16" t="str">
        <x:v>Event 1 research</x:v>
      </x:c>
      <x:c r="D85" s="16" t="str">
        <x:v>Break Event 1 into separate claims</x:v>
      </x:c>
      <x:c r="E85" s="16" t="str">
        <x:v>Create one row for each important factual statement.</x:v>
      </x:c>
      <x:c r="F85" s="16" t="str">
        <x:v>Founder</x:v>
      </x:c>
      <x:c r="G85" s="16" t="str">
        <x:v>High</x:v>
      </x:c>
      <x:c r="H85" s="16" t="str">
        <x:v>Complete</x:v>
      </x:c>
      <x:c r="I85" s="16" t="str">
        <x:v>W1-083</x:v>
      </x:c>
      <x:c r="J85" s="16" t="str">
        <x:v>Event 1 claim rows</x:v>
      </x:c>
      <x:c r="K85" s="18" t="n">
        <x:v>30</x:v>
      </x:c>
      <x:c r="L85" s="18" t="str"/>
      <x:c r="M85" s="16" t="str">
        <x:v>Completed for IO-CM-MP-0001 — Bundelkhand rehabilitation and compensation protest.</x:v>
      </x:c>
    </x:row>
    <x:row r="86">
      <x:c r="A86" s="16" t="str">
        <x:v>W1-085</x:v>
      </x:c>
      <x:c r="B86" s="16" t="str">
        <x:v>Day 3</x:v>
      </x:c>
      <x:c r="C86" s="16" t="str">
        <x:v>Event 1 research</x:v>
      </x:c>
      <x:c r="D86" s="16" t="str">
        <x:v>Link each claim to supporting sources for Event 1</x:v>
      </x:c>
      <x:c r="E86" s="16" t="str">
        <x:v>Ensure every significant claim has a source trail.</x:v>
      </x:c>
      <x:c r="F86" s="16" t="str">
        <x:v>Founder</x:v>
      </x:c>
      <x:c r="G86" s="16" t="str">
        <x:v>High</x:v>
      </x:c>
      <x:c r="H86" s="16" t="str">
        <x:v>Complete</x:v>
      </x:c>
      <x:c r="I86" s="16" t="str">
        <x:v>W1-084</x:v>
      </x:c>
      <x:c r="J86" s="16" t="str">
        <x:v>Claim-source links</x:v>
      </x:c>
      <x:c r="K86" s="18" t="n">
        <x:v>20</x:v>
      </x:c>
      <x:c r="L86" s="18" t="str"/>
      <x:c r="M86" s="16" t="str">
        <x:v>Completed for IO-CM-MP-0001 — Bundelkhand rehabilitation and compensation protest.</x:v>
      </x:c>
    </x:row>
    <x:row r="87">
      <x:c r="A87" s="16" t="str">
        <x:v>W1-086</x:v>
      </x:c>
      <x:c r="B87" s="16" t="str">
        <x:v>Day 3</x:v>
      </x:c>
      <x:c r="C87" s="16" t="str">
        <x:v>Event 1 research</x:v>
      </x:c>
      <x:c r="D87" s="16" t="str">
        <x:v>Record conflicting accounts for Event 1</x:v>
      </x:c>
      <x:c r="E87" s="16" t="str">
        <x:v>Mark crowd estimates, arrest figures, responsibility or other disputed facts separately.</x:v>
      </x:c>
      <x:c r="F87" s="16" t="str">
        <x:v>Founder</x:v>
      </x:c>
      <x:c r="G87" s="16" t="str">
        <x:v>High</x:v>
      </x:c>
      <x:c r="H87" s="16" t="str">
        <x:v>Complete</x:v>
      </x:c>
      <x:c r="I87" s="16" t="str">
        <x:v>W1-085</x:v>
      </x:c>
      <x:c r="J87" s="16" t="str">
        <x:v>Disputed details recorded</x:v>
      </x:c>
      <x:c r="K87" s="18" t="n">
        <x:v>15</x:v>
      </x:c>
      <x:c r="L87" s="18" t="str"/>
      <x:c r="M87" s="16" t="str">
        <x:v>Completed for IO-CM-MP-0001 — Bundelkhand rehabilitation and compensation protest.</x:v>
      </x:c>
    </x:row>
    <x:row r="88">
      <x:c r="A88" s="16" t="str">
        <x:v>W1-087</x:v>
      </x:c>
      <x:c r="B88" s="16" t="str">
        <x:v>Day 3</x:v>
      </x:c>
      <x:c r="C88" s="16" t="str">
        <x:v>Event 1 research</x:v>
      </x:c>
      <x:c r="D88" s="16" t="str">
        <x:v>Write the neutral summary for Event 1</x:v>
      </x:c>
      <x:c r="E88" s="16" t="str">
        <x:v>Use attributed language and state clearly what remains unconfirmed.</x:v>
      </x:c>
      <x:c r="F88" s="16" t="str">
        <x:v>Founder</x:v>
      </x:c>
      <x:c r="G88" s="16" t="str">
        <x:v>High</x:v>
      </x:c>
      <x:c r="H88" s="16" t="str">
        <x:v>Complete</x:v>
      </x:c>
      <x:c r="I88" s="16" t="str">
        <x:v>W1-086</x:v>
      </x:c>
      <x:c r="J88" s="16" t="str">
        <x:v>Neutral event summary</x:v>
      </x:c>
      <x:c r="K88" s="18" t="n">
        <x:v>20</x:v>
      </x:c>
      <x:c r="L88" s="18" t="str"/>
      <x:c r="M88" s="16" t="str">
        <x:v>Completed for IO-CM-MP-0001 — Bundelkhand rehabilitation and compensation protest.</x:v>
      </x:c>
    </x:row>
    <x:row r="89">
      <x:c r="A89" s="16" t="str">
        <x:v>W1-088</x:v>
      </x:c>
      <x:c r="B89" s="16" t="str">
        <x:v>Day 3</x:v>
      </x:c>
      <x:c r="C89" s="16" t="str">
        <x:v>Event 1 research</x:v>
      </x:c>
      <x:c r="D89" s="16" t="str">
        <x:v>Complete the quality check for Event 1</x:v>
      </x:c>
      <x:c r="E89" s="16" t="str">
        <x:v>Confirm date, location, source independence, neutral wording and privacy protection.</x:v>
      </x:c>
      <x:c r="F89" s="16" t="str">
        <x:v>Founder</x:v>
      </x:c>
      <x:c r="G89" s="16" t="str">
        <x:v>High</x:v>
      </x:c>
      <x:c r="H89" s="16" t="str">
        <x:v>Complete</x:v>
      </x:c>
      <x:c r="I89" s="16" t="str">
        <x:v>W1-087</x:v>
      </x:c>
      <x:c r="J89" s="16" t="str">
        <x:v>Event 1 quality checked</x:v>
      </x:c>
      <x:c r="K89" s="18" t="n">
        <x:v>15</x:v>
      </x:c>
      <x:c r="L89" s="18" t="str"/>
      <x:c r="M89" s="16" t="str">
        <x:v>Completed for IO-CM-MP-0001 — Bundelkhand rehabilitation and compensation protest.</x:v>
      </x:c>
    </x:row>
    <x:row r="90">
      <x:c r="A90" s="16" t="str">
        <x:v>W1-089</x:v>
      </x:c>
      <x:c r="B90" s="16" t="str">
        <x:v>Day 3</x:v>
      </x:c>
      <x:c r="C90" s="16" t="str">
        <x:v>Event 2 research</x:v>
      </x:c>
      <x:c r="D90" s="16" t="str">
        <x:v>Identify Event 2</x:v>
      </x:c>
      <x:c r="E90" s="16" t="str">
        <x:v>Choose one real event that fits the frozen pilot scope.</x:v>
      </x:c>
      <x:c r="F90" s="16" t="str">
        <x:v>Founder</x:v>
      </x:c>
      <x:c r="G90" s="16" t="str">
        <x:v>High</x:v>
      </x:c>
      <x:c r="H90" s="16" t="str">
        <x:v>Complete</x:v>
      </x:c>
      <x:c r="I90" s="16" t="str">
        <x:v>W1-079</x:v>
      </x:c>
      <x:c r="J90" s="16" t="str">
        <x:v>Event 2 selected</x:v>
      </x:c>
      <x:c r="K90" s="18" t="n">
        <x:v>15</x:v>
      </x:c>
      <x:c r="L90" s="18" t="str"/>
      <x:c r="M90" s="16" t="str">
        <x:v>Completed for IO-CM-DL-0001 — Delhi education-accountability sit-in and hunger strike.</x:v>
      </x:c>
    </x:row>
    <x:row r="91">
      <x:c r="A91" s="16" t="str">
        <x:v>W1-090</x:v>
      </x:c>
      <x:c r="B91" s="16" t="str">
        <x:v>Day 3</x:v>
      </x:c>
      <x:c r="C91" s="16" t="str">
        <x:v>Event 2 research</x:v>
      </x:c>
      <x:c r="D91" s="16" t="str">
        <x:v>Find the first credible source for Event 2</x:v>
      </x:c>
      <x:c r="E91" s="16" t="str">
        <x:v>Prefer original reporting, an official notice or a traceable primary source.</x:v>
      </x:c>
      <x:c r="F91" s="16" t="str">
        <x:v>Founder</x:v>
      </x:c>
      <x:c r="G91" s="16" t="str">
        <x:v>High</x:v>
      </x:c>
      <x:c r="H91" s="16" t="str">
        <x:v>Complete</x:v>
      </x:c>
      <x:c r="I91" s="16" t="str">
        <x:v>W1-089</x:v>
      </x:c>
      <x:c r="J91" s="16" t="str">
        <x:v>Source 1 saved</x:v>
      </x:c>
      <x:c r="K91" s="18" t="n">
        <x:v>20</x:v>
      </x:c>
      <x:c r="L91" s="18" t="str"/>
      <x:c r="M91" s="16" t="str">
        <x:v>Completed for IO-CM-DL-0001 — Delhi education-accountability sit-in and hunger strike.</x:v>
      </x:c>
    </x:row>
    <x:row r="92">
      <x:c r="A92" s="16" t="str">
        <x:v>W1-091</x:v>
      </x:c>
      <x:c r="B92" s="16" t="str">
        <x:v>Day 3</x:v>
      </x:c>
      <x:c r="C92" s="16" t="str">
        <x:v>Event 2 research</x:v>
      </x:c>
      <x:c r="D92" s="16" t="str">
        <x:v>Find an independent corroborating source for Event 2</x:v>
      </x:c>
      <x:c r="E92" s="16" t="str">
        <x:v>Confirm that it does not merely copy the first source or the same news agency.</x:v>
      </x:c>
      <x:c r="F92" s="16" t="str">
        <x:v>Founder</x:v>
      </x:c>
      <x:c r="G92" s="16" t="str">
        <x:v>High</x:v>
      </x:c>
      <x:c r="H92" s="16" t="str">
        <x:v>Complete</x:v>
      </x:c>
      <x:c r="I92" s="16" t="str">
        <x:v>W1-090</x:v>
      </x:c>
      <x:c r="J92" s="16" t="str">
        <x:v>Independent Source 2 saved</x:v>
      </x:c>
      <x:c r="K92" s="18" t="n">
        <x:v>25</x:v>
      </x:c>
      <x:c r="L92" s="18" t="str"/>
      <x:c r="M92" s="16" t="str">
        <x:v>Completed for IO-CM-DL-0001 — Delhi education-accountability sit-in and hunger strike.</x:v>
      </x:c>
    </x:row>
    <x:row r="93">
      <x:c r="A93" s="16" t="str">
        <x:v>W1-092</x:v>
      </x:c>
      <x:c r="B93" s="16" t="str">
        <x:v>Day 3</x:v>
      </x:c>
      <x:c r="C93" s="16" t="str">
        <x:v>Event 2 research</x:v>
      </x:c>
      <x:c r="D93" s="16" t="str">
        <x:v>Enter Event 2 in the Events sheet</x:v>
      </x:c>
      <x:c r="E93" s="16" t="str">
        <x:v>Complete all available event-level fields and leave unknown facts blank rather than guessing.</x:v>
      </x:c>
      <x:c r="F93" s="16" t="str">
        <x:v>Founder</x:v>
      </x:c>
      <x:c r="G93" s="16" t="str">
        <x:v>High</x:v>
      </x:c>
      <x:c r="H93" s="16" t="str">
        <x:v>Complete</x:v>
      </x:c>
      <x:c r="I93" s="16" t="str">
        <x:v>W1-091</x:v>
      </x:c>
      <x:c r="J93" s="16" t="str">
        <x:v>Event 2 row</x:v>
      </x:c>
      <x:c r="K93" s="18" t="n">
        <x:v>20</x:v>
      </x:c>
      <x:c r="L93" s="18" t="str"/>
      <x:c r="M93" s="16" t="str">
        <x:v>Completed for IO-CM-DL-0001 — Delhi education-accountability sit-in and hunger strike.</x:v>
      </x:c>
    </x:row>
    <x:row r="94">
      <x:c r="A94" s="16" t="str">
        <x:v>W1-093</x:v>
      </x:c>
      <x:c r="B94" s="16" t="str">
        <x:v>Day 3</x:v>
      </x:c>
      <x:c r="C94" s="16" t="str">
        <x:v>Event 2 research</x:v>
      </x:c>
      <x:c r="D94" s="16" t="str">
        <x:v>Break Event 2 into separate claims</x:v>
      </x:c>
      <x:c r="E94" s="16" t="str">
        <x:v>Create one row for each important factual statement.</x:v>
      </x:c>
      <x:c r="F94" s="16" t="str">
        <x:v>Founder</x:v>
      </x:c>
      <x:c r="G94" s="16" t="str">
        <x:v>High</x:v>
      </x:c>
      <x:c r="H94" s="16" t="str">
        <x:v>Complete</x:v>
      </x:c>
      <x:c r="I94" s="16" t="str">
        <x:v>W1-092</x:v>
      </x:c>
      <x:c r="J94" s="16" t="str">
        <x:v>Event 2 claim rows</x:v>
      </x:c>
      <x:c r="K94" s="18" t="n">
        <x:v>30</x:v>
      </x:c>
      <x:c r="L94" s="18" t="str"/>
      <x:c r="M94" s="16" t="str">
        <x:v>Completed for IO-CM-DL-0001 — Delhi education-accountability sit-in and hunger strike.</x:v>
      </x:c>
    </x:row>
    <x:row r="95">
      <x:c r="A95" s="16" t="str">
        <x:v>W1-094</x:v>
      </x:c>
      <x:c r="B95" s="16" t="str">
        <x:v>Day 3</x:v>
      </x:c>
      <x:c r="C95" s="16" t="str">
        <x:v>Event 2 research</x:v>
      </x:c>
      <x:c r="D95" s="16" t="str">
        <x:v>Link each claim to supporting sources for Event 2</x:v>
      </x:c>
      <x:c r="E95" s="16" t="str">
        <x:v>Ensure every significant claim has a source trail.</x:v>
      </x:c>
      <x:c r="F95" s="16" t="str">
        <x:v>Founder</x:v>
      </x:c>
      <x:c r="G95" s="16" t="str">
        <x:v>High</x:v>
      </x:c>
      <x:c r="H95" s="16" t="str">
        <x:v>Complete</x:v>
      </x:c>
      <x:c r="I95" s="16" t="str">
        <x:v>W1-093</x:v>
      </x:c>
      <x:c r="J95" s="16" t="str">
        <x:v>Claim-source links</x:v>
      </x:c>
      <x:c r="K95" s="18" t="n">
        <x:v>20</x:v>
      </x:c>
      <x:c r="L95" s="18" t="str"/>
      <x:c r="M95" s="16" t="str">
        <x:v>Completed for IO-CM-DL-0001 — Delhi education-accountability sit-in and hunger strike.</x:v>
      </x:c>
    </x:row>
    <x:row r="96">
      <x:c r="A96" s="16" t="str">
        <x:v>W1-095</x:v>
      </x:c>
      <x:c r="B96" s="16" t="str">
        <x:v>Day 3</x:v>
      </x:c>
      <x:c r="C96" s="16" t="str">
        <x:v>Event 2 research</x:v>
      </x:c>
      <x:c r="D96" s="16" t="str">
        <x:v>Record conflicting accounts for Event 2</x:v>
      </x:c>
      <x:c r="E96" s="16" t="str">
        <x:v>Mark crowd estimates, arrest figures, responsibility or other disputed facts separately.</x:v>
      </x:c>
      <x:c r="F96" s="16" t="str">
        <x:v>Founder</x:v>
      </x:c>
      <x:c r="G96" s="16" t="str">
        <x:v>High</x:v>
      </x:c>
      <x:c r="H96" s="16" t="str">
        <x:v>Complete</x:v>
      </x:c>
      <x:c r="I96" s="16" t="str">
        <x:v>W1-094</x:v>
      </x:c>
      <x:c r="J96" s="16" t="str">
        <x:v>Disputed details recorded</x:v>
      </x:c>
      <x:c r="K96" s="18" t="n">
        <x:v>15</x:v>
      </x:c>
      <x:c r="L96" s="18" t="str"/>
      <x:c r="M96" s="16" t="str">
        <x:v>Completed for IO-CM-DL-0001 — Delhi education-accountability sit-in and hunger strike.</x:v>
      </x:c>
    </x:row>
    <x:row r="97">
      <x:c r="A97" s="16" t="str">
        <x:v>W1-096</x:v>
      </x:c>
      <x:c r="B97" s="16" t="str">
        <x:v>Day 3</x:v>
      </x:c>
      <x:c r="C97" s="16" t="str">
        <x:v>Event 2 research</x:v>
      </x:c>
      <x:c r="D97" s="16" t="str">
        <x:v>Write the neutral summary for Event 2</x:v>
      </x:c>
      <x:c r="E97" s="16" t="str">
        <x:v>Use attributed language and state clearly what remains unconfirmed.</x:v>
      </x:c>
      <x:c r="F97" s="16" t="str">
        <x:v>Founder</x:v>
      </x:c>
      <x:c r="G97" s="16" t="str">
        <x:v>High</x:v>
      </x:c>
      <x:c r="H97" s="16" t="str">
        <x:v>Complete</x:v>
      </x:c>
      <x:c r="I97" s="16" t="str">
        <x:v>W1-095</x:v>
      </x:c>
      <x:c r="J97" s="16" t="str">
        <x:v>Neutral event summary</x:v>
      </x:c>
      <x:c r="K97" s="18" t="n">
        <x:v>20</x:v>
      </x:c>
      <x:c r="L97" s="18" t="str"/>
      <x:c r="M97" s="16" t="str">
        <x:v>Completed for IO-CM-DL-0001 — Delhi education-accountability sit-in and hunger strike.</x:v>
      </x:c>
    </x:row>
    <x:row r="98">
      <x:c r="A98" s="16" t="str">
        <x:v>W1-097</x:v>
      </x:c>
      <x:c r="B98" s="16" t="str">
        <x:v>Day 3</x:v>
      </x:c>
      <x:c r="C98" s="16" t="str">
        <x:v>Event 2 research</x:v>
      </x:c>
      <x:c r="D98" s="16" t="str">
        <x:v>Complete the quality check for Event 2</x:v>
      </x:c>
      <x:c r="E98" s="16" t="str">
        <x:v>Confirm date, location, source independence, neutral wording and privacy protection.</x:v>
      </x:c>
      <x:c r="F98" s="16" t="str">
        <x:v>Founder</x:v>
      </x:c>
      <x:c r="G98" s="16" t="str">
        <x:v>High</x:v>
      </x:c>
      <x:c r="H98" s="16" t="str">
        <x:v>Complete</x:v>
      </x:c>
      <x:c r="I98" s="16" t="str">
        <x:v>W1-096</x:v>
      </x:c>
      <x:c r="J98" s="16" t="str">
        <x:v>Event 2 quality checked</x:v>
      </x:c>
      <x:c r="K98" s="18" t="n">
        <x:v>15</x:v>
      </x:c>
      <x:c r="L98" s="18" t="str"/>
      <x:c r="M98" s="16" t="str">
        <x:v>Completed for IO-CM-DL-0001 — Delhi education-accountability sit-in and hunger strike.</x:v>
      </x:c>
    </x:row>
    <x:row r="99">
      <x:c r="A99" s="16" t="str">
        <x:v>W1-098</x:v>
      </x:c>
      <x:c r="B99" s="16" t="str">
        <x:v>Day 3</x:v>
      </x:c>
      <x:c r="C99" s="16" t="str">
        <x:v>Event 3 research</x:v>
      </x:c>
      <x:c r="D99" s="16" t="str">
        <x:v>Identify Event 3</x:v>
      </x:c>
      <x:c r="E99" s="16" t="str">
        <x:v>Choose one real event that fits the frozen pilot scope.</x:v>
      </x:c>
      <x:c r="F99" s="16" t="str">
        <x:v>Founder</x:v>
      </x:c>
      <x:c r="G99" s="16" t="str">
        <x:v>High</x:v>
      </x:c>
      <x:c r="H99" s="16" t="str">
        <x:v>Complete</x:v>
      </x:c>
      <x:c r="I99" s="16" t="str">
        <x:v>W1-079</x:v>
      </x:c>
      <x:c r="J99" s="16" t="str">
        <x:v>Event 3 selected</x:v>
      </x:c>
      <x:c r="K99" s="18" t="n">
        <x:v>15</x:v>
      </x:c>
      <x:c r="L99" s="18" t="str"/>
      <x:c r="M99" s="16" t="str">
        <x:v>Completed for IO-CM-KA-0001 — Mandya KRS irrigation-water protest.</x:v>
      </x:c>
    </x:row>
    <x:row r="100">
      <x:c r="A100" s="16" t="str">
        <x:v>W1-099</x:v>
      </x:c>
      <x:c r="B100" s="16" t="str">
        <x:v>Day 3</x:v>
      </x:c>
      <x:c r="C100" s="16" t="str">
        <x:v>Event 3 research</x:v>
      </x:c>
      <x:c r="D100" s="16" t="str">
        <x:v>Find the first credible source for Event 3</x:v>
      </x:c>
      <x:c r="E100" s="16" t="str">
        <x:v>Prefer original reporting, an official notice or a traceable primary source.</x:v>
      </x:c>
      <x:c r="F100" s="16" t="str">
        <x:v>Founder</x:v>
      </x:c>
      <x:c r="G100" s="16" t="str">
        <x:v>High</x:v>
      </x:c>
      <x:c r="H100" s="16" t="str">
        <x:v>Complete</x:v>
      </x:c>
      <x:c r="I100" s="16" t="str">
        <x:v>W1-098</x:v>
      </x:c>
      <x:c r="J100" s="16" t="str">
        <x:v>Source 1 saved</x:v>
      </x:c>
      <x:c r="K100" s="18" t="n">
        <x:v>20</x:v>
      </x:c>
      <x:c r="L100" s="18" t="str"/>
      <x:c r="M100" s="16" t="str">
        <x:v>Completed for IO-CM-KA-0001 — Mandya KRS irrigation-water protest.</x:v>
      </x:c>
    </x:row>
    <x:row r="101">
      <x:c r="A101" s="16" t="str">
        <x:v>W1-100</x:v>
      </x:c>
      <x:c r="B101" s="16" t="str">
        <x:v>Day 3</x:v>
      </x:c>
      <x:c r="C101" s="16" t="str">
        <x:v>Event 3 research</x:v>
      </x:c>
      <x:c r="D101" s="16" t="str">
        <x:v>Find an independent corroborating source for Event 3</x:v>
      </x:c>
      <x:c r="E101" s="16" t="str">
        <x:v>Confirm that it does not merely copy the first source or the same news agency.</x:v>
      </x:c>
      <x:c r="F101" s="16" t="str">
        <x:v>Founder</x:v>
      </x:c>
      <x:c r="G101" s="16" t="str">
        <x:v>High</x:v>
      </x:c>
      <x:c r="H101" s="16" t="str">
        <x:v>Complete</x:v>
      </x:c>
      <x:c r="I101" s="16" t="str">
        <x:v>W1-099</x:v>
      </x:c>
      <x:c r="J101" s="16" t="str">
        <x:v>Independent Source 2 saved</x:v>
      </x:c>
      <x:c r="K101" s="18" t="n">
        <x:v>25</x:v>
      </x:c>
      <x:c r="L101" s="18" t="str"/>
      <x:c r="M101" s="16" t="str">
        <x:v>Completed for IO-CM-KA-0001 — Mandya KRS irrigation-water protest.</x:v>
      </x:c>
    </x:row>
    <x:row r="102">
      <x:c r="A102" s="16" t="str">
        <x:v>W1-101</x:v>
      </x:c>
      <x:c r="B102" s="16" t="str">
        <x:v>Day 3</x:v>
      </x:c>
      <x:c r="C102" s="16" t="str">
        <x:v>Event 3 research</x:v>
      </x:c>
      <x:c r="D102" s="16" t="str">
        <x:v>Enter Event 3 in the Events sheet</x:v>
      </x:c>
      <x:c r="E102" s="16" t="str">
        <x:v>Complete all available event-level fields and leave unknown facts blank rather than guessing.</x:v>
      </x:c>
      <x:c r="F102" s="16" t="str">
        <x:v>Founder</x:v>
      </x:c>
      <x:c r="G102" s="16" t="str">
        <x:v>High</x:v>
      </x:c>
      <x:c r="H102" s="16" t="str">
        <x:v>Complete</x:v>
      </x:c>
      <x:c r="I102" s="16" t="str">
        <x:v>W1-100</x:v>
      </x:c>
      <x:c r="J102" s="16" t="str">
        <x:v>Event 3 row</x:v>
      </x:c>
      <x:c r="K102" s="18" t="n">
        <x:v>20</x:v>
      </x:c>
      <x:c r="L102" s="18" t="str"/>
      <x:c r="M102" s="16" t="str">
        <x:v>Completed for IO-CM-KA-0001 — Mandya KRS irrigation-water protest.</x:v>
      </x:c>
    </x:row>
    <x:row r="103">
      <x:c r="A103" s="16" t="str">
        <x:v>W1-102</x:v>
      </x:c>
      <x:c r="B103" s="16" t="str">
        <x:v>Day 3</x:v>
      </x:c>
      <x:c r="C103" s="16" t="str">
        <x:v>Event 3 research</x:v>
      </x:c>
      <x:c r="D103" s="16" t="str">
        <x:v>Break Event 3 into separate claims</x:v>
      </x:c>
      <x:c r="E103" s="16" t="str">
        <x:v>Create one row for each important factual statement.</x:v>
      </x:c>
      <x:c r="F103" s="16" t="str">
        <x:v>Founder</x:v>
      </x:c>
      <x:c r="G103" s="16" t="str">
        <x:v>High</x:v>
      </x:c>
      <x:c r="H103" s="16" t="str">
        <x:v>Complete</x:v>
      </x:c>
      <x:c r="I103" s="16" t="str">
        <x:v>W1-101</x:v>
      </x:c>
      <x:c r="J103" s="16" t="str">
        <x:v>Event 3 claim rows</x:v>
      </x:c>
      <x:c r="K103" s="18" t="n">
        <x:v>30</x:v>
      </x:c>
      <x:c r="L103" s="18" t="str"/>
      <x:c r="M103" s="16" t="str">
        <x:v>Completed for IO-CM-KA-0001 — Mandya KRS irrigation-water protest.</x:v>
      </x:c>
    </x:row>
    <x:row r="104">
      <x:c r="A104" s="16" t="str">
        <x:v>W1-103</x:v>
      </x:c>
      <x:c r="B104" s="16" t="str">
        <x:v>Day 3</x:v>
      </x:c>
      <x:c r="C104" s="16" t="str">
        <x:v>Event 3 research</x:v>
      </x:c>
      <x:c r="D104" s="16" t="str">
        <x:v>Link each claim to supporting sources for Event 3</x:v>
      </x:c>
      <x:c r="E104" s="16" t="str">
        <x:v>Ensure every significant claim has a source trail.</x:v>
      </x:c>
      <x:c r="F104" s="16" t="str">
        <x:v>Founder</x:v>
      </x:c>
      <x:c r="G104" s="16" t="str">
        <x:v>High</x:v>
      </x:c>
      <x:c r="H104" s="16" t="str">
        <x:v>Complete</x:v>
      </x:c>
      <x:c r="I104" s="16" t="str">
        <x:v>W1-102</x:v>
      </x:c>
      <x:c r="J104" s="16" t="str">
        <x:v>Claim-source links</x:v>
      </x:c>
      <x:c r="K104" s="18" t="n">
        <x:v>20</x:v>
      </x:c>
      <x:c r="L104" s="18" t="str"/>
      <x:c r="M104" s="16" t="str">
        <x:v>Completed for IO-CM-KA-0001 — Mandya KRS irrigation-water protest.</x:v>
      </x:c>
    </x:row>
    <x:row r="105">
      <x:c r="A105" s="16" t="str">
        <x:v>W1-104</x:v>
      </x:c>
      <x:c r="B105" s="16" t="str">
        <x:v>Day 3</x:v>
      </x:c>
      <x:c r="C105" s="16" t="str">
        <x:v>Event 3 research</x:v>
      </x:c>
      <x:c r="D105" s="16" t="str">
        <x:v>Record conflicting accounts for Event 3</x:v>
      </x:c>
      <x:c r="E105" s="16" t="str">
        <x:v>Mark crowd estimates, arrest figures, responsibility or other disputed facts separately.</x:v>
      </x:c>
      <x:c r="F105" s="16" t="str">
        <x:v>Founder</x:v>
      </x:c>
      <x:c r="G105" s="16" t="str">
        <x:v>High</x:v>
      </x:c>
      <x:c r="H105" s="16" t="str">
        <x:v>Complete</x:v>
      </x:c>
      <x:c r="I105" s="16" t="str">
        <x:v>W1-103</x:v>
      </x:c>
      <x:c r="J105" s="16" t="str">
        <x:v>Disputed details recorded</x:v>
      </x:c>
      <x:c r="K105" s="18" t="n">
        <x:v>15</x:v>
      </x:c>
      <x:c r="L105" s="18" t="str"/>
      <x:c r="M105" s="16" t="str">
        <x:v>Completed for IO-CM-KA-0001 — Mandya KRS irrigation-water protest.</x:v>
      </x:c>
    </x:row>
    <x:row r="106">
      <x:c r="A106" s="16" t="str">
        <x:v>W1-105</x:v>
      </x:c>
      <x:c r="B106" s="16" t="str">
        <x:v>Day 3</x:v>
      </x:c>
      <x:c r="C106" s="16" t="str">
        <x:v>Event 3 research</x:v>
      </x:c>
      <x:c r="D106" s="16" t="str">
        <x:v>Write the neutral summary for Event 3</x:v>
      </x:c>
      <x:c r="E106" s="16" t="str">
        <x:v>Use attributed language and state clearly what remains unconfirmed.</x:v>
      </x:c>
      <x:c r="F106" s="16" t="str">
        <x:v>Founder</x:v>
      </x:c>
      <x:c r="G106" s="16" t="str">
        <x:v>High</x:v>
      </x:c>
      <x:c r="H106" s="16" t="str">
        <x:v>Complete</x:v>
      </x:c>
      <x:c r="I106" s="16" t="str">
        <x:v>W1-104</x:v>
      </x:c>
      <x:c r="J106" s="16" t="str">
        <x:v>Neutral event summary</x:v>
      </x:c>
      <x:c r="K106" s="18" t="n">
        <x:v>20</x:v>
      </x:c>
      <x:c r="L106" s="18" t="str"/>
      <x:c r="M106" s="16" t="str">
        <x:v>Completed for IO-CM-KA-0001 — Mandya KRS irrigation-water protest.</x:v>
      </x:c>
    </x:row>
    <x:row r="107">
      <x:c r="A107" s="16" t="str">
        <x:v>W1-106</x:v>
      </x:c>
      <x:c r="B107" s="16" t="str">
        <x:v>Day 3</x:v>
      </x:c>
      <x:c r="C107" s="16" t="str">
        <x:v>Event 3 research</x:v>
      </x:c>
      <x:c r="D107" s="16" t="str">
        <x:v>Complete the quality check for Event 3</x:v>
      </x:c>
      <x:c r="E107" s="16" t="str">
        <x:v>Confirm date, location, source independence, neutral wording and privacy protection.</x:v>
      </x:c>
      <x:c r="F107" s="16" t="str">
        <x:v>Founder</x:v>
      </x:c>
      <x:c r="G107" s="16" t="str">
        <x:v>High</x:v>
      </x:c>
      <x:c r="H107" s="16" t="str">
        <x:v>Complete</x:v>
      </x:c>
      <x:c r="I107" s="16" t="str">
        <x:v>W1-105</x:v>
      </x:c>
      <x:c r="J107" s="16" t="str">
        <x:v>Event 3 quality checked</x:v>
      </x:c>
      <x:c r="K107" s="18" t="n">
        <x:v>15</x:v>
      </x:c>
      <x:c r="L107" s="18" t="str"/>
      <x:c r="M107" s="16" t="str">
        <x:v>Completed for IO-CM-KA-0001 — Mandya KRS irrigation-water protest.</x:v>
      </x:c>
    </x:row>
    <x:row r="108">
      <x:c r="A108" s="16" t="str">
        <x:v>W1-107</x:v>
      </x:c>
      <x:c r="B108" s="16" t="str">
        <x:v>Day 3</x:v>
      </x:c>
      <x:c r="C108" s="16" t="str">
        <x:v>Event 4 research</x:v>
      </x:c>
      <x:c r="D108" s="16" t="str">
        <x:v>Identify Event 4</x:v>
      </x:c>
      <x:c r="E108" s="16" t="str">
        <x:v>Choose one real event that fits the frozen pilot scope.</x:v>
      </x:c>
      <x:c r="F108" s="16" t="str">
        <x:v>Founder</x:v>
      </x:c>
      <x:c r="G108" s="16" t="str">
        <x:v>High</x:v>
      </x:c>
      <x:c r="H108" s="16" t="str">
        <x:v>Complete</x:v>
      </x:c>
      <x:c r="I108" s="16" t="str">
        <x:v>W1-079</x:v>
      </x:c>
      <x:c r="J108" s="16" t="str">
        <x:v>Event 4 selected</x:v>
      </x:c>
      <x:c r="K108" s="18" t="n">
        <x:v>15</x:v>
      </x:c>
      <x:c r="L108" s="18" t="str"/>
      <x:c r="M108" s="16" t="str">
        <x:v>Completed for IO-CM-CH-0001 — BKU-Rajewal Chandigarh motorcycle rally.</x:v>
      </x:c>
    </x:row>
    <x:row r="109">
      <x:c r="A109" s="16" t="str">
        <x:v>W1-108</x:v>
      </x:c>
      <x:c r="B109" s="16" t="str">
        <x:v>Day 3</x:v>
      </x:c>
      <x:c r="C109" s="16" t="str">
        <x:v>Event 4 research</x:v>
      </x:c>
      <x:c r="D109" s="16" t="str">
        <x:v>Find the first credible source for Event 4</x:v>
      </x:c>
      <x:c r="E109" s="16" t="str">
        <x:v>Prefer original reporting, an official notice or a traceable primary source.</x:v>
      </x:c>
      <x:c r="F109" s="16" t="str">
        <x:v>Founder</x:v>
      </x:c>
      <x:c r="G109" s="16" t="str">
        <x:v>High</x:v>
      </x:c>
      <x:c r="H109" s="16" t="str">
        <x:v>Complete</x:v>
      </x:c>
      <x:c r="I109" s="16" t="str">
        <x:v>W1-107</x:v>
      </x:c>
      <x:c r="J109" s="16" t="str">
        <x:v>Source 1 saved</x:v>
      </x:c>
      <x:c r="K109" s="18" t="n">
        <x:v>20</x:v>
      </x:c>
      <x:c r="L109" s="18" t="str"/>
      <x:c r="M109" s="16" t="str">
        <x:v>Completed for IO-CM-CH-0001 — BKU-Rajewal Chandigarh motorcycle rally.</x:v>
      </x:c>
    </x:row>
    <x:row r="110">
      <x:c r="A110" s="16" t="str">
        <x:v>W1-109</x:v>
      </x:c>
      <x:c r="B110" s="16" t="str">
        <x:v>Day 3</x:v>
      </x:c>
      <x:c r="C110" s="16" t="str">
        <x:v>Event 4 research</x:v>
      </x:c>
      <x:c r="D110" s="16" t="str">
        <x:v>Find an independent corroborating source for Event 4</x:v>
      </x:c>
      <x:c r="E110" s="16" t="str">
        <x:v>Confirm that it does not merely copy the first source or the same news agency.</x:v>
      </x:c>
      <x:c r="F110" s="16" t="str">
        <x:v>Founder</x:v>
      </x:c>
      <x:c r="G110" s="16" t="str">
        <x:v>High</x:v>
      </x:c>
      <x:c r="H110" s="16" t="str">
        <x:v>Complete</x:v>
      </x:c>
      <x:c r="I110" s="16" t="str">
        <x:v>W1-108</x:v>
      </x:c>
      <x:c r="J110" s="16" t="str">
        <x:v>Independent Source 2 saved</x:v>
      </x:c>
      <x:c r="K110" s="18" t="n">
        <x:v>25</x:v>
      </x:c>
      <x:c r="L110" s="18" t="str"/>
      <x:c r="M110" s="16" t="str">
        <x:v>Completed for IO-CM-CH-0001 — BKU-Rajewal Chandigarh motorcycle rally.</x:v>
      </x:c>
    </x:row>
    <x:row r="111">
      <x:c r="A111" s="16" t="str">
        <x:v>W1-110</x:v>
      </x:c>
      <x:c r="B111" s="16" t="str">
        <x:v>Day 3</x:v>
      </x:c>
      <x:c r="C111" s="16" t="str">
        <x:v>Event 4 research</x:v>
      </x:c>
      <x:c r="D111" s="16" t="str">
        <x:v>Enter Event 4 in the Events sheet</x:v>
      </x:c>
      <x:c r="E111" s="16" t="str">
        <x:v>Complete all available event-level fields and leave unknown facts blank rather than guessing.</x:v>
      </x:c>
      <x:c r="F111" s="16" t="str">
        <x:v>Founder</x:v>
      </x:c>
      <x:c r="G111" s="16" t="str">
        <x:v>High</x:v>
      </x:c>
      <x:c r="H111" s="16" t="str">
        <x:v>Complete</x:v>
      </x:c>
      <x:c r="I111" s="16" t="str">
        <x:v>W1-109</x:v>
      </x:c>
      <x:c r="J111" s="16" t="str">
        <x:v>Event 4 row</x:v>
      </x:c>
      <x:c r="K111" s="18" t="n">
        <x:v>20</x:v>
      </x:c>
      <x:c r="L111" s="18" t="str"/>
      <x:c r="M111" s="16" t="str">
        <x:v>Completed for IO-CM-CH-0001 — BKU-Rajewal Chandigarh motorcycle rally.</x:v>
      </x:c>
    </x:row>
    <x:row r="112">
      <x:c r="A112" s="16" t="str">
        <x:v>W1-111</x:v>
      </x:c>
      <x:c r="B112" s="16" t="str">
        <x:v>Day 3</x:v>
      </x:c>
      <x:c r="C112" s="16" t="str">
        <x:v>Event 4 research</x:v>
      </x:c>
      <x:c r="D112" s="16" t="str">
        <x:v>Break Event 4 into separate claims</x:v>
      </x:c>
      <x:c r="E112" s="16" t="str">
        <x:v>Create one row for each important factual statement.</x:v>
      </x:c>
      <x:c r="F112" s="16" t="str">
        <x:v>Founder</x:v>
      </x:c>
      <x:c r="G112" s="16" t="str">
        <x:v>High</x:v>
      </x:c>
      <x:c r="H112" s="16" t="str">
        <x:v>Complete</x:v>
      </x:c>
      <x:c r="I112" s="16" t="str">
        <x:v>W1-110</x:v>
      </x:c>
      <x:c r="J112" s="16" t="str">
        <x:v>Event 4 claim rows</x:v>
      </x:c>
      <x:c r="K112" s="18" t="n">
        <x:v>30</x:v>
      </x:c>
      <x:c r="L112" s="18" t="str"/>
      <x:c r="M112" s="16" t="str">
        <x:v>Completed for IO-CM-CH-0001 — BKU-Rajewal Chandigarh motorcycle rally.</x:v>
      </x:c>
    </x:row>
    <x:row r="113">
      <x:c r="A113" s="16" t="str">
        <x:v>W1-112</x:v>
      </x:c>
      <x:c r="B113" s="16" t="str">
        <x:v>Day 3</x:v>
      </x:c>
      <x:c r="C113" s="16" t="str">
        <x:v>Event 4 research</x:v>
      </x:c>
      <x:c r="D113" s="16" t="str">
        <x:v>Link each claim to supporting sources for Event 4</x:v>
      </x:c>
      <x:c r="E113" s="16" t="str">
        <x:v>Ensure every significant claim has a source trail.</x:v>
      </x:c>
      <x:c r="F113" s="16" t="str">
        <x:v>Founder</x:v>
      </x:c>
      <x:c r="G113" s="16" t="str">
        <x:v>High</x:v>
      </x:c>
      <x:c r="H113" s="16" t="str">
        <x:v>Complete</x:v>
      </x:c>
      <x:c r="I113" s="16" t="str">
        <x:v>W1-111</x:v>
      </x:c>
      <x:c r="J113" s="16" t="str">
        <x:v>Claim-source links</x:v>
      </x:c>
      <x:c r="K113" s="18" t="n">
        <x:v>20</x:v>
      </x:c>
      <x:c r="L113" s="18" t="str"/>
      <x:c r="M113" s="16" t="str">
        <x:v>Completed for IO-CM-CH-0001 — BKU-Rajewal Chandigarh motorcycle rally.</x:v>
      </x:c>
    </x:row>
    <x:row r="114">
      <x:c r="A114" s="16" t="str">
        <x:v>W1-113</x:v>
      </x:c>
      <x:c r="B114" s="16" t="str">
        <x:v>Day 3</x:v>
      </x:c>
      <x:c r="C114" s="16" t="str">
        <x:v>Event 4 research</x:v>
      </x:c>
      <x:c r="D114" s="16" t="str">
        <x:v>Record conflicting accounts for Event 4</x:v>
      </x:c>
      <x:c r="E114" s="16" t="str">
        <x:v>Mark crowd estimates, arrest figures, responsibility or other disputed facts separately.</x:v>
      </x:c>
      <x:c r="F114" s="16" t="str">
        <x:v>Founder</x:v>
      </x:c>
      <x:c r="G114" s="16" t="str">
        <x:v>High</x:v>
      </x:c>
      <x:c r="H114" s="16" t="str">
        <x:v>Complete</x:v>
      </x:c>
      <x:c r="I114" s="16" t="str">
        <x:v>W1-112</x:v>
      </x:c>
      <x:c r="J114" s="16" t="str">
        <x:v>Disputed details recorded</x:v>
      </x:c>
      <x:c r="K114" s="18" t="n">
        <x:v>15</x:v>
      </x:c>
      <x:c r="L114" s="18" t="str"/>
      <x:c r="M114" s="16" t="str">
        <x:v>Completed for IO-CM-CH-0001 — BKU-Rajewal Chandigarh motorcycle rally.</x:v>
      </x:c>
    </x:row>
    <x:row r="115">
      <x:c r="A115" s="16" t="str">
        <x:v>W1-114</x:v>
      </x:c>
      <x:c r="B115" s="16" t="str">
        <x:v>Day 3</x:v>
      </x:c>
      <x:c r="C115" s="16" t="str">
        <x:v>Event 4 research</x:v>
      </x:c>
      <x:c r="D115" s="16" t="str">
        <x:v>Write the neutral summary for Event 4</x:v>
      </x:c>
      <x:c r="E115" s="16" t="str">
        <x:v>Use attributed language and state clearly what remains unconfirmed.</x:v>
      </x:c>
      <x:c r="F115" s="16" t="str">
        <x:v>Founder</x:v>
      </x:c>
      <x:c r="G115" s="16" t="str">
        <x:v>High</x:v>
      </x:c>
      <x:c r="H115" s="16" t="str">
        <x:v>Complete</x:v>
      </x:c>
      <x:c r="I115" s="16" t="str">
        <x:v>W1-113</x:v>
      </x:c>
      <x:c r="J115" s="16" t="str">
        <x:v>Neutral event summary</x:v>
      </x:c>
      <x:c r="K115" s="18" t="n">
        <x:v>20</x:v>
      </x:c>
      <x:c r="L115" s="18" t="str"/>
      <x:c r="M115" s="16" t="str">
        <x:v>Completed for IO-CM-CH-0001 — BKU-Rajewal Chandigarh motorcycle rally.</x:v>
      </x:c>
    </x:row>
    <x:row r="116">
      <x:c r="A116" s="16" t="str">
        <x:v>W1-115</x:v>
      </x:c>
      <x:c r="B116" s="16" t="str">
        <x:v>Day 3</x:v>
      </x:c>
      <x:c r="C116" s="16" t="str">
        <x:v>Event 4 research</x:v>
      </x:c>
      <x:c r="D116" s="16" t="str">
        <x:v>Complete the quality check for Event 4</x:v>
      </x:c>
      <x:c r="E116" s="16" t="str">
        <x:v>Confirm date, location, source independence, neutral wording and privacy protection.</x:v>
      </x:c>
      <x:c r="F116" s="16" t="str">
        <x:v>Founder</x:v>
      </x:c>
      <x:c r="G116" s="16" t="str">
        <x:v>High</x:v>
      </x:c>
      <x:c r="H116" s="16" t="str">
        <x:v>Complete</x:v>
      </x:c>
      <x:c r="I116" s="16" t="str">
        <x:v>W1-114</x:v>
      </x:c>
      <x:c r="J116" s="16" t="str">
        <x:v>Event 4 quality checked</x:v>
      </x:c>
      <x:c r="K116" s="18" t="n">
        <x:v>15</x:v>
      </x:c>
      <x:c r="L116" s="18" t="str"/>
      <x:c r="M116" s="16" t="str">
        <x:v>Completed for IO-CM-CH-0001 — BKU-Rajewal Chandigarh motorcycle rally.</x:v>
      </x:c>
    </x:row>
    <x:row r="117">
      <x:c r="A117" s="16" t="str">
        <x:v>W1-116</x:v>
      </x:c>
      <x:c r="B117" s="16" t="str">
        <x:v>Day 3</x:v>
      </x:c>
      <x:c r="C117" s="16" t="str">
        <x:v>Event 5 research</x:v>
      </x:c>
      <x:c r="D117" s="16" t="str">
        <x:v>Identify Event 5</x:v>
      </x:c>
      <x:c r="E117" s="16" t="str">
        <x:v>Choose one real event that fits the frozen pilot scope.</x:v>
      </x:c>
      <x:c r="F117" s="16" t="str">
        <x:v>Founder</x:v>
      </x:c>
      <x:c r="G117" s="16" t="str">
        <x:v>High</x:v>
      </x:c>
      <x:c r="H117" s="16" t="str">
        <x:v>Complete</x:v>
      </x:c>
      <x:c r="I117" s="16" t="str">
        <x:v>W1-079</x:v>
      </x:c>
      <x:c r="J117" s="16" t="str">
        <x:v>Event 5 selected</x:v>
      </x:c>
      <x:c r="K117" s="18" t="n">
        <x:v>15</x:v>
      </x:c>
      <x:c r="L117" s="18" t="str"/>
      <x:c r="M117" s="16" t="str">
        <x:v>Completed for IO-CM-MH-0001 — Save SGNP Thane citizen protest.</x:v>
      </x:c>
    </x:row>
    <x:row r="118">
      <x:c r="A118" s="16" t="str">
        <x:v>W1-117</x:v>
      </x:c>
      <x:c r="B118" s="16" t="str">
        <x:v>Day 3</x:v>
      </x:c>
      <x:c r="C118" s="16" t="str">
        <x:v>Event 5 research</x:v>
      </x:c>
      <x:c r="D118" s="16" t="str">
        <x:v>Find the first credible source for Event 5</x:v>
      </x:c>
      <x:c r="E118" s="16" t="str">
        <x:v>Prefer original reporting, an official notice or a traceable primary source.</x:v>
      </x:c>
      <x:c r="F118" s="16" t="str">
        <x:v>Founder</x:v>
      </x:c>
      <x:c r="G118" s="16" t="str">
        <x:v>High</x:v>
      </x:c>
      <x:c r="H118" s="16" t="str">
        <x:v>Complete</x:v>
      </x:c>
      <x:c r="I118" s="16" t="str">
        <x:v>W1-116</x:v>
      </x:c>
      <x:c r="J118" s="16" t="str">
        <x:v>Source 1 saved</x:v>
      </x:c>
      <x:c r="K118" s="18" t="n">
        <x:v>20</x:v>
      </x:c>
      <x:c r="L118" s="18" t="str"/>
      <x:c r="M118" s="16" t="str">
        <x:v>Completed for IO-CM-MH-0001 — Save SGNP Thane citizen protest.</x:v>
      </x:c>
    </x:row>
    <x:row r="119">
      <x:c r="A119" s="16" t="str">
        <x:v>W1-118</x:v>
      </x:c>
      <x:c r="B119" s="16" t="str">
        <x:v>Day 3</x:v>
      </x:c>
      <x:c r="C119" s="16" t="str">
        <x:v>Event 5 research</x:v>
      </x:c>
      <x:c r="D119" s="16" t="str">
        <x:v>Find an independent corroborating source for Event 5</x:v>
      </x:c>
      <x:c r="E119" s="16" t="str">
        <x:v>Confirm that it does not merely copy the first source or the same news agency.</x:v>
      </x:c>
      <x:c r="F119" s="16" t="str">
        <x:v>Founder</x:v>
      </x:c>
      <x:c r="G119" s="16" t="str">
        <x:v>High</x:v>
      </x:c>
      <x:c r="H119" s="16" t="str">
        <x:v>Complete</x:v>
      </x:c>
      <x:c r="I119" s="16" t="str">
        <x:v>W1-117</x:v>
      </x:c>
      <x:c r="J119" s="16" t="str">
        <x:v>Independent Source 2 saved</x:v>
      </x:c>
      <x:c r="K119" s="18" t="n">
        <x:v>25</x:v>
      </x:c>
      <x:c r="L119" s="18" t="str"/>
      <x:c r="M119" s="16" t="str">
        <x:v>Completed for IO-CM-MH-0001 — Save SGNP Thane citizen protest.</x:v>
      </x:c>
    </x:row>
    <x:row r="120">
      <x:c r="A120" s="16" t="str">
        <x:v>W1-119</x:v>
      </x:c>
      <x:c r="B120" s="16" t="str">
        <x:v>Day 3</x:v>
      </x:c>
      <x:c r="C120" s="16" t="str">
        <x:v>Event 5 research</x:v>
      </x:c>
      <x:c r="D120" s="16" t="str">
        <x:v>Enter Event 5 in the Events sheet</x:v>
      </x:c>
      <x:c r="E120" s="16" t="str">
        <x:v>Complete all available event-level fields and leave unknown facts blank rather than guessing.</x:v>
      </x:c>
      <x:c r="F120" s="16" t="str">
        <x:v>Founder</x:v>
      </x:c>
      <x:c r="G120" s="16" t="str">
        <x:v>High</x:v>
      </x:c>
      <x:c r="H120" s="16" t="str">
        <x:v>Complete</x:v>
      </x:c>
      <x:c r="I120" s="16" t="str">
        <x:v>W1-118</x:v>
      </x:c>
      <x:c r="J120" s="16" t="str">
        <x:v>Event 5 row</x:v>
      </x:c>
      <x:c r="K120" s="18" t="n">
        <x:v>20</x:v>
      </x:c>
      <x:c r="L120" s="18" t="str"/>
      <x:c r="M120" s="16" t="str">
        <x:v>Completed for IO-CM-MH-0001 — Save SGNP Thane citizen protest.</x:v>
      </x:c>
    </x:row>
    <x:row r="121">
      <x:c r="A121" s="16" t="str">
        <x:v>W1-120</x:v>
      </x:c>
      <x:c r="B121" s="16" t="str">
        <x:v>Day 3</x:v>
      </x:c>
      <x:c r="C121" s="16" t="str">
        <x:v>Event 5 research</x:v>
      </x:c>
      <x:c r="D121" s="16" t="str">
        <x:v>Break Event 5 into separate claims</x:v>
      </x:c>
      <x:c r="E121" s="16" t="str">
        <x:v>Create one row for each important factual statement.</x:v>
      </x:c>
      <x:c r="F121" s="16" t="str">
        <x:v>Founder</x:v>
      </x:c>
      <x:c r="G121" s="16" t="str">
        <x:v>High</x:v>
      </x:c>
      <x:c r="H121" s="16" t="str">
        <x:v>Complete</x:v>
      </x:c>
      <x:c r="I121" s="16" t="str">
        <x:v>W1-119</x:v>
      </x:c>
      <x:c r="J121" s="16" t="str">
        <x:v>Event 5 claim rows</x:v>
      </x:c>
      <x:c r="K121" s="18" t="n">
        <x:v>30</x:v>
      </x:c>
      <x:c r="L121" s="18" t="str"/>
      <x:c r="M121" s="16" t="str">
        <x:v>Completed for IO-CM-MH-0001 — Save SGNP Thane citizen protest.</x:v>
      </x:c>
    </x:row>
    <x:row r="122">
      <x:c r="A122" s="16" t="str">
        <x:v>W1-121</x:v>
      </x:c>
      <x:c r="B122" s="16" t="str">
        <x:v>Day 3</x:v>
      </x:c>
      <x:c r="C122" s="16" t="str">
        <x:v>Event 5 research</x:v>
      </x:c>
      <x:c r="D122" s="16" t="str">
        <x:v>Link each claim to supporting sources for Event 5</x:v>
      </x:c>
      <x:c r="E122" s="16" t="str">
        <x:v>Ensure every significant claim has a source trail.</x:v>
      </x:c>
      <x:c r="F122" s="16" t="str">
        <x:v>Founder</x:v>
      </x:c>
      <x:c r="G122" s="16" t="str">
        <x:v>High</x:v>
      </x:c>
      <x:c r="H122" s="16" t="str">
        <x:v>Complete</x:v>
      </x:c>
      <x:c r="I122" s="16" t="str">
        <x:v>W1-120</x:v>
      </x:c>
      <x:c r="J122" s="16" t="str">
        <x:v>Claim-source links</x:v>
      </x:c>
      <x:c r="K122" s="18" t="n">
        <x:v>20</x:v>
      </x:c>
      <x:c r="L122" s="18" t="str"/>
      <x:c r="M122" s="16" t="str">
        <x:v>Completed for IO-CM-MH-0001 — Save SGNP Thane citizen protest.</x:v>
      </x:c>
    </x:row>
    <x:row r="123">
      <x:c r="A123" s="16" t="str">
        <x:v>W1-122</x:v>
      </x:c>
      <x:c r="B123" s="16" t="str">
        <x:v>Day 3</x:v>
      </x:c>
      <x:c r="C123" s="16" t="str">
        <x:v>Event 5 research</x:v>
      </x:c>
      <x:c r="D123" s="16" t="str">
        <x:v>Record conflicting accounts for Event 5</x:v>
      </x:c>
      <x:c r="E123" s="16" t="str">
        <x:v>Mark crowd estimates, arrest figures, responsibility or other disputed facts separately.</x:v>
      </x:c>
      <x:c r="F123" s="16" t="str">
        <x:v>Founder</x:v>
      </x:c>
      <x:c r="G123" s="16" t="str">
        <x:v>High</x:v>
      </x:c>
      <x:c r="H123" s="16" t="str">
        <x:v>Complete</x:v>
      </x:c>
      <x:c r="I123" s="16" t="str">
        <x:v>W1-121</x:v>
      </x:c>
      <x:c r="J123" s="16" t="str">
        <x:v>Disputed details recorded</x:v>
      </x:c>
      <x:c r="K123" s="18" t="n">
        <x:v>15</x:v>
      </x:c>
      <x:c r="L123" s="18" t="str"/>
      <x:c r="M123" s="16" t="str">
        <x:v>Completed for IO-CM-MH-0001 — Save SGNP Thane citizen protest.</x:v>
      </x:c>
    </x:row>
    <x:row r="124">
      <x:c r="A124" s="16" t="str">
        <x:v>W1-123</x:v>
      </x:c>
      <x:c r="B124" s="16" t="str">
        <x:v>Day 3</x:v>
      </x:c>
      <x:c r="C124" s="16" t="str">
        <x:v>Event 5 research</x:v>
      </x:c>
      <x:c r="D124" s="16" t="str">
        <x:v>Write the neutral summary for Event 5</x:v>
      </x:c>
      <x:c r="E124" s="16" t="str">
        <x:v>Use attributed language and state clearly what remains unconfirmed.</x:v>
      </x:c>
      <x:c r="F124" s="16" t="str">
        <x:v>Founder</x:v>
      </x:c>
      <x:c r="G124" s="16" t="str">
        <x:v>High</x:v>
      </x:c>
      <x:c r="H124" s="16" t="str">
        <x:v>Complete</x:v>
      </x:c>
      <x:c r="I124" s="16" t="str">
        <x:v>W1-122</x:v>
      </x:c>
      <x:c r="J124" s="16" t="str">
        <x:v>Neutral event summary</x:v>
      </x:c>
      <x:c r="K124" s="18" t="n">
        <x:v>20</x:v>
      </x:c>
      <x:c r="L124" s="18" t="str"/>
      <x:c r="M124" s="16" t="str">
        <x:v>Completed for IO-CM-MH-0001 — Save SGNP Thane citizen protest.</x:v>
      </x:c>
    </x:row>
    <x:row r="125">
      <x:c r="A125" s="16" t="str">
        <x:v>W1-124</x:v>
      </x:c>
      <x:c r="B125" s="16" t="str">
        <x:v>Day 3</x:v>
      </x:c>
      <x:c r="C125" s="16" t="str">
        <x:v>Event 5 research</x:v>
      </x:c>
      <x:c r="D125" s="16" t="str">
        <x:v>Complete the quality check for Event 5</x:v>
      </x:c>
      <x:c r="E125" s="16" t="str">
        <x:v>Confirm date, location, source independence, neutral wording and privacy protection.</x:v>
      </x:c>
      <x:c r="F125" s="16" t="str">
        <x:v>Founder</x:v>
      </x:c>
      <x:c r="G125" s="16" t="str">
        <x:v>High</x:v>
      </x:c>
      <x:c r="H125" s="16" t="str">
        <x:v>Complete</x:v>
      </x:c>
      <x:c r="I125" s="16" t="str">
        <x:v>W1-123</x:v>
      </x:c>
      <x:c r="J125" s="16" t="str">
        <x:v>Event 5 quality checked</x:v>
      </x:c>
      <x:c r="K125" s="18" t="n">
        <x:v>15</x:v>
      </x:c>
      <x:c r="L125" s="18" t="str"/>
      <x:c r="M125" s="16" t="str">
        <x:v>Completed for IO-CM-MH-0001 — Save SGNP Thane citizen protest.</x:v>
      </x:c>
    </x:row>
    <x:row r="126">
      <x:c r="A126" s="16" t="str">
        <x:v>W1-125</x:v>
      </x:c>
      <x:c r="B126" s="16" t="str">
        <x:v>Day 3</x:v>
      </x:c>
      <x:c r="C126" s="16" t="str">
        <x:v>Research review</x:v>
      </x:c>
      <x:c r="D126" s="16" t="str">
        <x:v>Review all five Day 3 records together</x:v>
      </x:c>
      <x:c r="E126" s="16" t="str">
        <x:v>Check consistency in titles, statuses, source classifications and neutral language.</x:v>
      </x:c>
      <x:c r="F126" s="16" t="str">
        <x:v>Founder</x:v>
      </x:c>
      <x:c r="G126" s="16" t="str">
        <x:v>High</x:v>
      </x:c>
      <x:c r="H126" s="16" t="str">
        <x:v>Complete</x:v>
      </x:c>
      <x:c r="I126" s="16" t="str"/>
      <x:c r="J126" s="16" t="str">
        <x:v>Five structured event records complete</x:v>
      </x:c>
      <x:c r="K126" s="18" t="n">
        <x:v>45</x:v>
      </x:c>
      <x:c r="L126" s="18" t="str"/>
      <x:c r="M126" s="16" t="str">
        <x:v>Five records reviewed together for title neutrality, state identifiers, source independence, attributed claims, dates, participant privacy and consistent verification statuses.</x:v>
      </x:c>
    </x:row>
    <x:row r="127">
      <x:c r="A127" s="16" t="str">
        <x:v>W1-126</x:v>
      </x:c>
      <x:c r="B127" s="16" t="str">
        <x:v>Day 4</x:v>
      </x:c>
      <x:c r="C127" s="16" t="str">
        <x:v>Methodology</x:v>
      </x:c>
      <x:c r="D127" s="16" t="str">
        <x:v>Create the methodology document</x:v>
      </x:c>
      <x:c r="E127" s="16" t="str">
        <x:v>Create India Observed Verification Methodology — Version 0.1.</x:v>
      </x:c>
      <x:c r="F127" s="16" t="str">
        <x:v>Founder</x:v>
      </x:c>
      <x:c r="G127" s="16" t="str">
        <x:v>High</x:v>
      </x:c>
      <x:c r="H127" s="16" t="str">
        <x:v>Complete</x:v>
      </x:c>
      <x:c r="I127" s="16" t="str"/>
      <x:c r="J127" s="16" t="str">
        <x:v>Methodology document</x:v>
      </x:c>
      <x:c r="K127" s="18" t="n">
        <x:v>10</x:v>
      </x:c>
      <x:c r="L127" s="18" t="str"/>
      <x:c r="M127" s="16" t="str">
        <x:v>Verification Methodology worksheet created and frozen as Version 0.1.</x:v>
      </x:c>
    </x:row>
    <x:row r="128">
      <x:c r="A128" s="16" t="str">
        <x:v>W1-127</x:v>
      </x:c>
      <x:c r="B128" s="16" t="str">
        <x:v>Day 4</x:v>
      </x:c>
      <x:c r="C128" s="16" t="str">
        <x:v>Methodology</x:v>
      </x:c>
      <x:c r="D128" s="16" t="str">
        <x:v>Define primary sources</x:v>
      </x:c>
      <x:c r="E128" s="16" t="str">
        <x:v>Describe government orders, court records, police advisories, official statements, organiser announcements, original media and direct interviews.</x:v>
      </x:c>
      <x:c r="F128" s="16" t="str">
        <x:v>Founder</x:v>
      </x:c>
      <x:c r="G128" s="16" t="str">
        <x:v>High</x:v>
      </x:c>
      <x:c r="H128" s="16" t="str">
        <x:v>Complete</x:v>
      </x:c>
      <x:c r="I128" s="16" t="str">
        <x:v>W1-126</x:v>
      </x:c>
      <x:c r="J128" s="16" t="str">
        <x:v>Define primary sources</x:v>
      </x:c>
      <x:c r="K128" s="18" t="n">
        <x:v>15</x:v>
      </x:c>
      <x:c r="L128" s="18" t="str"/>
      <x:c r="M128" s="16" t="str">
        <x:v>Primary-source definition includes orders, courts, police advisories, official statements, organiser records, original media and direct interviews.</x:v>
      </x:c>
    </x:row>
    <x:row r="129">
      <x:c r="A129" s="16" t="str">
        <x:v>W1-128</x:v>
      </x:c>
      <x:c r="B129" s="16" t="str">
        <x:v>Day 4</x:v>
      </x:c>
      <x:c r="C129" s="16" t="str">
        <x:v>Methodology</x:v>
      </x:c>
      <x:c r="D129" s="16" t="str">
        <x:v>Define original media reporting</x:v>
      </x:c>
      <x:c r="E129" s="16" t="str">
        <x:v>Describe named reporting, original footage, field presence and direct interviews.</x:v>
      </x:c>
      <x:c r="F129" s="16" t="str">
        <x:v>Founder</x:v>
      </x:c>
      <x:c r="G129" s="16" t="str">
        <x:v>High</x:v>
      </x:c>
      <x:c r="H129" s="16" t="str">
        <x:v>Complete</x:v>
      </x:c>
      <x:c r="I129" s="16" t="str">
        <x:v>W1-127</x:v>
      </x:c>
      <x:c r="J129" s="16" t="str">
        <x:v>Define original media reporting</x:v>
      </x:c>
      <x:c r="K129" s="18" t="n">
        <x:v>15</x:v>
      </x:c>
      <x:c r="L129" s="18" t="str"/>
      <x:c r="M129" s="16" t="str">
        <x:v>Original media reporting defined through named fieldwork, original footage, interviews and document review.</x:v>
      </x:c>
    </x:row>
    <x:row r="130">
      <x:c r="A130" s="16" t="str">
        <x:v>W1-129</x:v>
      </x:c>
      <x:c r="B130" s="16" t="str">
        <x:v>Day 4</x:v>
      </x:c>
      <x:c r="C130" s="16" t="str">
        <x:v>Methodology</x:v>
      </x:c>
      <x:c r="D130" s="16" t="str">
        <x:v>Define syndicated reporting</x:v>
      </x:c>
      <x:c r="E130" s="16" t="str">
        <x:v>Explain why reproduced agency copy counts as one underlying source.</x:v>
      </x:c>
      <x:c r="F130" s="16" t="str">
        <x:v>Founder</x:v>
      </x:c>
      <x:c r="G130" s="16" t="str">
        <x:v>High</x:v>
      </x:c>
      <x:c r="H130" s="16" t="str">
        <x:v>Complete</x:v>
      </x:c>
      <x:c r="I130" s="16" t="str">
        <x:v>W1-128</x:v>
      </x:c>
      <x:c r="J130" s="16" t="str">
        <x:v>Define syndicated reporting</x:v>
      </x:c>
      <x:c r="K130" s="18" t="n">
        <x:v>15</x:v>
      </x:c>
      <x:c r="L130" s="18" t="str"/>
      <x:c r="M130" s="16" t="str">
        <x:v>Syndicated reporting rule counts repeated agency or press-release copies as one underlying source.</x:v>
      </x:c>
    </x:row>
    <x:row r="131">
      <x:c r="A131" s="16" t="str">
        <x:v>W1-130</x:v>
      </x:c>
      <x:c r="B131" s="16" t="str">
        <x:v>Day 4</x:v>
      </x:c>
      <x:c r="C131" s="16" t="str">
        <x:v>Methodology</x:v>
      </x:c>
      <x:c r="D131" s="16" t="str">
        <x:v>Define unverified sources</x:v>
      </x:c>
      <x:c r="E131" s="16" t="str">
        <x:v>Describe screenshots, reposts, anonymous messages, undated footage and material without traceable origin.</x:v>
      </x:c>
      <x:c r="F131" s="16" t="str">
        <x:v>Founder</x:v>
      </x:c>
      <x:c r="G131" s="16" t="str">
        <x:v>High</x:v>
      </x:c>
      <x:c r="H131" s="16" t="str">
        <x:v>Complete</x:v>
      </x:c>
      <x:c r="I131" s="16" t="str">
        <x:v>W1-129</x:v>
      </x:c>
      <x:c r="J131" s="16" t="str">
        <x:v>Define unverified sources</x:v>
      </x:c>
      <x:c r="K131" s="18" t="n">
        <x:v>15</x:v>
      </x:c>
      <x:c r="L131" s="18" t="str"/>
      <x:c r="M131" s="16" t="str">
        <x:v>Unverified-source definition covers screenshots, reposts, anonymous messages, forwarded or undated media and material without traceable origin.</x:v>
      </x:c>
    </x:row>
    <x:row r="132">
      <x:c r="A132" s="16" t="str">
        <x:v>W1-131</x:v>
      </x:c>
      <x:c r="B132" s="16" t="str">
        <x:v>Day 4</x:v>
      </x:c>
      <x:c r="C132" s="16" t="str">
        <x:v>Methodology</x:v>
      </x:c>
      <x:c r="D132" s="16" t="str">
        <x:v>Define the Reported status</x:v>
      </x:c>
      <x:c r="E132" s="16" t="str">
        <x:v>One credible source has reported the event or claim.</x:v>
      </x:c>
      <x:c r="F132" s="16" t="str">
        <x:v>Founder</x:v>
      </x:c>
      <x:c r="G132" s="16" t="str">
        <x:v>High</x:v>
      </x:c>
      <x:c r="H132" s="16" t="str">
        <x:v>Complete</x:v>
      </x:c>
      <x:c r="I132" s="16" t="str">
        <x:v>W1-130</x:v>
      </x:c>
      <x:c r="J132" s="16" t="str">
        <x:v>Define the Reported status</x:v>
      </x:c>
      <x:c r="K132" s="18" t="n">
        <x:v>15</x:v>
      </x:c>
      <x:c r="L132" s="18" t="str"/>
      <x:c r="M132" s="16" t="str">
        <x:v>Reported status defined as one credible source with attribution and continuing verification.</x:v>
      </x:c>
    </x:row>
    <x:row r="133">
      <x:c r="A133" s="16" t="str">
        <x:v>W1-132</x:v>
      </x:c>
      <x:c r="B133" s="16" t="str">
        <x:v>Day 4</x:v>
      </x:c>
      <x:c r="C133" s="16" t="str">
        <x:v>Methodology</x:v>
      </x:c>
      <x:c r="D133" s="16" t="str">
        <x:v>Define the Corroborated status</x:v>
      </x:c>
      <x:c r="E133" s="16" t="str">
        <x:v>Two genuinely independent credible sources support the event or claim.</x:v>
      </x:c>
      <x:c r="F133" s="16" t="str">
        <x:v>Founder</x:v>
      </x:c>
      <x:c r="G133" s="16" t="str">
        <x:v>High</x:v>
      </x:c>
      <x:c r="H133" s="16" t="str">
        <x:v>Complete</x:v>
      </x:c>
      <x:c r="I133" s="16" t="str">
        <x:v>W1-131</x:v>
      </x:c>
      <x:c r="J133" s="16" t="str">
        <x:v>Define the Corroborated status</x:v>
      </x:c>
      <x:c r="K133" s="18" t="n">
        <x:v>15</x:v>
      </x:c>
      <x:c r="L133" s="18" t="str"/>
      <x:c r="M133" s="16" t="str">
        <x:v>Corroborated status defined as support from two genuinely independent credible sources.</x:v>
      </x:c>
    </x:row>
    <x:row r="134">
      <x:c r="A134" s="16" t="str">
        <x:v>W1-133</x:v>
      </x:c>
      <x:c r="B134" s="16" t="str">
        <x:v>Day 4</x:v>
      </x:c>
      <x:c r="C134" s="16" t="str">
        <x:v>Methodology</x:v>
      </x:c>
      <x:c r="D134" s="16" t="str">
        <x:v>Define the Occurrence verified status</x:v>
      </x:c>
      <x:c r="E134" s="16" t="str">
        <x:v>Strong evidence establishes that the event occurred.</x:v>
      </x:c>
      <x:c r="F134" s="16" t="str">
        <x:v>Founder</x:v>
      </x:c>
      <x:c r="G134" s="16" t="str">
        <x:v>High</x:v>
      </x:c>
      <x:c r="H134" s="16" t="str">
        <x:v>Complete</x:v>
      </x:c>
      <x:c r="I134" s="16" t="str">
        <x:v>W1-132</x:v>
      </x:c>
      <x:c r="J134" s="16" t="str">
        <x:v>Define the Occurrence verified status</x:v>
      </x:c>
      <x:c r="K134" s="18" t="n">
        <x:v>15</x:v>
      </x:c>
      <x:c r="L134" s="18" t="str"/>
      <x:c r="M134" s="16" t="str">
        <x:v>Occurrence verified status limited to proof that the event occurred at the stated general place and period.</x:v>
      </x:c>
    </x:row>
    <x:row r="135">
      <x:c r="A135" s="16" t="str">
        <x:v>W1-134</x:v>
      </x:c>
      <x:c r="B135" s="16" t="str">
        <x:v>Day 4</x:v>
      </x:c>
      <x:c r="C135" s="16" t="str">
        <x:v>Methodology</x:v>
      </x:c>
      <x:c r="D135" s="16" t="str">
        <x:v>Define the Attributed status</x:v>
      </x:c>
      <x:c r="E135" s="16" t="str">
        <x:v>The claim is clearly presented as a statement by a named party.</x:v>
      </x:c>
      <x:c r="F135" s="16" t="str">
        <x:v>Founder</x:v>
      </x:c>
      <x:c r="G135" s="16" t="str">
        <x:v>High</x:v>
      </x:c>
      <x:c r="H135" s="16" t="str">
        <x:v>Complete</x:v>
      </x:c>
      <x:c r="I135" s="16" t="str">
        <x:v>W1-133</x:v>
      </x:c>
      <x:c r="J135" s="16" t="str">
        <x:v>Define the Attributed status</x:v>
      </x:c>
      <x:c r="K135" s="18" t="n">
        <x:v>15</x:v>
      </x:c>
      <x:c r="L135" s="18" t="str"/>
      <x:c r="M135" s="16" t="str">
        <x:v>Attributed status requires naming the party making the statement and avoids adopting it as an India Observed conclusion.</x:v>
      </x:c>
    </x:row>
    <x:row r="136">
      <x:c r="A136" s="16" t="str">
        <x:v>W1-135</x:v>
      </x:c>
      <x:c r="B136" s="16" t="str">
        <x:v>Day 4</x:v>
      </x:c>
      <x:c r="C136" s="16" t="str">
        <x:v>Methodology</x:v>
      </x:c>
      <x:c r="D136" s="16" t="str">
        <x:v>Define the Disputed status</x:v>
      </x:c>
      <x:c r="E136" s="16" t="str">
        <x:v>Credible parties disagree about the fact.</x:v>
      </x:c>
      <x:c r="F136" s="16" t="str">
        <x:v>Founder</x:v>
      </x:c>
      <x:c r="G136" s="16" t="str">
        <x:v>High</x:v>
      </x:c>
      <x:c r="H136" s="16" t="str">
        <x:v>Complete</x:v>
      </x:c>
      <x:c r="I136" s="16" t="str">
        <x:v>W1-134</x:v>
      </x:c>
      <x:c r="J136" s="16" t="str">
        <x:v>Define the Disputed status</x:v>
      </x:c>
      <x:c r="K136" s="18" t="n">
        <x:v>15</x:v>
      </x:c>
      <x:c r="L136" s="18" t="str"/>
      <x:c r="M136" s="16" t="str">
        <x:v>Disputed status records materially different credible accounts and unresolved evidence.</x:v>
      </x:c>
    </x:row>
    <x:row r="137">
      <x:c r="A137" s="16" t="str">
        <x:v>W1-136</x:v>
      </x:c>
      <x:c r="B137" s="16" t="str">
        <x:v>Day 4</x:v>
      </x:c>
      <x:c r="C137" s="16" t="str">
        <x:v>Methodology</x:v>
      </x:c>
      <x:c r="D137" s="16" t="str">
        <x:v>Define the Unconfirmed status</x:v>
      </x:c>
      <x:c r="E137" s="16" t="str">
        <x:v>Available evidence is insufficient.</x:v>
      </x:c>
      <x:c r="F137" s="16" t="str">
        <x:v>Founder</x:v>
      </x:c>
      <x:c r="G137" s="16" t="str">
        <x:v>High</x:v>
      </x:c>
      <x:c r="H137" s="16" t="str">
        <x:v>Complete</x:v>
      </x:c>
      <x:c r="I137" s="16" t="str">
        <x:v>W1-135</x:v>
      </x:c>
      <x:c r="J137" s="16" t="str">
        <x:v>Define the Unconfirmed status</x:v>
      </x:c>
      <x:c r="K137" s="18" t="n">
        <x:v>15</x:v>
      </x:c>
      <x:c r="L137" s="18" t="str"/>
      <x:c r="M137" s="16" t="str">
        <x:v>Unconfirmed status defined as insufficient evidence; it does not mean false.</x:v>
      </x:c>
    </x:row>
    <x:row r="138">
      <x:c r="A138" s="16" t="str">
        <x:v>W1-137</x:v>
      </x:c>
      <x:c r="B138" s="16" t="str">
        <x:v>Day 4</x:v>
      </x:c>
      <x:c r="C138" s="16" t="str">
        <x:v>Methodology</x:v>
      </x:c>
      <x:c r="D138" s="16" t="str">
        <x:v>Define the Corrected status</x:v>
      </x:c>
      <x:c r="E138" s="16" t="str">
        <x:v>Previously published information has been amended.</x:v>
      </x:c>
      <x:c r="F138" s="16" t="str">
        <x:v>Founder</x:v>
      </x:c>
      <x:c r="G138" s="16" t="str">
        <x:v>High</x:v>
      </x:c>
      <x:c r="H138" s="16" t="str">
        <x:v>Complete</x:v>
      </x:c>
      <x:c r="I138" s="16" t="str">
        <x:v>W1-136</x:v>
      </x:c>
      <x:c r="J138" s="16" t="str">
        <x:v>Define the Corrected status</x:v>
      </x:c>
      <x:c r="K138" s="18" t="n">
        <x:v>15</x:v>
      </x:c>
      <x:c r="L138" s="18" t="str"/>
      <x:c r="M138" s="16" t="str">
        <x:v>Corrected status requires preservation of previous wording, replacement wording, reason and evidence.</x:v>
      </x:c>
    </x:row>
    <x:row r="139">
      <x:c r="A139" s="16" t="str">
        <x:v>W1-138</x:v>
      </x:c>
      <x:c r="B139" s="16" t="str">
        <x:v>Day 4</x:v>
      </x:c>
      <x:c r="C139" s="16" t="str">
        <x:v>Methodology</x:v>
      </x:c>
      <x:c r="D139" s="16" t="str">
        <x:v>Define the Outcome documented status</x:v>
      </x:c>
      <x:c r="E139" s="16" t="str">
        <x:v>A later institutional response or result has been recorded.</x:v>
      </x:c>
      <x:c r="F139" s="16" t="str">
        <x:v>Founder</x:v>
      </x:c>
      <x:c r="G139" s="16" t="str">
        <x:v>High</x:v>
      </x:c>
      <x:c r="H139" s="16" t="str">
        <x:v>Complete</x:v>
      </x:c>
      <x:c r="I139" s="16" t="str">
        <x:v>W1-137</x:v>
      </x:c>
      <x:c r="J139" s="16" t="str">
        <x:v>Define the Outcome documented status</x:v>
      </x:c>
      <x:c r="K139" s="18" t="n">
        <x:v>15</x:v>
      </x:c>
      <x:c r="L139" s="18" t="str"/>
      <x:c r="M139" s="16" t="str">
        <x:v>Outcome documented distinguishes announcements or responses from verified implementation.</x:v>
      </x:c>
    </x:row>
    <x:row r="140">
      <x:c r="A140" s="16" t="str">
        <x:v>W1-139</x:v>
      </x:c>
      <x:c r="B140" s="16" t="str">
        <x:v>Day 4</x:v>
      </x:c>
      <x:c r="C140" s="16" t="str">
        <x:v>Methodology</x:v>
      </x:c>
      <x:c r="D140" s="16" t="str">
        <x:v>Write the basic publication rule</x:v>
      </x:c>
      <x:c r="E140" s="16" t="str">
        <x:v>Require two independent sources, or one credible report plus a primary or official source.</x:v>
      </x:c>
      <x:c r="F140" s="16" t="str">
        <x:v>Founder</x:v>
      </x:c>
      <x:c r="G140" s="16" t="str">
        <x:v>High</x:v>
      </x:c>
      <x:c r="H140" s="16" t="str">
        <x:v>Complete</x:v>
      </x:c>
      <x:c r="I140" s="16" t="str">
        <x:v>W1-138</x:v>
      </x:c>
      <x:c r="J140" s="16" t="str">
        <x:v>Write the basic publication rule</x:v>
      </x:c>
      <x:c r="K140" s="18" t="n">
        <x:v>15</x:v>
      </x:c>
      <x:c r="L140" s="18" t="str"/>
      <x:c r="M140" s="16" t="str">
        <x:v>Basic publication threshold frozen: two independent sources, or one credible report plus a reliable primary or official source.</x:v>
      </x:c>
    </x:row>
    <x:row r="141">
      <x:c r="A141" s="16" t="str">
        <x:v>W1-140</x:v>
      </x:c>
      <x:c r="B141" s="16" t="str">
        <x:v>Day 4</x:v>
      </x:c>
      <x:c r="C141" s="16" t="str">
        <x:v>Methodology</x:v>
      </x:c>
      <x:c r="D141" s="16" t="str">
        <x:v>Write the serious-allegation rule</x:v>
      </x:c>
      <x:c r="E141" s="16" t="str">
        <x:v>Do not present serious allegations against identifiable parties as fact without stronger evidence.</x:v>
      </x:c>
      <x:c r="F141" s="16" t="str">
        <x:v>Founder</x:v>
      </x:c>
      <x:c r="G141" s="16" t="str">
        <x:v>High</x:v>
      </x:c>
      <x:c r="H141" s="16" t="str">
        <x:v>Complete</x:v>
      </x:c>
      <x:c r="I141" s="16" t="str">
        <x:v>W1-139</x:v>
      </x:c>
      <x:c r="J141" s="16" t="str">
        <x:v>Write the serious-allegation rule</x:v>
      </x:c>
      <x:c r="K141" s="18" t="n">
        <x:v>15</x:v>
      </x:c>
      <x:c r="L141" s="18" t="str"/>
      <x:c r="M141" s="16" t="str">
        <x:v>Serious allegations require stronger evidence, attribution and proportional wording.</x:v>
      </x:c>
    </x:row>
    <x:row r="142">
      <x:c r="A142" s="16" t="str">
        <x:v>W1-141</x:v>
      </x:c>
      <x:c r="B142" s="16" t="str">
        <x:v>Day 4</x:v>
      </x:c>
      <x:c r="C142" s="16" t="str">
        <x:v>Methodology</x:v>
      </x:c>
      <x:c r="D142" s="16" t="str">
        <x:v>Write the right-of-reply rule</x:v>
      </x:c>
      <x:c r="E142" s="16" t="str">
        <x:v>Seek a response before publishing consequential allegations where practical.</x:v>
      </x:c>
      <x:c r="F142" s="16" t="str">
        <x:v>Founder</x:v>
      </x:c>
      <x:c r="G142" s="16" t="str">
        <x:v>High</x:v>
      </x:c>
      <x:c r="H142" s="16" t="str">
        <x:v>Complete</x:v>
      </x:c>
      <x:c r="I142" s="16" t="str">
        <x:v>W1-140</x:v>
      </x:c>
      <x:c r="J142" s="16" t="str">
        <x:v>Write the right-of-reply rule</x:v>
      </x:c>
      <x:c r="K142" s="18" t="n">
        <x:v>15</x:v>
      </x:c>
      <x:c r="L142" s="18" t="str"/>
      <x:c r="M142" s="16" t="str">
        <x:v>Right-of-reply rule created, including documentation of outreach and non-response.</x:v>
      </x:c>
    </x:row>
    <x:row r="143">
      <x:c r="A143" s="16" t="str">
        <x:v>W1-142</x:v>
      </x:c>
      <x:c r="B143" s="16" t="str">
        <x:v>Day 4</x:v>
      </x:c>
      <x:c r="C143" s="16" t="str">
        <x:v>Methodology</x:v>
      </x:c>
      <x:c r="D143" s="16" t="str">
        <x:v>Write the source-independence rule</x:v>
      </x:c>
      <x:c r="E143" s="16" t="str">
        <x:v>Multiple reproductions of one original report do not count as separate confirmation.</x:v>
      </x:c>
      <x:c r="F143" s="16" t="str">
        <x:v>Founder</x:v>
      </x:c>
      <x:c r="G143" s="16" t="str">
        <x:v>High</x:v>
      </x:c>
      <x:c r="H143" s="16" t="str">
        <x:v>Complete</x:v>
      </x:c>
      <x:c r="I143" s="16" t="str">
        <x:v>W1-141</x:v>
      </x:c>
      <x:c r="J143" s="16" t="str">
        <x:v>Write the source-independence rule</x:v>
      </x:c>
      <x:c r="K143" s="18" t="n">
        <x:v>15</x:v>
      </x:c>
      <x:c r="L143" s="18" t="str"/>
      <x:c r="M143" s="16" t="str">
        <x:v>Source-independence rule excludes syndicated copies and same-source cross-posts from multiple-source counts.</x:v>
      </x:c>
    </x:row>
    <x:row r="144">
      <x:c r="A144" s="16" t="str">
        <x:v>W1-143</x:v>
      </x:c>
      <x:c r="B144" s="16" t="str">
        <x:v>Day 4</x:v>
      </x:c>
      <x:c r="C144" s="16" t="str">
        <x:v>Methodology</x:v>
      </x:c>
      <x:c r="D144" s="16" t="str">
        <x:v>Write the uncertainty rule</x:v>
      </x:c>
      <x:c r="E144" s="16" t="str">
        <x:v>Unknown or conflicting information must remain visibly uncertain.</x:v>
      </x:c>
      <x:c r="F144" s="16" t="str">
        <x:v>Founder</x:v>
      </x:c>
      <x:c r="G144" s="16" t="str">
        <x:v>High</x:v>
      </x:c>
      <x:c r="H144" s="16" t="str">
        <x:v>Complete</x:v>
      </x:c>
      <x:c r="I144" s="16" t="str">
        <x:v>W1-142</x:v>
      </x:c>
      <x:c r="J144" s="16" t="str">
        <x:v>Write the uncertainty rule</x:v>
      </x:c>
      <x:c r="K144" s="18" t="n">
        <x:v>15</x:v>
      </x:c>
      <x:c r="L144" s="18" t="str"/>
      <x:c r="M144" s="16" t="str">
        <x:v>Visible-uncertainty rule requires approximate wording, attributed estimates or blank fields instead of assumptions.</x:v>
      </x:c>
    </x:row>
    <x:row r="145">
      <x:c r="A145" s="16" t="str">
        <x:v>W1-144</x:v>
      </x:c>
      <x:c r="B145" s="16" t="str">
        <x:v>Day 4</x:v>
      </x:c>
      <x:c r="C145" s="16" t="str">
        <x:v>Methodology</x:v>
      </x:c>
      <x:c r="D145" s="16" t="str">
        <x:v>Write the correction rule</x:v>
      </x:c>
      <x:c r="E145" s="16" t="str">
        <x:v>Consequential corrections must be logged rather than silently edited.</x:v>
      </x:c>
      <x:c r="F145" s="16" t="str">
        <x:v>Founder</x:v>
      </x:c>
      <x:c r="G145" s="16" t="str">
        <x:v>High</x:v>
      </x:c>
      <x:c r="H145" s="16" t="str">
        <x:v>Complete</x:v>
      </x:c>
      <x:c r="I145" s="16" t="str">
        <x:v>W1-143</x:v>
      </x:c>
      <x:c r="J145" s="16" t="str">
        <x:v>Write the correction rule</x:v>
      </x:c>
      <x:c r="K145" s="18" t="n">
        <x:v>15</x:v>
      </x:c>
      <x:c r="L145" s="18" t="str"/>
      <x:c r="M145" s="16" t="str">
        <x:v>Correction rule requires consequential changes to be logged rather than silently overwritten.</x:v>
      </x:c>
    </x:row>
    <x:row r="146">
      <x:c r="A146" s="16" t="str">
        <x:v>W1-145</x:v>
      </x:c>
      <x:c r="B146" s="16" t="str">
        <x:v>Day 4</x:v>
      </x:c>
      <x:c r="C146" s="16" t="str">
        <x:v>Methodology</x:v>
      </x:c>
      <x:c r="D146" s="16" t="str">
        <x:v>Write the participant-safety rule</x:v>
      </x:c>
      <x:c r="E146" s="16" t="str">
        <x:v>Avoid identifying ordinary participants or publishing tactical information.</x:v>
      </x:c>
      <x:c r="F146" s="16" t="str">
        <x:v>Founder</x:v>
      </x:c>
      <x:c r="G146" s="16" t="str">
        <x:v>High</x:v>
      </x:c>
      <x:c r="H146" s="16" t="str">
        <x:v>Complete</x:v>
      </x:c>
      <x:c r="I146" s="16" t="str">
        <x:v>W1-144</x:v>
      </x:c>
      <x:c r="J146" s="16" t="str">
        <x:v>Write the participant-safety rule</x:v>
      </x:c>
      <x:c r="K146" s="18" t="n">
        <x:v>15</x:v>
      </x:c>
      <x:c r="L146" s="18" t="str"/>
      <x:c r="M146" s="16" t="str">
        <x:v>Participant-safety rule protects ordinary participants, witnesses and confidential contributors.</x:v>
      </x:c>
    </x:row>
    <x:row r="147">
      <x:c r="A147" s="16" t="str">
        <x:v>W1-146</x:v>
      </x:c>
      <x:c r="B147" s="16" t="str">
        <x:v>Day 4</x:v>
      </x:c>
      <x:c r="C147" s="16" t="str">
        <x:v>Methodology</x:v>
      </x:c>
      <x:c r="D147" s="16" t="str">
        <x:v>Review methodology for plain language</x:v>
      </x:c>
      <x:c r="E147" s="16" t="str">
        <x:v>Ensure the public can understand each status without legal or technical jargon.</x:v>
      </x:c>
      <x:c r="F147" s="16" t="str">
        <x:v>Founder</x:v>
      </x:c>
      <x:c r="G147" s="16" t="str">
        <x:v>High</x:v>
      </x:c>
      <x:c r="H147" s="16" t="str">
        <x:v>Complete</x:v>
      </x:c>
      <x:c r="I147" s="16" t="str">
        <x:v>W1-145</x:v>
      </x:c>
      <x:c r="J147" s="16" t="str">
        <x:v>Review methodology for plain language</x:v>
      </x:c>
      <x:c r="K147" s="18" t="n">
        <x:v>15</x:v>
      </x:c>
      <x:c r="L147" s="18" t="str"/>
      <x:c r="M147" s="16" t="str">
        <x:v>Methodology reviewed and written in plain language with public wording examples.</x:v>
      </x:c>
    </x:row>
    <x:row r="148">
      <x:c r="A148" s="16" t="str">
        <x:v>W1-147</x:v>
      </x:c>
      <x:c r="B148" s="16" t="str">
        <x:v>Day 4</x:v>
      </x:c>
      <x:c r="C148" s="16" t="str">
        <x:v>Methodology</x:v>
      </x:c>
      <x:c r="D148" s="16" t="str">
        <x:v>Save methodology as Version 0.1</x:v>
      </x:c>
      <x:c r="E148" s="16" t="str">
        <x:v>Freeze the document for use during Day 5 testing.</x:v>
      </x:c>
      <x:c r="F148" s="16" t="str">
        <x:v>Founder</x:v>
      </x:c>
      <x:c r="G148" s="16" t="str">
        <x:v>High</x:v>
      </x:c>
      <x:c r="H148" s="16" t="str">
        <x:v>Complete</x:v>
      </x:c>
      <x:c r="I148" s="16" t="str">
        <x:v>W1-146</x:v>
      </x:c>
      <x:c r="J148" s="16" t="str">
        <x:v>Verification Methodology v0.1</x:v>
      </x:c>
      <x:c r="K148" s="18" t="n">
        <x:v>10</x:v>
      </x:c>
      <x:c r="L148" s="18" t="str"/>
      <x:c r="M148" s="16" t="str">
        <x:v>Version 0.1 frozen and recorded as Decision IO-DEC-0002 for Day 5 testing.</x:v>
      </x:c>
    </x:row>
    <x:row r="149">
      <x:c r="A149" s="16" t="str">
        <x:v>W1-148</x:v>
      </x:c>
      <x:c r="B149" s="16" t="str">
        <x:v>Day 5</x:v>
      </x:c>
      <x:c r="C149" s="16" t="str">
        <x:v>Schema testing</x:v>
      </x:c>
      <x:c r="D149" s="16" t="str">
        <x:v>Create the Day 5 research log</x:v>
      </x:c>
      <x:c r="E149" s="16" t="str">
        <x:v>Prepare a place to record recurring data and workflow problems.</x:v>
      </x:c>
      <x:c r="F149" s="16" t="str">
        <x:v>Founder</x:v>
      </x:c>
      <x:c r="G149" s="16" t="str">
        <x:v>High</x:v>
      </x:c>
      <x:c r="H149" s="16" t="str">
        <x:v>Complete</x:v>
      </x:c>
      <x:c r="I149" s="16" t="str"/>
      <x:c r="J149" s="16" t="str">
        <x:v>Day 5 issue log</x:v>
      </x:c>
      <x:c r="K149" s="18" t="n">
        <x:v>10</x:v>
      </x:c>
      <x:c r="L149" s="18" t="str"/>
      <x:c r="M149" s="16" t="str">
        <x:v>Day 5 Research Log created with five accepted events and five deferred alternative-source leads.</x:v>
      </x:c>
    </x:row>
    <x:row r="150">
      <x:c r="A150" s="16" t="str">
        <x:v>W1-149</x:v>
      </x:c>
      <x:c r="B150" s="16" t="str">
        <x:v>Day 5</x:v>
      </x:c>
      <x:c r="C150" s="16" t="str">
        <x:v>Event 6 research</x:v>
      </x:c>
      <x:c r="D150" s="16" t="str">
        <x:v>Select Event 6</x:v>
      </x:c>
      <x:c r="E150" s="16" t="str">
        <x:v>Choose a new event that fits the pilot criteria.</x:v>
      </x:c>
      <x:c r="F150" s="16" t="str">
        <x:v>Founder</x:v>
      </x:c>
      <x:c r="G150" s="16" t="str">
        <x:v>High</x:v>
      </x:c>
      <x:c r="H150" s="16" t="str">
        <x:v>Complete</x:v>
      </x:c>
      <x:c r="I150" s="16" t="str"/>
      <x:c r="J150" s="16" t="str">
        <x:v>Event 6 selected</x:v>
      </x:c>
      <x:c r="K150" s="18" t="n">
        <x:v>15</x:v>
      </x:c>
      <x:c r="L150" s="18" t="str"/>
      <x:c r="M150" s="16" t="str">
        <x:v>Selected IO-CM-GJ-0001: Morbi transmission-compensation satyagraha.</x:v>
      </x:c>
    </x:row>
    <x:row r="151">
      <x:c r="A151" s="16" t="str">
        <x:v>W1-150</x:v>
      </x:c>
      <x:c r="B151" s="16" t="str">
        <x:v>Day 5</x:v>
      </x:c>
      <x:c r="C151" s="16" t="str">
        <x:v>Event 6 research</x:v>
      </x:c>
      <x:c r="D151" s="16" t="str">
        <x:v>Verify source independence for Event 6</x:v>
      </x:c>
      <x:c r="E151" s="16" t="str">
        <x:v>Find at least two credible sources and identify any shared underlying source.</x:v>
      </x:c>
      <x:c r="F151" s="16" t="str">
        <x:v>Founder</x:v>
      </x:c>
      <x:c r="G151" s="16" t="str">
        <x:v>High</x:v>
      </x:c>
      <x:c r="H151" s="16" t="str">
        <x:v>Complete</x:v>
      </x:c>
      <x:c r="I151" s="16" t="str">
        <x:v>W1-149</x:v>
      </x:c>
      <x:c r="J151" s="16" t="str">
        <x:v>Source set checked</x:v>
      </x:c>
      <x:c r="K151" s="18" t="n">
        <x:v>30</x:v>
      </x:c>
      <x:c r="L151" s="18" t="str"/>
      <x:c r="M151" s="16" t="str">
        <x:v>Three independent publishers identified; community Instagram material retained only as the discovery lead.</x:v>
      </x:c>
    </x:row>
    <x:row r="152">
      <x:c r="A152" s="16" t="str">
        <x:v>W1-151</x:v>
      </x:c>
      <x:c r="B152" s="16" t="str">
        <x:v>Day 5</x:v>
      </x:c>
      <x:c r="C152" s="16" t="str">
        <x:v>Event 6 research</x:v>
      </x:c>
      <x:c r="D152" s="16" t="str">
        <x:v>Complete the structured record for Event 6</x:v>
      </x:c>
      <x:c r="E152" s="16" t="str">
        <x:v>Enter event, claim and source data using the Version 0.1 methodology.</x:v>
      </x:c>
      <x:c r="F152" s="16" t="str">
        <x:v>Founder</x:v>
      </x:c>
      <x:c r="G152" s="16" t="str">
        <x:v>High</x:v>
      </x:c>
      <x:c r="H152" s="16" t="str">
        <x:v>Complete</x:v>
      </x:c>
      <x:c r="I152" s="16" t="str">
        <x:v>W1-150</x:v>
      </x:c>
      <x:c r="J152" s="16" t="str">
        <x:v>Event 6 structured record</x:v>
      </x:c>
      <x:c r="K152" s="18" t="n">
        <x:v>50</x:v>
      </x:c>
      <x:c r="L152" s="18" t="str"/>
      <x:c r="M152" s="16" t="str">
        <x:v>Event, eight claims, four sources and relevant organisations entered using Methodology v0.1.</x:v>
      </x:c>
    </x:row>
    <x:row r="153">
      <x:c r="A153" s="16" t="str">
        <x:v>W1-152</x:v>
      </x:c>
      <x:c r="B153" s="16" t="str">
        <x:v>Day 5</x:v>
      </x:c>
      <x:c r="C153" s="16" t="str">
        <x:v>Event 6 research</x:v>
      </x:c>
      <x:c r="D153" s="16" t="str">
        <x:v>Record workflow problems found during Event 6</x:v>
      </x:c>
      <x:c r="E153" s="16" t="str">
        <x:v>Note missing fields, ambiguous terms, disputed numbers, unclear dates or unavailable outcomes.</x:v>
      </x:c>
      <x:c r="F153" s="16" t="str">
        <x:v>Founder</x:v>
      </x:c>
      <x:c r="G153" s="16" t="str">
        <x:v>High</x:v>
      </x:c>
      <x:c r="H153" s="16" t="str">
        <x:v>Complete</x:v>
      </x:c>
      <x:c r="I153" s="16" t="str">
        <x:v>W1-151</x:v>
      </x:c>
      <x:c r="J153" s="16" t="str">
        <x:v>Problems added to Day 5 log</x:v>
      </x:c>
      <x:c r="K153" s="18" t="n">
        <x:v>15</x:v>
      </x:c>
      <x:c r="L153" s="18" t="str"/>
      <x:c r="M153" s="16" t="str">
        <x:v>Logged conflicting voltage/route figures and the need for the original compensation resolution.</x:v>
      </x:c>
    </x:row>
    <x:row r="154">
      <x:c r="A154" s="16" t="str">
        <x:v>W1-153</x:v>
      </x:c>
      <x:c r="B154" s="16" t="str">
        <x:v>Day 5</x:v>
      </x:c>
      <x:c r="C154" s="16" t="str">
        <x:v>Event 6 research</x:v>
      </x:c>
      <x:c r="D154" s="16" t="str">
        <x:v>Quality-check Event 6</x:v>
      </x:c>
      <x:c r="E154" s="16" t="str">
        <x:v>Confirm neutral wording, source links, uncertainty labels and privacy protections.</x:v>
      </x:c>
      <x:c r="F154" s="16" t="str">
        <x:v>Founder</x:v>
      </x:c>
      <x:c r="G154" s="16" t="str">
        <x:v>High</x:v>
      </x:c>
      <x:c r="H154" s="16" t="str">
        <x:v>Complete</x:v>
      </x:c>
      <x:c r="I154" s="16" t="str">
        <x:v>W1-152</x:v>
      </x:c>
      <x:c r="J154" s="16" t="str">
        <x:v>Event 6 quality checked</x:v>
      </x:c>
      <x:c r="K154" s="18" t="n">
        <x:v>15</x:v>
      </x:c>
      <x:c r="L154" s="18" t="str"/>
      <x:c r="M154" s="16" t="str">
        <x:v>Neutral summary, source roles, attributed impact claims and continuing-event status quality checked.</x:v>
      </x:c>
    </x:row>
    <x:row r="155">
      <x:c r="A155" s="16" t="str">
        <x:v>W1-154</x:v>
      </x:c>
      <x:c r="B155" s="16" t="str">
        <x:v>Day 5</x:v>
      </x:c>
      <x:c r="C155" s="16" t="str">
        <x:v>Event 7 research</x:v>
      </x:c>
      <x:c r="D155" s="16" t="str">
        <x:v>Select Event 7</x:v>
      </x:c>
      <x:c r="E155" s="16" t="str">
        <x:v>Choose a new event that fits the pilot criteria.</x:v>
      </x:c>
      <x:c r="F155" s="16" t="str">
        <x:v>Founder</x:v>
      </x:c>
      <x:c r="G155" s="16" t="str">
        <x:v>High</x:v>
      </x:c>
      <x:c r="H155" s="16" t="str">
        <x:v>Complete</x:v>
      </x:c>
      <x:c r="I155" s="16" t="str"/>
      <x:c r="J155" s="16" t="str">
        <x:v>Event 7 selected</x:v>
      </x:c>
      <x:c r="K155" s="18" t="n">
        <x:v>15</x:v>
      </x:c>
      <x:c r="L155" s="18" t="str"/>
      <x:c r="M155" s="16" t="str">
        <x:v>Selected IO-CM-UP-0001: Dasiya ethanol-plant opposition.</x:v>
      </x:c>
    </x:row>
    <x:row r="156">
      <x:c r="A156" s="16" t="str">
        <x:v>W1-155</x:v>
      </x:c>
      <x:c r="B156" s="16" t="str">
        <x:v>Day 5</x:v>
      </x:c>
      <x:c r="C156" s="16" t="str">
        <x:v>Event 7 research</x:v>
      </x:c>
      <x:c r="D156" s="16" t="str">
        <x:v>Verify source independence for Event 7</x:v>
      </x:c>
      <x:c r="E156" s="16" t="str">
        <x:v>Find at least two credible sources and identify any shared underlying source.</x:v>
      </x:c>
      <x:c r="F156" s="16" t="str">
        <x:v>Founder</x:v>
      </x:c>
      <x:c r="G156" s="16" t="str">
        <x:v>High</x:v>
      </x:c>
      <x:c r="H156" s="16" t="str">
        <x:v>Complete</x:v>
      </x:c>
      <x:c r="I156" s="16" t="str">
        <x:v>W1-154</x:v>
      </x:c>
      <x:c r="J156" s="16" t="str">
        <x:v>Source set checked</x:v>
      </x:c>
      <x:c r="K156" s="18" t="n">
        <x:v>30</x:v>
      </x:c>
      <x:c r="L156" s="18" t="str"/>
      <x:c r="M156" s="16" t="str">
        <x:v>Local-language reports and field video were checked for separate chronology and source roles.</x:v>
      </x:c>
    </x:row>
    <x:row r="157">
      <x:c r="A157" s="16" t="str">
        <x:v>W1-156</x:v>
      </x:c>
      <x:c r="B157" s="16" t="str">
        <x:v>Day 5</x:v>
      </x:c>
      <x:c r="C157" s="16" t="str">
        <x:v>Event 7 research</x:v>
      </x:c>
      <x:c r="D157" s="16" t="str">
        <x:v>Complete the structured record for Event 7</x:v>
      </x:c>
      <x:c r="E157" s="16" t="str">
        <x:v>Enter event, claim and source data using the Version 0.1 methodology.</x:v>
      </x:c>
      <x:c r="F157" s="16" t="str">
        <x:v>Founder</x:v>
      </x:c>
      <x:c r="G157" s="16" t="str">
        <x:v>High</x:v>
      </x:c>
      <x:c r="H157" s="16" t="str">
        <x:v>Complete</x:v>
      </x:c>
      <x:c r="I157" s="16" t="str">
        <x:v>W1-155</x:v>
      </x:c>
      <x:c r="J157" s="16" t="str">
        <x:v>Event 7 structured record</x:v>
      </x:c>
      <x:c r="K157" s="18" t="n">
        <x:v>50</x:v>
      </x:c>
      <x:c r="L157" s="18" t="str"/>
      <x:c r="M157" s="16" t="str">
        <x:v>Event, eight claims, four sources and relevant organisations entered.</x:v>
      </x:c>
    </x:row>
    <x:row r="158">
      <x:c r="A158" s="16" t="str">
        <x:v>W1-157</x:v>
      </x:c>
      <x:c r="B158" s="16" t="str">
        <x:v>Day 5</x:v>
      </x:c>
      <x:c r="C158" s="16" t="str">
        <x:v>Event 7 research</x:v>
      </x:c>
      <x:c r="D158" s="16" t="str">
        <x:v>Record workflow problems found during Event 7</x:v>
      </x:c>
      <x:c r="E158" s="16" t="str">
        <x:v>Note missing fields, ambiguous terms, disputed numbers, unclear dates or unavailable outcomes.</x:v>
      </x:c>
      <x:c r="F158" s="16" t="str">
        <x:v>Founder</x:v>
      </x:c>
      <x:c r="G158" s="16" t="str">
        <x:v>High</x:v>
      </x:c>
      <x:c r="H158" s="16" t="str">
        <x:v>Complete</x:v>
      </x:c>
      <x:c r="I158" s="16" t="str">
        <x:v>W1-156</x:v>
      </x:c>
      <x:c r="J158" s="16" t="str">
        <x:v>Problems added to Day 5 log</x:v>
      </x:c>
      <x:c r="K158" s="18" t="n">
        <x:v>15</x:v>
      </x:c>
      <x:c r="L158" s="18" t="str"/>
      <x:c r="M158" s="16" t="str">
        <x:v>Logged missing company identity, environmental-clearance documents and unverified land-disclosure allegations.</x:v>
      </x:c>
    </x:row>
    <x:row r="159">
      <x:c r="A159" s="16" t="str">
        <x:v>W1-158</x:v>
      </x:c>
      <x:c r="B159" s="16" t="str">
        <x:v>Day 5</x:v>
      </x:c>
      <x:c r="C159" s="16" t="str">
        <x:v>Event 7 research</x:v>
      </x:c>
      <x:c r="D159" s="16" t="str">
        <x:v>Quality-check Event 7</x:v>
      </x:c>
      <x:c r="E159" s="16" t="str">
        <x:v>Confirm neutral wording, source links, uncertainty labels and privacy protections.</x:v>
      </x:c>
      <x:c r="F159" s="16" t="str">
        <x:v>Founder</x:v>
      </x:c>
      <x:c r="G159" s="16" t="str">
        <x:v>High</x:v>
      </x:c>
      <x:c r="H159" s="16" t="str">
        <x:v>Complete</x:v>
      </x:c>
      <x:c r="I159" s="16" t="str">
        <x:v>W1-157</x:v>
      </x:c>
      <x:c r="J159" s="16" t="str">
        <x:v>Event 7 quality checked</x:v>
      </x:c>
      <x:c r="K159" s="18" t="n">
        <x:v>15</x:v>
      </x:c>
      <x:c r="L159" s="18" t="str"/>
      <x:c r="M159" s="16" t="str">
        <x:v>Safety, attribution, police-restriction wording and project-document needs quality checked.</x:v>
      </x:c>
    </x:row>
    <x:row r="160">
      <x:c r="A160" s="16" t="str">
        <x:v>W1-159</x:v>
      </x:c>
      <x:c r="B160" s="16" t="str">
        <x:v>Day 5</x:v>
      </x:c>
      <x:c r="C160" s="16" t="str">
        <x:v>Event 8 research</x:v>
      </x:c>
      <x:c r="D160" s="16" t="str">
        <x:v>Select Event 8</x:v>
      </x:c>
      <x:c r="E160" s="16" t="str">
        <x:v>Choose a new event that fits the pilot criteria.</x:v>
      </x:c>
      <x:c r="F160" s="16" t="str">
        <x:v>Founder</x:v>
      </x:c>
      <x:c r="G160" s="16" t="str">
        <x:v>High</x:v>
      </x:c>
      <x:c r="H160" s="16" t="str">
        <x:v>Complete</x:v>
      </x:c>
      <x:c r="I160" s="16" t="str"/>
      <x:c r="J160" s="16" t="str">
        <x:v>Event 8 selected</x:v>
      </x:c>
      <x:c r="K160" s="18" t="n">
        <x:v>15</x:v>
      </x:c>
      <x:c r="L160" s="18" t="str"/>
      <x:c r="M160" s="16" t="str">
        <x:v>Selected IO-CM-AS-0001: Malgaon APDCL land-allotment and resettlement protest.</x:v>
      </x:c>
    </x:row>
    <x:row r="161">
      <x:c r="A161" s="16" t="str">
        <x:v>W1-160</x:v>
      </x:c>
      <x:c r="B161" s="16" t="str">
        <x:v>Day 5</x:v>
      </x:c>
      <x:c r="C161" s="16" t="str">
        <x:v>Event 8 research</x:v>
      </x:c>
      <x:c r="D161" s="16" t="str">
        <x:v>Verify source independence for Event 8</x:v>
      </x:c>
      <x:c r="E161" s="16" t="str">
        <x:v>Find at least two credible sources and identify any shared underlying source.</x:v>
      </x:c>
      <x:c r="F161" s="16" t="str">
        <x:v>Founder</x:v>
      </x:c>
      <x:c r="G161" s="16" t="str">
        <x:v>High</x:v>
      </x:c>
      <x:c r="H161" s="16" t="str">
        <x:v>Complete</x:v>
      </x:c>
      <x:c r="I161" s="16" t="str">
        <x:v>W1-159</x:v>
      </x:c>
      <x:c r="J161" s="16" t="str">
        <x:v>Source set checked</x:v>
      </x:c>
      <x:c r="K161" s="18" t="n">
        <x:v>30</x:v>
      </x:c>
      <x:c r="L161" s="18" t="str"/>
      <x:c r="M161" s="16" t="str">
        <x:v>Regional video and local community reporting reviewed; possible shared-source relationships are disclosed.</x:v>
      </x:c>
    </x:row>
    <x:row r="162">
      <x:c r="A162" s="16" t="str">
        <x:v>W1-161</x:v>
      </x:c>
      <x:c r="B162" s="16" t="str">
        <x:v>Day 5</x:v>
      </x:c>
      <x:c r="C162" s="16" t="str">
        <x:v>Event 8 research</x:v>
      </x:c>
      <x:c r="D162" s="16" t="str">
        <x:v>Complete the structured record for Event 8</x:v>
      </x:c>
      <x:c r="E162" s="16" t="str">
        <x:v>Enter event, claim and source data using the Version 0.1 methodology.</x:v>
      </x:c>
      <x:c r="F162" s="16" t="str">
        <x:v>Founder</x:v>
      </x:c>
      <x:c r="G162" s="16" t="str">
        <x:v>High</x:v>
      </x:c>
      <x:c r="H162" s="16" t="str">
        <x:v>Complete</x:v>
      </x:c>
      <x:c r="I162" s="16" t="str">
        <x:v>W1-160</x:v>
      </x:c>
      <x:c r="J162" s="16" t="str">
        <x:v>Event 8 structured record</x:v>
      </x:c>
      <x:c r="K162" s="18" t="n">
        <x:v>50</x:v>
      </x:c>
      <x:c r="L162" s="18" t="str"/>
      <x:c r="M162" s="16" t="str">
        <x:v>Event, seven claims, three sources and relevant organisations entered.</x:v>
      </x:c>
    </x:row>
    <x:row r="163">
      <x:c r="A163" s="16" t="str">
        <x:v>W1-162</x:v>
      </x:c>
      <x:c r="B163" s="16" t="str">
        <x:v>Day 5</x:v>
      </x:c>
      <x:c r="C163" s="16" t="str">
        <x:v>Event 8 research</x:v>
      </x:c>
      <x:c r="D163" s="16" t="str">
        <x:v>Record workflow problems found during Event 8</x:v>
      </x:c>
      <x:c r="E163" s="16" t="str">
        <x:v>Note missing fields, ambiguous terms, disputed numbers, unclear dates or unavailable outcomes.</x:v>
      </x:c>
      <x:c r="F163" s="16" t="str">
        <x:v>Founder</x:v>
      </x:c>
      <x:c r="G163" s="16" t="str">
        <x:v>High</x:v>
      </x:c>
      <x:c r="H163" s="16" t="str">
        <x:v>Complete</x:v>
      </x:c>
      <x:c r="I163" s="16" t="str">
        <x:v>W1-161</x:v>
      </x:c>
      <x:c r="J163" s="16" t="str">
        <x:v>Problems added to Day 5 log</x:v>
      </x:c>
      <x:c r="K163" s="18" t="n">
        <x:v>15</x:v>
      </x:c>
      <x:c r="L163" s="18" t="str"/>
      <x:c r="M163" s="16" t="str">
        <x:v>Logged absent official land records and the need to protect proposed resettlement beneficiaries from stigma.</x:v>
      </x:c>
    </x:row>
    <x:row r="164">
      <x:c r="A164" s="16" t="str">
        <x:v>W1-163</x:v>
      </x:c>
      <x:c r="B164" s="16" t="str">
        <x:v>Day 5</x:v>
      </x:c>
      <x:c r="C164" s="16" t="str">
        <x:v>Event 8 research</x:v>
      </x:c>
      <x:c r="D164" s="16" t="str">
        <x:v>Quality-check Event 8</x:v>
      </x:c>
      <x:c r="E164" s="16" t="str">
        <x:v>Confirm neutral wording, source links, uncertainty labels and privacy protections.</x:v>
      </x:c>
      <x:c r="F164" s="16" t="str">
        <x:v>Founder</x:v>
      </x:c>
      <x:c r="G164" s="16" t="str">
        <x:v>High</x:v>
      </x:c>
      <x:c r="H164" s="16" t="str">
        <x:v>Complete</x:v>
      </x:c>
      <x:c r="I164" s="16" t="str">
        <x:v>W1-162</x:v>
      </x:c>
      <x:c r="J164" s="16" t="str">
        <x:v>Event 8 quality checked</x:v>
      </x:c>
      <x:c r="K164" s="18" t="n">
        <x:v>15</x:v>
      </x:c>
      <x:c r="L164" s="18" t="str"/>
      <x:c r="M164" s="16" t="str">
        <x:v>Event wording reviewed for tribal-land context, source uncertainty and participant safety.</x:v>
      </x:c>
    </x:row>
    <x:row r="165">
      <x:c r="A165" s="16" t="str">
        <x:v>W1-164</x:v>
      </x:c>
      <x:c r="B165" s="16" t="str">
        <x:v>Day 5</x:v>
      </x:c>
      <x:c r="C165" s="16" t="str">
        <x:v>Event 9 research</x:v>
      </x:c>
      <x:c r="D165" s="16" t="str">
        <x:v>Select Event 9</x:v>
      </x:c>
      <x:c r="E165" s="16" t="str">
        <x:v>Choose a new event that fits the pilot criteria.</x:v>
      </x:c>
      <x:c r="F165" s="16" t="str">
        <x:v>Founder</x:v>
      </x:c>
      <x:c r="G165" s="16" t="str">
        <x:v>High</x:v>
      </x:c>
      <x:c r="H165" s="16" t="str">
        <x:v>Complete</x:v>
      </x:c>
      <x:c r="I165" s="16" t="str"/>
      <x:c r="J165" s="16" t="str">
        <x:v>Event 9 selected</x:v>
      </x:c>
      <x:c r="K165" s="18" t="n">
        <x:v>15</x:v>
      </x:c>
      <x:c r="L165" s="18" t="str"/>
      <x:c r="M165" s="16" t="str">
        <x:v>Selected IO-CM-MN-0001: MGSF indefinite cease-work strike.</x:v>
      </x:c>
    </x:row>
    <x:row r="166">
      <x:c r="A166" s="16" t="str">
        <x:v>W1-165</x:v>
      </x:c>
      <x:c r="B166" s="16" t="str">
        <x:v>Day 5</x:v>
      </x:c>
      <x:c r="C166" s="16" t="str">
        <x:v>Event 9 research</x:v>
      </x:c>
      <x:c r="D166" s="16" t="str">
        <x:v>Verify source independence for Event 9</x:v>
      </x:c>
      <x:c r="E166" s="16" t="str">
        <x:v>Find at least two credible sources and identify any shared underlying source.</x:v>
      </x:c>
      <x:c r="F166" s="16" t="str">
        <x:v>Founder</x:v>
      </x:c>
      <x:c r="G166" s="16" t="str">
        <x:v>High</x:v>
      </x:c>
      <x:c r="H166" s="16" t="str">
        <x:v>Complete</x:v>
      </x:c>
      <x:c r="I166" s="16" t="str">
        <x:v>W1-164</x:v>
      </x:c>
      <x:c r="J166" s="16" t="str">
        <x:v>Source set checked</x:v>
      </x:c>
      <x:c r="K166" s="18" t="n">
        <x:v>30</x:v>
      </x:c>
      <x:c r="L166" s="18" t="str"/>
      <x:c r="M166" s="16" t="str">
        <x:v>Economic Times, Northeast Now and The Sangai Express establish independent chronology and partial government response.</x:v>
      </x:c>
    </x:row>
    <x:row r="167">
      <x:c r="A167" s="16" t="str">
        <x:v>W1-166</x:v>
      </x:c>
      <x:c r="B167" s="16" t="str">
        <x:v>Day 5</x:v>
      </x:c>
      <x:c r="C167" s="16" t="str">
        <x:v>Event 9 research</x:v>
      </x:c>
      <x:c r="D167" s="16" t="str">
        <x:v>Complete the structured record for Event 9</x:v>
      </x:c>
      <x:c r="E167" s="16" t="str">
        <x:v>Enter event, claim and source data using the Version 0.1 methodology.</x:v>
      </x:c>
      <x:c r="F167" s="16" t="str">
        <x:v>Founder</x:v>
      </x:c>
      <x:c r="G167" s="16" t="str">
        <x:v>High</x:v>
      </x:c>
      <x:c r="H167" s="16" t="str">
        <x:v>Complete</x:v>
      </x:c>
      <x:c r="I167" s="16" t="str">
        <x:v>W1-165</x:v>
      </x:c>
      <x:c r="J167" s="16" t="str">
        <x:v>Event 9 structured record</x:v>
      </x:c>
      <x:c r="K167" s="18" t="n">
        <x:v>50</x:v>
      </x:c>
      <x:c r="L167" s="18" t="str"/>
      <x:c r="M167" s="16" t="str">
        <x:v>Event, eight claims, five sources and relevant organisations entered.</x:v>
      </x:c>
    </x:row>
    <x:row r="168">
      <x:c r="A168" s="16" t="str">
        <x:v>W1-167</x:v>
      </x:c>
      <x:c r="B168" s="16" t="str">
        <x:v>Day 5</x:v>
      </x:c>
      <x:c r="C168" s="16" t="str">
        <x:v>Event 9 research</x:v>
      </x:c>
      <x:c r="D168" s="16" t="str">
        <x:v>Record workflow problems found during Event 9</x:v>
      </x:c>
      <x:c r="E168" s="16" t="str">
        <x:v>Note missing fields, ambiguous terms, disputed numbers, unclear dates or unavailable outcomes.</x:v>
      </x:c>
      <x:c r="F168" s="16" t="str">
        <x:v>Founder</x:v>
      </x:c>
      <x:c r="G168" s="16" t="str">
        <x:v>High</x:v>
      </x:c>
      <x:c r="H168" s="16" t="str">
        <x:v>Complete</x:v>
      </x:c>
      <x:c r="I168" s="16" t="str">
        <x:v>W1-166</x:v>
      </x:c>
      <x:c r="J168" s="16" t="str">
        <x:v>Problems added to Day 5 log</x:v>
      </x:c>
      <x:c r="K168" s="18" t="n">
        <x:v>15</x:v>
      </x:c>
      <x:c r="L168" s="18" t="str"/>
      <x:c r="M168" s="16" t="str">
        <x:v>Logged risk of merging distinct employee-federation actions and treating reported financial loss as audited.</x:v>
      </x:c>
    </x:row>
    <x:row r="169">
      <x:c r="A169" s="16" t="str">
        <x:v>W1-168</x:v>
      </x:c>
      <x:c r="B169" s="16" t="str">
        <x:v>Day 5</x:v>
      </x:c>
      <x:c r="C169" s="16" t="str">
        <x:v>Event 9 research</x:v>
      </x:c>
      <x:c r="D169" s="16" t="str">
        <x:v>Quality-check Event 9</x:v>
      </x:c>
      <x:c r="E169" s="16" t="str">
        <x:v>Confirm neutral wording, source links, uncertainty labels and privacy protections.</x:v>
      </x:c>
      <x:c r="F169" s="16" t="str">
        <x:v>Founder</x:v>
      </x:c>
      <x:c r="G169" s="16" t="str">
        <x:v>High</x:v>
      </x:c>
      <x:c r="H169" s="16" t="str">
        <x:v>Complete</x:v>
      </x:c>
      <x:c r="I169" s="16" t="str">
        <x:v>W1-167</x:v>
      </x:c>
      <x:c r="J169" s="16" t="str">
        <x:v>Event 9 quality checked</x:v>
      </x:c>
      <x:c r="K169" s="18" t="n">
        <x:v>15</x:v>
      </x:c>
      <x:c r="L169" s="18" t="str"/>
      <x:c r="M169" s="16" t="str">
        <x:v>Organiser identity, duration, partial outcome and attributed estimates quality checked.</x:v>
      </x:c>
    </x:row>
    <x:row r="170">
      <x:c r="A170" s="16" t="str">
        <x:v>W1-169</x:v>
      </x:c>
      <x:c r="B170" s="16" t="str">
        <x:v>Day 5</x:v>
      </x:c>
      <x:c r="C170" s="16" t="str">
        <x:v>Event 10 research</x:v>
      </x:c>
      <x:c r="D170" s="16" t="str">
        <x:v>Select Event 10</x:v>
      </x:c>
      <x:c r="E170" s="16" t="str">
        <x:v>Choose a new event that fits the pilot criteria.</x:v>
      </x:c>
      <x:c r="F170" s="16" t="str">
        <x:v>Founder</x:v>
      </x:c>
      <x:c r="G170" s="16" t="str">
        <x:v>High</x:v>
      </x:c>
      <x:c r="H170" s="16" t="str">
        <x:v>Complete</x:v>
      </x:c>
      <x:c r="I170" s="16" t="str"/>
      <x:c r="J170" s="16" t="str">
        <x:v>Event 10 selected</x:v>
      </x:c>
      <x:c r="K170" s="18" t="n">
        <x:v>15</x:v>
      </x:c>
      <x:c r="L170" s="18" t="str"/>
      <x:c r="M170" s="16" t="str">
        <x:v>Selected IO-CM-OD-0001: Dharmasala school teacher-vacancy dharna.</x:v>
      </x:c>
    </x:row>
    <x:row r="171">
      <x:c r="A171" s="16" t="str">
        <x:v>W1-170</x:v>
      </x:c>
      <x:c r="B171" s="16" t="str">
        <x:v>Day 5</x:v>
      </x:c>
      <x:c r="C171" s="16" t="str">
        <x:v>Event 10 research</x:v>
      </x:c>
      <x:c r="D171" s="16" t="str">
        <x:v>Verify source independence for Event 10</x:v>
      </x:c>
      <x:c r="E171" s="16" t="str">
        <x:v>Find at least two credible sources and identify any shared underlying source.</x:v>
      </x:c>
      <x:c r="F171" s="16" t="str">
        <x:v>Founder</x:v>
      </x:c>
      <x:c r="G171" s="16" t="str">
        <x:v>High</x:v>
      </x:c>
      <x:c r="H171" s="16" t="str">
        <x:v>Complete</x:v>
      </x:c>
      <x:c r="I171" s="16" t="str">
        <x:v>W1-169</x:v>
      </x:c>
      <x:c r="J171" s="16" t="str">
        <x:v>Source set checked</x:v>
      </x:c>
      <x:c r="K171" s="18" t="n">
        <x:v>30</x:v>
      </x:c>
      <x:c r="L171" s="18" t="str"/>
      <x:c r="M171" s="16" t="str">
        <x:v>Two independent local reports corroborate occurrence and response while differing on staffing and enrolment figures.</x:v>
      </x:c>
    </x:row>
    <x:row r="172">
      <x:c r="A172" s="16" t="str">
        <x:v>W1-171</x:v>
      </x:c>
      <x:c r="B172" s="16" t="str">
        <x:v>Day 5</x:v>
      </x:c>
      <x:c r="C172" s="16" t="str">
        <x:v>Event 10 research</x:v>
      </x:c>
      <x:c r="D172" s="16" t="str">
        <x:v>Complete the structured record for Event 10</x:v>
      </x:c>
      <x:c r="E172" s="16" t="str">
        <x:v>Enter event, claim and source data using the Version 0.1 methodology.</x:v>
      </x:c>
      <x:c r="F172" s="16" t="str">
        <x:v>Founder</x:v>
      </x:c>
      <x:c r="G172" s="16" t="str">
        <x:v>High</x:v>
      </x:c>
      <x:c r="H172" s="16" t="str">
        <x:v>Complete</x:v>
      </x:c>
      <x:c r="I172" s="16" t="str">
        <x:v>W1-170</x:v>
      </x:c>
      <x:c r="J172" s="16" t="str">
        <x:v>Event 10 structured record</x:v>
      </x:c>
      <x:c r="K172" s="18" t="n">
        <x:v>50</x:v>
      </x:c>
      <x:c r="L172" s="18" t="str"/>
      <x:c r="M172" s="16" t="str">
        <x:v>Event, seven claims, two sources and relevant organisations entered.</x:v>
      </x:c>
    </x:row>
    <x:row r="173">
      <x:c r="A173" s="16" t="str">
        <x:v>W1-172</x:v>
      </x:c>
      <x:c r="B173" s="16" t="str">
        <x:v>Day 5</x:v>
      </x:c>
      <x:c r="C173" s="16" t="str">
        <x:v>Event 10 research</x:v>
      </x:c>
      <x:c r="D173" s="16" t="str">
        <x:v>Record workflow problems found during Event 10</x:v>
      </x:c>
      <x:c r="E173" s="16" t="str">
        <x:v>Note missing fields, ambiguous terms, disputed numbers, unclear dates or unavailable outcomes.</x:v>
      </x:c>
      <x:c r="F173" s="16" t="str">
        <x:v>Founder</x:v>
      </x:c>
      <x:c r="G173" s="16" t="str">
        <x:v>High</x:v>
      </x:c>
      <x:c r="H173" s="16" t="str">
        <x:v>Complete</x:v>
      </x:c>
      <x:c r="I173" s="16" t="str">
        <x:v>W1-171</x:v>
      </x:c>
      <x:c r="J173" s="16" t="str">
        <x:v>Problems added to Day 5 log</x:v>
      </x:c>
      <x:c r="K173" s="18" t="n">
        <x:v>15</x:v>
      </x:c>
      <x:c r="L173" s="18" t="str"/>
      <x:c r="M173" s="16" t="str">
        <x:v>Logged conflicting teacher/student totals and the need for official school records.</x:v>
      </x:c>
    </x:row>
    <x:row r="174">
      <x:c r="A174" s="16" t="str">
        <x:v>W1-173</x:v>
      </x:c>
      <x:c r="B174" s="16" t="str">
        <x:v>Day 5</x:v>
      </x:c>
      <x:c r="C174" s="16" t="str">
        <x:v>Event 10 research</x:v>
      </x:c>
      <x:c r="D174" s="16" t="str">
        <x:v>Quality-check Event 10</x:v>
      </x:c>
      <x:c r="E174" s="16" t="str">
        <x:v>Confirm neutral wording, source links, uncertainty labels and privacy protections.</x:v>
      </x:c>
      <x:c r="F174" s="16" t="str">
        <x:v>Founder</x:v>
      </x:c>
      <x:c r="G174" s="16" t="str">
        <x:v>High</x:v>
      </x:c>
      <x:c r="H174" s="16" t="str">
        <x:v>Complete</x:v>
      </x:c>
      <x:c r="I174" s="16" t="str">
        <x:v>W1-172</x:v>
      </x:c>
      <x:c r="J174" s="16" t="str">
        <x:v>Event 10 quality checked</x:v>
      </x:c>
      <x:c r="K174" s="18" t="n">
        <x:v>15</x:v>
      </x:c>
      <x:c r="L174" s="18" t="str"/>
      <x:c r="M174" s="16" t="str">
        <x:v>Student privacy, one-day duration, same-day response and outcome wording quality checked.</x:v>
      </x:c>
    </x:row>
    <x:row r="175">
      <x:c r="A175" s="16" t="str">
        <x:v>W1-174</x:v>
      </x:c>
      <x:c r="B175" s="16" t="str">
        <x:v>Day 5</x:v>
      </x:c>
      <x:c r="C175" s="16" t="str">
        <x:v>Schema testing</x:v>
      </x:c>
      <x:c r="D175" s="16" t="str">
        <x:v>Review fields that were frequently empty</x:v>
      </x:c>
      <x:c r="E175" s="16" t="str">
        <x:v>Decide whether they should remain optional, be redefined or be removed.</x:v>
      </x:c>
      <x:c r="F175" s="16" t="str">
        <x:v>Founder</x:v>
      </x:c>
      <x:c r="G175" s="16" t="str">
        <x:v>High</x:v>
      </x:c>
      <x:c r="H175" s="16" t="str">
        <x:v>Complete</x:v>
      </x:c>
      <x:c r="I175" s="16" t="str">
        <x:v>W1-148</x:v>
      </x:c>
      <x:c r="J175" s="16" t="str">
        <x:v>Review fields that were frequently empty</x:v>
      </x:c>
      <x:c r="K175" s="18" t="n">
        <x:v>20</x:v>
      </x:c>
      <x:c r="L175" s="18" t="str"/>
      <x:c r="M175" s="16" t="str">
        <x:v>Frequently empty dates and response fields remain optional; blanks are preserved instead of assumptions.</x:v>
      </x:c>
    </x:row>
    <x:row r="176">
      <x:c r="A176" s="16" t="str">
        <x:v>W1-175</x:v>
      </x:c>
      <x:c r="B176" s="16" t="str">
        <x:v>Day 5</x:v>
      </x:c>
      <x:c r="C176" s="16" t="str">
        <x:v>Schema testing</x:v>
      </x:c>
      <x:c r="D176" s="16" t="str">
        <x:v>Review ambiguous field names</x:v>
      </x:c>
      <x:c r="E176" s="16" t="str">
        <x:v>Rename fields that different users could interpret differently.</x:v>
      </x:c>
      <x:c r="F176" s="16" t="str">
        <x:v>Founder</x:v>
      </x:c>
      <x:c r="G176" s="16" t="str">
        <x:v>High</x:v>
      </x:c>
      <x:c r="H176" s="16" t="str">
        <x:v>Complete</x:v>
      </x:c>
      <x:c r="I176" s="16" t="str">
        <x:v>W1-174</x:v>
      </x:c>
      <x:c r="J176" s="16" t="str">
        <x:v>Review ambiguous field names</x:v>
      </x:c>
      <x:c r="K176" s="18" t="n">
        <x:v>20</x:v>
      </x:c>
      <x:c r="L176" s="18" t="str"/>
      <x:c r="M176" s="16" t="str">
        <x:v>Authority involved clarified as relevant institution, not an allegation of wrongdoing.</x:v>
      </x:c>
    </x:row>
    <x:row r="177">
      <x:c r="A177" s="16" t="str">
        <x:v>W1-176</x:v>
      </x:c>
      <x:c r="B177" s="16" t="str">
        <x:v>Day 5</x:v>
      </x:c>
      <x:c r="C177" s="16" t="str">
        <x:v>Schema testing</x:v>
      </x:c>
      <x:c r="D177" s="16" t="str">
        <x:v>Review difficult-to-verify claims</x:v>
      </x:c>
      <x:c r="E177" s="16" t="str">
        <x:v>Identify claims that need stronger status labels or a different workflow.</x:v>
      </x:c>
      <x:c r="F177" s="16" t="str">
        <x:v>Founder</x:v>
      </x:c>
      <x:c r="G177" s="16" t="str">
        <x:v>High</x:v>
      </x:c>
      <x:c r="H177" s="16" t="str">
        <x:v>Complete</x:v>
      </x:c>
      <x:c r="I177" s="16" t="str">
        <x:v>W1-175</x:v>
      </x:c>
      <x:c r="J177" s="16" t="str">
        <x:v>Review difficult-to-verify claims</x:v>
      </x:c>
      <x:c r="K177" s="18" t="n">
        <x:v>20</x:v>
      </x:c>
      <x:c r="L177" s="18" t="str"/>
      <x:c r="M177" s="16" t="str">
        <x:v>Health, environmental impact, consent, violence, crowd size, project cost and loss estimates remain claim-level.</x:v>
      </x:c>
    </x:row>
    <x:row r="178">
      <x:c r="A178" s="16" t="str">
        <x:v>W1-177</x:v>
      </x:c>
      <x:c r="B178" s="16" t="str">
        <x:v>Day 5</x:v>
      </x:c>
      <x:c r="C178" s="16" t="str">
        <x:v>Schema testing</x:v>
      </x:c>
      <x:c r="D178" s="16" t="str">
        <x:v>Review copied or syndicated reporting</x:v>
      </x:c>
      <x:c r="E178" s="16" t="str">
        <x:v>Check whether source-independence rules worked in practice.</x:v>
      </x:c>
      <x:c r="F178" s="16" t="str">
        <x:v>Founder</x:v>
      </x:c>
      <x:c r="G178" s="16" t="str">
        <x:v>High</x:v>
      </x:c>
      <x:c r="H178" s="16" t="str">
        <x:v>Complete</x:v>
      </x:c>
      <x:c r="I178" s="16" t="str">
        <x:v>W1-176</x:v>
      </x:c>
      <x:c r="J178" s="16" t="str">
        <x:v>Review copied or syndicated reporting</x:v>
      </x:c>
      <x:c r="K178" s="18" t="n">
        <x:v>20</x:v>
      </x:c>
      <x:c r="L178" s="18" t="str"/>
      <x:c r="M178" s="16" t="str">
        <x:v>Reposts and shared footage remain one underlying source; discovery is now separated from verification.</x:v>
      </x:c>
    </x:row>
    <x:row r="179">
      <x:c r="A179" s="16" t="str">
        <x:v>W1-178</x:v>
      </x:c>
      <x:c r="B179" s="16" t="str">
        <x:v>Day 5</x:v>
      </x:c>
      <x:c r="C179" s="16" t="str">
        <x:v>Schema testing</x:v>
      </x:c>
      <x:c r="D179" s="16" t="str">
        <x:v>Review unclear event dates</x:v>
      </x:c>
      <x:c r="E179" s="16" t="str">
        <x:v>Determine whether you need separate announced, started and last-confirmed dates.</x:v>
      </x:c>
      <x:c r="F179" s="16" t="str">
        <x:v>Founder</x:v>
      </x:c>
      <x:c r="G179" s="16" t="str">
        <x:v>High</x:v>
      </x:c>
      <x:c r="H179" s="16" t="str">
        <x:v>Complete</x:v>
      </x:c>
      <x:c r="I179" s="16" t="str">
        <x:v>W1-177</x:v>
      </x:c>
      <x:c r="J179" s="16" t="str">
        <x:v>Review unclear event dates</x:v>
      </x:c>
      <x:c r="K179" s="18" t="n">
        <x:v>20</x:v>
      </x:c>
      <x:c r="L179" s="18" t="str"/>
      <x:c r="M179" s="16" t="str">
        <x:v>Start, end and last-confirmed dates retained; announced actions remain claims until a repeated need justifies a new field.</x:v>
      </x:c>
    </x:row>
    <x:row r="180">
      <x:c r="A180" s="16" t="str">
        <x:v>W1-179</x:v>
      </x:c>
      <x:c r="B180" s="16" t="str">
        <x:v>Day 5</x:v>
      </x:c>
      <x:c r="C180" s="16" t="str">
        <x:v>Schema testing</x:v>
      </x:c>
      <x:c r="D180" s="16" t="str">
        <x:v>Review disputed crowd estimates</x:v>
      </x:c>
      <x:c r="E180" s="16" t="str">
        <x:v>Ensure estimates are attributed rather than presented as one number.</x:v>
      </x:c>
      <x:c r="F180" s="16" t="str">
        <x:v>Founder</x:v>
      </x:c>
      <x:c r="G180" s="16" t="str">
        <x:v>High</x:v>
      </x:c>
      <x:c r="H180" s="16" t="str">
        <x:v>Complete</x:v>
      </x:c>
      <x:c r="I180" s="16" t="str">
        <x:v>W1-178</x:v>
      </x:c>
      <x:c r="J180" s="16" t="str">
        <x:v>Review disputed crowd estimates</x:v>
      </x:c>
      <x:c r="K180" s="18" t="n">
        <x:v>20</x:v>
      </x:c>
      <x:c r="L180" s="18" t="str"/>
      <x:c r="M180" s="16" t="str">
        <x:v>Crowd estimates remain attributed claim-level information; no event-level field added.</x:v>
      </x:c>
    </x:row>
    <x:row r="181">
      <x:c r="A181" s="16" t="str">
        <x:v>W1-180</x:v>
      </x:c>
      <x:c r="B181" s="16" t="str">
        <x:v>Day 5</x:v>
      </x:c>
      <x:c r="C181" s="16" t="str">
        <x:v>Schema testing</x:v>
      </x:c>
      <x:c r="D181" s="16" t="str">
        <x:v>Review authority identification</x:v>
      </x:c>
      <x:c r="E181" s="16" t="str">
        <x:v>Check whether the responsible institution can be consistently recorded.</x:v>
      </x:c>
      <x:c r="F181" s="16" t="str">
        <x:v>Founder</x:v>
      </x:c>
      <x:c r="G181" s="16" t="str">
        <x:v>High</x:v>
      </x:c>
      <x:c r="H181" s="16" t="str">
        <x:v>Complete</x:v>
      </x:c>
      <x:c r="I181" s="16" t="str">
        <x:v>W1-179</x:v>
      </x:c>
      <x:c r="J181" s="16" t="str">
        <x:v>Review authority identification</x:v>
      </x:c>
      <x:c r="K181" s="18" t="n">
        <x:v>20</x:v>
      </x:c>
      <x:c r="L181" s="18" t="str"/>
      <x:c r="M181" s="16" t="str">
        <x:v>Authority field retained; Latest Official Response and Official Response Date added.</x:v>
      </x:c>
    </x:row>
    <x:row r="182">
      <x:c r="A182" s="16" t="str">
        <x:v>W1-181</x:v>
      </x:c>
      <x:c r="B182" s="16" t="str">
        <x:v>Day 5</x:v>
      </x:c>
      <x:c r="C182" s="16" t="str">
        <x:v>Schema testing</x:v>
      </x:c>
      <x:c r="D182" s="16" t="str">
        <x:v>Review event end and outcome fields</x:v>
      </x:c>
      <x:c r="E182" s="16" t="str">
        <x:v>Confirm that ongoing and unresolved events can be represented clearly.</x:v>
      </x:c>
      <x:c r="F182" s="16" t="str">
        <x:v>Founder</x:v>
      </x:c>
      <x:c r="G182" s="16" t="str">
        <x:v>High</x:v>
      </x:c>
      <x:c r="H182" s="16" t="str">
        <x:v>Complete</x:v>
      </x:c>
      <x:c r="I182" s="16" t="str">
        <x:v>W1-180</x:v>
      </x:c>
      <x:c r="J182" s="16" t="str">
        <x:v>Review event end and outcome fields</x:v>
      </x:c>
      <x:c r="K182" s="18" t="n">
        <x:v>20</x:v>
      </x:c>
      <x:c r="L182" s="18" t="str"/>
      <x:c r="M182" s="16" t="str">
        <x:v>Event status plus Activity Pattern retained; response and follow-up dates added for partial outcomes.</x:v>
      </x:c>
    </x:row>
    <x:row r="183">
      <x:c r="A183" s="16" t="str">
        <x:v>W1-182</x:v>
      </x:c>
      <x:c r="B183" s="16" t="str">
        <x:v>Day 5</x:v>
      </x:c>
      <x:c r="C183" s="16" t="str">
        <x:v>Schema testing</x:v>
      </x:c>
      <x:c r="D183" s="16" t="str">
        <x:v>Decide whether to add Demand category</x:v>
      </x:c>
      <x:c r="E183" s="16" t="str">
        <x:v>Add only if it improves filtering across multiple events.</x:v>
      </x:c>
      <x:c r="F183" s="16" t="str">
        <x:v>Founder</x:v>
      </x:c>
      <x:c r="G183" s="16" t="str">
        <x:v>High</x:v>
      </x:c>
      <x:c r="H183" s="16" t="str">
        <x:v>Complete</x:v>
      </x:c>
      <x:c r="I183" s="16" t="str">
        <x:v>W1-181</x:v>
      </x:c>
      <x:c r="J183" s="16" t="str">
        <x:v>Decide whether to add Demand category</x:v>
      </x:c>
      <x:c r="K183" s="18" t="n">
        <x:v>20</x:v>
      </x:c>
      <x:c r="L183" s="18" t="str"/>
      <x:c r="M183" s="16" t="str">
        <x:v>Demand Category approved and added as a controlled event field.</x:v>
      </x:c>
    </x:row>
    <x:row r="184">
      <x:c r="A184" s="16" t="str">
        <x:v>W1-183</x:v>
      </x:c>
      <x:c r="B184" s="16" t="str">
        <x:v>Day 5</x:v>
      </x:c>
      <x:c r="C184" s="16" t="str">
        <x:v>Schema testing</x:v>
      </x:c>
      <x:c r="D184" s="16" t="str">
        <x:v>Decide whether to add Related policy or law</x:v>
      </x:c>
      <x:c r="E184" s="16" t="str">
        <x:v>Add only when it can be captured consistently.</x:v>
      </x:c>
      <x:c r="F184" s="16" t="str">
        <x:v>Founder</x:v>
      </x:c>
      <x:c r="G184" s="16" t="str">
        <x:v>High</x:v>
      </x:c>
      <x:c r="H184" s="16" t="str">
        <x:v>Complete</x:v>
      </x:c>
      <x:c r="I184" s="16" t="str">
        <x:v>W1-182</x:v>
      </x:c>
      <x:c r="J184" s="16" t="str">
        <x:v>Decide whether to add Related policy or law</x:v>
      </x:c>
      <x:c r="K184" s="18" t="n">
        <x:v>20</x:v>
      </x:c>
      <x:c r="L184" s="18" t="str"/>
      <x:c r="M184" s="16" t="str">
        <x:v>Related Policy / Project / Law approved as a flexible text field.</x:v>
      </x:c>
    </x:row>
    <x:row r="185">
      <x:c r="A185" s="16" t="str">
        <x:v>W1-184</x:v>
      </x:c>
      <x:c r="B185" s="16" t="str">
        <x:v>Day 5</x:v>
      </x:c>
      <x:c r="C185" s="16" t="str">
        <x:v>Schema testing</x:v>
      </x:c>
      <x:c r="D185" s="16" t="str">
        <x:v>Decide whether to add Official response date</x:v>
      </x:c>
      <x:c r="E185" s="16" t="str">
        <x:v>Add if it helps build event timelines.</x:v>
      </x:c>
      <x:c r="F185" s="16" t="str">
        <x:v>Founder</x:v>
      </x:c>
      <x:c r="G185" s="16" t="str">
        <x:v>High</x:v>
      </x:c>
      <x:c r="H185" s="16" t="str">
        <x:v>Complete</x:v>
      </x:c>
      <x:c r="I185" s="16" t="str">
        <x:v>W1-183</x:v>
      </x:c>
      <x:c r="J185" s="16" t="str">
        <x:v>Decide whether to add Official response date</x:v>
      </x:c>
      <x:c r="K185" s="18" t="n">
        <x:v>20</x:v>
      </x:c>
      <x:c r="L185" s="18" t="str"/>
      <x:c r="M185" s="16" t="str">
        <x:v>Official Response Date approved and added.</x:v>
      </x:c>
    </x:row>
    <x:row r="186">
      <x:c r="A186" s="16" t="str">
        <x:v>W1-185</x:v>
      </x:c>
      <x:c r="B186" s="16" t="str">
        <x:v>Day 5</x:v>
      </x:c>
      <x:c r="C186" s="16" t="str">
        <x:v>Schema testing</x:v>
      </x:c>
      <x:c r="D186" s="16" t="str">
        <x:v>Decide whether to add Crowd estimate source</x:v>
      </x:c>
      <x:c r="E186" s="16" t="str">
        <x:v>Use only for attributed estimates.</x:v>
      </x:c>
      <x:c r="F186" s="16" t="str">
        <x:v>Founder</x:v>
      </x:c>
      <x:c r="G186" s="16" t="str">
        <x:v>High</x:v>
      </x:c>
      <x:c r="H186" s="16" t="str">
        <x:v>Complete</x:v>
      </x:c>
      <x:c r="I186" s="16" t="str">
        <x:v>W1-184</x:v>
      </x:c>
      <x:c r="J186" s="16" t="str">
        <x:v>Decide whether to add Crowd estimate source</x:v>
      </x:c>
      <x:c r="K186" s="18" t="n">
        <x:v>20</x:v>
      </x:c>
      <x:c r="L186" s="18" t="str"/>
      <x:c r="M186" s="16" t="str">
        <x:v>Crowd Estimate Source rejected as an event-level field; record through Claims and Sources.</x:v>
      </x:c>
    </x:row>
    <x:row r="187">
      <x:c r="A187" s="16" t="str">
        <x:v>W1-186</x:v>
      </x:c>
      <x:c r="B187" s="16" t="str">
        <x:v>Day 5</x:v>
      </x:c>
      <x:c r="C187" s="16" t="str">
        <x:v>Schema testing</x:v>
      </x:c>
      <x:c r="D187" s="16" t="str">
        <x:v>Decide whether to add Arrest or detention figures</x:v>
      </x:c>
      <x:c r="E187" s="16" t="str">
        <x:v>Use separate attributed fields rather than a single definitive number.</x:v>
      </x:c>
      <x:c r="F187" s="16" t="str">
        <x:v>Founder</x:v>
      </x:c>
      <x:c r="G187" s="16" t="str">
        <x:v>High</x:v>
      </x:c>
      <x:c r="H187" s="16" t="str">
        <x:v>Complete</x:v>
      </x:c>
      <x:c r="I187" s="16" t="str">
        <x:v>W1-185</x:v>
      </x:c>
      <x:c r="J187" s="16" t="str">
        <x:v>Decide whether to add Arrest or detention figures</x:v>
      </x:c>
      <x:c r="K187" s="18" t="n">
        <x:v>20</x:v>
      </x:c>
      <x:c r="L187" s="18" t="str"/>
      <x:c r="M187" s="16" t="str">
        <x:v>Arrest or detention figures rejected as a single event-level count; retain claimant and date context.</x:v>
      </x:c>
    </x:row>
    <x:row r="188">
      <x:c r="A188" s="16" t="str">
        <x:v>W1-187</x:v>
      </x:c>
      <x:c r="B188" s="16" t="str">
        <x:v>Day 5</x:v>
      </x:c>
      <x:c r="C188" s="16" t="str">
        <x:v>Schema testing</x:v>
      </x:c>
      <x:c r="D188" s="16" t="str">
        <x:v>Decide whether to add Transport disruption</x:v>
      </x:c>
      <x:c r="E188" s="16" t="str">
        <x:v>Add only when supported by a source.</x:v>
      </x:c>
      <x:c r="F188" s="16" t="str">
        <x:v>Founder</x:v>
      </x:c>
      <x:c r="G188" s="16" t="str">
        <x:v>High</x:v>
      </x:c>
      <x:c r="H188" s="16" t="str">
        <x:v>Complete</x:v>
      </x:c>
      <x:c r="I188" s="16" t="str">
        <x:v>W1-186</x:v>
      </x:c>
      <x:c r="J188" s="16" t="str">
        <x:v>Decide whether to add Transport disruption</x:v>
      </x:c>
      <x:c r="K188" s="18" t="n">
        <x:v>20</x:v>
      </x:c>
      <x:c r="L188" s="18" t="str"/>
      <x:c r="M188" s="16" t="str">
        <x:v>Transport disruption rejected as a core event field; record when relevant as a claim.</x:v>
      </x:c>
    </x:row>
    <x:row r="189">
      <x:c r="A189" s="16" t="str">
        <x:v>W1-188</x:v>
      </x:c>
      <x:c r="B189" s="16" t="str">
        <x:v>Day 5</x:v>
      </x:c>
      <x:c r="C189" s="16" t="str">
        <x:v>Schema testing</x:v>
      </x:c>
      <x:c r="D189" s="16" t="str">
        <x:v>Decide whether to add Court involvement</x:v>
      </x:c>
      <x:c r="E189" s="16" t="str">
        <x:v>Record relevant orders or petitions.</x:v>
      </x:c>
      <x:c r="F189" s="16" t="str">
        <x:v>Founder</x:v>
      </x:c>
      <x:c r="G189" s="16" t="str">
        <x:v>High</x:v>
      </x:c>
      <x:c r="H189" s="16" t="str">
        <x:v>Complete</x:v>
      </x:c>
      <x:c r="I189" s="16" t="str">
        <x:v>W1-187</x:v>
      </x:c>
      <x:c r="J189" s="16" t="str">
        <x:v>Decide whether to add Court involvement</x:v>
      </x:c>
      <x:c r="K189" s="18" t="n">
        <x:v>20</x:v>
      </x:c>
      <x:c r="L189" s="18" t="str"/>
      <x:c r="M189" s="16" t="str">
        <x:v>Court involvement deferred until repeated use justifies structure; court records remain sources/claims.</x:v>
      </x:c>
    </x:row>
    <x:row r="190">
      <x:c r="A190" s="16" t="str">
        <x:v>W1-189</x:v>
      </x:c>
      <x:c r="B190" s="16" t="str">
        <x:v>Day 5</x:v>
      </x:c>
      <x:c r="C190" s="16" t="str">
        <x:v>Schema testing</x:v>
      </x:c>
      <x:c r="D190" s="16" t="str">
        <x:v>Decide whether to add Outcome follow-up date</x:v>
      </x:c>
      <x:c r="E190" s="16" t="str">
        <x:v>Create a reminder date for unresolved records.</x:v>
      </x:c>
      <x:c r="F190" s="16" t="str">
        <x:v>Founder</x:v>
      </x:c>
      <x:c r="G190" s="16" t="str">
        <x:v>High</x:v>
      </x:c>
      <x:c r="H190" s="16" t="str">
        <x:v>Complete</x:v>
      </x:c>
      <x:c r="I190" s="16" t="str">
        <x:v>W1-188</x:v>
      </x:c>
      <x:c r="J190" s="16" t="str">
        <x:v>Decide whether to add Outcome follow-up date</x:v>
      </x:c>
      <x:c r="K190" s="18" t="n">
        <x:v>20</x:v>
      </x:c>
      <x:c r="L190" s="18" t="str"/>
      <x:c r="M190" s="16" t="str">
        <x:v>Outcome Follow-up Date approved to support a one-person review workflow.</x:v>
      </x:c>
    </x:row>
    <x:row r="191">
      <x:c r="A191" s="16" t="str">
        <x:v>W1-190</x:v>
      </x:c>
      <x:c r="B191" s="16" t="str">
        <x:v>Day 5</x:v>
      </x:c>
      <x:c r="C191" s="16" t="str">
        <x:v>Schema testing</x:v>
      </x:c>
      <x:c r="D191" s="16" t="str">
        <x:v>Apply approved schema changes</x:v>
      </x:c>
      <x:c r="E191" s="16" t="str">
        <x:v>Update the spreadsheet master template and existing ten records.</x:v>
      </x:c>
      <x:c r="F191" s="16" t="str">
        <x:v>Founder</x:v>
      </x:c>
      <x:c r="G191" s="16" t="str">
        <x:v>High</x:v>
      </x:c>
      <x:c r="H191" s="16" t="str">
        <x:v>Complete</x:v>
      </x:c>
      <x:c r="I191" s="16" t="str">
        <x:v>W1-189</x:v>
      </x:c>
      <x:c r="J191" s="16" t="str">
        <x:v>Apply approved schema changes</x:v>
      </x:c>
      <x:c r="K191" s="18" t="n">
        <x:v>20</x:v>
      </x:c>
      <x:c r="L191" s="18" t="str"/>
      <x:c r="M191" s="16" t="str">
        <x:v>Approved schema changes applied to existing and new event records; Primary Topic, discovery and coverage fields also added.</x:v>
      </x:c>
    </x:row>
    <x:row r="192">
      <x:c r="A192" s="16" t="str">
        <x:v>W1-191</x:v>
      </x:c>
      <x:c r="B192" s="16" t="str">
        <x:v>Day 5</x:v>
      </x:c>
      <x:c r="C192" s="16" t="str">
        <x:v>Schema testing</x:v>
      </x:c>
      <x:c r="D192" s="16" t="str">
        <x:v>Freeze the revised schema</x:v>
      </x:c>
      <x:c r="E192" s="16" t="str">
        <x:v>Save the updated version after testing ten events.</x:v>
      </x:c>
      <x:c r="F192" s="16" t="str">
        <x:v>Founder</x:v>
      </x:c>
      <x:c r="G192" s="16" t="str">
        <x:v>High</x:v>
      </x:c>
      <x:c r="H192" s="16" t="str">
        <x:v>Complete</x:v>
      </x:c>
      <x:c r="I192" s="16" t="str">
        <x:v>W1-190</x:v>
      </x:c>
      <x:c r="J192" s="16" t="str">
        <x:v>Freeze the revised schema</x:v>
      </x:c>
      <x:c r="K192" s="18" t="n">
        <x:v>20</x:v>
      </x:c>
      <x:c r="L192" s="18" t="str"/>
      <x:c r="M192" s="16" t="str">
        <x:v>Events schema and Verification Methodology frozen as Version 0.2 through Decision IO-DEC-0003.</x:v>
      </x:c>
    </x:row>
    <x:row r="193">
      <x:c r="A193" s="16" t="str">
        <x:v>W1-192</x:v>
      </x:c>
      <x:c r="B193" s="16" t="str">
        <x:v>Day 5</x:v>
      </x:c>
      <x:c r="C193" s="16" t="str">
        <x:v>Schema testing</x:v>
      </x:c>
      <x:c r="D193" s="16" t="str">
        <x:v>Confirm ten completed event records</x:v>
      </x:c>
      <x:c r="E193" s="16" t="str">
        <x:v>Verify that five Day 3 records and five Day 5 records are complete and consistently structured.</x:v>
      </x:c>
      <x:c r="F193" s="16" t="str">
        <x:v>Founder</x:v>
      </x:c>
      <x:c r="G193" s="16" t="str">
        <x:v>High</x:v>
      </x:c>
      <x:c r="H193" s="16" t="str">
        <x:v>Complete</x:v>
      </x:c>
      <x:c r="I193" s="16" t="str">
        <x:v>W1-191</x:v>
      </x:c>
      <x:c r="J193" s="16" t="str">
        <x:v>Ten completed event records</x:v>
      </x:c>
      <x:c r="K193" s="18" t="n">
        <x:v>30</x:v>
      </x:c>
      <x:c r="L193" s="18" t="str"/>
      <x:c r="M193" s="16" t="str">
        <x:v>Eleven complete event records confirmed. Target of ten was exceeded because Bidadi was separately approved and added before Day 5.</x:v>
      </x:c>
    </x:row>
    <x:row r="194">
      <x:c r="A194" s="16" t="str">
        <x:v>W1-193</x:v>
      </x:c>
      <x:c r="B194" s="16" t="str">
        <x:v>Day 6</x:v>
      </x:c>
      <x:c r="C194" s="16" t="str">
        <x:v>UX design</x:v>
      </x:c>
      <x:c r="D194" s="16" t="str">
        <x:v>Choose a low-cost wireframing method</x:v>
      </x:c>
      <x:c r="E194" s="16" t="str">
        <x:v>Use paper, Figma, Canva or a basic document; do not code the design yet.</x:v>
      </x:c>
      <x:c r="F194" s="16" t="str">
        <x:v>Founder</x:v>
      </x:c>
      <x:c r="G194" s="16" t="str">
        <x:v>High</x:v>
      </x:c>
      <x:c r="H194" s="16" t="str">
        <x:v>Complete</x:v>
      </x:c>
      <x:c r="I194" s="16" t="str"/>
      <x:c r="J194" s="16" t="str">
        <x:v>Wireframing tool selected</x:v>
      </x:c>
      <x:c r="K194" s="18" t="n">
        <x:v>10</x:v>
      </x:c>
      <x:c r="L194" s="18" t="str"/>
      <x:c r="M194" s="16" t="str">
        <x:v>Selected Excel cell-based low-fidelity wireframes inside the master workbook; no production code was created.</x:v>
      </x:c>
    </x:row>
    <x:row r="195">
      <x:c r="A195" s="16" t="str">
        <x:v>W1-194</x:v>
      </x:c>
      <x:c r="B195" s="16" t="str">
        <x:v>Day 6</x:v>
      </x:c>
      <x:c r="C195" s="16" t="str">
        <x:v>UX design</x:v>
      </x:c>
      <x:c r="D195" s="16" t="str">
        <x:v>Sketch the event-page header</x:v>
      </x:c>
      <x:c r="E195" s="16" t="str">
        <x:v>Include title, location, dates, event status and verification status.</x:v>
      </x:c>
      <x:c r="F195" s="16" t="str">
        <x:v>Founder</x:v>
      </x:c>
      <x:c r="G195" s="16" t="str">
        <x:v>High</x:v>
      </x:c>
      <x:c r="H195" s="16" t="str">
        <x:v>Complete</x:v>
      </x:c>
      <x:c r="I195" s="16" t="str">
        <x:v>W1-193</x:v>
      </x:c>
      <x:c r="J195" s="16" t="str">
        <x:v>Sketch the event-page header</x:v>
      </x:c>
      <x:c r="K195" s="18" t="n">
        <x:v>20</x:v>
      </x:c>
      <x:c r="L195" s="18" t="str"/>
      <x:c r="M195" s="16" t="str">
        <x:v>Event-page header includes neutral title, general location, dates, lifecycle status, activity pattern, verification label and update controls.</x:v>
      </x:c>
    </x:row>
    <x:row r="196">
      <x:c r="A196" s="16" t="str">
        <x:v>W1-195</x:v>
      </x:c>
      <x:c r="B196" s="16" t="str">
        <x:v>Day 6</x:v>
      </x:c>
      <x:c r="C196" s="16" t="str">
        <x:v>UX design</x:v>
      </x:c>
      <x:c r="D196" s="16" t="str">
        <x:v>Sketch the neutral summary section</x:v>
      </x:c>
      <x:c r="E196" s="16" t="str">
        <x:v>Provide a short factual overview.</x:v>
      </x:c>
      <x:c r="F196" s="16" t="str">
        <x:v>Founder</x:v>
      </x:c>
      <x:c r="G196" s="16" t="str">
        <x:v>High</x:v>
      </x:c>
      <x:c r="H196" s="16" t="str">
        <x:v>Complete</x:v>
      </x:c>
      <x:c r="I196" s="16" t="str">
        <x:v>W1-194</x:v>
      </x:c>
      <x:c r="J196" s="16" t="str">
        <x:v>Sketch the neutral summary section</x:v>
      </x:c>
      <x:c r="K196" s="18" t="n">
        <x:v>20</x:v>
      </x:c>
      <x:c r="L196" s="18" t="str"/>
      <x:c r="M196" s="16" t="str">
        <x:v>Neutral summary appears before detailed claims and explicitly states what is corroborated, attributed or disputed.</x:v>
      </x:c>
    </x:row>
    <x:row r="197">
      <x:c r="A197" s="16" t="str">
        <x:v>W1-196</x:v>
      </x:c>
      <x:c r="B197" s="16" t="str">
        <x:v>Day 6</x:v>
      </x:c>
      <x:c r="C197" s="16" t="str">
        <x:v>UX design</x:v>
      </x:c>
      <x:c r="D197" s="16" t="str">
        <x:v>Sketch the main issue section</x:v>
      </x:c>
      <x:c r="E197" s="16" t="str">
        <x:v>Show trigger, stated demands and relevant authority.</x:v>
      </x:c>
      <x:c r="F197" s="16" t="str">
        <x:v>Founder</x:v>
      </x:c>
      <x:c r="G197" s="16" t="str">
        <x:v>High</x:v>
      </x:c>
      <x:c r="H197" s="16" t="str">
        <x:v>Complete</x:v>
      </x:c>
      <x:c r="I197" s="16" t="str">
        <x:v>W1-195</x:v>
      </x:c>
      <x:c r="J197" s="16" t="str">
        <x:v>Sketch the main issue section</x:v>
      </x:c>
      <x:c r="K197" s="18" t="n">
        <x:v>20</x:v>
      </x:c>
      <x:c r="L197" s="18" t="str"/>
      <x:c r="M197" s="16" t="str">
        <x:v>Main-issue section separates trigger, stated demands and relevant authorities without alleging responsibility.</x:v>
      </x:c>
    </x:row>
    <x:row r="198">
      <x:c r="A198" s="16" t="str">
        <x:v>W1-197</x:v>
      </x:c>
      <x:c r="B198" s="16" t="str">
        <x:v>Day 6</x:v>
      </x:c>
      <x:c r="C198" s="16" t="str">
        <x:v>UX design</x:v>
      </x:c>
      <x:c r="D198" s="16" t="str">
        <x:v>Sketch the event timeline</x:v>
      </x:c>
      <x:c r="E198" s="16" t="str">
        <x:v>Show announcement, start, response, negotiations, conclusion and outcome.</x:v>
      </x:c>
      <x:c r="F198" s="16" t="str">
        <x:v>Founder</x:v>
      </x:c>
      <x:c r="G198" s="16" t="str">
        <x:v>High</x:v>
      </x:c>
      <x:c r="H198" s="16" t="str">
        <x:v>Complete</x:v>
      </x:c>
      <x:c r="I198" s="16" t="str">
        <x:v>W1-196</x:v>
      </x:c>
      <x:c r="J198" s="16" t="str">
        <x:v>Sketch the event timeline</x:v>
      </x:c>
      <x:c r="K198" s="18" t="n">
        <x:v>20</x:v>
      </x:c>
      <x:c r="L198" s="18" t="str"/>
      <x:c r="M198" s="16" t="str">
        <x:v>Timeline distinguishes uncertain dates, occurred actions, official responses and announced or partial outcomes.</x:v>
      </x:c>
    </x:row>
    <x:row r="199">
      <x:c r="A199" s="16" t="str">
        <x:v>W1-198</x:v>
      </x:c>
      <x:c r="B199" s="16" t="str">
        <x:v>Day 6</x:v>
      </x:c>
      <x:c r="C199" s="16" t="str">
        <x:v>UX design</x:v>
      </x:c>
      <x:c r="D199" s="16" t="str">
        <x:v>Sketch the claims and evidence section</x:v>
      </x:c>
      <x:c r="E199" s="16" t="str">
        <x:v>Show each claim, its status and its supporting sources.</x:v>
      </x:c>
      <x:c r="F199" s="16" t="str">
        <x:v>Founder</x:v>
      </x:c>
      <x:c r="G199" s="16" t="str">
        <x:v>High</x:v>
      </x:c>
      <x:c r="H199" s="16" t="str">
        <x:v>Complete</x:v>
      </x:c>
      <x:c r="I199" s="16" t="str">
        <x:v>W1-197</x:v>
      </x:c>
      <x:c r="J199" s="16" t="str">
        <x:v>Sketch the claims and evidence section</x:v>
      </x:c>
      <x:c r="K199" s="18" t="n">
        <x:v>20</x:v>
      </x:c>
      <x:c r="L199" s="18" t="str"/>
      <x:c r="M199" s="16" t="str">
        <x:v>Claims-and-evidence area uses atomic claim cards with visible status, claimant and evidence access.</x:v>
      </x:c>
    </x:row>
    <x:row r="200">
      <x:c r="A200" s="16" t="str">
        <x:v>W1-199</x:v>
      </x:c>
      <x:c r="B200" s="16" t="str">
        <x:v>Day 6</x:v>
      </x:c>
      <x:c r="C200" s="16" t="str">
        <x:v>UX design</x:v>
      </x:c>
      <x:c r="D200" s="16" t="str">
        <x:v>Sketch the different-accounts section</x:v>
      </x:c>
      <x:c r="E200" s="16" t="str">
        <x:v>Display disagreements without choosing an unsupported version.</x:v>
      </x:c>
      <x:c r="F200" s="16" t="str">
        <x:v>Founder</x:v>
      </x:c>
      <x:c r="G200" s="16" t="str">
        <x:v>High</x:v>
      </x:c>
      <x:c r="H200" s="16" t="str">
        <x:v>Complete</x:v>
      </x:c>
      <x:c r="I200" s="16" t="str">
        <x:v>W1-198</x:v>
      </x:c>
      <x:c r="J200" s="16" t="str">
        <x:v>Sketch the different-accounts section</x:v>
      </x:c>
      <x:c r="K200" s="18" t="n">
        <x:v>20</x:v>
      </x:c>
      <x:c r="L200" s="18" t="str"/>
      <x:c r="M200" s="16" t="str">
        <x:v>Different-accounts section presents material disagreements with evidence context and an unresolved India Observed position.</x:v>
      </x:c>
    </x:row>
    <x:row r="201">
      <x:c r="A201" s="16" t="str">
        <x:v>W1-200</x:v>
      </x:c>
      <x:c r="B201" s="16" t="str">
        <x:v>Day 6</x:v>
      </x:c>
      <x:c r="C201" s="16" t="str">
        <x:v>UX design</x:v>
      </x:c>
      <x:c r="D201" s="16" t="str">
        <x:v>Sketch the sources section</x:v>
      </x:c>
      <x:c r="E201" s="16" t="str">
        <x:v>Show publisher, headline, date and original link.</x:v>
      </x:c>
      <x:c r="F201" s="16" t="str">
        <x:v>Founder</x:v>
      </x:c>
      <x:c r="G201" s="16" t="str">
        <x:v>High</x:v>
      </x:c>
      <x:c r="H201" s="16" t="str">
        <x:v>Complete</x:v>
      </x:c>
      <x:c r="I201" s="16" t="str">
        <x:v>W1-199</x:v>
      </x:c>
      <x:c r="J201" s="16" t="str">
        <x:v>Sketch the sources section</x:v>
      </x:c>
      <x:c r="K201" s="18" t="n">
        <x:v>20</x:v>
      </x:c>
      <x:c r="L201" s="18" t="str"/>
      <x:c r="M201" s="16" t="str">
        <x:v>Sources section shows publisher, headline, date, source role and original-link action.</x:v>
      </x:c>
    </x:row>
    <x:row r="202">
      <x:c r="A202" s="16" t="str">
        <x:v>W1-201</x:v>
      </x:c>
      <x:c r="B202" s="16" t="str">
        <x:v>Day 6</x:v>
      </x:c>
      <x:c r="C202" s="16" t="str">
        <x:v>UX design</x:v>
      </x:c>
      <x:c r="D202" s="16" t="str">
        <x:v>Sketch the corrections section</x:v>
      </x:c>
      <x:c r="E202" s="16" t="str">
        <x:v>Show material changes to the public record.</x:v>
      </x:c>
      <x:c r="F202" s="16" t="str">
        <x:v>Founder</x:v>
      </x:c>
      <x:c r="G202" s="16" t="str">
        <x:v>High</x:v>
      </x:c>
      <x:c r="H202" s="16" t="str">
        <x:v>Complete</x:v>
      </x:c>
      <x:c r="I202" s="16" t="str">
        <x:v>W1-200</x:v>
      </x:c>
      <x:c r="J202" s="16" t="str">
        <x:v>Sketch the corrections section</x:v>
      </x:c>
      <x:c r="K202" s="18" t="n">
        <x:v>20</x:v>
      </x:c>
      <x:c r="L202" s="18" t="str"/>
      <x:c r="M202" s="16" t="str">
        <x:v>Corrections section shows public correction status, version, last reviewed date and correction route.</x:v>
      </x:c>
    </x:row>
    <x:row r="203">
      <x:c r="A203" s="16" t="str">
        <x:v>W1-202</x:v>
      </x:c>
      <x:c r="B203" s="16" t="str">
        <x:v>Day 6</x:v>
      </x:c>
      <x:c r="C203" s="16" t="str">
        <x:v>UX design</x:v>
      </x:c>
      <x:c r="D203" s="16" t="str">
        <x:v>Sketch the event status and update area</x:v>
      </x:c>
      <x:c r="E203" s="16" t="str">
        <x:v>Show last reviewed and latest confirmed information.</x:v>
      </x:c>
      <x:c r="F203" s="16" t="str">
        <x:v>Founder</x:v>
      </x:c>
      <x:c r="G203" s="16" t="str">
        <x:v>High</x:v>
      </x:c>
      <x:c r="H203" s="16" t="str">
        <x:v>Complete</x:v>
      </x:c>
      <x:c r="I203" s="16" t="str">
        <x:v>W1-201</x:v>
      </x:c>
      <x:c r="J203" s="16" t="str">
        <x:v>Sketch the event status and update area</x:v>
      </x:c>
      <x:c r="K203" s="18" t="n">
        <x:v>20</x:v>
      </x:c>
      <x:c r="L203" s="18" t="str"/>
      <x:c r="M203" s="16" t="str">
        <x:v>Event update area displays last reviewed, latest confirmed active, methodology version and record history.</x:v>
      </x:c>
    </x:row>
    <x:row r="204">
      <x:c r="A204" s="16" t="str">
        <x:v>W1-203</x:v>
      </x:c>
      <x:c r="B204" s="16" t="str">
        <x:v>Day 6</x:v>
      </x:c>
      <x:c r="C204" s="16" t="str">
        <x:v>UX design</x:v>
      </x:c>
      <x:c r="D204" s="16" t="str">
        <x:v>Sketch the home page</x:v>
      </x:c>
      <x:c r="E204" s="16" t="str">
        <x:v>Explain the platform and surface recent or featured records.</x:v>
      </x:c>
      <x:c r="F204" s="16" t="str">
        <x:v>Founder</x:v>
      </x:c>
      <x:c r="G204" s="16" t="str">
        <x:v>High</x:v>
      </x:c>
      <x:c r="H204" s="16" t="str">
        <x:v>Complete</x:v>
      </x:c>
      <x:c r="I204" s="16" t="str">
        <x:v>W1-202</x:v>
      </x:c>
      <x:c r="J204" s="16" t="str">
        <x:v>Sketch the home page</x:v>
      </x:c>
      <x:c r="K204" s="18" t="n">
        <x:v>20</x:v>
      </x:c>
      <x:c r="L204" s="18" t="str"/>
      <x:c r="M204" s="16" t="str">
        <x:v>Home page explains the platform, discloses selective coverage and surfaces recent events, topics and trust features.</x:v>
      </x:c>
    </x:row>
    <x:row r="205">
      <x:c r="A205" s="16" t="str">
        <x:v>W1-204</x:v>
      </x:c>
      <x:c r="B205" s="16" t="str">
        <x:v>Day 6</x:v>
      </x:c>
      <x:c r="C205" s="16" t="str">
        <x:v>UX design</x:v>
      </x:c>
      <x:c r="D205" s="16" t="str">
        <x:v>Sketch the browse-events page</x:v>
      </x:c>
      <x:c r="E205" s="16" t="str">
        <x:v>Include simple filters for date, district, issue and verification status.</x:v>
      </x:c>
      <x:c r="F205" s="16" t="str">
        <x:v>Founder</x:v>
      </x:c>
      <x:c r="G205" s="16" t="str">
        <x:v>High</x:v>
      </x:c>
      <x:c r="H205" s="16" t="str">
        <x:v>Complete</x:v>
      </x:c>
      <x:c r="I205" s="16" t="str">
        <x:v>W1-203</x:v>
      </x:c>
      <x:c r="J205" s="16" t="str">
        <x:v>Sketch the browse-events page</x:v>
      </x:c>
      <x:c r="K205" s="18" t="n">
        <x:v>20</x:v>
      </x:c>
      <x:c r="L205" s="18" t="str"/>
      <x:c r="M205" s="16" t="str">
        <x:v>Browse page includes date, state, district, topic, lifecycle, verification, activity-pattern and coverage filters.</x:v>
      </x:c>
    </x:row>
    <x:row r="206">
      <x:c r="A206" s="16" t="str">
        <x:v>W1-205</x:v>
      </x:c>
      <x:c r="B206" s="16" t="str">
        <x:v>Day 6</x:v>
      </x:c>
      <x:c r="C206" s="16" t="str">
        <x:v>UX design</x:v>
      </x:c>
      <x:c r="D206" s="16" t="str">
        <x:v>Sketch the methodology page</x:v>
      </x:c>
      <x:c r="E206" s="16" t="str">
        <x:v>Explain statuses, inclusion criteria and source handling.</x:v>
      </x:c>
      <x:c r="F206" s="16" t="str">
        <x:v>Founder</x:v>
      </x:c>
      <x:c r="G206" s="16" t="str">
        <x:v>High</x:v>
      </x:c>
      <x:c r="H206" s="16" t="str">
        <x:v>Complete</x:v>
      </x:c>
      <x:c r="I206" s="16" t="str">
        <x:v>W1-204</x:v>
      </x:c>
      <x:c r="J206" s="16" t="str">
        <x:v>Sketch the methodology page</x:v>
      </x:c>
      <x:c r="K206" s="18" t="n">
        <x:v>20</x:v>
      </x:c>
      <x:c r="L206" s="18" t="str"/>
      <x:c r="M206" s="16" t="str">
        <x:v>Methodology page explains inclusion, verification labels, discovery-to-publication flow, source handling and privacy.</x:v>
      </x:c>
    </x:row>
    <x:row r="207">
      <x:c r="A207" s="16" t="str">
        <x:v>W1-206</x:v>
      </x:c>
      <x:c r="B207" s="16" t="str">
        <x:v>Day 6</x:v>
      </x:c>
      <x:c r="C207" s="16" t="str">
        <x:v>UX design</x:v>
      </x:c>
      <x:c r="D207" s="16" t="str">
        <x:v>Sketch the Submit a lead page</x:v>
      </x:c>
      <x:c r="E207" s="16" t="str">
        <x:v>Request public source links only; no sensitive uploads.</x:v>
      </x:c>
      <x:c r="F207" s="16" t="str">
        <x:v>Founder</x:v>
      </x:c>
      <x:c r="G207" s="16" t="str">
        <x:v>High</x:v>
      </x:c>
      <x:c r="H207" s="16" t="str">
        <x:v>Complete</x:v>
      </x:c>
      <x:c r="I207" s="16" t="str">
        <x:v>W1-205</x:v>
      </x:c>
      <x:c r="J207" s="16" t="str">
        <x:v>Sketch the Submit a lead page</x:v>
      </x:c>
      <x:c r="K207" s="18" t="n">
        <x:v>20</x:v>
      </x:c>
      <x:c r="L207" s="18" t="str"/>
      <x:c r="M207" s="16" t="str">
        <x:v>Submit a Lead page accepts public links only and prohibits sensitive uploads, participant lists and tactical information.</x:v>
      </x:c>
    </x:row>
    <x:row r="208">
      <x:c r="A208" s="16" t="str">
        <x:v>W1-207</x:v>
      </x:c>
      <x:c r="B208" s="16" t="str">
        <x:v>Day 6</x:v>
      </x:c>
      <x:c r="C208" s="16" t="str">
        <x:v>UX design</x:v>
      </x:c>
      <x:c r="D208" s="16" t="str">
        <x:v>Sketch the corrections page</x:v>
      </x:c>
      <x:c r="E208" s="16" t="str">
        <x:v>Explain how to submit corrections and display the public log.</x:v>
      </x:c>
      <x:c r="F208" s="16" t="str">
        <x:v>Founder</x:v>
      </x:c>
      <x:c r="G208" s="16" t="str">
        <x:v>High</x:v>
      </x:c>
      <x:c r="H208" s="16" t="str">
        <x:v>Complete</x:v>
      </x:c>
      <x:c r="I208" s="16" t="str">
        <x:v>W1-206</x:v>
      </x:c>
      <x:c r="J208" s="16" t="str">
        <x:v>Sketch the corrections page</x:v>
      </x:c>
      <x:c r="K208" s="18" t="n">
        <x:v>20</x:v>
      </x:c>
      <x:c r="L208" s="18" t="str"/>
      <x:c r="M208" s="16" t="str">
        <x:v>Corrections page includes a safe correction form, review workflow and public correction log.</x:v>
      </x:c>
    </x:row>
    <x:row r="209">
      <x:c r="A209" s="16" t="str">
        <x:v>W1-208</x:v>
      </x:c>
      <x:c r="B209" s="16" t="str">
        <x:v>Day 6</x:v>
      </x:c>
      <x:c r="C209" s="16" t="str">
        <x:v>UX design</x:v>
      </x:c>
      <x:c r="D209" s="16" t="str">
        <x:v>Check mobile readability</x:v>
      </x:c>
      <x:c r="E209" s="16" t="str">
        <x:v>Ensure the event page works on a narrow mobile screen.</x:v>
      </x:c>
      <x:c r="F209" s="16" t="str">
        <x:v>Founder</x:v>
      </x:c>
      <x:c r="G209" s="16" t="str">
        <x:v>High</x:v>
      </x:c>
      <x:c r="H209" s="16" t="str">
        <x:v>Complete</x:v>
      </x:c>
      <x:c r="I209" s="16" t="str">
        <x:v>W1-207</x:v>
      </x:c>
      <x:c r="J209" s="16" t="str">
        <x:v>Check mobile readability</x:v>
      </x:c>
      <x:c r="K209" s="18" t="n">
        <x:v>20</x:v>
      </x:c>
      <x:c r="L209" s="18" t="str"/>
      <x:c r="M209" s="16" t="str">
        <x:v>Event-page mobile wireframe uses a single-column order: title, status, summary, issue, timeline, claims, sources and record history.</x:v>
      </x:c>
    </x:row>
    <x:row r="210">
      <x:c r="A210" s="16" t="str">
        <x:v>W1-209</x:v>
      </x:c>
      <x:c r="B210" s="16" t="str">
        <x:v>Day 6</x:v>
      </x:c>
      <x:c r="C210" s="16" t="str">
        <x:v>UX design</x:v>
      </x:c>
      <x:c r="D210" s="16" t="str">
        <x:v>Check privacy in the interface</x:v>
      </x:c>
      <x:c r="E210" s="16" t="str">
        <x:v>Do not expose participant lists or tactical locations.</x:v>
      </x:c>
      <x:c r="F210" s="16" t="str">
        <x:v>Founder</x:v>
      </x:c>
      <x:c r="G210" s="16" t="str">
        <x:v>High</x:v>
      </x:c>
      <x:c r="H210" s="16" t="str">
        <x:v>Complete</x:v>
      </x:c>
      <x:c r="I210" s="16" t="str">
        <x:v>W1-208</x:v>
      </x:c>
      <x:c r="J210" s="16" t="str">
        <x:v>Check privacy in the interface</x:v>
      </x:c>
      <x:c r="K210" s="18" t="n">
        <x:v>20</x:v>
      </x:c>
      <x:c r="L210" s="18" t="str"/>
      <x:c r="M210" s="16" t="str">
        <x:v>Interface review confirms no participant directories, exact tactical maps, private submissions or unnecessary identity exposure.</x:v>
      </x:c>
    </x:row>
    <x:row r="211">
      <x:c r="A211" s="16" t="str">
        <x:v>W1-210</x:v>
      </x:c>
      <x:c r="B211" s="16" t="str">
        <x:v>Day 6</x:v>
      </x:c>
      <x:c r="C211" s="16" t="str">
        <x:v>UX design</x:v>
      </x:c>
      <x:c r="D211" s="16" t="str">
        <x:v>Check neutral visual language</x:v>
      </x:c>
      <x:c r="E211" s="16" t="str">
        <x:v>Avoid partisan colours, sensational labels and inflammatory imagery.</x:v>
      </x:c>
      <x:c r="F211" s="16" t="str">
        <x:v>Founder</x:v>
      </x:c>
      <x:c r="G211" s="16" t="str">
        <x:v>High</x:v>
      </x:c>
      <x:c r="H211" s="16" t="str">
        <x:v>Complete</x:v>
      </x:c>
      <x:c r="I211" s="16" t="str">
        <x:v>W1-209</x:v>
      </x:c>
      <x:c r="J211" s="16" t="str">
        <x:v>Check neutral visual language</x:v>
      </x:c>
      <x:c r="K211" s="18" t="n">
        <x:v>20</x:v>
      </x:c>
      <x:c r="L211" s="18" t="str"/>
      <x:c r="M211" s="16" t="str">
        <x:v>Neutral visual language uses restrained blue, grey, green, amber and red only for meaning; no partisan or sensational imagery.</x:v>
      </x:c>
    </x:row>
    <x:row r="212">
      <x:c r="A212" s="16" t="str">
        <x:v>W1-211</x:v>
      </x:c>
      <x:c r="B212" s="16" t="str">
        <x:v>Day 6</x:v>
      </x:c>
      <x:c r="C212" s="16" t="str">
        <x:v>UX design</x:v>
      </x:c>
      <x:c r="D212" s="16" t="str">
        <x:v>Review the five wireframes as one journey</x:v>
      </x:c>
      <x:c r="E212" s="16" t="str">
        <x:v>Confirm that a visitor can understand, browse, verify and correct records.</x:v>
      </x:c>
      <x:c r="F212" s="16" t="str">
        <x:v>Founder</x:v>
      </x:c>
      <x:c r="G212" s="16" t="str">
        <x:v>High</x:v>
      </x:c>
      <x:c r="H212" s="16" t="str">
        <x:v>Complete</x:v>
      </x:c>
      <x:c r="I212" s="16" t="str">
        <x:v>W1-210</x:v>
      </x:c>
      <x:c r="J212" s="16" t="str">
        <x:v>Review the five wireframes as one journey</x:v>
      </x:c>
      <x:c r="K212" s="18" t="n">
        <x:v>20</x:v>
      </x:c>
      <x:c r="L212" s="18" t="str"/>
      <x:c r="M212" s="16" t="str">
        <x:v>Wireframe Index confirms a coherent journey: understand, browse, inspect, verify, learn and contribute.</x:v>
      </x:c>
    </x:row>
    <x:row r="213">
      <x:c r="A213" s="16" t="str">
        <x:v>W1-212</x:v>
      </x:c>
      <x:c r="B213" s="16" t="str">
        <x:v>Day 6</x:v>
      </x:c>
      <x:c r="C213" s="16" t="str">
        <x:v>UX design</x:v>
      </x:c>
      <x:c r="D213" s="16" t="str">
        <x:v>Save the first wireframe set</x:v>
      </x:c>
      <x:c r="E213" s="16" t="str">
        <x:v>Store the event, home, browse, methodology, lead and corrections wireframes together.</x:v>
      </x:c>
      <x:c r="F213" s="16" t="str">
        <x:v>Founder</x:v>
      </x:c>
      <x:c r="G213" s="16" t="str">
        <x:v>High</x:v>
      </x:c>
      <x:c r="H213" s="16" t="str">
        <x:v>Complete</x:v>
      </x:c>
      <x:c r="I213" s="16" t="str">
        <x:v>W1-211</x:v>
      </x:c>
      <x:c r="J213" s="16" t="str">
        <x:v>Day 6 wireframe pack</x:v>
      </x:c>
      <x:c r="K213" s="18" t="n">
        <x:v>10</x:v>
      </x:c>
      <x:c r="L213" s="18" t="str"/>
      <x:c r="M213" s="16" t="str">
        <x:v>First wireframe set saved as seven workbook sheets: index plus six public page designs. Ready for Day 7 engineering foundation.</x:v>
      </x:c>
    </x:row>
    <x:row r="214">
      <x:c r="A214" s="16" t="str">
        <x:v>W1-213</x:v>
      </x:c>
      <x:c r="B214" s="16" t="str">
        <x:v>Day 7</x:v>
      </x:c>
      <x:c r="C214" s="16" t="str">
        <x:v>Engineering setup</x:v>
      </x:c>
      <x:c r="D214" s="16" t="str">
        <x:v>Create a private GitHub repository</x:v>
      </x:c>
      <x:c r="E214" s="16" t="str">
        <x:v>Name the repository india-observed.</x:v>
      </x:c>
      <x:c r="F214" s="16" t="str">
        <x:v>Founder</x:v>
      </x:c>
      <x:c r="G214" s="16" t="str">
        <x:v>High</x:v>
      </x:c>
      <x:c r="H214" s="16" t="str">
        <x:v>Not Started</x:v>
      </x:c>
      <x:c r="I214" s="16" t="str"/>
      <x:c r="J214" s="16" t="str">
        <x:v>Create a private GitHub repository</x:v>
      </x:c>
      <x:c r="K214" s="18" t="n">
        <x:v>20</x:v>
      </x:c>
      <x:c r="L214" s="18" t="str"/>
      <x:c r="M214" s="16" t="str"/>
    </x:row>
    <x:row r="215">
      <x:c r="A215" s="16" t="str">
        <x:v>W1-214</x:v>
      </x:c>
      <x:c r="B215" s="16" t="str">
        <x:v>Day 7</x:v>
      </x:c>
      <x:c r="C215" s="16" t="str">
        <x:v>Engineering setup</x:v>
      </x:c>
      <x:c r="D215" s="16" t="str">
        <x:v>Add a project README</x:v>
      </x:c>
      <x:c r="E215" s="16" t="str">
        <x:v>Explain purpose, pilot scope, stack and development commands.</x:v>
      </x:c>
      <x:c r="F215" s="16" t="str">
        <x:v>Founder</x:v>
      </x:c>
      <x:c r="G215" s="16" t="str">
        <x:v>High</x:v>
      </x:c>
      <x:c r="H215" s="16" t="str">
        <x:v>Not Started</x:v>
      </x:c>
      <x:c r="I215" s="16" t="str">
        <x:v>W1-213</x:v>
      </x:c>
      <x:c r="J215" s="16" t="str">
        <x:v>Add a project README</x:v>
      </x:c>
      <x:c r="K215" s="18" t="n">
        <x:v>20</x:v>
      </x:c>
      <x:c r="L215" s="18" t="str"/>
      <x:c r="M215" s="16" t="str"/>
    </x:row>
    <x:row r="216">
      <x:c r="A216" s="16" t="str">
        <x:v>W1-215</x:v>
      </x:c>
      <x:c r="B216" s="16" t="str">
        <x:v>Day 7</x:v>
      </x:c>
      <x:c r="C216" s="16" t="str">
        <x:v>Engineering setup</x:v>
      </x:c>
      <x:c r="D216" s="16" t="str">
        <x:v>Create the development branch</x:v>
      </x:c>
      <x:c r="E216" s="16" t="str">
        <x:v>Keep main protected and deploy from reviewed changes.</x:v>
      </x:c>
      <x:c r="F216" s="16" t="str">
        <x:v>Founder</x:v>
      </x:c>
      <x:c r="G216" s="16" t="str">
        <x:v>High</x:v>
      </x:c>
      <x:c r="H216" s="16" t="str">
        <x:v>Not Started</x:v>
      </x:c>
      <x:c r="I216" s="16" t="str">
        <x:v>W1-214</x:v>
      </x:c>
      <x:c r="J216" s="16" t="str">
        <x:v>Create the development branch</x:v>
      </x:c>
      <x:c r="K216" s="18" t="n">
        <x:v>20</x:v>
      </x:c>
      <x:c r="L216" s="18" t="str"/>
      <x:c r="M216" s="16" t="str"/>
    </x:row>
    <x:row r="217">
      <x:c r="A217" s="16" t="str">
        <x:v>W1-216</x:v>
      </x:c>
      <x:c r="B217" s="16" t="str">
        <x:v>Day 7</x:v>
      </x:c>
      <x:c r="C217" s="16" t="str">
        <x:v>Engineering setup</x:v>
      </x:c>
      <x:c r="D217" s="16" t="str">
        <x:v>Enable main-branch protection</x:v>
      </x:c>
      <x:c r="E217" s="16" t="str">
        <x:v>Require changes to pass checks before merging.</x:v>
      </x:c>
      <x:c r="F217" s="16" t="str">
        <x:v>Founder</x:v>
      </x:c>
      <x:c r="G217" s="16" t="str">
        <x:v>High</x:v>
      </x:c>
      <x:c r="H217" s="16" t="str">
        <x:v>Not Started</x:v>
      </x:c>
      <x:c r="I217" s="16" t="str">
        <x:v>W1-215</x:v>
      </x:c>
      <x:c r="J217" s="16" t="str">
        <x:v>Enable main-branch protection</x:v>
      </x:c>
      <x:c r="K217" s="18" t="n">
        <x:v>15</x:v>
      </x:c>
      <x:c r="L217" s="18" t="str"/>
      <x:c r="M217" s="16" t="str"/>
    </x:row>
    <x:row r="218">
      <x:c r="A218" s="16" t="str">
        <x:v>W1-217</x:v>
      </x:c>
      <x:c r="B218" s="16" t="str">
        <x:v>Day 7</x:v>
      </x:c>
      <x:c r="C218" s="16" t="str">
        <x:v>Engineering setup</x:v>
      </x:c>
      <x:c r="D218" s="16" t="str">
        <x:v>Add a GitHub issue template</x:v>
      </x:c>
      <x:c r="E218" s="16" t="str">
        <x:v>Include goal, acceptance criteria, tests, security and rollback.</x:v>
      </x:c>
      <x:c r="F218" s="16" t="str">
        <x:v>Founder</x:v>
      </x:c>
      <x:c r="G218" s="16" t="str">
        <x:v>High</x:v>
      </x:c>
      <x:c r="H218" s="16" t="str">
        <x:v>Not Started</x:v>
      </x:c>
      <x:c r="I218" s="16" t="str">
        <x:v>W1-216</x:v>
      </x:c>
      <x:c r="J218" s="16" t="str">
        <x:v>Add a GitHub issue template</x:v>
      </x:c>
      <x:c r="K218" s="18" t="n">
        <x:v>20</x:v>
      </x:c>
      <x:c r="L218" s="18" t="str"/>
      <x:c r="M218" s="16" t="str"/>
    </x:row>
    <x:row r="219">
      <x:c r="A219" s="16" t="str">
        <x:v>W1-218</x:v>
      </x:c>
      <x:c r="B219" s="16" t="str">
        <x:v>Day 7</x:v>
      </x:c>
      <x:c r="C219" s="16" t="str">
        <x:v>Engineering setup</x:v>
      </x:c>
      <x:c r="D219" s="16" t="str">
        <x:v>Enable dependency alerts</x:v>
      </x:c>
      <x:c r="E219" s="16" t="str">
        <x:v>Turn on repository security and dependency notifications.</x:v>
      </x:c>
      <x:c r="F219" s="16" t="str">
        <x:v>Founder</x:v>
      </x:c>
      <x:c r="G219" s="16" t="str">
        <x:v>High</x:v>
      </x:c>
      <x:c r="H219" s="16" t="str">
        <x:v>Not Started</x:v>
      </x:c>
      <x:c r="I219" s="16" t="str">
        <x:v>W1-217</x:v>
      </x:c>
      <x:c r="J219" s="16" t="str">
        <x:v>Enable dependency alerts</x:v>
      </x:c>
      <x:c r="K219" s="18" t="n">
        <x:v>15</x:v>
      </x:c>
      <x:c r="L219" s="18" t="str"/>
      <x:c r="M219" s="16" t="str"/>
    </x:row>
    <x:row r="220">
      <x:c r="A220" s="16" t="str">
        <x:v>W1-219</x:v>
      </x:c>
      <x:c r="B220" s="16" t="str">
        <x:v>Day 7</x:v>
      </x:c>
      <x:c r="C220" s="16" t="str">
        <x:v>Engineering setup</x:v>
      </x:c>
      <x:c r="D220" s="16" t="str">
        <x:v>Create the .gitignore file</x:v>
      </x:c>
      <x:c r="E220" s="16" t="str">
        <x:v>Exclude node modules, build output and environment files.</x:v>
      </x:c>
      <x:c r="F220" s="16" t="str">
        <x:v>Founder</x:v>
      </x:c>
      <x:c r="G220" s="16" t="str">
        <x:v>High</x:v>
      </x:c>
      <x:c r="H220" s="16" t="str">
        <x:v>Not Started</x:v>
      </x:c>
      <x:c r="I220" s="16" t="str">
        <x:v>W1-218</x:v>
      </x:c>
      <x:c r="J220" s="16" t="str">
        <x:v>Create the .gitignore file</x:v>
      </x:c>
      <x:c r="K220" s="18" t="n">
        <x:v>20</x:v>
      </x:c>
      <x:c r="L220" s="18" t="str"/>
      <x:c r="M220" s="16" t="str"/>
    </x:row>
    <x:row r="221">
      <x:c r="A221" s="16" t="str">
        <x:v>W1-220</x:v>
      </x:c>
      <x:c r="B221" s="16" t="str">
        <x:v>Day 7</x:v>
      </x:c>
      <x:c r="C221" s="16" t="str">
        <x:v>Engineering setup</x:v>
      </x:c>
      <x:c r="D221" s="16" t="str">
        <x:v>Create the Next.js TypeScript project</x:v>
      </x:c>
      <x:c r="E221" s="16" t="str">
        <x:v>Use the current stable project scaffolding selected during implementation.</x:v>
      </x:c>
      <x:c r="F221" s="16" t="str">
        <x:v>Founder</x:v>
      </x:c>
      <x:c r="G221" s="16" t="str">
        <x:v>High</x:v>
      </x:c>
      <x:c r="H221" s="16" t="str">
        <x:v>Not Started</x:v>
      </x:c>
      <x:c r="I221" s="16" t="str">
        <x:v>W1-219</x:v>
      </x:c>
      <x:c r="J221" s="16" t="str">
        <x:v>Create the Next.js TypeScript project</x:v>
      </x:c>
      <x:c r="K221" s="18" t="n">
        <x:v>20</x:v>
      </x:c>
      <x:c r="L221" s="18" t="str"/>
      <x:c r="M221" s="16" t="str"/>
    </x:row>
    <x:row r="222">
      <x:c r="A222" s="16" t="str">
        <x:v>W1-221</x:v>
      </x:c>
      <x:c r="B222" s="16" t="str">
        <x:v>Day 7</x:v>
      </x:c>
      <x:c r="C222" s="16" t="str">
        <x:v>Engineering setup</x:v>
      </x:c>
      <x:c r="D222" s="16" t="str">
        <x:v>Enable TypeScript strict mode</x:v>
      </x:c>
      <x:c r="E222" s="16" t="str">
        <x:v>Prevent implicit and weak typing where possible.</x:v>
      </x:c>
      <x:c r="F222" s="16" t="str">
        <x:v>Founder</x:v>
      </x:c>
      <x:c r="G222" s="16" t="str">
        <x:v>High</x:v>
      </x:c>
      <x:c r="H222" s="16" t="str">
        <x:v>Not Started</x:v>
      </x:c>
      <x:c r="I222" s="16" t="str">
        <x:v>W1-220</x:v>
      </x:c>
      <x:c r="J222" s="16" t="str">
        <x:v>Enable TypeScript strict mode</x:v>
      </x:c>
      <x:c r="K222" s="18" t="n">
        <x:v>15</x:v>
      </x:c>
      <x:c r="L222" s="18" t="str"/>
      <x:c r="M222" s="16" t="str"/>
    </x:row>
    <x:row r="223">
      <x:c r="A223" s="16" t="str">
        <x:v>W1-222</x:v>
      </x:c>
      <x:c r="B223" s="16" t="str">
        <x:v>Day 7</x:v>
      </x:c>
      <x:c r="C223" s="16" t="str">
        <x:v>Engineering setup</x:v>
      </x:c>
      <x:c r="D223" s="16" t="str">
        <x:v>Configure linting</x:v>
      </x:c>
      <x:c r="E223" s="16" t="str">
        <x:v>Add a repeatable lint command.</x:v>
      </x:c>
      <x:c r="F223" s="16" t="str">
        <x:v>Founder</x:v>
      </x:c>
      <x:c r="G223" s="16" t="str">
        <x:v>High</x:v>
      </x:c>
      <x:c r="H223" s="16" t="str">
        <x:v>Not Started</x:v>
      </x:c>
      <x:c r="I223" s="16" t="str">
        <x:v>W1-221</x:v>
      </x:c>
      <x:c r="J223" s="16" t="str">
        <x:v>Configure linting</x:v>
      </x:c>
      <x:c r="K223" s="18" t="n">
        <x:v>15</x:v>
      </x:c>
      <x:c r="L223" s="18" t="str"/>
      <x:c r="M223" s="16" t="str"/>
    </x:row>
    <x:row r="224">
      <x:c r="A224" s="16" t="str">
        <x:v>W1-223</x:v>
      </x:c>
      <x:c r="B224" s="16" t="str">
        <x:v>Day 7</x:v>
      </x:c>
      <x:c r="C224" s="16" t="str">
        <x:v>Engineering setup</x:v>
      </x:c>
      <x:c r="D224" s="16" t="str">
        <x:v>Configure formatting</x:v>
      </x:c>
      <x:c r="E224" s="16" t="str">
        <x:v>Use one consistent formatter.</x:v>
      </x:c>
      <x:c r="F224" s="16" t="str">
        <x:v>Founder</x:v>
      </x:c>
      <x:c r="G224" s="16" t="str">
        <x:v>High</x:v>
      </x:c>
      <x:c r="H224" s="16" t="str">
        <x:v>Not Started</x:v>
      </x:c>
      <x:c r="I224" s="16" t="str">
        <x:v>W1-222</x:v>
      </x:c>
      <x:c r="J224" s="16" t="str">
        <x:v>Configure formatting</x:v>
      </x:c>
      <x:c r="K224" s="18" t="n">
        <x:v>15</x:v>
      </x:c>
      <x:c r="L224" s="18" t="str"/>
      <x:c r="M224" s="16" t="str"/>
    </x:row>
    <x:row r="225">
      <x:c r="A225" s="16" t="str">
        <x:v>W1-224</x:v>
      </x:c>
      <x:c r="B225" s="16" t="str">
        <x:v>Day 7</x:v>
      </x:c>
      <x:c r="C225" s="16" t="str">
        <x:v>Engineering setup</x:v>
      </x:c>
      <x:c r="D225" s="16" t="str">
        <x:v>Install and configure a test framework</x:v>
      </x:c>
      <x:c r="E225" s="16" t="str">
        <x:v>Add a basic automated test command.</x:v>
      </x:c>
      <x:c r="F225" s="16" t="str">
        <x:v>Founder</x:v>
      </x:c>
      <x:c r="G225" s="16" t="str">
        <x:v>High</x:v>
      </x:c>
      <x:c r="H225" s="16" t="str">
        <x:v>Not Started</x:v>
      </x:c>
      <x:c r="I225" s="16" t="str">
        <x:v>W1-223</x:v>
      </x:c>
      <x:c r="J225" s="16" t="str">
        <x:v>Install and configure a test framework</x:v>
      </x:c>
      <x:c r="K225" s="18" t="n">
        <x:v>15</x:v>
      </x:c>
      <x:c r="L225" s="18" t="str"/>
      <x:c r="M225" s="16" t="str"/>
    </x:row>
    <x:row r="226">
      <x:c r="A226" s="16" t="str">
        <x:v>W1-225</x:v>
      </x:c>
      <x:c r="B226" s="16" t="str">
        <x:v>Day 7</x:v>
      </x:c>
      <x:c r="C226" s="16" t="str">
        <x:v>Engineering setup</x:v>
      </x:c>
      <x:c r="D226" s="16" t="str">
        <x:v>Create the Supabase project</x:v>
      </x:c>
      <x:c r="E226" s="16" t="str">
        <x:v>Create the development database and project.</x:v>
      </x:c>
      <x:c r="F226" s="16" t="str">
        <x:v>Founder</x:v>
      </x:c>
      <x:c r="G226" s="16" t="str">
        <x:v>High</x:v>
      </x:c>
      <x:c r="H226" s="16" t="str">
        <x:v>Not Started</x:v>
      </x:c>
      <x:c r="I226" s="16" t="str">
        <x:v>W1-224</x:v>
      </x:c>
      <x:c r="J226" s="16" t="str">
        <x:v>Create the Supabase project</x:v>
      </x:c>
      <x:c r="K226" s="18" t="n">
        <x:v>20</x:v>
      </x:c>
      <x:c r="L226" s="18" t="str"/>
      <x:c r="M226" s="16" t="str"/>
    </x:row>
    <x:row r="227">
      <x:c r="A227" s="16" t="str">
        <x:v>W1-226</x:v>
      </x:c>
      <x:c r="B227" s="16" t="str">
        <x:v>Day 7</x:v>
      </x:c>
      <x:c r="C227" s="16" t="str">
        <x:v>Engineering setup</x:v>
      </x:c>
      <x:c r="D227" s="16" t="str">
        <x:v>Create the local environment file</x:v>
      </x:c>
      <x:c r="E227" s="16" t="str">
        <x:v>Store database credentials locally and exclude the file from Git.</x:v>
      </x:c>
      <x:c r="F227" s="16" t="str">
        <x:v>Founder</x:v>
      </x:c>
      <x:c r="G227" s="16" t="str">
        <x:v>High</x:v>
      </x:c>
      <x:c r="H227" s="16" t="str">
        <x:v>Not Started</x:v>
      </x:c>
      <x:c r="I227" s="16" t="str">
        <x:v>W1-225</x:v>
      </x:c>
      <x:c r="J227" s="16" t="str">
        <x:v>Create the local environment file</x:v>
      </x:c>
      <x:c r="K227" s="18" t="n">
        <x:v>20</x:v>
      </x:c>
      <x:c r="L227" s="18" t="str"/>
      <x:c r="M227" s="16" t="str"/>
    </x:row>
    <x:row r="228">
      <x:c r="A228" s="16" t="str">
        <x:v>W1-227</x:v>
      </x:c>
      <x:c r="B228" s="16" t="str">
        <x:v>Day 7</x:v>
      </x:c>
      <x:c r="C228" s="16" t="str">
        <x:v>Engineering setup</x:v>
      </x:c>
      <x:c r="D228" s="16" t="str">
        <x:v>Connect Next.js to Supabase</x:v>
      </x:c>
      <x:c r="E228" s="16" t="str">
        <x:v>Test a safe server-side connection.</x:v>
      </x:c>
      <x:c r="F228" s="16" t="str">
        <x:v>Founder</x:v>
      </x:c>
      <x:c r="G228" s="16" t="str">
        <x:v>High</x:v>
      </x:c>
      <x:c r="H228" s="16" t="str">
        <x:v>Not Started</x:v>
      </x:c>
      <x:c r="I228" s="16" t="str">
        <x:v>W1-226</x:v>
      </x:c>
      <x:c r="J228" s="16" t="str">
        <x:v>Connect Next.js to Supabase</x:v>
      </x:c>
      <x:c r="K228" s="18" t="n">
        <x:v>15</x:v>
      </x:c>
      <x:c r="L228" s="18" t="str"/>
      <x:c r="M228" s="16" t="str"/>
    </x:row>
    <x:row r="229">
      <x:c r="A229" s="16" t="str">
        <x:v>W1-228</x:v>
      </x:c>
      <x:c r="B229" s="16" t="str">
        <x:v>Day 7</x:v>
      </x:c>
      <x:c r="C229" s="16" t="str">
        <x:v>Engineering setup</x:v>
      </x:c>
      <x:c r="D229" s="16" t="str">
        <x:v>Create a basic home page</x:v>
      </x:c>
      <x:c r="E229" s="16" t="str">
        <x:v>Display only the project name and pilot description.</x:v>
      </x:c>
      <x:c r="F229" s="16" t="str">
        <x:v>Founder</x:v>
      </x:c>
      <x:c r="G229" s="16" t="str">
        <x:v>High</x:v>
      </x:c>
      <x:c r="H229" s="16" t="str">
        <x:v>Not Started</x:v>
      </x:c>
      <x:c r="I229" s="16" t="str">
        <x:v>W1-227</x:v>
      </x:c>
      <x:c r="J229" s="16" t="str">
        <x:v>Create a basic home page</x:v>
      </x:c>
      <x:c r="K229" s="18" t="n">
        <x:v>20</x:v>
      </x:c>
      <x:c r="L229" s="18" t="str"/>
      <x:c r="M229" s="16" t="str"/>
    </x:row>
    <x:row r="230">
      <x:c r="A230" s="16" t="str">
        <x:v>W1-229</x:v>
      </x:c>
      <x:c r="B230" s="16" t="str">
        <x:v>Day 7</x:v>
      </x:c>
      <x:c r="C230" s="16" t="str">
        <x:v>Engineering setup</x:v>
      </x:c>
      <x:c r="D230" s="16" t="str">
        <x:v>Create a staging deployment</x:v>
      </x:c>
      <x:c r="E230" s="16" t="str">
        <x:v>Deploy the empty project to a private or non-promoted staging URL.</x:v>
      </x:c>
      <x:c r="F230" s="16" t="str">
        <x:v>Founder</x:v>
      </x:c>
      <x:c r="G230" s="16" t="str">
        <x:v>High</x:v>
      </x:c>
      <x:c r="H230" s="16" t="str">
        <x:v>Not Started</x:v>
      </x:c>
      <x:c r="I230" s="16" t="str">
        <x:v>W1-228</x:v>
      </x:c>
      <x:c r="J230" s="16" t="str">
        <x:v>Create a staging deployment</x:v>
      </x:c>
      <x:c r="K230" s="18" t="n">
        <x:v>20</x:v>
      </x:c>
      <x:c r="L230" s="18" t="str"/>
      <x:c r="M230" s="16" t="str"/>
    </x:row>
    <x:row r="231">
      <x:c r="A231" s="16" t="str">
        <x:v>W1-230</x:v>
      </x:c>
      <x:c r="B231" s="16" t="str">
        <x:v>Day 7</x:v>
      </x:c>
      <x:c r="C231" s="16" t="str">
        <x:v>Engineering setup</x:v>
      </x:c>
      <x:c r="D231" s="16" t="str">
        <x:v>Create the events database migration</x:v>
      </x:c>
      <x:c r="E231" s="16" t="str">
        <x:v>Add event fields, constraints and indexes.</x:v>
      </x:c>
      <x:c r="F231" s="16" t="str">
        <x:v>Founder</x:v>
      </x:c>
      <x:c r="G231" s="16" t="str">
        <x:v>High</x:v>
      </x:c>
      <x:c r="H231" s="16" t="str">
        <x:v>Not Started</x:v>
      </x:c>
      <x:c r="I231" s="16" t="str">
        <x:v>W1-229</x:v>
      </x:c>
      <x:c r="J231" s="16" t="str">
        <x:v>Create the events database migration</x:v>
      </x:c>
      <x:c r="K231" s="18" t="n">
        <x:v>20</x:v>
      </x:c>
      <x:c r="L231" s="18" t="str"/>
      <x:c r="M231" s="16" t="str"/>
    </x:row>
    <x:row r="232">
      <x:c r="A232" s="16" t="str">
        <x:v>W1-231</x:v>
      </x:c>
      <x:c r="B232" s="16" t="str">
        <x:v>Day 7</x:v>
      </x:c>
      <x:c r="C232" s="16" t="str">
        <x:v>Engineering setup</x:v>
      </x:c>
      <x:c r="D232" s="16" t="str">
        <x:v>Create the claims database migration</x:v>
      </x:c>
      <x:c r="E232" s="16" t="str">
        <x:v>Connect claims to events with foreign keys.</x:v>
      </x:c>
      <x:c r="F232" s="16" t="str">
        <x:v>Founder</x:v>
      </x:c>
      <x:c r="G232" s="16" t="str">
        <x:v>High</x:v>
      </x:c>
      <x:c r="H232" s="16" t="str">
        <x:v>Not Started</x:v>
      </x:c>
      <x:c r="I232" s="16" t="str">
        <x:v>W1-230</x:v>
      </x:c>
      <x:c r="J232" s="16" t="str">
        <x:v>Create the claims database migration</x:v>
      </x:c>
      <x:c r="K232" s="18" t="n">
        <x:v>20</x:v>
      </x:c>
      <x:c r="L232" s="18" t="str"/>
      <x:c r="M232" s="16" t="str"/>
    </x:row>
    <x:row r="233">
      <x:c r="A233" s="16" t="str">
        <x:v>W1-232</x:v>
      </x:c>
      <x:c r="B233" s="16" t="str">
        <x:v>Day 7</x:v>
      </x:c>
      <x:c r="C233" s="16" t="str">
        <x:v>Engineering setup</x:v>
      </x:c>
      <x:c r="D233" s="16" t="str">
        <x:v>Create the sources database migration</x:v>
      </x:c>
      <x:c r="E233" s="16" t="str">
        <x:v>Store source metadata and original URLs.</x:v>
      </x:c>
      <x:c r="F233" s="16" t="str">
        <x:v>Founder</x:v>
      </x:c>
      <x:c r="G233" s="16" t="str">
        <x:v>High</x:v>
      </x:c>
      <x:c r="H233" s="16" t="str">
        <x:v>Not Started</x:v>
      </x:c>
      <x:c r="I233" s="16" t="str">
        <x:v>W1-231</x:v>
      </x:c>
      <x:c r="J233" s="16" t="str">
        <x:v>Create the sources database migration</x:v>
      </x:c>
      <x:c r="K233" s="18" t="n">
        <x:v>20</x:v>
      </x:c>
      <x:c r="L233" s="18" t="str"/>
      <x:c r="M233" s="16" t="str"/>
    </x:row>
    <x:row r="234">
      <x:c r="A234" s="16" t="str">
        <x:v>W1-233</x:v>
      </x:c>
      <x:c r="B234" s="16" t="str">
        <x:v>Day 7</x:v>
      </x:c>
      <x:c r="C234" s="16" t="str">
        <x:v>Engineering setup</x:v>
      </x:c>
      <x:c r="D234" s="16" t="str">
        <x:v>Create the claim_sources migration</x:v>
      </x:c>
      <x:c r="E234" s="16" t="str">
        <x:v>Support many-to-many links between claims and sources.</x:v>
      </x:c>
      <x:c r="F234" s="16" t="str">
        <x:v>Founder</x:v>
      </x:c>
      <x:c r="G234" s="16" t="str">
        <x:v>High</x:v>
      </x:c>
      <x:c r="H234" s="16" t="str">
        <x:v>Not Started</x:v>
      </x:c>
      <x:c r="I234" s="16" t="str">
        <x:v>W1-232</x:v>
      </x:c>
      <x:c r="J234" s="16" t="str">
        <x:v>Create the claim_sources migration</x:v>
      </x:c>
      <x:c r="K234" s="18" t="n">
        <x:v>20</x:v>
      </x:c>
      <x:c r="L234" s="18" t="str"/>
      <x:c r="M234" s="16" t="str"/>
    </x:row>
    <x:row r="235">
      <x:c r="A235" s="16" t="str">
        <x:v>W1-234</x:v>
      </x:c>
      <x:c r="B235" s="16" t="str">
        <x:v>Day 7</x:v>
      </x:c>
      <x:c r="C235" s="16" t="str">
        <x:v>Engineering setup</x:v>
      </x:c>
      <x:c r="D235" s="16" t="str">
        <x:v>Create the organisations migration</x:v>
      </x:c>
      <x:c r="E235" s="16" t="str">
        <x:v>Store standard organisation identities.</x:v>
      </x:c>
      <x:c r="F235" s="16" t="str">
        <x:v>Founder</x:v>
      </x:c>
      <x:c r="G235" s="16" t="str">
        <x:v>High</x:v>
      </x:c>
      <x:c r="H235" s="16" t="str">
        <x:v>Not Started</x:v>
      </x:c>
      <x:c r="I235" s="16" t="str">
        <x:v>W1-233</x:v>
      </x:c>
      <x:c r="J235" s="16" t="str">
        <x:v>Create the organisations migration</x:v>
      </x:c>
      <x:c r="K235" s="18" t="n">
        <x:v>20</x:v>
      </x:c>
      <x:c r="L235" s="18" t="str"/>
      <x:c r="M235" s="16" t="str"/>
    </x:row>
    <x:row r="236">
      <x:c r="A236" s="16" t="str">
        <x:v>W1-235</x:v>
      </x:c>
      <x:c r="B236" s="16" t="str">
        <x:v>Day 7</x:v>
      </x:c>
      <x:c r="C236" s="16" t="str">
        <x:v>Engineering setup</x:v>
      </x:c>
      <x:c r="D236" s="16" t="str">
        <x:v>Create the event_organisations migration</x:v>
      </x:c>
      <x:c r="E236" s="16" t="str">
        <x:v>Connect events and organisations by role.</x:v>
      </x:c>
      <x:c r="F236" s="16" t="str">
        <x:v>Founder</x:v>
      </x:c>
      <x:c r="G236" s="16" t="str">
        <x:v>High</x:v>
      </x:c>
      <x:c r="H236" s="16" t="str">
        <x:v>Not Started</x:v>
      </x:c>
      <x:c r="I236" s="16" t="str">
        <x:v>W1-234</x:v>
      </x:c>
      <x:c r="J236" s="16" t="str">
        <x:v>Create the event_organisations migration</x:v>
      </x:c>
      <x:c r="K236" s="18" t="n">
        <x:v>20</x:v>
      </x:c>
      <x:c r="L236" s="18" t="str"/>
      <x:c r="M236" s="16" t="str"/>
    </x:row>
    <x:row r="237">
      <x:c r="A237" s="16" t="str">
        <x:v>W1-236</x:v>
      </x:c>
      <x:c r="B237" s="16" t="str">
        <x:v>Day 7</x:v>
      </x:c>
      <x:c r="C237" s="16" t="str">
        <x:v>Engineering setup</x:v>
      </x:c>
      <x:c r="D237" s="16" t="str">
        <x:v>Create the corrections migration</x:v>
      </x:c>
      <x:c r="E237" s="16" t="str">
        <x:v>Record public correction history.</x:v>
      </x:c>
      <x:c r="F237" s="16" t="str">
        <x:v>Founder</x:v>
      </x:c>
      <x:c r="G237" s="16" t="str">
        <x:v>High</x:v>
      </x:c>
      <x:c r="H237" s="16" t="str">
        <x:v>Not Started</x:v>
      </x:c>
      <x:c r="I237" s="16" t="str">
        <x:v>W1-235</x:v>
      </x:c>
      <x:c r="J237" s="16" t="str">
        <x:v>Create the corrections migration</x:v>
      </x:c>
      <x:c r="K237" s="18" t="n">
        <x:v>20</x:v>
      </x:c>
      <x:c r="L237" s="18" t="str"/>
      <x:c r="M237" s="16" t="str"/>
    </x:row>
    <x:row r="238">
      <x:c r="A238" s="16" t="str">
        <x:v>W1-237</x:v>
      </x:c>
      <x:c r="B238" s="16" t="str">
        <x:v>Day 7</x:v>
      </x:c>
      <x:c r="C238" s="16" t="str">
        <x:v>Engineering setup</x:v>
      </x:c>
      <x:c r="D238" s="16" t="str">
        <x:v>Add database indexes</x:v>
      </x:c>
      <x:c r="E238" s="16" t="str">
        <x:v>Index IDs, dates, state, district, status and frequently filtered fields.</x:v>
      </x:c>
      <x:c r="F238" s="16" t="str">
        <x:v>Founder</x:v>
      </x:c>
      <x:c r="G238" s="16" t="str">
        <x:v>High</x:v>
      </x:c>
      <x:c r="H238" s="16" t="str">
        <x:v>Not Started</x:v>
      </x:c>
      <x:c r="I238" s="16" t="str">
        <x:v>W1-236</x:v>
      </x:c>
      <x:c r="J238" s="16" t="str">
        <x:v>Add database indexes</x:v>
      </x:c>
      <x:c r="K238" s="18" t="n">
        <x:v>20</x:v>
      </x:c>
      <x:c r="L238" s="18" t="str"/>
      <x:c r="M238" s="16" t="str"/>
    </x:row>
    <x:row r="239">
      <x:c r="A239" s="16" t="str">
        <x:v>W1-238</x:v>
      </x:c>
      <x:c r="B239" s="16" t="str">
        <x:v>Day 7</x:v>
      </x:c>
      <x:c r="C239" s="16" t="str">
        <x:v>Engineering setup</x:v>
      </x:c>
      <x:c r="D239" s="16" t="str">
        <x:v>Add input constraints</x:v>
      </x:c>
      <x:c r="E239" s="16" t="str">
        <x:v>Use required fields, enums or validation where appropriate.</x:v>
      </x:c>
      <x:c r="F239" s="16" t="str">
        <x:v>Founder</x:v>
      </x:c>
      <x:c r="G239" s="16" t="str">
        <x:v>High</x:v>
      </x:c>
      <x:c r="H239" s="16" t="str">
        <x:v>Not Started</x:v>
      </x:c>
      <x:c r="I239" s="16" t="str">
        <x:v>W1-237</x:v>
      </x:c>
      <x:c r="J239" s="16" t="str">
        <x:v>Add input constraints</x:v>
      </x:c>
      <x:c r="K239" s="18" t="n">
        <x:v>20</x:v>
      </x:c>
      <x:c r="L239" s="18" t="str"/>
      <x:c r="M239" s="16" t="str"/>
    </x:row>
    <x:row r="240">
      <x:c r="A240" s="16" t="str">
        <x:v>W1-239</x:v>
      </x:c>
      <x:c r="B240" s="16" t="str">
        <x:v>Day 7</x:v>
      </x:c>
      <x:c r="C240" s="16" t="str">
        <x:v>Engineering setup</x:v>
      </x:c>
      <x:c r="D240" s="16" t="str">
        <x:v>Add initial database migration tests</x:v>
      </x:c>
      <x:c r="E240" s="16" t="str">
        <x:v>Confirm migrations apply successfully in a clean environment.</x:v>
      </x:c>
      <x:c r="F240" s="16" t="str">
        <x:v>Founder</x:v>
      </x:c>
      <x:c r="G240" s="16" t="str">
        <x:v>High</x:v>
      </x:c>
      <x:c r="H240" s="16" t="str">
        <x:v>Not Started</x:v>
      </x:c>
      <x:c r="I240" s="16" t="str">
        <x:v>W1-238</x:v>
      </x:c>
      <x:c r="J240" s="16" t="str">
        <x:v>Add initial database migration tests</x:v>
      </x:c>
      <x:c r="K240" s="18" t="n">
        <x:v>20</x:v>
      </x:c>
      <x:c r="L240" s="18" t="str"/>
      <x:c r="M240" s="16" t="str"/>
    </x:row>
    <x:row r="241">
      <x:c r="A241" s="16" t="str">
        <x:v>W1-240</x:v>
      </x:c>
      <x:c r="B241" s="16" t="str">
        <x:v>Day 7</x:v>
      </x:c>
      <x:c r="C241" s="16" t="str">
        <x:v>Engineering setup</x:v>
      </x:c>
      <x:c r="D241" s="16" t="str">
        <x:v>Write the first bounded AI coding prompt</x:v>
      </x:c>
      <x:c r="E241" s="16" t="str">
        <x:v>Ask AI only for project setup and initial migrations, not the full product.</x:v>
      </x:c>
      <x:c r="F241" s="16" t="str">
        <x:v>Founder</x:v>
      </x:c>
      <x:c r="G241" s="16" t="str">
        <x:v>High</x:v>
      </x:c>
      <x:c r="H241" s="16" t="str">
        <x:v>Not Started</x:v>
      </x:c>
      <x:c r="I241" s="16" t="str">
        <x:v>W1-239</x:v>
      </x:c>
      <x:c r="J241" s="16" t="str">
        <x:v>Write the first bounded AI coding prompt</x:v>
      </x:c>
      <x:c r="K241" s="18" t="n">
        <x:v>15</x:v>
      </x:c>
      <x:c r="L241" s="18" t="str"/>
      <x:c r="M241" s="16" t="str"/>
    </x:row>
    <x:row r="242">
      <x:c r="A242" s="16" t="str">
        <x:v>W1-241</x:v>
      </x:c>
      <x:c r="B242" s="16" t="str">
        <x:v>Day 7</x:v>
      </x:c>
      <x:c r="C242" s="16" t="str">
        <x:v>Engineering setup</x:v>
      </x:c>
      <x:c r="D242" s="16" t="str">
        <x:v>Require an implementation plan from AI</x:v>
      </x:c>
      <x:c r="E242" s="16" t="str">
        <x:v>Review the plan before accepting changes.</x:v>
      </x:c>
      <x:c r="F242" s="16" t="str">
        <x:v>Founder</x:v>
      </x:c>
      <x:c r="G242" s="16" t="str">
        <x:v>High</x:v>
      </x:c>
      <x:c r="H242" s="16" t="str">
        <x:v>Not Started</x:v>
      </x:c>
      <x:c r="I242" s="16" t="str">
        <x:v>W1-240</x:v>
      </x:c>
      <x:c r="J242" s="16" t="str">
        <x:v>Require an implementation plan from AI</x:v>
      </x:c>
      <x:c r="K242" s="18" t="n">
        <x:v>15</x:v>
      </x:c>
      <x:c r="L242" s="18" t="str"/>
      <x:c r="M242" s="16" t="str"/>
    </x:row>
    <x:row r="243">
      <x:c r="A243" s="16" t="str">
        <x:v>W1-242</x:v>
      </x:c>
      <x:c r="B243" s="16" t="str">
        <x:v>Day 7</x:v>
      </x:c>
      <x:c r="C243" s="16" t="str">
        <x:v>Engineering setup</x:v>
      </x:c>
      <x:c r="D243" s="16" t="str">
        <x:v>Require file-change and architecture explanations</x:v>
      </x:c>
      <x:c r="E243" s="16" t="str">
        <x:v>Ensure every generated change is understandable.</x:v>
      </x:c>
      <x:c r="F243" s="16" t="str">
        <x:v>Founder</x:v>
      </x:c>
      <x:c r="G243" s="16" t="str">
        <x:v>High</x:v>
      </x:c>
      <x:c r="H243" s="16" t="str">
        <x:v>Not Started</x:v>
      </x:c>
      <x:c r="I243" s="16" t="str">
        <x:v>W1-241</x:v>
      </x:c>
      <x:c r="J243" s="16" t="str">
        <x:v>Require file-change and architecture explanations</x:v>
      </x:c>
      <x:c r="K243" s="18" t="n">
        <x:v>15</x:v>
      </x:c>
      <x:c r="L243" s="18" t="str"/>
      <x:c r="M243" s="16" t="str"/>
    </x:row>
    <x:row r="244">
      <x:c r="A244" s="16" t="str">
        <x:v>W1-243</x:v>
      </x:c>
      <x:c r="B244" s="16" t="str">
        <x:v>Day 7</x:v>
      </x:c>
      <x:c r="C244" s="16" t="str">
        <x:v>Engineering setup</x:v>
      </x:c>
      <x:c r="D244" s="16" t="str">
        <x:v>Require security considerations and rollback steps</x:v>
      </x:c>
      <x:c r="E244" s="16" t="str">
        <x:v>Do not accept changes without a recovery path.</x:v>
      </x:c>
      <x:c r="F244" s="16" t="str">
        <x:v>Founder</x:v>
      </x:c>
      <x:c r="G244" s="16" t="str">
        <x:v>High</x:v>
      </x:c>
      <x:c r="H244" s="16" t="str">
        <x:v>Not Started</x:v>
      </x:c>
      <x:c r="I244" s="16" t="str">
        <x:v>W1-242</x:v>
      </x:c>
      <x:c r="J244" s="16" t="str">
        <x:v>Require security considerations and rollback steps</x:v>
      </x:c>
      <x:c r="K244" s="18" t="n">
        <x:v>15</x:v>
      </x:c>
      <x:c r="L244" s="18" t="str"/>
      <x:c r="M244" s="16" t="str"/>
    </x:row>
    <x:row r="245">
      <x:c r="A245" s="16" t="str">
        <x:v>W1-244</x:v>
      </x:c>
      <x:c r="B245" s="16" t="str">
        <x:v>Day 7</x:v>
      </x:c>
      <x:c r="C245" s="16" t="str">
        <x:v>Engineering setup</x:v>
      </x:c>
      <x:c r="D245" s="16" t="str">
        <x:v>Run the lint command</x:v>
      </x:c>
      <x:c r="E245" s="16" t="str">
        <x:v>Confirm the codebase passes lint checks.</x:v>
      </x:c>
      <x:c r="F245" s="16" t="str">
        <x:v>Founder</x:v>
      </x:c>
      <x:c r="G245" s="16" t="str">
        <x:v>High</x:v>
      </x:c>
      <x:c r="H245" s="16" t="str">
        <x:v>Not Started</x:v>
      </x:c>
      <x:c r="I245" s="16" t="str">
        <x:v>W1-243</x:v>
      </x:c>
      <x:c r="J245" s="16" t="str">
        <x:v>Run the lint command</x:v>
      </x:c>
      <x:c r="K245" s="18" t="n">
        <x:v>15</x:v>
      </x:c>
      <x:c r="L245" s="18" t="str"/>
      <x:c r="M245" s="16" t="str"/>
    </x:row>
    <x:row r="246">
      <x:c r="A246" s="16" t="str">
        <x:v>W1-245</x:v>
      </x:c>
      <x:c r="B246" s="16" t="str">
        <x:v>Day 7</x:v>
      </x:c>
      <x:c r="C246" s="16" t="str">
        <x:v>Engineering setup</x:v>
      </x:c>
      <x:c r="D246" s="16" t="str">
        <x:v>Run the type-check command</x:v>
      </x:c>
      <x:c r="E246" s="16" t="str">
        <x:v>Confirm strict TypeScript checks pass.</x:v>
      </x:c>
      <x:c r="F246" s="16" t="str">
        <x:v>Founder</x:v>
      </x:c>
      <x:c r="G246" s="16" t="str">
        <x:v>High</x:v>
      </x:c>
      <x:c r="H246" s="16" t="str">
        <x:v>Not Started</x:v>
      </x:c>
      <x:c r="I246" s="16" t="str">
        <x:v>W1-244</x:v>
      </x:c>
      <x:c r="J246" s="16" t="str">
        <x:v>Run the type-check command</x:v>
      </x:c>
      <x:c r="K246" s="18" t="n">
        <x:v>15</x:v>
      </x:c>
      <x:c r="L246" s="18" t="str"/>
      <x:c r="M246" s="16" t="str"/>
    </x:row>
    <x:row r="247">
      <x:c r="A247" s="16" t="str">
        <x:v>W1-246</x:v>
      </x:c>
      <x:c r="B247" s="16" t="str">
        <x:v>Day 7</x:v>
      </x:c>
      <x:c r="C247" s="16" t="str">
        <x:v>Engineering setup</x:v>
      </x:c>
      <x:c r="D247" s="16" t="str">
        <x:v>Run the test command</x:v>
      </x:c>
      <x:c r="E247" s="16" t="str">
        <x:v>Confirm all initial tests pass.</x:v>
      </x:c>
      <x:c r="F247" s="16" t="str">
        <x:v>Founder</x:v>
      </x:c>
      <x:c r="G247" s="16" t="str">
        <x:v>High</x:v>
      </x:c>
      <x:c r="H247" s="16" t="str">
        <x:v>Not Started</x:v>
      </x:c>
      <x:c r="I247" s="16" t="str">
        <x:v>W1-245</x:v>
      </x:c>
      <x:c r="J247" s="16" t="str">
        <x:v>Run the test command</x:v>
      </x:c>
      <x:c r="K247" s="18" t="n">
        <x:v>15</x:v>
      </x:c>
      <x:c r="L247" s="18" t="str"/>
      <x:c r="M247" s="16" t="str"/>
    </x:row>
    <x:row r="248">
      <x:c r="A248" s="16" t="str">
        <x:v>W1-247</x:v>
      </x:c>
      <x:c r="B248" s="16" t="str">
        <x:v>Day 7</x:v>
      </x:c>
      <x:c r="C248" s="16" t="str">
        <x:v>Engineering setup</x:v>
      </x:c>
      <x:c r="D248" s="16" t="str">
        <x:v>Run the production build command</x:v>
      </x:c>
      <x:c r="E248" s="16" t="str">
        <x:v>Confirm the project builds successfully.</x:v>
      </x:c>
      <x:c r="F248" s="16" t="str">
        <x:v>Founder</x:v>
      </x:c>
      <x:c r="G248" s="16" t="str">
        <x:v>High</x:v>
      </x:c>
      <x:c r="H248" s="16" t="str">
        <x:v>Not Started</x:v>
      </x:c>
      <x:c r="I248" s="16" t="str">
        <x:v>W1-246</x:v>
      </x:c>
      <x:c r="J248" s="16" t="str">
        <x:v>Run the production build command</x:v>
      </x:c>
      <x:c r="K248" s="18" t="n">
        <x:v>15</x:v>
      </x:c>
      <x:c r="L248" s="18" t="str"/>
      <x:c r="M248" s="16" t="str"/>
    </x:row>
    <x:row r="249">
      <x:c r="A249" s="16" t="str">
        <x:v>W1-248</x:v>
      </x:c>
      <x:c r="B249" s="16" t="str">
        <x:v>Day 7</x:v>
      </x:c>
      <x:c r="C249" s="16" t="str">
        <x:v>Engineering setup</x:v>
      </x:c>
      <x:c r="D249" s="16" t="str">
        <x:v>Review the Git diff manually</x:v>
      </x:c>
      <x:c r="E249" s="16" t="str">
        <x:v>Inspect all AI-generated changes before merging.</x:v>
      </x:c>
      <x:c r="F249" s="16" t="str">
        <x:v>Founder</x:v>
      </x:c>
      <x:c r="G249" s="16" t="str">
        <x:v>High</x:v>
      </x:c>
      <x:c r="H249" s="16" t="str">
        <x:v>Not Started</x:v>
      </x:c>
      <x:c r="I249" s="16" t="str">
        <x:v>W1-247</x:v>
      </x:c>
      <x:c r="J249" s="16" t="str">
        <x:v>Review the Git diff manually</x:v>
      </x:c>
      <x:c r="K249" s="18" t="n">
        <x:v>15</x:v>
      </x:c>
      <x:c r="L249" s="18" t="str"/>
      <x:c r="M249" s="16" t="str"/>
    </x:row>
    <x:row r="250">
      <x:c r="A250" s="16" t="str">
        <x:v>W1-249</x:v>
      </x:c>
      <x:c r="B250" s="16" t="str">
        <x:v>Day 7</x:v>
      </x:c>
      <x:c r="C250" s="16" t="str">
        <x:v>Engineering setup</x:v>
      </x:c>
      <x:c r="D250" s="16" t="str">
        <x:v>Verify no secrets are committed</x:v>
      </x:c>
      <x:c r="E250" s="16" t="str">
        <x:v>Search the repository history and working tree for credentials.</x:v>
      </x:c>
      <x:c r="F250" s="16" t="str">
        <x:v>Founder</x:v>
      </x:c>
      <x:c r="G250" s="16" t="str">
        <x:v>High</x:v>
      </x:c>
      <x:c r="H250" s="16" t="str">
        <x:v>Not Started</x:v>
      </x:c>
      <x:c r="I250" s="16" t="str">
        <x:v>W1-248</x:v>
      </x:c>
      <x:c r="J250" s="16" t="str">
        <x:v>Verify no secrets are committed</x:v>
      </x:c>
      <x:c r="K250" s="18" t="n">
        <x:v>15</x:v>
      </x:c>
      <x:c r="L250" s="18" t="str"/>
      <x:c r="M250" s="16" t="str"/>
    </x:row>
    <x:row r="251">
      <x:c r="A251" s="16" t="str">
        <x:v>W1-250</x:v>
      </x:c>
      <x:c r="B251" s="16" t="str">
        <x:v>Day 7</x:v>
      </x:c>
      <x:c r="C251" s="16" t="str">
        <x:v>Engineering setup</x:v>
      </x:c>
      <x:c r="D251" s="16" t="str">
        <x:v>Save the ten research records for later import</x:v>
      </x:c>
      <x:c r="E251" s="16" t="str">
        <x:v>Keep the manually reviewed spreadsheet as the source of truth.</x:v>
      </x:c>
      <x:c r="F251" s="16" t="str">
        <x:v>Founder</x:v>
      </x:c>
      <x:c r="G251" s="16" t="str">
        <x:v>High</x:v>
      </x:c>
      <x:c r="H251" s="16" t="str">
        <x:v>Not Started</x:v>
      </x:c>
      <x:c r="I251" s="16" t="str">
        <x:v>W1-249</x:v>
      </x:c>
      <x:c r="J251" s="16" t="str">
        <x:v>Save the ten research records for later import</x:v>
      </x:c>
      <x:c r="K251" s="18" t="n">
        <x:v>15</x:v>
      </x:c>
      <x:c r="L251" s="18" t="str"/>
      <x:c r="M251" s="16" t="str"/>
    </x:row>
    <x:row r="252">
      <x:c r="A252" s="16" t="str">
        <x:v>W1-251</x:v>
      </x:c>
      <x:c r="B252" s="16" t="str">
        <x:v>Day 7</x:v>
      </x:c>
      <x:c r="C252" s="16" t="str">
        <x:v>Engineering setup</x:v>
      </x:c>
      <x:c r="D252" s="16" t="str">
        <x:v>Write the Week 1 technical handover note</x:v>
      </x:c>
      <x:c r="E252" s="16" t="str">
        <x:v>Record setup steps, credentials locations, commands and next tasks.</x:v>
      </x:c>
      <x:c r="F252" s="16" t="str">
        <x:v>Founder</x:v>
      </x:c>
      <x:c r="G252" s="16" t="str">
        <x:v>High</x:v>
      </x:c>
      <x:c r="H252" s="16" t="str">
        <x:v>Not Started</x:v>
      </x:c>
      <x:c r="I252" s="16" t="str">
        <x:v>W1-250</x:v>
      </x:c>
      <x:c r="J252" s="16" t="str">
        <x:v>Write the Week 1 technical handover note</x:v>
      </x:c>
      <x:c r="K252" s="18" t="n">
        <x:v>15</x:v>
      </x:c>
      <x:c r="L252" s="18" t="str"/>
      <x:c r="M252" s="16" t="str"/>
    </x:row>
    <x:row r="253">
      <x:c r="A253" s="16" t="str">
        <x:v>W1-252</x:v>
      </x:c>
      <x:c r="B253" s="16" t="str">
        <x:v>Day 7</x:v>
      </x:c>
      <x:c r="C253" s="16" t="str">
        <x:v>Engineering setup</x:v>
      </x:c>
      <x:c r="D253" s="16" t="str">
        <x:v>Complete the Week 1 review checklist</x:v>
      </x:c>
      <x:c r="E253" s="16" t="str">
        <x:v>Answer all end-of-week questions honestly.</x:v>
      </x:c>
      <x:c r="F253" s="16" t="str">
        <x:v>Founder</x:v>
      </x:c>
      <x:c r="G253" s="16" t="str">
        <x:v>High</x:v>
      </x:c>
      <x:c r="H253" s="16" t="str">
        <x:v>Not Started</x:v>
      </x:c>
      <x:c r="I253" s="16" t="str">
        <x:v>W1-251</x:v>
      </x:c>
      <x:c r="J253" s="16" t="str">
        <x:v>Complete the Week 1 review checklist</x:v>
      </x:c>
      <x:c r="K253" s="18" t="n">
        <x:v>15</x:v>
      </x:c>
      <x:c r="L253" s="18" t="str"/>
      <x:c r="M253" s="16" t="str"/>
    </x:row>
    <x:row r="254">
      <x:c r="A254" s="16" t="str">
        <x:v>W1-253</x:v>
      </x:c>
      <x:c r="B254" s="16" t="str">
        <x:v>Day 7</x:v>
      </x:c>
      <x:c r="C254" s="16" t="str">
        <x:v>Engineering setup</x:v>
      </x:c>
      <x:c r="D254" s="16" t="str">
        <x:v>Freeze the Week 1 deliverables</x:v>
      </x:c>
      <x:c r="E254" s="16" t="str">
        <x:v>Tag or record the stable Week 1 state before beginning Week 2.</x:v>
      </x:c>
      <x:c r="F254" s="16" t="str">
        <x:v>Founder</x:v>
      </x:c>
      <x:c r="G254" s="16" t="str">
        <x:v>High</x:v>
      </x:c>
      <x:c r="H254" s="16" t="str">
        <x:v>Not Started</x:v>
      </x:c>
      <x:c r="I254" s="16" t="str">
        <x:v>W1-252</x:v>
      </x:c>
      <x:c r="J254" s="16" t="str">
        <x:v>Freeze the Week 1 deliverables</x:v>
      </x:c>
      <x:c r="K254" s="18" t="n">
        <x:v>15</x:v>
      </x:c>
      <x:c r="L254" s="18" t="str"/>
      <x:c r="M254" s="16" t="str"/>
    </x:row>
  </x:sheetData>
  <x:conditionalFormatting sqref="H2:H254">
    <x:cfRule type="expression" dxfId="0" priority="1">
      <x:formula>H2="Complete"</x:formula>
    </x:cfRule>
    <x:cfRule type="expression" dxfId="1" priority="2">
      <x:formula>H2="In Progress"</x:formula>
    </x:cfRule>
    <x:cfRule type="expression" dxfId="2" priority="3">
      <x:formula>H2="Blocked"</x:formula>
    </x:cfRule>
    <x:cfRule type="expression" dxfId="3" priority="4">
      <x:formula>H2="Not Started"</x:formula>
    </x:cfRule>
  </x:conditionalFormatting>
  <x:conditionalFormatting sqref="G2:G254">
    <x:cfRule type="expression" dxfId="4" priority="5">
      <x:formula>G2="High"</x:formula>
    </x:cfRule>
    <x:cfRule type="expression" dxfId="5" priority="6">
      <x:formula>G2="Medium"</x:formula>
    </x:cfRule>
    <x:cfRule type="expression" dxfId="6" priority="7">
      <x:formula>G2="Low"</x:formula>
    </x:cfRule>
  </x:conditionalFormatting>
  <x:dataValidations count="2">
    <x:dataValidation type="list" sqref="G2:G254">
      <x:formula1>"High,Medium,Low"</x:formula1>
    </x:dataValidation>
    <x:dataValidation type="list" sqref="H2:H254">
      <x:formula1>"Not Started,In Progress,Blocked,Complete"</x:formula1>
    </x:dataValidation>
  </x:dataValidations>
  <x:pageMargins left="0.7" right="0.7" top="0.75" bottom="0.75" header="0.3" footer="0.3"/>
  <x:tableParts count="1">
    <x:tablePart xmlns:r="http://schemas.openxmlformats.org/officeDocument/2006/relationships" r:id="Rd87480fb529a4296"/>
  </x:tableParts>
</x:worksheet>
</file>

<file path=xl/worksheets/sheet3.xml><?xml version="1.0" encoding="utf-8"?>
<x:worksheet xmlns:x="http://schemas.openxmlformats.org/spreadsheetml/2006/main">
  <x:sheetFormatPr defaultRowHeight="15"/>
  <x:cols>
    <x:col min="1" max="1" width="22" hidden="0" customWidth="1"/>
    <x:col min="2" max="2" width="68" hidden="0" customWidth="1"/>
    <x:col min="3" max="3" width="40" hidden="0" customWidth="1"/>
    <x:col min="4" max="4" width="4" hidden="0" customWidth="1"/>
    <x:col min="5" max="5" width="14" hidden="0" customWidth="1"/>
    <x:col min="6" max="6" width="28" hidden="0" customWidth="1"/>
  </x:cols>
  <x:sheetData>
    <x:row r="1">
      <x:c r="A1" s="75" t="str">
        <x:v>India Observed — Week 1 Tracker Guide</x:v>
      </x:c>
      <x:c r="B1" s="75"/>
      <x:c r="C1" s="75"/>
      <x:c r="D1" s="75"/>
      <x:c r="E1" s="75"/>
      <x:c r="F1" s="75"/>
    </x:row>
    <x:row r="2">
      <x:c r="A2" s="75"/>
      <x:c r="B2" s="75"/>
      <x:c r="C2" s="75"/>
      <x:c r="D2" s="75"/>
      <x:c r="E2" s="75"/>
      <x:c r="F2" s="75"/>
    </x:row>
    <x:row r="4">
      <x:c r="A4" s="7" t="str">
        <x:v>Status</x:v>
      </x:c>
      <x:c r="B4" s="7" t="str">
        <x:v>Meaning</x:v>
      </x:c>
      <x:c r="C4" s="7" t="str">
        <x:v>When to use</x:v>
      </x:c>
      <x:c r="E4" s="7" t="str">
        <x:v>Priority</x:v>
      </x:c>
      <x:c r="F4" s="7" t="str">
        <x:v>Meaning</x:v>
      </x:c>
    </x:row>
    <x:row r="5">
      <x:c r="A5" t="str">
        <x:v>Not Started</x:v>
      </x:c>
      <x:c r="B5" t="str">
        <x:v>No work has begun</x:v>
      </x:c>
      <x:c r="C5" t="str">
        <x:v>Default state for future tasks</x:v>
      </x:c>
      <x:c r="E5" t="str">
        <x:v>High</x:v>
      </x:c>
      <x:c r="F5" t="str">
        <x:v>Required for the Week 1 definition of done</x:v>
      </x:c>
    </x:row>
    <x:row r="6">
      <x:c r="A6" t="str">
        <x:v>In Progress</x:v>
      </x:c>
      <x:c r="B6" t="str">
        <x:v>Work has begun but is not complete</x:v>
      </x:c>
      <x:c r="C6" t="str">
        <x:v>Use when actively working on the task</x:v>
      </x:c>
      <x:c r="E6" t="str">
        <x:v>Medium</x:v>
      </x:c>
      <x:c r="F6" t="str">
        <x:v>Important but can be adjusted</x:v>
      </x:c>
    </x:row>
    <x:row r="7">
      <x:c r="A7" t="str">
        <x:v>Blocked</x:v>
      </x:c>
      <x:c r="B7" t="str">
        <x:v>Cannot proceed because a dependency or decision is missing</x:v>
      </x:c>
      <x:c r="C7" t="str">
        <x:v>Explain the blocker in Notes</x:v>
      </x:c>
      <x:c r="E7" t="str">
        <x:v>Low</x:v>
      </x:c>
      <x:c r="F7" t="str">
        <x:v>Optional improvement if time permits</x:v>
      </x:c>
    </x:row>
    <x:row r="8">
      <x:c r="A8" t="str">
        <x:v>Complete</x:v>
      </x:c>
      <x:c r="B8" t="str">
        <x:v>Acceptance criteria have been met</x:v>
      </x:c>
      <x:c r="C8" t="str">
        <x:v>Add the deliverable or evidence</x:v>
      </x:c>
    </x:row>
    <x:row r="9">
      <x:c r="A9" t="str"/>
      <x:c r="B9" t="str"/>
      <x:c r="C9" t="str"/>
    </x:row>
    <x:row r="11">
      <x:c r="A11" s="7" t="str">
        <x:v>Week 1 control rules</x:v>
      </x:c>
      <x:c r="B11" t="str"/>
      <x:c r="C11" t="str"/>
      <x:c r="D11" t="str"/>
      <x:c r="E11" t="str"/>
      <x:c r="F11" t="str"/>
    </x:row>
    <x:row r="12">
      <x:c r="A12" s="81" t="str">
        <x:v>1</x:v>
      </x:c>
      <x:c r="B12" s="81" t="str">
        <x:v>Day 1 scope is frozen.</x:v>
      </x:c>
      <x:c r="C12" s="81" t="str"/>
      <x:c r="D12" s="81" t="str"/>
      <x:c r="E12" s="81" t="str"/>
      <x:c r="F12" s="81" t="str"/>
    </x:row>
    <x:row r="13">
      <x:c r="A13" s="81" t="str">
        <x:v>2</x:v>
      </x:c>
      <x:c r="B13" s="81" t="str">
        <x:v>Do not add environment, education, health or commercial features during Week 1.</x:v>
      </x:c>
      <x:c r="C13" s="81" t="str"/>
      <x:c r="D13" s="81" t="str"/>
      <x:c r="E13" s="81" t="str"/>
      <x:c r="F13" s="81" t="str"/>
    </x:row>
    <x:row r="14">
      <x:c r="A14" s="81" t="str">
        <x:v>3</x:v>
      </x:c>
      <x:c r="B14" s="81" t="str">
        <x:v>Do not build public uploads, user accounts, comments or a mobile app.</x:v>
      </x:c>
      <x:c r="C14" s="81" t="str"/>
      <x:c r="D14" s="81" t="str"/>
      <x:c r="E14" s="81" t="str"/>
      <x:c r="F14" s="81" t="str"/>
    </x:row>
    <x:row r="15">
      <x:c r="A15" s="81" t="str">
        <x:v>4</x:v>
      </x:c>
      <x:c r="B15" s="81" t="str">
        <x:v>Every significant claim must be linked to a source.</x:v>
      </x:c>
      <x:c r="C15" s="81" t="str"/>
      <x:c r="D15" s="81" t="str"/>
      <x:c r="E15" s="81" t="str"/>
      <x:c r="F15" s="81" t="str"/>
    </x:row>
    <x:row r="16">
      <x:c r="A16" s="81" t="str">
        <x:v>5</x:v>
      </x:c>
      <x:c r="B16" s="81" t="str">
        <x:v>Unknown facts remain blank or explicitly unconfirmed; never guess.</x:v>
      </x:c>
      <x:c r="C16" s="81" t="str"/>
      <x:c r="D16" s="81" t="str"/>
      <x:c r="E16" s="81" t="str"/>
      <x:c r="F16" s="81" t="str"/>
    </x:row>
    <x:row r="17">
      <x:c r="A17" s="81" t="str">
        <x:v>6</x:v>
      </x:c>
      <x:c r="B17" s="81" t="str">
        <x:v>AI-generated code and text must be manually reviewed.</x:v>
      </x:c>
      <x:c r="C17" s="81" t="str"/>
      <x:c r="D17" s="81" t="str"/>
      <x:c r="E17" s="81" t="str"/>
      <x:c r="F17" s="81" t="str"/>
    </x:row>
    <x:row r="18">
      <x:c r="A18" s="81" t="str">
        <x:v>7</x:v>
      </x:c>
      <x:c r="B18" s="81" t="str">
        <x:v>The manually reviewed spreadsheet remains the source of truth during Week 1.</x:v>
      </x:c>
      <x:c r="C18" s="81" t="str"/>
      <x:c r="D18" s="81" t="str"/>
      <x:c r="E18" s="81" t="str"/>
      <x:c r="F18" s="81" t="str"/>
    </x:row>
    <x:row r="20">
      <x:c r="A20" s="104" t="str">
        <x:v>Day 2 data model</x:v>
      </x:c>
      <x:c r="B20" s="105"/>
      <x:c r="C20" s="105"/>
      <x:c r="D20" s="105"/>
      <x:c r="E20" s="105"/>
      <x:c r="F20" s="106"/>
    </x:row>
    <x:row r="21">
      <x:c r="A21" s="104" t="str">
        <x:v>Sheet</x:v>
      </x:c>
      <x:c r="B21" s="106" t="str">
        <x:v>Purpose</x:v>
      </x:c>
    </x:row>
    <x:row r="22">
      <x:c r="A22" s="122" t="str">
        <x:v>Events</x:v>
      </x:c>
      <x:c r="B22" s="124" t="str">
        <x:v>One row per civic event; includes scope, status, summary and calculated claim/source counts.</x:v>
      </x:c>
    </x:row>
    <x:row r="23">
      <x:c r="A23" s="122" t="str">
        <x:v>Claims</x:v>
      </x:c>
      <x:c r="B23" s="124" t="str">
        <x:v>One factual claim per row with verification status and publishable wording.</x:v>
      </x:c>
    </x:row>
    <x:row r="24">
      <x:c r="A24" s="122" t="str">
        <x:v>Sources</x:v>
      </x:c>
      <x:c r="B24" s="124" t="str">
        <x:v>Source provenance, independence, URLs, supported claims and reliability notes.</x:v>
      </x:c>
    </x:row>
    <x:row r="25">
      <x:c r="A25" s="122" t="str">
        <x:v>Organisations</x:v>
      </x:c>
      <x:c r="B25" s="124" t="str">
        <x:v>Standard names for public bodies, movements and publishers.</x:v>
      </x:c>
    </x:row>
    <x:row r="26">
      <x:c r="A26" s="122" t="str">
        <x:v>Corrections</x:v>
      </x:c>
      <x:c r="B26" s="124" t="str">
        <x:v>Pre-publication and public correction history.</x:v>
      </x:c>
    </x:row>
    <x:row r="27">
      <x:c r="A27" s="122" t="str">
        <x:v>Lists</x:v>
      </x:c>
      <x:c r="B27" s="124" t="str">
        <x:v>Controlled dropdown values and ID conventions.</x:v>
      </x:c>
    </x:row>
    <x:row r="28">
      <x:c r="A28" s="125" t="str">
        <x:v>Data Dictionary</x:v>
      </x:c>
      <x:c r="B28" s="127" t="str">
        <x:v>Field definitions for manual entry and future coding.</x:v>
      </x:c>
    </x:row>
  </x:sheetData>
  <x:mergeCells>
    <x:mergeCell ref="A1:F2"/>
    <x:mergeCell ref="A11:F11"/>
    <x:mergeCell ref="B12:F12"/>
    <x:mergeCell ref="B13:F13"/>
    <x:mergeCell ref="B14:F14"/>
    <x:mergeCell ref="B15:F15"/>
    <x:mergeCell ref="B16:F16"/>
    <x:mergeCell ref="B17:F17"/>
    <x:mergeCell ref="B18:F18"/>
    <x:mergeCell ref="A20:F20"/>
  </x:mergeCell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42" hidden="0" customWidth="1"/>
    <x:col min="3" max="3" width="22" hidden="0" customWidth="1"/>
    <x:col min="4" max="4" width="38" hidden="0" customWidth="1"/>
    <x:col min="5" max="5" width="18" hidden="0" customWidth="1"/>
    <x:col min="6" max="6" width="20" hidden="0" customWidth="1"/>
    <x:col min="7" max="7" width="34" hidden="0" customWidth="1"/>
    <x:col min="8" max="8" width="13" hidden="0" customWidth="1"/>
    <x:col min="9" max="9" width="13" hidden="0" customWidth="1"/>
    <x:col min="10" max="10" width="14" hidden="0" customWidth="1"/>
    <x:col min="11" max="11" width="58" hidden="0" customWidth="1"/>
    <x:col min="12" max="12" width="38" hidden="0" customWidth="1"/>
    <x:col min="13" max="13" width="38" hidden="0" customWidth="1"/>
    <x:col min="14" max="14" width="34" hidden="0" customWidth="1"/>
    <x:col min="15" max="15" width="13" hidden="0" customWidth="1"/>
    <x:col min="16" max="16" width="13" hidden="0" customWidth="1"/>
    <x:col min="17" max="17" width="14" hidden="0" customWidth="1"/>
    <x:col min="18" max="18" width="34" hidden="0" customWidth="1"/>
    <x:col min="19" max="19" width="15" hidden="0" customWidth="1"/>
    <x:col min="20" max="20" width="50" hidden="0" customWidth="1"/>
    <x:col min="21" max="21" width="12" hidden="0" customWidth="1"/>
    <x:col min="22" max="22" width="12" hidden="0" customWidth="1"/>
    <x:col min="23" max="23" width="22" hidden="0" customWidth="1"/>
    <x:col min="24" max="24" width="22" hidden="0" customWidth="1"/>
    <x:col min="25" max="25" width="28" hidden="0" customWidth="1"/>
    <x:col min="26" max="26" width="31" hidden="0" customWidth="1"/>
    <x:col min="27" max="27" width="42" hidden="0" customWidth="1"/>
    <x:col min="28" max="28" width="19" hidden="0" customWidth="1"/>
    <x:col min="29" max="29" width="19" hidden="0" customWidth="1"/>
    <x:col min="30" max="30" width="26" hidden="0" customWidth="1"/>
    <x:col min="31" max="31" width="27" hidden="0" customWidth="1"/>
    <x:col min="32" max="32" width="52" hidden="0" customWidth="1"/>
  </x:cols>
  <x:sheetData>
    <x:row r="1" ht="30" customHeight="1">
      <x:c r="A1" s="88" t="str">
        <x:v>India Observed — Events Register</x:v>
      </x:c>
      <x:c r="B1" s="88"/>
      <x:c r="C1" s="88"/>
      <x:c r="D1" s="88"/>
      <x:c r="E1" s="88"/>
      <x:c r="F1" s="88"/>
      <x:c r="G1" s="88"/>
      <x:c r="H1" s="88"/>
      <x:c r="I1" s="88"/>
      <x:c r="J1" s="88"/>
      <x:c r="K1" s="88"/>
      <x:c r="L1" s="88"/>
      <x:c r="M1" s="88"/>
      <x:c r="N1" s="88"/>
      <x:c r="O1" s="88"/>
      <x:c r="P1" s="88"/>
      <x:c r="Q1" s="88"/>
      <x:c r="R1" s="88"/>
      <x:c r="S1" s="88"/>
      <x:c r="T1" s="88"/>
      <x:c r="U1" s="88"/>
      <x:c r="V1" s="88"/>
    </x:row>
    <x:row r="2" ht="35" customHeight="1">
      <x:c r="A2" s="93" t="str">
        <x:v>One row per civic movement or protest event. The pilot geography is India-wide from 15 July 2026; coverage remains curated and does not claim completeness.</x:v>
      </x:c>
      <x:c r="B2" s="93"/>
      <x:c r="C2" s="93"/>
      <x:c r="D2" s="93"/>
      <x:c r="E2" s="93"/>
      <x:c r="F2" s="93"/>
      <x:c r="G2" s="93"/>
      <x:c r="H2" s="93"/>
      <x:c r="I2" s="93"/>
      <x:c r="J2" s="93"/>
      <x:c r="K2" s="93"/>
      <x:c r="L2" s="93"/>
      <x:c r="M2" s="93"/>
      <x:c r="N2" s="93"/>
      <x:c r="O2" s="93"/>
      <x:c r="P2" s="93"/>
      <x:c r="Q2" s="93"/>
      <x:c r="R2" s="93"/>
      <x:c r="S2" s="93"/>
      <x:c r="T2" s="93"/>
      <x:c r="U2" s="93"/>
      <x:c r="V2" s="93"/>
    </x:row>
    <x:row r="4" ht="42" customHeight="1">
      <x:c r="A4" s="326" t="str">
        <x:v>Event ID</x:v>
      </x:c>
      <x:c r="B4" s="326" t="str">
        <x:v>Event title</x:v>
      </x:c>
      <x:c r="C4" s="326" t="str">
        <x:v>Event type</x:v>
      </x:c>
      <x:c r="D4" s="326" t="str">
        <x:v>Main issue</x:v>
      </x:c>
      <x:c r="E4" s="326" t="str">
        <x:v>State</x:v>
      </x:c>
      <x:c r="F4" s="326" t="str">
        <x:v>District</x:v>
      </x:c>
      <x:c r="G4" s="326" t="str">
        <x:v>General location</x:v>
      </x:c>
      <x:c r="H4" s="326" t="str">
        <x:v>Start date</x:v>
      </x:c>
      <x:c r="I4" s="326" t="str">
        <x:v>End date</x:v>
      </x:c>
      <x:c r="J4" s="326" t="str">
        <x:v>Event status</x:v>
      </x:c>
      <x:c r="K4" s="326" t="str">
        <x:v>Short neutral summary</x:v>
      </x:c>
      <x:c r="L4" s="326" t="str">
        <x:v>Organising group</x:v>
      </x:c>
      <x:c r="M4" s="326" t="str">
        <x:v>Authority involved</x:v>
      </x:c>
      <x:c r="N4" s="326" t="str">
        <x:v>Verification status</x:v>
      </x:c>
      <x:c r="O4" s="326" t="str">
        <x:v>Date added</x:v>
      </x:c>
      <x:c r="P4" s="326" t="str">
        <x:v>Last reviewed</x:v>
      </x:c>
      <x:c r="Q4" s="326" t="str">
        <x:v>Published status</x:v>
      </x:c>
      <x:c r="R4" s="326" t="str">
        <x:v>Scope status</x:v>
      </x:c>
      <x:c r="S4" s="326" t="str">
        <x:v>Last confirmed active</x:v>
      </x:c>
      <x:c r="T4" s="326" t="str">
        <x:v>Internal notes</x:v>
      </x:c>
      <x:c r="U4" s="326" t="str">
        <x:v>Claim count</x:v>
      </x:c>
      <x:c r="V4" s="326" t="str">
        <x:v>Source count</x:v>
      </x:c>
      <x:c r="W4" s="461" t="str">
        <x:v>Observed Duration (Days)</x:v>
      </x:c>
      <x:c r="X4" s="461" t="str">
        <x:v>Activity Pattern</x:v>
      </x:c>
      <x:c r="Y4" s="495" t="str">
        <x:v>Primary Topic</x:v>
      </x:c>
      <x:c r="Z4" s="495" t="str">
        <x:v>Demand Category</x:v>
      </x:c>
      <x:c r="AA4" s="495" t="str">
        <x:v>Related Policy / Project / Law</x:v>
      </x:c>
      <x:c r="AB4" s="495" t="str">
        <x:v>Official Response Date</x:v>
      </x:c>
      <x:c r="AC4" s="495" t="str">
        <x:v>Outcome Follow-up Date</x:v>
      </x:c>
      <x:c r="AD4" s="495" t="str">
        <x:v>Lead Discovery Channel</x:v>
      </x:c>
      <x:c r="AE4" s="495" t="str">
        <x:v>Coverage Profile</x:v>
      </x:c>
      <x:c r="AF4" s="495" t="str">
        <x:v>Latest Official Response</x:v>
      </x:c>
    </x:row>
    <x:row r="5">
      <x:c r="A5" s="16" t="str">
        <x:v>IO-CM-MP-0001</x:v>
      </x:c>
      <x:c r="B5" s="16" t="str">
        <x:v>Project-affected communities resume protest over rehabilitation and compensation in Bundelkhand</x:v>
      </x:c>
      <x:c r="C5" s="16" t="str">
        <x:v>Multi-form civic protest</x:v>
      </x:c>
      <x:c r="D5" s="16" t="str">
        <x:v>Rehabilitation, compensation and displacement linked to the Ken–Betwa Link Project and other development projects</x:v>
      </x:c>
      <x:c r="E5" s="16" t="str">
        <x:v>Madhya Pradesh</x:v>
      </x:c>
      <x:c r="F5" s="16" t="str">
        <x:v>Chhatarpur / Panna</x:v>
      </x:c>
      <x:c r="G5" s="16" t="str">
        <x:v>Near Kupi village in the Chhatarpur–Panna project-affected area</x:v>
      </x:c>
      <x:c r="H5" s="109" t="n">
        <x:v>46207</x:v>
      </x:c>
      <x:c r="I5" s="109"/>
      <x:c r="J5" s="16" t="str">
        <x:v>Ongoing</x:v>
      </x:c>
      <x:c r="K5" s="16" t="str">
        <x:v>Project-affected tribal and farming communities resumed a protest in early July 2026 in the Chhatarpur–Panna area of Madhya Pradesh. Reported forms of protest include a symbolic Chita Andolan, Jal Satyagraha, hunger strike and Mitti Satyagraha. Participants have publicly raised concerns about compensation, rehabilitation and displacement. The occurrence and principal demands are corroborated; allegations about water access, compensation irregularities and the full implementation of relief measures remain attributed or under review.</x:v>
      </x:c>
      <x:c r="L5" s="16" t="str">
        <x:v>Project-affected tribal and farming communities; Jai Kisan Sangathan (reported)</x:v>
      </x:c>
      <x:c r="M5" s="16" t="str">
        <x:v>Chhatarpur and Panna district administrations; Madhya Pradesh Government; Ken–Betwa Link Project authorities</x:v>
      </x:c>
      <x:c r="N5" s="16" t="str">
        <x:v>Occurrence verified — disputed details remain</x:v>
      </x:c>
      <x:c r="O5" s="109" t="n">
        <x:v>46218</x:v>
      </x:c>
      <x:c r="P5" s="109" t="n">
        <x:v>46218</x:v>
      </x:c>
      <x:c r="Q5" s="16" t="str">
        <x:v>Candidate</x:v>
      </x:c>
      <x:c r="R5" s="16" t="str">
        <x:v>In national pilot</x:v>
      </x:c>
      <x:c r="S5" s="109" t="n">
        <x:v>46218</x:v>
      </x:c>
      <x:c r="T5" s="16" t="str">
        <x:v>The X post was published on 15 July 2026; the exact filming date is not independently confirmed. Sources describe Kupi's district inconsistently, so the public wording uses the broader Chhatarpur–Panna project-affected area.</x:v>
      </x:c>
      <x:c r="U5" s="16" t="n">
        <x:f>COUNTIF(Claims!$B$5:$B$500,A5)</x:f>
        <x:v>11</x:v>
      </x:c>
      <x:c r="V5" s="16" t="n">
        <x:f>COUNTIF(Sources!$B$5:$B$500,A5)</x:f>
        <x:v>7</x:v>
      </x:c>
      <x:c r="W5" s="18" t="n">
        <x:f>IF(A5="","",IF(H5="","",IF(I5&lt;&gt;"",I5-H5+1,IF(S5&lt;&gt;"",S5-H5+1,""))))</x:f>
        <x:v>12</x:v>
      </x:c>
      <x:c r="X5" s="16" t="str">
        <x:v>Multiple phases</x:v>
      </x:c>
      <x:c r="Y5" s="16" t="str">
        <x:v>Land &amp; rehabilitation</x:v>
      </x:c>
      <x:c r="Z5" s="16" t="str">
        <x:v>Compensation / land rights</x:v>
      </x:c>
      <x:c r="AA5" s="16" t="str">
        <x:v>Ken–Betwa Link Project</x:v>
      </x:c>
      <x:c r="AB5" s="109" t="n">
        <x:v>46213</x:v>
      </x:c>
      <x:c r="AC5" s="109" t="n">
        <x:v>46225</x:v>
      </x:c>
      <x:c r="AD5" s="16" t="str">
        <x:v>User-provided lead</x:v>
      </x:c>
      <x:c r="AE5" s="16" t="str">
        <x:v>Social-first, later corroborated</x:v>
      </x:c>
      <x:c r="AF5" s="16" t="str">
        <x:v>District administration stated that demands had been addressed; protesters disputed that assessment.</x:v>
      </x:c>
    </x:row>
    <x:row r="6">
      <x:c r="A6" s="16" t="str">
        <x:v>IO-CM-DL-0001</x:v>
      </x:c>
      <x:c r="B6" s="16" t="str">
        <x:v>Education accountability sit-in and hunger strike continues at Jantar Mantar</x:v>
      </x:c>
      <x:c r="C6" s="16" t="str">
        <x:v>Multi-form civic protest</x:v>
      </x:c>
      <x:c r="D6" s="16" t="str">
        <x:v>Alleged examination irregularities, paper leaks and demand for education-system accountability</x:v>
      </x:c>
      <x:c r="E6" s="16" t="str">
        <x:v>Delhi</x:v>
      </x:c>
      <x:c r="F6" s="16" t="str">
        <x:v>New Delhi</x:v>
      </x:c>
      <x:c r="G6" s="16" t="str">
        <x:v>Jantar Mantar, New Delhi</x:v>
      </x:c>
      <x:c r="H6" s="109" t="n">
        <x:v>46193</x:v>
      </x:c>
      <x:c r="I6" s="109"/>
      <x:c r="J6" s="16" t="str">
        <x:v>Ongoing</x:v>
      </x:c>
      <x:c r="K6" s="16" t="str">
        <x:v>A sit-in organised by the Cockroach Janta Party continued at Jantar Mantar in New Delhi in July 2026, with participants demanding accountability over alleged examination irregularities and the resignation of Union Education Minister Dharmendra Pradhan. Education reformer Sonam Wangchuk joined the action through an indefinite hunger strike from 28 June. The occurrence, location and principal demand are independently corroborated; reported medical details and some examination-related claims remain attributed to organisers or media reports.</x:v>
      </x:c>
      <x:c r="L6" s="16" t="str">
        <x:v>Cockroach Janta Party; Sonam Wangchuk and supporting participants</x:v>
      </x:c>
      <x:c r="M6" s="16" t="str">
        <x:v>Union Ministry of Education; Government of India</x:v>
      </x:c>
      <x:c r="N6" s="16" t="str">
        <x:v>Occurrence verified — disputed details remain</x:v>
      </x:c>
      <x:c r="O6" s="109" t="n">
        <x:v>46218</x:v>
      </x:c>
      <x:c r="P6" s="109" t="n">
        <x:v>46218</x:v>
      </x:c>
      <x:c r="Q6" s="16" t="str">
        <x:v>Candidate</x:v>
      </x:c>
      <x:c r="R6" s="16" t="str">
        <x:v>In national pilot</x:v>
      </x:c>
      <x:c r="S6" s="109" t="n">
        <x:v>46218</x:v>
      </x:c>
      <x:c r="T6" s="16" t="str">
        <x:v>The protest began before the 1 July research window but remained active during it. Medical information is not treated as independently verified unless supported by identifiable clinical documentation. A proposed 20 July march is recorded only as an announcement, not as an event that has occurred.</x:v>
      </x:c>
      <x:c r="U6" s="16" t="n">
        <x:f>COUNTIF(Claims!$B$5:$B$500,A6)</x:f>
        <x:v>7</x:v>
      </x:c>
      <x:c r="V6" s="16" t="n">
        <x:f>COUNTIF(Sources!$B$5:$B$500,A6)</x:f>
        <x:v>4</x:v>
      </x:c>
      <x:c r="W6" s="18" t="n">
        <x:f>IF(A6="","",IF(H6="","",IF(I6&lt;&gt;"",I6-H6+1,IF(S6&lt;&gt;"",S6-H6+1,""))))</x:f>
        <x:v>26</x:v>
      </x:c>
      <x:c r="X6" s="16" t="str">
        <x:v>Continuous</x:v>
      </x:c>
      <x:c r="Y6" s="16" t="str">
        <x:v>Education</x:v>
      </x:c>
      <x:c r="Z6" s="16" t="str">
        <x:v>Accountability / resignation</x:v>
      </x:c>
      <x:c r="AA6" s="16" t="str">
        <x:v>Examination integrity and Union Ministry of Education accountability</x:v>
      </x:c>
      <x:c r="AB6" s="109" t="n">
        <x:v>46217</x:v>
      </x:c>
      <x:c r="AC6" s="109" t="n">
        <x:v>46223</x:v>
      </x:c>
      <x:c r="AD6" s="16" t="str">
        <x:v>National media search</x:v>
      </x:c>
      <x:c r="AE6" s="16" t="str">
        <x:v>Nationally covered</x:v>
      </x:c>
      <x:c r="AF6" s="16" t="str">
        <x:v>The Union education minister rejected calls to resign; organisers announced further action.</x:v>
      </x:c>
    </x:row>
    <x:row r="7">
      <x:c r="A7" s="16" t="str">
        <x:v>IO-CM-KA-0001</x:v>
      </x:c>
      <x:c r="B7" s="16" t="str">
        <x:v>Mandya farmers intensify protest demanding release of KRS irrigation water</x:v>
      </x:c>
      <x:c r="C7" s="16" t="str">
        <x:v>Demonstration</x:v>
      </x:c>
      <x:c r="D7" s="16" t="str">
        <x:v>Immediate release of canal water from the KRS reservoir for standing crops</x:v>
      </x:c>
      <x:c r="E7" s="16" t="str">
        <x:v>Karnataka</x:v>
      </x:c>
      <x:c r="F7" s="16" t="str">
        <x:v>Mandya</x:v>
      </x:c>
      <x:c r="G7" s="16" t="str">
        <x:v>Deputy Commissioner’s office and Sanjay Circle, Mandya</x:v>
      </x:c>
      <x:c r="H7" s="109" t="n">
        <x:v>46216</x:v>
      </x:c>
      <x:c r="I7" s="109"/>
      <x:c r="J7" s="16" t="str">
        <x:v>Ongoing</x:v>
      </x:c>
      <x:c r="K7" s="16" t="str">
        <x:v>Farmers and supporting organisations protested in Mandya on 13 July 2026, demanding the immediate release of water from the Krishnaraja Sagar reservoir into irrigation canals. Independent reports documented a demonstration near the deputy commissioner’s office and a blockade of the old Mysuru–Bengaluru highway. Protesters said standing crops were drying because of the delay and opposed additional diversion of Cauvery water while irrigation needs remained unmet. The occurrence and stated demands are corroborated; crop-loss severity remains attributed to protesters.</x:v>
      </x:c>
      <x:c r="L7" s="16" t="str">
        <x:v>Mandya District Raitha Hitarakshana Samiti and other farmer organisations</x:v>
      </x:c>
      <x:c r="M7" s="16" t="str">
        <x:v>Mandya District Administration; Karnataka Government; Cauvery water authorities</x:v>
      </x:c>
      <x:c r="N7" s="16" t="str">
        <x:v>Occurrence verified — disputed details remain</x:v>
      </x:c>
      <x:c r="O7" s="109" t="n">
        <x:v>46218</x:v>
      </x:c>
      <x:c r="P7" s="109" t="n">
        <x:v>46218</x:v>
      </x:c>
      <x:c r="Q7" s="16" t="str">
        <x:v>Candidate</x:v>
      </x:c>
      <x:c r="R7" s="16" t="str">
        <x:v>In national pilot</x:v>
      </x:c>
      <x:c r="S7" s="109" t="n">
        <x:v>46217</x:v>
      </x:c>
      <x:c r="T7" s="16" t="str">
        <x:v>Reports describe the action as part of an intensifying agitation. The record does not independently calculate crop losses or determine legal water-allocation obligations.</x:v>
      </x:c>
      <x:c r="U7" s="16" t="n">
        <x:f>COUNTIF(Claims!$B$5:$B$500,A7)</x:f>
        <x:v>6</x:v>
      </x:c>
      <x:c r="V7" s="16" t="n">
        <x:f>COUNTIF(Sources!$B$5:$B$500,A7)</x:f>
        <x:v>3</x:v>
      </x:c>
      <x:c r="W7" s="18" t="n">
        <x:f>IF(A7="","",IF(H7="","",IF(I7&lt;&gt;"",I7-H7+1,IF(S7&lt;&gt;"",S7-H7+1,""))))</x:f>
        <x:v>2</x:v>
      </x:c>
      <x:c r="X7" s="16" t="str">
        <x:v>Recurring / intermittent</x:v>
      </x:c>
      <x:c r="Y7" s="16" t="str">
        <x:v>Agriculture &amp; water</x:v>
      </x:c>
      <x:c r="Z7" s="16" t="str">
        <x:v>Resource allocation</x:v>
      </x:c>
      <x:c r="AA7" s="16" t="str">
        <x:v>KRS irrigation-water release and Cauvery water management</x:v>
      </x:c>
      <x:c r="AB7" s="109" t="n">
        <x:v>46218</x:v>
      </x:c>
      <x:c r="AC7" s="109" t="n">
        <x:v>46221</x:v>
      </x:c>
      <x:c r="AD7" s="16" t="str">
        <x:v>Regional / local media</x:v>
      </x:c>
      <x:c r="AE7" s="16" t="str">
        <x:v>Regional coverage</x:v>
      </x:c>
      <x:c r="AF7" s="16" t="str">
        <x:v>Reporting said the state was awaiting the water-management authority's position while farmers continued to demand release.</x:v>
      </x:c>
    </x:row>
    <x:row r="8">
      <x:c r="A8" s="16" t="str">
        <x:v>IO-CM-CH-0001</x:v>
      </x:c>
      <x:c r="B8" s="16" t="str">
        <x:v>BKU-Rajewal holds Chandigarh motorcycle rally over proposed India–US trade agreement</x:v>
      </x:c>
      <x:c r="C8" s="16" t="str">
        <x:v>March</x:v>
      </x:c>
      <x:c r="D8" s="16" t="str">
        <x:v>Opposition to the proposed India–US trade agreement and concerns affecting Punjab agriculture</x:v>
      </x:c>
      <x:c r="E8" s="16" t="str">
        <x:v>Chandigarh</x:v>
      </x:c>
      <x:c r="F8" s="16" t="str">
        <x:v>Chandigarh</x:v>
      </x:c>
      <x:c r="G8" s="16" t="str">
        <x:v>Route from Phase 8, Mohali, to the Exhibition Ground in Sector 34, Chandigarh</x:v>
      </x:c>
      <x:c r="H8" s="109" t="n">
        <x:v>46216</x:v>
      </x:c>
      <x:c r="I8" s="109" t="n">
        <x:v>46216</x:v>
      </x:c>
      <x:c r="J8" s="16" t="str">
        <x:v>Concluded</x:v>
      </x:c>
      <x:c r="K8" s="16" t="str">
        <x:v>The Bharatiya Kisan Union (Rajewal) held a motorcycle and vehicle rally from Mohali to Chandigarh on 13 July 2026. Participants called for rejection of the proposed India–US trade agreement, arguing that greater agricultural imports could disadvantage small farmers and allied sectors. Organisers also raised Punjab-specific concerns including groundwater quality, land acquisition and natural resources. Independent reports documented the route, traffic restrictions and submission of memorandums; predictions about the trade agreement’s effects remain attributed to organisers.</x:v>
      </x:c>
      <x:c r="L8" s="16" t="str">
        <x:v>Bharatiya Kisan Union (Rajewal)</x:v>
      </x:c>
      <x:c r="M8" s="16" t="str">
        <x:v>Government of India; Punjab Government; Chandigarh Administration and Police</x:v>
      </x:c>
      <x:c r="N8" s="16" t="str">
        <x:v>Occurrence verified — disputed details remain</x:v>
      </x:c>
      <x:c r="O8" s="109" t="n">
        <x:v>46218</x:v>
      </x:c>
      <x:c r="P8" s="109" t="n">
        <x:v>46218</x:v>
      </x:c>
      <x:c r="Q8" s="16" t="str">
        <x:v>Candidate</x:v>
      </x:c>
      <x:c r="R8" s="16" t="str">
        <x:v>In national pilot</x:v>
      </x:c>
      <x:c r="S8" s="109" t="n">
        <x:v>46216</x:v>
      </x:c>
      <x:c r="T8" s="16" t="str">
        <x:v>This record covers the 13 July BKU-Rajewal rally, not the separate farmer rally held in Chandigarh on 10 July. Future protest announcements are not treated as completed events.</x:v>
      </x:c>
      <x:c r="U8" s="16" t="n">
        <x:f>COUNTIF(Claims!$B$5:$B$500,A8)</x:f>
        <x:v>7</x:v>
      </x:c>
      <x:c r="V8" s="16" t="n">
        <x:f>COUNTIF(Sources!$B$5:$B$500,A8)</x:f>
        <x:v>2</x:v>
      </x:c>
      <x:c r="W8" s="18" t="n">
        <x:f>IF(A8="","",IF(H8="","",IF(I8&lt;&gt;"",I8-H8+1,IF(S8&lt;&gt;"",S8-H8+1,""))))</x:f>
        <x:v>1</x:v>
      </x:c>
      <x:c r="X8" s="16" t="str">
        <x:v>One-day event</x:v>
      </x:c>
      <x:c r="Y8" s="16" t="str">
        <x:v>Trade &amp; economic policy</x:v>
      </x:c>
      <x:c r="Z8" s="16" t="str">
        <x:v>Policy withdrawal / amendment</x:v>
      </x:c>
      <x:c r="AA8" s="16" t="str">
        <x:v>Proposed India–US trade agreement</x:v>
      </x:c>
      <x:c r="AB8" s="109" t="n">
        <x:v>46216</x:v>
      </x:c>
      <x:c r="AC8" s="109" t="n">
        <x:v>46230</x:v>
      </x:c>
      <x:c r="AD8" s="16" t="str">
        <x:v>Regional / local media</x:v>
      </x:c>
      <x:c r="AE8" s="16" t="str">
        <x:v>Regional coverage</x:v>
      </x:c>
      <x:c r="AF8" s="16" t="str">
        <x:v>Police imposed traffic controls and organisers submitted memorandums to Union and state authorities.</x:v>
      </x:c>
    </x:row>
    <x:row r="9">
      <x:c r="A9" s="16" t="str">
        <x:v>IO-CM-MH-0001</x:v>
      </x:c>
      <x:c r="B9" s="16" t="str">
        <x:v>Citizens form human chain in Thane under the Save SGNP campaign</x:v>
      </x:c>
      <x:c r="C9" s="16" t="str">
        <x:v>Civic campaign</x:v>
      </x:c>
      <x:c r="D9" s="16" t="str">
        <x:v>Protection of forests and eco-sensitive areas surrounding Sanjay Gandhi National Park</x:v>
      </x:c>
      <x:c r="E9" s="16" t="str">
        <x:v>Maharashtra</x:v>
      </x:c>
      <x:c r="F9" s="16" t="str">
        <x:v>Thane</x:v>
      </x:c>
      <x:c r="G9" s="16" t="str">
        <x:v>Chitalsar Manpada entry area and the Tikuji-ni-Wadi–Khewra Chowk stretch, Thane</x:v>
      </x:c>
      <x:c r="H9" s="109" t="n">
        <x:v>46208</x:v>
      </x:c>
      <x:c r="I9" s="109" t="n">
        <x:v>46208</x:v>
      </x:c>
      <x:c r="J9" s="16" t="str">
        <x:v>Concluded</x:v>
      </x:c>
      <x:c r="K9" s="16" t="str">
        <x:v>Residents, trekkers, environmentalists and other supporters gathered in Thane on 5 July 2026 as part of the Save SGNP campaign. Reports documented a protest and human chain opposing infrastructure and construction proposals near Sanjay Gandhi National Park and surrounding forest areas. One stated demand was to stop a proposed man-made biodiversity park in an area protesters described as already ecologically sensitive. The occurrence is corroborated; campaign claims about exact attendance and the precise area at risk remain attributed pending official land and project records.</x:v>
      </x:c>
      <x:c r="L9" s="16" t="str">
        <x:v>Mission Save SGNP campaign; local residents and environmental groups</x:v>
      </x:c>
      <x:c r="M9" s="16" t="str">
        <x:v>Thane Municipal Corporation; Maharashtra forest and environment authorities</x:v>
      </x:c>
      <x:c r="N9" s="16" t="str">
        <x:v>Occurrence verified — disputed details remain</x:v>
      </x:c>
      <x:c r="O9" s="109" t="n">
        <x:v>46218</x:v>
      </x:c>
      <x:c r="P9" s="109" t="n">
        <x:v>46218</x:v>
      </x:c>
      <x:c r="Q9" s="16" t="str">
        <x:v>Candidate</x:v>
      </x:c>
      <x:c r="R9" s="16" t="str">
        <x:v>In national pilot</x:v>
      </x:c>
      <x:c r="S9" s="109" t="n">
        <x:v>46208</x:v>
      </x:c>
      <x:c r="T9" s="16" t="str">
        <x:v>The Times of India identifies the Sunday protest as 5 July 2026. A Free Press Journal report refers to Sunday, 6 July, but 6 July 2026 was Monday; the event date is therefore recorded as 5 July with the discrepancy logged.</x:v>
      </x:c>
      <x:c r="U9" s="16" t="n">
        <x:f>COUNTIF(Claims!$B$5:$B$500,A9)</x:f>
        <x:v>7</x:v>
      </x:c>
      <x:c r="V9" s="16" t="n">
        <x:f>COUNTIF(Sources!$B$5:$B$500,A9)</x:f>
        <x:v>4</x:v>
      </x:c>
      <x:c r="W9" s="18" t="n">
        <x:f>IF(A9="","",IF(H9="","",IF(I9&lt;&gt;"",I9-H9+1,IF(S9&lt;&gt;"",S9-H9+1,""))))</x:f>
        <x:v>1</x:v>
      </x:c>
      <x:c r="X9" s="16" t="str">
        <x:v>One-day event</x:v>
      </x:c>
      <x:c r="Y9" s="16" t="str">
        <x:v>Environment</x:v>
      </x:c>
      <x:c r="Z9" s="16" t="str">
        <x:v>Environmental protection</x:v>
      </x:c>
      <x:c r="AA9" s="16" t="str">
        <x:v>Sanjay Gandhi National Park and proposed nearby development projects</x:v>
      </x:c>
      <x:c r="AB9" s="109"/>
      <x:c r="AC9" s="109" t="n">
        <x:v>46239</x:v>
      </x:c>
      <x:c r="AD9" s="16" t="str">
        <x:v>Petition / campaign page</x:v>
      </x:c>
      <x:c r="AE9" s="16" t="str">
        <x:v>Community-source led</x:v>
      </x:c>
      <x:c r="AF9" s="16" t="str">
        <x:v>No direct authority response had been added; follow-up is required on project documents and land status.</x:v>
      </x:c>
    </x:row>
    <x:row r="10">
      <x:c r="A10" s="16" t="str">
        <x:v>IO-CM-KA-0002</x:v>
      </x:c>
      <x:c r="B10" s="16" t="str">
        <x:v>Bidadi farmers continue protest against land acquisition for Greater Bengaluru Integrated Township</x:v>
      </x:c>
      <x:c r="C10" s="16" t="str">
        <x:v>Multi-form civic protest</x:v>
      </x:c>
      <x:c r="D10" s="16" t="str">
        <x:v>Land acquisition, agricultural livelihoods, compensation, consent and environmental concerns linked to the Greater Bengaluru Integrated Township</x:v>
      </x:c>
      <x:c r="E10" s="16" t="str">
        <x:v>Karnataka</x:v>
      </x:c>
      <x:c r="F10" s="16" t="str">
        <x:v>Bengaluru South (formerly Ramanagara)</x:v>
      </x:c>
      <x:c r="G10" s="16" t="str">
        <x:v>Bidadi region, including Byramangala, Kanchugaranahalli, Kempayyanapalya, Mandalahalli and Vaderahalli</x:v>
      </x:c>
      <x:c r="H10" s="109"/>
      <x:c r="I10" s="109"/>
      <x:c r="J10" s="16" t="str">
        <x:v>Ongoing</x:v>
      </x:c>
      <x:c r="K10" s="16" t="str">
        <x:v>Farmers and agricultural communities around Bidadi have conducted a sustained movement opposing land acquisition for the proposed Greater Bengaluru Integrated Township. The movement includes village meetings, marches, an Appiko tree-hugging action and resistance to land-survey activity. Protesters say the project threatens agricultural livelihoods and has proceeded without adequate consent or consultation. The Karnataka government describes the township as a planned urban-development and employment project and has offered compensation options. The protest's occurrence and the first-phase acquisition notification are corroborated; claims concerning consent levels, the fertility and extent of affected farmland, environmental loss and responsibility for violence during survey operations remain attributed or disputed.</x:v>
      </x:c>
      <x:c r="L10" s="16" t="str">
        <x:v>Raithara Bhoohitha Rakshana Sangha; affected farmers and supporting farmer organisations</x:v>
      </x:c>
      <x:c r="M10" s="16" t="str">
        <x:v>Karnataka Government; Greater Bengaluru Development Authority; Bengaluru South District Administration</x:v>
      </x:c>
      <x:c r="N10" s="16" t="str">
        <x:v>Occurrence verified — disputed details remain</x:v>
      </x:c>
      <x:c r="O10" s="109" t="n">
        <x:v>46218</x:v>
      </x:c>
      <x:c r="P10" s="109" t="n">
        <x:v>46218</x:v>
      </x:c>
      <x:c r="Q10" s="16" t="str">
        <x:v>Candidate</x:v>
      </x:c>
      <x:c r="R10" s="16" t="str">
        <x:v>In national pilot</x:v>
      </x:c>
      <x:c r="S10" s="109" t="n">
        <x:v>46218</x:v>
      </x:c>
      <x:c r="T10" s="16" t="str">
        <x:v>Exact movement start date remains under verification. Independent reporting states that farmers had protested for more than 450 days by 29 June 2026. The record must not present the actions of individuals during the 13 July survey confrontation as actions of the entire movement. The reported government review committee is included as an attributed official response pending a direct government order or committee notification.</x:v>
      </x:c>
      <x:c r="U10" s="16" t="n">
        <x:f>COUNTIF(Claims!$B$5:$B$500,A10)</x:f>
        <x:v>13</x:v>
      </x:c>
      <x:c r="V10" s="16" t="n">
        <x:f>COUNTIF(Sources!$B$5:$B$500,A10)</x:f>
        <x:v>8</x:v>
      </x:c>
      <x:c r="W10" s="18" t="str">
        <x:f>IF(A10="","",IF(H10="","",IF(I10&lt;&gt;"",I10-H10+1,IF(S10&lt;&gt;"",S10-H10+1,""))))</x:f>
      </x:c>
      <x:c r="X10" s="16" t="str">
        <x:v>Recurring / intermittent</x:v>
      </x:c>
      <x:c r="Y10" s="16" t="str">
        <x:v>Land &amp; rehabilitation</x:v>
      </x:c>
      <x:c r="Z10" s="16" t="str">
        <x:v>Project cancellation / withdrawal</x:v>
      </x:c>
      <x:c r="AA10" s="16" t="str">
        <x:v>Greater Bengaluru Integrated Township</x:v>
      </x:c>
      <x:c r="AB10" s="109" t="n">
        <x:v>46218</x:v>
      </x:c>
      <x:c r="AC10" s="109" t="n">
        <x:v>46225</x:v>
      </x:c>
      <x:c r="AD10" s="16" t="str">
        <x:v>User-provided lead</x:v>
      </x:c>
      <x:c r="AE10" s="16" t="str">
        <x:v>Social-first, later corroborated</x:v>
      </x:c>
      <x:c r="AF10" s="16" t="str">
        <x:v>Media reported that the Karnataka government announced a review committee; the formal notification remains to be obtained.</x:v>
      </x:c>
    </x:row>
    <x:row r="11">
      <x:c r="A11" s="16" t="str">
        <x:v>IO-CM-GJ-0001</x:v>
      </x:c>
      <x:c r="B11" s="16" t="str">
        <x:v>Morbi farmers continue satyagraha over compensation for power-transmission infrastructure</x:v>
      </x:c>
      <x:c r="C11" s="16" t="str">
        <x:v>Multi-form civic protest</x:v>
      </x:c>
      <x:c r="D11" s="16" t="str">
        <x:v>Compensation and agricultural-land impacts linked to high-voltage transmission towers and right-of-way corridors</x:v>
      </x:c>
      <x:c r="E11" s="16" t="str">
        <x:v>Gujarat</x:v>
      </x:c>
      <x:c r="F11" s="16" t="str">
        <x:v>Morbi and other affected districts</x:v>
      </x:c>
      <x:c r="G11" s="16" t="str">
        <x:v>Jetpar village, Morbi district, with affected farmers across multiple Gujarat districts</x:v>
      </x:c>
      <x:c r="H11" s="109" t="n">
        <x:v>46180</x:v>
      </x:c>
      <x:c r="I11" s="109"/>
      <x:c r="J11" s="16" t="str">
        <x:v>Ongoing</x:v>
      </x:c>
      <x:c r="K11" s="16" t="str">
        <x:v>Farmers centred in Jetpar village, Morbi, conducted a multi-phase movement against the compensation terms for agricultural land affected by a high-voltage power-transmission project. The movement included demonstrations, symbolic head-shaving and an indefinite hunger strike that began on 17 June. After the Gujarat government issued revised compensation guidelines on 4 July, the farmers ended the fast but said the agitation would continue as a satyagraha because questions remained about land valuation, right-of-way compensation and implementation. The movement and government response are independently corroborated; claims about land becoming uncultivable and the exact number of affected farmers remain attributed.</x:v>
      </x:c>
      <x:c r="L11" s="16" t="str">
        <x:v>Affected farmers; Kisan Sangharsh Samiti and supporting farmer groups</x:v>
      </x:c>
      <x:c r="M11" s="16" t="str">
        <x:v>Gujarat Government; Morbi District Administration; Halvad Transmission Ltd; Adani Energy Solutions Ltd</x:v>
      </x:c>
      <x:c r="N11" s="16" t="str">
        <x:v>Occurrence verified — disputed details remain</x:v>
      </x:c>
      <x:c r="O11" s="109" t="n">
        <x:v>46218</x:v>
      </x:c>
      <x:c r="P11" s="109" t="n">
        <x:v>46218</x:v>
      </x:c>
      <x:c r="Q11" s="16" t="str">
        <x:v>Candidate</x:v>
      </x:c>
      <x:c r="R11" s="16" t="str">
        <x:v>In national pilot</x:v>
      </x:c>
      <x:c r="S11" s="109" t="n">
        <x:v>46210</x:v>
      </x:c>
      <x:c r="T11" s="16" t="str">
        <x:v>The Indian Express reported a 756 kV double-circuit line and a 246 km route, while other reporting described 765 kV infrastructure and a 301 km first-phase route. These technical figures are not used in the public summary until official project documents are added.</x:v>
      </x:c>
      <x:c r="U11" s="16" t="n">
        <x:f>COUNTIF(Claims!$B$5:$B$1000,A11)</x:f>
        <x:v>8</x:v>
      </x:c>
      <x:c r="V11" s="16" t="n">
        <x:f>COUNTIF(Sources!$B$5:$B$1000,A11)</x:f>
        <x:v>4</x:v>
      </x:c>
      <x:c r="W11" s="18" t="n">
        <x:f>IF(A11="","",IF(H11="","",IF(I11&lt;&gt;"",I11-H11+1,IF(S11&lt;&gt;"",S11-H11+1,""))))</x:f>
        <x:v>31</x:v>
      </x:c>
      <x:c r="X11" s="16" t="str">
        <x:v>Multiple phases</x:v>
      </x:c>
      <x:c r="Y11" s="16" t="str">
        <x:v>Land &amp; rehabilitation</x:v>
      </x:c>
      <x:c r="Z11" s="16" t="str">
        <x:v>Compensation / land rights</x:v>
      </x:c>
      <x:c r="AA11" s="16" t="str">
        <x:v>Halvad Transmission / Adani Energy Solutions transmission project and Gujarat compensation resolution</x:v>
      </x:c>
      <x:c r="AB11" s="109" t="n">
        <x:v>46207</x:v>
      </x:c>
      <x:c r="AC11" s="109" t="n">
        <x:v>46225</x:v>
      </x:c>
      <x:c r="AD11" s="16" t="str">
        <x:v>Community social media</x:v>
      </x:c>
      <x:c r="AE11" s="16" t="str">
        <x:v>Social-first, later corroborated</x:v>
      </x:c>
      <x:c r="AF11" s="16" t="str">
        <x:v>The Gujarat government issued revised compensation guidelines; farmers ended the hunger strike on 7 July but continued the agitation as a satyagraha.</x:v>
      </x:c>
    </x:row>
    <x:row r="12">
      <x:c r="A12" s="16" t="str">
        <x:v>IO-CM-UP-0001</x:v>
      </x:c>
      <x:c r="B12" s="16" t="str">
        <x:v>Dasiya villagers protest construction of an ethanol plant in Basti district</x:v>
      </x:c>
      <x:c r="C12" s="16" t="str">
        <x:v>Demonstration</x:v>
      </x:c>
      <x:c r="D12" s="16" t="str">
        <x:v>Environmental, water, health and land-consent concerns relating to a proposed ethanol plant</x:v>
      </x:c>
      <x:c r="E12" s="16" t="str">
        <x:v>Uttar Pradesh</x:v>
      </x:c>
      <x:c r="F12" s="16" t="str">
        <x:v>Basti</x:v>
      </x:c>
      <x:c r="G12" s="16" t="str">
        <x:v>Dasiya village, Rudhauli police-station area, Bhanpur tehsil</x:v>
      </x:c>
      <x:c r="H12" s="109" t="n">
        <x:v>46196</x:v>
      </x:c>
      <x:c r="I12" s="109"/>
      <x:c r="J12" s="16" t="str">
        <x:v>Ongoing</x:v>
      </x:c>
      <x:c r="K12" s="16" t="str">
        <x:v>Residents of Dasiya and nearby villages have opposed an ethanol plant under construction in Basti district. A memorandum submitted in June raised concerns about nearby settlements and government schools, while a larger demonstration was announced and held on 14 July under substantial police deployment. Protesters called for the factory to be stopped and raised concerns about water use, environmental and health effects, and the circumstances in which land was obtained. The occurrence and continuing opposition are corroborated through local-language reporting and public field material; allegations that residents were misled about the project and specific impact estimates remain attributed.</x:v>
      </x:c>
      <x:c r="L12" s="16" t="str">
        <x:v>Residents and farmers of Dasiya and nearby villages; supporting local organisations</x:v>
      </x:c>
      <x:c r="M12" s="16" t="str">
        <x:v>Basti District Administration; Uttar Pradesh Pollution Control and industrial authorities</x:v>
      </x:c>
      <x:c r="N12" s="16" t="str">
        <x:v>Occurrence verified — disputed details remain</x:v>
      </x:c>
      <x:c r="O12" s="109" t="n">
        <x:v>46218</x:v>
      </x:c>
      <x:c r="P12" s="109" t="n">
        <x:v>46218</x:v>
      </x:c>
      <x:c r="Q12" s="16" t="str">
        <x:v>Candidate</x:v>
      </x:c>
      <x:c r="R12" s="16" t="str">
        <x:v>In national pilot</x:v>
      </x:c>
      <x:c r="S12" s="109" t="n">
        <x:v>46217</x:v>
      </x:c>
      <x:c r="T12" s="16" t="str">
        <x:v>The company name and full environmental-clearance record have not yet been confirmed. Claims that land was obtained by describing a different type of factory are allegations and require deeds, consent records or official inquiry documents.</x:v>
      </x:c>
      <x:c r="U12" s="16" t="n">
        <x:f>COUNTIF(Claims!$B$5:$B$1000,A12)</x:f>
        <x:v>8</x:v>
      </x:c>
      <x:c r="V12" s="16" t="n">
        <x:f>COUNTIF(Sources!$B$5:$B$1000,A12)</x:f>
        <x:v>4</x:v>
      </x:c>
      <x:c r="W12" s="18" t="n">
        <x:f>IF(A12="","",IF(H12="","",IF(I12&lt;&gt;"",I12-H12+1,IF(S12&lt;&gt;"",S12-H12+1,""))))</x:f>
        <x:v>22</x:v>
      </x:c>
      <x:c r="X12" s="16" t="str">
        <x:v>Recurring / intermittent</x:v>
      </x:c>
      <x:c r="Y12" s="16" t="str">
        <x:v>Environment</x:v>
      </x:c>
      <x:c r="Z12" s="16" t="str">
        <x:v>Project cancellation / withdrawal</x:v>
      </x:c>
      <x:c r="AA12" s="16" t="str">
        <x:v>Dasiya ethanol plant and India's ethanol-blending programme</x:v>
      </x:c>
      <x:c r="AB12" s="109" t="n">
        <x:v>46217</x:v>
      </x:c>
      <x:c r="AC12" s="109" t="n">
        <x:v>46224</x:v>
      </x:c>
      <x:c r="AD12" s="16" t="str">
        <x:v>Community social media</x:v>
      </x:c>
      <x:c r="AE12" s="16" t="str">
        <x:v>Social-first, later corroborated</x:v>
      </x:c>
      <x:c r="AF12" s="16" t="str">
        <x:v>Police and district officials deployed heavily and stopped some political representatives from reaching the factory area; no substantive project decision has yet been located.</x:v>
      </x:c>
    </x:row>
    <x:row r="13">
      <x:c r="A13" s="16" t="str">
        <x:v>IO-CM-AS-0001</x:v>
      </x:c>
      <x:c r="B13" s="16" t="str">
        <x:v>Bodo residents protest proposed APDCL land allotment and resettlement plan in Kokrajhar</x:v>
      </x:c>
      <x:c r="C13" s="16" t="str">
        <x:v>Demonstration</x:v>
      </x:c>
      <x:c r="D13" s="16" t="str">
        <x:v>Protection of Tribal Belt and Block land from proposed allotment and resettlement</x:v>
      </x:c>
      <x:c r="E13" s="16" t="str">
        <x:v>Assam</x:v>
      </x:c>
      <x:c r="F13" s="16" t="str">
        <x:v>Kokrajhar</x:v>
      </x:c>
      <x:c r="G13" s="16" t="str">
        <x:v>Malgaon area near the Kokrajhar district border</x:v>
      </x:c>
      <x:c r="H13" s="109" t="n">
        <x:v>46215</x:v>
      </x:c>
      <x:c r="I13" s="109" t="n">
        <x:v>46215</x:v>
      </x:c>
      <x:c r="J13" s="16" t="str">
        <x:v>Concluded</x:v>
      </x:c>
      <x:c r="K13" s="16" t="str">
        <x:v>Hundreds of Bodo residents gathered at Malgaon on 12 July 2026 to oppose a proposed land allotment to Assam Power Distribution Company Limited and the proposed rehabilitation of 93 families evicted from Kaimari. Protesters demanded protection of land they described as part of a Tribal Belt and Block and called for the allotment and resettlement proposal to be withdrawn. The demonstration is supported by regional video reporting and local community coverage. The legal status and exact acreage of the land, the government's decision-making record and the rights of all affected communities require official documents and careful follow-up.</x:v>
      </x:c>
      <x:c r="L13" s="16" t="str">
        <x:v>Bodo residents of Greater Malgaon and surrounding areas</x:v>
      </x:c>
      <x:c r="M13" s="16" t="str">
        <x:v>Assam Government; Bodoland Territorial Council; Assam Power Distribution Company Limited</x:v>
      </x:c>
      <x:c r="N13" s="16" t="str">
        <x:v>Occurrence verified — disputed details remain</x:v>
      </x:c>
      <x:c r="O13" s="109" t="n">
        <x:v>46218</x:v>
      </x:c>
      <x:c r="P13" s="109" t="n">
        <x:v>46218</x:v>
      </x:c>
      <x:c r="Q13" s="16" t="str">
        <x:v>Candidate</x:v>
      </x:c>
      <x:c r="R13" s="16" t="str">
        <x:v>In national pilot</x:v>
      </x:c>
      <x:c r="S13" s="109" t="n">
        <x:v>46215</x:v>
      </x:c>
      <x:c r="T13" s="16" t="str">
        <x:v>This record must not stigmatise or assign wrongdoing to the 93 families proposed for rehabilitation. The public-interest question is the land-allotment and consultation process, not the identity of displaced families.</x:v>
      </x:c>
      <x:c r="U13" s="16" t="n">
        <x:f>COUNTIF(Claims!$B$5:$B$1000,A13)</x:f>
        <x:v>7</x:v>
      </x:c>
      <x:c r="V13" s="16" t="n">
        <x:f>COUNTIF(Sources!$B$5:$B$1000,A13)</x:f>
        <x:v>3</x:v>
      </x:c>
      <x:c r="W13" s="18" t="n">
        <x:f>IF(A13="","",IF(H13="","",IF(I13&lt;&gt;"",I13-H13+1,IF(S13&lt;&gt;"",S13-H13+1,""))))</x:f>
        <x:v>1</x:v>
      </x:c>
      <x:c r="X13" s="16" t="str">
        <x:v>One-day event</x:v>
      </x:c>
      <x:c r="Y13" s="16" t="str">
        <x:v>Land &amp; rehabilitation</x:v>
      </x:c>
      <x:c r="Z13" s="16" t="str">
        <x:v>Legal protection / rights</x:v>
      </x:c>
      <x:c r="AA13" s="16" t="str">
        <x:v>Proposed APDCL land allotment, Tribal Belt and Block protections, and rehabilitation proposal</x:v>
      </x:c>
      <x:c r="AB13" s="109"/>
      <x:c r="AC13" s="109" t="n">
        <x:v>46222</x:v>
      </x:c>
      <x:c r="AD13" s="16" t="str">
        <x:v>Community social media</x:v>
      </x:c>
      <x:c r="AE13" s="16" t="str">
        <x:v>Undercovered / remote</x:v>
      </x:c>
      <x:c r="AF13" s="16" t="str">
        <x:v>No direct government or BTC response had been located at the time of review; protesters warned that democratic agitation would continue.</x:v>
      </x:c>
    </x:row>
    <x:row r="14">
      <x:c r="A14" s="16" t="str">
        <x:v>IO-CM-MN-0001</x:v>
      </x:c>
      <x:c r="B14" s="16" t="str">
        <x:v>Manipur government employees continue indefinite cease-work strike over pay and service conditions</x:v>
      </x:c>
      <x:c r="C14" s="16" t="str">
        <x:v>Strike</x:v>
      </x:c>
      <x:c r="D14" s="16" t="str">
        <x:v>Dearness allowance, pension, retirement age, contractual employment and weekly-holiday demands</x:v>
      </x:c>
      <x:c r="E14" s="16" t="str">
        <x:v>Manipur</x:v>
      </x:c>
      <x:c r="F14" s="16" t="str">
        <x:v>Statewide</x:v>
      </x:c>
      <x:c r="G14" s="16" t="str">
        <x:v>Government offices across Manipur, including Imphal and district headquarters</x:v>
      </x:c>
      <x:c r="H14" s="109" t="n">
        <x:v>46204</x:v>
      </x:c>
      <x:c r="I14" s="109"/>
      <x:c r="J14" s="16" t="str">
        <x:v>Ongoing</x:v>
      </x:c>
      <x:c r="K14" s="16" t="str">
        <x:v>The Manipur Government Services Federation launched an indefinite cease-work strike on 1 July 2026 over a multi-point charter concerning dearness allowance, pension arrangements, retirement age, contractual appointments and weekly holidays. Reporting from regional and state-level outlets documented significant disruption to routine administrative work. The government restored Saturday as a holiday and introduced a five-day work week, but the federation said the strike would continue because other demands remained unresolved. The occurrence, duration and partial government response are corroborated; estimates of financial loss and the precise participation level remain attributed.</x:v>
      </x:c>
      <x:c r="L14" s="16" t="str">
        <x:v>Manipur Government Services Federation; Manipur State Pensioners' Union; Manipur Secretariat Services Association</x:v>
      </x:c>
      <x:c r="M14" s="16" t="str">
        <x:v>Manipur Government; Chief Minister and Chief Secretary of Manipur</x:v>
      </x:c>
      <x:c r="N14" s="16" t="str">
        <x:v>Occurrence verified — disputed details remain</x:v>
      </x:c>
      <x:c r="O14" s="109" t="n">
        <x:v>46218</x:v>
      </x:c>
      <x:c r="P14" s="109" t="n">
        <x:v>46218</x:v>
      </x:c>
      <x:c r="Q14" s="16" t="str">
        <x:v>Candidate</x:v>
      </x:c>
      <x:c r="R14" s="16" t="str">
        <x:v>In national pilot</x:v>
      </x:c>
      <x:c r="S14" s="109" t="n">
        <x:v>46218</x:v>
      </x:c>
      <x:c r="T14" s="16" t="str">
        <x:v>Do not merge this MGSF-led strike with separate July cease-work actions organised by the JAC of AMTUC and AMGEO unless organisational coordination is independently confirmed.</x:v>
      </x:c>
      <x:c r="U14" s="16" t="n">
        <x:f>COUNTIF(Claims!$B$5:$B$1000,A14)</x:f>
        <x:v>8</x:v>
      </x:c>
      <x:c r="V14" s="16" t="n">
        <x:f>COUNTIF(Sources!$B$5:$B$1000,A14)</x:f>
        <x:v>5</x:v>
      </x:c>
      <x:c r="W14" s="18" t="n">
        <x:f>IF(A14="","",IF(H14="","",IF(I14&lt;&gt;"",I14-H14+1,IF(S14&lt;&gt;"",S14-H14+1,""))))</x:f>
        <x:v>15</x:v>
      </x:c>
      <x:c r="X14" s="16" t="str">
        <x:v>Continuous</x:v>
      </x:c>
      <x:c r="Y14" s="16" t="str">
        <x:v>Labour &amp; employment</x:v>
      </x:c>
      <x:c r="Z14" s="16" t="str">
        <x:v>Pay / pension / service conditions</x:v>
      </x:c>
      <x:c r="AA14" s="16" t="str">
        <x:v>Manipur government service rules, DA/DR parity, pension policy and five-day work-week notification</x:v>
      </x:c>
      <x:c r="AB14" s="109" t="n">
        <x:v>46213</x:v>
      </x:c>
      <x:c r="AC14" s="109" t="n">
        <x:v>46223</x:v>
      </x:c>
      <x:c r="AD14" s="16" t="str">
        <x:v>Regional / local media</x:v>
      </x:c>
      <x:c r="AE14" s="16" t="str">
        <x:v>Regional coverage</x:v>
      </x:c>
      <x:c r="AF14" s="16" t="str">
        <x:v>The government restored Saturday as a holiday and introduced a five-day working week, but MGSF said the strike would continue over remaining demands.</x:v>
      </x:c>
    </x:row>
    <x:row r="15">
      <x:c r="A15" s="16" t="str">
        <x:v>IO-CM-OD-0001</x:v>
      </x:c>
      <x:c r="B15" s="16" t="str">
        <x:v>Dharmasala high-school students stage dharna over teacher vacancies</x:v>
      </x:c>
      <x:c r="C15" s="16" t="str">
        <x:v>Sit-in / Dharna</x:v>
      </x:c>
      <x:c r="D15" s="16" t="str">
        <x:v>Teacher shortages affecting a rural government school's academic functioning</x:v>
      </x:c>
      <x:c r="E15" s="16" t="str">
        <x:v>Odisha</x:v>
      </x:c>
      <x:c r="F15" s="16" t="str">
        <x:v>Jajpur</x:v>
      </x:c>
      <x:c r="G15" s="16" t="str">
        <x:v>Dharmasala Baneepeetha High School, Dharmasala block</x:v>
      </x:c>
      <x:c r="H15" s="109" t="n">
        <x:v>46213</x:v>
      </x:c>
      <x:c r="I15" s="109" t="n">
        <x:v>46213</x:v>
      </x:c>
      <x:c r="J15" s="16" t="str">
        <x:v>Concluded</x:v>
      </x:c>
      <x:c r="K15" s="16" t="str">
        <x:v>Students of Dharmasala Baneepeetha High School in Jajpur district locked the school gate and staged a dharna on 10 July 2026, demanding immediate appointment of teachers. Independent local reports agreed that several posts were vacant and that students said the shortage was affecting their studies, although the reports differed on the precise number of teachers and students. District education officials responded the same day by deputing two teachers, after which the students withdrew the protest. The event, demand and immediate response are corroborated; remaining staffing vacancies require follow-up.</x:v>
      </x:c>
      <x:c r="L15" s="16" t="str">
        <x:v>Students and guardians of Dharmasala Baneepeetha High School</x:v>
      </x:c>
      <x:c r="M15" s="16" t="str">
        <x:v>Jajpur District Education Office; Odisha School and Mass Education Department</x:v>
      </x:c>
      <x:c r="N15" s="16" t="str">
        <x:v>Occurrence verified — disputed details remain</x:v>
      </x:c>
      <x:c r="O15" s="109" t="n">
        <x:v>46218</x:v>
      </x:c>
      <x:c r="P15" s="109" t="n">
        <x:v>46218</x:v>
      </x:c>
      <x:c r="Q15" s="16" t="str">
        <x:v>Candidate</x:v>
      </x:c>
      <x:c r="R15" s="16" t="str">
        <x:v>In national pilot</x:v>
      </x:c>
      <x:c r="S15" s="109" t="n">
        <x:v>46213</x:v>
      </x:c>
      <x:c r="T15" s="16" t="str">
        <x:v>The New Indian Express reported 11 teachers and more than 400 students in Classes VIII–X; The Times of India reported 10 teachers and 508 students in Classes I–X. The discrepancy may reflect different counted sections or timing and must remain visible.</x:v>
      </x:c>
      <x:c r="U15" s="16" t="n">
        <x:f>COUNTIF(Claims!$B$5:$B$1000,A15)</x:f>
        <x:v>7</x:v>
      </x:c>
      <x:c r="V15" s="16" t="n">
        <x:f>COUNTIF(Sources!$B$5:$B$1000,A15)</x:f>
        <x:v>2</x:v>
      </x:c>
      <x:c r="W15" s="18" t="n">
        <x:f>IF(A15="","",IF(H15="","",IF(I15&lt;&gt;"",I15-H15+1,IF(S15&lt;&gt;"",S15-H15+1,""))))</x:f>
        <x:v>1</x:v>
      </x:c>
      <x:c r="X15" s="16" t="str">
        <x:v>One-day event</x:v>
      </x:c>
      <x:c r="Y15" s="16" t="str">
        <x:v>Education</x:v>
      </x:c>
      <x:c r="Z15" s="16" t="str">
        <x:v>Service delivery / staffing</x:v>
      </x:c>
      <x:c r="AA15" s="16" t="str">
        <x:v>Sanctioned teacher strength and staffing of Dharmasala Baneepeetha High School</x:v>
      </x:c>
      <x:c r="AB15" s="109" t="n">
        <x:v>46213</x:v>
      </x:c>
      <x:c r="AC15" s="109" t="n">
        <x:v>46227</x:v>
      </x:c>
      <x:c r="AD15" s="16" t="str">
        <x:v>Field video / citizen post</x:v>
      </x:c>
      <x:c r="AE15" s="16" t="str">
        <x:v>Local media only</x:v>
      </x:c>
      <x:c r="AF15" s="16" t="str">
        <x:v>District education officials deputed two teachers on the day of the protest; students then withdrew the dharna.</x:v>
      </x:c>
    </x:row>
    <x:row r="16">
      <x:c r="A16" s="16"/>
      <x:c r="B16" s="16"/>
      <x:c r="C16" s="16"/>
      <x:c r="D16" s="16"/>
      <x:c r="E16" s="16"/>
      <x:c r="F16" s="16"/>
      <x:c r="G16" s="16"/>
      <x:c r="H16" s="109"/>
      <x:c r="I16" s="109"/>
      <x:c r="J16" s="16"/>
      <x:c r="K16" s="16"/>
      <x:c r="L16" s="16"/>
      <x:c r="M16" s="16"/>
      <x:c r="N16" s="16"/>
      <x:c r="O16" s="109"/>
      <x:c r="P16" s="109"/>
      <x:c r="Q16" s="16"/>
      <x:c r="R16" s="16"/>
      <x:c r="S16" s="109"/>
      <x:c r="T16" s="16"/>
      <x:c r="U16" s="16"/>
      <x:c r="V16" s="16"/>
      <x:c r="W16" s="18" t="str">
        <x:f>IF(A16="","",IF(H16="","",IF(I16&lt;&gt;"",I16-H16+1,IF(S16&lt;&gt;"",S16-H16+1,""))))</x:f>
      </x:c>
      <x:c r="X16" s="16"/>
      <x:c r="Y16" s="16"/>
      <x:c r="Z16" s="16"/>
      <x:c r="AA16" s="16"/>
      <x:c r="AB16" s="109"/>
      <x:c r="AC16" s="109"/>
      <x:c r="AD16" s="16"/>
      <x:c r="AE16" s="16"/>
      <x:c r="AF16" s="16"/>
    </x:row>
    <x:row r="17">
      <x:c r="A17" s="16"/>
      <x:c r="B17" s="16"/>
      <x:c r="C17" s="16"/>
      <x:c r="D17" s="16"/>
      <x:c r="E17" s="16"/>
      <x:c r="F17" s="16"/>
      <x:c r="G17" s="16"/>
      <x:c r="H17" s="109"/>
      <x:c r="I17" s="109"/>
      <x:c r="J17" s="16"/>
      <x:c r="K17" s="16"/>
      <x:c r="L17" s="16"/>
      <x:c r="M17" s="16"/>
      <x:c r="N17" s="16"/>
      <x:c r="O17" s="109"/>
      <x:c r="P17" s="109"/>
      <x:c r="Q17" s="16"/>
      <x:c r="R17" s="16"/>
      <x:c r="S17" s="109"/>
      <x:c r="T17" s="16"/>
      <x:c r="U17" s="16"/>
      <x:c r="V17" s="16"/>
      <x:c r="W17" s="18" t="str">
        <x:f>IF(A17="","",IF(H17="","",IF(I17&lt;&gt;"",I17-H17+1,IF(S17&lt;&gt;"",S17-H17+1,""))))</x:f>
      </x:c>
      <x:c r="X17" s="16"/>
      <x:c r="Y17" s="16"/>
      <x:c r="Z17" s="16"/>
      <x:c r="AA17" s="16"/>
      <x:c r="AB17" s="109"/>
      <x:c r="AC17" s="109"/>
      <x:c r="AD17" s="16"/>
      <x:c r="AE17" s="16"/>
      <x:c r="AF17" s="16"/>
    </x:row>
    <x:row r="18">
      <x:c r="A18" s="16"/>
      <x:c r="B18" s="16"/>
      <x:c r="C18" s="16"/>
      <x:c r="D18" s="16"/>
      <x:c r="E18" s="16"/>
      <x:c r="F18" s="16"/>
      <x:c r="G18" s="16"/>
      <x:c r="H18" s="109"/>
      <x:c r="I18" s="109"/>
      <x:c r="J18" s="16"/>
      <x:c r="K18" s="16"/>
      <x:c r="L18" s="16"/>
      <x:c r="M18" s="16"/>
      <x:c r="N18" s="16"/>
      <x:c r="O18" s="109"/>
      <x:c r="P18" s="109"/>
      <x:c r="Q18" s="16"/>
      <x:c r="R18" s="16"/>
      <x:c r="S18" s="109"/>
      <x:c r="T18" s="16"/>
      <x:c r="U18" s="16"/>
      <x:c r="V18" s="16"/>
      <x:c r="W18" s="18" t="str">
        <x:f>IF(A18="","",IF(H18="","",IF(I18&lt;&gt;"",I18-H18+1,IF(S18&lt;&gt;"",S18-H18+1,""))))</x:f>
      </x:c>
      <x:c r="X18" s="16"/>
      <x:c r="Y18" s="16"/>
      <x:c r="Z18" s="16"/>
      <x:c r="AA18" s="16"/>
      <x:c r="AB18" s="109"/>
      <x:c r="AC18" s="109"/>
      <x:c r="AD18" s="16"/>
      <x:c r="AE18" s="16"/>
      <x:c r="AF18" s="16"/>
    </x:row>
    <x:row r="19">
      <x:c r="A19" s="16"/>
      <x:c r="B19" s="16"/>
      <x:c r="C19" s="16"/>
      <x:c r="D19" s="16"/>
      <x:c r="E19" s="16"/>
      <x:c r="F19" s="16"/>
      <x:c r="G19" s="16"/>
      <x:c r="H19" s="109"/>
      <x:c r="I19" s="109"/>
      <x:c r="J19" s="16"/>
      <x:c r="K19" s="16"/>
      <x:c r="L19" s="16"/>
      <x:c r="M19" s="16"/>
      <x:c r="N19" s="16"/>
      <x:c r="O19" s="109"/>
      <x:c r="P19" s="109"/>
      <x:c r="Q19" s="16"/>
      <x:c r="R19" s="16"/>
      <x:c r="S19" s="109"/>
      <x:c r="T19" s="16"/>
      <x:c r="U19" s="16"/>
      <x:c r="V19" s="16"/>
      <x:c r="W19" s="18" t="str">
        <x:f>IF(A19="","",IF(H19="","",IF(I19&lt;&gt;"",I19-H19+1,IF(S19&lt;&gt;"",S19-H19+1,""))))</x:f>
      </x:c>
      <x:c r="X19" s="16"/>
      <x:c r="Y19" s="16"/>
      <x:c r="Z19" s="16"/>
      <x:c r="AA19" s="16"/>
      <x:c r="AB19" s="109"/>
      <x:c r="AC19" s="109"/>
      <x:c r="AD19" s="16"/>
      <x:c r="AE19" s="16"/>
      <x:c r="AF19" s="16"/>
    </x:row>
    <x:row r="20">
      <x:c r="A20" s="16"/>
      <x:c r="B20" s="16"/>
      <x:c r="C20" s="16"/>
      <x:c r="D20" s="16"/>
      <x:c r="E20" s="16"/>
      <x:c r="F20" s="16"/>
      <x:c r="G20" s="16"/>
      <x:c r="H20" s="109"/>
      <x:c r="I20" s="109"/>
      <x:c r="J20" s="16"/>
      <x:c r="K20" s="16"/>
      <x:c r="L20" s="16"/>
      <x:c r="M20" s="16"/>
      <x:c r="N20" s="16"/>
      <x:c r="O20" s="109"/>
      <x:c r="P20" s="109"/>
      <x:c r="Q20" s="16"/>
      <x:c r="R20" s="16"/>
      <x:c r="S20" s="109"/>
      <x:c r="T20" s="16"/>
      <x:c r="U20" s="16"/>
      <x:c r="V20" s="16"/>
      <x:c r="W20" s="18" t="str">
        <x:f>IF(A20="","",IF(H20="","",IF(I20&lt;&gt;"",I20-H20+1,IF(S20&lt;&gt;"",S20-H20+1,""))))</x:f>
      </x:c>
      <x:c r="X20" s="16"/>
      <x:c r="Y20" s="16"/>
      <x:c r="Z20" s="16"/>
      <x:c r="AA20" s="16"/>
      <x:c r="AB20" s="109"/>
      <x:c r="AC20" s="109"/>
      <x:c r="AD20" s="16"/>
      <x:c r="AE20" s="16"/>
      <x:c r="AF20" s="16"/>
    </x:row>
    <x:row r="21">
      <x:c r="A21" s="16"/>
      <x:c r="B21" s="16"/>
      <x:c r="C21" s="16"/>
      <x:c r="D21" s="16"/>
      <x:c r="E21" s="16"/>
      <x:c r="F21" s="16"/>
      <x:c r="G21" s="16"/>
      <x:c r="H21" s="109"/>
      <x:c r="I21" s="109"/>
      <x:c r="J21" s="16"/>
      <x:c r="K21" s="16"/>
      <x:c r="L21" s="16"/>
      <x:c r="M21" s="16"/>
      <x:c r="N21" s="16"/>
      <x:c r="O21" s="109"/>
      <x:c r="P21" s="109"/>
      <x:c r="Q21" s="16"/>
      <x:c r="R21" s="16"/>
      <x:c r="S21" s="109"/>
      <x:c r="T21" s="16"/>
      <x:c r="U21" s="16"/>
      <x:c r="V21" s="16"/>
      <x:c r="W21" s="18" t="str">
        <x:f>IF(A21="","",IF(H21="","",IF(I21&lt;&gt;"",I21-H21+1,IF(S21&lt;&gt;"",S21-H21+1,""))))</x:f>
      </x:c>
      <x:c r="X21" s="16"/>
      <x:c r="Y21" s="16"/>
      <x:c r="Z21" s="16"/>
      <x:c r="AA21" s="16"/>
      <x:c r="AB21" s="109"/>
      <x:c r="AC21" s="109"/>
      <x:c r="AD21" s="16"/>
      <x:c r="AE21" s="16"/>
      <x:c r="AF21" s="16"/>
    </x:row>
    <x:row r="22">
      <x:c r="A22" s="16"/>
      <x:c r="B22" s="16"/>
      <x:c r="C22" s="16"/>
      <x:c r="D22" s="16"/>
      <x:c r="E22" s="16"/>
      <x:c r="F22" s="16"/>
      <x:c r="G22" s="16"/>
      <x:c r="H22" s="109"/>
      <x:c r="I22" s="109"/>
      <x:c r="J22" s="16"/>
      <x:c r="K22" s="16"/>
      <x:c r="L22" s="16"/>
      <x:c r="M22" s="16"/>
      <x:c r="N22" s="16"/>
      <x:c r="O22" s="109"/>
      <x:c r="P22" s="109"/>
      <x:c r="Q22" s="16"/>
      <x:c r="R22" s="16"/>
      <x:c r="S22" s="109"/>
      <x:c r="T22" s="16"/>
      <x:c r="U22" s="16"/>
      <x:c r="V22" s="16"/>
      <x:c r="W22" s="18" t="str">
        <x:f>IF(A22="","",IF(H22="","",IF(I22&lt;&gt;"",I22-H22+1,IF(S22&lt;&gt;"",S22-H22+1,""))))</x:f>
      </x:c>
      <x:c r="X22" s="16"/>
      <x:c r="Y22" s="16"/>
      <x:c r="Z22" s="16"/>
      <x:c r="AA22" s="16"/>
      <x:c r="AB22" s="109"/>
      <x:c r="AC22" s="109"/>
      <x:c r="AD22" s="16"/>
      <x:c r="AE22" s="16"/>
      <x:c r="AF22" s="16"/>
    </x:row>
    <x:row r="23">
      <x:c r="A23" s="16"/>
      <x:c r="B23" s="16"/>
      <x:c r="C23" s="16"/>
      <x:c r="D23" s="16"/>
      <x:c r="E23" s="16"/>
      <x:c r="F23" s="16"/>
      <x:c r="G23" s="16"/>
      <x:c r="H23" s="109"/>
      <x:c r="I23" s="109"/>
      <x:c r="J23" s="16"/>
      <x:c r="K23" s="16"/>
      <x:c r="L23" s="16"/>
      <x:c r="M23" s="16"/>
      <x:c r="N23" s="16"/>
      <x:c r="O23" s="109"/>
      <x:c r="P23" s="109"/>
      <x:c r="Q23" s="16"/>
      <x:c r="R23" s="16"/>
      <x:c r="S23" s="109"/>
      <x:c r="T23" s="16"/>
      <x:c r="U23" s="16"/>
      <x:c r="V23" s="16"/>
      <x:c r="W23" s="18" t="str">
        <x:f>IF(A23="","",IF(H23="","",IF(I23&lt;&gt;"",I23-H23+1,IF(S23&lt;&gt;"",S23-H23+1,""))))</x:f>
      </x:c>
      <x:c r="X23" s="16"/>
      <x:c r="Y23" s="16"/>
      <x:c r="Z23" s="16"/>
      <x:c r="AA23" s="16"/>
      <x:c r="AB23" s="109"/>
      <x:c r="AC23" s="109"/>
      <x:c r="AD23" s="16"/>
      <x:c r="AE23" s="16"/>
      <x:c r="AF23" s="16"/>
    </x:row>
    <x:row r="24">
      <x:c r="A24" s="16"/>
      <x:c r="B24" s="16"/>
      <x:c r="C24" s="16"/>
      <x:c r="D24" s="16"/>
      <x:c r="E24" s="16"/>
      <x:c r="F24" s="16"/>
      <x:c r="G24" s="16"/>
      <x:c r="H24" s="109"/>
      <x:c r="I24" s="109"/>
      <x:c r="J24" s="16"/>
      <x:c r="K24" s="16"/>
      <x:c r="L24" s="16"/>
      <x:c r="M24" s="16"/>
      <x:c r="N24" s="16"/>
      <x:c r="O24" s="109"/>
      <x:c r="P24" s="109"/>
      <x:c r="Q24" s="16"/>
      <x:c r="R24" s="16"/>
      <x:c r="S24" s="109"/>
      <x:c r="T24" s="16"/>
      <x:c r="U24" s="16"/>
      <x:c r="V24" s="16"/>
      <x:c r="W24" s="18" t="str">
        <x:f>IF(A24="","",IF(H24="","",IF(I24&lt;&gt;"",I24-H24+1,IF(S24&lt;&gt;"",S24-H24+1,""))))</x:f>
      </x:c>
      <x:c r="X24" s="16"/>
      <x:c r="Y24" s="16"/>
      <x:c r="Z24" s="16"/>
      <x:c r="AA24" s="16"/>
      <x:c r="AB24" s="109"/>
      <x:c r="AC24" s="109"/>
      <x:c r="AD24" s="16"/>
      <x:c r="AE24" s="16"/>
      <x:c r="AF24" s="16"/>
    </x:row>
    <x:row r="25">
      <x:c r="A25" s="16"/>
      <x:c r="B25" s="16"/>
      <x:c r="C25" s="16"/>
      <x:c r="D25" s="16"/>
      <x:c r="E25" s="16"/>
      <x:c r="F25" s="16"/>
      <x:c r="G25" s="16"/>
      <x:c r="H25" s="109"/>
      <x:c r="I25" s="109"/>
      <x:c r="J25" s="16"/>
      <x:c r="K25" s="16"/>
      <x:c r="L25" s="16"/>
      <x:c r="M25" s="16"/>
      <x:c r="N25" s="16"/>
      <x:c r="O25" s="109"/>
      <x:c r="P25" s="109"/>
      <x:c r="Q25" s="16"/>
      <x:c r="R25" s="16"/>
      <x:c r="S25" s="109"/>
      <x:c r="T25" s="16"/>
      <x:c r="U25" s="16"/>
      <x:c r="V25" s="16"/>
      <x:c r="W25" s="18" t="str">
        <x:f>IF(A25="","",IF(H25="","",IF(I25&lt;&gt;"",I25-H25+1,IF(S25&lt;&gt;"",S25-H25+1,""))))</x:f>
      </x:c>
      <x:c r="X25" s="16"/>
      <x:c r="Y25" s="16"/>
      <x:c r="Z25" s="16"/>
      <x:c r="AA25" s="16"/>
      <x:c r="AB25" s="109"/>
      <x:c r="AC25" s="109"/>
      <x:c r="AD25" s="16"/>
      <x:c r="AE25" s="16"/>
      <x:c r="AF25" s="16"/>
    </x:row>
    <x:row r="26">
      <x:c r="A26" s="16"/>
      <x:c r="B26" s="16"/>
      <x:c r="C26" s="16"/>
      <x:c r="D26" s="16"/>
      <x:c r="E26" s="16"/>
      <x:c r="F26" s="16"/>
      <x:c r="G26" s="16"/>
      <x:c r="H26" s="109"/>
      <x:c r="I26" s="109"/>
      <x:c r="J26" s="16"/>
      <x:c r="K26" s="16"/>
      <x:c r="L26" s="16"/>
      <x:c r="M26" s="16"/>
      <x:c r="N26" s="16"/>
      <x:c r="O26" s="109"/>
      <x:c r="P26" s="109"/>
      <x:c r="Q26" s="16"/>
      <x:c r="R26" s="16"/>
      <x:c r="S26" s="109"/>
      <x:c r="T26" s="16"/>
      <x:c r="U26" s="16"/>
      <x:c r="V26" s="16"/>
      <x:c r="W26" s="18" t="str">
        <x:f>IF(A26="","",IF(H26="","",IF(I26&lt;&gt;"",I26-H26+1,IF(S26&lt;&gt;"",S26-H26+1,""))))</x:f>
      </x:c>
      <x:c r="X26" s="16"/>
      <x:c r="Y26" s="16"/>
      <x:c r="Z26" s="16"/>
      <x:c r="AA26" s="16"/>
      <x:c r="AB26" s="109"/>
      <x:c r="AC26" s="109"/>
      <x:c r="AD26" s="16"/>
      <x:c r="AE26" s="16"/>
      <x:c r="AF26" s="16"/>
    </x:row>
    <x:row r="27">
      <x:c r="A27" s="16"/>
      <x:c r="B27" s="16"/>
      <x:c r="C27" s="16"/>
      <x:c r="D27" s="16"/>
      <x:c r="E27" s="16"/>
      <x:c r="F27" s="16"/>
      <x:c r="G27" s="16"/>
      <x:c r="H27" s="109"/>
      <x:c r="I27" s="109"/>
      <x:c r="J27" s="16"/>
      <x:c r="K27" s="16"/>
      <x:c r="L27" s="16"/>
      <x:c r="M27" s="16"/>
      <x:c r="N27" s="16"/>
      <x:c r="O27" s="109"/>
      <x:c r="P27" s="109"/>
      <x:c r="Q27" s="16"/>
      <x:c r="R27" s="16"/>
      <x:c r="S27" s="109"/>
      <x:c r="T27" s="16"/>
      <x:c r="U27" s="16"/>
      <x:c r="V27" s="16"/>
      <x:c r="W27" s="18" t="str">
        <x:f>IF(A27="","",IF(H27="","",IF(I27&lt;&gt;"",I27-H27+1,IF(S27&lt;&gt;"",S27-H27+1,""))))</x:f>
      </x:c>
      <x:c r="X27" s="16"/>
      <x:c r="Y27" s="16"/>
      <x:c r="Z27" s="16"/>
      <x:c r="AA27" s="16"/>
      <x:c r="AB27" s="109"/>
      <x:c r="AC27" s="109"/>
      <x:c r="AD27" s="16"/>
      <x:c r="AE27" s="16"/>
      <x:c r="AF27" s="16"/>
    </x:row>
    <x:row r="28">
      <x:c r="A28" s="16"/>
      <x:c r="B28" s="16"/>
      <x:c r="C28" s="16"/>
      <x:c r="D28" s="16"/>
      <x:c r="E28" s="16"/>
      <x:c r="F28" s="16"/>
      <x:c r="G28" s="16"/>
      <x:c r="H28" s="109"/>
      <x:c r="I28" s="109"/>
      <x:c r="J28" s="16"/>
      <x:c r="K28" s="16"/>
      <x:c r="L28" s="16"/>
      <x:c r="M28" s="16"/>
      <x:c r="N28" s="16"/>
      <x:c r="O28" s="109"/>
      <x:c r="P28" s="109"/>
      <x:c r="Q28" s="16"/>
      <x:c r="R28" s="16"/>
      <x:c r="S28" s="109"/>
      <x:c r="T28" s="16"/>
      <x:c r="U28" s="16"/>
      <x:c r="V28" s="16"/>
      <x:c r="W28" s="18" t="str">
        <x:f>IF(A28="","",IF(H28="","",IF(I28&lt;&gt;"",I28-H28+1,IF(S28&lt;&gt;"",S28-H28+1,""))))</x:f>
      </x:c>
      <x:c r="X28" s="16"/>
      <x:c r="Y28" s="16"/>
      <x:c r="Z28" s="16"/>
      <x:c r="AA28" s="16"/>
      <x:c r="AB28" s="109"/>
      <x:c r="AC28" s="109"/>
      <x:c r="AD28" s="16"/>
      <x:c r="AE28" s="16"/>
      <x:c r="AF28" s="16"/>
    </x:row>
    <x:row r="29">
      <x:c r="A29" s="16"/>
      <x:c r="B29" s="16"/>
      <x:c r="C29" s="16"/>
      <x:c r="D29" s="16"/>
      <x:c r="E29" s="16"/>
      <x:c r="F29" s="16"/>
      <x:c r="G29" s="16"/>
      <x:c r="H29" s="109"/>
      <x:c r="I29" s="109"/>
      <x:c r="J29" s="16"/>
      <x:c r="K29" s="16"/>
      <x:c r="L29" s="16"/>
      <x:c r="M29" s="16"/>
      <x:c r="N29" s="16"/>
      <x:c r="O29" s="109"/>
      <x:c r="P29" s="109"/>
      <x:c r="Q29" s="16"/>
      <x:c r="R29" s="16"/>
      <x:c r="S29" s="109"/>
      <x:c r="T29" s="16"/>
      <x:c r="U29" s="16"/>
      <x:c r="V29" s="16"/>
      <x:c r="W29" s="18" t="str">
        <x:f>IF(A29="","",IF(H29="","",IF(I29&lt;&gt;"",I29-H29+1,IF(S29&lt;&gt;"",S29-H29+1,""))))</x:f>
      </x:c>
      <x:c r="X29" s="16"/>
      <x:c r="Y29" s="16"/>
      <x:c r="Z29" s="16"/>
      <x:c r="AA29" s="16"/>
      <x:c r="AB29" s="109"/>
      <x:c r="AC29" s="109"/>
      <x:c r="AD29" s="16"/>
      <x:c r="AE29" s="16"/>
      <x:c r="AF29" s="16"/>
    </x:row>
    <x:row r="30">
      <x:c r="A30" s="16"/>
      <x:c r="B30" s="16"/>
      <x:c r="C30" s="16"/>
      <x:c r="D30" s="16"/>
      <x:c r="E30" s="16"/>
      <x:c r="F30" s="16"/>
      <x:c r="G30" s="16"/>
      <x:c r="H30" s="109"/>
      <x:c r="I30" s="109"/>
      <x:c r="J30" s="16"/>
      <x:c r="K30" s="16"/>
      <x:c r="L30" s="16"/>
      <x:c r="M30" s="16"/>
      <x:c r="N30" s="16"/>
      <x:c r="O30" s="109"/>
      <x:c r="P30" s="109"/>
      <x:c r="Q30" s="16"/>
      <x:c r="R30" s="16"/>
      <x:c r="S30" s="109"/>
      <x:c r="T30" s="16"/>
      <x:c r="U30" s="16"/>
      <x:c r="V30" s="16"/>
      <x:c r="W30" s="18" t="str">
        <x:f>IF(A30="","",IF(H30="","",IF(I30&lt;&gt;"",I30-H30+1,IF(S30&lt;&gt;"",S30-H30+1,""))))</x:f>
      </x:c>
      <x:c r="X30" s="16"/>
      <x:c r="Y30" s="16"/>
      <x:c r="Z30" s="16"/>
      <x:c r="AA30" s="16"/>
      <x:c r="AB30" s="109"/>
      <x:c r="AC30" s="109"/>
      <x:c r="AD30" s="16"/>
      <x:c r="AE30" s="16"/>
      <x:c r="AF30" s="16"/>
    </x:row>
    <x:row r="31">
      <x:c r="A31" s="16"/>
      <x:c r="B31" s="16"/>
      <x:c r="C31" s="16"/>
      <x:c r="D31" s="16"/>
      <x:c r="E31" s="16"/>
      <x:c r="F31" s="16"/>
      <x:c r="G31" s="16"/>
      <x:c r="H31" s="109"/>
      <x:c r="I31" s="109"/>
      <x:c r="J31" s="16"/>
      <x:c r="K31" s="16"/>
      <x:c r="L31" s="16"/>
      <x:c r="M31" s="16"/>
      <x:c r="N31" s="16"/>
      <x:c r="O31" s="109"/>
      <x:c r="P31" s="109"/>
      <x:c r="Q31" s="16"/>
      <x:c r="R31" s="16"/>
      <x:c r="S31" s="109"/>
      <x:c r="T31" s="16"/>
      <x:c r="U31" s="16"/>
      <x:c r="V31" s="16"/>
      <x:c r="W31" s="18" t="str">
        <x:f>IF(A31="","",IF(H31="","",IF(I31&lt;&gt;"",I31-H31+1,IF(S31&lt;&gt;"",S31-H31+1,""))))</x:f>
      </x:c>
      <x:c r="X31" s="16"/>
      <x:c r="Y31" s="16"/>
      <x:c r="Z31" s="16"/>
      <x:c r="AA31" s="16"/>
      <x:c r="AB31" s="109"/>
      <x:c r="AC31" s="109"/>
      <x:c r="AD31" s="16"/>
      <x:c r="AE31" s="16"/>
      <x:c r="AF31" s="16"/>
    </x:row>
    <x:row r="32">
      <x:c r="A32" s="16"/>
      <x:c r="B32" s="16"/>
      <x:c r="C32" s="16"/>
      <x:c r="D32" s="16"/>
      <x:c r="E32" s="16"/>
      <x:c r="F32" s="16"/>
      <x:c r="G32" s="16"/>
      <x:c r="H32" s="109"/>
      <x:c r="I32" s="109"/>
      <x:c r="J32" s="16"/>
      <x:c r="K32" s="16"/>
      <x:c r="L32" s="16"/>
      <x:c r="M32" s="16"/>
      <x:c r="N32" s="16"/>
      <x:c r="O32" s="109"/>
      <x:c r="P32" s="109"/>
      <x:c r="Q32" s="16"/>
      <x:c r="R32" s="16"/>
      <x:c r="S32" s="109"/>
      <x:c r="T32" s="16"/>
      <x:c r="U32" s="16"/>
      <x:c r="V32" s="16"/>
      <x:c r="W32" s="18" t="str">
        <x:f>IF(A32="","",IF(H32="","",IF(I32&lt;&gt;"",I32-H32+1,IF(S32&lt;&gt;"",S32-H32+1,""))))</x:f>
      </x:c>
      <x:c r="X32" s="16"/>
      <x:c r="Y32" s="16"/>
      <x:c r="Z32" s="16"/>
      <x:c r="AA32" s="16"/>
      <x:c r="AB32" s="109"/>
      <x:c r="AC32" s="109"/>
      <x:c r="AD32" s="16"/>
      <x:c r="AE32" s="16"/>
      <x:c r="AF32" s="16"/>
    </x:row>
    <x:row r="33">
      <x:c r="A33" s="16"/>
      <x:c r="B33" s="16"/>
      <x:c r="C33" s="16"/>
      <x:c r="D33" s="16"/>
      <x:c r="E33" s="16"/>
      <x:c r="F33" s="16"/>
      <x:c r="G33" s="16"/>
      <x:c r="H33" s="109"/>
      <x:c r="I33" s="109"/>
      <x:c r="J33" s="16"/>
      <x:c r="K33" s="16"/>
      <x:c r="L33" s="16"/>
      <x:c r="M33" s="16"/>
      <x:c r="N33" s="16"/>
      <x:c r="O33" s="109"/>
      <x:c r="P33" s="109"/>
      <x:c r="Q33" s="16"/>
      <x:c r="R33" s="16"/>
      <x:c r="S33" s="109"/>
      <x:c r="T33" s="16"/>
      <x:c r="U33" s="16"/>
      <x:c r="V33" s="16"/>
      <x:c r="W33" s="18" t="str">
        <x:f>IF(A33="","",IF(H33="","",IF(I33&lt;&gt;"",I33-H33+1,IF(S33&lt;&gt;"",S33-H33+1,""))))</x:f>
      </x:c>
      <x:c r="X33" s="16"/>
      <x:c r="Y33" s="16"/>
      <x:c r="Z33" s="16"/>
      <x:c r="AA33" s="16"/>
      <x:c r="AB33" s="109"/>
      <x:c r="AC33" s="109"/>
      <x:c r="AD33" s="16"/>
      <x:c r="AE33" s="16"/>
      <x:c r="AF33" s="16"/>
    </x:row>
    <x:row r="34">
      <x:c r="A34" s="16"/>
      <x:c r="B34" s="16"/>
      <x:c r="C34" s="16"/>
      <x:c r="D34" s="16"/>
      <x:c r="E34" s="16"/>
      <x:c r="F34" s="16"/>
      <x:c r="G34" s="16"/>
      <x:c r="H34" s="109"/>
      <x:c r="I34" s="109"/>
      <x:c r="J34" s="16"/>
      <x:c r="K34" s="16"/>
      <x:c r="L34" s="16"/>
      <x:c r="M34" s="16"/>
      <x:c r="N34" s="16"/>
      <x:c r="O34" s="109"/>
      <x:c r="P34" s="109"/>
      <x:c r="Q34" s="16"/>
      <x:c r="R34" s="16"/>
      <x:c r="S34" s="109"/>
      <x:c r="T34" s="16"/>
      <x:c r="U34" s="16"/>
      <x:c r="V34" s="16"/>
      <x:c r="W34" s="18" t="str">
        <x:f>IF(A34="","",IF(H34="","",IF(I34&lt;&gt;"",I34-H34+1,IF(S34&lt;&gt;"",S34-H34+1,""))))</x:f>
      </x:c>
      <x:c r="X34" s="16"/>
      <x:c r="Y34" s="16"/>
      <x:c r="Z34" s="16"/>
      <x:c r="AA34" s="16"/>
      <x:c r="AB34" s="109"/>
      <x:c r="AC34" s="109"/>
      <x:c r="AD34" s="16"/>
      <x:c r="AE34" s="16"/>
      <x:c r="AF34" s="16"/>
    </x:row>
    <x:row r="35">
      <x:c r="A35" s="16"/>
      <x:c r="B35" s="16"/>
      <x:c r="C35" s="16"/>
      <x:c r="D35" s="16"/>
      <x:c r="E35" s="16"/>
      <x:c r="F35" s="16"/>
      <x:c r="G35" s="16"/>
      <x:c r="H35" s="109"/>
      <x:c r="I35" s="109"/>
      <x:c r="J35" s="16"/>
      <x:c r="K35" s="16"/>
      <x:c r="L35" s="16"/>
      <x:c r="M35" s="16"/>
      <x:c r="N35" s="16"/>
      <x:c r="O35" s="109"/>
      <x:c r="P35" s="109"/>
      <x:c r="Q35" s="16"/>
      <x:c r="R35" s="16"/>
      <x:c r="S35" s="109"/>
      <x:c r="T35" s="16"/>
      <x:c r="U35" s="16"/>
      <x:c r="V35" s="16"/>
      <x:c r="W35" s="18" t="str">
        <x:f>IF(A35="","",IF(H35="","",IF(I35&lt;&gt;"",I35-H35+1,IF(S35&lt;&gt;"",S35-H35+1,""))))</x:f>
      </x:c>
      <x:c r="X35" s="16"/>
      <x:c r="Y35" s="16"/>
      <x:c r="Z35" s="16"/>
      <x:c r="AA35" s="16"/>
      <x:c r="AB35" s="109"/>
      <x:c r="AC35" s="109"/>
      <x:c r="AD35" s="16"/>
      <x:c r="AE35" s="16"/>
      <x:c r="AF35" s="16"/>
    </x:row>
    <x:row r="36">
      <x:c r="A36" s="16"/>
      <x:c r="B36" s="16"/>
      <x:c r="C36" s="16"/>
      <x:c r="D36" s="16"/>
      <x:c r="E36" s="16"/>
      <x:c r="F36" s="16"/>
      <x:c r="G36" s="16"/>
      <x:c r="H36" s="109"/>
      <x:c r="I36" s="109"/>
      <x:c r="J36" s="16"/>
      <x:c r="K36" s="16"/>
      <x:c r="L36" s="16"/>
      <x:c r="M36" s="16"/>
      <x:c r="N36" s="16"/>
      <x:c r="O36" s="109"/>
      <x:c r="P36" s="109"/>
      <x:c r="Q36" s="16"/>
      <x:c r="R36" s="16"/>
      <x:c r="S36" s="109"/>
      <x:c r="T36" s="16"/>
      <x:c r="U36" s="16"/>
      <x:c r="V36" s="16"/>
      <x:c r="W36" s="18" t="str">
        <x:f>IF(A36="","",IF(H36="","",IF(I36&lt;&gt;"",I36-H36+1,IF(S36&lt;&gt;"",S36-H36+1,""))))</x:f>
      </x:c>
      <x:c r="X36" s="16"/>
      <x:c r="Y36" s="16"/>
      <x:c r="Z36" s="16"/>
      <x:c r="AA36" s="16"/>
      <x:c r="AB36" s="109"/>
      <x:c r="AC36" s="109"/>
      <x:c r="AD36" s="16"/>
      <x:c r="AE36" s="16"/>
      <x:c r="AF36" s="16"/>
    </x:row>
    <x:row r="37">
      <x:c r="A37" s="16"/>
      <x:c r="B37" s="16"/>
      <x:c r="C37" s="16"/>
      <x:c r="D37" s="16"/>
      <x:c r="E37" s="16"/>
      <x:c r="F37" s="16"/>
      <x:c r="G37" s="16"/>
      <x:c r="H37" s="109"/>
      <x:c r="I37" s="109"/>
      <x:c r="J37" s="16"/>
      <x:c r="K37" s="16"/>
      <x:c r="L37" s="16"/>
      <x:c r="M37" s="16"/>
      <x:c r="N37" s="16"/>
      <x:c r="O37" s="109"/>
      <x:c r="P37" s="109"/>
      <x:c r="Q37" s="16"/>
      <x:c r="R37" s="16"/>
      <x:c r="S37" s="109"/>
      <x:c r="T37" s="16"/>
      <x:c r="U37" s="16"/>
      <x:c r="V37" s="16"/>
      <x:c r="W37" s="18" t="str">
        <x:f>IF(A37="","",IF(H37="","",IF(I37&lt;&gt;"",I37-H37+1,IF(S37&lt;&gt;"",S37-H37+1,""))))</x:f>
      </x:c>
      <x:c r="X37" s="16"/>
      <x:c r="Y37" s="16"/>
      <x:c r="Z37" s="16"/>
      <x:c r="AA37" s="16"/>
      <x:c r="AB37" s="109"/>
      <x:c r="AC37" s="109"/>
      <x:c r="AD37" s="16"/>
      <x:c r="AE37" s="16"/>
      <x:c r="AF37" s="16"/>
    </x:row>
    <x:row r="38">
      <x:c r="A38" s="16"/>
      <x:c r="B38" s="16"/>
      <x:c r="C38" s="16"/>
      <x:c r="D38" s="16"/>
      <x:c r="E38" s="16"/>
      <x:c r="F38" s="16"/>
      <x:c r="G38" s="16"/>
      <x:c r="H38" s="109"/>
      <x:c r="I38" s="109"/>
      <x:c r="J38" s="16"/>
      <x:c r="K38" s="16"/>
      <x:c r="L38" s="16"/>
      <x:c r="M38" s="16"/>
      <x:c r="N38" s="16"/>
      <x:c r="O38" s="109"/>
      <x:c r="P38" s="109"/>
      <x:c r="Q38" s="16"/>
      <x:c r="R38" s="16"/>
      <x:c r="S38" s="109"/>
      <x:c r="T38" s="16"/>
      <x:c r="U38" s="16"/>
      <x:c r="V38" s="16"/>
      <x:c r="W38" s="18" t="str">
        <x:f>IF(A38="","",IF(H38="","",IF(I38&lt;&gt;"",I38-H38+1,IF(S38&lt;&gt;"",S38-H38+1,""))))</x:f>
      </x:c>
      <x:c r="X38" s="16"/>
      <x:c r="Y38" s="16"/>
      <x:c r="Z38" s="16"/>
      <x:c r="AA38" s="16"/>
      <x:c r="AB38" s="109"/>
      <x:c r="AC38" s="109"/>
      <x:c r="AD38" s="16"/>
      <x:c r="AE38" s="16"/>
      <x:c r="AF38" s="16"/>
    </x:row>
    <x:row r="39">
      <x:c r="A39" s="16"/>
      <x:c r="B39" s="16"/>
      <x:c r="C39" s="16"/>
      <x:c r="D39" s="16"/>
      <x:c r="E39" s="16"/>
      <x:c r="F39" s="16"/>
      <x:c r="G39" s="16"/>
      <x:c r="H39" s="109"/>
      <x:c r="I39" s="109"/>
      <x:c r="J39" s="16"/>
      <x:c r="K39" s="16"/>
      <x:c r="L39" s="16"/>
      <x:c r="M39" s="16"/>
      <x:c r="N39" s="16"/>
      <x:c r="O39" s="109"/>
      <x:c r="P39" s="109"/>
      <x:c r="Q39" s="16"/>
      <x:c r="R39" s="16"/>
      <x:c r="S39" s="109"/>
      <x:c r="T39" s="16"/>
      <x:c r="U39" s="16"/>
      <x:c r="V39" s="16"/>
      <x:c r="W39" s="18" t="str">
        <x:f>IF(A39="","",IF(H39="","",IF(I39&lt;&gt;"",I39-H39+1,IF(S39&lt;&gt;"",S39-H39+1,""))))</x:f>
      </x:c>
      <x:c r="X39" s="16"/>
      <x:c r="Y39" s="16"/>
      <x:c r="Z39" s="16"/>
      <x:c r="AA39" s="16"/>
      <x:c r="AB39" s="109"/>
      <x:c r="AC39" s="109"/>
      <x:c r="AD39" s="16"/>
      <x:c r="AE39" s="16"/>
      <x:c r="AF39" s="16"/>
    </x:row>
    <x:row r="40">
      <x:c r="A40" s="16"/>
      <x:c r="B40" s="16"/>
      <x:c r="C40" s="16"/>
      <x:c r="D40" s="16"/>
      <x:c r="E40" s="16"/>
      <x:c r="F40" s="16"/>
      <x:c r="G40" s="16"/>
      <x:c r="H40" s="109"/>
      <x:c r="I40" s="109"/>
      <x:c r="J40" s="16"/>
      <x:c r="K40" s="16"/>
      <x:c r="L40" s="16"/>
      <x:c r="M40" s="16"/>
      <x:c r="N40" s="16"/>
      <x:c r="O40" s="109"/>
      <x:c r="P40" s="109"/>
      <x:c r="Q40" s="16"/>
      <x:c r="R40" s="16"/>
      <x:c r="S40" s="109"/>
      <x:c r="T40" s="16"/>
      <x:c r="U40" s="16"/>
      <x:c r="V40" s="16"/>
      <x:c r="W40" s="18" t="str">
        <x:f>IF(A40="","",IF(H40="","",IF(I40&lt;&gt;"",I40-H40+1,IF(S40&lt;&gt;"",S40-H40+1,""))))</x:f>
      </x:c>
      <x:c r="X40" s="16"/>
      <x:c r="Y40" s="16"/>
      <x:c r="Z40" s="16"/>
      <x:c r="AA40" s="16"/>
      <x:c r="AB40" s="109"/>
      <x:c r="AC40" s="109"/>
      <x:c r="AD40" s="16"/>
      <x:c r="AE40" s="16"/>
      <x:c r="AF40" s="16"/>
    </x:row>
    <x:row r="41">
      <x:c r="A41" s="16"/>
      <x:c r="B41" s="16"/>
      <x:c r="C41" s="16"/>
      <x:c r="D41" s="16"/>
      <x:c r="E41" s="16"/>
      <x:c r="F41" s="16"/>
      <x:c r="G41" s="16"/>
      <x:c r="H41" s="109"/>
      <x:c r="I41" s="109"/>
      <x:c r="J41" s="16"/>
      <x:c r="K41" s="16"/>
      <x:c r="L41" s="16"/>
      <x:c r="M41" s="16"/>
      <x:c r="N41" s="16"/>
      <x:c r="O41" s="109"/>
      <x:c r="P41" s="109"/>
      <x:c r="Q41" s="16"/>
      <x:c r="R41" s="16"/>
      <x:c r="S41" s="109"/>
      <x:c r="T41" s="16"/>
      <x:c r="U41" s="16"/>
      <x:c r="V41" s="16"/>
      <x:c r="W41" s="18" t="str">
        <x:f>IF(A41="","",IF(H41="","",IF(I41&lt;&gt;"",I41-H41+1,IF(S41&lt;&gt;"",S41-H41+1,""))))</x:f>
      </x:c>
      <x:c r="X41" s="16"/>
      <x:c r="Y41" s="16"/>
      <x:c r="Z41" s="16"/>
      <x:c r="AA41" s="16"/>
      <x:c r="AB41" s="109"/>
      <x:c r="AC41" s="109"/>
      <x:c r="AD41" s="16"/>
      <x:c r="AE41" s="16"/>
      <x:c r="AF41" s="16"/>
    </x:row>
    <x:row r="42">
      <x:c r="A42" s="16"/>
      <x:c r="B42" s="16"/>
      <x:c r="C42" s="16"/>
      <x:c r="D42" s="16"/>
      <x:c r="E42" s="16"/>
      <x:c r="F42" s="16"/>
      <x:c r="G42" s="16"/>
      <x:c r="H42" s="109"/>
      <x:c r="I42" s="109"/>
      <x:c r="J42" s="16"/>
      <x:c r="K42" s="16"/>
      <x:c r="L42" s="16"/>
      <x:c r="M42" s="16"/>
      <x:c r="N42" s="16"/>
      <x:c r="O42" s="109"/>
      <x:c r="P42" s="109"/>
      <x:c r="Q42" s="16"/>
      <x:c r="R42" s="16"/>
      <x:c r="S42" s="109"/>
      <x:c r="T42" s="16"/>
      <x:c r="U42" s="16"/>
      <x:c r="V42" s="16"/>
      <x:c r="W42" s="18" t="str">
        <x:f>IF(A42="","",IF(H42="","",IF(I42&lt;&gt;"",I42-H42+1,IF(S42&lt;&gt;"",S42-H42+1,""))))</x:f>
      </x:c>
      <x:c r="X42" s="16"/>
      <x:c r="Y42" s="16"/>
      <x:c r="Z42" s="16"/>
      <x:c r="AA42" s="16"/>
      <x:c r="AB42" s="109"/>
      <x:c r="AC42" s="109"/>
      <x:c r="AD42" s="16"/>
      <x:c r="AE42" s="16"/>
      <x:c r="AF42" s="16"/>
    </x:row>
    <x:row r="43">
      <x:c r="A43" s="16"/>
      <x:c r="B43" s="16"/>
      <x:c r="C43" s="16"/>
      <x:c r="D43" s="16"/>
      <x:c r="E43" s="16"/>
      <x:c r="F43" s="16"/>
      <x:c r="G43" s="16"/>
      <x:c r="H43" s="109"/>
      <x:c r="I43" s="109"/>
      <x:c r="J43" s="16"/>
      <x:c r="K43" s="16"/>
      <x:c r="L43" s="16"/>
      <x:c r="M43" s="16"/>
      <x:c r="N43" s="16"/>
      <x:c r="O43" s="109"/>
      <x:c r="P43" s="109"/>
      <x:c r="Q43" s="16"/>
      <x:c r="R43" s="16"/>
      <x:c r="S43" s="109"/>
      <x:c r="T43" s="16"/>
      <x:c r="U43" s="16"/>
      <x:c r="V43" s="16"/>
      <x:c r="W43" s="18" t="str">
        <x:f>IF(A43="","",IF(H43="","",IF(I43&lt;&gt;"",I43-H43+1,IF(S43&lt;&gt;"",S43-H43+1,""))))</x:f>
      </x:c>
      <x:c r="X43" s="16"/>
      <x:c r="Y43" s="16"/>
      <x:c r="Z43" s="16"/>
      <x:c r="AA43" s="16"/>
      <x:c r="AB43" s="109"/>
      <x:c r="AC43" s="109"/>
      <x:c r="AD43" s="16"/>
      <x:c r="AE43" s="16"/>
      <x:c r="AF43" s="16"/>
    </x:row>
    <x:row r="44">
      <x:c r="A44" s="16"/>
      <x:c r="B44" s="16"/>
      <x:c r="C44" s="16"/>
      <x:c r="D44" s="16"/>
      <x:c r="E44" s="16"/>
      <x:c r="F44" s="16"/>
      <x:c r="G44" s="16"/>
      <x:c r="H44" s="109"/>
      <x:c r="I44" s="109"/>
      <x:c r="J44" s="16"/>
      <x:c r="K44" s="16"/>
      <x:c r="L44" s="16"/>
      <x:c r="M44" s="16"/>
      <x:c r="N44" s="16"/>
      <x:c r="O44" s="109"/>
      <x:c r="P44" s="109"/>
      <x:c r="Q44" s="16"/>
      <x:c r="R44" s="16"/>
      <x:c r="S44" s="109"/>
      <x:c r="T44" s="16"/>
      <x:c r="U44" s="16"/>
      <x:c r="V44" s="16"/>
      <x:c r="W44" s="18" t="str">
        <x:f>IF(A44="","",IF(H44="","",IF(I44&lt;&gt;"",I44-H44+1,IF(S44&lt;&gt;"",S44-H44+1,""))))</x:f>
      </x:c>
      <x:c r="X44" s="16"/>
      <x:c r="Y44" s="16"/>
      <x:c r="Z44" s="16"/>
      <x:c r="AA44" s="16"/>
      <x:c r="AB44" s="109"/>
      <x:c r="AC44" s="109"/>
      <x:c r="AD44" s="16"/>
      <x:c r="AE44" s="16"/>
      <x:c r="AF44" s="16"/>
    </x:row>
    <x:row r="45">
      <x:c r="A45" s="16"/>
      <x:c r="B45" s="16"/>
      <x:c r="C45" s="16"/>
      <x:c r="D45" s="16"/>
      <x:c r="E45" s="16"/>
      <x:c r="F45" s="16"/>
      <x:c r="G45" s="16"/>
      <x:c r="H45" s="109"/>
      <x:c r="I45" s="109"/>
      <x:c r="J45" s="16"/>
      <x:c r="K45" s="16"/>
      <x:c r="L45" s="16"/>
      <x:c r="M45" s="16"/>
      <x:c r="N45" s="16"/>
      <x:c r="O45" s="109"/>
      <x:c r="P45" s="109"/>
      <x:c r="Q45" s="16"/>
      <x:c r="R45" s="16"/>
      <x:c r="S45" s="109"/>
      <x:c r="T45" s="16"/>
      <x:c r="U45" s="16"/>
      <x:c r="V45" s="16"/>
      <x:c r="W45" s="18" t="str">
        <x:f>IF(A45="","",IF(H45="","",IF(I45&lt;&gt;"",I45-H45+1,IF(S45&lt;&gt;"",S45-H45+1,""))))</x:f>
      </x:c>
      <x:c r="X45" s="16"/>
      <x:c r="Y45" s="16"/>
      <x:c r="Z45" s="16"/>
      <x:c r="AA45" s="16"/>
      <x:c r="AB45" s="109"/>
      <x:c r="AC45" s="109"/>
      <x:c r="AD45" s="16"/>
      <x:c r="AE45" s="16"/>
      <x:c r="AF45" s="16"/>
    </x:row>
    <x:row r="46">
      <x:c r="A46" s="16"/>
      <x:c r="B46" s="16"/>
      <x:c r="C46" s="16"/>
      <x:c r="D46" s="16"/>
      <x:c r="E46" s="16"/>
      <x:c r="F46" s="16"/>
      <x:c r="G46" s="16"/>
      <x:c r="H46" s="109"/>
      <x:c r="I46" s="109"/>
      <x:c r="J46" s="16"/>
      <x:c r="K46" s="16"/>
      <x:c r="L46" s="16"/>
      <x:c r="M46" s="16"/>
      <x:c r="N46" s="16"/>
      <x:c r="O46" s="109"/>
      <x:c r="P46" s="109"/>
      <x:c r="Q46" s="16"/>
      <x:c r="R46" s="16"/>
      <x:c r="S46" s="109"/>
      <x:c r="T46" s="16"/>
      <x:c r="U46" s="16"/>
      <x:c r="V46" s="16"/>
      <x:c r="W46" s="18" t="str">
        <x:f>IF(A46="","",IF(H46="","",IF(I46&lt;&gt;"",I46-H46+1,IF(S46&lt;&gt;"",S46-H46+1,""))))</x:f>
      </x:c>
      <x:c r="X46" s="16"/>
      <x:c r="Y46" s="16"/>
      <x:c r="Z46" s="16"/>
      <x:c r="AA46" s="16"/>
      <x:c r="AB46" s="109"/>
      <x:c r="AC46" s="109"/>
      <x:c r="AD46" s="16"/>
      <x:c r="AE46" s="16"/>
      <x:c r="AF46" s="16"/>
    </x:row>
    <x:row r="47">
      <x:c r="A47" s="16"/>
      <x:c r="B47" s="16"/>
      <x:c r="C47" s="16"/>
      <x:c r="D47" s="16"/>
      <x:c r="E47" s="16"/>
      <x:c r="F47" s="16"/>
      <x:c r="G47" s="16"/>
      <x:c r="H47" s="109"/>
      <x:c r="I47" s="109"/>
      <x:c r="J47" s="16"/>
      <x:c r="K47" s="16"/>
      <x:c r="L47" s="16"/>
      <x:c r="M47" s="16"/>
      <x:c r="N47" s="16"/>
      <x:c r="O47" s="109"/>
      <x:c r="P47" s="109"/>
      <x:c r="Q47" s="16"/>
      <x:c r="R47" s="16"/>
      <x:c r="S47" s="109"/>
      <x:c r="T47" s="16"/>
      <x:c r="U47" s="16"/>
      <x:c r="V47" s="16"/>
      <x:c r="W47" s="18" t="str">
        <x:f>IF(A47="","",IF(H47="","",IF(I47&lt;&gt;"",I47-H47+1,IF(S47&lt;&gt;"",S47-H47+1,""))))</x:f>
      </x:c>
      <x:c r="X47" s="16"/>
      <x:c r="Y47" s="16"/>
      <x:c r="Z47" s="16"/>
      <x:c r="AA47" s="16"/>
      <x:c r="AB47" s="109"/>
      <x:c r="AC47" s="109"/>
      <x:c r="AD47" s="16"/>
      <x:c r="AE47" s="16"/>
      <x:c r="AF47" s="16"/>
    </x:row>
    <x:row r="48">
      <x:c r="A48" s="16"/>
      <x:c r="B48" s="16"/>
      <x:c r="C48" s="16"/>
      <x:c r="D48" s="16"/>
      <x:c r="E48" s="16"/>
      <x:c r="F48" s="16"/>
      <x:c r="G48" s="16"/>
      <x:c r="H48" s="109"/>
      <x:c r="I48" s="109"/>
      <x:c r="J48" s="16"/>
      <x:c r="K48" s="16"/>
      <x:c r="L48" s="16"/>
      <x:c r="M48" s="16"/>
      <x:c r="N48" s="16"/>
      <x:c r="O48" s="109"/>
      <x:c r="P48" s="109"/>
      <x:c r="Q48" s="16"/>
      <x:c r="R48" s="16"/>
      <x:c r="S48" s="109"/>
      <x:c r="T48" s="16"/>
      <x:c r="U48" s="16"/>
      <x:c r="V48" s="16"/>
      <x:c r="W48" s="18" t="str">
        <x:f>IF(A48="","",IF(H48="","",IF(I48&lt;&gt;"",I48-H48+1,IF(S48&lt;&gt;"",S48-H48+1,""))))</x:f>
      </x:c>
      <x:c r="X48" s="16"/>
      <x:c r="Y48" s="16"/>
      <x:c r="Z48" s="16"/>
      <x:c r="AA48" s="16"/>
      <x:c r="AB48" s="109"/>
      <x:c r="AC48" s="109"/>
      <x:c r="AD48" s="16"/>
      <x:c r="AE48" s="16"/>
      <x:c r="AF48" s="16"/>
    </x:row>
    <x:row r="49">
      <x:c r="A49" s="16"/>
      <x:c r="B49" s="16"/>
      <x:c r="C49" s="16"/>
      <x:c r="D49" s="16"/>
      <x:c r="E49" s="16"/>
      <x:c r="F49" s="16"/>
      <x:c r="G49" s="16"/>
      <x:c r="H49" s="109"/>
      <x:c r="I49" s="109"/>
      <x:c r="J49" s="16"/>
      <x:c r="K49" s="16"/>
      <x:c r="L49" s="16"/>
      <x:c r="M49" s="16"/>
      <x:c r="N49" s="16"/>
      <x:c r="O49" s="109"/>
      <x:c r="P49" s="109"/>
      <x:c r="Q49" s="16"/>
      <x:c r="R49" s="16"/>
      <x:c r="S49" s="109"/>
      <x:c r="T49" s="16"/>
      <x:c r="U49" s="16"/>
      <x:c r="V49" s="16"/>
      <x:c r="W49" s="18" t="str">
        <x:f>IF(A49="","",IF(H49="","",IF(I49&lt;&gt;"",I49-H49+1,IF(S49&lt;&gt;"",S49-H49+1,""))))</x:f>
      </x:c>
      <x:c r="X49" s="16"/>
      <x:c r="Y49" s="16"/>
      <x:c r="Z49" s="16"/>
      <x:c r="AA49" s="16"/>
      <x:c r="AB49" s="109"/>
      <x:c r="AC49" s="109"/>
      <x:c r="AD49" s="16"/>
      <x:c r="AE49" s="16"/>
      <x:c r="AF49" s="16"/>
    </x:row>
    <x:row r="50">
      <x:c r="A50" s="16"/>
      <x:c r="B50" s="16"/>
      <x:c r="C50" s="16"/>
      <x:c r="D50" s="16"/>
      <x:c r="E50" s="16"/>
      <x:c r="F50" s="16"/>
      <x:c r="G50" s="16"/>
      <x:c r="H50" s="109"/>
      <x:c r="I50" s="109"/>
      <x:c r="J50" s="16"/>
      <x:c r="K50" s="16"/>
      <x:c r="L50" s="16"/>
      <x:c r="M50" s="16"/>
      <x:c r="N50" s="16"/>
      <x:c r="O50" s="109"/>
      <x:c r="P50" s="109"/>
      <x:c r="Q50" s="16"/>
      <x:c r="R50" s="16"/>
      <x:c r="S50" s="109"/>
      <x:c r="T50" s="16"/>
      <x:c r="U50" s="16"/>
      <x:c r="V50" s="16"/>
      <x:c r="W50" s="18" t="str">
        <x:f>IF(A50="","",IF(H50="","",IF(I50&lt;&gt;"",I50-H50+1,IF(S50&lt;&gt;"",S50-H50+1,""))))</x:f>
      </x:c>
      <x:c r="X50" s="16"/>
      <x:c r="Y50" s="16"/>
      <x:c r="Z50" s="16"/>
      <x:c r="AA50" s="16"/>
      <x:c r="AB50" s="109"/>
      <x:c r="AC50" s="109"/>
      <x:c r="AD50" s="16"/>
      <x:c r="AE50" s="16"/>
      <x:c r="AF50" s="16"/>
    </x:row>
    <x:row r="51">
      <x:c r="A51" s="16"/>
      <x:c r="B51" s="16"/>
      <x:c r="C51" s="16"/>
      <x:c r="D51" s="16"/>
      <x:c r="E51" s="16"/>
      <x:c r="F51" s="16"/>
      <x:c r="G51" s="16"/>
      <x:c r="H51" s="109"/>
      <x:c r="I51" s="109"/>
      <x:c r="J51" s="16"/>
      <x:c r="K51" s="16"/>
      <x:c r="L51" s="16"/>
      <x:c r="M51" s="16"/>
      <x:c r="N51" s="16"/>
      <x:c r="O51" s="109"/>
      <x:c r="P51" s="109"/>
      <x:c r="Q51" s="16"/>
      <x:c r="R51" s="16"/>
      <x:c r="S51" s="109"/>
      <x:c r="T51" s="16"/>
      <x:c r="U51" s="16"/>
      <x:c r="V51" s="16"/>
      <x:c r="W51" s="18" t="str">
        <x:f>IF(A51="","",IF(H51="","",IF(I51&lt;&gt;"",I51-H51+1,IF(S51&lt;&gt;"",S51-H51+1,""))))</x:f>
      </x:c>
      <x:c r="X51" s="16"/>
      <x:c r="Y51" s="16"/>
      <x:c r="Z51" s="16"/>
      <x:c r="AA51" s="16"/>
      <x:c r="AB51" s="109"/>
      <x:c r="AC51" s="109"/>
      <x:c r="AD51" s="16"/>
      <x:c r="AE51" s="16"/>
      <x:c r="AF51" s="16"/>
    </x:row>
    <x:row r="52">
      <x:c r="A52" s="16"/>
      <x:c r="B52" s="16"/>
      <x:c r="C52" s="16"/>
      <x:c r="D52" s="16"/>
      <x:c r="E52" s="16"/>
      <x:c r="F52" s="16"/>
      <x:c r="G52" s="16"/>
      <x:c r="H52" s="109"/>
      <x:c r="I52" s="109"/>
      <x:c r="J52" s="16"/>
      <x:c r="K52" s="16"/>
      <x:c r="L52" s="16"/>
      <x:c r="M52" s="16"/>
      <x:c r="N52" s="16"/>
      <x:c r="O52" s="109"/>
      <x:c r="P52" s="109"/>
      <x:c r="Q52" s="16"/>
      <x:c r="R52" s="16"/>
      <x:c r="S52" s="109"/>
      <x:c r="T52" s="16"/>
      <x:c r="U52" s="16"/>
      <x:c r="V52" s="16"/>
      <x:c r="W52" s="18" t="str">
        <x:f>IF(A52="","",IF(H52="","",IF(I52&lt;&gt;"",I52-H52+1,IF(S52&lt;&gt;"",S52-H52+1,""))))</x:f>
      </x:c>
      <x:c r="X52" s="16"/>
      <x:c r="Y52" s="16"/>
      <x:c r="Z52" s="16"/>
      <x:c r="AA52" s="16"/>
      <x:c r="AB52" s="109"/>
      <x:c r="AC52" s="109"/>
      <x:c r="AD52" s="16"/>
      <x:c r="AE52" s="16"/>
      <x:c r="AF52" s="16"/>
    </x:row>
    <x:row r="53">
      <x:c r="A53" s="16"/>
      <x:c r="B53" s="16"/>
      <x:c r="C53" s="16"/>
      <x:c r="D53" s="16"/>
      <x:c r="E53" s="16"/>
      <x:c r="F53" s="16"/>
      <x:c r="G53" s="16"/>
      <x:c r="H53" s="109"/>
      <x:c r="I53" s="109"/>
      <x:c r="J53" s="16"/>
      <x:c r="K53" s="16"/>
      <x:c r="L53" s="16"/>
      <x:c r="M53" s="16"/>
      <x:c r="N53" s="16"/>
      <x:c r="O53" s="109"/>
      <x:c r="P53" s="109"/>
      <x:c r="Q53" s="16"/>
      <x:c r="R53" s="16"/>
      <x:c r="S53" s="109"/>
      <x:c r="T53" s="16"/>
      <x:c r="U53" s="16"/>
      <x:c r="V53" s="16"/>
      <x:c r="W53" s="18" t="str">
        <x:f>IF(A53="","",IF(H53="","",IF(I53&lt;&gt;"",I53-H53+1,IF(S53&lt;&gt;"",S53-H53+1,""))))</x:f>
      </x:c>
      <x:c r="X53" s="16"/>
      <x:c r="Y53" s="16"/>
      <x:c r="Z53" s="16"/>
      <x:c r="AA53" s="16"/>
      <x:c r="AB53" s="109"/>
      <x:c r="AC53" s="109"/>
      <x:c r="AD53" s="16"/>
      <x:c r="AE53" s="16"/>
      <x:c r="AF53" s="16"/>
    </x:row>
    <x:row r="54">
      <x:c r="A54" s="16"/>
      <x:c r="B54" s="16"/>
      <x:c r="C54" s="16"/>
      <x:c r="D54" s="16"/>
      <x:c r="E54" s="16"/>
      <x:c r="F54" s="16"/>
      <x:c r="G54" s="16"/>
      <x:c r="H54" s="109"/>
      <x:c r="I54" s="109"/>
      <x:c r="J54" s="16"/>
      <x:c r="K54" s="16"/>
      <x:c r="L54" s="16"/>
      <x:c r="M54" s="16"/>
      <x:c r="N54" s="16"/>
      <x:c r="O54" s="109"/>
      <x:c r="P54" s="109"/>
      <x:c r="Q54" s="16"/>
      <x:c r="R54" s="16"/>
      <x:c r="S54" s="109"/>
      <x:c r="T54" s="16"/>
      <x:c r="U54" s="16"/>
      <x:c r="V54" s="16"/>
      <x:c r="W54" s="18" t="str">
        <x:f>IF(A54="","",IF(H54="","",IF(I54&lt;&gt;"",I54-H54+1,IF(S54&lt;&gt;"",S54-H54+1,""))))</x:f>
      </x:c>
      <x:c r="X54" s="16"/>
      <x:c r="Y54" s="16"/>
      <x:c r="Z54" s="16"/>
      <x:c r="AA54" s="16"/>
      <x:c r="AB54" s="109"/>
      <x:c r="AC54" s="109"/>
      <x:c r="AD54" s="16"/>
      <x:c r="AE54" s="16"/>
      <x:c r="AF54" s="16"/>
    </x:row>
    <x:row r="55">
      <x:c r="A55" s="16"/>
      <x:c r="B55" s="16"/>
      <x:c r="C55" s="16"/>
      <x:c r="D55" s="16"/>
      <x:c r="E55" s="16"/>
      <x:c r="F55" s="16"/>
      <x:c r="G55" s="16"/>
      <x:c r="H55" s="109"/>
      <x:c r="I55" s="109"/>
      <x:c r="J55" s="16"/>
      <x:c r="K55" s="16"/>
      <x:c r="L55" s="16"/>
      <x:c r="M55" s="16"/>
      <x:c r="N55" s="16"/>
      <x:c r="O55" s="109"/>
      <x:c r="P55" s="109"/>
      <x:c r="Q55" s="16"/>
      <x:c r="R55" s="16"/>
      <x:c r="S55" s="109"/>
      <x:c r="T55" s="16"/>
      <x:c r="U55" s="16"/>
      <x:c r="V55" s="16"/>
      <x:c r="W55" s="18" t="str">
        <x:f>IF(A55="","",IF(H55="","",IF(I55&lt;&gt;"",I55-H55+1,IF(S55&lt;&gt;"",S55-H55+1,""))))</x:f>
      </x:c>
      <x:c r="X55" s="16"/>
      <x:c r="Y55" s="16"/>
      <x:c r="Z55" s="16"/>
      <x:c r="AA55" s="16"/>
      <x:c r="AB55" s="109"/>
      <x:c r="AC55" s="109"/>
      <x:c r="AD55" s="16"/>
      <x:c r="AE55" s="16"/>
      <x:c r="AF55" s="16"/>
    </x:row>
    <x:row r="56">
      <x:c r="A56" s="16"/>
      <x:c r="B56" s="16"/>
      <x:c r="C56" s="16"/>
      <x:c r="D56" s="16"/>
      <x:c r="E56" s="16"/>
      <x:c r="F56" s="16"/>
      <x:c r="G56" s="16"/>
      <x:c r="H56" s="109"/>
      <x:c r="I56" s="109"/>
      <x:c r="J56" s="16"/>
      <x:c r="K56" s="16"/>
      <x:c r="L56" s="16"/>
      <x:c r="M56" s="16"/>
      <x:c r="N56" s="16"/>
      <x:c r="O56" s="109"/>
      <x:c r="P56" s="109"/>
      <x:c r="Q56" s="16"/>
      <x:c r="R56" s="16"/>
      <x:c r="S56" s="109"/>
      <x:c r="T56" s="16"/>
      <x:c r="U56" s="16"/>
      <x:c r="V56" s="16"/>
      <x:c r="W56" s="18" t="str">
        <x:f>IF(A56="","",IF(H56="","",IF(I56&lt;&gt;"",I56-H56+1,IF(S56&lt;&gt;"",S56-H56+1,""))))</x:f>
      </x:c>
      <x:c r="X56" s="16"/>
      <x:c r="Y56" s="16"/>
      <x:c r="Z56" s="16"/>
      <x:c r="AA56" s="16"/>
      <x:c r="AB56" s="109"/>
      <x:c r="AC56" s="109"/>
      <x:c r="AD56" s="16"/>
      <x:c r="AE56" s="16"/>
      <x:c r="AF56" s="16"/>
    </x:row>
    <x:row r="57">
      <x:c r="A57" s="16"/>
      <x:c r="B57" s="16"/>
      <x:c r="C57" s="16"/>
      <x:c r="D57" s="16"/>
      <x:c r="E57" s="16"/>
      <x:c r="F57" s="16"/>
      <x:c r="G57" s="16"/>
      <x:c r="H57" s="109"/>
      <x:c r="I57" s="109"/>
      <x:c r="J57" s="16"/>
      <x:c r="K57" s="16"/>
      <x:c r="L57" s="16"/>
      <x:c r="M57" s="16"/>
      <x:c r="N57" s="16"/>
      <x:c r="O57" s="109"/>
      <x:c r="P57" s="109"/>
      <x:c r="Q57" s="16"/>
      <x:c r="R57" s="16"/>
      <x:c r="S57" s="109"/>
      <x:c r="T57" s="16"/>
      <x:c r="U57" s="16"/>
      <x:c r="V57" s="16"/>
      <x:c r="W57" s="18" t="str">
        <x:f>IF(A57="","",IF(H57="","",IF(I57&lt;&gt;"",I57-H57+1,IF(S57&lt;&gt;"",S57-H57+1,""))))</x:f>
      </x:c>
      <x:c r="X57" s="16"/>
      <x:c r="Y57" s="16"/>
      <x:c r="Z57" s="16"/>
      <x:c r="AA57" s="16"/>
      <x:c r="AB57" s="109"/>
      <x:c r="AC57" s="109"/>
      <x:c r="AD57" s="16"/>
      <x:c r="AE57" s="16"/>
      <x:c r="AF57" s="16"/>
    </x:row>
    <x:row r="58">
      <x:c r="A58" s="16"/>
      <x:c r="B58" s="16"/>
      <x:c r="C58" s="16"/>
      <x:c r="D58" s="16"/>
      <x:c r="E58" s="16"/>
      <x:c r="F58" s="16"/>
      <x:c r="G58" s="16"/>
      <x:c r="H58" s="109"/>
      <x:c r="I58" s="109"/>
      <x:c r="J58" s="16"/>
      <x:c r="K58" s="16"/>
      <x:c r="L58" s="16"/>
      <x:c r="M58" s="16"/>
      <x:c r="N58" s="16"/>
      <x:c r="O58" s="109"/>
      <x:c r="P58" s="109"/>
      <x:c r="Q58" s="16"/>
      <x:c r="R58" s="16"/>
      <x:c r="S58" s="109"/>
      <x:c r="T58" s="16"/>
      <x:c r="U58" s="16"/>
      <x:c r="V58" s="16"/>
      <x:c r="W58" s="18" t="str">
        <x:f>IF(A58="","",IF(H58="","",IF(I58&lt;&gt;"",I58-H58+1,IF(S58&lt;&gt;"",S58-H58+1,""))))</x:f>
      </x:c>
      <x:c r="X58" s="16"/>
      <x:c r="Y58" s="16"/>
      <x:c r="Z58" s="16"/>
      <x:c r="AA58" s="16"/>
      <x:c r="AB58" s="109"/>
      <x:c r="AC58" s="109"/>
      <x:c r="AD58" s="16"/>
      <x:c r="AE58" s="16"/>
      <x:c r="AF58" s="16"/>
    </x:row>
    <x:row r="59">
      <x:c r="A59" s="16"/>
      <x:c r="B59" s="16"/>
      <x:c r="C59" s="16"/>
      <x:c r="D59" s="16"/>
      <x:c r="E59" s="16"/>
      <x:c r="F59" s="16"/>
      <x:c r="G59" s="16"/>
      <x:c r="H59" s="109"/>
      <x:c r="I59" s="109"/>
      <x:c r="J59" s="16"/>
      <x:c r="K59" s="16"/>
      <x:c r="L59" s="16"/>
      <x:c r="M59" s="16"/>
      <x:c r="N59" s="16"/>
      <x:c r="O59" s="109"/>
      <x:c r="P59" s="109"/>
      <x:c r="Q59" s="16"/>
      <x:c r="R59" s="16"/>
      <x:c r="S59" s="109"/>
      <x:c r="T59" s="16"/>
      <x:c r="U59" s="16"/>
      <x:c r="V59" s="16"/>
      <x:c r="W59" s="18" t="str">
        <x:f>IF(A59="","",IF(H59="","",IF(I59&lt;&gt;"",I59-H59+1,IF(S59&lt;&gt;"",S59-H59+1,""))))</x:f>
      </x:c>
      <x:c r="X59" s="16"/>
      <x:c r="Y59" s="16"/>
      <x:c r="Z59" s="16"/>
      <x:c r="AA59" s="16"/>
      <x:c r="AB59" s="109"/>
      <x:c r="AC59" s="109"/>
      <x:c r="AD59" s="16"/>
      <x:c r="AE59" s="16"/>
      <x:c r="AF59" s="16"/>
    </x:row>
    <x:row r="60">
      <x:c r="A60" s="16"/>
      <x:c r="B60" s="16"/>
      <x:c r="C60" s="16"/>
      <x:c r="D60" s="16"/>
      <x:c r="E60" s="16"/>
      <x:c r="F60" s="16"/>
      <x:c r="G60" s="16"/>
      <x:c r="H60" s="109"/>
      <x:c r="I60" s="109"/>
      <x:c r="J60" s="16"/>
      <x:c r="K60" s="16"/>
      <x:c r="L60" s="16"/>
      <x:c r="M60" s="16"/>
      <x:c r="N60" s="16"/>
      <x:c r="O60" s="109"/>
      <x:c r="P60" s="109"/>
      <x:c r="Q60" s="16"/>
      <x:c r="R60" s="16"/>
      <x:c r="S60" s="109"/>
      <x:c r="T60" s="16"/>
      <x:c r="U60" s="16"/>
      <x:c r="V60" s="16"/>
      <x:c r="W60" s="18" t="str">
        <x:f>IF(A60="","",IF(H60="","",IF(I60&lt;&gt;"",I60-H60+1,IF(S60&lt;&gt;"",S60-H60+1,""))))</x:f>
      </x:c>
      <x:c r="X60" s="16"/>
      <x:c r="Y60" s="16"/>
      <x:c r="Z60" s="16"/>
      <x:c r="AA60" s="16"/>
      <x:c r="AB60" s="109"/>
      <x:c r="AC60" s="109"/>
      <x:c r="AD60" s="16"/>
      <x:c r="AE60" s="16"/>
      <x:c r="AF60" s="16"/>
    </x:row>
    <x:row r="61">
      <x:c r="A61" s="16"/>
      <x:c r="B61" s="16"/>
      <x:c r="C61" s="16"/>
      <x:c r="D61" s="16"/>
      <x:c r="E61" s="16"/>
      <x:c r="F61" s="16"/>
      <x:c r="G61" s="16"/>
      <x:c r="H61" s="109"/>
      <x:c r="I61" s="109"/>
      <x:c r="J61" s="16"/>
      <x:c r="K61" s="16"/>
      <x:c r="L61" s="16"/>
      <x:c r="M61" s="16"/>
      <x:c r="N61" s="16"/>
      <x:c r="O61" s="109"/>
      <x:c r="P61" s="109"/>
      <x:c r="Q61" s="16"/>
      <x:c r="R61" s="16"/>
      <x:c r="S61" s="109"/>
      <x:c r="T61" s="16"/>
      <x:c r="U61" s="16"/>
      <x:c r="V61" s="16"/>
      <x:c r="W61" s="18" t="str">
        <x:f>IF(A61="","",IF(H61="","",IF(I61&lt;&gt;"",I61-H61+1,IF(S61&lt;&gt;"",S61-H61+1,""))))</x:f>
      </x:c>
      <x:c r="X61" s="16"/>
      <x:c r="Y61" s="16"/>
      <x:c r="Z61" s="16"/>
      <x:c r="AA61" s="16"/>
      <x:c r="AB61" s="109"/>
      <x:c r="AC61" s="109"/>
      <x:c r="AD61" s="16"/>
      <x:c r="AE61" s="16"/>
      <x:c r="AF61" s="16"/>
    </x:row>
    <x:row r="62">
      <x:c r="A62" s="16"/>
      <x:c r="B62" s="16"/>
      <x:c r="C62" s="16"/>
      <x:c r="D62" s="16"/>
      <x:c r="E62" s="16"/>
      <x:c r="F62" s="16"/>
      <x:c r="G62" s="16"/>
      <x:c r="H62" s="109"/>
      <x:c r="I62" s="109"/>
      <x:c r="J62" s="16"/>
      <x:c r="K62" s="16"/>
      <x:c r="L62" s="16"/>
      <x:c r="M62" s="16"/>
      <x:c r="N62" s="16"/>
      <x:c r="O62" s="109"/>
      <x:c r="P62" s="109"/>
      <x:c r="Q62" s="16"/>
      <x:c r="R62" s="16"/>
      <x:c r="S62" s="109"/>
      <x:c r="T62" s="16"/>
      <x:c r="U62" s="16"/>
      <x:c r="V62" s="16"/>
      <x:c r="W62" s="18" t="str">
        <x:f>IF(A62="","",IF(H62="","",IF(I62&lt;&gt;"",I62-H62+1,IF(S62&lt;&gt;"",S62-H62+1,""))))</x:f>
      </x:c>
      <x:c r="X62" s="16"/>
      <x:c r="Y62" s="16"/>
      <x:c r="Z62" s="16"/>
      <x:c r="AA62" s="16"/>
      <x:c r="AB62" s="109"/>
      <x:c r="AC62" s="109"/>
      <x:c r="AD62" s="16"/>
      <x:c r="AE62" s="16"/>
      <x:c r="AF62" s="16"/>
    </x:row>
    <x:row r="63">
      <x:c r="A63" s="16"/>
      <x:c r="B63" s="16"/>
      <x:c r="C63" s="16"/>
      <x:c r="D63" s="16"/>
      <x:c r="E63" s="16"/>
      <x:c r="F63" s="16"/>
      <x:c r="G63" s="16"/>
      <x:c r="H63" s="109"/>
      <x:c r="I63" s="109"/>
      <x:c r="J63" s="16"/>
      <x:c r="K63" s="16"/>
      <x:c r="L63" s="16"/>
      <x:c r="M63" s="16"/>
      <x:c r="N63" s="16"/>
      <x:c r="O63" s="109"/>
      <x:c r="P63" s="109"/>
      <x:c r="Q63" s="16"/>
      <x:c r="R63" s="16"/>
      <x:c r="S63" s="109"/>
      <x:c r="T63" s="16"/>
      <x:c r="U63" s="16"/>
      <x:c r="V63" s="16"/>
      <x:c r="W63" s="18" t="str">
        <x:f>IF(A63="","",IF(H63="","",IF(I63&lt;&gt;"",I63-H63+1,IF(S63&lt;&gt;"",S63-H63+1,""))))</x:f>
      </x:c>
      <x:c r="X63" s="16"/>
      <x:c r="Y63" s="16"/>
      <x:c r="Z63" s="16"/>
      <x:c r="AA63" s="16"/>
      <x:c r="AB63" s="109"/>
      <x:c r="AC63" s="109"/>
      <x:c r="AD63" s="16"/>
      <x:c r="AE63" s="16"/>
      <x:c r="AF63" s="16"/>
    </x:row>
    <x:row r="64">
      <x:c r="A64" s="16"/>
      <x:c r="B64" s="16"/>
      <x:c r="C64" s="16"/>
      <x:c r="D64" s="16"/>
      <x:c r="E64" s="16"/>
      <x:c r="F64" s="16"/>
      <x:c r="G64" s="16"/>
      <x:c r="H64" s="109"/>
      <x:c r="I64" s="109"/>
      <x:c r="J64" s="16"/>
      <x:c r="K64" s="16"/>
      <x:c r="L64" s="16"/>
      <x:c r="M64" s="16"/>
      <x:c r="N64" s="16"/>
      <x:c r="O64" s="109"/>
      <x:c r="P64" s="109"/>
      <x:c r="Q64" s="16"/>
      <x:c r="R64" s="16"/>
      <x:c r="S64" s="109"/>
      <x:c r="T64" s="16"/>
      <x:c r="U64" s="16"/>
      <x:c r="V64" s="16"/>
      <x:c r="W64" s="18" t="str">
        <x:f>IF(A64="","",IF(H64="","",IF(I64&lt;&gt;"",I64-H64+1,IF(S64&lt;&gt;"",S64-H64+1,""))))</x:f>
      </x:c>
      <x:c r="X64" s="16"/>
      <x:c r="Y64" s="16"/>
      <x:c r="Z64" s="16"/>
      <x:c r="AA64" s="16"/>
      <x:c r="AB64" s="109"/>
      <x:c r="AC64" s="109"/>
      <x:c r="AD64" s="16"/>
      <x:c r="AE64" s="16"/>
      <x:c r="AF64" s="16"/>
    </x:row>
    <x:row r="65">
      <x:c r="A65" s="16"/>
      <x:c r="B65" s="16"/>
      <x:c r="C65" s="16"/>
      <x:c r="D65" s="16"/>
      <x:c r="E65" s="16"/>
      <x:c r="F65" s="16"/>
      <x:c r="G65" s="16"/>
      <x:c r="H65" s="109"/>
      <x:c r="I65" s="109"/>
      <x:c r="J65" s="16"/>
      <x:c r="K65" s="16"/>
      <x:c r="L65" s="16"/>
      <x:c r="M65" s="16"/>
      <x:c r="N65" s="16"/>
      <x:c r="O65" s="109"/>
      <x:c r="P65" s="109"/>
      <x:c r="Q65" s="16"/>
      <x:c r="R65" s="16"/>
      <x:c r="S65" s="109"/>
      <x:c r="T65" s="16"/>
      <x:c r="U65" s="16"/>
      <x:c r="V65" s="16"/>
      <x:c r="W65" s="18" t="str">
        <x:f>IF(A65="","",IF(H65="","",IF(I65&lt;&gt;"",I65-H65+1,IF(S65&lt;&gt;"",S65-H65+1,""))))</x:f>
      </x:c>
      <x:c r="X65" s="16"/>
      <x:c r="Y65" s="16"/>
      <x:c r="Z65" s="16"/>
      <x:c r="AA65" s="16"/>
      <x:c r="AB65" s="109"/>
      <x:c r="AC65" s="109"/>
      <x:c r="AD65" s="16"/>
      <x:c r="AE65" s="16"/>
      <x:c r="AF65" s="16"/>
    </x:row>
    <x:row r="66">
      <x:c r="A66" s="16"/>
      <x:c r="B66" s="16"/>
      <x:c r="C66" s="16"/>
      <x:c r="D66" s="16"/>
      <x:c r="E66" s="16"/>
      <x:c r="F66" s="16"/>
      <x:c r="G66" s="16"/>
      <x:c r="H66" s="109"/>
      <x:c r="I66" s="109"/>
      <x:c r="J66" s="16"/>
      <x:c r="K66" s="16"/>
      <x:c r="L66" s="16"/>
      <x:c r="M66" s="16"/>
      <x:c r="N66" s="16"/>
      <x:c r="O66" s="109"/>
      <x:c r="P66" s="109"/>
      <x:c r="Q66" s="16"/>
      <x:c r="R66" s="16"/>
      <x:c r="S66" s="109"/>
      <x:c r="T66" s="16"/>
      <x:c r="U66" s="16"/>
      <x:c r="V66" s="16"/>
      <x:c r="W66" s="18" t="str">
        <x:f>IF(A66="","",IF(H66="","",IF(I66&lt;&gt;"",I66-H66+1,IF(S66&lt;&gt;"",S66-H66+1,""))))</x:f>
      </x:c>
      <x:c r="X66" s="16"/>
      <x:c r="Y66" s="16"/>
      <x:c r="Z66" s="16"/>
      <x:c r="AA66" s="16"/>
      <x:c r="AB66" s="109"/>
      <x:c r="AC66" s="109"/>
      <x:c r="AD66" s="16"/>
      <x:c r="AE66" s="16"/>
      <x:c r="AF66" s="16"/>
    </x:row>
    <x:row r="67">
      <x:c r="A67" s="16"/>
      <x:c r="B67" s="16"/>
      <x:c r="C67" s="16"/>
      <x:c r="D67" s="16"/>
      <x:c r="E67" s="16"/>
      <x:c r="F67" s="16"/>
      <x:c r="G67" s="16"/>
      <x:c r="H67" s="109"/>
      <x:c r="I67" s="109"/>
      <x:c r="J67" s="16"/>
      <x:c r="K67" s="16"/>
      <x:c r="L67" s="16"/>
      <x:c r="M67" s="16"/>
      <x:c r="N67" s="16"/>
      <x:c r="O67" s="109"/>
      <x:c r="P67" s="109"/>
      <x:c r="Q67" s="16"/>
      <x:c r="R67" s="16"/>
      <x:c r="S67" s="109"/>
      <x:c r="T67" s="16"/>
      <x:c r="U67" s="16"/>
      <x:c r="V67" s="16"/>
      <x:c r="W67" s="18" t="str">
        <x:f>IF(A67="","",IF(H67="","",IF(I67&lt;&gt;"",I67-H67+1,IF(S67&lt;&gt;"",S67-H67+1,""))))</x:f>
      </x:c>
      <x:c r="X67" s="16"/>
      <x:c r="Y67" s="16"/>
      <x:c r="Z67" s="16"/>
      <x:c r="AA67" s="16"/>
      <x:c r="AB67" s="109"/>
      <x:c r="AC67" s="109"/>
      <x:c r="AD67" s="16"/>
      <x:c r="AE67" s="16"/>
      <x:c r="AF67" s="16"/>
    </x:row>
    <x:row r="68">
      <x:c r="A68" s="16"/>
      <x:c r="B68" s="16"/>
      <x:c r="C68" s="16"/>
      <x:c r="D68" s="16"/>
      <x:c r="E68" s="16"/>
      <x:c r="F68" s="16"/>
      <x:c r="G68" s="16"/>
      <x:c r="H68" s="109"/>
      <x:c r="I68" s="109"/>
      <x:c r="J68" s="16"/>
      <x:c r="K68" s="16"/>
      <x:c r="L68" s="16"/>
      <x:c r="M68" s="16"/>
      <x:c r="N68" s="16"/>
      <x:c r="O68" s="109"/>
      <x:c r="P68" s="109"/>
      <x:c r="Q68" s="16"/>
      <x:c r="R68" s="16"/>
      <x:c r="S68" s="109"/>
      <x:c r="T68" s="16"/>
      <x:c r="U68" s="16"/>
      <x:c r="V68" s="16"/>
      <x:c r="W68" s="18" t="str">
        <x:f>IF(A68="","",IF(H68="","",IF(I68&lt;&gt;"",I68-H68+1,IF(S68&lt;&gt;"",S68-H68+1,""))))</x:f>
      </x:c>
      <x:c r="X68" s="16"/>
      <x:c r="Y68" s="16"/>
      <x:c r="Z68" s="16"/>
      <x:c r="AA68" s="16"/>
      <x:c r="AB68" s="109"/>
      <x:c r="AC68" s="109"/>
      <x:c r="AD68" s="16"/>
      <x:c r="AE68" s="16"/>
      <x:c r="AF68" s="16"/>
    </x:row>
    <x:row r="69">
      <x:c r="A69" s="16"/>
      <x:c r="B69" s="16"/>
      <x:c r="C69" s="16"/>
      <x:c r="D69" s="16"/>
      <x:c r="E69" s="16"/>
      <x:c r="F69" s="16"/>
      <x:c r="G69" s="16"/>
      <x:c r="H69" s="109"/>
      <x:c r="I69" s="109"/>
      <x:c r="J69" s="16"/>
      <x:c r="K69" s="16"/>
      <x:c r="L69" s="16"/>
      <x:c r="M69" s="16"/>
      <x:c r="N69" s="16"/>
      <x:c r="O69" s="109"/>
      <x:c r="P69" s="109"/>
      <x:c r="Q69" s="16"/>
      <x:c r="R69" s="16"/>
      <x:c r="S69" s="109"/>
      <x:c r="T69" s="16"/>
      <x:c r="U69" s="16"/>
      <x:c r="V69" s="16"/>
      <x:c r="W69" s="18" t="str">
        <x:f>IF(A69="","",IF(H69="","",IF(I69&lt;&gt;"",I69-H69+1,IF(S69&lt;&gt;"",S69-H69+1,""))))</x:f>
      </x:c>
      <x:c r="X69" s="16"/>
      <x:c r="Y69" s="16"/>
      <x:c r="Z69" s="16"/>
      <x:c r="AA69" s="16"/>
      <x:c r="AB69" s="109"/>
      <x:c r="AC69" s="109"/>
      <x:c r="AD69" s="16"/>
      <x:c r="AE69" s="16"/>
      <x:c r="AF69" s="16"/>
    </x:row>
    <x:row r="70">
      <x:c r="A70" s="16"/>
      <x:c r="B70" s="16"/>
      <x:c r="C70" s="16"/>
      <x:c r="D70" s="16"/>
      <x:c r="E70" s="16"/>
      <x:c r="F70" s="16"/>
      <x:c r="G70" s="16"/>
      <x:c r="H70" s="109"/>
      <x:c r="I70" s="109"/>
      <x:c r="J70" s="16"/>
      <x:c r="K70" s="16"/>
      <x:c r="L70" s="16"/>
      <x:c r="M70" s="16"/>
      <x:c r="N70" s="16"/>
      <x:c r="O70" s="109"/>
      <x:c r="P70" s="109"/>
      <x:c r="Q70" s="16"/>
      <x:c r="R70" s="16"/>
      <x:c r="S70" s="109"/>
      <x:c r="T70" s="16"/>
      <x:c r="U70" s="16"/>
      <x:c r="V70" s="16"/>
      <x:c r="W70" s="18" t="str">
        <x:f>IF(A70="","",IF(H70="","",IF(I70&lt;&gt;"",I70-H70+1,IF(S70&lt;&gt;"",S70-H70+1,""))))</x:f>
      </x:c>
      <x:c r="X70" s="16"/>
      <x:c r="Y70" s="16"/>
      <x:c r="Z70" s="16"/>
      <x:c r="AA70" s="16"/>
      <x:c r="AB70" s="109"/>
      <x:c r="AC70" s="109"/>
      <x:c r="AD70" s="16"/>
      <x:c r="AE70" s="16"/>
      <x:c r="AF70" s="16"/>
    </x:row>
    <x:row r="71">
      <x:c r="A71" s="16"/>
      <x:c r="B71" s="16"/>
      <x:c r="C71" s="16"/>
      <x:c r="D71" s="16"/>
      <x:c r="E71" s="16"/>
      <x:c r="F71" s="16"/>
      <x:c r="G71" s="16"/>
      <x:c r="H71" s="109"/>
      <x:c r="I71" s="109"/>
      <x:c r="J71" s="16"/>
      <x:c r="K71" s="16"/>
      <x:c r="L71" s="16"/>
      <x:c r="M71" s="16"/>
      <x:c r="N71" s="16"/>
      <x:c r="O71" s="109"/>
      <x:c r="P71" s="109"/>
      <x:c r="Q71" s="16"/>
      <x:c r="R71" s="16"/>
      <x:c r="S71" s="109"/>
      <x:c r="T71" s="16"/>
      <x:c r="U71" s="16"/>
      <x:c r="V71" s="16"/>
      <x:c r="W71" s="18" t="str">
        <x:f>IF(A71="","",IF(H71="","",IF(I71&lt;&gt;"",I71-H71+1,IF(S71&lt;&gt;"",S71-H71+1,""))))</x:f>
      </x:c>
      <x:c r="X71" s="16"/>
      <x:c r="Y71" s="16"/>
      <x:c r="Z71" s="16"/>
      <x:c r="AA71" s="16"/>
      <x:c r="AB71" s="109"/>
      <x:c r="AC71" s="109"/>
      <x:c r="AD71" s="16"/>
      <x:c r="AE71" s="16"/>
      <x:c r="AF71" s="16"/>
    </x:row>
    <x:row r="72">
      <x:c r="A72" s="16"/>
      <x:c r="B72" s="16"/>
      <x:c r="C72" s="16"/>
      <x:c r="D72" s="16"/>
      <x:c r="E72" s="16"/>
      <x:c r="F72" s="16"/>
      <x:c r="G72" s="16"/>
      <x:c r="H72" s="109"/>
      <x:c r="I72" s="109"/>
      <x:c r="J72" s="16"/>
      <x:c r="K72" s="16"/>
      <x:c r="L72" s="16"/>
      <x:c r="M72" s="16"/>
      <x:c r="N72" s="16"/>
      <x:c r="O72" s="109"/>
      <x:c r="P72" s="109"/>
      <x:c r="Q72" s="16"/>
      <x:c r="R72" s="16"/>
      <x:c r="S72" s="109"/>
      <x:c r="T72" s="16"/>
      <x:c r="U72" s="16"/>
      <x:c r="V72" s="16"/>
      <x:c r="W72" s="18" t="str">
        <x:f>IF(A72="","",IF(H72="","",IF(I72&lt;&gt;"",I72-H72+1,IF(S72&lt;&gt;"",S72-H72+1,""))))</x:f>
      </x:c>
      <x:c r="X72" s="16"/>
      <x:c r="Y72" s="16"/>
      <x:c r="Z72" s="16"/>
      <x:c r="AA72" s="16"/>
      <x:c r="AB72" s="109"/>
      <x:c r="AC72" s="109"/>
      <x:c r="AD72" s="16"/>
      <x:c r="AE72" s="16"/>
      <x:c r="AF72" s="16"/>
    </x:row>
    <x:row r="73">
      <x:c r="A73" s="16"/>
      <x:c r="B73" s="16"/>
      <x:c r="C73" s="16"/>
      <x:c r="D73" s="16"/>
      <x:c r="E73" s="16"/>
      <x:c r="F73" s="16"/>
      <x:c r="G73" s="16"/>
      <x:c r="H73" s="109"/>
      <x:c r="I73" s="109"/>
      <x:c r="J73" s="16"/>
      <x:c r="K73" s="16"/>
      <x:c r="L73" s="16"/>
      <x:c r="M73" s="16"/>
      <x:c r="N73" s="16"/>
      <x:c r="O73" s="109"/>
      <x:c r="P73" s="109"/>
      <x:c r="Q73" s="16"/>
      <x:c r="R73" s="16"/>
      <x:c r="S73" s="109"/>
      <x:c r="T73" s="16"/>
      <x:c r="U73" s="16"/>
      <x:c r="V73" s="16"/>
      <x:c r="W73" s="18" t="str">
        <x:f>IF(A73="","",IF(H73="","",IF(I73&lt;&gt;"",I73-H73+1,IF(S73&lt;&gt;"",S73-H73+1,""))))</x:f>
      </x:c>
      <x:c r="X73" s="16"/>
      <x:c r="Y73" s="16"/>
      <x:c r="Z73" s="16"/>
      <x:c r="AA73" s="16"/>
      <x:c r="AB73" s="109"/>
      <x:c r="AC73" s="109"/>
      <x:c r="AD73" s="16"/>
      <x:c r="AE73" s="16"/>
      <x:c r="AF73" s="16"/>
    </x:row>
    <x:row r="74">
      <x:c r="A74" s="16"/>
      <x:c r="B74" s="16"/>
      <x:c r="C74" s="16"/>
      <x:c r="D74" s="16"/>
      <x:c r="E74" s="16"/>
      <x:c r="F74" s="16"/>
      <x:c r="G74" s="16"/>
      <x:c r="H74" s="109"/>
      <x:c r="I74" s="109"/>
      <x:c r="J74" s="16"/>
      <x:c r="K74" s="16"/>
      <x:c r="L74" s="16"/>
      <x:c r="M74" s="16"/>
      <x:c r="N74" s="16"/>
      <x:c r="O74" s="109"/>
      <x:c r="P74" s="109"/>
      <x:c r="Q74" s="16"/>
      <x:c r="R74" s="16"/>
      <x:c r="S74" s="109"/>
      <x:c r="T74" s="16"/>
      <x:c r="U74" s="16"/>
      <x:c r="V74" s="16"/>
      <x:c r="W74" s="18" t="str">
        <x:f>IF(A74="","",IF(H74="","",IF(I74&lt;&gt;"",I74-H74+1,IF(S74&lt;&gt;"",S74-H74+1,""))))</x:f>
      </x:c>
      <x:c r="X74" s="16"/>
      <x:c r="Y74" s="16"/>
      <x:c r="Z74" s="16"/>
      <x:c r="AA74" s="16"/>
      <x:c r="AB74" s="109"/>
      <x:c r="AC74" s="109"/>
      <x:c r="AD74" s="16"/>
      <x:c r="AE74" s="16"/>
      <x:c r="AF74" s="16"/>
    </x:row>
    <x:row r="75">
      <x:c r="A75" s="16"/>
      <x:c r="B75" s="16"/>
      <x:c r="C75" s="16"/>
      <x:c r="D75" s="16"/>
      <x:c r="E75" s="16"/>
      <x:c r="F75" s="16"/>
      <x:c r="G75" s="16"/>
      <x:c r="H75" s="109"/>
      <x:c r="I75" s="109"/>
      <x:c r="J75" s="16"/>
      <x:c r="K75" s="16"/>
      <x:c r="L75" s="16"/>
      <x:c r="M75" s="16"/>
      <x:c r="N75" s="16"/>
      <x:c r="O75" s="109"/>
      <x:c r="P75" s="109"/>
      <x:c r="Q75" s="16"/>
      <x:c r="R75" s="16"/>
      <x:c r="S75" s="109"/>
      <x:c r="T75" s="16"/>
      <x:c r="U75" s="16"/>
      <x:c r="V75" s="16"/>
      <x:c r="W75" s="18" t="str">
        <x:f>IF(A75="","",IF(H75="","",IF(I75&lt;&gt;"",I75-H75+1,IF(S75&lt;&gt;"",S75-H75+1,""))))</x:f>
      </x:c>
      <x:c r="X75" s="16"/>
      <x:c r="Y75" s="16"/>
      <x:c r="Z75" s="16"/>
      <x:c r="AA75" s="16"/>
      <x:c r="AB75" s="109"/>
      <x:c r="AC75" s="109"/>
      <x:c r="AD75" s="16"/>
      <x:c r="AE75" s="16"/>
      <x:c r="AF75" s="16"/>
    </x:row>
    <x:row r="76">
      <x:c r="A76" s="16"/>
      <x:c r="B76" s="16"/>
      <x:c r="C76" s="16"/>
      <x:c r="D76" s="16"/>
      <x:c r="E76" s="16"/>
      <x:c r="F76" s="16"/>
      <x:c r="G76" s="16"/>
      <x:c r="H76" s="109"/>
      <x:c r="I76" s="109"/>
      <x:c r="J76" s="16"/>
      <x:c r="K76" s="16"/>
      <x:c r="L76" s="16"/>
      <x:c r="M76" s="16"/>
      <x:c r="N76" s="16"/>
      <x:c r="O76" s="109"/>
      <x:c r="P76" s="109"/>
      <x:c r="Q76" s="16"/>
      <x:c r="R76" s="16"/>
      <x:c r="S76" s="109"/>
      <x:c r="T76" s="16"/>
      <x:c r="U76" s="16"/>
      <x:c r="V76" s="16"/>
      <x:c r="W76" s="18" t="str">
        <x:f>IF(A76="","",IF(H76="","",IF(I76&lt;&gt;"",I76-H76+1,IF(S76&lt;&gt;"",S76-H76+1,""))))</x:f>
      </x:c>
      <x:c r="X76" s="16"/>
      <x:c r="Y76" s="16"/>
      <x:c r="Z76" s="16"/>
      <x:c r="AA76" s="16"/>
      <x:c r="AB76" s="109"/>
      <x:c r="AC76" s="109"/>
      <x:c r="AD76" s="16"/>
      <x:c r="AE76" s="16"/>
      <x:c r="AF76" s="16"/>
    </x:row>
    <x:row r="77">
      <x:c r="A77" s="16"/>
      <x:c r="B77" s="16"/>
      <x:c r="C77" s="16"/>
      <x:c r="D77" s="16"/>
      <x:c r="E77" s="16"/>
      <x:c r="F77" s="16"/>
      <x:c r="G77" s="16"/>
      <x:c r="H77" s="109"/>
      <x:c r="I77" s="109"/>
      <x:c r="J77" s="16"/>
      <x:c r="K77" s="16"/>
      <x:c r="L77" s="16"/>
      <x:c r="M77" s="16"/>
      <x:c r="N77" s="16"/>
      <x:c r="O77" s="109"/>
      <x:c r="P77" s="109"/>
      <x:c r="Q77" s="16"/>
      <x:c r="R77" s="16"/>
      <x:c r="S77" s="109"/>
      <x:c r="T77" s="16"/>
      <x:c r="U77" s="16"/>
      <x:c r="V77" s="16"/>
      <x:c r="W77" s="18" t="str">
        <x:f>IF(A77="","",IF(H77="","",IF(I77&lt;&gt;"",I77-H77+1,IF(S77&lt;&gt;"",S77-H77+1,""))))</x:f>
      </x:c>
      <x:c r="X77" s="16"/>
      <x:c r="Y77" s="16"/>
      <x:c r="Z77" s="16"/>
      <x:c r="AA77" s="16"/>
      <x:c r="AB77" s="109"/>
      <x:c r="AC77" s="109"/>
      <x:c r="AD77" s="16"/>
      <x:c r="AE77" s="16"/>
      <x:c r="AF77" s="16"/>
    </x:row>
    <x:row r="78">
      <x:c r="A78" s="16"/>
      <x:c r="B78" s="16"/>
      <x:c r="C78" s="16"/>
      <x:c r="D78" s="16"/>
      <x:c r="E78" s="16"/>
      <x:c r="F78" s="16"/>
      <x:c r="G78" s="16"/>
      <x:c r="H78" s="109"/>
      <x:c r="I78" s="109"/>
      <x:c r="J78" s="16"/>
      <x:c r="K78" s="16"/>
      <x:c r="L78" s="16"/>
      <x:c r="M78" s="16"/>
      <x:c r="N78" s="16"/>
      <x:c r="O78" s="109"/>
      <x:c r="P78" s="109"/>
      <x:c r="Q78" s="16"/>
      <x:c r="R78" s="16"/>
      <x:c r="S78" s="109"/>
      <x:c r="T78" s="16"/>
      <x:c r="U78" s="16"/>
      <x:c r="V78" s="16"/>
      <x:c r="W78" s="18" t="str">
        <x:f>IF(A78="","",IF(H78="","",IF(I78&lt;&gt;"",I78-H78+1,IF(S78&lt;&gt;"",S78-H78+1,""))))</x:f>
      </x:c>
      <x:c r="X78" s="16"/>
      <x:c r="Y78" s="16"/>
      <x:c r="Z78" s="16"/>
      <x:c r="AA78" s="16"/>
      <x:c r="AB78" s="109"/>
      <x:c r="AC78" s="109"/>
      <x:c r="AD78" s="16"/>
      <x:c r="AE78" s="16"/>
      <x:c r="AF78" s="16"/>
    </x:row>
    <x:row r="79">
      <x:c r="A79" s="16"/>
      <x:c r="B79" s="16"/>
      <x:c r="C79" s="16"/>
      <x:c r="D79" s="16"/>
      <x:c r="E79" s="16"/>
      <x:c r="F79" s="16"/>
      <x:c r="G79" s="16"/>
      <x:c r="H79" s="109"/>
      <x:c r="I79" s="109"/>
      <x:c r="J79" s="16"/>
      <x:c r="K79" s="16"/>
      <x:c r="L79" s="16"/>
      <x:c r="M79" s="16"/>
      <x:c r="N79" s="16"/>
      <x:c r="O79" s="109"/>
      <x:c r="P79" s="109"/>
      <x:c r="Q79" s="16"/>
      <x:c r="R79" s="16"/>
      <x:c r="S79" s="109"/>
      <x:c r="T79" s="16"/>
      <x:c r="U79" s="16"/>
      <x:c r="V79" s="16"/>
      <x:c r="W79" s="18" t="str">
        <x:f>IF(A79="","",IF(H79="","",IF(I79&lt;&gt;"",I79-H79+1,IF(S79&lt;&gt;"",S79-H79+1,""))))</x:f>
      </x:c>
      <x:c r="X79" s="16"/>
      <x:c r="Y79" s="16"/>
      <x:c r="Z79" s="16"/>
      <x:c r="AA79" s="16"/>
      <x:c r="AB79" s="109"/>
      <x:c r="AC79" s="109"/>
      <x:c r="AD79" s="16"/>
      <x:c r="AE79" s="16"/>
      <x:c r="AF79" s="16"/>
    </x:row>
    <x:row r="80">
      <x:c r="A80" s="16"/>
      <x:c r="B80" s="16"/>
      <x:c r="C80" s="16"/>
      <x:c r="D80" s="16"/>
      <x:c r="E80" s="16"/>
      <x:c r="F80" s="16"/>
      <x:c r="G80" s="16"/>
      <x:c r="H80" s="109"/>
      <x:c r="I80" s="109"/>
      <x:c r="J80" s="16"/>
      <x:c r="K80" s="16"/>
      <x:c r="L80" s="16"/>
      <x:c r="M80" s="16"/>
      <x:c r="N80" s="16"/>
      <x:c r="O80" s="109"/>
      <x:c r="P80" s="109"/>
      <x:c r="Q80" s="16"/>
      <x:c r="R80" s="16"/>
      <x:c r="S80" s="109"/>
      <x:c r="T80" s="16"/>
      <x:c r="U80" s="16"/>
      <x:c r="V80" s="16"/>
      <x:c r="W80" s="18" t="str">
        <x:f>IF(A80="","",IF(H80="","",IF(I80&lt;&gt;"",I80-H80+1,IF(S80&lt;&gt;"",S80-H80+1,""))))</x:f>
      </x:c>
      <x:c r="X80" s="16"/>
      <x:c r="Y80" s="16"/>
      <x:c r="Z80" s="16"/>
      <x:c r="AA80" s="16"/>
      <x:c r="AB80" s="109"/>
      <x:c r="AC80" s="109"/>
      <x:c r="AD80" s="16"/>
      <x:c r="AE80" s="16"/>
      <x:c r="AF80" s="16"/>
    </x:row>
    <x:row r="81">
      <x:c r="A81" s="16"/>
      <x:c r="B81" s="16"/>
      <x:c r="C81" s="16"/>
      <x:c r="D81" s="16"/>
      <x:c r="E81" s="16"/>
      <x:c r="F81" s="16"/>
      <x:c r="G81" s="16"/>
      <x:c r="H81" s="109"/>
      <x:c r="I81" s="109"/>
      <x:c r="J81" s="16"/>
      <x:c r="K81" s="16"/>
      <x:c r="L81" s="16"/>
      <x:c r="M81" s="16"/>
      <x:c r="N81" s="16"/>
      <x:c r="O81" s="109"/>
      <x:c r="P81" s="109"/>
      <x:c r="Q81" s="16"/>
      <x:c r="R81" s="16"/>
      <x:c r="S81" s="109"/>
      <x:c r="T81" s="16"/>
      <x:c r="U81" s="16"/>
      <x:c r="V81" s="16"/>
      <x:c r="W81" s="18" t="str">
        <x:f>IF(A81="","",IF(H81="","",IF(I81&lt;&gt;"",I81-H81+1,IF(S81&lt;&gt;"",S81-H81+1,""))))</x:f>
      </x:c>
      <x:c r="X81" s="16"/>
      <x:c r="Y81" s="16"/>
      <x:c r="Z81" s="16"/>
      <x:c r="AA81" s="16"/>
      <x:c r="AB81" s="109"/>
      <x:c r="AC81" s="109"/>
      <x:c r="AD81" s="16"/>
      <x:c r="AE81" s="16"/>
      <x:c r="AF81" s="16"/>
    </x:row>
    <x:row r="82">
      <x:c r="A82" s="16"/>
      <x:c r="B82" s="16"/>
      <x:c r="C82" s="16"/>
      <x:c r="D82" s="16"/>
      <x:c r="E82" s="16"/>
      <x:c r="F82" s="16"/>
      <x:c r="G82" s="16"/>
      <x:c r="H82" s="109"/>
      <x:c r="I82" s="109"/>
      <x:c r="J82" s="16"/>
      <x:c r="K82" s="16"/>
      <x:c r="L82" s="16"/>
      <x:c r="M82" s="16"/>
      <x:c r="N82" s="16"/>
      <x:c r="O82" s="109"/>
      <x:c r="P82" s="109"/>
      <x:c r="Q82" s="16"/>
      <x:c r="R82" s="16"/>
      <x:c r="S82" s="109"/>
      <x:c r="T82" s="16"/>
      <x:c r="U82" s="16"/>
      <x:c r="V82" s="16"/>
      <x:c r="W82" s="18" t="str">
        <x:f>IF(A82="","",IF(H82="","",IF(I82&lt;&gt;"",I82-H82+1,IF(S82&lt;&gt;"",S82-H82+1,""))))</x:f>
      </x:c>
      <x:c r="X82" s="16"/>
      <x:c r="Y82" s="16"/>
      <x:c r="Z82" s="16"/>
      <x:c r="AA82" s="16"/>
      <x:c r="AB82" s="109"/>
      <x:c r="AC82" s="109"/>
      <x:c r="AD82" s="16"/>
      <x:c r="AE82" s="16"/>
      <x:c r="AF82" s="16"/>
    </x:row>
    <x:row r="83">
      <x:c r="A83" s="16"/>
      <x:c r="B83" s="16"/>
      <x:c r="C83" s="16"/>
      <x:c r="D83" s="16"/>
      <x:c r="E83" s="16"/>
      <x:c r="F83" s="16"/>
      <x:c r="G83" s="16"/>
      <x:c r="H83" s="109"/>
      <x:c r="I83" s="109"/>
      <x:c r="J83" s="16"/>
      <x:c r="K83" s="16"/>
      <x:c r="L83" s="16"/>
      <x:c r="M83" s="16"/>
      <x:c r="N83" s="16"/>
      <x:c r="O83" s="109"/>
      <x:c r="P83" s="109"/>
      <x:c r="Q83" s="16"/>
      <x:c r="R83" s="16"/>
      <x:c r="S83" s="109"/>
      <x:c r="T83" s="16"/>
      <x:c r="U83" s="16"/>
      <x:c r="V83" s="16"/>
      <x:c r="W83" s="18" t="str">
        <x:f>IF(A83="","",IF(H83="","",IF(I83&lt;&gt;"",I83-H83+1,IF(S83&lt;&gt;"",S83-H83+1,""))))</x:f>
      </x:c>
      <x:c r="X83" s="16"/>
      <x:c r="Y83" s="16"/>
      <x:c r="Z83" s="16"/>
      <x:c r="AA83" s="16"/>
      <x:c r="AB83" s="109"/>
      <x:c r="AC83" s="109"/>
      <x:c r="AD83" s="16"/>
      <x:c r="AE83" s="16"/>
      <x:c r="AF83" s="16"/>
    </x:row>
    <x:row r="84">
      <x:c r="A84" s="16"/>
      <x:c r="B84" s="16"/>
      <x:c r="C84" s="16"/>
      <x:c r="D84" s="16"/>
      <x:c r="E84" s="16"/>
      <x:c r="F84" s="16"/>
      <x:c r="G84" s="16"/>
      <x:c r="H84" s="109"/>
      <x:c r="I84" s="109"/>
      <x:c r="J84" s="16"/>
      <x:c r="K84" s="16"/>
      <x:c r="L84" s="16"/>
      <x:c r="M84" s="16"/>
      <x:c r="N84" s="16"/>
      <x:c r="O84" s="109"/>
      <x:c r="P84" s="109"/>
      <x:c r="Q84" s="16"/>
      <x:c r="R84" s="16"/>
      <x:c r="S84" s="109"/>
      <x:c r="T84" s="16"/>
      <x:c r="U84" s="16"/>
      <x:c r="V84" s="16"/>
      <x:c r="W84" s="18" t="str">
        <x:f>IF(A84="","",IF(H84="","",IF(I84&lt;&gt;"",I84-H84+1,IF(S84&lt;&gt;"",S84-H84+1,""))))</x:f>
      </x:c>
      <x:c r="X84" s="16"/>
      <x:c r="Y84" s="16"/>
      <x:c r="Z84" s="16"/>
      <x:c r="AA84" s="16"/>
      <x:c r="AB84" s="109"/>
      <x:c r="AC84" s="109"/>
      <x:c r="AD84" s="16"/>
      <x:c r="AE84" s="16"/>
      <x:c r="AF84" s="16"/>
    </x:row>
    <x:row r="85">
      <x:c r="A85" s="16"/>
      <x:c r="B85" s="16"/>
      <x:c r="C85" s="16"/>
      <x:c r="D85" s="16"/>
      <x:c r="E85" s="16"/>
      <x:c r="F85" s="16"/>
      <x:c r="G85" s="16"/>
      <x:c r="H85" s="109"/>
      <x:c r="I85" s="109"/>
      <x:c r="J85" s="16"/>
      <x:c r="K85" s="16"/>
      <x:c r="L85" s="16"/>
      <x:c r="M85" s="16"/>
      <x:c r="N85" s="16"/>
      <x:c r="O85" s="109"/>
      <x:c r="P85" s="109"/>
      <x:c r="Q85" s="16"/>
      <x:c r="R85" s="16"/>
      <x:c r="S85" s="109"/>
      <x:c r="T85" s="16"/>
      <x:c r="U85" s="16"/>
      <x:c r="V85" s="16"/>
      <x:c r="W85" s="18" t="str">
        <x:f>IF(A85="","",IF(H85="","",IF(I85&lt;&gt;"",I85-H85+1,IF(S85&lt;&gt;"",S85-H85+1,""))))</x:f>
      </x:c>
      <x:c r="X85" s="16"/>
      <x:c r="Y85" s="16"/>
      <x:c r="Z85" s="16"/>
      <x:c r="AA85" s="16"/>
      <x:c r="AB85" s="109"/>
      <x:c r="AC85" s="109"/>
      <x:c r="AD85" s="16"/>
      <x:c r="AE85" s="16"/>
      <x:c r="AF85" s="16"/>
    </x:row>
    <x:row r="86">
      <x:c r="A86" s="16"/>
      <x:c r="B86" s="16"/>
      <x:c r="C86" s="16"/>
      <x:c r="D86" s="16"/>
      <x:c r="E86" s="16"/>
      <x:c r="F86" s="16"/>
      <x:c r="G86" s="16"/>
      <x:c r="H86" s="109"/>
      <x:c r="I86" s="109"/>
      <x:c r="J86" s="16"/>
      <x:c r="K86" s="16"/>
      <x:c r="L86" s="16"/>
      <x:c r="M86" s="16"/>
      <x:c r="N86" s="16"/>
      <x:c r="O86" s="109"/>
      <x:c r="P86" s="109"/>
      <x:c r="Q86" s="16"/>
      <x:c r="R86" s="16"/>
      <x:c r="S86" s="109"/>
      <x:c r="T86" s="16"/>
      <x:c r="U86" s="16"/>
      <x:c r="V86" s="16"/>
      <x:c r="W86" s="18" t="str">
        <x:f>IF(A86="","",IF(H86="","",IF(I86&lt;&gt;"",I86-H86+1,IF(S86&lt;&gt;"",S86-H86+1,""))))</x:f>
      </x:c>
      <x:c r="X86" s="16"/>
      <x:c r="Y86" s="16"/>
      <x:c r="Z86" s="16"/>
      <x:c r="AA86" s="16"/>
      <x:c r="AB86" s="109"/>
      <x:c r="AC86" s="109"/>
      <x:c r="AD86" s="16"/>
      <x:c r="AE86" s="16"/>
      <x:c r="AF86" s="16"/>
    </x:row>
    <x:row r="87">
      <x:c r="A87" s="16"/>
      <x:c r="B87" s="16"/>
      <x:c r="C87" s="16"/>
      <x:c r="D87" s="16"/>
      <x:c r="E87" s="16"/>
      <x:c r="F87" s="16"/>
      <x:c r="G87" s="16"/>
      <x:c r="H87" s="109"/>
      <x:c r="I87" s="109"/>
      <x:c r="J87" s="16"/>
      <x:c r="K87" s="16"/>
      <x:c r="L87" s="16"/>
      <x:c r="M87" s="16"/>
      <x:c r="N87" s="16"/>
      <x:c r="O87" s="109"/>
      <x:c r="P87" s="109"/>
      <x:c r="Q87" s="16"/>
      <x:c r="R87" s="16"/>
      <x:c r="S87" s="109"/>
      <x:c r="T87" s="16"/>
      <x:c r="U87" s="16"/>
      <x:c r="V87" s="16"/>
      <x:c r="W87" s="18" t="str">
        <x:f>IF(A87="","",IF(H87="","",IF(I87&lt;&gt;"",I87-H87+1,IF(S87&lt;&gt;"",S87-H87+1,""))))</x:f>
      </x:c>
      <x:c r="X87" s="16"/>
      <x:c r="Y87" s="16"/>
      <x:c r="Z87" s="16"/>
      <x:c r="AA87" s="16"/>
      <x:c r="AB87" s="109"/>
      <x:c r="AC87" s="109"/>
      <x:c r="AD87" s="16"/>
      <x:c r="AE87" s="16"/>
      <x:c r="AF87" s="16"/>
    </x:row>
    <x:row r="88">
      <x:c r="A88" s="16"/>
      <x:c r="B88" s="16"/>
      <x:c r="C88" s="16"/>
      <x:c r="D88" s="16"/>
      <x:c r="E88" s="16"/>
      <x:c r="F88" s="16"/>
      <x:c r="G88" s="16"/>
      <x:c r="H88" s="109"/>
      <x:c r="I88" s="109"/>
      <x:c r="J88" s="16"/>
      <x:c r="K88" s="16"/>
      <x:c r="L88" s="16"/>
      <x:c r="M88" s="16"/>
      <x:c r="N88" s="16"/>
      <x:c r="O88" s="109"/>
      <x:c r="P88" s="109"/>
      <x:c r="Q88" s="16"/>
      <x:c r="R88" s="16"/>
      <x:c r="S88" s="109"/>
      <x:c r="T88" s="16"/>
      <x:c r="U88" s="16"/>
      <x:c r="V88" s="16"/>
      <x:c r="W88" s="18" t="str">
        <x:f>IF(A88="","",IF(H88="","",IF(I88&lt;&gt;"",I88-H88+1,IF(S88&lt;&gt;"",S88-H88+1,""))))</x:f>
      </x:c>
      <x:c r="X88" s="16"/>
      <x:c r="Y88" s="16"/>
      <x:c r="Z88" s="16"/>
      <x:c r="AA88" s="16"/>
      <x:c r="AB88" s="109"/>
      <x:c r="AC88" s="109"/>
      <x:c r="AD88" s="16"/>
      <x:c r="AE88" s="16"/>
      <x:c r="AF88" s="16"/>
    </x:row>
    <x:row r="89">
      <x:c r="A89" s="16"/>
      <x:c r="B89" s="16"/>
      <x:c r="C89" s="16"/>
      <x:c r="D89" s="16"/>
      <x:c r="E89" s="16"/>
      <x:c r="F89" s="16"/>
      <x:c r="G89" s="16"/>
      <x:c r="H89" s="109"/>
      <x:c r="I89" s="109"/>
      <x:c r="J89" s="16"/>
      <x:c r="K89" s="16"/>
      <x:c r="L89" s="16"/>
      <x:c r="M89" s="16"/>
      <x:c r="N89" s="16"/>
      <x:c r="O89" s="109"/>
      <x:c r="P89" s="109"/>
      <x:c r="Q89" s="16"/>
      <x:c r="R89" s="16"/>
      <x:c r="S89" s="109"/>
      <x:c r="T89" s="16"/>
      <x:c r="U89" s="16"/>
      <x:c r="V89" s="16"/>
      <x:c r="W89" s="18" t="str">
        <x:f>IF(A89="","",IF(H89="","",IF(I89&lt;&gt;"",I89-H89+1,IF(S89&lt;&gt;"",S89-H89+1,""))))</x:f>
      </x:c>
      <x:c r="X89" s="16"/>
      <x:c r="Y89" s="16"/>
      <x:c r="Z89" s="16"/>
      <x:c r="AA89" s="16"/>
      <x:c r="AB89" s="109"/>
      <x:c r="AC89" s="109"/>
      <x:c r="AD89" s="16"/>
      <x:c r="AE89" s="16"/>
      <x:c r="AF89" s="16"/>
    </x:row>
    <x:row r="90">
      <x:c r="A90" s="16"/>
      <x:c r="B90" s="16"/>
      <x:c r="C90" s="16"/>
      <x:c r="D90" s="16"/>
      <x:c r="E90" s="16"/>
      <x:c r="F90" s="16"/>
      <x:c r="G90" s="16"/>
      <x:c r="H90" s="109"/>
      <x:c r="I90" s="109"/>
      <x:c r="J90" s="16"/>
      <x:c r="K90" s="16"/>
      <x:c r="L90" s="16"/>
      <x:c r="M90" s="16"/>
      <x:c r="N90" s="16"/>
      <x:c r="O90" s="109"/>
      <x:c r="P90" s="109"/>
      <x:c r="Q90" s="16"/>
      <x:c r="R90" s="16"/>
      <x:c r="S90" s="109"/>
      <x:c r="T90" s="16"/>
      <x:c r="U90" s="16"/>
      <x:c r="V90" s="16"/>
      <x:c r="W90" s="18" t="str">
        <x:f>IF(A90="","",IF(H90="","",IF(I90&lt;&gt;"",I90-H90+1,IF(S90&lt;&gt;"",S90-H90+1,""))))</x:f>
      </x:c>
      <x:c r="X90" s="16"/>
      <x:c r="Y90" s="16"/>
      <x:c r="Z90" s="16"/>
      <x:c r="AA90" s="16"/>
      <x:c r="AB90" s="109"/>
      <x:c r="AC90" s="109"/>
      <x:c r="AD90" s="16"/>
      <x:c r="AE90" s="16"/>
      <x:c r="AF90" s="16"/>
    </x:row>
    <x:row r="91">
      <x:c r="A91" s="16"/>
      <x:c r="B91" s="16"/>
      <x:c r="C91" s="16"/>
      <x:c r="D91" s="16"/>
      <x:c r="E91" s="16"/>
      <x:c r="F91" s="16"/>
      <x:c r="G91" s="16"/>
      <x:c r="H91" s="109"/>
      <x:c r="I91" s="109"/>
      <x:c r="J91" s="16"/>
      <x:c r="K91" s="16"/>
      <x:c r="L91" s="16"/>
      <x:c r="M91" s="16"/>
      <x:c r="N91" s="16"/>
      <x:c r="O91" s="109"/>
      <x:c r="P91" s="109"/>
      <x:c r="Q91" s="16"/>
      <x:c r="R91" s="16"/>
      <x:c r="S91" s="109"/>
      <x:c r="T91" s="16"/>
      <x:c r="U91" s="16"/>
      <x:c r="V91" s="16"/>
      <x:c r="W91" s="18" t="str">
        <x:f>IF(A91="","",IF(H91="","",IF(I91&lt;&gt;"",I91-H91+1,IF(S91&lt;&gt;"",S91-H91+1,""))))</x:f>
      </x:c>
      <x:c r="X91" s="16"/>
      <x:c r="Y91" s="16"/>
      <x:c r="Z91" s="16"/>
      <x:c r="AA91" s="16"/>
      <x:c r="AB91" s="109"/>
      <x:c r="AC91" s="109"/>
      <x:c r="AD91" s="16"/>
      <x:c r="AE91" s="16"/>
      <x:c r="AF91" s="16"/>
    </x:row>
    <x:row r="92">
      <x:c r="A92" s="16"/>
      <x:c r="B92" s="16"/>
      <x:c r="C92" s="16"/>
      <x:c r="D92" s="16"/>
      <x:c r="E92" s="16"/>
      <x:c r="F92" s="16"/>
      <x:c r="G92" s="16"/>
      <x:c r="H92" s="109"/>
      <x:c r="I92" s="109"/>
      <x:c r="J92" s="16"/>
      <x:c r="K92" s="16"/>
      <x:c r="L92" s="16"/>
      <x:c r="M92" s="16"/>
      <x:c r="N92" s="16"/>
      <x:c r="O92" s="109"/>
      <x:c r="P92" s="109"/>
      <x:c r="Q92" s="16"/>
      <x:c r="R92" s="16"/>
      <x:c r="S92" s="109"/>
      <x:c r="T92" s="16"/>
      <x:c r="U92" s="16"/>
      <x:c r="V92" s="16"/>
      <x:c r="W92" s="18" t="str">
        <x:f>IF(A92="","",IF(H92="","",IF(I92&lt;&gt;"",I92-H92+1,IF(S92&lt;&gt;"",S92-H92+1,""))))</x:f>
      </x:c>
      <x:c r="X92" s="16"/>
      <x:c r="Y92" s="16"/>
      <x:c r="Z92" s="16"/>
      <x:c r="AA92" s="16"/>
      <x:c r="AB92" s="109"/>
      <x:c r="AC92" s="109"/>
      <x:c r="AD92" s="16"/>
      <x:c r="AE92" s="16"/>
      <x:c r="AF92" s="16"/>
    </x:row>
    <x:row r="93">
      <x:c r="A93" s="16"/>
      <x:c r="B93" s="16"/>
      <x:c r="C93" s="16"/>
      <x:c r="D93" s="16"/>
      <x:c r="E93" s="16"/>
      <x:c r="F93" s="16"/>
      <x:c r="G93" s="16"/>
      <x:c r="H93" s="109"/>
      <x:c r="I93" s="109"/>
      <x:c r="J93" s="16"/>
      <x:c r="K93" s="16"/>
      <x:c r="L93" s="16"/>
      <x:c r="M93" s="16"/>
      <x:c r="N93" s="16"/>
      <x:c r="O93" s="109"/>
      <x:c r="P93" s="109"/>
      <x:c r="Q93" s="16"/>
      <x:c r="R93" s="16"/>
      <x:c r="S93" s="109"/>
      <x:c r="T93" s="16"/>
      <x:c r="U93" s="16"/>
      <x:c r="V93" s="16"/>
      <x:c r="W93" s="18" t="str">
        <x:f>IF(A93="","",IF(H93="","",IF(I93&lt;&gt;"",I93-H93+1,IF(S93&lt;&gt;"",S93-H93+1,""))))</x:f>
      </x:c>
      <x:c r="X93" s="16"/>
      <x:c r="Y93" s="16"/>
      <x:c r="Z93" s="16"/>
      <x:c r="AA93" s="16"/>
      <x:c r="AB93" s="109"/>
      <x:c r="AC93" s="109"/>
      <x:c r="AD93" s="16"/>
      <x:c r="AE93" s="16"/>
      <x:c r="AF93" s="16"/>
    </x:row>
    <x:row r="94">
      <x:c r="A94" s="16"/>
      <x:c r="B94" s="16"/>
      <x:c r="C94" s="16"/>
      <x:c r="D94" s="16"/>
      <x:c r="E94" s="16"/>
      <x:c r="F94" s="16"/>
      <x:c r="G94" s="16"/>
      <x:c r="H94" s="109"/>
      <x:c r="I94" s="109"/>
      <x:c r="J94" s="16"/>
      <x:c r="K94" s="16"/>
      <x:c r="L94" s="16"/>
      <x:c r="M94" s="16"/>
      <x:c r="N94" s="16"/>
      <x:c r="O94" s="109"/>
      <x:c r="P94" s="109"/>
      <x:c r="Q94" s="16"/>
      <x:c r="R94" s="16"/>
      <x:c r="S94" s="109"/>
      <x:c r="T94" s="16"/>
      <x:c r="U94" s="16"/>
      <x:c r="V94" s="16"/>
      <x:c r="W94" s="18" t="str">
        <x:f>IF(A94="","",IF(H94="","",IF(I94&lt;&gt;"",I94-H94+1,IF(S94&lt;&gt;"",S94-H94+1,""))))</x:f>
      </x:c>
      <x:c r="X94" s="16"/>
      <x:c r="Y94" s="16"/>
      <x:c r="Z94" s="16"/>
      <x:c r="AA94" s="16"/>
      <x:c r="AB94" s="109"/>
      <x:c r="AC94" s="109"/>
      <x:c r="AD94" s="16"/>
      <x:c r="AE94" s="16"/>
      <x:c r="AF94" s="16"/>
    </x:row>
    <x:row r="95">
      <x:c r="A95" s="16"/>
      <x:c r="B95" s="16"/>
      <x:c r="C95" s="16"/>
      <x:c r="D95" s="16"/>
      <x:c r="E95" s="16"/>
      <x:c r="F95" s="16"/>
      <x:c r="G95" s="16"/>
      <x:c r="H95" s="109"/>
      <x:c r="I95" s="109"/>
      <x:c r="J95" s="16"/>
      <x:c r="K95" s="16"/>
      <x:c r="L95" s="16"/>
      <x:c r="M95" s="16"/>
      <x:c r="N95" s="16"/>
      <x:c r="O95" s="109"/>
      <x:c r="P95" s="109"/>
      <x:c r="Q95" s="16"/>
      <x:c r="R95" s="16"/>
      <x:c r="S95" s="109"/>
      <x:c r="T95" s="16"/>
      <x:c r="U95" s="16"/>
      <x:c r="V95" s="16"/>
      <x:c r="W95" s="18" t="str">
        <x:f>IF(A95="","",IF(H95="","",IF(I95&lt;&gt;"",I95-H95+1,IF(S95&lt;&gt;"",S95-H95+1,""))))</x:f>
      </x:c>
      <x:c r="X95" s="16"/>
      <x:c r="Y95" s="16"/>
      <x:c r="Z95" s="16"/>
      <x:c r="AA95" s="16"/>
      <x:c r="AB95" s="109"/>
      <x:c r="AC95" s="109"/>
      <x:c r="AD95" s="16"/>
      <x:c r="AE95" s="16"/>
      <x:c r="AF95" s="16"/>
    </x:row>
    <x:row r="96">
      <x:c r="A96" s="16"/>
      <x:c r="B96" s="16"/>
      <x:c r="C96" s="16"/>
      <x:c r="D96" s="16"/>
      <x:c r="E96" s="16"/>
      <x:c r="F96" s="16"/>
      <x:c r="G96" s="16"/>
      <x:c r="H96" s="109"/>
      <x:c r="I96" s="109"/>
      <x:c r="J96" s="16"/>
      <x:c r="K96" s="16"/>
      <x:c r="L96" s="16"/>
      <x:c r="M96" s="16"/>
      <x:c r="N96" s="16"/>
      <x:c r="O96" s="109"/>
      <x:c r="P96" s="109"/>
      <x:c r="Q96" s="16"/>
      <x:c r="R96" s="16"/>
      <x:c r="S96" s="109"/>
      <x:c r="T96" s="16"/>
      <x:c r="U96" s="16"/>
      <x:c r="V96" s="16"/>
      <x:c r="W96" s="18" t="str">
        <x:f>IF(A96="","",IF(H96="","",IF(I96&lt;&gt;"",I96-H96+1,IF(S96&lt;&gt;"",S96-H96+1,""))))</x:f>
      </x:c>
      <x:c r="X96" s="16"/>
      <x:c r="Y96" s="16"/>
      <x:c r="Z96" s="16"/>
      <x:c r="AA96" s="16"/>
      <x:c r="AB96" s="109"/>
      <x:c r="AC96" s="109"/>
      <x:c r="AD96" s="16"/>
      <x:c r="AE96" s="16"/>
      <x:c r="AF96" s="16"/>
    </x:row>
    <x:row r="97">
      <x:c r="A97" s="16"/>
      <x:c r="B97" s="16"/>
      <x:c r="C97" s="16"/>
      <x:c r="D97" s="16"/>
      <x:c r="E97" s="16"/>
      <x:c r="F97" s="16"/>
      <x:c r="G97" s="16"/>
      <x:c r="H97" s="109"/>
      <x:c r="I97" s="109"/>
      <x:c r="J97" s="16"/>
      <x:c r="K97" s="16"/>
      <x:c r="L97" s="16"/>
      <x:c r="M97" s="16"/>
      <x:c r="N97" s="16"/>
      <x:c r="O97" s="109"/>
      <x:c r="P97" s="109"/>
      <x:c r="Q97" s="16"/>
      <x:c r="R97" s="16"/>
      <x:c r="S97" s="109"/>
      <x:c r="T97" s="16"/>
      <x:c r="U97" s="16"/>
      <x:c r="V97" s="16"/>
      <x:c r="W97" s="18" t="str">
        <x:f>IF(A97="","",IF(H97="","",IF(I97&lt;&gt;"",I97-H97+1,IF(S97&lt;&gt;"",S97-H97+1,""))))</x:f>
      </x:c>
      <x:c r="X97" s="16"/>
      <x:c r="Y97" s="16"/>
      <x:c r="Z97" s="16"/>
      <x:c r="AA97" s="16"/>
      <x:c r="AB97" s="109"/>
      <x:c r="AC97" s="109"/>
      <x:c r="AD97" s="16"/>
      <x:c r="AE97" s="16"/>
      <x:c r="AF97" s="16"/>
    </x:row>
    <x:row r="98">
      <x:c r="A98" s="16"/>
      <x:c r="B98" s="16"/>
      <x:c r="C98" s="16"/>
      <x:c r="D98" s="16"/>
      <x:c r="E98" s="16"/>
      <x:c r="F98" s="16"/>
      <x:c r="G98" s="16"/>
      <x:c r="H98" s="109"/>
      <x:c r="I98" s="109"/>
      <x:c r="J98" s="16"/>
      <x:c r="K98" s="16"/>
      <x:c r="L98" s="16"/>
      <x:c r="M98" s="16"/>
      <x:c r="N98" s="16"/>
      <x:c r="O98" s="109"/>
      <x:c r="P98" s="109"/>
      <x:c r="Q98" s="16"/>
      <x:c r="R98" s="16"/>
      <x:c r="S98" s="109"/>
      <x:c r="T98" s="16"/>
      <x:c r="U98" s="16"/>
      <x:c r="V98" s="16"/>
      <x:c r="W98" s="18" t="str">
        <x:f>IF(A98="","",IF(H98="","",IF(I98&lt;&gt;"",I98-H98+1,IF(S98&lt;&gt;"",S98-H98+1,""))))</x:f>
      </x:c>
      <x:c r="X98" s="16"/>
      <x:c r="Y98" s="16"/>
      <x:c r="Z98" s="16"/>
      <x:c r="AA98" s="16"/>
      <x:c r="AB98" s="109"/>
      <x:c r="AC98" s="109"/>
      <x:c r="AD98" s="16"/>
      <x:c r="AE98" s="16"/>
      <x:c r="AF98" s="16"/>
    </x:row>
    <x:row r="99">
      <x:c r="A99" s="16"/>
      <x:c r="B99" s="16"/>
      <x:c r="C99" s="16"/>
      <x:c r="D99" s="16"/>
      <x:c r="E99" s="16"/>
      <x:c r="F99" s="16"/>
      <x:c r="G99" s="16"/>
      <x:c r="H99" s="109"/>
      <x:c r="I99" s="109"/>
      <x:c r="J99" s="16"/>
      <x:c r="K99" s="16"/>
      <x:c r="L99" s="16"/>
      <x:c r="M99" s="16"/>
      <x:c r="N99" s="16"/>
      <x:c r="O99" s="109"/>
      <x:c r="P99" s="109"/>
      <x:c r="Q99" s="16"/>
      <x:c r="R99" s="16"/>
      <x:c r="S99" s="109"/>
      <x:c r="T99" s="16"/>
      <x:c r="U99" s="16"/>
      <x:c r="V99" s="16"/>
      <x:c r="W99" s="18" t="str">
        <x:f>IF(A99="","",IF(H99="","",IF(I99&lt;&gt;"",I99-H99+1,IF(S99&lt;&gt;"",S99-H99+1,""))))</x:f>
      </x:c>
      <x:c r="X99" s="16"/>
      <x:c r="Y99" s="16"/>
      <x:c r="Z99" s="16"/>
      <x:c r="AA99" s="16"/>
      <x:c r="AB99" s="109"/>
      <x:c r="AC99" s="109"/>
      <x:c r="AD99" s="16"/>
      <x:c r="AE99" s="16"/>
      <x:c r="AF99" s="16"/>
    </x:row>
    <x:row r="100">
      <x:c r="A100" s="16"/>
      <x:c r="B100" s="16"/>
      <x:c r="C100" s="16"/>
      <x:c r="D100" s="16"/>
      <x:c r="E100" s="16"/>
      <x:c r="F100" s="16"/>
      <x:c r="G100" s="16"/>
      <x:c r="H100" s="109"/>
      <x:c r="I100" s="109"/>
      <x:c r="J100" s="16"/>
      <x:c r="K100" s="16"/>
      <x:c r="L100" s="16"/>
      <x:c r="M100" s="16"/>
      <x:c r="N100" s="16"/>
      <x:c r="O100" s="109"/>
      <x:c r="P100" s="109"/>
      <x:c r="Q100" s="16"/>
      <x:c r="R100" s="16"/>
      <x:c r="S100" s="109"/>
      <x:c r="T100" s="16"/>
      <x:c r="U100" s="16"/>
      <x:c r="V100" s="16"/>
      <x:c r="W100" s="18" t="str">
        <x:f>IF(A100="","",IF(H100="","",IF(I100&lt;&gt;"",I100-H100+1,IF(S100&lt;&gt;"",S100-H100+1,""))))</x:f>
      </x:c>
      <x:c r="X100" s="16"/>
      <x:c r="Y100" s="16"/>
      <x:c r="Z100" s="16"/>
      <x:c r="AA100" s="16"/>
      <x:c r="AB100" s="109"/>
      <x:c r="AC100" s="109"/>
      <x:c r="AD100" s="16"/>
      <x:c r="AE100" s="16"/>
      <x:c r="AF100" s="16"/>
    </x:row>
    <x:row r="101">
      <x:c r="A101" s="16"/>
      <x:c r="B101" s="16"/>
      <x:c r="C101" s="16"/>
      <x:c r="D101" s="16"/>
      <x:c r="E101" s="16"/>
      <x:c r="F101" s="16"/>
      <x:c r="G101" s="16"/>
      <x:c r="H101" s="109"/>
      <x:c r="I101" s="109"/>
      <x:c r="J101" s="16"/>
      <x:c r="K101" s="16"/>
      <x:c r="L101" s="16"/>
      <x:c r="M101" s="16"/>
      <x:c r="N101" s="16"/>
      <x:c r="O101" s="109"/>
      <x:c r="P101" s="109"/>
      <x:c r="Q101" s="16"/>
      <x:c r="R101" s="16"/>
      <x:c r="S101" s="109"/>
      <x:c r="T101" s="16"/>
      <x:c r="U101" s="16"/>
      <x:c r="V101" s="16"/>
      <x:c r="W101" s="18" t="str">
        <x:f>IF(A101="","",IF(H101="","",IF(I101&lt;&gt;"",I101-H101+1,IF(S101&lt;&gt;"",S101-H101+1,""))))</x:f>
      </x:c>
      <x:c r="X101" s="16"/>
      <x:c r="Y101" s="16"/>
      <x:c r="Z101" s="16"/>
      <x:c r="AA101" s="16"/>
      <x:c r="AB101" s="109"/>
      <x:c r="AC101" s="109"/>
      <x:c r="AD101" s="16"/>
      <x:c r="AE101" s="16"/>
      <x:c r="AF101" s="16"/>
    </x:row>
    <x:row r="102">
      <x:c r="A102" s="16"/>
      <x:c r="B102" s="16"/>
      <x:c r="C102" s="16"/>
      <x:c r="D102" s="16"/>
      <x:c r="E102" s="16"/>
      <x:c r="F102" s="16"/>
      <x:c r="G102" s="16"/>
      <x:c r="H102" s="109"/>
      <x:c r="I102" s="109"/>
      <x:c r="J102" s="16"/>
      <x:c r="K102" s="16"/>
      <x:c r="L102" s="16"/>
      <x:c r="M102" s="16"/>
      <x:c r="N102" s="16"/>
      <x:c r="O102" s="109"/>
      <x:c r="P102" s="109"/>
      <x:c r="Q102" s="16"/>
      <x:c r="R102" s="16"/>
      <x:c r="S102" s="109"/>
      <x:c r="T102" s="16"/>
      <x:c r="U102" s="16"/>
      <x:c r="V102" s="16"/>
      <x:c r="W102" s="18" t="str">
        <x:f>IF(A102="","",IF(H102="","",IF(I102&lt;&gt;"",I102-H102+1,IF(S102&lt;&gt;"",S102-H102+1,""))))</x:f>
      </x:c>
      <x:c r="X102" s="16"/>
      <x:c r="Y102" s="16"/>
      <x:c r="Z102" s="16"/>
      <x:c r="AA102" s="16"/>
      <x:c r="AB102" s="109"/>
      <x:c r="AC102" s="109"/>
      <x:c r="AD102" s="16"/>
      <x:c r="AE102" s="16"/>
      <x:c r="AF102" s="16"/>
    </x:row>
    <x:row r="103">
      <x:c r="A103" s="16"/>
      <x:c r="B103" s="16"/>
      <x:c r="C103" s="16"/>
      <x:c r="D103" s="16"/>
      <x:c r="E103" s="16"/>
      <x:c r="F103" s="16"/>
      <x:c r="G103" s="16"/>
      <x:c r="H103" s="109"/>
      <x:c r="I103" s="109"/>
      <x:c r="J103" s="16"/>
      <x:c r="K103" s="16"/>
      <x:c r="L103" s="16"/>
      <x:c r="M103" s="16"/>
      <x:c r="N103" s="16"/>
      <x:c r="O103" s="109"/>
      <x:c r="P103" s="109"/>
      <x:c r="Q103" s="16"/>
      <x:c r="R103" s="16"/>
      <x:c r="S103" s="109"/>
      <x:c r="T103" s="16"/>
      <x:c r="U103" s="16"/>
      <x:c r="V103" s="16"/>
      <x:c r="W103" s="18" t="str">
        <x:f>IF(A103="","",IF(H103="","",IF(I103&lt;&gt;"",I103-H103+1,IF(S103&lt;&gt;"",S103-H103+1,""))))</x:f>
      </x:c>
      <x:c r="X103" s="16"/>
      <x:c r="Y103" s="16"/>
      <x:c r="Z103" s="16"/>
      <x:c r="AA103" s="16"/>
      <x:c r="AB103" s="109"/>
      <x:c r="AC103" s="109"/>
      <x:c r="AD103" s="16"/>
      <x:c r="AE103" s="16"/>
      <x:c r="AF103" s="16"/>
    </x:row>
    <x:row r="104">
      <x:c r="A104" s="16"/>
      <x:c r="B104" s="16"/>
      <x:c r="C104" s="16"/>
      <x:c r="D104" s="16"/>
      <x:c r="E104" s="16"/>
      <x:c r="F104" s="16"/>
      <x:c r="G104" s="16"/>
      <x:c r="H104" s="109"/>
      <x:c r="I104" s="109"/>
      <x:c r="J104" s="16"/>
      <x:c r="K104" s="16"/>
      <x:c r="L104" s="16"/>
      <x:c r="M104" s="16"/>
      <x:c r="N104" s="16"/>
      <x:c r="O104" s="109"/>
      <x:c r="P104" s="109"/>
      <x:c r="Q104" s="16"/>
      <x:c r="R104" s="16"/>
      <x:c r="S104" s="109"/>
      <x:c r="T104" s="16"/>
      <x:c r="U104" s="16"/>
      <x:c r="V104" s="16"/>
      <x:c r="W104" s="18" t="str">
        <x:f>IF(A104="","",IF(H104="","",IF(I104&lt;&gt;"",I104-H104+1,IF(S104&lt;&gt;"",S104-H104+1,""))))</x:f>
      </x:c>
      <x:c r="X104" s="16"/>
      <x:c r="Y104" s="16"/>
      <x:c r="Z104" s="16"/>
      <x:c r="AA104" s="16"/>
      <x:c r="AB104" s="109"/>
      <x:c r="AC104" s="109"/>
      <x:c r="AD104" s="16"/>
      <x:c r="AE104" s="16"/>
      <x:c r="AF104" s="16"/>
    </x:row>
    <x:row r="105">
      <x:c r="A105" s="16"/>
      <x:c r="B105" s="16"/>
      <x:c r="C105" s="16"/>
      <x:c r="D105" s="16"/>
      <x:c r="E105" s="16"/>
      <x:c r="F105" s="16"/>
      <x:c r="G105" s="16"/>
      <x:c r="H105" s="109"/>
      <x:c r="I105" s="109"/>
      <x:c r="J105" s="16"/>
      <x:c r="K105" s="16"/>
      <x:c r="L105" s="16"/>
      <x:c r="M105" s="16"/>
      <x:c r="N105" s="16"/>
      <x:c r="O105" s="109"/>
      <x:c r="P105" s="109"/>
      <x:c r="Q105" s="16"/>
      <x:c r="R105" s="16"/>
      <x:c r="S105" s="109"/>
      <x:c r="T105" s="16"/>
      <x:c r="U105" s="16"/>
      <x:c r="V105" s="16"/>
      <x:c r="W105" s="18" t="str">
        <x:f>IF(A105="","",IF(H105="","",IF(I105&lt;&gt;"",I105-H105+1,IF(S105&lt;&gt;"",S105-H105+1,""))))</x:f>
      </x:c>
      <x:c r="X105" s="16"/>
      <x:c r="Y105" s="16"/>
      <x:c r="Z105" s="16"/>
      <x:c r="AA105" s="16"/>
      <x:c r="AB105" s="109"/>
      <x:c r="AC105" s="109"/>
      <x:c r="AD105" s="16"/>
      <x:c r="AE105" s="16"/>
      <x:c r="AF105" s="16"/>
    </x:row>
    <x:row r="106">
      <x:c r="A106" s="16"/>
      <x:c r="B106" s="16"/>
      <x:c r="C106" s="16"/>
      <x:c r="D106" s="16"/>
      <x:c r="E106" s="16"/>
      <x:c r="F106" s="16"/>
      <x:c r="G106" s="16"/>
      <x:c r="H106" s="109"/>
      <x:c r="I106" s="109"/>
      <x:c r="J106" s="16"/>
      <x:c r="K106" s="16"/>
      <x:c r="L106" s="16"/>
      <x:c r="M106" s="16"/>
      <x:c r="N106" s="16"/>
      <x:c r="O106" s="109"/>
      <x:c r="P106" s="109"/>
      <x:c r="Q106" s="16"/>
      <x:c r="R106" s="16"/>
      <x:c r="S106" s="109"/>
      <x:c r="T106" s="16"/>
      <x:c r="U106" s="16"/>
      <x:c r="V106" s="16"/>
      <x:c r="W106" s="18" t="str">
        <x:f>IF(A106="","",IF(H106="","",IF(I106&lt;&gt;"",I106-H106+1,IF(S106&lt;&gt;"",S106-H106+1,""))))</x:f>
      </x:c>
      <x:c r="X106" s="16"/>
      <x:c r="Y106" s="16"/>
      <x:c r="Z106" s="16"/>
      <x:c r="AA106" s="16"/>
      <x:c r="AB106" s="109"/>
      <x:c r="AC106" s="109"/>
      <x:c r="AD106" s="16"/>
      <x:c r="AE106" s="16"/>
      <x:c r="AF106" s="16"/>
    </x:row>
    <x:row r="107">
      <x:c r="A107" s="16"/>
      <x:c r="B107" s="16"/>
      <x:c r="C107" s="16"/>
      <x:c r="D107" s="16"/>
      <x:c r="E107" s="16"/>
      <x:c r="F107" s="16"/>
      <x:c r="G107" s="16"/>
      <x:c r="H107" s="109"/>
      <x:c r="I107" s="109"/>
      <x:c r="J107" s="16"/>
      <x:c r="K107" s="16"/>
      <x:c r="L107" s="16"/>
      <x:c r="M107" s="16"/>
      <x:c r="N107" s="16"/>
      <x:c r="O107" s="109"/>
      <x:c r="P107" s="109"/>
      <x:c r="Q107" s="16"/>
      <x:c r="R107" s="16"/>
      <x:c r="S107" s="109"/>
      <x:c r="T107" s="16"/>
      <x:c r="U107" s="16"/>
      <x:c r="V107" s="16"/>
      <x:c r="W107" s="18" t="str">
        <x:f>IF(A107="","",IF(H107="","",IF(I107&lt;&gt;"",I107-H107+1,IF(S107&lt;&gt;"",S107-H107+1,""))))</x:f>
      </x:c>
      <x:c r="X107" s="16"/>
      <x:c r="Y107" s="16"/>
      <x:c r="Z107" s="16"/>
      <x:c r="AA107" s="16"/>
      <x:c r="AB107" s="109"/>
      <x:c r="AC107" s="109"/>
      <x:c r="AD107" s="16"/>
      <x:c r="AE107" s="16"/>
      <x:c r="AF107" s="16"/>
    </x:row>
    <x:row r="108">
      <x:c r="A108" s="16"/>
      <x:c r="B108" s="16"/>
      <x:c r="C108" s="16"/>
      <x:c r="D108" s="16"/>
      <x:c r="E108" s="16"/>
      <x:c r="F108" s="16"/>
      <x:c r="G108" s="16"/>
      <x:c r="H108" s="109"/>
      <x:c r="I108" s="109"/>
      <x:c r="J108" s="16"/>
      <x:c r="K108" s="16"/>
      <x:c r="L108" s="16"/>
      <x:c r="M108" s="16"/>
      <x:c r="N108" s="16"/>
      <x:c r="O108" s="109"/>
      <x:c r="P108" s="109"/>
      <x:c r="Q108" s="16"/>
      <x:c r="R108" s="16"/>
      <x:c r="S108" s="109"/>
      <x:c r="T108" s="16"/>
      <x:c r="U108" s="16"/>
      <x:c r="V108" s="16"/>
      <x:c r="W108" s="18" t="str">
        <x:f>IF(A108="","",IF(H108="","",IF(I108&lt;&gt;"",I108-H108+1,IF(S108&lt;&gt;"",S108-H108+1,""))))</x:f>
      </x:c>
      <x:c r="X108" s="16"/>
      <x:c r="Y108" s="16"/>
      <x:c r="Z108" s="16"/>
      <x:c r="AA108" s="16"/>
      <x:c r="AB108" s="109"/>
      <x:c r="AC108" s="109"/>
      <x:c r="AD108" s="16"/>
      <x:c r="AE108" s="16"/>
      <x:c r="AF108" s="16"/>
    </x:row>
    <x:row r="109">
      <x:c r="A109" s="16"/>
      <x:c r="B109" s="16"/>
      <x:c r="C109" s="16"/>
      <x:c r="D109" s="16"/>
      <x:c r="E109" s="16"/>
      <x:c r="F109" s="16"/>
      <x:c r="G109" s="16"/>
      <x:c r="H109" s="109"/>
      <x:c r="I109" s="109"/>
      <x:c r="J109" s="16"/>
      <x:c r="K109" s="16"/>
      <x:c r="L109" s="16"/>
      <x:c r="M109" s="16"/>
      <x:c r="N109" s="16"/>
      <x:c r="O109" s="109"/>
      <x:c r="P109" s="109"/>
      <x:c r="Q109" s="16"/>
      <x:c r="R109" s="16"/>
      <x:c r="S109" s="109"/>
      <x:c r="T109" s="16"/>
      <x:c r="U109" s="16"/>
      <x:c r="V109" s="16"/>
      <x:c r="W109" s="18" t="str">
        <x:f>IF(A109="","",IF(H109="","",IF(I109&lt;&gt;"",I109-H109+1,IF(S109&lt;&gt;"",S109-H109+1,""))))</x:f>
      </x:c>
      <x:c r="X109" s="16"/>
      <x:c r="Y109" s="16"/>
      <x:c r="Z109" s="16"/>
      <x:c r="AA109" s="16"/>
      <x:c r="AB109" s="109"/>
      <x:c r="AC109" s="109"/>
      <x:c r="AD109" s="16"/>
      <x:c r="AE109" s="16"/>
      <x:c r="AF109" s="16"/>
    </x:row>
    <x:row r="110">
      <x:c r="A110" s="16"/>
      <x:c r="B110" s="16"/>
      <x:c r="C110" s="16"/>
      <x:c r="D110" s="16"/>
      <x:c r="E110" s="16"/>
      <x:c r="F110" s="16"/>
      <x:c r="G110" s="16"/>
      <x:c r="H110" s="109"/>
      <x:c r="I110" s="109"/>
      <x:c r="J110" s="16"/>
      <x:c r="K110" s="16"/>
      <x:c r="L110" s="16"/>
      <x:c r="M110" s="16"/>
      <x:c r="N110" s="16"/>
      <x:c r="O110" s="109"/>
      <x:c r="P110" s="109"/>
      <x:c r="Q110" s="16"/>
      <x:c r="R110" s="16"/>
      <x:c r="S110" s="109"/>
      <x:c r="T110" s="16"/>
      <x:c r="U110" s="16"/>
      <x:c r="V110" s="16"/>
      <x:c r="W110" s="18" t="str">
        <x:f>IF(A110="","",IF(H110="","",IF(I110&lt;&gt;"",I110-H110+1,IF(S110&lt;&gt;"",S110-H110+1,""))))</x:f>
      </x:c>
      <x:c r="X110" s="16"/>
      <x:c r="Y110" s="16"/>
      <x:c r="Z110" s="16"/>
      <x:c r="AA110" s="16"/>
      <x:c r="AB110" s="109"/>
      <x:c r="AC110" s="109"/>
      <x:c r="AD110" s="16"/>
      <x:c r="AE110" s="16"/>
      <x:c r="AF110" s="16"/>
    </x:row>
    <x:row r="111">
      <x:c r="A111" s="16"/>
      <x:c r="B111" s="16"/>
      <x:c r="C111" s="16"/>
      <x:c r="D111" s="16"/>
      <x:c r="E111" s="16"/>
      <x:c r="F111" s="16"/>
      <x:c r="G111" s="16"/>
      <x:c r="H111" s="109"/>
      <x:c r="I111" s="109"/>
      <x:c r="J111" s="16"/>
      <x:c r="K111" s="16"/>
      <x:c r="L111" s="16"/>
      <x:c r="M111" s="16"/>
      <x:c r="N111" s="16"/>
      <x:c r="O111" s="109"/>
      <x:c r="P111" s="109"/>
      <x:c r="Q111" s="16"/>
      <x:c r="R111" s="16"/>
      <x:c r="S111" s="109"/>
      <x:c r="T111" s="16"/>
      <x:c r="U111" s="16"/>
      <x:c r="V111" s="16"/>
      <x:c r="W111" s="18" t="str">
        <x:f>IF(A111="","",IF(H111="","",IF(I111&lt;&gt;"",I111-H111+1,IF(S111&lt;&gt;"",S111-H111+1,""))))</x:f>
      </x:c>
      <x:c r="X111" s="16"/>
      <x:c r="Y111" s="16"/>
      <x:c r="Z111" s="16"/>
      <x:c r="AA111" s="16"/>
      <x:c r="AB111" s="109"/>
      <x:c r="AC111" s="109"/>
      <x:c r="AD111" s="16"/>
      <x:c r="AE111" s="16"/>
      <x:c r="AF111" s="16"/>
    </x:row>
    <x:row r="112">
      <x:c r="A112" s="16"/>
      <x:c r="B112" s="16"/>
      <x:c r="C112" s="16"/>
      <x:c r="D112" s="16"/>
      <x:c r="E112" s="16"/>
      <x:c r="F112" s="16"/>
      <x:c r="G112" s="16"/>
      <x:c r="H112" s="109"/>
      <x:c r="I112" s="109"/>
      <x:c r="J112" s="16"/>
      <x:c r="K112" s="16"/>
      <x:c r="L112" s="16"/>
      <x:c r="M112" s="16"/>
      <x:c r="N112" s="16"/>
      <x:c r="O112" s="109"/>
      <x:c r="P112" s="109"/>
      <x:c r="Q112" s="16"/>
      <x:c r="R112" s="16"/>
      <x:c r="S112" s="109"/>
      <x:c r="T112" s="16"/>
      <x:c r="U112" s="16"/>
      <x:c r="V112" s="16"/>
      <x:c r="W112" s="18" t="str">
        <x:f>IF(A112="","",IF(H112="","",IF(I112&lt;&gt;"",I112-H112+1,IF(S112&lt;&gt;"",S112-H112+1,""))))</x:f>
      </x:c>
      <x:c r="X112" s="16"/>
      <x:c r="Y112" s="16"/>
      <x:c r="Z112" s="16"/>
      <x:c r="AA112" s="16"/>
      <x:c r="AB112" s="109"/>
      <x:c r="AC112" s="109"/>
      <x:c r="AD112" s="16"/>
      <x:c r="AE112" s="16"/>
      <x:c r="AF112" s="16"/>
    </x:row>
    <x:row r="113">
      <x:c r="A113" s="16"/>
      <x:c r="B113" s="16"/>
      <x:c r="C113" s="16"/>
      <x:c r="D113" s="16"/>
      <x:c r="E113" s="16"/>
      <x:c r="F113" s="16"/>
      <x:c r="G113" s="16"/>
      <x:c r="H113" s="109"/>
      <x:c r="I113" s="109"/>
      <x:c r="J113" s="16"/>
      <x:c r="K113" s="16"/>
      <x:c r="L113" s="16"/>
      <x:c r="M113" s="16"/>
      <x:c r="N113" s="16"/>
      <x:c r="O113" s="109"/>
      <x:c r="P113" s="109"/>
      <x:c r="Q113" s="16"/>
      <x:c r="R113" s="16"/>
      <x:c r="S113" s="109"/>
      <x:c r="T113" s="16"/>
      <x:c r="U113" s="16"/>
      <x:c r="V113" s="16"/>
      <x:c r="W113" s="18" t="str">
        <x:f>IF(A113="","",IF(H113="","",IF(I113&lt;&gt;"",I113-H113+1,IF(S113&lt;&gt;"",S113-H113+1,""))))</x:f>
      </x:c>
      <x:c r="X113" s="16"/>
      <x:c r="Y113" s="16"/>
      <x:c r="Z113" s="16"/>
      <x:c r="AA113" s="16"/>
      <x:c r="AB113" s="109"/>
      <x:c r="AC113" s="109"/>
      <x:c r="AD113" s="16"/>
      <x:c r="AE113" s="16"/>
      <x:c r="AF113" s="16"/>
    </x:row>
    <x:row r="114">
      <x:c r="A114" s="16"/>
      <x:c r="B114" s="16"/>
      <x:c r="C114" s="16"/>
      <x:c r="D114" s="16"/>
      <x:c r="E114" s="16"/>
      <x:c r="F114" s="16"/>
      <x:c r="G114" s="16"/>
      <x:c r="H114" s="109"/>
      <x:c r="I114" s="109"/>
      <x:c r="J114" s="16"/>
      <x:c r="K114" s="16"/>
      <x:c r="L114" s="16"/>
      <x:c r="M114" s="16"/>
      <x:c r="N114" s="16"/>
      <x:c r="O114" s="109"/>
      <x:c r="P114" s="109"/>
      <x:c r="Q114" s="16"/>
      <x:c r="R114" s="16"/>
      <x:c r="S114" s="109"/>
      <x:c r="T114" s="16"/>
      <x:c r="U114" s="16"/>
      <x:c r="V114" s="16"/>
      <x:c r="W114" s="18" t="str">
        <x:f>IF(A114="","",IF(H114="","",IF(I114&lt;&gt;"",I114-H114+1,IF(S114&lt;&gt;"",S114-H114+1,""))))</x:f>
      </x:c>
      <x:c r="X114" s="16"/>
      <x:c r="Y114" s="16"/>
      <x:c r="Z114" s="16"/>
      <x:c r="AA114" s="16"/>
      <x:c r="AB114" s="109"/>
      <x:c r="AC114" s="109"/>
      <x:c r="AD114" s="16"/>
      <x:c r="AE114" s="16"/>
      <x:c r="AF114" s="16"/>
    </x:row>
    <x:row r="115">
      <x:c r="A115" s="16"/>
      <x:c r="B115" s="16"/>
      <x:c r="C115" s="16"/>
      <x:c r="D115" s="16"/>
      <x:c r="E115" s="16"/>
      <x:c r="F115" s="16"/>
      <x:c r="G115" s="16"/>
      <x:c r="H115" s="109"/>
      <x:c r="I115" s="109"/>
      <x:c r="J115" s="16"/>
      <x:c r="K115" s="16"/>
      <x:c r="L115" s="16"/>
      <x:c r="M115" s="16"/>
      <x:c r="N115" s="16"/>
      <x:c r="O115" s="109"/>
      <x:c r="P115" s="109"/>
      <x:c r="Q115" s="16"/>
      <x:c r="R115" s="16"/>
      <x:c r="S115" s="109"/>
      <x:c r="T115" s="16"/>
      <x:c r="U115" s="16"/>
      <x:c r="V115" s="16"/>
      <x:c r="W115" s="18" t="str">
        <x:f>IF(A115="","",IF(H115="","",IF(I115&lt;&gt;"",I115-H115+1,IF(S115&lt;&gt;"",S115-H115+1,""))))</x:f>
      </x:c>
      <x:c r="X115" s="16"/>
      <x:c r="Y115" s="16"/>
      <x:c r="Z115" s="16"/>
      <x:c r="AA115" s="16"/>
      <x:c r="AB115" s="109"/>
      <x:c r="AC115" s="109"/>
      <x:c r="AD115" s="16"/>
      <x:c r="AE115" s="16"/>
      <x:c r="AF115" s="16"/>
    </x:row>
    <x:row r="116">
      <x:c r="A116" s="16"/>
      <x:c r="B116" s="16"/>
      <x:c r="C116" s="16"/>
      <x:c r="D116" s="16"/>
      <x:c r="E116" s="16"/>
      <x:c r="F116" s="16"/>
      <x:c r="G116" s="16"/>
      <x:c r="H116" s="109"/>
      <x:c r="I116" s="109"/>
      <x:c r="J116" s="16"/>
      <x:c r="K116" s="16"/>
      <x:c r="L116" s="16"/>
      <x:c r="M116" s="16"/>
      <x:c r="N116" s="16"/>
      <x:c r="O116" s="109"/>
      <x:c r="P116" s="109"/>
      <x:c r="Q116" s="16"/>
      <x:c r="R116" s="16"/>
      <x:c r="S116" s="109"/>
      <x:c r="T116" s="16"/>
      <x:c r="U116" s="16"/>
      <x:c r="V116" s="16"/>
      <x:c r="W116" s="18" t="str">
        <x:f>IF(A116="","",IF(H116="","",IF(I116&lt;&gt;"",I116-H116+1,IF(S116&lt;&gt;"",S116-H116+1,""))))</x:f>
      </x:c>
      <x:c r="X116" s="16"/>
      <x:c r="Y116" s="16"/>
      <x:c r="Z116" s="16"/>
      <x:c r="AA116" s="16"/>
      <x:c r="AB116" s="109"/>
      <x:c r="AC116" s="109"/>
      <x:c r="AD116" s="16"/>
      <x:c r="AE116" s="16"/>
      <x:c r="AF116" s="16"/>
    </x:row>
    <x:row r="117">
      <x:c r="A117" s="16"/>
      <x:c r="B117" s="16"/>
      <x:c r="C117" s="16"/>
      <x:c r="D117" s="16"/>
      <x:c r="E117" s="16"/>
      <x:c r="F117" s="16"/>
      <x:c r="G117" s="16"/>
      <x:c r="H117" s="109"/>
      <x:c r="I117" s="109"/>
      <x:c r="J117" s="16"/>
      <x:c r="K117" s="16"/>
      <x:c r="L117" s="16"/>
      <x:c r="M117" s="16"/>
      <x:c r="N117" s="16"/>
      <x:c r="O117" s="109"/>
      <x:c r="P117" s="109"/>
      <x:c r="Q117" s="16"/>
      <x:c r="R117" s="16"/>
      <x:c r="S117" s="109"/>
      <x:c r="T117" s="16"/>
      <x:c r="U117" s="16"/>
      <x:c r="V117" s="16"/>
      <x:c r="W117" s="18" t="str">
        <x:f>IF(A117="","",IF(H117="","",IF(I117&lt;&gt;"",I117-H117+1,IF(S117&lt;&gt;"",S117-H117+1,""))))</x:f>
      </x:c>
      <x:c r="X117" s="16"/>
      <x:c r="Y117" s="16"/>
      <x:c r="Z117" s="16"/>
      <x:c r="AA117" s="16"/>
      <x:c r="AB117" s="109"/>
      <x:c r="AC117" s="109"/>
      <x:c r="AD117" s="16"/>
      <x:c r="AE117" s="16"/>
      <x:c r="AF117" s="16"/>
    </x:row>
    <x:row r="118">
      <x:c r="A118" s="16"/>
      <x:c r="B118" s="16"/>
      <x:c r="C118" s="16"/>
      <x:c r="D118" s="16"/>
      <x:c r="E118" s="16"/>
      <x:c r="F118" s="16"/>
      <x:c r="G118" s="16"/>
      <x:c r="H118" s="109"/>
      <x:c r="I118" s="109"/>
      <x:c r="J118" s="16"/>
      <x:c r="K118" s="16"/>
      <x:c r="L118" s="16"/>
      <x:c r="M118" s="16"/>
      <x:c r="N118" s="16"/>
      <x:c r="O118" s="109"/>
      <x:c r="P118" s="109"/>
      <x:c r="Q118" s="16"/>
      <x:c r="R118" s="16"/>
      <x:c r="S118" s="109"/>
      <x:c r="T118" s="16"/>
      <x:c r="U118" s="16"/>
      <x:c r="V118" s="16"/>
      <x:c r="W118" s="18" t="str">
        <x:f>IF(A118="","",IF(H118="","",IF(I118&lt;&gt;"",I118-H118+1,IF(S118&lt;&gt;"",S118-H118+1,""))))</x:f>
      </x:c>
      <x:c r="X118" s="16"/>
      <x:c r="Y118" s="16"/>
      <x:c r="Z118" s="16"/>
      <x:c r="AA118" s="16"/>
      <x:c r="AB118" s="109"/>
      <x:c r="AC118" s="109"/>
      <x:c r="AD118" s="16"/>
      <x:c r="AE118" s="16"/>
      <x:c r="AF118" s="16"/>
    </x:row>
    <x:row r="119">
      <x:c r="A119" s="16"/>
      <x:c r="B119" s="16"/>
      <x:c r="C119" s="16"/>
      <x:c r="D119" s="16"/>
      <x:c r="E119" s="16"/>
      <x:c r="F119" s="16"/>
      <x:c r="G119" s="16"/>
      <x:c r="H119" s="109"/>
      <x:c r="I119" s="109"/>
      <x:c r="J119" s="16"/>
      <x:c r="K119" s="16"/>
      <x:c r="L119" s="16"/>
      <x:c r="M119" s="16"/>
      <x:c r="N119" s="16"/>
      <x:c r="O119" s="109"/>
      <x:c r="P119" s="109"/>
      <x:c r="Q119" s="16"/>
      <x:c r="R119" s="16"/>
      <x:c r="S119" s="109"/>
      <x:c r="T119" s="16"/>
      <x:c r="U119" s="16"/>
      <x:c r="V119" s="16"/>
      <x:c r="W119" s="18" t="str">
        <x:f>IF(A119="","",IF(H119="","",IF(I119&lt;&gt;"",I119-H119+1,IF(S119&lt;&gt;"",S119-H119+1,""))))</x:f>
      </x:c>
      <x:c r="X119" s="16"/>
      <x:c r="Y119" s="16"/>
      <x:c r="Z119" s="16"/>
      <x:c r="AA119" s="16"/>
      <x:c r="AB119" s="109"/>
      <x:c r="AC119" s="109"/>
      <x:c r="AD119" s="16"/>
      <x:c r="AE119" s="16"/>
      <x:c r="AF119" s="16"/>
    </x:row>
    <x:row r="120">
      <x:c r="A120" s="16"/>
      <x:c r="B120" s="16"/>
      <x:c r="C120" s="16"/>
      <x:c r="D120" s="16"/>
      <x:c r="E120" s="16"/>
      <x:c r="F120" s="16"/>
      <x:c r="G120" s="16"/>
      <x:c r="H120" s="109"/>
      <x:c r="I120" s="109"/>
      <x:c r="J120" s="16"/>
      <x:c r="K120" s="16"/>
      <x:c r="L120" s="16"/>
      <x:c r="M120" s="16"/>
      <x:c r="N120" s="16"/>
      <x:c r="O120" s="109"/>
      <x:c r="P120" s="109"/>
      <x:c r="Q120" s="16"/>
      <x:c r="R120" s="16"/>
      <x:c r="S120" s="109"/>
      <x:c r="T120" s="16"/>
      <x:c r="U120" s="16"/>
      <x:c r="V120" s="16"/>
      <x:c r="W120" s="18" t="str">
        <x:f>IF(A120="","",IF(H120="","",IF(I120&lt;&gt;"",I120-H120+1,IF(S120&lt;&gt;"",S120-H120+1,""))))</x:f>
      </x:c>
      <x:c r="X120" s="16"/>
      <x:c r="Y120" s="16"/>
      <x:c r="Z120" s="16"/>
      <x:c r="AA120" s="16"/>
      <x:c r="AB120" s="109"/>
      <x:c r="AC120" s="109"/>
      <x:c r="AD120" s="16"/>
      <x:c r="AE120" s="16"/>
      <x:c r="AF120" s="16"/>
    </x:row>
    <x:row r="121">
      <x:c r="A121" s="16"/>
      <x:c r="B121" s="16"/>
      <x:c r="C121" s="16"/>
      <x:c r="D121" s="16"/>
      <x:c r="E121" s="16"/>
      <x:c r="F121" s="16"/>
      <x:c r="G121" s="16"/>
      <x:c r="H121" s="109"/>
      <x:c r="I121" s="109"/>
      <x:c r="J121" s="16"/>
      <x:c r="K121" s="16"/>
      <x:c r="L121" s="16"/>
      <x:c r="M121" s="16"/>
      <x:c r="N121" s="16"/>
      <x:c r="O121" s="109"/>
      <x:c r="P121" s="109"/>
      <x:c r="Q121" s="16"/>
      <x:c r="R121" s="16"/>
      <x:c r="S121" s="109"/>
      <x:c r="T121" s="16"/>
      <x:c r="U121" s="16"/>
      <x:c r="V121" s="16"/>
      <x:c r="W121" s="18" t="str">
        <x:f>IF(A121="","",IF(H121="","",IF(I121&lt;&gt;"",I121-H121+1,IF(S121&lt;&gt;"",S121-H121+1,""))))</x:f>
      </x:c>
      <x:c r="X121" s="16"/>
      <x:c r="Y121" s="16"/>
      <x:c r="Z121" s="16"/>
      <x:c r="AA121" s="16"/>
      <x:c r="AB121" s="109"/>
      <x:c r="AC121" s="109"/>
      <x:c r="AD121" s="16"/>
      <x:c r="AE121" s="16"/>
      <x:c r="AF121" s="16"/>
    </x:row>
    <x:row r="122">
      <x:c r="A122" s="16"/>
      <x:c r="B122" s="16"/>
      <x:c r="C122" s="16"/>
      <x:c r="D122" s="16"/>
      <x:c r="E122" s="16"/>
      <x:c r="F122" s="16"/>
      <x:c r="G122" s="16"/>
      <x:c r="H122" s="109"/>
      <x:c r="I122" s="109"/>
      <x:c r="J122" s="16"/>
      <x:c r="K122" s="16"/>
      <x:c r="L122" s="16"/>
      <x:c r="M122" s="16"/>
      <x:c r="N122" s="16"/>
      <x:c r="O122" s="109"/>
      <x:c r="P122" s="109"/>
      <x:c r="Q122" s="16"/>
      <x:c r="R122" s="16"/>
      <x:c r="S122" s="109"/>
      <x:c r="T122" s="16"/>
      <x:c r="U122" s="16"/>
      <x:c r="V122" s="16"/>
      <x:c r="W122" s="18" t="str">
        <x:f>IF(A122="","",IF(H122="","",IF(I122&lt;&gt;"",I122-H122+1,IF(S122&lt;&gt;"",S122-H122+1,""))))</x:f>
      </x:c>
      <x:c r="X122" s="16"/>
      <x:c r="Y122" s="16"/>
      <x:c r="Z122" s="16"/>
      <x:c r="AA122" s="16"/>
      <x:c r="AB122" s="109"/>
      <x:c r="AC122" s="109"/>
      <x:c r="AD122" s="16"/>
      <x:c r="AE122" s="16"/>
      <x:c r="AF122" s="16"/>
    </x:row>
    <x:row r="123">
      <x:c r="A123" s="16"/>
      <x:c r="B123" s="16"/>
      <x:c r="C123" s="16"/>
      <x:c r="D123" s="16"/>
      <x:c r="E123" s="16"/>
      <x:c r="F123" s="16"/>
      <x:c r="G123" s="16"/>
      <x:c r="H123" s="109"/>
      <x:c r="I123" s="109"/>
      <x:c r="J123" s="16"/>
      <x:c r="K123" s="16"/>
      <x:c r="L123" s="16"/>
      <x:c r="M123" s="16"/>
      <x:c r="N123" s="16"/>
      <x:c r="O123" s="109"/>
      <x:c r="P123" s="109"/>
      <x:c r="Q123" s="16"/>
      <x:c r="R123" s="16"/>
      <x:c r="S123" s="109"/>
      <x:c r="T123" s="16"/>
      <x:c r="U123" s="16"/>
      <x:c r="V123" s="16"/>
      <x:c r="W123" s="18" t="str">
        <x:f>IF(A123="","",IF(H123="","",IF(I123&lt;&gt;"",I123-H123+1,IF(S123&lt;&gt;"",S123-H123+1,""))))</x:f>
      </x:c>
      <x:c r="X123" s="16"/>
      <x:c r="Y123" s="16"/>
      <x:c r="Z123" s="16"/>
      <x:c r="AA123" s="16"/>
      <x:c r="AB123" s="109"/>
      <x:c r="AC123" s="109"/>
      <x:c r="AD123" s="16"/>
      <x:c r="AE123" s="16"/>
      <x:c r="AF123" s="16"/>
    </x:row>
    <x:row r="124">
      <x:c r="A124" s="16"/>
      <x:c r="B124" s="16"/>
      <x:c r="C124" s="16"/>
      <x:c r="D124" s="16"/>
      <x:c r="E124" s="16"/>
      <x:c r="F124" s="16"/>
      <x:c r="G124" s="16"/>
      <x:c r="H124" s="109"/>
      <x:c r="I124" s="109"/>
      <x:c r="J124" s="16"/>
      <x:c r="K124" s="16"/>
      <x:c r="L124" s="16"/>
      <x:c r="M124" s="16"/>
      <x:c r="N124" s="16"/>
      <x:c r="O124" s="109"/>
      <x:c r="P124" s="109"/>
      <x:c r="Q124" s="16"/>
      <x:c r="R124" s="16"/>
      <x:c r="S124" s="109"/>
      <x:c r="T124" s="16"/>
      <x:c r="U124" s="16"/>
      <x:c r="V124" s="16"/>
      <x:c r="W124" s="18" t="str">
        <x:f>IF(A124="","",IF(H124="","",IF(I124&lt;&gt;"",I124-H124+1,IF(S124&lt;&gt;"",S124-H124+1,""))))</x:f>
      </x:c>
      <x:c r="X124" s="16"/>
      <x:c r="Y124" s="16"/>
      <x:c r="Z124" s="16"/>
      <x:c r="AA124" s="16"/>
      <x:c r="AB124" s="109"/>
      <x:c r="AC124" s="109"/>
      <x:c r="AD124" s="16"/>
      <x:c r="AE124" s="16"/>
      <x:c r="AF124" s="16"/>
    </x:row>
    <x:row r="125">
      <x:c r="A125" s="16"/>
      <x:c r="B125" s="16"/>
      <x:c r="C125" s="16"/>
      <x:c r="D125" s="16"/>
      <x:c r="E125" s="16"/>
      <x:c r="F125" s="16"/>
      <x:c r="G125" s="16"/>
      <x:c r="H125" s="109"/>
      <x:c r="I125" s="109"/>
      <x:c r="J125" s="16"/>
      <x:c r="K125" s="16"/>
      <x:c r="L125" s="16"/>
      <x:c r="M125" s="16"/>
      <x:c r="N125" s="16"/>
      <x:c r="O125" s="109"/>
      <x:c r="P125" s="109"/>
      <x:c r="Q125" s="16"/>
      <x:c r="R125" s="16"/>
      <x:c r="S125" s="109"/>
      <x:c r="T125" s="16"/>
      <x:c r="U125" s="16"/>
      <x:c r="V125" s="16"/>
      <x:c r="W125" s="18" t="str">
        <x:f>IF(A125="","",IF(H125="","",IF(I125&lt;&gt;"",I125-H125+1,IF(S125&lt;&gt;"",S125-H125+1,""))))</x:f>
      </x:c>
      <x:c r="X125" s="16"/>
      <x:c r="Y125" s="16"/>
      <x:c r="Z125" s="16"/>
      <x:c r="AA125" s="16"/>
      <x:c r="AB125" s="109"/>
      <x:c r="AC125" s="109"/>
      <x:c r="AD125" s="16"/>
      <x:c r="AE125" s="16"/>
      <x:c r="AF125" s="16"/>
    </x:row>
    <x:row r="126">
      <x:c r="A126" s="16"/>
      <x:c r="B126" s="16"/>
      <x:c r="C126" s="16"/>
      <x:c r="D126" s="16"/>
      <x:c r="E126" s="16"/>
      <x:c r="F126" s="16"/>
      <x:c r="G126" s="16"/>
      <x:c r="H126" s="109"/>
      <x:c r="I126" s="109"/>
      <x:c r="J126" s="16"/>
      <x:c r="K126" s="16"/>
      <x:c r="L126" s="16"/>
      <x:c r="M126" s="16"/>
      <x:c r="N126" s="16"/>
      <x:c r="O126" s="109"/>
      <x:c r="P126" s="109"/>
      <x:c r="Q126" s="16"/>
      <x:c r="R126" s="16"/>
      <x:c r="S126" s="109"/>
      <x:c r="T126" s="16"/>
      <x:c r="U126" s="16"/>
      <x:c r="V126" s="16"/>
      <x:c r="W126" s="18" t="str">
        <x:f>IF(A126="","",IF(H126="","",IF(I126&lt;&gt;"",I126-H126+1,IF(S126&lt;&gt;"",S126-H126+1,""))))</x:f>
      </x:c>
      <x:c r="X126" s="16"/>
      <x:c r="Y126" s="16"/>
      <x:c r="Z126" s="16"/>
      <x:c r="AA126" s="16"/>
      <x:c r="AB126" s="109"/>
      <x:c r="AC126" s="109"/>
      <x:c r="AD126" s="16"/>
      <x:c r="AE126" s="16"/>
      <x:c r="AF126" s="16"/>
    </x:row>
    <x:row r="127">
      <x:c r="A127" s="16"/>
      <x:c r="B127" s="16"/>
      <x:c r="C127" s="16"/>
      <x:c r="D127" s="16"/>
      <x:c r="E127" s="16"/>
      <x:c r="F127" s="16"/>
      <x:c r="G127" s="16"/>
      <x:c r="H127" s="109"/>
      <x:c r="I127" s="109"/>
      <x:c r="J127" s="16"/>
      <x:c r="K127" s="16"/>
      <x:c r="L127" s="16"/>
      <x:c r="M127" s="16"/>
      <x:c r="N127" s="16"/>
      <x:c r="O127" s="109"/>
      <x:c r="P127" s="109"/>
      <x:c r="Q127" s="16"/>
      <x:c r="R127" s="16"/>
      <x:c r="S127" s="109"/>
      <x:c r="T127" s="16"/>
      <x:c r="U127" s="16"/>
      <x:c r="V127" s="16"/>
      <x:c r="W127" s="18" t="str">
        <x:f>IF(A127="","",IF(H127="","",IF(I127&lt;&gt;"",I127-H127+1,IF(S127&lt;&gt;"",S127-H127+1,""))))</x:f>
      </x:c>
      <x:c r="X127" s="16"/>
      <x:c r="Y127" s="16"/>
      <x:c r="Z127" s="16"/>
      <x:c r="AA127" s="16"/>
      <x:c r="AB127" s="109"/>
      <x:c r="AC127" s="109"/>
      <x:c r="AD127" s="16"/>
      <x:c r="AE127" s="16"/>
      <x:c r="AF127" s="16"/>
    </x:row>
    <x:row r="128">
      <x:c r="A128" s="16"/>
      <x:c r="B128" s="16"/>
      <x:c r="C128" s="16"/>
      <x:c r="D128" s="16"/>
      <x:c r="E128" s="16"/>
      <x:c r="F128" s="16"/>
      <x:c r="G128" s="16"/>
      <x:c r="H128" s="109"/>
      <x:c r="I128" s="109"/>
      <x:c r="J128" s="16"/>
      <x:c r="K128" s="16"/>
      <x:c r="L128" s="16"/>
      <x:c r="M128" s="16"/>
      <x:c r="N128" s="16"/>
      <x:c r="O128" s="109"/>
      <x:c r="P128" s="109"/>
      <x:c r="Q128" s="16"/>
      <x:c r="R128" s="16"/>
      <x:c r="S128" s="109"/>
      <x:c r="T128" s="16"/>
      <x:c r="U128" s="16"/>
      <x:c r="V128" s="16"/>
      <x:c r="W128" s="18" t="str">
        <x:f>IF(A128="","",IF(H128="","",IF(I128&lt;&gt;"",I128-H128+1,IF(S128&lt;&gt;"",S128-H128+1,""))))</x:f>
      </x:c>
      <x:c r="X128" s="16"/>
      <x:c r="Y128" s="16"/>
      <x:c r="Z128" s="16"/>
      <x:c r="AA128" s="16"/>
      <x:c r="AB128" s="109"/>
      <x:c r="AC128" s="109"/>
      <x:c r="AD128" s="16"/>
      <x:c r="AE128" s="16"/>
      <x:c r="AF128" s="16"/>
    </x:row>
    <x:row r="129">
      <x:c r="A129" s="16"/>
      <x:c r="B129" s="16"/>
      <x:c r="C129" s="16"/>
      <x:c r="D129" s="16"/>
      <x:c r="E129" s="16"/>
      <x:c r="F129" s="16"/>
      <x:c r="G129" s="16"/>
      <x:c r="H129" s="109"/>
      <x:c r="I129" s="109"/>
      <x:c r="J129" s="16"/>
      <x:c r="K129" s="16"/>
      <x:c r="L129" s="16"/>
      <x:c r="M129" s="16"/>
      <x:c r="N129" s="16"/>
      <x:c r="O129" s="109"/>
      <x:c r="P129" s="109"/>
      <x:c r="Q129" s="16"/>
      <x:c r="R129" s="16"/>
      <x:c r="S129" s="109"/>
      <x:c r="T129" s="16"/>
      <x:c r="U129" s="16"/>
      <x:c r="V129" s="16"/>
      <x:c r="W129" s="18" t="str">
        <x:f>IF(A129="","",IF(H129="","",IF(I129&lt;&gt;"",I129-H129+1,IF(S129&lt;&gt;"",S129-H129+1,""))))</x:f>
      </x:c>
      <x:c r="X129" s="16"/>
      <x:c r="Y129" s="16"/>
      <x:c r="Z129" s="16"/>
      <x:c r="AA129" s="16"/>
      <x:c r="AB129" s="109"/>
      <x:c r="AC129" s="109"/>
      <x:c r="AD129" s="16"/>
      <x:c r="AE129" s="16"/>
      <x:c r="AF129" s="16"/>
    </x:row>
    <x:row r="130">
      <x:c r="A130" s="16"/>
      <x:c r="B130" s="16"/>
      <x:c r="C130" s="16"/>
      <x:c r="D130" s="16"/>
      <x:c r="E130" s="16"/>
      <x:c r="F130" s="16"/>
      <x:c r="G130" s="16"/>
      <x:c r="H130" s="109"/>
      <x:c r="I130" s="109"/>
      <x:c r="J130" s="16"/>
      <x:c r="K130" s="16"/>
      <x:c r="L130" s="16"/>
      <x:c r="M130" s="16"/>
      <x:c r="N130" s="16"/>
      <x:c r="O130" s="109"/>
      <x:c r="P130" s="109"/>
      <x:c r="Q130" s="16"/>
      <x:c r="R130" s="16"/>
      <x:c r="S130" s="109"/>
      <x:c r="T130" s="16"/>
      <x:c r="U130" s="16"/>
      <x:c r="V130" s="16"/>
      <x:c r="W130" s="18" t="str">
        <x:f>IF(A130="","",IF(H130="","",IF(I130&lt;&gt;"",I130-H130+1,IF(S130&lt;&gt;"",S130-H130+1,""))))</x:f>
      </x:c>
      <x:c r="X130" s="16"/>
      <x:c r="Y130" s="16"/>
      <x:c r="Z130" s="16"/>
      <x:c r="AA130" s="16"/>
      <x:c r="AB130" s="109"/>
      <x:c r="AC130" s="109"/>
      <x:c r="AD130" s="16"/>
      <x:c r="AE130" s="16"/>
      <x:c r="AF130" s="16"/>
    </x:row>
    <x:row r="131">
      <x:c r="A131" s="16"/>
      <x:c r="B131" s="16"/>
      <x:c r="C131" s="16"/>
      <x:c r="D131" s="16"/>
      <x:c r="E131" s="16"/>
      <x:c r="F131" s="16"/>
      <x:c r="G131" s="16"/>
      <x:c r="H131" s="109"/>
      <x:c r="I131" s="109"/>
      <x:c r="J131" s="16"/>
      <x:c r="K131" s="16"/>
      <x:c r="L131" s="16"/>
      <x:c r="M131" s="16"/>
      <x:c r="N131" s="16"/>
      <x:c r="O131" s="109"/>
      <x:c r="P131" s="109"/>
      <x:c r="Q131" s="16"/>
      <x:c r="R131" s="16"/>
      <x:c r="S131" s="109"/>
      <x:c r="T131" s="16"/>
      <x:c r="U131" s="16"/>
      <x:c r="V131" s="16"/>
      <x:c r="W131" s="18" t="str">
        <x:f>IF(A131="","",IF(H131="","",IF(I131&lt;&gt;"",I131-H131+1,IF(S131&lt;&gt;"",S131-H131+1,""))))</x:f>
      </x:c>
      <x:c r="X131" s="16"/>
      <x:c r="Y131" s="16"/>
      <x:c r="Z131" s="16"/>
      <x:c r="AA131" s="16"/>
      <x:c r="AB131" s="109"/>
      <x:c r="AC131" s="109"/>
      <x:c r="AD131" s="16"/>
      <x:c r="AE131" s="16"/>
      <x:c r="AF131" s="16"/>
    </x:row>
    <x:row r="132">
      <x:c r="A132" s="16"/>
      <x:c r="B132" s="16"/>
      <x:c r="C132" s="16"/>
      <x:c r="D132" s="16"/>
      <x:c r="E132" s="16"/>
      <x:c r="F132" s="16"/>
      <x:c r="G132" s="16"/>
      <x:c r="H132" s="109"/>
      <x:c r="I132" s="109"/>
      <x:c r="J132" s="16"/>
      <x:c r="K132" s="16"/>
      <x:c r="L132" s="16"/>
      <x:c r="M132" s="16"/>
      <x:c r="N132" s="16"/>
      <x:c r="O132" s="109"/>
      <x:c r="P132" s="109"/>
      <x:c r="Q132" s="16"/>
      <x:c r="R132" s="16"/>
      <x:c r="S132" s="109"/>
      <x:c r="T132" s="16"/>
      <x:c r="U132" s="16"/>
      <x:c r="V132" s="16"/>
      <x:c r="W132" s="18" t="str">
        <x:f>IF(A132="","",IF(H132="","",IF(I132&lt;&gt;"",I132-H132+1,IF(S132&lt;&gt;"",S132-H132+1,""))))</x:f>
      </x:c>
      <x:c r="X132" s="16"/>
      <x:c r="Y132" s="16"/>
      <x:c r="Z132" s="16"/>
      <x:c r="AA132" s="16"/>
      <x:c r="AB132" s="109"/>
      <x:c r="AC132" s="109"/>
      <x:c r="AD132" s="16"/>
      <x:c r="AE132" s="16"/>
      <x:c r="AF132" s="16"/>
    </x:row>
    <x:row r="133">
      <x:c r="A133" s="16"/>
      <x:c r="B133" s="16"/>
      <x:c r="C133" s="16"/>
      <x:c r="D133" s="16"/>
      <x:c r="E133" s="16"/>
      <x:c r="F133" s="16"/>
      <x:c r="G133" s="16"/>
      <x:c r="H133" s="109"/>
      <x:c r="I133" s="109"/>
      <x:c r="J133" s="16"/>
      <x:c r="K133" s="16"/>
      <x:c r="L133" s="16"/>
      <x:c r="M133" s="16"/>
      <x:c r="N133" s="16"/>
      <x:c r="O133" s="109"/>
      <x:c r="P133" s="109"/>
      <x:c r="Q133" s="16"/>
      <x:c r="R133" s="16"/>
      <x:c r="S133" s="109"/>
      <x:c r="T133" s="16"/>
      <x:c r="U133" s="16"/>
      <x:c r="V133" s="16"/>
      <x:c r="W133" s="18" t="str">
        <x:f>IF(A133="","",IF(H133="","",IF(I133&lt;&gt;"",I133-H133+1,IF(S133&lt;&gt;"",S133-H133+1,""))))</x:f>
      </x:c>
      <x:c r="X133" s="16"/>
      <x:c r="Y133" s="16"/>
      <x:c r="Z133" s="16"/>
      <x:c r="AA133" s="16"/>
      <x:c r="AB133" s="109"/>
      <x:c r="AC133" s="109"/>
      <x:c r="AD133" s="16"/>
      <x:c r="AE133" s="16"/>
      <x:c r="AF133" s="16"/>
    </x:row>
    <x:row r="134">
      <x:c r="A134" s="16"/>
      <x:c r="B134" s="16"/>
      <x:c r="C134" s="16"/>
      <x:c r="D134" s="16"/>
      <x:c r="E134" s="16"/>
      <x:c r="F134" s="16"/>
      <x:c r="G134" s="16"/>
      <x:c r="H134" s="109"/>
      <x:c r="I134" s="109"/>
      <x:c r="J134" s="16"/>
      <x:c r="K134" s="16"/>
      <x:c r="L134" s="16"/>
      <x:c r="M134" s="16"/>
      <x:c r="N134" s="16"/>
      <x:c r="O134" s="109"/>
      <x:c r="P134" s="109"/>
      <x:c r="Q134" s="16"/>
      <x:c r="R134" s="16"/>
      <x:c r="S134" s="109"/>
      <x:c r="T134" s="16"/>
      <x:c r="U134" s="16"/>
      <x:c r="V134" s="16"/>
      <x:c r="W134" s="18" t="str">
        <x:f>IF(A134="","",IF(H134="","",IF(I134&lt;&gt;"",I134-H134+1,IF(S134&lt;&gt;"",S134-H134+1,""))))</x:f>
      </x:c>
      <x:c r="X134" s="16"/>
      <x:c r="Y134" s="16"/>
      <x:c r="Z134" s="16"/>
      <x:c r="AA134" s="16"/>
      <x:c r="AB134" s="109"/>
      <x:c r="AC134" s="109"/>
      <x:c r="AD134" s="16"/>
      <x:c r="AE134" s="16"/>
      <x:c r="AF134" s="16"/>
    </x:row>
    <x:row r="135">
      <x:c r="A135" s="16"/>
      <x:c r="B135" s="16"/>
      <x:c r="C135" s="16"/>
      <x:c r="D135" s="16"/>
      <x:c r="E135" s="16"/>
      <x:c r="F135" s="16"/>
      <x:c r="G135" s="16"/>
      <x:c r="H135" s="109"/>
      <x:c r="I135" s="109"/>
      <x:c r="J135" s="16"/>
      <x:c r="K135" s="16"/>
      <x:c r="L135" s="16"/>
      <x:c r="M135" s="16"/>
      <x:c r="N135" s="16"/>
      <x:c r="O135" s="109"/>
      <x:c r="P135" s="109"/>
      <x:c r="Q135" s="16"/>
      <x:c r="R135" s="16"/>
      <x:c r="S135" s="109"/>
      <x:c r="T135" s="16"/>
      <x:c r="U135" s="16"/>
      <x:c r="V135" s="16"/>
      <x:c r="W135" s="18" t="str">
        <x:f>IF(A135="","",IF(H135="","",IF(I135&lt;&gt;"",I135-H135+1,IF(S135&lt;&gt;"",S135-H135+1,""))))</x:f>
      </x:c>
      <x:c r="X135" s="16"/>
      <x:c r="Y135" s="16"/>
      <x:c r="Z135" s="16"/>
      <x:c r="AA135" s="16"/>
      <x:c r="AB135" s="109"/>
      <x:c r="AC135" s="109"/>
      <x:c r="AD135" s="16"/>
      <x:c r="AE135" s="16"/>
      <x:c r="AF135" s="16"/>
    </x:row>
    <x:row r="136">
      <x:c r="A136" s="16"/>
      <x:c r="B136" s="16"/>
      <x:c r="C136" s="16"/>
      <x:c r="D136" s="16"/>
      <x:c r="E136" s="16"/>
      <x:c r="F136" s="16"/>
      <x:c r="G136" s="16"/>
      <x:c r="H136" s="109"/>
      <x:c r="I136" s="109"/>
      <x:c r="J136" s="16"/>
      <x:c r="K136" s="16"/>
      <x:c r="L136" s="16"/>
      <x:c r="M136" s="16"/>
      <x:c r="N136" s="16"/>
      <x:c r="O136" s="109"/>
      <x:c r="P136" s="109"/>
      <x:c r="Q136" s="16"/>
      <x:c r="R136" s="16"/>
      <x:c r="S136" s="109"/>
      <x:c r="T136" s="16"/>
      <x:c r="U136" s="16"/>
      <x:c r="V136" s="16"/>
      <x:c r="W136" s="18" t="str">
        <x:f>IF(A136="","",IF(H136="","",IF(I136&lt;&gt;"",I136-H136+1,IF(S136&lt;&gt;"",S136-H136+1,""))))</x:f>
      </x:c>
      <x:c r="X136" s="16"/>
      <x:c r="Y136" s="16"/>
      <x:c r="Z136" s="16"/>
      <x:c r="AA136" s="16"/>
      <x:c r="AB136" s="109"/>
      <x:c r="AC136" s="109"/>
      <x:c r="AD136" s="16"/>
      <x:c r="AE136" s="16"/>
      <x:c r="AF136" s="16"/>
    </x:row>
    <x:row r="137">
      <x:c r="A137" s="16"/>
      <x:c r="B137" s="16"/>
      <x:c r="C137" s="16"/>
      <x:c r="D137" s="16"/>
      <x:c r="E137" s="16"/>
      <x:c r="F137" s="16"/>
      <x:c r="G137" s="16"/>
      <x:c r="H137" s="109"/>
      <x:c r="I137" s="109"/>
      <x:c r="J137" s="16"/>
      <x:c r="K137" s="16"/>
      <x:c r="L137" s="16"/>
      <x:c r="M137" s="16"/>
      <x:c r="N137" s="16"/>
      <x:c r="O137" s="109"/>
      <x:c r="P137" s="109"/>
      <x:c r="Q137" s="16"/>
      <x:c r="R137" s="16"/>
      <x:c r="S137" s="109"/>
      <x:c r="T137" s="16"/>
      <x:c r="U137" s="16"/>
      <x:c r="V137" s="16"/>
      <x:c r="W137" s="18" t="str">
        <x:f>IF(A137="","",IF(H137="","",IF(I137&lt;&gt;"",I137-H137+1,IF(S137&lt;&gt;"",S137-H137+1,""))))</x:f>
      </x:c>
      <x:c r="X137" s="16"/>
      <x:c r="Y137" s="16"/>
      <x:c r="Z137" s="16"/>
      <x:c r="AA137" s="16"/>
      <x:c r="AB137" s="109"/>
      <x:c r="AC137" s="109"/>
      <x:c r="AD137" s="16"/>
      <x:c r="AE137" s="16"/>
      <x:c r="AF137" s="16"/>
    </x:row>
    <x:row r="138">
      <x:c r="A138" s="16"/>
      <x:c r="B138" s="16"/>
      <x:c r="C138" s="16"/>
      <x:c r="D138" s="16"/>
      <x:c r="E138" s="16"/>
      <x:c r="F138" s="16"/>
      <x:c r="G138" s="16"/>
      <x:c r="H138" s="109"/>
      <x:c r="I138" s="109"/>
      <x:c r="J138" s="16"/>
      <x:c r="K138" s="16"/>
      <x:c r="L138" s="16"/>
      <x:c r="M138" s="16"/>
      <x:c r="N138" s="16"/>
      <x:c r="O138" s="109"/>
      <x:c r="P138" s="109"/>
      <x:c r="Q138" s="16"/>
      <x:c r="R138" s="16"/>
      <x:c r="S138" s="109"/>
      <x:c r="T138" s="16"/>
      <x:c r="U138" s="16"/>
      <x:c r="V138" s="16"/>
      <x:c r="W138" s="18" t="str">
        <x:f>IF(A138="","",IF(H138="","",IF(I138&lt;&gt;"",I138-H138+1,IF(S138&lt;&gt;"",S138-H138+1,""))))</x:f>
      </x:c>
      <x:c r="X138" s="16"/>
      <x:c r="Y138" s="16"/>
      <x:c r="Z138" s="16"/>
      <x:c r="AA138" s="16"/>
      <x:c r="AB138" s="109"/>
      <x:c r="AC138" s="109"/>
      <x:c r="AD138" s="16"/>
      <x:c r="AE138" s="16"/>
      <x:c r="AF138" s="16"/>
    </x:row>
    <x:row r="139">
      <x:c r="A139" s="16"/>
      <x:c r="B139" s="16"/>
      <x:c r="C139" s="16"/>
      <x:c r="D139" s="16"/>
      <x:c r="E139" s="16"/>
      <x:c r="F139" s="16"/>
      <x:c r="G139" s="16"/>
      <x:c r="H139" s="109"/>
      <x:c r="I139" s="109"/>
      <x:c r="J139" s="16"/>
      <x:c r="K139" s="16"/>
      <x:c r="L139" s="16"/>
      <x:c r="M139" s="16"/>
      <x:c r="N139" s="16"/>
      <x:c r="O139" s="109"/>
      <x:c r="P139" s="109"/>
      <x:c r="Q139" s="16"/>
      <x:c r="R139" s="16"/>
      <x:c r="S139" s="109"/>
      <x:c r="T139" s="16"/>
      <x:c r="U139" s="16"/>
      <x:c r="V139" s="16"/>
      <x:c r="W139" s="18" t="str">
        <x:f>IF(A139="","",IF(H139="","",IF(I139&lt;&gt;"",I139-H139+1,IF(S139&lt;&gt;"",S139-H139+1,""))))</x:f>
      </x:c>
      <x:c r="X139" s="16"/>
      <x:c r="Y139" s="16"/>
      <x:c r="Z139" s="16"/>
      <x:c r="AA139" s="16"/>
      <x:c r="AB139" s="109"/>
      <x:c r="AC139" s="109"/>
      <x:c r="AD139" s="16"/>
      <x:c r="AE139" s="16"/>
      <x:c r="AF139" s="16"/>
    </x:row>
    <x:row r="140">
      <x:c r="A140" s="16"/>
      <x:c r="B140" s="16"/>
      <x:c r="C140" s="16"/>
      <x:c r="D140" s="16"/>
      <x:c r="E140" s="16"/>
      <x:c r="F140" s="16"/>
      <x:c r="G140" s="16"/>
      <x:c r="H140" s="109"/>
      <x:c r="I140" s="109"/>
      <x:c r="J140" s="16"/>
      <x:c r="K140" s="16"/>
      <x:c r="L140" s="16"/>
      <x:c r="M140" s="16"/>
      <x:c r="N140" s="16"/>
      <x:c r="O140" s="109"/>
      <x:c r="P140" s="109"/>
      <x:c r="Q140" s="16"/>
      <x:c r="R140" s="16"/>
      <x:c r="S140" s="109"/>
      <x:c r="T140" s="16"/>
      <x:c r="U140" s="16"/>
      <x:c r="V140" s="16"/>
      <x:c r="W140" s="18" t="str">
        <x:f>IF(A140="","",IF(H140="","",IF(I140&lt;&gt;"",I140-H140+1,IF(S140&lt;&gt;"",S140-H140+1,""))))</x:f>
      </x:c>
      <x:c r="X140" s="16"/>
      <x:c r="Y140" s="16"/>
      <x:c r="Z140" s="16"/>
      <x:c r="AA140" s="16"/>
      <x:c r="AB140" s="109"/>
      <x:c r="AC140" s="109"/>
      <x:c r="AD140" s="16"/>
      <x:c r="AE140" s="16"/>
      <x:c r="AF140" s="16"/>
    </x:row>
    <x:row r="141">
      <x:c r="A141" s="16"/>
      <x:c r="B141" s="16"/>
      <x:c r="C141" s="16"/>
      <x:c r="D141" s="16"/>
      <x:c r="E141" s="16"/>
      <x:c r="F141" s="16"/>
      <x:c r="G141" s="16"/>
      <x:c r="H141" s="109"/>
      <x:c r="I141" s="109"/>
      <x:c r="J141" s="16"/>
      <x:c r="K141" s="16"/>
      <x:c r="L141" s="16"/>
      <x:c r="M141" s="16"/>
      <x:c r="N141" s="16"/>
      <x:c r="O141" s="109"/>
      <x:c r="P141" s="109"/>
      <x:c r="Q141" s="16"/>
      <x:c r="R141" s="16"/>
      <x:c r="S141" s="109"/>
      <x:c r="T141" s="16"/>
      <x:c r="U141" s="16"/>
      <x:c r="V141" s="16"/>
      <x:c r="W141" s="18" t="str">
        <x:f>IF(A141="","",IF(H141="","",IF(I141&lt;&gt;"",I141-H141+1,IF(S141&lt;&gt;"",S141-H141+1,""))))</x:f>
      </x:c>
      <x:c r="X141" s="16"/>
      <x:c r="Y141" s="16"/>
      <x:c r="Z141" s="16"/>
      <x:c r="AA141" s="16"/>
      <x:c r="AB141" s="109"/>
      <x:c r="AC141" s="109"/>
      <x:c r="AD141" s="16"/>
      <x:c r="AE141" s="16"/>
      <x:c r="AF141" s="16"/>
    </x:row>
    <x:row r="142">
      <x:c r="A142" s="16"/>
      <x:c r="B142" s="16"/>
      <x:c r="C142" s="16"/>
      <x:c r="D142" s="16"/>
      <x:c r="E142" s="16"/>
      <x:c r="F142" s="16"/>
      <x:c r="G142" s="16"/>
      <x:c r="H142" s="109"/>
      <x:c r="I142" s="109"/>
      <x:c r="J142" s="16"/>
      <x:c r="K142" s="16"/>
      <x:c r="L142" s="16"/>
      <x:c r="M142" s="16"/>
      <x:c r="N142" s="16"/>
      <x:c r="O142" s="109"/>
      <x:c r="P142" s="109"/>
      <x:c r="Q142" s="16"/>
      <x:c r="R142" s="16"/>
      <x:c r="S142" s="109"/>
      <x:c r="T142" s="16"/>
      <x:c r="U142" s="16"/>
      <x:c r="V142" s="16"/>
      <x:c r="W142" s="18" t="str">
        <x:f>IF(A142="","",IF(H142="","",IF(I142&lt;&gt;"",I142-H142+1,IF(S142&lt;&gt;"",S142-H142+1,""))))</x:f>
      </x:c>
      <x:c r="X142" s="16"/>
      <x:c r="Y142" s="16"/>
      <x:c r="Z142" s="16"/>
      <x:c r="AA142" s="16"/>
      <x:c r="AB142" s="109"/>
      <x:c r="AC142" s="109"/>
      <x:c r="AD142" s="16"/>
      <x:c r="AE142" s="16"/>
      <x:c r="AF142" s="16"/>
    </x:row>
    <x:row r="143">
      <x:c r="A143" s="16"/>
      <x:c r="B143" s="16"/>
      <x:c r="C143" s="16"/>
      <x:c r="D143" s="16"/>
      <x:c r="E143" s="16"/>
      <x:c r="F143" s="16"/>
      <x:c r="G143" s="16"/>
      <x:c r="H143" s="109"/>
      <x:c r="I143" s="109"/>
      <x:c r="J143" s="16"/>
      <x:c r="K143" s="16"/>
      <x:c r="L143" s="16"/>
      <x:c r="M143" s="16"/>
      <x:c r="N143" s="16"/>
      <x:c r="O143" s="109"/>
      <x:c r="P143" s="109"/>
      <x:c r="Q143" s="16"/>
      <x:c r="R143" s="16"/>
      <x:c r="S143" s="109"/>
      <x:c r="T143" s="16"/>
      <x:c r="U143" s="16"/>
      <x:c r="V143" s="16"/>
      <x:c r="W143" s="18" t="str">
        <x:f>IF(A143="","",IF(H143="","",IF(I143&lt;&gt;"",I143-H143+1,IF(S143&lt;&gt;"",S143-H143+1,""))))</x:f>
      </x:c>
      <x:c r="X143" s="16"/>
      <x:c r="Y143" s="16"/>
      <x:c r="Z143" s="16"/>
      <x:c r="AA143" s="16"/>
      <x:c r="AB143" s="109"/>
      <x:c r="AC143" s="109"/>
      <x:c r="AD143" s="16"/>
      <x:c r="AE143" s="16"/>
      <x:c r="AF143" s="16"/>
    </x:row>
    <x:row r="144">
      <x:c r="A144" s="16"/>
      <x:c r="B144" s="16"/>
      <x:c r="C144" s="16"/>
      <x:c r="D144" s="16"/>
      <x:c r="E144" s="16"/>
      <x:c r="F144" s="16"/>
      <x:c r="G144" s="16"/>
      <x:c r="H144" s="109"/>
      <x:c r="I144" s="109"/>
      <x:c r="J144" s="16"/>
      <x:c r="K144" s="16"/>
      <x:c r="L144" s="16"/>
      <x:c r="M144" s="16"/>
      <x:c r="N144" s="16"/>
      <x:c r="O144" s="109"/>
      <x:c r="P144" s="109"/>
      <x:c r="Q144" s="16"/>
      <x:c r="R144" s="16"/>
      <x:c r="S144" s="109"/>
      <x:c r="T144" s="16"/>
      <x:c r="U144" s="16"/>
      <x:c r="V144" s="16"/>
      <x:c r="W144" s="18" t="str">
        <x:f>IF(A144="","",IF(H144="","",IF(I144&lt;&gt;"",I144-H144+1,IF(S144&lt;&gt;"",S144-H144+1,""))))</x:f>
      </x:c>
      <x:c r="X144" s="16"/>
      <x:c r="Y144" s="16"/>
      <x:c r="Z144" s="16"/>
      <x:c r="AA144" s="16"/>
      <x:c r="AB144" s="109"/>
      <x:c r="AC144" s="109"/>
      <x:c r="AD144" s="16"/>
      <x:c r="AE144" s="16"/>
      <x:c r="AF144" s="16"/>
    </x:row>
    <x:row r="145">
      <x:c r="A145" s="16"/>
      <x:c r="B145" s="16"/>
      <x:c r="C145" s="16"/>
      <x:c r="D145" s="16"/>
      <x:c r="E145" s="16"/>
      <x:c r="F145" s="16"/>
      <x:c r="G145" s="16"/>
      <x:c r="H145" s="109"/>
      <x:c r="I145" s="109"/>
      <x:c r="J145" s="16"/>
      <x:c r="K145" s="16"/>
      <x:c r="L145" s="16"/>
      <x:c r="M145" s="16"/>
      <x:c r="N145" s="16"/>
      <x:c r="O145" s="109"/>
      <x:c r="P145" s="109"/>
      <x:c r="Q145" s="16"/>
      <x:c r="R145" s="16"/>
      <x:c r="S145" s="109"/>
      <x:c r="T145" s="16"/>
      <x:c r="U145" s="16"/>
      <x:c r="V145" s="16"/>
      <x:c r="W145" s="18" t="str">
        <x:f>IF(A145="","",IF(H145="","",IF(I145&lt;&gt;"",I145-H145+1,IF(S145&lt;&gt;"",S145-H145+1,""))))</x:f>
      </x:c>
      <x:c r="X145" s="16"/>
      <x:c r="Y145" s="16"/>
      <x:c r="Z145" s="16"/>
      <x:c r="AA145" s="16"/>
      <x:c r="AB145" s="109"/>
      <x:c r="AC145" s="109"/>
      <x:c r="AD145" s="16"/>
      <x:c r="AE145" s="16"/>
      <x:c r="AF145" s="16"/>
    </x:row>
    <x:row r="146">
      <x:c r="A146" s="16"/>
      <x:c r="B146" s="16"/>
      <x:c r="C146" s="16"/>
      <x:c r="D146" s="16"/>
      <x:c r="E146" s="16"/>
      <x:c r="F146" s="16"/>
      <x:c r="G146" s="16"/>
      <x:c r="H146" s="109"/>
      <x:c r="I146" s="109"/>
      <x:c r="J146" s="16"/>
      <x:c r="K146" s="16"/>
      <x:c r="L146" s="16"/>
      <x:c r="M146" s="16"/>
      <x:c r="N146" s="16"/>
      <x:c r="O146" s="109"/>
      <x:c r="P146" s="109"/>
      <x:c r="Q146" s="16"/>
      <x:c r="R146" s="16"/>
      <x:c r="S146" s="109"/>
      <x:c r="T146" s="16"/>
      <x:c r="U146" s="16"/>
      <x:c r="V146" s="16"/>
      <x:c r="W146" s="18" t="str">
        <x:f>IF(A146="","",IF(H146="","",IF(I146&lt;&gt;"",I146-H146+1,IF(S146&lt;&gt;"",S146-H146+1,""))))</x:f>
      </x:c>
      <x:c r="X146" s="16"/>
      <x:c r="Y146" s="16"/>
      <x:c r="Z146" s="16"/>
      <x:c r="AA146" s="16"/>
      <x:c r="AB146" s="109"/>
      <x:c r="AC146" s="109"/>
      <x:c r="AD146" s="16"/>
      <x:c r="AE146" s="16"/>
      <x:c r="AF146" s="16"/>
    </x:row>
    <x:row r="147">
      <x:c r="A147" s="16"/>
      <x:c r="B147" s="16"/>
      <x:c r="C147" s="16"/>
      <x:c r="D147" s="16"/>
      <x:c r="E147" s="16"/>
      <x:c r="F147" s="16"/>
      <x:c r="G147" s="16"/>
      <x:c r="H147" s="109"/>
      <x:c r="I147" s="109"/>
      <x:c r="J147" s="16"/>
      <x:c r="K147" s="16"/>
      <x:c r="L147" s="16"/>
      <x:c r="M147" s="16"/>
      <x:c r="N147" s="16"/>
      <x:c r="O147" s="109"/>
      <x:c r="P147" s="109"/>
      <x:c r="Q147" s="16"/>
      <x:c r="R147" s="16"/>
      <x:c r="S147" s="109"/>
      <x:c r="T147" s="16"/>
      <x:c r="U147" s="16"/>
      <x:c r="V147" s="16"/>
      <x:c r="W147" s="18" t="str">
        <x:f>IF(A147="","",IF(H147="","",IF(I147&lt;&gt;"",I147-H147+1,IF(S147&lt;&gt;"",S147-H147+1,""))))</x:f>
      </x:c>
      <x:c r="X147" s="16"/>
      <x:c r="Y147" s="16"/>
      <x:c r="Z147" s="16"/>
      <x:c r="AA147" s="16"/>
      <x:c r="AB147" s="109"/>
      <x:c r="AC147" s="109"/>
      <x:c r="AD147" s="16"/>
      <x:c r="AE147" s="16"/>
      <x:c r="AF147" s="16"/>
    </x:row>
    <x:row r="148">
      <x:c r="A148" s="16"/>
      <x:c r="B148" s="16"/>
      <x:c r="C148" s="16"/>
      <x:c r="D148" s="16"/>
      <x:c r="E148" s="16"/>
      <x:c r="F148" s="16"/>
      <x:c r="G148" s="16"/>
      <x:c r="H148" s="109"/>
      <x:c r="I148" s="109"/>
      <x:c r="J148" s="16"/>
      <x:c r="K148" s="16"/>
      <x:c r="L148" s="16"/>
      <x:c r="M148" s="16"/>
      <x:c r="N148" s="16"/>
      <x:c r="O148" s="109"/>
      <x:c r="P148" s="109"/>
      <x:c r="Q148" s="16"/>
      <x:c r="R148" s="16"/>
      <x:c r="S148" s="109"/>
      <x:c r="T148" s="16"/>
      <x:c r="U148" s="16"/>
      <x:c r="V148" s="16"/>
      <x:c r="W148" s="18" t="str">
        <x:f>IF(A148="","",IF(H148="","",IF(I148&lt;&gt;"",I148-H148+1,IF(S148&lt;&gt;"",S148-H148+1,""))))</x:f>
      </x:c>
      <x:c r="X148" s="16"/>
      <x:c r="Y148" s="16"/>
      <x:c r="Z148" s="16"/>
      <x:c r="AA148" s="16"/>
      <x:c r="AB148" s="109"/>
      <x:c r="AC148" s="109"/>
      <x:c r="AD148" s="16"/>
      <x:c r="AE148" s="16"/>
      <x:c r="AF148" s="16"/>
    </x:row>
    <x:row r="149">
      <x:c r="A149" s="16"/>
      <x:c r="B149" s="16"/>
      <x:c r="C149" s="16"/>
      <x:c r="D149" s="16"/>
      <x:c r="E149" s="16"/>
      <x:c r="F149" s="16"/>
      <x:c r="G149" s="16"/>
      <x:c r="H149" s="109"/>
      <x:c r="I149" s="109"/>
      <x:c r="J149" s="16"/>
      <x:c r="K149" s="16"/>
      <x:c r="L149" s="16"/>
      <x:c r="M149" s="16"/>
      <x:c r="N149" s="16"/>
      <x:c r="O149" s="109"/>
      <x:c r="P149" s="109"/>
      <x:c r="Q149" s="16"/>
      <x:c r="R149" s="16"/>
      <x:c r="S149" s="109"/>
      <x:c r="T149" s="16"/>
      <x:c r="U149" s="16"/>
      <x:c r="V149" s="16"/>
      <x:c r="W149" s="18" t="str">
        <x:f>IF(A149="","",IF(H149="","",IF(I149&lt;&gt;"",I149-H149+1,IF(S149&lt;&gt;"",S149-H149+1,""))))</x:f>
      </x:c>
      <x:c r="X149" s="16"/>
      <x:c r="Y149" s="16"/>
      <x:c r="Z149" s="16"/>
      <x:c r="AA149" s="16"/>
      <x:c r="AB149" s="109"/>
      <x:c r="AC149" s="109"/>
      <x:c r="AD149" s="16"/>
      <x:c r="AE149" s="16"/>
      <x:c r="AF149" s="16"/>
    </x:row>
    <x:row r="150">
      <x:c r="A150" s="16"/>
      <x:c r="B150" s="16"/>
      <x:c r="C150" s="16"/>
      <x:c r="D150" s="16"/>
      <x:c r="E150" s="16"/>
      <x:c r="F150" s="16"/>
      <x:c r="G150" s="16"/>
      <x:c r="H150" s="109"/>
      <x:c r="I150" s="109"/>
      <x:c r="J150" s="16"/>
      <x:c r="K150" s="16"/>
      <x:c r="L150" s="16"/>
      <x:c r="M150" s="16"/>
      <x:c r="N150" s="16"/>
      <x:c r="O150" s="109"/>
      <x:c r="P150" s="109"/>
      <x:c r="Q150" s="16"/>
      <x:c r="R150" s="16"/>
      <x:c r="S150" s="109"/>
      <x:c r="T150" s="16"/>
      <x:c r="U150" s="16"/>
      <x:c r="V150" s="16"/>
      <x:c r="W150" s="18" t="str">
        <x:f>IF(A150="","",IF(H150="","",IF(I150&lt;&gt;"",I150-H150+1,IF(S150&lt;&gt;"",S150-H150+1,""))))</x:f>
      </x:c>
      <x:c r="X150" s="16"/>
      <x:c r="Y150" s="16"/>
      <x:c r="Z150" s="16"/>
      <x:c r="AA150" s="16"/>
      <x:c r="AB150" s="109"/>
      <x:c r="AC150" s="109"/>
      <x:c r="AD150" s="16"/>
      <x:c r="AE150" s="16"/>
      <x:c r="AF150" s="16"/>
    </x:row>
    <x:row r="151">
      <x:c r="A151" s="16"/>
      <x:c r="B151" s="16"/>
      <x:c r="C151" s="16"/>
      <x:c r="D151" s="16"/>
      <x:c r="E151" s="16"/>
      <x:c r="F151" s="16"/>
      <x:c r="G151" s="16"/>
      <x:c r="H151" s="109"/>
      <x:c r="I151" s="109"/>
      <x:c r="J151" s="16"/>
      <x:c r="K151" s="16"/>
      <x:c r="L151" s="16"/>
      <x:c r="M151" s="16"/>
      <x:c r="N151" s="16"/>
      <x:c r="O151" s="109"/>
      <x:c r="P151" s="109"/>
      <x:c r="Q151" s="16"/>
      <x:c r="R151" s="16"/>
      <x:c r="S151" s="109"/>
      <x:c r="T151" s="16"/>
      <x:c r="U151" s="16"/>
      <x:c r="V151" s="16"/>
      <x:c r="W151" s="18" t="str">
        <x:f>IF(A151="","",IF(H151="","",IF(I151&lt;&gt;"",I151-H151+1,IF(S151&lt;&gt;"",S151-H151+1,""))))</x:f>
      </x:c>
      <x:c r="X151" s="16"/>
      <x:c r="Y151" s="16"/>
      <x:c r="Z151" s="16"/>
      <x:c r="AA151" s="16"/>
      <x:c r="AB151" s="109"/>
      <x:c r="AC151" s="109"/>
      <x:c r="AD151" s="16"/>
      <x:c r="AE151" s="16"/>
      <x:c r="AF151" s="16"/>
    </x:row>
    <x:row r="152">
      <x:c r="A152" s="16"/>
      <x:c r="B152" s="16"/>
      <x:c r="C152" s="16"/>
      <x:c r="D152" s="16"/>
      <x:c r="E152" s="16"/>
      <x:c r="F152" s="16"/>
      <x:c r="G152" s="16"/>
      <x:c r="H152" s="109"/>
      <x:c r="I152" s="109"/>
      <x:c r="J152" s="16"/>
      <x:c r="K152" s="16"/>
      <x:c r="L152" s="16"/>
      <x:c r="M152" s="16"/>
      <x:c r="N152" s="16"/>
      <x:c r="O152" s="109"/>
      <x:c r="P152" s="109"/>
      <x:c r="Q152" s="16"/>
      <x:c r="R152" s="16"/>
      <x:c r="S152" s="109"/>
      <x:c r="T152" s="16"/>
      <x:c r="U152" s="16"/>
      <x:c r="V152" s="16"/>
      <x:c r="W152" s="18" t="str">
        <x:f>IF(A152="","",IF(H152="","",IF(I152&lt;&gt;"",I152-H152+1,IF(S152&lt;&gt;"",S152-H152+1,""))))</x:f>
      </x:c>
      <x:c r="X152" s="16"/>
      <x:c r="Y152" s="16"/>
      <x:c r="Z152" s="16"/>
      <x:c r="AA152" s="16"/>
      <x:c r="AB152" s="109"/>
      <x:c r="AC152" s="109"/>
      <x:c r="AD152" s="16"/>
      <x:c r="AE152" s="16"/>
      <x:c r="AF152" s="16"/>
    </x:row>
    <x:row r="153">
      <x:c r="A153" s="16"/>
      <x:c r="B153" s="16"/>
      <x:c r="C153" s="16"/>
      <x:c r="D153" s="16"/>
      <x:c r="E153" s="16"/>
      <x:c r="F153" s="16"/>
      <x:c r="G153" s="16"/>
      <x:c r="H153" s="109"/>
      <x:c r="I153" s="109"/>
      <x:c r="J153" s="16"/>
      <x:c r="K153" s="16"/>
      <x:c r="L153" s="16"/>
      <x:c r="M153" s="16"/>
      <x:c r="N153" s="16"/>
      <x:c r="O153" s="109"/>
      <x:c r="P153" s="109"/>
      <x:c r="Q153" s="16"/>
      <x:c r="R153" s="16"/>
      <x:c r="S153" s="109"/>
      <x:c r="T153" s="16"/>
      <x:c r="U153" s="16"/>
      <x:c r="V153" s="16"/>
      <x:c r="W153" s="18" t="str">
        <x:f>IF(A153="","",IF(H153="","",IF(I153&lt;&gt;"",I153-H153+1,IF(S153&lt;&gt;"",S153-H153+1,""))))</x:f>
      </x:c>
      <x:c r="X153" s="16"/>
      <x:c r="Y153" s="16"/>
      <x:c r="Z153" s="16"/>
      <x:c r="AA153" s="16"/>
      <x:c r="AB153" s="109"/>
      <x:c r="AC153" s="109"/>
      <x:c r="AD153" s="16"/>
      <x:c r="AE153" s="16"/>
      <x:c r="AF153" s="16"/>
    </x:row>
    <x:row r="154">
      <x:c r="A154" s="16"/>
      <x:c r="B154" s="16"/>
      <x:c r="C154" s="16"/>
      <x:c r="D154" s="16"/>
      <x:c r="E154" s="16"/>
      <x:c r="F154" s="16"/>
      <x:c r="G154" s="16"/>
      <x:c r="H154" s="109"/>
      <x:c r="I154" s="109"/>
      <x:c r="J154" s="16"/>
      <x:c r="K154" s="16"/>
      <x:c r="L154" s="16"/>
      <x:c r="M154" s="16"/>
      <x:c r="N154" s="16"/>
      <x:c r="O154" s="109"/>
      <x:c r="P154" s="109"/>
      <x:c r="Q154" s="16"/>
      <x:c r="R154" s="16"/>
      <x:c r="S154" s="109"/>
      <x:c r="T154" s="16"/>
      <x:c r="U154" s="16"/>
      <x:c r="V154" s="16"/>
      <x:c r="W154" s="18" t="str">
        <x:f>IF(A154="","",IF(H154="","",IF(I154&lt;&gt;"",I154-H154+1,IF(S154&lt;&gt;"",S154-H154+1,""))))</x:f>
      </x:c>
      <x:c r="X154" s="16"/>
      <x:c r="Y154" s="16"/>
      <x:c r="Z154" s="16"/>
      <x:c r="AA154" s="16"/>
      <x:c r="AB154" s="109"/>
      <x:c r="AC154" s="109"/>
      <x:c r="AD154" s="16"/>
      <x:c r="AE154" s="16"/>
      <x:c r="AF154" s="16"/>
    </x:row>
    <x:row r="155">
      <x:c r="A155" s="16"/>
      <x:c r="B155" s="16"/>
      <x:c r="C155" s="16"/>
      <x:c r="D155" s="16"/>
      <x:c r="E155" s="16"/>
      <x:c r="F155" s="16"/>
      <x:c r="G155" s="16"/>
      <x:c r="H155" s="109"/>
      <x:c r="I155" s="109"/>
      <x:c r="J155" s="16"/>
      <x:c r="K155" s="16"/>
      <x:c r="L155" s="16"/>
      <x:c r="M155" s="16"/>
      <x:c r="N155" s="16"/>
      <x:c r="O155" s="109"/>
      <x:c r="P155" s="109"/>
      <x:c r="Q155" s="16"/>
      <x:c r="R155" s="16"/>
      <x:c r="S155" s="109"/>
      <x:c r="T155" s="16"/>
      <x:c r="U155" s="16"/>
      <x:c r="V155" s="16"/>
      <x:c r="W155" s="18" t="str">
        <x:f>IF(A155="","",IF(H155="","",IF(I155&lt;&gt;"",I155-H155+1,IF(S155&lt;&gt;"",S155-H155+1,""))))</x:f>
      </x:c>
      <x:c r="X155" s="16"/>
      <x:c r="Y155" s="16"/>
      <x:c r="Z155" s="16"/>
      <x:c r="AA155" s="16"/>
      <x:c r="AB155" s="109"/>
      <x:c r="AC155" s="109"/>
      <x:c r="AD155" s="16"/>
      <x:c r="AE155" s="16"/>
      <x:c r="AF155" s="16"/>
    </x:row>
    <x:row r="156">
      <x:c r="A156" s="16"/>
      <x:c r="B156" s="16"/>
      <x:c r="C156" s="16"/>
      <x:c r="D156" s="16"/>
      <x:c r="E156" s="16"/>
      <x:c r="F156" s="16"/>
      <x:c r="G156" s="16"/>
      <x:c r="H156" s="109"/>
      <x:c r="I156" s="109"/>
      <x:c r="J156" s="16"/>
      <x:c r="K156" s="16"/>
      <x:c r="L156" s="16"/>
      <x:c r="M156" s="16"/>
      <x:c r="N156" s="16"/>
      <x:c r="O156" s="109"/>
      <x:c r="P156" s="109"/>
      <x:c r="Q156" s="16"/>
      <x:c r="R156" s="16"/>
      <x:c r="S156" s="109"/>
      <x:c r="T156" s="16"/>
      <x:c r="U156" s="16"/>
      <x:c r="V156" s="16"/>
      <x:c r="W156" s="18" t="str">
        <x:f>IF(A156="","",IF(H156="","",IF(I156&lt;&gt;"",I156-H156+1,IF(S156&lt;&gt;"",S156-H156+1,""))))</x:f>
      </x:c>
      <x:c r="X156" s="16"/>
      <x:c r="Y156" s="16"/>
      <x:c r="Z156" s="16"/>
      <x:c r="AA156" s="16"/>
      <x:c r="AB156" s="109"/>
      <x:c r="AC156" s="109"/>
      <x:c r="AD156" s="16"/>
      <x:c r="AE156" s="16"/>
      <x:c r="AF156" s="16"/>
    </x:row>
    <x:row r="157">
      <x:c r="A157" s="16"/>
      <x:c r="B157" s="16"/>
      <x:c r="C157" s="16"/>
      <x:c r="D157" s="16"/>
      <x:c r="E157" s="16"/>
      <x:c r="F157" s="16"/>
      <x:c r="G157" s="16"/>
      <x:c r="H157" s="109"/>
      <x:c r="I157" s="109"/>
      <x:c r="J157" s="16"/>
      <x:c r="K157" s="16"/>
      <x:c r="L157" s="16"/>
      <x:c r="M157" s="16"/>
      <x:c r="N157" s="16"/>
      <x:c r="O157" s="109"/>
      <x:c r="P157" s="109"/>
      <x:c r="Q157" s="16"/>
      <x:c r="R157" s="16"/>
      <x:c r="S157" s="109"/>
      <x:c r="T157" s="16"/>
      <x:c r="U157" s="16"/>
      <x:c r="V157" s="16"/>
      <x:c r="W157" s="18" t="str">
        <x:f>IF(A157="","",IF(H157="","",IF(I157&lt;&gt;"",I157-H157+1,IF(S157&lt;&gt;"",S157-H157+1,""))))</x:f>
      </x:c>
      <x:c r="X157" s="16"/>
      <x:c r="Y157" s="16"/>
      <x:c r="Z157" s="16"/>
      <x:c r="AA157" s="16"/>
      <x:c r="AB157" s="109"/>
      <x:c r="AC157" s="109"/>
      <x:c r="AD157" s="16"/>
      <x:c r="AE157" s="16"/>
      <x:c r="AF157" s="16"/>
    </x:row>
    <x:row r="158">
      <x:c r="A158" s="16"/>
      <x:c r="B158" s="16"/>
      <x:c r="C158" s="16"/>
      <x:c r="D158" s="16"/>
      <x:c r="E158" s="16"/>
      <x:c r="F158" s="16"/>
      <x:c r="G158" s="16"/>
      <x:c r="H158" s="109"/>
      <x:c r="I158" s="109"/>
      <x:c r="J158" s="16"/>
      <x:c r="K158" s="16"/>
      <x:c r="L158" s="16"/>
      <x:c r="M158" s="16"/>
      <x:c r="N158" s="16"/>
      <x:c r="O158" s="109"/>
      <x:c r="P158" s="109"/>
      <x:c r="Q158" s="16"/>
      <x:c r="R158" s="16"/>
      <x:c r="S158" s="109"/>
      <x:c r="T158" s="16"/>
      <x:c r="U158" s="16"/>
      <x:c r="V158" s="16"/>
      <x:c r="W158" s="18" t="str">
        <x:f>IF(A158="","",IF(H158="","",IF(I158&lt;&gt;"",I158-H158+1,IF(S158&lt;&gt;"",S158-H158+1,""))))</x:f>
      </x:c>
      <x:c r="X158" s="16"/>
      <x:c r="Y158" s="16"/>
      <x:c r="Z158" s="16"/>
      <x:c r="AA158" s="16"/>
      <x:c r="AB158" s="109"/>
      <x:c r="AC158" s="109"/>
      <x:c r="AD158" s="16"/>
      <x:c r="AE158" s="16"/>
      <x:c r="AF158" s="16"/>
    </x:row>
    <x:row r="159">
      <x:c r="A159" s="16"/>
      <x:c r="B159" s="16"/>
      <x:c r="C159" s="16"/>
      <x:c r="D159" s="16"/>
      <x:c r="E159" s="16"/>
      <x:c r="F159" s="16"/>
      <x:c r="G159" s="16"/>
      <x:c r="H159" s="109"/>
      <x:c r="I159" s="109"/>
      <x:c r="J159" s="16"/>
      <x:c r="K159" s="16"/>
      <x:c r="L159" s="16"/>
      <x:c r="M159" s="16"/>
      <x:c r="N159" s="16"/>
      <x:c r="O159" s="109"/>
      <x:c r="P159" s="109"/>
      <x:c r="Q159" s="16"/>
      <x:c r="R159" s="16"/>
      <x:c r="S159" s="109"/>
      <x:c r="T159" s="16"/>
      <x:c r="U159" s="16"/>
      <x:c r="V159" s="16"/>
      <x:c r="W159" s="18" t="str">
        <x:f>IF(A159="","",IF(H159="","",IF(I159&lt;&gt;"",I159-H159+1,IF(S159&lt;&gt;"",S159-H159+1,""))))</x:f>
      </x:c>
      <x:c r="X159" s="16"/>
      <x:c r="Y159" s="16"/>
      <x:c r="Z159" s="16"/>
      <x:c r="AA159" s="16"/>
      <x:c r="AB159" s="109"/>
      <x:c r="AC159" s="109"/>
      <x:c r="AD159" s="16"/>
      <x:c r="AE159" s="16"/>
      <x:c r="AF159" s="16"/>
    </x:row>
    <x:row r="160">
      <x:c r="A160" s="16"/>
      <x:c r="B160" s="16"/>
      <x:c r="C160" s="16"/>
      <x:c r="D160" s="16"/>
      <x:c r="E160" s="16"/>
      <x:c r="F160" s="16"/>
      <x:c r="G160" s="16"/>
      <x:c r="H160" s="109"/>
      <x:c r="I160" s="109"/>
      <x:c r="J160" s="16"/>
      <x:c r="K160" s="16"/>
      <x:c r="L160" s="16"/>
      <x:c r="M160" s="16"/>
      <x:c r="N160" s="16"/>
      <x:c r="O160" s="109"/>
      <x:c r="P160" s="109"/>
      <x:c r="Q160" s="16"/>
      <x:c r="R160" s="16"/>
      <x:c r="S160" s="109"/>
      <x:c r="T160" s="16"/>
      <x:c r="U160" s="16"/>
      <x:c r="V160" s="16"/>
      <x:c r="W160" s="18" t="str">
        <x:f>IF(A160="","",IF(H160="","",IF(I160&lt;&gt;"",I160-H160+1,IF(S160&lt;&gt;"",S160-H160+1,""))))</x:f>
      </x:c>
      <x:c r="X160" s="16"/>
      <x:c r="Y160" s="16"/>
      <x:c r="Z160" s="16"/>
      <x:c r="AA160" s="16"/>
      <x:c r="AB160" s="109"/>
      <x:c r="AC160" s="109"/>
      <x:c r="AD160" s="16"/>
      <x:c r="AE160" s="16"/>
      <x:c r="AF160" s="16"/>
    </x:row>
    <x:row r="161">
      <x:c r="A161" s="16"/>
      <x:c r="B161" s="16"/>
      <x:c r="C161" s="16"/>
      <x:c r="D161" s="16"/>
      <x:c r="E161" s="16"/>
      <x:c r="F161" s="16"/>
      <x:c r="G161" s="16"/>
      <x:c r="H161" s="109"/>
      <x:c r="I161" s="109"/>
      <x:c r="J161" s="16"/>
      <x:c r="K161" s="16"/>
      <x:c r="L161" s="16"/>
      <x:c r="M161" s="16"/>
      <x:c r="N161" s="16"/>
      <x:c r="O161" s="109"/>
      <x:c r="P161" s="109"/>
      <x:c r="Q161" s="16"/>
      <x:c r="R161" s="16"/>
      <x:c r="S161" s="109"/>
      <x:c r="T161" s="16"/>
      <x:c r="U161" s="16"/>
      <x:c r="V161" s="16"/>
      <x:c r="W161" s="18" t="str">
        <x:f>IF(A161="","",IF(H161="","",IF(I161&lt;&gt;"",I161-H161+1,IF(S161&lt;&gt;"",S161-H161+1,""))))</x:f>
      </x:c>
      <x:c r="X161" s="16"/>
      <x:c r="Y161" s="16"/>
      <x:c r="Z161" s="16"/>
      <x:c r="AA161" s="16"/>
      <x:c r="AB161" s="109"/>
      <x:c r="AC161" s="109"/>
      <x:c r="AD161" s="16"/>
      <x:c r="AE161" s="16"/>
      <x:c r="AF161" s="16"/>
    </x:row>
    <x:row r="162">
      <x:c r="A162" s="16"/>
      <x:c r="B162" s="16"/>
      <x:c r="C162" s="16"/>
      <x:c r="D162" s="16"/>
      <x:c r="E162" s="16"/>
      <x:c r="F162" s="16"/>
      <x:c r="G162" s="16"/>
      <x:c r="H162" s="109"/>
      <x:c r="I162" s="109"/>
      <x:c r="J162" s="16"/>
      <x:c r="K162" s="16"/>
      <x:c r="L162" s="16"/>
      <x:c r="M162" s="16"/>
      <x:c r="N162" s="16"/>
      <x:c r="O162" s="109"/>
      <x:c r="P162" s="109"/>
      <x:c r="Q162" s="16"/>
      <x:c r="R162" s="16"/>
      <x:c r="S162" s="109"/>
      <x:c r="T162" s="16"/>
      <x:c r="U162" s="16"/>
      <x:c r="V162" s="16"/>
      <x:c r="W162" s="18" t="str">
        <x:f>IF(A162="","",IF(H162="","",IF(I162&lt;&gt;"",I162-H162+1,IF(S162&lt;&gt;"",S162-H162+1,""))))</x:f>
      </x:c>
      <x:c r="X162" s="16"/>
      <x:c r="Y162" s="16"/>
      <x:c r="Z162" s="16"/>
      <x:c r="AA162" s="16"/>
      <x:c r="AB162" s="109"/>
      <x:c r="AC162" s="109"/>
      <x:c r="AD162" s="16"/>
      <x:c r="AE162" s="16"/>
      <x:c r="AF162" s="16"/>
    </x:row>
    <x:row r="163">
      <x:c r="A163" s="16"/>
      <x:c r="B163" s="16"/>
      <x:c r="C163" s="16"/>
      <x:c r="D163" s="16"/>
      <x:c r="E163" s="16"/>
      <x:c r="F163" s="16"/>
      <x:c r="G163" s="16"/>
      <x:c r="H163" s="109"/>
      <x:c r="I163" s="109"/>
      <x:c r="J163" s="16"/>
      <x:c r="K163" s="16"/>
      <x:c r="L163" s="16"/>
      <x:c r="M163" s="16"/>
      <x:c r="N163" s="16"/>
      <x:c r="O163" s="109"/>
      <x:c r="P163" s="109"/>
      <x:c r="Q163" s="16"/>
      <x:c r="R163" s="16"/>
      <x:c r="S163" s="109"/>
      <x:c r="T163" s="16"/>
      <x:c r="U163" s="16"/>
      <x:c r="V163" s="16"/>
      <x:c r="W163" s="18" t="str">
        <x:f>IF(A163="","",IF(H163="","",IF(I163&lt;&gt;"",I163-H163+1,IF(S163&lt;&gt;"",S163-H163+1,""))))</x:f>
      </x:c>
      <x:c r="X163" s="16"/>
      <x:c r="Y163" s="16"/>
      <x:c r="Z163" s="16"/>
      <x:c r="AA163" s="16"/>
      <x:c r="AB163" s="109"/>
      <x:c r="AC163" s="109"/>
      <x:c r="AD163" s="16"/>
      <x:c r="AE163" s="16"/>
      <x:c r="AF163" s="16"/>
    </x:row>
    <x:row r="164">
      <x:c r="A164" s="16"/>
      <x:c r="B164" s="16"/>
      <x:c r="C164" s="16"/>
      <x:c r="D164" s="16"/>
      <x:c r="E164" s="16"/>
      <x:c r="F164" s="16"/>
      <x:c r="G164" s="16"/>
      <x:c r="H164" s="109"/>
      <x:c r="I164" s="109"/>
      <x:c r="J164" s="16"/>
      <x:c r="K164" s="16"/>
      <x:c r="L164" s="16"/>
      <x:c r="M164" s="16"/>
      <x:c r="N164" s="16"/>
      <x:c r="O164" s="109"/>
      <x:c r="P164" s="109"/>
      <x:c r="Q164" s="16"/>
      <x:c r="R164" s="16"/>
      <x:c r="S164" s="109"/>
      <x:c r="T164" s="16"/>
      <x:c r="U164" s="16"/>
      <x:c r="V164" s="16"/>
      <x:c r="W164" s="18" t="str">
        <x:f>IF(A164="","",IF(H164="","",IF(I164&lt;&gt;"",I164-H164+1,IF(S164&lt;&gt;"",S164-H164+1,""))))</x:f>
      </x:c>
      <x:c r="X164" s="16"/>
      <x:c r="Y164" s="16"/>
      <x:c r="Z164" s="16"/>
      <x:c r="AA164" s="16"/>
      <x:c r="AB164" s="109"/>
      <x:c r="AC164" s="109"/>
      <x:c r="AD164" s="16"/>
      <x:c r="AE164" s="16"/>
      <x:c r="AF164" s="16"/>
    </x:row>
    <x:row r="165">
      <x:c r="A165" s="16"/>
      <x:c r="B165" s="16"/>
      <x:c r="C165" s="16"/>
      <x:c r="D165" s="16"/>
      <x:c r="E165" s="16"/>
      <x:c r="F165" s="16"/>
      <x:c r="G165" s="16"/>
      <x:c r="H165" s="109"/>
      <x:c r="I165" s="109"/>
      <x:c r="J165" s="16"/>
      <x:c r="K165" s="16"/>
      <x:c r="L165" s="16"/>
      <x:c r="M165" s="16"/>
      <x:c r="N165" s="16"/>
      <x:c r="O165" s="109"/>
      <x:c r="P165" s="109"/>
      <x:c r="Q165" s="16"/>
      <x:c r="R165" s="16"/>
      <x:c r="S165" s="109"/>
      <x:c r="T165" s="16"/>
      <x:c r="U165" s="16"/>
      <x:c r="V165" s="16"/>
      <x:c r="W165" s="18" t="str">
        <x:f>IF(A165="","",IF(H165="","",IF(I165&lt;&gt;"",I165-H165+1,IF(S165&lt;&gt;"",S165-H165+1,""))))</x:f>
      </x:c>
      <x:c r="X165" s="16"/>
      <x:c r="Y165" s="16"/>
      <x:c r="Z165" s="16"/>
      <x:c r="AA165" s="16"/>
      <x:c r="AB165" s="109"/>
      <x:c r="AC165" s="109"/>
      <x:c r="AD165" s="16"/>
      <x:c r="AE165" s="16"/>
      <x:c r="AF165" s="16"/>
    </x:row>
    <x:row r="166">
      <x:c r="A166" s="16"/>
      <x:c r="B166" s="16"/>
      <x:c r="C166" s="16"/>
      <x:c r="D166" s="16"/>
      <x:c r="E166" s="16"/>
      <x:c r="F166" s="16"/>
      <x:c r="G166" s="16"/>
      <x:c r="H166" s="109"/>
      <x:c r="I166" s="109"/>
      <x:c r="J166" s="16"/>
      <x:c r="K166" s="16"/>
      <x:c r="L166" s="16"/>
      <x:c r="M166" s="16"/>
      <x:c r="N166" s="16"/>
      <x:c r="O166" s="109"/>
      <x:c r="P166" s="109"/>
      <x:c r="Q166" s="16"/>
      <x:c r="R166" s="16"/>
      <x:c r="S166" s="109"/>
      <x:c r="T166" s="16"/>
      <x:c r="U166" s="16"/>
      <x:c r="V166" s="16"/>
      <x:c r="W166" s="18" t="str">
        <x:f>IF(A166="","",IF(H166="","",IF(I166&lt;&gt;"",I166-H166+1,IF(S166&lt;&gt;"",S166-H166+1,""))))</x:f>
      </x:c>
      <x:c r="X166" s="16"/>
      <x:c r="Y166" s="16"/>
      <x:c r="Z166" s="16"/>
      <x:c r="AA166" s="16"/>
      <x:c r="AB166" s="109"/>
      <x:c r="AC166" s="109"/>
      <x:c r="AD166" s="16"/>
      <x:c r="AE166" s="16"/>
      <x:c r="AF166" s="16"/>
    </x:row>
    <x:row r="167">
      <x:c r="A167" s="16"/>
      <x:c r="B167" s="16"/>
      <x:c r="C167" s="16"/>
      <x:c r="D167" s="16"/>
      <x:c r="E167" s="16"/>
      <x:c r="F167" s="16"/>
      <x:c r="G167" s="16"/>
      <x:c r="H167" s="109"/>
      <x:c r="I167" s="109"/>
      <x:c r="J167" s="16"/>
      <x:c r="K167" s="16"/>
      <x:c r="L167" s="16"/>
      <x:c r="M167" s="16"/>
      <x:c r="N167" s="16"/>
      <x:c r="O167" s="109"/>
      <x:c r="P167" s="109"/>
      <x:c r="Q167" s="16"/>
      <x:c r="R167" s="16"/>
      <x:c r="S167" s="109"/>
      <x:c r="T167" s="16"/>
      <x:c r="U167" s="16"/>
      <x:c r="V167" s="16"/>
      <x:c r="W167" s="18" t="str">
        <x:f>IF(A167="","",IF(H167="","",IF(I167&lt;&gt;"",I167-H167+1,IF(S167&lt;&gt;"",S167-H167+1,""))))</x:f>
      </x:c>
      <x:c r="X167" s="16"/>
      <x:c r="Y167" s="16"/>
      <x:c r="Z167" s="16"/>
      <x:c r="AA167" s="16"/>
      <x:c r="AB167" s="109"/>
      <x:c r="AC167" s="109"/>
      <x:c r="AD167" s="16"/>
      <x:c r="AE167" s="16"/>
      <x:c r="AF167" s="16"/>
    </x:row>
    <x:row r="168">
      <x:c r="A168" s="16"/>
      <x:c r="B168" s="16"/>
      <x:c r="C168" s="16"/>
      <x:c r="D168" s="16"/>
      <x:c r="E168" s="16"/>
      <x:c r="F168" s="16"/>
      <x:c r="G168" s="16"/>
      <x:c r="H168" s="109"/>
      <x:c r="I168" s="109"/>
      <x:c r="J168" s="16"/>
      <x:c r="K168" s="16"/>
      <x:c r="L168" s="16"/>
      <x:c r="M168" s="16"/>
      <x:c r="N168" s="16"/>
      <x:c r="O168" s="109"/>
      <x:c r="P168" s="109"/>
      <x:c r="Q168" s="16"/>
      <x:c r="R168" s="16"/>
      <x:c r="S168" s="109"/>
      <x:c r="T168" s="16"/>
      <x:c r="U168" s="16"/>
      <x:c r="V168" s="16"/>
      <x:c r="W168" s="18" t="str">
        <x:f>IF(A168="","",IF(H168="","",IF(I168&lt;&gt;"",I168-H168+1,IF(S168&lt;&gt;"",S168-H168+1,""))))</x:f>
      </x:c>
      <x:c r="X168" s="16"/>
      <x:c r="Y168" s="16"/>
      <x:c r="Z168" s="16"/>
      <x:c r="AA168" s="16"/>
      <x:c r="AB168" s="109"/>
      <x:c r="AC168" s="109"/>
      <x:c r="AD168" s="16"/>
      <x:c r="AE168" s="16"/>
      <x:c r="AF168" s="16"/>
    </x:row>
    <x:row r="169">
      <x:c r="A169" s="16"/>
      <x:c r="B169" s="16"/>
      <x:c r="C169" s="16"/>
      <x:c r="D169" s="16"/>
      <x:c r="E169" s="16"/>
      <x:c r="F169" s="16"/>
      <x:c r="G169" s="16"/>
      <x:c r="H169" s="109"/>
      <x:c r="I169" s="109"/>
      <x:c r="J169" s="16"/>
      <x:c r="K169" s="16"/>
      <x:c r="L169" s="16"/>
      <x:c r="M169" s="16"/>
      <x:c r="N169" s="16"/>
      <x:c r="O169" s="109"/>
      <x:c r="P169" s="109"/>
      <x:c r="Q169" s="16"/>
      <x:c r="R169" s="16"/>
      <x:c r="S169" s="109"/>
      <x:c r="T169" s="16"/>
      <x:c r="U169" s="16"/>
      <x:c r="V169" s="16"/>
      <x:c r="W169" s="18" t="str">
        <x:f>IF(A169="","",IF(H169="","",IF(I169&lt;&gt;"",I169-H169+1,IF(S169&lt;&gt;"",S169-H169+1,""))))</x:f>
      </x:c>
      <x:c r="X169" s="16"/>
      <x:c r="Y169" s="16"/>
      <x:c r="Z169" s="16"/>
      <x:c r="AA169" s="16"/>
      <x:c r="AB169" s="109"/>
      <x:c r="AC169" s="109"/>
      <x:c r="AD169" s="16"/>
      <x:c r="AE169" s="16"/>
      <x:c r="AF169" s="16"/>
    </x:row>
    <x:row r="170">
      <x:c r="A170" s="16"/>
      <x:c r="B170" s="16"/>
      <x:c r="C170" s="16"/>
      <x:c r="D170" s="16"/>
      <x:c r="E170" s="16"/>
      <x:c r="F170" s="16"/>
      <x:c r="G170" s="16"/>
      <x:c r="H170" s="109"/>
      <x:c r="I170" s="109"/>
      <x:c r="J170" s="16"/>
      <x:c r="K170" s="16"/>
      <x:c r="L170" s="16"/>
      <x:c r="M170" s="16"/>
      <x:c r="N170" s="16"/>
      <x:c r="O170" s="109"/>
      <x:c r="P170" s="109"/>
      <x:c r="Q170" s="16"/>
      <x:c r="R170" s="16"/>
      <x:c r="S170" s="109"/>
      <x:c r="T170" s="16"/>
      <x:c r="U170" s="16"/>
      <x:c r="V170" s="16"/>
      <x:c r="W170" s="18" t="str">
        <x:f>IF(A170="","",IF(H170="","",IF(I170&lt;&gt;"",I170-H170+1,IF(S170&lt;&gt;"",S170-H170+1,""))))</x:f>
      </x:c>
      <x:c r="X170" s="16"/>
      <x:c r="Y170" s="16"/>
      <x:c r="Z170" s="16"/>
      <x:c r="AA170" s="16"/>
      <x:c r="AB170" s="109"/>
      <x:c r="AC170" s="109"/>
      <x:c r="AD170" s="16"/>
      <x:c r="AE170" s="16"/>
      <x:c r="AF170" s="16"/>
    </x:row>
    <x:row r="171">
      <x:c r="A171" s="16"/>
      <x:c r="B171" s="16"/>
      <x:c r="C171" s="16"/>
      <x:c r="D171" s="16"/>
      <x:c r="E171" s="16"/>
      <x:c r="F171" s="16"/>
      <x:c r="G171" s="16"/>
      <x:c r="H171" s="109"/>
      <x:c r="I171" s="109"/>
      <x:c r="J171" s="16"/>
      <x:c r="K171" s="16"/>
      <x:c r="L171" s="16"/>
      <x:c r="M171" s="16"/>
      <x:c r="N171" s="16"/>
      <x:c r="O171" s="109"/>
      <x:c r="P171" s="109"/>
      <x:c r="Q171" s="16"/>
      <x:c r="R171" s="16"/>
      <x:c r="S171" s="109"/>
      <x:c r="T171" s="16"/>
      <x:c r="U171" s="16"/>
      <x:c r="V171" s="16"/>
      <x:c r="W171" s="18" t="str">
        <x:f>IF(A171="","",IF(H171="","",IF(I171&lt;&gt;"",I171-H171+1,IF(S171&lt;&gt;"",S171-H171+1,""))))</x:f>
      </x:c>
      <x:c r="X171" s="16"/>
      <x:c r="Y171" s="16"/>
      <x:c r="Z171" s="16"/>
      <x:c r="AA171" s="16"/>
      <x:c r="AB171" s="109"/>
      <x:c r="AC171" s="109"/>
      <x:c r="AD171" s="16"/>
      <x:c r="AE171" s="16"/>
      <x:c r="AF171" s="16"/>
    </x:row>
    <x:row r="172">
      <x:c r="A172" s="16"/>
      <x:c r="B172" s="16"/>
      <x:c r="C172" s="16"/>
      <x:c r="D172" s="16"/>
      <x:c r="E172" s="16"/>
      <x:c r="F172" s="16"/>
      <x:c r="G172" s="16"/>
      <x:c r="H172" s="109"/>
      <x:c r="I172" s="109"/>
      <x:c r="J172" s="16"/>
      <x:c r="K172" s="16"/>
      <x:c r="L172" s="16"/>
      <x:c r="M172" s="16"/>
      <x:c r="N172" s="16"/>
      <x:c r="O172" s="109"/>
      <x:c r="P172" s="109"/>
      <x:c r="Q172" s="16"/>
      <x:c r="R172" s="16"/>
      <x:c r="S172" s="109"/>
      <x:c r="T172" s="16"/>
      <x:c r="U172" s="16"/>
      <x:c r="V172" s="16"/>
      <x:c r="W172" s="18" t="str">
        <x:f>IF(A172="","",IF(H172="","",IF(I172&lt;&gt;"",I172-H172+1,IF(S172&lt;&gt;"",S172-H172+1,""))))</x:f>
      </x:c>
      <x:c r="X172" s="16"/>
      <x:c r="Y172" s="16"/>
      <x:c r="Z172" s="16"/>
      <x:c r="AA172" s="16"/>
      <x:c r="AB172" s="109"/>
      <x:c r="AC172" s="109"/>
      <x:c r="AD172" s="16"/>
      <x:c r="AE172" s="16"/>
      <x:c r="AF172" s="16"/>
    </x:row>
    <x:row r="173">
      <x:c r="A173" s="16"/>
      <x:c r="B173" s="16"/>
      <x:c r="C173" s="16"/>
      <x:c r="D173" s="16"/>
      <x:c r="E173" s="16"/>
      <x:c r="F173" s="16"/>
      <x:c r="G173" s="16"/>
      <x:c r="H173" s="109"/>
      <x:c r="I173" s="109"/>
      <x:c r="J173" s="16"/>
      <x:c r="K173" s="16"/>
      <x:c r="L173" s="16"/>
      <x:c r="M173" s="16"/>
      <x:c r="N173" s="16"/>
      <x:c r="O173" s="109"/>
      <x:c r="P173" s="109"/>
      <x:c r="Q173" s="16"/>
      <x:c r="R173" s="16"/>
      <x:c r="S173" s="109"/>
      <x:c r="T173" s="16"/>
      <x:c r="U173" s="16"/>
      <x:c r="V173" s="16"/>
      <x:c r="W173" s="18" t="str">
        <x:f>IF(A173="","",IF(H173="","",IF(I173&lt;&gt;"",I173-H173+1,IF(S173&lt;&gt;"",S173-H173+1,""))))</x:f>
      </x:c>
      <x:c r="X173" s="16"/>
      <x:c r="Y173" s="16"/>
      <x:c r="Z173" s="16"/>
      <x:c r="AA173" s="16"/>
      <x:c r="AB173" s="109"/>
      <x:c r="AC173" s="109"/>
      <x:c r="AD173" s="16"/>
      <x:c r="AE173" s="16"/>
      <x:c r="AF173" s="16"/>
    </x:row>
    <x:row r="174">
      <x:c r="A174" s="16"/>
      <x:c r="B174" s="16"/>
      <x:c r="C174" s="16"/>
      <x:c r="D174" s="16"/>
      <x:c r="E174" s="16"/>
      <x:c r="F174" s="16"/>
      <x:c r="G174" s="16"/>
      <x:c r="H174" s="109"/>
      <x:c r="I174" s="109"/>
      <x:c r="J174" s="16"/>
      <x:c r="K174" s="16"/>
      <x:c r="L174" s="16"/>
      <x:c r="M174" s="16"/>
      <x:c r="N174" s="16"/>
      <x:c r="O174" s="109"/>
      <x:c r="P174" s="109"/>
      <x:c r="Q174" s="16"/>
      <x:c r="R174" s="16"/>
      <x:c r="S174" s="109"/>
      <x:c r="T174" s="16"/>
      <x:c r="U174" s="16"/>
      <x:c r="V174" s="16"/>
      <x:c r="W174" s="18" t="str">
        <x:f>IF(A174="","",IF(H174="","",IF(I174&lt;&gt;"",I174-H174+1,IF(S174&lt;&gt;"",S174-H174+1,""))))</x:f>
      </x:c>
      <x:c r="X174" s="16"/>
      <x:c r="Y174" s="16"/>
      <x:c r="Z174" s="16"/>
      <x:c r="AA174" s="16"/>
      <x:c r="AB174" s="109"/>
      <x:c r="AC174" s="109"/>
      <x:c r="AD174" s="16"/>
      <x:c r="AE174" s="16"/>
      <x:c r="AF174" s="16"/>
    </x:row>
    <x:row r="175">
      <x:c r="A175" s="16"/>
      <x:c r="B175" s="16"/>
      <x:c r="C175" s="16"/>
      <x:c r="D175" s="16"/>
      <x:c r="E175" s="16"/>
      <x:c r="F175" s="16"/>
      <x:c r="G175" s="16"/>
      <x:c r="H175" s="109"/>
      <x:c r="I175" s="109"/>
      <x:c r="J175" s="16"/>
      <x:c r="K175" s="16"/>
      <x:c r="L175" s="16"/>
      <x:c r="M175" s="16"/>
      <x:c r="N175" s="16"/>
      <x:c r="O175" s="109"/>
      <x:c r="P175" s="109"/>
      <x:c r="Q175" s="16"/>
      <x:c r="R175" s="16"/>
      <x:c r="S175" s="109"/>
      <x:c r="T175" s="16"/>
      <x:c r="U175" s="16"/>
      <x:c r="V175" s="16"/>
      <x:c r="W175" s="18" t="str">
        <x:f>IF(A175="","",IF(H175="","",IF(I175&lt;&gt;"",I175-H175+1,IF(S175&lt;&gt;"",S175-H175+1,""))))</x:f>
      </x:c>
      <x:c r="X175" s="16"/>
      <x:c r="Y175" s="16"/>
      <x:c r="Z175" s="16"/>
      <x:c r="AA175" s="16"/>
      <x:c r="AB175" s="109"/>
      <x:c r="AC175" s="109"/>
      <x:c r="AD175" s="16"/>
      <x:c r="AE175" s="16"/>
      <x:c r="AF175" s="16"/>
    </x:row>
    <x:row r="176">
      <x:c r="A176" s="16"/>
      <x:c r="B176" s="16"/>
      <x:c r="C176" s="16"/>
      <x:c r="D176" s="16"/>
      <x:c r="E176" s="16"/>
      <x:c r="F176" s="16"/>
      <x:c r="G176" s="16"/>
      <x:c r="H176" s="109"/>
      <x:c r="I176" s="109"/>
      <x:c r="J176" s="16"/>
      <x:c r="K176" s="16"/>
      <x:c r="L176" s="16"/>
      <x:c r="M176" s="16"/>
      <x:c r="N176" s="16"/>
      <x:c r="O176" s="109"/>
      <x:c r="P176" s="109"/>
      <x:c r="Q176" s="16"/>
      <x:c r="R176" s="16"/>
      <x:c r="S176" s="109"/>
      <x:c r="T176" s="16"/>
      <x:c r="U176" s="16"/>
      <x:c r="V176" s="16"/>
      <x:c r="W176" s="18" t="str">
        <x:f>IF(A176="","",IF(H176="","",IF(I176&lt;&gt;"",I176-H176+1,IF(S176&lt;&gt;"",S176-H176+1,""))))</x:f>
      </x:c>
      <x:c r="X176" s="16"/>
      <x:c r="Y176" s="16"/>
      <x:c r="Z176" s="16"/>
      <x:c r="AA176" s="16"/>
      <x:c r="AB176" s="109"/>
      <x:c r="AC176" s="109"/>
      <x:c r="AD176" s="16"/>
      <x:c r="AE176" s="16"/>
      <x:c r="AF176" s="16"/>
    </x:row>
    <x:row r="177">
      <x:c r="A177" s="16"/>
      <x:c r="B177" s="16"/>
      <x:c r="C177" s="16"/>
      <x:c r="D177" s="16"/>
      <x:c r="E177" s="16"/>
      <x:c r="F177" s="16"/>
      <x:c r="G177" s="16"/>
      <x:c r="H177" s="109"/>
      <x:c r="I177" s="109"/>
      <x:c r="J177" s="16"/>
      <x:c r="K177" s="16"/>
      <x:c r="L177" s="16"/>
      <x:c r="M177" s="16"/>
      <x:c r="N177" s="16"/>
      <x:c r="O177" s="109"/>
      <x:c r="P177" s="109"/>
      <x:c r="Q177" s="16"/>
      <x:c r="R177" s="16"/>
      <x:c r="S177" s="109"/>
      <x:c r="T177" s="16"/>
      <x:c r="U177" s="16"/>
      <x:c r="V177" s="16"/>
      <x:c r="W177" s="18" t="str">
        <x:f>IF(A177="","",IF(H177="","",IF(I177&lt;&gt;"",I177-H177+1,IF(S177&lt;&gt;"",S177-H177+1,""))))</x:f>
      </x:c>
      <x:c r="X177" s="16"/>
      <x:c r="Y177" s="16"/>
      <x:c r="Z177" s="16"/>
      <x:c r="AA177" s="16"/>
      <x:c r="AB177" s="109"/>
      <x:c r="AC177" s="109"/>
      <x:c r="AD177" s="16"/>
      <x:c r="AE177" s="16"/>
      <x:c r="AF177" s="16"/>
    </x:row>
    <x:row r="178">
      <x:c r="A178" s="16"/>
      <x:c r="B178" s="16"/>
      <x:c r="C178" s="16"/>
      <x:c r="D178" s="16"/>
      <x:c r="E178" s="16"/>
      <x:c r="F178" s="16"/>
      <x:c r="G178" s="16"/>
      <x:c r="H178" s="109"/>
      <x:c r="I178" s="109"/>
      <x:c r="J178" s="16"/>
      <x:c r="K178" s="16"/>
      <x:c r="L178" s="16"/>
      <x:c r="M178" s="16"/>
      <x:c r="N178" s="16"/>
      <x:c r="O178" s="109"/>
      <x:c r="P178" s="109"/>
      <x:c r="Q178" s="16"/>
      <x:c r="R178" s="16"/>
      <x:c r="S178" s="109"/>
      <x:c r="T178" s="16"/>
      <x:c r="U178" s="16"/>
      <x:c r="V178" s="16"/>
      <x:c r="W178" s="18" t="str">
        <x:f>IF(A178="","",IF(H178="","",IF(I178&lt;&gt;"",I178-H178+1,IF(S178&lt;&gt;"",S178-H178+1,""))))</x:f>
      </x:c>
      <x:c r="X178" s="16"/>
      <x:c r="Y178" s="16"/>
      <x:c r="Z178" s="16"/>
      <x:c r="AA178" s="16"/>
      <x:c r="AB178" s="109"/>
      <x:c r="AC178" s="109"/>
      <x:c r="AD178" s="16"/>
      <x:c r="AE178" s="16"/>
      <x:c r="AF178" s="16"/>
    </x:row>
    <x:row r="179">
      <x:c r="A179" s="16"/>
      <x:c r="B179" s="16"/>
      <x:c r="C179" s="16"/>
      <x:c r="D179" s="16"/>
      <x:c r="E179" s="16"/>
      <x:c r="F179" s="16"/>
      <x:c r="G179" s="16"/>
      <x:c r="H179" s="109"/>
      <x:c r="I179" s="109"/>
      <x:c r="J179" s="16"/>
      <x:c r="K179" s="16"/>
      <x:c r="L179" s="16"/>
      <x:c r="M179" s="16"/>
      <x:c r="N179" s="16"/>
      <x:c r="O179" s="109"/>
      <x:c r="P179" s="109"/>
      <x:c r="Q179" s="16"/>
      <x:c r="R179" s="16"/>
      <x:c r="S179" s="109"/>
      <x:c r="T179" s="16"/>
      <x:c r="U179" s="16"/>
      <x:c r="V179" s="16"/>
      <x:c r="W179" s="18" t="str">
        <x:f>IF(A179="","",IF(H179="","",IF(I179&lt;&gt;"",I179-H179+1,IF(S179&lt;&gt;"",S179-H179+1,""))))</x:f>
      </x:c>
      <x:c r="X179" s="16"/>
      <x:c r="Y179" s="16"/>
      <x:c r="Z179" s="16"/>
      <x:c r="AA179" s="16"/>
      <x:c r="AB179" s="109"/>
      <x:c r="AC179" s="109"/>
      <x:c r="AD179" s="16"/>
      <x:c r="AE179" s="16"/>
      <x:c r="AF179" s="16"/>
    </x:row>
    <x:row r="180">
      <x:c r="A180" s="16"/>
      <x:c r="B180" s="16"/>
      <x:c r="C180" s="16"/>
      <x:c r="D180" s="16"/>
      <x:c r="E180" s="16"/>
      <x:c r="F180" s="16"/>
      <x:c r="G180" s="16"/>
      <x:c r="H180" s="109"/>
      <x:c r="I180" s="109"/>
      <x:c r="J180" s="16"/>
      <x:c r="K180" s="16"/>
      <x:c r="L180" s="16"/>
      <x:c r="M180" s="16"/>
      <x:c r="N180" s="16"/>
      <x:c r="O180" s="109"/>
      <x:c r="P180" s="109"/>
      <x:c r="Q180" s="16"/>
      <x:c r="R180" s="16"/>
      <x:c r="S180" s="109"/>
      <x:c r="T180" s="16"/>
      <x:c r="U180" s="16"/>
      <x:c r="V180" s="16"/>
      <x:c r="W180" s="18" t="str">
        <x:f>IF(A180="","",IF(H180="","",IF(I180&lt;&gt;"",I180-H180+1,IF(S180&lt;&gt;"",S180-H180+1,""))))</x:f>
      </x:c>
      <x:c r="X180" s="16"/>
      <x:c r="Y180" s="16"/>
      <x:c r="Z180" s="16"/>
      <x:c r="AA180" s="16"/>
      <x:c r="AB180" s="109"/>
      <x:c r="AC180" s="109"/>
      <x:c r="AD180" s="16"/>
      <x:c r="AE180" s="16"/>
      <x:c r="AF180" s="16"/>
    </x:row>
    <x:row r="181">
      <x:c r="A181" s="16"/>
      <x:c r="B181" s="16"/>
      <x:c r="C181" s="16"/>
      <x:c r="D181" s="16"/>
      <x:c r="E181" s="16"/>
      <x:c r="F181" s="16"/>
      <x:c r="G181" s="16"/>
      <x:c r="H181" s="109"/>
      <x:c r="I181" s="109"/>
      <x:c r="J181" s="16"/>
      <x:c r="K181" s="16"/>
      <x:c r="L181" s="16"/>
      <x:c r="M181" s="16"/>
      <x:c r="N181" s="16"/>
      <x:c r="O181" s="109"/>
      <x:c r="P181" s="109"/>
      <x:c r="Q181" s="16"/>
      <x:c r="R181" s="16"/>
      <x:c r="S181" s="109"/>
      <x:c r="T181" s="16"/>
      <x:c r="U181" s="16"/>
      <x:c r="V181" s="16"/>
      <x:c r="W181" s="18" t="str">
        <x:f>IF(A181="","",IF(H181="","",IF(I181&lt;&gt;"",I181-H181+1,IF(S181&lt;&gt;"",S181-H181+1,""))))</x:f>
      </x:c>
      <x:c r="X181" s="16"/>
      <x:c r="Y181" s="16"/>
      <x:c r="Z181" s="16"/>
      <x:c r="AA181" s="16"/>
      <x:c r="AB181" s="109"/>
      <x:c r="AC181" s="109"/>
      <x:c r="AD181" s="16"/>
      <x:c r="AE181" s="16"/>
      <x:c r="AF181" s="16"/>
    </x:row>
    <x:row r="182">
      <x:c r="A182" s="16"/>
      <x:c r="B182" s="16"/>
      <x:c r="C182" s="16"/>
      <x:c r="D182" s="16"/>
      <x:c r="E182" s="16"/>
      <x:c r="F182" s="16"/>
      <x:c r="G182" s="16"/>
      <x:c r="H182" s="109"/>
      <x:c r="I182" s="109"/>
      <x:c r="J182" s="16"/>
      <x:c r="K182" s="16"/>
      <x:c r="L182" s="16"/>
      <x:c r="M182" s="16"/>
      <x:c r="N182" s="16"/>
      <x:c r="O182" s="109"/>
      <x:c r="P182" s="109"/>
      <x:c r="Q182" s="16"/>
      <x:c r="R182" s="16"/>
      <x:c r="S182" s="109"/>
      <x:c r="T182" s="16"/>
      <x:c r="U182" s="16"/>
      <x:c r="V182" s="16"/>
      <x:c r="W182" s="18" t="str">
        <x:f>IF(A182="","",IF(H182="","",IF(I182&lt;&gt;"",I182-H182+1,IF(S182&lt;&gt;"",S182-H182+1,""))))</x:f>
      </x:c>
      <x:c r="X182" s="16"/>
      <x:c r="Y182" s="16"/>
      <x:c r="Z182" s="16"/>
      <x:c r="AA182" s="16"/>
      <x:c r="AB182" s="109"/>
      <x:c r="AC182" s="109"/>
      <x:c r="AD182" s="16"/>
      <x:c r="AE182" s="16"/>
      <x:c r="AF182" s="16"/>
    </x:row>
    <x:row r="183">
      <x:c r="A183" s="16"/>
      <x:c r="B183" s="16"/>
      <x:c r="C183" s="16"/>
      <x:c r="D183" s="16"/>
      <x:c r="E183" s="16"/>
      <x:c r="F183" s="16"/>
      <x:c r="G183" s="16"/>
      <x:c r="H183" s="109"/>
      <x:c r="I183" s="109"/>
      <x:c r="J183" s="16"/>
      <x:c r="K183" s="16"/>
      <x:c r="L183" s="16"/>
      <x:c r="M183" s="16"/>
      <x:c r="N183" s="16"/>
      <x:c r="O183" s="109"/>
      <x:c r="P183" s="109"/>
      <x:c r="Q183" s="16"/>
      <x:c r="R183" s="16"/>
      <x:c r="S183" s="109"/>
      <x:c r="T183" s="16"/>
      <x:c r="U183" s="16"/>
      <x:c r="V183" s="16"/>
      <x:c r="W183" s="18" t="str">
        <x:f>IF(A183="","",IF(H183="","",IF(I183&lt;&gt;"",I183-H183+1,IF(S183&lt;&gt;"",S183-H183+1,""))))</x:f>
      </x:c>
      <x:c r="X183" s="16"/>
      <x:c r="Y183" s="16"/>
      <x:c r="Z183" s="16"/>
      <x:c r="AA183" s="16"/>
      <x:c r="AB183" s="109"/>
      <x:c r="AC183" s="109"/>
      <x:c r="AD183" s="16"/>
      <x:c r="AE183" s="16"/>
      <x:c r="AF183" s="16"/>
    </x:row>
    <x:row r="184">
      <x:c r="A184" s="16"/>
      <x:c r="B184" s="16"/>
      <x:c r="C184" s="16"/>
      <x:c r="D184" s="16"/>
      <x:c r="E184" s="16"/>
      <x:c r="F184" s="16"/>
      <x:c r="G184" s="16"/>
      <x:c r="H184" s="109"/>
      <x:c r="I184" s="109"/>
      <x:c r="J184" s="16"/>
      <x:c r="K184" s="16"/>
      <x:c r="L184" s="16"/>
      <x:c r="M184" s="16"/>
      <x:c r="N184" s="16"/>
      <x:c r="O184" s="109"/>
      <x:c r="P184" s="109"/>
      <x:c r="Q184" s="16"/>
      <x:c r="R184" s="16"/>
      <x:c r="S184" s="109"/>
      <x:c r="T184" s="16"/>
      <x:c r="U184" s="16"/>
      <x:c r="V184" s="16"/>
      <x:c r="W184" s="18" t="str">
        <x:f>IF(A184="","",IF(H184="","",IF(I184&lt;&gt;"",I184-H184+1,IF(S184&lt;&gt;"",S184-H184+1,""))))</x:f>
      </x:c>
      <x:c r="X184" s="16"/>
      <x:c r="Y184" s="16"/>
      <x:c r="Z184" s="16"/>
      <x:c r="AA184" s="16"/>
      <x:c r="AB184" s="109"/>
      <x:c r="AC184" s="109"/>
      <x:c r="AD184" s="16"/>
      <x:c r="AE184" s="16"/>
      <x:c r="AF184" s="16"/>
    </x:row>
    <x:row r="185">
      <x:c r="A185" s="16"/>
      <x:c r="B185" s="16"/>
      <x:c r="C185" s="16"/>
      <x:c r="D185" s="16"/>
      <x:c r="E185" s="16"/>
      <x:c r="F185" s="16"/>
      <x:c r="G185" s="16"/>
      <x:c r="H185" s="109"/>
      <x:c r="I185" s="109"/>
      <x:c r="J185" s="16"/>
      <x:c r="K185" s="16"/>
      <x:c r="L185" s="16"/>
      <x:c r="M185" s="16"/>
      <x:c r="N185" s="16"/>
      <x:c r="O185" s="109"/>
      <x:c r="P185" s="109"/>
      <x:c r="Q185" s="16"/>
      <x:c r="R185" s="16"/>
      <x:c r="S185" s="109"/>
      <x:c r="T185" s="16"/>
      <x:c r="U185" s="16"/>
      <x:c r="V185" s="16"/>
      <x:c r="W185" s="18" t="str">
        <x:f>IF(A185="","",IF(H185="","",IF(I185&lt;&gt;"",I185-H185+1,IF(S185&lt;&gt;"",S185-H185+1,""))))</x:f>
      </x:c>
      <x:c r="X185" s="16"/>
      <x:c r="Y185" s="16"/>
      <x:c r="Z185" s="16"/>
      <x:c r="AA185" s="16"/>
      <x:c r="AB185" s="109"/>
      <x:c r="AC185" s="109"/>
      <x:c r="AD185" s="16"/>
      <x:c r="AE185" s="16"/>
      <x:c r="AF185" s="16"/>
    </x:row>
    <x:row r="186">
      <x:c r="A186" s="16"/>
      <x:c r="B186" s="16"/>
      <x:c r="C186" s="16"/>
      <x:c r="D186" s="16"/>
      <x:c r="E186" s="16"/>
      <x:c r="F186" s="16"/>
      <x:c r="G186" s="16"/>
      <x:c r="H186" s="109"/>
      <x:c r="I186" s="109"/>
      <x:c r="J186" s="16"/>
      <x:c r="K186" s="16"/>
      <x:c r="L186" s="16"/>
      <x:c r="M186" s="16"/>
      <x:c r="N186" s="16"/>
      <x:c r="O186" s="109"/>
      <x:c r="P186" s="109"/>
      <x:c r="Q186" s="16"/>
      <x:c r="R186" s="16"/>
      <x:c r="S186" s="109"/>
      <x:c r="T186" s="16"/>
      <x:c r="U186" s="16"/>
      <x:c r="V186" s="16"/>
      <x:c r="W186" s="18" t="str">
        <x:f>IF(A186="","",IF(H186="","",IF(I186&lt;&gt;"",I186-H186+1,IF(S186&lt;&gt;"",S186-H186+1,""))))</x:f>
      </x:c>
      <x:c r="X186" s="16"/>
      <x:c r="Y186" s="16"/>
      <x:c r="Z186" s="16"/>
      <x:c r="AA186" s="16"/>
      <x:c r="AB186" s="109"/>
      <x:c r="AC186" s="109"/>
      <x:c r="AD186" s="16"/>
      <x:c r="AE186" s="16"/>
      <x:c r="AF186" s="16"/>
    </x:row>
    <x:row r="187">
      <x:c r="A187" s="16"/>
      <x:c r="B187" s="16"/>
      <x:c r="C187" s="16"/>
      <x:c r="D187" s="16"/>
      <x:c r="E187" s="16"/>
      <x:c r="F187" s="16"/>
      <x:c r="G187" s="16"/>
      <x:c r="H187" s="109"/>
      <x:c r="I187" s="109"/>
      <x:c r="J187" s="16"/>
      <x:c r="K187" s="16"/>
      <x:c r="L187" s="16"/>
      <x:c r="M187" s="16"/>
      <x:c r="N187" s="16"/>
      <x:c r="O187" s="109"/>
      <x:c r="P187" s="109"/>
      <x:c r="Q187" s="16"/>
      <x:c r="R187" s="16"/>
      <x:c r="S187" s="109"/>
      <x:c r="T187" s="16"/>
      <x:c r="U187" s="16"/>
      <x:c r="V187" s="16"/>
      <x:c r="W187" s="18" t="str">
        <x:f>IF(A187="","",IF(H187="","",IF(I187&lt;&gt;"",I187-H187+1,IF(S187&lt;&gt;"",S187-H187+1,""))))</x:f>
      </x:c>
      <x:c r="X187" s="16"/>
      <x:c r="Y187" s="16"/>
      <x:c r="Z187" s="16"/>
      <x:c r="AA187" s="16"/>
      <x:c r="AB187" s="109"/>
      <x:c r="AC187" s="109"/>
      <x:c r="AD187" s="16"/>
      <x:c r="AE187" s="16"/>
      <x:c r="AF187" s="16"/>
    </x:row>
    <x:row r="188">
      <x:c r="A188" s="16"/>
      <x:c r="B188" s="16"/>
      <x:c r="C188" s="16"/>
      <x:c r="D188" s="16"/>
      <x:c r="E188" s="16"/>
      <x:c r="F188" s="16"/>
      <x:c r="G188" s="16"/>
      <x:c r="H188" s="109"/>
      <x:c r="I188" s="109"/>
      <x:c r="J188" s="16"/>
      <x:c r="K188" s="16"/>
      <x:c r="L188" s="16"/>
      <x:c r="M188" s="16"/>
      <x:c r="N188" s="16"/>
      <x:c r="O188" s="109"/>
      <x:c r="P188" s="109"/>
      <x:c r="Q188" s="16"/>
      <x:c r="R188" s="16"/>
      <x:c r="S188" s="109"/>
      <x:c r="T188" s="16"/>
      <x:c r="U188" s="16"/>
      <x:c r="V188" s="16"/>
      <x:c r="W188" s="18" t="str">
        <x:f>IF(A188="","",IF(H188="","",IF(I188&lt;&gt;"",I188-H188+1,IF(S188&lt;&gt;"",S188-H188+1,""))))</x:f>
      </x:c>
      <x:c r="X188" s="16"/>
      <x:c r="Y188" s="16"/>
      <x:c r="Z188" s="16"/>
      <x:c r="AA188" s="16"/>
      <x:c r="AB188" s="109"/>
      <x:c r="AC188" s="109"/>
      <x:c r="AD188" s="16"/>
      <x:c r="AE188" s="16"/>
      <x:c r="AF188" s="16"/>
    </x:row>
    <x:row r="189">
      <x:c r="A189" s="16"/>
      <x:c r="B189" s="16"/>
      <x:c r="C189" s="16"/>
      <x:c r="D189" s="16"/>
      <x:c r="E189" s="16"/>
      <x:c r="F189" s="16"/>
      <x:c r="G189" s="16"/>
      <x:c r="H189" s="109"/>
      <x:c r="I189" s="109"/>
      <x:c r="J189" s="16"/>
      <x:c r="K189" s="16"/>
      <x:c r="L189" s="16"/>
      <x:c r="M189" s="16"/>
      <x:c r="N189" s="16"/>
      <x:c r="O189" s="109"/>
      <x:c r="P189" s="109"/>
      <x:c r="Q189" s="16"/>
      <x:c r="R189" s="16"/>
      <x:c r="S189" s="109"/>
      <x:c r="T189" s="16"/>
      <x:c r="U189" s="16"/>
      <x:c r="V189" s="16"/>
      <x:c r="W189" s="18" t="str">
        <x:f>IF(A189="","",IF(H189="","",IF(I189&lt;&gt;"",I189-H189+1,IF(S189&lt;&gt;"",S189-H189+1,""))))</x:f>
      </x:c>
      <x:c r="X189" s="16"/>
      <x:c r="Y189" s="16"/>
      <x:c r="Z189" s="16"/>
      <x:c r="AA189" s="16"/>
      <x:c r="AB189" s="109"/>
      <x:c r="AC189" s="109"/>
      <x:c r="AD189" s="16"/>
      <x:c r="AE189" s="16"/>
      <x:c r="AF189" s="16"/>
    </x:row>
    <x:row r="190">
      <x:c r="A190" s="16"/>
      <x:c r="B190" s="16"/>
      <x:c r="C190" s="16"/>
      <x:c r="D190" s="16"/>
      <x:c r="E190" s="16"/>
      <x:c r="F190" s="16"/>
      <x:c r="G190" s="16"/>
      <x:c r="H190" s="109"/>
      <x:c r="I190" s="109"/>
      <x:c r="J190" s="16"/>
      <x:c r="K190" s="16"/>
      <x:c r="L190" s="16"/>
      <x:c r="M190" s="16"/>
      <x:c r="N190" s="16"/>
      <x:c r="O190" s="109"/>
      <x:c r="P190" s="109"/>
      <x:c r="Q190" s="16"/>
      <x:c r="R190" s="16"/>
      <x:c r="S190" s="109"/>
      <x:c r="T190" s="16"/>
      <x:c r="U190" s="16"/>
      <x:c r="V190" s="16"/>
      <x:c r="W190" s="18" t="str">
        <x:f>IF(A190="","",IF(H190="","",IF(I190&lt;&gt;"",I190-H190+1,IF(S190&lt;&gt;"",S190-H190+1,""))))</x:f>
      </x:c>
      <x:c r="X190" s="16"/>
      <x:c r="Y190" s="16"/>
      <x:c r="Z190" s="16"/>
      <x:c r="AA190" s="16"/>
      <x:c r="AB190" s="109"/>
      <x:c r="AC190" s="109"/>
      <x:c r="AD190" s="16"/>
      <x:c r="AE190" s="16"/>
      <x:c r="AF190" s="16"/>
    </x:row>
    <x:row r="191">
      <x:c r="A191" s="16"/>
      <x:c r="B191" s="16"/>
      <x:c r="C191" s="16"/>
      <x:c r="D191" s="16"/>
      <x:c r="E191" s="16"/>
      <x:c r="F191" s="16"/>
      <x:c r="G191" s="16"/>
      <x:c r="H191" s="109"/>
      <x:c r="I191" s="109"/>
      <x:c r="J191" s="16"/>
      <x:c r="K191" s="16"/>
      <x:c r="L191" s="16"/>
      <x:c r="M191" s="16"/>
      <x:c r="N191" s="16"/>
      <x:c r="O191" s="109"/>
      <x:c r="P191" s="109"/>
      <x:c r="Q191" s="16"/>
      <x:c r="R191" s="16"/>
      <x:c r="S191" s="109"/>
      <x:c r="T191" s="16"/>
      <x:c r="U191" s="16"/>
      <x:c r="V191" s="16"/>
      <x:c r="W191" s="18" t="str">
        <x:f>IF(A191="","",IF(H191="","",IF(I191&lt;&gt;"",I191-H191+1,IF(S191&lt;&gt;"",S191-H191+1,""))))</x:f>
      </x:c>
      <x:c r="X191" s="16"/>
      <x:c r="Y191" s="16"/>
      <x:c r="Z191" s="16"/>
      <x:c r="AA191" s="16"/>
      <x:c r="AB191" s="109"/>
      <x:c r="AC191" s="109"/>
      <x:c r="AD191" s="16"/>
      <x:c r="AE191" s="16"/>
      <x:c r="AF191" s="16"/>
    </x:row>
    <x:row r="192">
      <x:c r="A192" s="16"/>
      <x:c r="B192" s="16"/>
      <x:c r="C192" s="16"/>
      <x:c r="D192" s="16"/>
      <x:c r="E192" s="16"/>
      <x:c r="F192" s="16"/>
      <x:c r="G192" s="16"/>
      <x:c r="H192" s="109"/>
      <x:c r="I192" s="109"/>
      <x:c r="J192" s="16"/>
      <x:c r="K192" s="16"/>
      <x:c r="L192" s="16"/>
      <x:c r="M192" s="16"/>
      <x:c r="N192" s="16"/>
      <x:c r="O192" s="109"/>
      <x:c r="P192" s="109"/>
      <x:c r="Q192" s="16"/>
      <x:c r="R192" s="16"/>
      <x:c r="S192" s="109"/>
      <x:c r="T192" s="16"/>
      <x:c r="U192" s="16"/>
      <x:c r="V192" s="16"/>
      <x:c r="W192" s="18" t="str">
        <x:f>IF(A192="","",IF(H192="","",IF(I192&lt;&gt;"",I192-H192+1,IF(S192&lt;&gt;"",S192-H192+1,""))))</x:f>
      </x:c>
      <x:c r="X192" s="16"/>
      <x:c r="Y192" s="16"/>
      <x:c r="Z192" s="16"/>
      <x:c r="AA192" s="16"/>
      <x:c r="AB192" s="109"/>
      <x:c r="AC192" s="109"/>
      <x:c r="AD192" s="16"/>
      <x:c r="AE192" s="16"/>
      <x:c r="AF192" s="16"/>
    </x:row>
    <x:row r="193">
      <x:c r="A193" s="16"/>
      <x:c r="B193" s="16"/>
      <x:c r="C193" s="16"/>
      <x:c r="D193" s="16"/>
      <x:c r="E193" s="16"/>
      <x:c r="F193" s="16"/>
      <x:c r="G193" s="16"/>
      <x:c r="H193" s="109"/>
      <x:c r="I193" s="109"/>
      <x:c r="J193" s="16"/>
      <x:c r="K193" s="16"/>
      <x:c r="L193" s="16"/>
      <x:c r="M193" s="16"/>
      <x:c r="N193" s="16"/>
      <x:c r="O193" s="109"/>
      <x:c r="P193" s="109"/>
      <x:c r="Q193" s="16"/>
      <x:c r="R193" s="16"/>
      <x:c r="S193" s="109"/>
      <x:c r="T193" s="16"/>
      <x:c r="U193" s="16"/>
      <x:c r="V193" s="16"/>
      <x:c r="W193" s="18" t="str">
        <x:f>IF(A193="","",IF(H193="","",IF(I193&lt;&gt;"",I193-H193+1,IF(S193&lt;&gt;"",S193-H193+1,""))))</x:f>
      </x:c>
      <x:c r="X193" s="16"/>
      <x:c r="Y193" s="16"/>
      <x:c r="Z193" s="16"/>
      <x:c r="AA193" s="16"/>
      <x:c r="AB193" s="109"/>
      <x:c r="AC193" s="109"/>
      <x:c r="AD193" s="16"/>
      <x:c r="AE193" s="16"/>
      <x:c r="AF193" s="16"/>
    </x:row>
    <x:row r="194">
      <x:c r="A194" s="16"/>
      <x:c r="B194" s="16"/>
      <x:c r="C194" s="16"/>
      <x:c r="D194" s="16"/>
      <x:c r="E194" s="16"/>
      <x:c r="F194" s="16"/>
      <x:c r="G194" s="16"/>
      <x:c r="H194" s="109"/>
      <x:c r="I194" s="109"/>
      <x:c r="J194" s="16"/>
      <x:c r="K194" s="16"/>
      <x:c r="L194" s="16"/>
      <x:c r="M194" s="16"/>
      <x:c r="N194" s="16"/>
      <x:c r="O194" s="109"/>
      <x:c r="P194" s="109"/>
      <x:c r="Q194" s="16"/>
      <x:c r="R194" s="16"/>
      <x:c r="S194" s="109"/>
      <x:c r="T194" s="16"/>
      <x:c r="U194" s="16"/>
      <x:c r="V194" s="16"/>
      <x:c r="W194" s="18" t="str">
        <x:f>IF(A194="","",IF(H194="","",IF(I194&lt;&gt;"",I194-H194+1,IF(S194&lt;&gt;"",S194-H194+1,""))))</x:f>
      </x:c>
      <x:c r="X194" s="16"/>
      <x:c r="Y194" s="16"/>
      <x:c r="Z194" s="16"/>
      <x:c r="AA194" s="16"/>
      <x:c r="AB194" s="109"/>
      <x:c r="AC194" s="109"/>
      <x:c r="AD194" s="16"/>
      <x:c r="AE194" s="16"/>
      <x:c r="AF194" s="16"/>
    </x:row>
    <x:row r="195">
      <x:c r="A195" s="16"/>
      <x:c r="B195" s="16"/>
      <x:c r="C195" s="16"/>
      <x:c r="D195" s="16"/>
      <x:c r="E195" s="16"/>
      <x:c r="F195" s="16"/>
      <x:c r="G195" s="16"/>
      <x:c r="H195" s="109"/>
      <x:c r="I195" s="109"/>
      <x:c r="J195" s="16"/>
      <x:c r="K195" s="16"/>
      <x:c r="L195" s="16"/>
      <x:c r="M195" s="16"/>
      <x:c r="N195" s="16"/>
      <x:c r="O195" s="109"/>
      <x:c r="P195" s="109"/>
      <x:c r="Q195" s="16"/>
      <x:c r="R195" s="16"/>
      <x:c r="S195" s="109"/>
      <x:c r="T195" s="16"/>
      <x:c r="U195" s="16"/>
      <x:c r="V195" s="16"/>
      <x:c r="W195" s="18" t="str">
        <x:f>IF(A195="","",IF(H195="","",IF(I195&lt;&gt;"",I195-H195+1,IF(S195&lt;&gt;"",S195-H195+1,""))))</x:f>
      </x:c>
      <x:c r="X195" s="16"/>
      <x:c r="Y195" s="16"/>
      <x:c r="Z195" s="16"/>
      <x:c r="AA195" s="16"/>
      <x:c r="AB195" s="109"/>
      <x:c r="AC195" s="109"/>
      <x:c r="AD195" s="16"/>
      <x:c r="AE195" s="16"/>
      <x:c r="AF195" s="16"/>
    </x:row>
    <x:row r="196">
      <x:c r="A196" s="16"/>
      <x:c r="B196" s="16"/>
      <x:c r="C196" s="16"/>
      <x:c r="D196" s="16"/>
      <x:c r="E196" s="16"/>
      <x:c r="F196" s="16"/>
      <x:c r="G196" s="16"/>
      <x:c r="H196" s="109"/>
      <x:c r="I196" s="109"/>
      <x:c r="J196" s="16"/>
      <x:c r="K196" s="16"/>
      <x:c r="L196" s="16"/>
      <x:c r="M196" s="16"/>
      <x:c r="N196" s="16"/>
      <x:c r="O196" s="109"/>
      <x:c r="P196" s="109"/>
      <x:c r="Q196" s="16"/>
      <x:c r="R196" s="16"/>
      <x:c r="S196" s="109"/>
      <x:c r="T196" s="16"/>
      <x:c r="U196" s="16"/>
      <x:c r="V196" s="16"/>
      <x:c r="W196" s="18" t="str">
        <x:f>IF(A196="","",IF(H196="","",IF(I196&lt;&gt;"",I196-H196+1,IF(S196&lt;&gt;"",S196-H196+1,""))))</x:f>
      </x:c>
      <x:c r="X196" s="16"/>
      <x:c r="Y196" s="16"/>
      <x:c r="Z196" s="16"/>
      <x:c r="AA196" s="16"/>
      <x:c r="AB196" s="109"/>
      <x:c r="AC196" s="109"/>
      <x:c r="AD196" s="16"/>
      <x:c r="AE196" s="16"/>
      <x:c r="AF196" s="16"/>
    </x:row>
    <x:row r="197">
      <x:c r="A197" s="16"/>
      <x:c r="B197" s="16"/>
      <x:c r="C197" s="16"/>
      <x:c r="D197" s="16"/>
      <x:c r="E197" s="16"/>
      <x:c r="F197" s="16"/>
      <x:c r="G197" s="16"/>
      <x:c r="H197" s="109"/>
      <x:c r="I197" s="109"/>
      <x:c r="J197" s="16"/>
      <x:c r="K197" s="16"/>
      <x:c r="L197" s="16"/>
      <x:c r="M197" s="16"/>
      <x:c r="N197" s="16"/>
      <x:c r="O197" s="109"/>
      <x:c r="P197" s="109"/>
      <x:c r="Q197" s="16"/>
      <x:c r="R197" s="16"/>
      <x:c r="S197" s="109"/>
      <x:c r="T197" s="16"/>
      <x:c r="U197" s="16"/>
      <x:c r="V197" s="16"/>
      <x:c r="W197" s="18" t="str">
        <x:f>IF(A197="","",IF(H197="","",IF(I197&lt;&gt;"",I197-H197+1,IF(S197&lt;&gt;"",S197-H197+1,""))))</x:f>
      </x:c>
      <x:c r="X197" s="16"/>
      <x:c r="Y197" s="16"/>
      <x:c r="Z197" s="16"/>
      <x:c r="AA197" s="16"/>
      <x:c r="AB197" s="109"/>
      <x:c r="AC197" s="109"/>
      <x:c r="AD197" s="16"/>
      <x:c r="AE197" s="16"/>
      <x:c r="AF197" s="16"/>
    </x:row>
    <x:row r="198">
      <x:c r="A198" s="16"/>
      <x:c r="B198" s="16"/>
      <x:c r="C198" s="16"/>
      <x:c r="D198" s="16"/>
      <x:c r="E198" s="16"/>
      <x:c r="F198" s="16"/>
      <x:c r="G198" s="16"/>
      <x:c r="H198" s="109"/>
      <x:c r="I198" s="109"/>
      <x:c r="J198" s="16"/>
      <x:c r="K198" s="16"/>
      <x:c r="L198" s="16"/>
      <x:c r="M198" s="16"/>
      <x:c r="N198" s="16"/>
      <x:c r="O198" s="109"/>
      <x:c r="P198" s="109"/>
      <x:c r="Q198" s="16"/>
      <x:c r="R198" s="16"/>
      <x:c r="S198" s="109"/>
      <x:c r="T198" s="16"/>
      <x:c r="U198" s="16"/>
      <x:c r="V198" s="16"/>
      <x:c r="W198" s="18" t="str">
        <x:f>IF(A198="","",IF(H198="","",IF(I198&lt;&gt;"",I198-H198+1,IF(S198&lt;&gt;"",S198-H198+1,""))))</x:f>
      </x:c>
      <x:c r="X198" s="16"/>
      <x:c r="Y198" s="16"/>
      <x:c r="Z198" s="16"/>
      <x:c r="AA198" s="16"/>
      <x:c r="AB198" s="109"/>
      <x:c r="AC198" s="109"/>
      <x:c r="AD198" s="16"/>
      <x:c r="AE198" s="16"/>
      <x:c r="AF198" s="16"/>
    </x:row>
    <x:row r="199">
      <x:c r="A199" s="16"/>
      <x:c r="B199" s="16"/>
      <x:c r="C199" s="16"/>
      <x:c r="D199" s="16"/>
      <x:c r="E199" s="16"/>
      <x:c r="F199" s="16"/>
      <x:c r="G199" s="16"/>
      <x:c r="H199" s="109"/>
      <x:c r="I199" s="109"/>
      <x:c r="J199" s="16"/>
      <x:c r="K199" s="16"/>
      <x:c r="L199" s="16"/>
      <x:c r="M199" s="16"/>
      <x:c r="N199" s="16"/>
      <x:c r="O199" s="109"/>
      <x:c r="P199" s="109"/>
      <x:c r="Q199" s="16"/>
      <x:c r="R199" s="16"/>
      <x:c r="S199" s="109"/>
      <x:c r="T199" s="16"/>
      <x:c r="U199" s="16"/>
      <x:c r="V199" s="16"/>
      <x:c r="W199" s="18" t="str">
        <x:f>IF(A199="","",IF(H199="","",IF(I199&lt;&gt;"",I199-H199+1,IF(S199&lt;&gt;"",S199-H199+1,""))))</x:f>
      </x:c>
      <x:c r="X199" s="16"/>
      <x:c r="Y199" s="16"/>
      <x:c r="Z199" s="16"/>
      <x:c r="AA199" s="16"/>
      <x:c r="AB199" s="109"/>
      <x:c r="AC199" s="109"/>
      <x:c r="AD199" s="16"/>
      <x:c r="AE199" s="16"/>
      <x:c r="AF199" s="16"/>
    </x:row>
    <x:row r="200">
      <x:c r="A200" s="16"/>
      <x:c r="B200" s="16"/>
      <x:c r="C200" s="16"/>
      <x:c r="D200" s="16"/>
      <x:c r="E200" s="16"/>
      <x:c r="F200" s="16"/>
      <x:c r="G200" s="16"/>
      <x:c r="H200" s="109"/>
      <x:c r="I200" s="109"/>
      <x:c r="J200" s="16"/>
      <x:c r="K200" s="16"/>
      <x:c r="L200" s="16"/>
      <x:c r="M200" s="16"/>
      <x:c r="N200" s="16"/>
      <x:c r="O200" s="109"/>
      <x:c r="P200" s="109"/>
      <x:c r="Q200" s="16"/>
      <x:c r="R200" s="16"/>
      <x:c r="S200" s="109"/>
      <x:c r="T200" s="16"/>
      <x:c r="U200" s="16"/>
      <x:c r="V200" s="16"/>
      <x:c r="W200" s="18" t="str">
        <x:f>IF(A200="","",IF(H200="","",IF(I200&lt;&gt;"",I200-H200+1,IF(S200&lt;&gt;"",S200-H200+1,""))))</x:f>
      </x:c>
      <x:c r="X200" s="16"/>
      <x:c r="Y200" s="16"/>
      <x:c r="Z200" s="16"/>
      <x:c r="AA200" s="16"/>
      <x:c r="AB200" s="109"/>
      <x:c r="AC200" s="109"/>
      <x:c r="AD200" s="16"/>
      <x:c r="AE200" s="16"/>
      <x:c r="AF200" s="16"/>
    </x:row>
    <x:row r="201">
      <x:c r="A201" s="16"/>
      <x:c r="B201" s="16"/>
      <x:c r="C201" s="16"/>
      <x:c r="D201" s="16"/>
      <x:c r="E201" s="16"/>
      <x:c r="F201" s="16"/>
      <x:c r="G201" s="16"/>
      <x:c r="H201" s="109"/>
      <x:c r="I201" s="109"/>
      <x:c r="J201" s="16"/>
      <x:c r="K201" s="16"/>
      <x:c r="L201" s="16"/>
      <x:c r="M201" s="16"/>
      <x:c r="N201" s="16"/>
      <x:c r="O201" s="109"/>
      <x:c r="P201" s="109"/>
      <x:c r="Q201" s="16"/>
      <x:c r="R201" s="16"/>
      <x:c r="S201" s="109"/>
      <x:c r="T201" s="16"/>
      <x:c r="U201" s="16"/>
      <x:c r="V201" s="16"/>
      <x:c r="W201" s="18" t="str">
        <x:f>IF(A201="","",IF(H201="","",IF(I201&lt;&gt;"",I201-H201+1,IF(S201&lt;&gt;"",S201-H201+1,""))))</x:f>
      </x:c>
      <x:c r="X201" s="16"/>
      <x:c r="Y201" s="16"/>
      <x:c r="Z201" s="16"/>
      <x:c r="AA201" s="16"/>
      <x:c r="AB201" s="109"/>
      <x:c r="AC201" s="109"/>
      <x:c r="AD201" s="16"/>
      <x:c r="AE201" s="16"/>
      <x:c r="AF201" s="16"/>
    </x:row>
    <x:row r="202">
      <x:c r="A202" s="16"/>
      <x:c r="B202" s="16"/>
      <x:c r="C202" s="16"/>
      <x:c r="D202" s="16"/>
      <x:c r="E202" s="16"/>
      <x:c r="F202" s="16"/>
      <x:c r="G202" s="16"/>
      <x:c r="H202" s="109"/>
      <x:c r="I202" s="109"/>
      <x:c r="J202" s="16"/>
      <x:c r="K202" s="16"/>
      <x:c r="L202" s="16"/>
      <x:c r="M202" s="16"/>
      <x:c r="N202" s="16"/>
      <x:c r="O202" s="109"/>
      <x:c r="P202" s="109"/>
      <x:c r="Q202" s="16"/>
      <x:c r="R202" s="16"/>
      <x:c r="S202" s="109"/>
      <x:c r="T202" s="16"/>
      <x:c r="U202" s="16"/>
      <x:c r="V202" s="16"/>
      <x:c r="W202" s="18" t="str">
        <x:f>IF(A202="","",IF(H202="","",IF(I202&lt;&gt;"",I202-H202+1,IF(S202&lt;&gt;"",S202-H202+1,""))))</x:f>
      </x:c>
      <x:c r="X202" s="16"/>
      <x:c r="Y202" s="16"/>
      <x:c r="Z202" s="16"/>
      <x:c r="AA202" s="16"/>
      <x:c r="AB202" s="109"/>
      <x:c r="AC202" s="109"/>
      <x:c r="AD202" s="16"/>
      <x:c r="AE202" s="16"/>
      <x:c r="AF202" s="16"/>
    </x:row>
    <x:row r="203">
      <x:c r="A203" s="16"/>
      <x:c r="B203" s="16"/>
      <x:c r="C203" s="16"/>
      <x:c r="D203" s="16"/>
      <x:c r="E203" s="16"/>
      <x:c r="F203" s="16"/>
      <x:c r="G203" s="16"/>
      <x:c r="H203" s="109"/>
      <x:c r="I203" s="109"/>
      <x:c r="J203" s="16"/>
      <x:c r="K203" s="16"/>
      <x:c r="L203" s="16"/>
      <x:c r="M203" s="16"/>
      <x:c r="N203" s="16"/>
      <x:c r="O203" s="109"/>
      <x:c r="P203" s="109"/>
      <x:c r="Q203" s="16"/>
      <x:c r="R203" s="16"/>
      <x:c r="S203" s="109"/>
      <x:c r="T203" s="16"/>
      <x:c r="U203" s="16"/>
      <x:c r="V203" s="16"/>
      <x:c r="W203" s="18" t="str">
        <x:f>IF(A203="","",IF(H203="","",IF(I203&lt;&gt;"",I203-H203+1,IF(S203&lt;&gt;"",S203-H203+1,""))))</x:f>
      </x:c>
      <x:c r="X203" s="16"/>
      <x:c r="Y203" s="16"/>
      <x:c r="Z203" s="16"/>
      <x:c r="AA203" s="16"/>
      <x:c r="AB203" s="109"/>
      <x:c r="AC203" s="109"/>
      <x:c r="AD203" s="16"/>
      <x:c r="AE203" s="16"/>
      <x:c r="AF203" s="16"/>
    </x:row>
    <x:row r="204">
      <x:c r="A204" s="16"/>
      <x:c r="B204" s="16"/>
      <x:c r="C204" s="16"/>
      <x:c r="D204" s="16"/>
      <x:c r="E204" s="16"/>
      <x:c r="F204" s="16"/>
      <x:c r="G204" s="16"/>
      <x:c r="H204" s="109"/>
      <x:c r="I204" s="109"/>
      <x:c r="J204" s="16"/>
      <x:c r="K204" s="16"/>
      <x:c r="L204" s="16"/>
      <x:c r="M204" s="16"/>
      <x:c r="N204" s="16"/>
      <x:c r="O204" s="109"/>
      <x:c r="P204" s="109"/>
      <x:c r="Q204" s="16"/>
      <x:c r="R204" s="16"/>
      <x:c r="S204" s="109"/>
      <x:c r="T204" s="16"/>
      <x:c r="U204" s="16"/>
      <x:c r="V204" s="16"/>
      <x:c r="W204" s="18" t="str">
        <x:f>IF(A204="","",IF(H204="","",IF(I204&lt;&gt;"",I204-H204+1,IF(S204&lt;&gt;"",S204-H204+1,""))))</x:f>
      </x:c>
      <x:c r="X204" s="16"/>
      <x:c r="Y204" s="16"/>
      <x:c r="Z204" s="16"/>
      <x:c r="AA204" s="16"/>
      <x:c r="AB204" s="109"/>
      <x:c r="AC204" s="109"/>
      <x:c r="AD204" s="16"/>
      <x:c r="AE204" s="16"/>
      <x:c r="AF204" s="16"/>
    </x:row>
    <x:row r="205">
      <x:c r="A205" s="16"/>
      <x:c r="B205" s="16"/>
      <x:c r="C205" s="16"/>
      <x:c r="D205" s="16"/>
      <x:c r="E205" s="16"/>
      <x:c r="F205" s="16"/>
      <x:c r="G205" s="16"/>
      <x:c r="H205" s="109"/>
      <x:c r="I205" s="109"/>
      <x:c r="J205" s="16"/>
      <x:c r="K205" s="16"/>
      <x:c r="L205" s="16"/>
      <x:c r="M205" s="16"/>
      <x:c r="N205" s="16"/>
      <x:c r="O205" s="109"/>
      <x:c r="P205" s="109"/>
      <x:c r="Q205" s="16"/>
      <x:c r="R205" s="16"/>
      <x:c r="S205" s="109"/>
      <x:c r="T205" s="16"/>
      <x:c r="U205" s="16"/>
      <x:c r="V205" s="16"/>
      <x:c r="W205" s="18" t="str">
        <x:f>IF(A205="","",IF(H205="","",IF(I205&lt;&gt;"",I205-H205+1,IF(S205&lt;&gt;"",S205-H205+1,""))))</x:f>
      </x:c>
      <x:c r="X205" s="16"/>
      <x:c r="Y205" s="16"/>
      <x:c r="Z205" s="16"/>
      <x:c r="AA205" s="16"/>
      <x:c r="AB205" s="109"/>
      <x:c r="AC205" s="109"/>
      <x:c r="AD205" s="16"/>
      <x:c r="AE205" s="16"/>
      <x:c r="AF205" s="16"/>
    </x:row>
    <x:row r="206">
      <x:c r="A206" s="16"/>
      <x:c r="B206" s="16"/>
      <x:c r="C206" s="16"/>
      <x:c r="D206" s="16"/>
      <x:c r="E206" s="16"/>
      <x:c r="F206" s="16"/>
      <x:c r="G206" s="16"/>
      <x:c r="H206" s="109"/>
      <x:c r="I206" s="109"/>
      <x:c r="J206" s="16"/>
      <x:c r="K206" s="16"/>
      <x:c r="L206" s="16"/>
      <x:c r="M206" s="16"/>
      <x:c r="N206" s="16"/>
      <x:c r="O206" s="109"/>
      <x:c r="P206" s="109"/>
      <x:c r="Q206" s="16"/>
      <x:c r="R206" s="16"/>
      <x:c r="S206" s="109"/>
      <x:c r="T206" s="16"/>
      <x:c r="U206" s="16"/>
      <x:c r="V206" s="16"/>
      <x:c r="W206" s="18" t="str">
        <x:f>IF(A206="","",IF(H206="","",IF(I206&lt;&gt;"",I206-H206+1,IF(S206&lt;&gt;"",S206-H206+1,""))))</x:f>
      </x:c>
      <x:c r="X206" s="16"/>
      <x:c r="Y206" s="16"/>
      <x:c r="Z206" s="16"/>
      <x:c r="AA206" s="16"/>
      <x:c r="AB206" s="109"/>
      <x:c r="AC206" s="109"/>
      <x:c r="AD206" s="16"/>
      <x:c r="AE206" s="16"/>
      <x:c r="AF206" s="16"/>
    </x:row>
    <x:row r="207">
      <x:c r="A207" s="16"/>
      <x:c r="B207" s="16"/>
      <x:c r="C207" s="16"/>
      <x:c r="D207" s="16"/>
      <x:c r="E207" s="16"/>
      <x:c r="F207" s="16"/>
      <x:c r="G207" s="16"/>
      <x:c r="H207" s="109"/>
      <x:c r="I207" s="109"/>
      <x:c r="J207" s="16"/>
      <x:c r="K207" s="16"/>
      <x:c r="L207" s="16"/>
      <x:c r="M207" s="16"/>
      <x:c r="N207" s="16"/>
      <x:c r="O207" s="109"/>
      <x:c r="P207" s="109"/>
      <x:c r="Q207" s="16"/>
      <x:c r="R207" s="16"/>
      <x:c r="S207" s="109"/>
      <x:c r="T207" s="16"/>
      <x:c r="U207" s="16"/>
      <x:c r="V207" s="16"/>
      <x:c r="W207" s="18" t="str">
        <x:f>IF(A207="","",IF(H207="","",IF(I207&lt;&gt;"",I207-H207+1,IF(S207&lt;&gt;"",S207-H207+1,""))))</x:f>
      </x:c>
      <x:c r="X207" s="16"/>
      <x:c r="Y207" s="16"/>
      <x:c r="Z207" s="16"/>
      <x:c r="AA207" s="16"/>
      <x:c r="AB207" s="109"/>
      <x:c r="AC207" s="109"/>
      <x:c r="AD207" s="16"/>
      <x:c r="AE207" s="16"/>
      <x:c r="AF207" s="16"/>
    </x:row>
    <x:row r="208">
      <x:c r="A208" s="16"/>
      <x:c r="B208" s="16"/>
      <x:c r="C208" s="16"/>
      <x:c r="D208" s="16"/>
      <x:c r="E208" s="16"/>
      <x:c r="F208" s="16"/>
      <x:c r="G208" s="16"/>
      <x:c r="H208" s="109"/>
      <x:c r="I208" s="109"/>
      <x:c r="J208" s="16"/>
      <x:c r="K208" s="16"/>
      <x:c r="L208" s="16"/>
      <x:c r="M208" s="16"/>
      <x:c r="N208" s="16"/>
      <x:c r="O208" s="109"/>
      <x:c r="P208" s="109"/>
      <x:c r="Q208" s="16"/>
      <x:c r="R208" s="16"/>
      <x:c r="S208" s="109"/>
      <x:c r="T208" s="16"/>
      <x:c r="U208" s="16"/>
      <x:c r="V208" s="16"/>
      <x:c r="W208" s="18" t="str">
        <x:f>IF(A208="","",IF(H208="","",IF(I208&lt;&gt;"",I208-H208+1,IF(S208&lt;&gt;"",S208-H208+1,""))))</x:f>
      </x:c>
      <x:c r="X208" s="16"/>
      <x:c r="Y208" s="16"/>
      <x:c r="Z208" s="16"/>
      <x:c r="AA208" s="16"/>
      <x:c r="AB208" s="109"/>
      <x:c r="AC208" s="109"/>
      <x:c r="AD208" s="16"/>
      <x:c r="AE208" s="16"/>
      <x:c r="AF208" s="16"/>
    </x:row>
    <x:row r="209">
      <x:c r="A209" s="16"/>
      <x:c r="B209" s="16"/>
      <x:c r="C209" s="16"/>
      <x:c r="D209" s="16"/>
      <x:c r="E209" s="16"/>
      <x:c r="F209" s="16"/>
      <x:c r="G209" s="16"/>
      <x:c r="H209" s="109"/>
      <x:c r="I209" s="109"/>
      <x:c r="J209" s="16"/>
      <x:c r="K209" s="16"/>
      <x:c r="L209" s="16"/>
      <x:c r="M209" s="16"/>
      <x:c r="N209" s="16"/>
      <x:c r="O209" s="109"/>
      <x:c r="P209" s="109"/>
      <x:c r="Q209" s="16"/>
      <x:c r="R209" s="16"/>
      <x:c r="S209" s="109"/>
      <x:c r="T209" s="16"/>
      <x:c r="U209" s="16"/>
      <x:c r="V209" s="16"/>
      <x:c r="W209" s="18" t="str">
        <x:f>IF(A209="","",IF(H209="","",IF(I209&lt;&gt;"",I209-H209+1,IF(S209&lt;&gt;"",S209-H209+1,""))))</x:f>
      </x:c>
      <x:c r="X209" s="16"/>
      <x:c r="Y209" s="16"/>
      <x:c r="Z209" s="16"/>
      <x:c r="AA209" s="16"/>
      <x:c r="AB209" s="109"/>
      <x:c r="AC209" s="109"/>
      <x:c r="AD209" s="16"/>
      <x:c r="AE209" s="16"/>
      <x:c r="AF209" s="16"/>
    </x:row>
    <x:row r="210">
      <x:c r="A210" s="16"/>
      <x:c r="B210" s="16"/>
      <x:c r="C210" s="16"/>
      <x:c r="D210" s="16"/>
      <x:c r="E210" s="16"/>
      <x:c r="F210" s="16"/>
      <x:c r="G210" s="16"/>
      <x:c r="H210" s="109"/>
      <x:c r="I210" s="109"/>
      <x:c r="J210" s="16"/>
      <x:c r="K210" s="16"/>
      <x:c r="L210" s="16"/>
      <x:c r="M210" s="16"/>
      <x:c r="N210" s="16"/>
      <x:c r="O210" s="109"/>
      <x:c r="P210" s="109"/>
      <x:c r="Q210" s="16"/>
      <x:c r="R210" s="16"/>
      <x:c r="S210" s="109"/>
      <x:c r="T210" s="16"/>
      <x:c r="U210" s="16"/>
      <x:c r="V210" s="16"/>
      <x:c r="W210" s="18" t="str">
        <x:f>IF(A210="","",IF(H210="","",IF(I210&lt;&gt;"",I210-H210+1,IF(S210&lt;&gt;"",S210-H210+1,""))))</x:f>
      </x:c>
      <x:c r="X210" s="16"/>
      <x:c r="Y210" s="16"/>
      <x:c r="Z210" s="16"/>
      <x:c r="AA210" s="16"/>
      <x:c r="AB210" s="109"/>
      <x:c r="AC210" s="109"/>
      <x:c r="AD210" s="16"/>
      <x:c r="AE210" s="16"/>
      <x:c r="AF210" s="16"/>
    </x:row>
    <x:row r="211">
      <x:c r="A211" s="16"/>
      <x:c r="B211" s="16"/>
      <x:c r="C211" s="16"/>
      <x:c r="D211" s="16"/>
      <x:c r="E211" s="16"/>
      <x:c r="F211" s="16"/>
      <x:c r="G211" s="16"/>
      <x:c r="H211" s="109"/>
      <x:c r="I211" s="109"/>
      <x:c r="J211" s="16"/>
      <x:c r="K211" s="16"/>
      <x:c r="L211" s="16"/>
      <x:c r="M211" s="16"/>
      <x:c r="N211" s="16"/>
      <x:c r="O211" s="109"/>
      <x:c r="P211" s="109"/>
      <x:c r="Q211" s="16"/>
      <x:c r="R211" s="16"/>
      <x:c r="S211" s="109"/>
      <x:c r="T211" s="16"/>
      <x:c r="U211" s="16"/>
      <x:c r="V211" s="16"/>
      <x:c r="W211" s="18" t="str">
        <x:f>IF(A211="","",IF(H211="","",IF(I211&lt;&gt;"",I211-H211+1,IF(S211&lt;&gt;"",S211-H211+1,""))))</x:f>
      </x:c>
      <x:c r="X211" s="16"/>
      <x:c r="Y211" s="16"/>
      <x:c r="Z211" s="16"/>
      <x:c r="AA211" s="16"/>
      <x:c r="AB211" s="109"/>
      <x:c r="AC211" s="109"/>
      <x:c r="AD211" s="16"/>
      <x:c r="AE211" s="16"/>
      <x:c r="AF211" s="16"/>
    </x:row>
    <x:row r="212">
      <x:c r="A212" s="16"/>
      <x:c r="B212" s="16"/>
      <x:c r="C212" s="16"/>
      <x:c r="D212" s="16"/>
      <x:c r="E212" s="16"/>
      <x:c r="F212" s="16"/>
      <x:c r="G212" s="16"/>
      <x:c r="H212" s="109"/>
      <x:c r="I212" s="109"/>
      <x:c r="J212" s="16"/>
      <x:c r="K212" s="16"/>
      <x:c r="L212" s="16"/>
      <x:c r="M212" s="16"/>
      <x:c r="N212" s="16"/>
      <x:c r="O212" s="109"/>
      <x:c r="P212" s="109"/>
      <x:c r="Q212" s="16"/>
      <x:c r="R212" s="16"/>
      <x:c r="S212" s="109"/>
      <x:c r="T212" s="16"/>
      <x:c r="U212" s="16"/>
      <x:c r="V212" s="16"/>
      <x:c r="W212" s="18" t="str">
        <x:f>IF(A212="","",IF(H212="","",IF(I212&lt;&gt;"",I212-H212+1,IF(S212&lt;&gt;"",S212-H212+1,""))))</x:f>
      </x:c>
      <x:c r="X212" s="16"/>
      <x:c r="Y212" s="16"/>
      <x:c r="Z212" s="16"/>
      <x:c r="AA212" s="16"/>
      <x:c r="AB212" s="109"/>
      <x:c r="AC212" s="109"/>
      <x:c r="AD212" s="16"/>
      <x:c r="AE212" s="16"/>
      <x:c r="AF212" s="16"/>
    </x:row>
    <x:row r="213">
      <x:c r="A213" s="16"/>
      <x:c r="B213" s="16"/>
      <x:c r="C213" s="16"/>
      <x:c r="D213" s="16"/>
      <x:c r="E213" s="16"/>
      <x:c r="F213" s="16"/>
      <x:c r="G213" s="16"/>
      <x:c r="H213" s="109"/>
      <x:c r="I213" s="109"/>
      <x:c r="J213" s="16"/>
      <x:c r="K213" s="16"/>
      <x:c r="L213" s="16"/>
      <x:c r="M213" s="16"/>
      <x:c r="N213" s="16"/>
      <x:c r="O213" s="109"/>
      <x:c r="P213" s="109"/>
      <x:c r="Q213" s="16"/>
      <x:c r="R213" s="16"/>
      <x:c r="S213" s="109"/>
      <x:c r="T213" s="16"/>
      <x:c r="U213" s="16"/>
      <x:c r="V213" s="16"/>
      <x:c r="W213" s="18" t="str">
        <x:f>IF(A213="","",IF(H213="","",IF(I213&lt;&gt;"",I213-H213+1,IF(S213&lt;&gt;"",S213-H213+1,""))))</x:f>
      </x:c>
      <x:c r="X213" s="16"/>
      <x:c r="Y213" s="16"/>
      <x:c r="Z213" s="16"/>
      <x:c r="AA213" s="16"/>
      <x:c r="AB213" s="109"/>
      <x:c r="AC213" s="109"/>
      <x:c r="AD213" s="16"/>
      <x:c r="AE213" s="16"/>
      <x:c r="AF213" s="16"/>
    </x:row>
    <x:row r="214">
      <x:c r="A214" s="16"/>
      <x:c r="B214" s="16"/>
      <x:c r="C214" s="16"/>
      <x:c r="D214" s="16"/>
      <x:c r="E214" s="16"/>
      <x:c r="F214" s="16"/>
      <x:c r="G214" s="16"/>
      <x:c r="H214" s="109"/>
      <x:c r="I214" s="109"/>
      <x:c r="J214" s="16"/>
      <x:c r="K214" s="16"/>
      <x:c r="L214" s="16"/>
      <x:c r="M214" s="16"/>
      <x:c r="N214" s="16"/>
      <x:c r="O214" s="109"/>
      <x:c r="P214" s="109"/>
      <x:c r="Q214" s="16"/>
      <x:c r="R214" s="16"/>
      <x:c r="S214" s="109"/>
      <x:c r="T214" s="16"/>
      <x:c r="U214" s="16"/>
      <x:c r="V214" s="16"/>
      <x:c r="W214" s="18" t="str">
        <x:f>IF(A214="","",IF(H214="","",IF(I214&lt;&gt;"",I214-H214+1,IF(S214&lt;&gt;"",S214-H214+1,""))))</x:f>
      </x:c>
      <x:c r="X214" s="16"/>
      <x:c r="Y214" s="16"/>
      <x:c r="Z214" s="16"/>
      <x:c r="AA214" s="16"/>
      <x:c r="AB214" s="109"/>
      <x:c r="AC214" s="109"/>
      <x:c r="AD214" s="16"/>
      <x:c r="AE214" s="16"/>
      <x:c r="AF214" s="16"/>
    </x:row>
    <x:row r="215">
      <x:c r="A215" s="16"/>
      <x:c r="B215" s="16"/>
      <x:c r="C215" s="16"/>
      <x:c r="D215" s="16"/>
      <x:c r="E215" s="16"/>
      <x:c r="F215" s="16"/>
      <x:c r="G215" s="16"/>
      <x:c r="H215" s="109"/>
      <x:c r="I215" s="109"/>
      <x:c r="J215" s="16"/>
      <x:c r="K215" s="16"/>
      <x:c r="L215" s="16"/>
      <x:c r="M215" s="16"/>
      <x:c r="N215" s="16"/>
      <x:c r="O215" s="109"/>
      <x:c r="P215" s="109"/>
      <x:c r="Q215" s="16"/>
      <x:c r="R215" s="16"/>
      <x:c r="S215" s="109"/>
      <x:c r="T215" s="16"/>
      <x:c r="U215" s="16"/>
      <x:c r="V215" s="16"/>
      <x:c r="W215" s="18" t="str">
        <x:f>IF(A215="","",IF(H215="","",IF(I215&lt;&gt;"",I215-H215+1,IF(S215&lt;&gt;"",S215-H215+1,""))))</x:f>
      </x:c>
      <x:c r="X215" s="16"/>
      <x:c r="Y215" s="16"/>
      <x:c r="Z215" s="16"/>
      <x:c r="AA215" s="16"/>
      <x:c r="AB215" s="109"/>
      <x:c r="AC215" s="109"/>
      <x:c r="AD215" s="16"/>
      <x:c r="AE215" s="16"/>
      <x:c r="AF215" s="16"/>
    </x:row>
    <x:row r="216">
      <x:c r="A216" s="16"/>
      <x:c r="B216" s="16"/>
      <x:c r="C216" s="16"/>
      <x:c r="D216" s="16"/>
      <x:c r="E216" s="16"/>
      <x:c r="F216" s="16"/>
      <x:c r="G216" s="16"/>
      <x:c r="H216" s="109"/>
      <x:c r="I216" s="109"/>
      <x:c r="J216" s="16"/>
      <x:c r="K216" s="16"/>
      <x:c r="L216" s="16"/>
      <x:c r="M216" s="16"/>
      <x:c r="N216" s="16"/>
      <x:c r="O216" s="109"/>
      <x:c r="P216" s="109"/>
      <x:c r="Q216" s="16"/>
      <x:c r="R216" s="16"/>
      <x:c r="S216" s="109"/>
      <x:c r="T216" s="16"/>
      <x:c r="U216" s="16"/>
      <x:c r="V216" s="16"/>
      <x:c r="W216" s="18" t="str">
        <x:f>IF(A216="","",IF(H216="","",IF(I216&lt;&gt;"",I216-H216+1,IF(S216&lt;&gt;"",S216-H216+1,""))))</x:f>
      </x:c>
      <x:c r="X216" s="16"/>
      <x:c r="Y216" s="16"/>
      <x:c r="Z216" s="16"/>
      <x:c r="AA216" s="16"/>
      <x:c r="AB216" s="109"/>
      <x:c r="AC216" s="109"/>
      <x:c r="AD216" s="16"/>
      <x:c r="AE216" s="16"/>
      <x:c r="AF216" s="16"/>
    </x:row>
    <x:row r="217">
      <x:c r="A217" s="16"/>
      <x:c r="B217" s="16"/>
      <x:c r="C217" s="16"/>
      <x:c r="D217" s="16"/>
      <x:c r="E217" s="16"/>
      <x:c r="F217" s="16"/>
      <x:c r="G217" s="16"/>
      <x:c r="H217" s="109"/>
      <x:c r="I217" s="109"/>
      <x:c r="J217" s="16"/>
      <x:c r="K217" s="16"/>
      <x:c r="L217" s="16"/>
      <x:c r="M217" s="16"/>
      <x:c r="N217" s="16"/>
      <x:c r="O217" s="109"/>
      <x:c r="P217" s="109"/>
      <x:c r="Q217" s="16"/>
      <x:c r="R217" s="16"/>
      <x:c r="S217" s="109"/>
      <x:c r="T217" s="16"/>
      <x:c r="U217" s="16"/>
      <x:c r="V217" s="16"/>
      <x:c r="W217" s="18" t="str">
        <x:f>IF(A217="","",IF(H217="","",IF(I217&lt;&gt;"",I217-H217+1,IF(S217&lt;&gt;"",S217-H217+1,""))))</x:f>
      </x:c>
      <x:c r="X217" s="16"/>
      <x:c r="Y217" s="16"/>
      <x:c r="Z217" s="16"/>
      <x:c r="AA217" s="16"/>
      <x:c r="AB217" s="109"/>
      <x:c r="AC217" s="109"/>
      <x:c r="AD217" s="16"/>
      <x:c r="AE217" s="16"/>
      <x:c r="AF217" s="16"/>
    </x:row>
    <x:row r="218">
      <x:c r="A218" s="16"/>
      <x:c r="B218" s="16"/>
      <x:c r="C218" s="16"/>
      <x:c r="D218" s="16"/>
      <x:c r="E218" s="16"/>
      <x:c r="F218" s="16"/>
      <x:c r="G218" s="16"/>
      <x:c r="H218" s="109"/>
      <x:c r="I218" s="109"/>
      <x:c r="J218" s="16"/>
      <x:c r="K218" s="16"/>
      <x:c r="L218" s="16"/>
      <x:c r="M218" s="16"/>
      <x:c r="N218" s="16"/>
      <x:c r="O218" s="109"/>
      <x:c r="P218" s="109"/>
      <x:c r="Q218" s="16"/>
      <x:c r="R218" s="16"/>
      <x:c r="S218" s="109"/>
      <x:c r="T218" s="16"/>
      <x:c r="U218" s="16"/>
      <x:c r="V218" s="16"/>
      <x:c r="W218" s="18" t="str">
        <x:f>IF(A218="","",IF(H218="","",IF(I218&lt;&gt;"",I218-H218+1,IF(S218&lt;&gt;"",S218-H218+1,""))))</x:f>
      </x:c>
      <x:c r="X218" s="16"/>
      <x:c r="Y218" s="16"/>
      <x:c r="Z218" s="16"/>
      <x:c r="AA218" s="16"/>
      <x:c r="AB218" s="109"/>
      <x:c r="AC218" s="109"/>
      <x:c r="AD218" s="16"/>
      <x:c r="AE218" s="16"/>
      <x:c r="AF218" s="16"/>
    </x:row>
    <x:row r="219">
      <x:c r="A219" s="16"/>
      <x:c r="B219" s="16"/>
      <x:c r="C219" s="16"/>
      <x:c r="D219" s="16"/>
      <x:c r="E219" s="16"/>
      <x:c r="F219" s="16"/>
      <x:c r="G219" s="16"/>
      <x:c r="H219" s="109"/>
      <x:c r="I219" s="109"/>
      <x:c r="J219" s="16"/>
      <x:c r="K219" s="16"/>
      <x:c r="L219" s="16"/>
      <x:c r="M219" s="16"/>
      <x:c r="N219" s="16"/>
      <x:c r="O219" s="109"/>
      <x:c r="P219" s="109"/>
      <x:c r="Q219" s="16"/>
      <x:c r="R219" s="16"/>
      <x:c r="S219" s="109"/>
      <x:c r="T219" s="16"/>
      <x:c r="U219" s="16"/>
      <x:c r="V219" s="16"/>
      <x:c r="W219" s="18" t="str">
        <x:f>IF(A219="","",IF(H219="","",IF(I219&lt;&gt;"",I219-H219+1,IF(S219&lt;&gt;"",S219-H219+1,""))))</x:f>
      </x:c>
      <x:c r="X219" s="16"/>
      <x:c r="Y219" s="16"/>
      <x:c r="Z219" s="16"/>
      <x:c r="AA219" s="16"/>
      <x:c r="AB219" s="109"/>
      <x:c r="AC219" s="109"/>
      <x:c r="AD219" s="16"/>
      <x:c r="AE219" s="16"/>
      <x:c r="AF219" s="16"/>
    </x:row>
    <x:row r="220">
      <x:c r="A220" s="16"/>
      <x:c r="B220" s="16"/>
      <x:c r="C220" s="16"/>
      <x:c r="D220" s="16"/>
      <x:c r="E220" s="16"/>
      <x:c r="F220" s="16"/>
      <x:c r="G220" s="16"/>
      <x:c r="H220" s="109"/>
      <x:c r="I220" s="109"/>
      <x:c r="J220" s="16"/>
      <x:c r="K220" s="16"/>
      <x:c r="L220" s="16"/>
      <x:c r="M220" s="16"/>
      <x:c r="N220" s="16"/>
      <x:c r="O220" s="109"/>
      <x:c r="P220" s="109"/>
      <x:c r="Q220" s="16"/>
      <x:c r="R220" s="16"/>
      <x:c r="S220" s="109"/>
      <x:c r="T220" s="16"/>
      <x:c r="U220" s="16"/>
      <x:c r="V220" s="16"/>
      <x:c r="W220" s="18" t="str">
        <x:f>IF(A220="","",IF(H220="","",IF(I220&lt;&gt;"",I220-H220+1,IF(S220&lt;&gt;"",S220-H220+1,""))))</x:f>
      </x:c>
      <x:c r="X220" s="16"/>
      <x:c r="Y220" s="16"/>
      <x:c r="Z220" s="16"/>
      <x:c r="AA220" s="16"/>
      <x:c r="AB220" s="109"/>
      <x:c r="AC220" s="109"/>
      <x:c r="AD220" s="16"/>
      <x:c r="AE220" s="16"/>
      <x:c r="AF220" s="16"/>
    </x:row>
    <x:row r="221">
      <x:c r="A221" s="16"/>
      <x:c r="B221" s="16"/>
      <x:c r="C221" s="16"/>
      <x:c r="D221" s="16"/>
      <x:c r="E221" s="16"/>
      <x:c r="F221" s="16"/>
      <x:c r="G221" s="16"/>
      <x:c r="H221" s="109"/>
      <x:c r="I221" s="109"/>
      <x:c r="J221" s="16"/>
      <x:c r="K221" s="16"/>
      <x:c r="L221" s="16"/>
      <x:c r="M221" s="16"/>
      <x:c r="N221" s="16"/>
      <x:c r="O221" s="109"/>
      <x:c r="P221" s="109"/>
      <x:c r="Q221" s="16"/>
      <x:c r="R221" s="16"/>
      <x:c r="S221" s="109"/>
      <x:c r="T221" s="16"/>
      <x:c r="U221" s="16"/>
      <x:c r="V221" s="16"/>
      <x:c r="W221" s="18" t="str">
        <x:f>IF(A221="","",IF(H221="","",IF(I221&lt;&gt;"",I221-H221+1,IF(S221&lt;&gt;"",S221-H221+1,""))))</x:f>
      </x:c>
      <x:c r="X221" s="16"/>
      <x:c r="Y221" s="16"/>
      <x:c r="Z221" s="16"/>
      <x:c r="AA221" s="16"/>
      <x:c r="AB221" s="109"/>
      <x:c r="AC221" s="109"/>
      <x:c r="AD221" s="16"/>
      <x:c r="AE221" s="16"/>
      <x:c r="AF221" s="16"/>
    </x:row>
    <x:row r="222">
      <x:c r="A222" s="16"/>
      <x:c r="B222" s="16"/>
      <x:c r="C222" s="16"/>
      <x:c r="D222" s="16"/>
      <x:c r="E222" s="16"/>
      <x:c r="F222" s="16"/>
      <x:c r="G222" s="16"/>
      <x:c r="H222" s="109"/>
      <x:c r="I222" s="109"/>
      <x:c r="J222" s="16"/>
      <x:c r="K222" s="16"/>
      <x:c r="L222" s="16"/>
      <x:c r="M222" s="16"/>
      <x:c r="N222" s="16"/>
      <x:c r="O222" s="109"/>
      <x:c r="P222" s="109"/>
      <x:c r="Q222" s="16"/>
      <x:c r="R222" s="16"/>
      <x:c r="S222" s="109"/>
      <x:c r="T222" s="16"/>
      <x:c r="U222" s="16"/>
      <x:c r="V222" s="16"/>
      <x:c r="W222" s="18" t="str">
        <x:f>IF(A222="","",IF(H222="","",IF(I222&lt;&gt;"",I222-H222+1,IF(S222&lt;&gt;"",S222-H222+1,""))))</x:f>
      </x:c>
      <x:c r="X222" s="16"/>
      <x:c r="Y222" s="16"/>
      <x:c r="Z222" s="16"/>
      <x:c r="AA222" s="16"/>
      <x:c r="AB222" s="109"/>
      <x:c r="AC222" s="109"/>
      <x:c r="AD222" s="16"/>
      <x:c r="AE222" s="16"/>
      <x:c r="AF222" s="16"/>
    </x:row>
    <x:row r="223">
      <x:c r="A223" s="16"/>
      <x:c r="B223" s="16"/>
      <x:c r="C223" s="16"/>
      <x:c r="D223" s="16"/>
      <x:c r="E223" s="16"/>
      <x:c r="F223" s="16"/>
      <x:c r="G223" s="16"/>
      <x:c r="H223" s="109"/>
      <x:c r="I223" s="109"/>
      <x:c r="J223" s="16"/>
      <x:c r="K223" s="16"/>
      <x:c r="L223" s="16"/>
      <x:c r="M223" s="16"/>
      <x:c r="N223" s="16"/>
      <x:c r="O223" s="109"/>
      <x:c r="P223" s="109"/>
      <x:c r="Q223" s="16"/>
      <x:c r="R223" s="16"/>
      <x:c r="S223" s="109"/>
      <x:c r="T223" s="16"/>
      <x:c r="U223" s="16"/>
      <x:c r="V223" s="16"/>
      <x:c r="W223" s="18" t="str">
        <x:f>IF(A223="","",IF(H223="","",IF(I223&lt;&gt;"",I223-H223+1,IF(S223&lt;&gt;"",S223-H223+1,""))))</x:f>
      </x:c>
      <x:c r="X223" s="16"/>
      <x:c r="Y223" s="16"/>
      <x:c r="Z223" s="16"/>
      <x:c r="AA223" s="16"/>
      <x:c r="AB223" s="109"/>
      <x:c r="AC223" s="109"/>
      <x:c r="AD223" s="16"/>
      <x:c r="AE223" s="16"/>
      <x:c r="AF223" s="16"/>
    </x:row>
    <x:row r="224">
      <x:c r="A224" s="16"/>
      <x:c r="B224" s="16"/>
      <x:c r="C224" s="16"/>
      <x:c r="D224" s="16"/>
      <x:c r="E224" s="16"/>
      <x:c r="F224" s="16"/>
      <x:c r="G224" s="16"/>
      <x:c r="H224" s="109"/>
      <x:c r="I224" s="109"/>
      <x:c r="J224" s="16"/>
      <x:c r="K224" s="16"/>
      <x:c r="L224" s="16"/>
      <x:c r="M224" s="16"/>
      <x:c r="N224" s="16"/>
      <x:c r="O224" s="109"/>
      <x:c r="P224" s="109"/>
      <x:c r="Q224" s="16"/>
      <x:c r="R224" s="16"/>
      <x:c r="S224" s="109"/>
      <x:c r="T224" s="16"/>
      <x:c r="U224" s="16"/>
      <x:c r="V224" s="16"/>
      <x:c r="W224" s="18" t="str">
        <x:f>IF(A224="","",IF(H224="","",IF(I224&lt;&gt;"",I224-H224+1,IF(S224&lt;&gt;"",S224-H224+1,""))))</x:f>
      </x:c>
      <x:c r="X224" s="16"/>
      <x:c r="Y224" s="16"/>
      <x:c r="Z224" s="16"/>
      <x:c r="AA224" s="16"/>
      <x:c r="AB224" s="109"/>
      <x:c r="AC224" s="109"/>
      <x:c r="AD224" s="16"/>
      <x:c r="AE224" s="16"/>
      <x:c r="AF224" s="16"/>
    </x:row>
    <x:row r="225">
      <x:c r="A225" s="16"/>
      <x:c r="B225" s="16"/>
      <x:c r="C225" s="16"/>
      <x:c r="D225" s="16"/>
      <x:c r="E225" s="16"/>
      <x:c r="F225" s="16"/>
      <x:c r="G225" s="16"/>
      <x:c r="H225" s="109"/>
      <x:c r="I225" s="109"/>
      <x:c r="J225" s="16"/>
      <x:c r="K225" s="16"/>
      <x:c r="L225" s="16"/>
      <x:c r="M225" s="16"/>
      <x:c r="N225" s="16"/>
      <x:c r="O225" s="109"/>
      <x:c r="P225" s="109"/>
      <x:c r="Q225" s="16"/>
      <x:c r="R225" s="16"/>
      <x:c r="S225" s="109"/>
      <x:c r="T225" s="16"/>
      <x:c r="U225" s="16"/>
      <x:c r="V225" s="16"/>
      <x:c r="W225" s="18" t="str">
        <x:f>IF(A225="","",IF(H225="","",IF(I225&lt;&gt;"",I225-H225+1,IF(S225&lt;&gt;"",S225-H225+1,""))))</x:f>
      </x:c>
      <x:c r="X225" s="16"/>
      <x:c r="Y225" s="16"/>
      <x:c r="Z225" s="16"/>
      <x:c r="AA225" s="16"/>
      <x:c r="AB225" s="109"/>
      <x:c r="AC225" s="109"/>
      <x:c r="AD225" s="16"/>
      <x:c r="AE225" s="16"/>
      <x:c r="AF225" s="16"/>
    </x:row>
    <x:row r="226">
      <x:c r="A226" s="16"/>
      <x:c r="B226" s="16"/>
      <x:c r="C226" s="16"/>
      <x:c r="D226" s="16"/>
      <x:c r="E226" s="16"/>
      <x:c r="F226" s="16"/>
      <x:c r="G226" s="16"/>
      <x:c r="H226" s="109"/>
      <x:c r="I226" s="109"/>
      <x:c r="J226" s="16"/>
      <x:c r="K226" s="16"/>
      <x:c r="L226" s="16"/>
      <x:c r="M226" s="16"/>
      <x:c r="N226" s="16"/>
      <x:c r="O226" s="109"/>
      <x:c r="P226" s="109"/>
      <x:c r="Q226" s="16"/>
      <x:c r="R226" s="16"/>
      <x:c r="S226" s="109"/>
      <x:c r="T226" s="16"/>
      <x:c r="U226" s="16"/>
      <x:c r="V226" s="16"/>
      <x:c r="W226" s="18" t="str">
        <x:f>IF(A226="","",IF(H226="","",IF(I226&lt;&gt;"",I226-H226+1,IF(S226&lt;&gt;"",S226-H226+1,""))))</x:f>
      </x:c>
      <x:c r="X226" s="16"/>
      <x:c r="Y226" s="16"/>
      <x:c r="Z226" s="16"/>
      <x:c r="AA226" s="16"/>
      <x:c r="AB226" s="109"/>
      <x:c r="AC226" s="109"/>
      <x:c r="AD226" s="16"/>
      <x:c r="AE226" s="16"/>
      <x:c r="AF226" s="16"/>
    </x:row>
    <x:row r="227">
      <x:c r="A227" s="16"/>
      <x:c r="B227" s="16"/>
      <x:c r="C227" s="16"/>
      <x:c r="D227" s="16"/>
      <x:c r="E227" s="16"/>
      <x:c r="F227" s="16"/>
      <x:c r="G227" s="16"/>
      <x:c r="H227" s="109"/>
      <x:c r="I227" s="109"/>
      <x:c r="J227" s="16"/>
      <x:c r="K227" s="16"/>
      <x:c r="L227" s="16"/>
      <x:c r="M227" s="16"/>
      <x:c r="N227" s="16"/>
      <x:c r="O227" s="109"/>
      <x:c r="P227" s="109"/>
      <x:c r="Q227" s="16"/>
      <x:c r="R227" s="16"/>
      <x:c r="S227" s="109"/>
      <x:c r="T227" s="16"/>
      <x:c r="U227" s="16"/>
      <x:c r="V227" s="16"/>
      <x:c r="W227" s="18" t="str">
        <x:f>IF(A227="","",IF(H227="","",IF(I227&lt;&gt;"",I227-H227+1,IF(S227&lt;&gt;"",S227-H227+1,""))))</x:f>
      </x:c>
      <x:c r="X227" s="16"/>
      <x:c r="Y227" s="16"/>
      <x:c r="Z227" s="16"/>
      <x:c r="AA227" s="16"/>
      <x:c r="AB227" s="109"/>
      <x:c r="AC227" s="109"/>
      <x:c r="AD227" s="16"/>
      <x:c r="AE227" s="16"/>
      <x:c r="AF227" s="16"/>
    </x:row>
    <x:row r="228">
      <x:c r="A228" s="16"/>
      <x:c r="B228" s="16"/>
      <x:c r="C228" s="16"/>
      <x:c r="D228" s="16"/>
      <x:c r="E228" s="16"/>
      <x:c r="F228" s="16"/>
      <x:c r="G228" s="16"/>
      <x:c r="H228" s="109"/>
      <x:c r="I228" s="109"/>
      <x:c r="J228" s="16"/>
      <x:c r="K228" s="16"/>
      <x:c r="L228" s="16"/>
      <x:c r="M228" s="16"/>
      <x:c r="N228" s="16"/>
      <x:c r="O228" s="109"/>
      <x:c r="P228" s="109"/>
      <x:c r="Q228" s="16"/>
      <x:c r="R228" s="16"/>
      <x:c r="S228" s="109"/>
      <x:c r="T228" s="16"/>
      <x:c r="U228" s="16"/>
      <x:c r="V228" s="16"/>
      <x:c r="W228" s="18" t="str">
        <x:f>IF(A228="","",IF(H228="","",IF(I228&lt;&gt;"",I228-H228+1,IF(S228&lt;&gt;"",S228-H228+1,""))))</x:f>
      </x:c>
      <x:c r="X228" s="16"/>
      <x:c r="Y228" s="16"/>
      <x:c r="Z228" s="16"/>
      <x:c r="AA228" s="16"/>
      <x:c r="AB228" s="109"/>
      <x:c r="AC228" s="109"/>
      <x:c r="AD228" s="16"/>
      <x:c r="AE228" s="16"/>
      <x:c r="AF228" s="16"/>
    </x:row>
    <x:row r="229">
      <x:c r="A229" s="16"/>
      <x:c r="B229" s="16"/>
      <x:c r="C229" s="16"/>
      <x:c r="D229" s="16"/>
      <x:c r="E229" s="16"/>
      <x:c r="F229" s="16"/>
      <x:c r="G229" s="16"/>
      <x:c r="H229" s="109"/>
      <x:c r="I229" s="109"/>
      <x:c r="J229" s="16"/>
      <x:c r="K229" s="16"/>
      <x:c r="L229" s="16"/>
      <x:c r="M229" s="16"/>
      <x:c r="N229" s="16"/>
      <x:c r="O229" s="109"/>
      <x:c r="P229" s="109"/>
      <x:c r="Q229" s="16"/>
      <x:c r="R229" s="16"/>
      <x:c r="S229" s="109"/>
      <x:c r="T229" s="16"/>
      <x:c r="U229" s="16"/>
      <x:c r="V229" s="16"/>
      <x:c r="W229" s="18" t="str">
        <x:f>IF(A229="","",IF(H229="","",IF(I229&lt;&gt;"",I229-H229+1,IF(S229&lt;&gt;"",S229-H229+1,""))))</x:f>
      </x:c>
      <x:c r="X229" s="16"/>
      <x:c r="Y229" s="16"/>
      <x:c r="Z229" s="16"/>
      <x:c r="AA229" s="16"/>
      <x:c r="AB229" s="109"/>
      <x:c r="AC229" s="109"/>
      <x:c r="AD229" s="16"/>
      <x:c r="AE229" s="16"/>
      <x:c r="AF229" s="16"/>
    </x:row>
    <x:row r="230">
      <x:c r="A230" s="16"/>
      <x:c r="B230" s="16"/>
      <x:c r="C230" s="16"/>
      <x:c r="D230" s="16"/>
      <x:c r="E230" s="16"/>
      <x:c r="F230" s="16"/>
      <x:c r="G230" s="16"/>
      <x:c r="H230" s="109"/>
      <x:c r="I230" s="109"/>
      <x:c r="J230" s="16"/>
      <x:c r="K230" s="16"/>
      <x:c r="L230" s="16"/>
      <x:c r="M230" s="16"/>
      <x:c r="N230" s="16"/>
      <x:c r="O230" s="109"/>
      <x:c r="P230" s="109"/>
      <x:c r="Q230" s="16"/>
      <x:c r="R230" s="16"/>
      <x:c r="S230" s="109"/>
      <x:c r="T230" s="16"/>
      <x:c r="U230" s="16"/>
      <x:c r="V230" s="16"/>
      <x:c r="W230" s="18" t="str">
        <x:f>IF(A230="","",IF(H230="","",IF(I230&lt;&gt;"",I230-H230+1,IF(S230&lt;&gt;"",S230-H230+1,""))))</x:f>
      </x:c>
      <x:c r="X230" s="16"/>
      <x:c r="Y230" s="16"/>
      <x:c r="Z230" s="16"/>
      <x:c r="AA230" s="16"/>
      <x:c r="AB230" s="109"/>
      <x:c r="AC230" s="109"/>
      <x:c r="AD230" s="16"/>
      <x:c r="AE230" s="16"/>
      <x:c r="AF230" s="16"/>
    </x:row>
    <x:row r="231">
      <x:c r="A231" s="16"/>
      <x:c r="B231" s="16"/>
      <x:c r="C231" s="16"/>
      <x:c r="D231" s="16"/>
      <x:c r="E231" s="16"/>
      <x:c r="F231" s="16"/>
      <x:c r="G231" s="16"/>
      <x:c r="H231" s="109"/>
      <x:c r="I231" s="109"/>
      <x:c r="J231" s="16"/>
      <x:c r="K231" s="16"/>
      <x:c r="L231" s="16"/>
      <x:c r="M231" s="16"/>
      <x:c r="N231" s="16"/>
      <x:c r="O231" s="109"/>
      <x:c r="P231" s="109"/>
      <x:c r="Q231" s="16"/>
      <x:c r="R231" s="16"/>
      <x:c r="S231" s="109"/>
      <x:c r="T231" s="16"/>
      <x:c r="U231" s="16"/>
      <x:c r="V231" s="16"/>
      <x:c r="W231" s="18" t="str">
        <x:f>IF(A231="","",IF(H231="","",IF(I231&lt;&gt;"",I231-H231+1,IF(S231&lt;&gt;"",S231-H231+1,""))))</x:f>
      </x:c>
      <x:c r="X231" s="16"/>
      <x:c r="Y231" s="16"/>
      <x:c r="Z231" s="16"/>
      <x:c r="AA231" s="16"/>
      <x:c r="AB231" s="109"/>
      <x:c r="AC231" s="109"/>
      <x:c r="AD231" s="16"/>
      <x:c r="AE231" s="16"/>
      <x:c r="AF231" s="16"/>
    </x:row>
    <x:row r="232">
      <x:c r="A232" s="16"/>
      <x:c r="B232" s="16"/>
      <x:c r="C232" s="16"/>
      <x:c r="D232" s="16"/>
      <x:c r="E232" s="16"/>
      <x:c r="F232" s="16"/>
      <x:c r="G232" s="16"/>
      <x:c r="H232" s="109"/>
      <x:c r="I232" s="109"/>
      <x:c r="J232" s="16"/>
      <x:c r="K232" s="16"/>
      <x:c r="L232" s="16"/>
      <x:c r="M232" s="16"/>
      <x:c r="N232" s="16"/>
      <x:c r="O232" s="109"/>
      <x:c r="P232" s="109"/>
      <x:c r="Q232" s="16"/>
      <x:c r="R232" s="16"/>
      <x:c r="S232" s="109"/>
      <x:c r="T232" s="16"/>
      <x:c r="U232" s="16"/>
      <x:c r="V232" s="16"/>
      <x:c r="W232" s="18" t="str">
        <x:f>IF(A232="","",IF(H232="","",IF(I232&lt;&gt;"",I232-H232+1,IF(S232&lt;&gt;"",S232-H232+1,""))))</x:f>
      </x:c>
      <x:c r="X232" s="16"/>
      <x:c r="Y232" s="16"/>
      <x:c r="Z232" s="16"/>
      <x:c r="AA232" s="16"/>
      <x:c r="AB232" s="109"/>
      <x:c r="AC232" s="109"/>
      <x:c r="AD232" s="16"/>
      <x:c r="AE232" s="16"/>
      <x:c r="AF232" s="16"/>
    </x:row>
    <x:row r="233">
      <x:c r="A233" s="16"/>
      <x:c r="B233" s="16"/>
      <x:c r="C233" s="16"/>
      <x:c r="D233" s="16"/>
      <x:c r="E233" s="16"/>
      <x:c r="F233" s="16"/>
      <x:c r="G233" s="16"/>
      <x:c r="H233" s="109"/>
      <x:c r="I233" s="109"/>
      <x:c r="J233" s="16"/>
      <x:c r="K233" s="16"/>
      <x:c r="L233" s="16"/>
      <x:c r="M233" s="16"/>
      <x:c r="N233" s="16"/>
      <x:c r="O233" s="109"/>
      <x:c r="P233" s="109"/>
      <x:c r="Q233" s="16"/>
      <x:c r="R233" s="16"/>
      <x:c r="S233" s="109"/>
      <x:c r="T233" s="16"/>
      <x:c r="U233" s="16"/>
      <x:c r="V233" s="16"/>
      <x:c r="W233" s="18" t="str">
        <x:f>IF(A233="","",IF(H233="","",IF(I233&lt;&gt;"",I233-H233+1,IF(S233&lt;&gt;"",S233-H233+1,""))))</x:f>
      </x:c>
      <x:c r="X233" s="16"/>
      <x:c r="Y233" s="16"/>
      <x:c r="Z233" s="16"/>
      <x:c r="AA233" s="16"/>
      <x:c r="AB233" s="109"/>
      <x:c r="AC233" s="109"/>
      <x:c r="AD233" s="16"/>
      <x:c r="AE233" s="16"/>
      <x:c r="AF233" s="16"/>
    </x:row>
    <x:row r="234">
      <x:c r="A234" s="16"/>
      <x:c r="B234" s="16"/>
      <x:c r="C234" s="16"/>
      <x:c r="D234" s="16"/>
      <x:c r="E234" s="16"/>
      <x:c r="F234" s="16"/>
      <x:c r="G234" s="16"/>
      <x:c r="H234" s="109"/>
      <x:c r="I234" s="109"/>
      <x:c r="J234" s="16"/>
      <x:c r="K234" s="16"/>
      <x:c r="L234" s="16"/>
      <x:c r="M234" s="16"/>
      <x:c r="N234" s="16"/>
      <x:c r="O234" s="109"/>
      <x:c r="P234" s="109"/>
      <x:c r="Q234" s="16"/>
      <x:c r="R234" s="16"/>
      <x:c r="S234" s="109"/>
      <x:c r="T234" s="16"/>
      <x:c r="U234" s="16"/>
      <x:c r="V234" s="16"/>
      <x:c r="W234" s="18" t="str">
        <x:f>IF(A234="","",IF(H234="","",IF(I234&lt;&gt;"",I234-H234+1,IF(S234&lt;&gt;"",S234-H234+1,""))))</x:f>
      </x:c>
      <x:c r="X234" s="16"/>
      <x:c r="Y234" s="16"/>
      <x:c r="Z234" s="16"/>
      <x:c r="AA234" s="16"/>
      <x:c r="AB234" s="109"/>
      <x:c r="AC234" s="109"/>
      <x:c r="AD234" s="16"/>
      <x:c r="AE234" s="16"/>
      <x:c r="AF234" s="16"/>
    </x:row>
    <x:row r="235">
      <x:c r="A235" s="16"/>
      <x:c r="B235" s="16"/>
      <x:c r="C235" s="16"/>
      <x:c r="D235" s="16"/>
      <x:c r="E235" s="16"/>
      <x:c r="F235" s="16"/>
      <x:c r="G235" s="16"/>
      <x:c r="H235" s="109"/>
      <x:c r="I235" s="109"/>
      <x:c r="J235" s="16"/>
      <x:c r="K235" s="16"/>
      <x:c r="L235" s="16"/>
      <x:c r="M235" s="16"/>
      <x:c r="N235" s="16"/>
      <x:c r="O235" s="109"/>
      <x:c r="P235" s="109"/>
      <x:c r="Q235" s="16"/>
      <x:c r="R235" s="16"/>
      <x:c r="S235" s="109"/>
      <x:c r="T235" s="16"/>
      <x:c r="U235" s="16"/>
      <x:c r="V235" s="16"/>
      <x:c r="W235" s="18" t="str">
        <x:f>IF(A235="","",IF(H235="","",IF(I235&lt;&gt;"",I235-H235+1,IF(S235&lt;&gt;"",S235-H235+1,""))))</x:f>
      </x:c>
      <x:c r="X235" s="16"/>
      <x:c r="Y235" s="16"/>
      <x:c r="Z235" s="16"/>
      <x:c r="AA235" s="16"/>
      <x:c r="AB235" s="109"/>
      <x:c r="AC235" s="109"/>
      <x:c r="AD235" s="16"/>
      <x:c r="AE235" s="16"/>
      <x:c r="AF235" s="16"/>
    </x:row>
    <x:row r="236">
      <x:c r="A236" s="16"/>
      <x:c r="B236" s="16"/>
      <x:c r="C236" s="16"/>
      <x:c r="D236" s="16"/>
      <x:c r="E236" s="16"/>
      <x:c r="F236" s="16"/>
      <x:c r="G236" s="16"/>
      <x:c r="H236" s="109"/>
      <x:c r="I236" s="109"/>
      <x:c r="J236" s="16"/>
      <x:c r="K236" s="16"/>
      <x:c r="L236" s="16"/>
      <x:c r="M236" s="16"/>
      <x:c r="N236" s="16"/>
      <x:c r="O236" s="109"/>
      <x:c r="P236" s="109"/>
      <x:c r="Q236" s="16"/>
      <x:c r="R236" s="16"/>
      <x:c r="S236" s="109"/>
      <x:c r="T236" s="16"/>
      <x:c r="U236" s="16"/>
      <x:c r="V236" s="16"/>
      <x:c r="W236" s="18" t="str">
        <x:f>IF(A236="","",IF(H236="","",IF(I236&lt;&gt;"",I236-H236+1,IF(S236&lt;&gt;"",S236-H236+1,""))))</x:f>
      </x:c>
      <x:c r="X236" s="16"/>
      <x:c r="Y236" s="16"/>
      <x:c r="Z236" s="16"/>
      <x:c r="AA236" s="16"/>
      <x:c r="AB236" s="109"/>
      <x:c r="AC236" s="109"/>
      <x:c r="AD236" s="16"/>
      <x:c r="AE236" s="16"/>
      <x:c r="AF236" s="16"/>
    </x:row>
    <x:row r="237">
      <x:c r="A237" s="16"/>
      <x:c r="B237" s="16"/>
      <x:c r="C237" s="16"/>
      <x:c r="D237" s="16"/>
      <x:c r="E237" s="16"/>
      <x:c r="F237" s="16"/>
      <x:c r="G237" s="16"/>
      <x:c r="H237" s="109"/>
      <x:c r="I237" s="109"/>
      <x:c r="J237" s="16"/>
      <x:c r="K237" s="16"/>
      <x:c r="L237" s="16"/>
      <x:c r="M237" s="16"/>
      <x:c r="N237" s="16"/>
      <x:c r="O237" s="109"/>
      <x:c r="P237" s="109"/>
      <x:c r="Q237" s="16"/>
      <x:c r="R237" s="16"/>
      <x:c r="S237" s="109"/>
      <x:c r="T237" s="16"/>
      <x:c r="U237" s="16"/>
      <x:c r="V237" s="16"/>
      <x:c r="W237" s="18" t="str">
        <x:f>IF(A237="","",IF(H237="","",IF(I237&lt;&gt;"",I237-H237+1,IF(S237&lt;&gt;"",S237-H237+1,""))))</x:f>
      </x:c>
      <x:c r="X237" s="16"/>
      <x:c r="Y237" s="16"/>
      <x:c r="Z237" s="16"/>
      <x:c r="AA237" s="16"/>
      <x:c r="AB237" s="109"/>
      <x:c r="AC237" s="109"/>
      <x:c r="AD237" s="16"/>
      <x:c r="AE237" s="16"/>
      <x:c r="AF237" s="16"/>
    </x:row>
    <x:row r="238">
      <x:c r="A238" s="16"/>
      <x:c r="B238" s="16"/>
      <x:c r="C238" s="16"/>
      <x:c r="D238" s="16"/>
      <x:c r="E238" s="16"/>
      <x:c r="F238" s="16"/>
      <x:c r="G238" s="16"/>
      <x:c r="H238" s="109"/>
      <x:c r="I238" s="109"/>
      <x:c r="J238" s="16"/>
      <x:c r="K238" s="16"/>
      <x:c r="L238" s="16"/>
      <x:c r="M238" s="16"/>
      <x:c r="N238" s="16"/>
      <x:c r="O238" s="109"/>
      <x:c r="P238" s="109"/>
      <x:c r="Q238" s="16"/>
      <x:c r="R238" s="16"/>
      <x:c r="S238" s="109"/>
      <x:c r="T238" s="16"/>
      <x:c r="U238" s="16"/>
      <x:c r="V238" s="16"/>
      <x:c r="W238" s="18" t="str">
        <x:f>IF(A238="","",IF(H238="","",IF(I238&lt;&gt;"",I238-H238+1,IF(S238&lt;&gt;"",S238-H238+1,""))))</x:f>
      </x:c>
      <x:c r="X238" s="16"/>
      <x:c r="Y238" s="16"/>
      <x:c r="Z238" s="16"/>
      <x:c r="AA238" s="16"/>
      <x:c r="AB238" s="109"/>
      <x:c r="AC238" s="109"/>
      <x:c r="AD238" s="16"/>
      <x:c r="AE238" s="16"/>
      <x:c r="AF238" s="16"/>
    </x:row>
    <x:row r="239">
      <x:c r="A239" s="16"/>
      <x:c r="B239" s="16"/>
      <x:c r="C239" s="16"/>
      <x:c r="D239" s="16"/>
      <x:c r="E239" s="16"/>
      <x:c r="F239" s="16"/>
      <x:c r="G239" s="16"/>
      <x:c r="H239" s="109"/>
      <x:c r="I239" s="109"/>
      <x:c r="J239" s="16"/>
      <x:c r="K239" s="16"/>
      <x:c r="L239" s="16"/>
      <x:c r="M239" s="16"/>
      <x:c r="N239" s="16"/>
      <x:c r="O239" s="109"/>
      <x:c r="P239" s="109"/>
      <x:c r="Q239" s="16"/>
      <x:c r="R239" s="16"/>
      <x:c r="S239" s="109"/>
      <x:c r="T239" s="16"/>
      <x:c r="U239" s="16"/>
      <x:c r="V239" s="16"/>
      <x:c r="W239" s="18" t="str">
        <x:f>IF(A239="","",IF(H239="","",IF(I239&lt;&gt;"",I239-H239+1,IF(S239&lt;&gt;"",S239-H239+1,""))))</x:f>
      </x:c>
      <x:c r="X239" s="16"/>
      <x:c r="Y239" s="16"/>
      <x:c r="Z239" s="16"/>
      <x:c r="AA239" s="16"/>
      <x:c r="AB239" s="109"/>
      <x:c r="AC239" s="109"/>
      <x:c r="AD239" s="16"/>
      <x:c r="AE239" s="16"/>
      <x:c r="AF239" s="16"/>
    </x:row>
    <x:row r="240">
      <x:c r="A240" s="16"/>
      <x:c r="B240" s="16"/>
      <x:c r="C240" s="16"/>
      <x:c r="D240" s="16"/>
      <x:c r="E240" s="16"/>
      <x:c r="F240" s="16"/>
      <x:c r="G240" s="16"/>
      <x:c r="H240" s="109"/>
      <x:c r="I240" s="109"/>
      <x:c r="J240" s="16"/>
      <x:c r="K240" s="16"/>
      <x:c r="L240" s="16"/>
      <x:c r="M240" s="16"/>
      <x:c r="N240" s="16"/>
      <x:c r="O240" s="109"/>
      <x:c r="P240" s="109"/>
      <x:c r="Q240" s="16"/>
      <x:c r="R240" s="16"/>
      <x:c r="S240" s="109"/>
      <x:c r="T240" s="16"/>
      <x:c r="U240" s="16"/>
      <x:c r="V240" s="16"/>
      <x:c r="W240" s="18" t="str">
        <x:f>IF(A240="","",IF(H240="","",IF(I240&lt;&gt;"",I240-H240+1,IF(S240&lt;&gt;"",S240-H240+1,""))))</x:f>
      </x:c>
      <x:c r="X240" s="16"/>
      <x:c r="Y240" s="16"/>
      <x:c r="Z240" s="16"/>
      <x:c r="AA240" s="16"/>
      <x:c r="AB240" s="109"/>
      <x:c r="AC240" s="109"/>
      <x:c r="AD240" s="16"/>
      <x:c r="AE240" s="16"/>
      <x:c r="AF240" s="16"/>
    </x:row>
    <x:row r="241">
      <x:c r="A241" s="16"/>
      <x:c r="B241" s="16"/>
      <x:c r="C241" s="16"/>
      <x:c r="D241" s="16"/>
      <x:c r="E241" s="16"/>
      <x:c r="F241" s="16"/>
      <x:c r="G241" s="16"/>
      <x:c r="H241" s="109"/>
      <x:c r="I241" s="109"/>
      <x:c r="J241" s="16"/>
      <x:c r="K241" s="16"/>
      <x:c r="L241" s="16"/>
      <x:c r="M241" s="16"/>
      <x:c r="N241" s="16"/>
      <x:c r="O241" s="109"/>
      <x:c r="P241" s="109"/>
      <x:c r="Q241" s="16"/>
      <x:c r="R241" s="16"/>
      <x:c r="S241" s="109"/>
      <x:c r="T241" s="16"/>
      <x:c r="U241" s="16"/>
      <x:c r="V241" s="16"/>
      <x:c r="W241" s="18" t="str">
        <x:f>IF(A241="","",IF(H241="","",IF(I241&lt;&gt;"",I241-H241+1,IF(S241&lt;&gt;"",S241-H241+1,""))))</x:f>
      </x:c>
      <x:c r="X241" s="16"/>
      <x:c r="Y241" s="16"/>
      <x:c r="Z241" s="16"/>
      <x:c r="AA241" s="16"/>
      <x:c r="AB241" s="109"/>
      <x:c r="AC241" s="109"/>
      <x:c r="AD241" s="16"/>
      <x:c r="AE241" s="16"/>
      <x:c r="AF241" s="16"/>
    </x:row>
    <x:row r="242">
      <x:c r="A242" s="16"/>
      <x:c r="B242" s="16"/>
      <x:c r="C242" s="16"/>
      <x:c r="D242" s="16"/>
      <x:c r="E242" s="16"/>
      <x:c r="F242" s="16"/>
      <x:c r="G242" s="16"/>
      <x:c r="H242" s="109"/>
      <x:c r="I242" s="109"/>
      <x:c r="J242" s="16"/>
      <x:c r="K242" s="16"/>
      <x:c r="L242" s="16"/>
      <x:c r="M242" s="16"/>
      <x:c r="N242" s="16"/>
      <x:c r="O242" s="109"/>
      <x:c r="P242" s="109"/>
      <x:c r="Q242" s="16"/>
      <x:c r="R242" s="16"/>
      <x:c r="S242" s="109"/>
      <x:c r="T242" s="16"/>
      <x:c r="U242" s="16"/>
      <x:c r="V242" s="16"/>
      <x:c r="W242" s="18" t="str">
        <x:f>IF(A242="","",IF(H242="","",IF(I242&lt;&gt;"",I242-H242+1,IF(S242&lt;&gt;"",S242-H242+1,""))))</x:f>
      </x:c>
      <x:c r="X242" s="16"/>
      <x:c r="Y242" s="16"/>
      <x:c r="Z242" s="16"/>
      <x:c r="AA242" s="16"/>
      <x:c r="AB242" s="109"/>
      <x:c r="AC242" s="109"/>
      <x:c r="AD242" s="16"/>
      <x:c r="AE242" s="16"/>
      <x:c r="AF242" s="16"/>
    </x:row>
    <x:row r="243">
      <x:c r="A243" s="16"/>
      <x:c r="B243" s="16"/>
      <x:c r="C243" s="16"/>
      <x:c r="D243" s="16"/>
      <x:c r="E243" s="16"/>
      <x:c r="F243" s="16"/>
      <x:c r="G243" s="16"/>
      <x:c r="H243" s="109"/>
      <x:c r="I243" s="109"/>
      <x:c r="J243" s="16"/>
      <x:c r="K243" s="16"/>
      <x:c r="L243" s="16"/>
      <x:c r="M243" s="16"/>
      <x:c r="N243" s="16"/>
      <x:c r="O243" s="109"/>
      <x:c r="P243" s="109"/>
      <x:c r="Q243" s="16"/>
      <x:c r="R243" s="16"/>
      <x:c r="S243" s="109"/>
      <x:c r="T243" s="16"/>
      <x:c r="U243" s="16"/>
      <x:c r="V243" s="16"/>
      <x:c r="W243" s="18" t="str">
        <x:f>IF(A243="","",IF(H243="","",IF(I243&lt;&gt;"",I243-H243+1,IF(S243&lt;&gt;"",S243-H243+1,""))))</x:f>
      </x:c>
      <x:c r="X243" s="16"/>
      <x:c r="Y243" s="16"/>
      <x:c r="Z243" s="16"/>
      <x:c r="AA243" s="16"/>
      <x:c r="AB243" s="109"/>
      <x:c r="AC243" s="109"/>
      <x:c r="AD243" s="16"/>
      <x:c r="AE243" s="16"/>
      <x:c r="AF243" s="16"/>
    </x:row>
    <x:row r="244">
      <x:c r="A244" s="16"/>
      <x:c r="B244" s="16"/>
      <x:c r="C244" s="16"/>
      <x:c r="D244" s="16"/>
      <x:c r="E244" s="16"/>
      <x:c r="F244" s="16"/>
      <x:c r="G244" s="16"/>
      <x:c r="H244" s="109"/>
      <x:c r="I244" s="109"/>
      <x:c r="J244" s="16"/>
      <x:c r="K244" s="16"/>
      <x:c r="L244" s="16"/>
      <x:c r="M244" s="16"/>
      <x:c r="N244" s="16"/>
      <x:c r="O244" s="109"/>
      <x:c r="P244" s="109"/>
      <x:c r="Q244" s="16"/>
      <x:c r="R244" s="16"/>
      <x:c r="S244" s="109"/>
      <x:c r="T244" s="16"/>
      <x:c r="U244" s="16"/>
      <x:c r="V244" s="16"/>
      <x:c r="W244" s="18" t="str">
        <x:f>IF(A244="","",IF(H244="","",IF(I244&lt;&gt;"",I244-H244+1,IF(S244&lt;&gt;"",S244-H244+1,""))))</x:f>
      </x:c>
      <x:c r="X244" s="16"/>
      <x:c r="Y244" s="16"/>
      <x:c r="Z244" s="16"/>
      <x:c r="AA244" s="16"/>
      <x:c r="AB244" s="109"/>
      <x:c r="AC244" s="109"/>
      <x:c r="AD244" s="16"/>
      <x:c r="AE244" s="16"/>
      <x:c r="AF244" s="16"/>
    </x:row>
    <x:row r="245">
      <x:c r="A245" s="16"/>
      <x:c r="B245" s="16"/>
      <x:c r="C245" s="16"/>
      <x:c r="D245" s="16"/>
      <x:c r="E245" s="16"/>
      <x:c r="F245" s="16"/>
      <x:c r="G245" s="16"/>
      <x:c r="H245" s="109"/>
      <x:c r="I245" s="109"/>
      <x:c r="J245" s="16"/>
      <x:c r="K245" s="16"/>
      <x:c r="L245" s="16"/>
      <x:c r="M245" s="16"/>
      <x:c r="N245" s="16"/>
      <x:c r="O245" s="109"/>
      <x:c r="P245" s="109"/>
      <x:c r="Q245" s="16"/>
      <x:c r="R245" s="16"/>
      <x:c r="S245" s="109"/>
      <x:c r="T245" s="16"/>
      <x:c r="U245" s="16"/>
      <x:c r="V245" s="16"/>
      <x:c r="W245" s="18" t="str">
        <x:f>IF(A245="","",IF(H245="","",IF(I245&lt;&gt;"",I245-H245+1,IF(S245&lt;&gt;"",S245-H245+1,""))))</x:f>
      </x:c>
      <x:c r="X245" s="16"/>
      <x:c r="Y245" s="16"/>
      <x:c r="Z245" s="16"/>
      <x:c r="AA245" s="16"/>
      <x:c r="AB245" s="109"/>
      <x:c r="AC245" s="109"/>
      <x:c r="AD245" s="16"/>
      <x:c r="AE245" s="16"/>
      <x:c r="AF245" s="16"/>
    </x:row>
    <x:row r="246">
      <x:c r="A246" s="16"/>
      <x:c r="B246" s="16"/>
      <x:c r="C246" s="16"/>
      <x:c r="D246" s="16"/>
      <x:c r="E246" s="16"/>
      <x:c r="F246" s="16"/>
      <x:c r="G246" s="16"/>
      <x:c r="H246" s="109"/>
      <x:c r="I246" s="109"/>
      <x:c r="J246" s="16"/>
      <x:c r="K246" s="16"/>
      <x:c r="L246" s="16"/>
      <x:c r="M246" s="16"/>
      <x:c r="N246" s="16"/>
      <x:c r="O246" s="109"/>
      <x:c r="P246" s="109"/>
      <x:c r="Q246" s="16"/>
      <x:c r="R246" s="16"/>
      <x:c r="S246" s="109"/>
      <x:c r="T246" s="16"/>
      <x:c r="U246" s="16"/>
      <x:c r="V246" s="16"/>
      <x:c r="W246" s="18" t="str">
        <x:f>IF(A246="","",IF(H246="","",IF(I246&lt;&gt;"",I246-H246+1,IF(S246&lt;&gt;"",S246-H246+1,""))))</x:f>
      </x:c>
      <x:c r="X246" s="16"/>
      <x:c r="Y246" s="16"/>
      <x:c r="Z246" s="16"/>
      <x:c r="AA246" s="16"/>
      <x:c r="AB246" s="109"/>
      <x:c r="AC246" s="109"/>
      <x:c r="AD246" s="16"/>
      <x:c r="AE246" s="16"/>
      <x:c r="AF246" s="16"/>
    </x:row>
    <x:row r="247">
      <x:c r="A247" s="16"/>
      <x:c r="B247" s="16"/>
      <x:c r="C247" s="16"/>
      <x:c r="D247" s="16"/>
      <x:c r="E247" s="16"/>
      <x:c r="F247" s="16"/>
      <x:c r="G247" s="16"/>
      <x:c r="H247" s="109"/>
      <x:c r="I247" s="109"/>
      <x:c r="J247" s="16"/>
      <x:c r="K247" s="16"/>
      <x:c r="L247" s="16"/>
      <x:c r="M247" s="16"/>
      <x:c r="N247" s="16"/>
      <x:c r="O247" s="109"/>
      <x:c r="P247" s="109"/>
      <x:c r="Q247" s="16"/>
      <x:c r="R247" s="16"/>
      <x:c r="S247" s="109"/>
      <x:c r="T247" s="16"/>
      <x:c r="U247" s="16"/>
      <x:c r="V247" s="16"/>
      <x:c r="W247" s="18" t="str">
        <x:f>IF(A247="","",IF(H247="","",IF(I247&lt;&gt;"",I247-H247+1,IF(S247&lt;&gt;"",S247-H247+1,""))))</x:f>
      </x:c>
      <x:c r="X247" s="16"/>
      <x:c r="Y247" s="16"/>
      <x:c r="Z247" s="16"/>
      <x:c r="AA247" s="16"/>
      <x:c r="AB247" s="109"/>
      <x:c r="AC247" s="109"/>
      <x:c r="AD247" s="16"/>
      <x:c r="AE247" s="16"/>
      <x:c r="AF247" s="16"/>
    </x:row>
    <x:row r="248">
      <x:c r="A248" s="16"/>
      <x:c r="B248" s="16"/>
      <x:c r="C248" s="16"/>
      <x:c r="D248" s="16"/>
      <x:c r="E248" s="16"/>
      <x:c r="F248" s="16"/>
      <x:c r="G248" s="16"/>
      <x:c r="H248" s="109"/>
      <x:c r="I248" s="109"/>
      <x:c r="J248" s="16"/>
      <x:c r="K248" s="16"/>
      <x:c r="L248" s="16"/>
      <x:c r="M248" s="16"/>
      <x:c r="N248" s="16"/>
      <x:c r="O248" s="109"/>
      <x:c r="P248" s="109"/>
      <x:c r="Q248" s="16"/>
      <x:c r="R248" s="16"/>
      <x:c r="S248" s="109"/>
      <x:c r="T248" s="16"/>
      <x:c r="U248" s="16"/>
      <x:c r="V248" s="16"/>
      <x:c r="W248" s="18" t="str">
        <x:f>IF(A248="","",IF(H248="","",IF(I248&lt;&gt;"",I248-H248+1,IF(S248&lt;&gt;"",S248-H248+1,""))))</x:f>
      </x:c>
      <x:c r="X248" s="16"/>
      <x:c r="Y248" s="16"/>
      <x:c r="Z248" s="16"/>
      <x:c r="AA248" s="16"/>
      <x:c r="AB248" s="109"/>
      <x:c r="AC248" s="109"/>
      <x:c r="AD248" s="16"/>
      <x:c r="AE248" s="16"/>
      <x:c r="AF248" s="16"/>
    </x:row>
    <x:row r="249">
      <x:c r="A249" s="16"/>
      <x:c r="B249" s="16"/>
      <x:c r="C249" s="16"/>
      <x:c r="D249" s="16"/>
      <x:c r="E249" s="16"/>
      <x:c r="F249" s="16"/>
      <x:c r="G249" s="16"/>
      <x:c r="H249" s="109"/>
      <x:c r="I249" s="109"/>
      <x:c r="J249" s="16"/>
      <x:c r="K249" s="16"/>
      <x:c r="L249" s="16"/>
      <x:c r="M249" s="16"/>
      <x:c r="N249" s="16"/>
      <x:c r="O249" s="109"/>
      <x:c r="P249" s="109"/>
      <x:c r="Q249" s="16"/>
      <x:c r="R249" s="16"/>
      <x:c r="S249" s="109"/>
      <x:c r="T249" s="16"/>
      <x:c r="U249" s="16"/>
      <x:c r="V249" s="16"/>
      <x:c r="W249" s="18" t="str">
        <x:f>IF(A249="","",IF(H249="","",IF(I249&lt;&gt;"",I249-H249+1,IF(S249&lt;&gt;"",S249-H249+1,""))))</x:f>
      </x:c>
      <x:c r="X249" s="16"/>
      <x:c r="Y249" s="16"/>
      <x:c r="Z249" s="16"/>
      <x:c r="AA249" s="16"/>
      <x:c r="AB249" s="109"/>
      <x:c r="AC249" s="109"/>
      <x:c r="AD249" s="16"/>
      <x:c r="AE249" s="16"/>
      <x:c r="AF249" s="16"/>
    </x:row>
    <x:row r="250">
      <x:c r="A250" s="16"/>
      <x:c r="B250" s="16"/>
      <x:c r="C250" s="16"/>
      <x:c r="D250" s="16"/>
      <x:c r="E250" s="16"/>
      <x:c r="F250" s="16"/>
      <x:c r="G250" s="16"/>
      <x:c r="H250" s="109"/>
      <x:c r="I250" s="109"/>
      <x:c r="J250" s="16"/>
      <x:c r="K250" s="16"/>
      <x:c r="L250" s="16"/>
      <x:c r="M250" s="16"/>
      <x:c r="N250" s="16"/>
      <x:c r="O250" s="109"/>
      <x:c r="P250" s="109"/>
      <x:c r="Q250" s="16"/>
      <x:c r="R250" s="16"/>
      <x:c r="S250" s="109"/>
      <x:c r="T250" s="16"/>
      <x:c r="U250" s="16"/>
      <x:c r="V250" s="16"/>
      <x:c r="W250" s="18" t="str">
        <x:f>IF(A250="","",IF(H250="","",IF(I250&lt;&gt;"",I250-H250+1,IF(S250&lt;&gt;"",S250-H250+1,""))))</x:f>
      </x:c>
      <x:c r="X250" s="16"/>
      <x:c r="Y250" s="16"/>
      <x:c r="Z250" s="16"/>
      <x:c r="AA250" s="16"/>
      <x:c r="AB250" s="109"/>
      <x:c r="AC250" s="109"/>
      <x:c r="AD250" s="16"/>
      <x:c r="AE250" s="16"/>
      <x:c r="AF250" s="16"/>
    </x:row>
    <x:row r="251">
      <x:c r="A251" s="16"/>
      <x:c r="B251" s="16"/>
      <x:c r="C251" s="16"/>
      <x:c r="D251" s="16"/>
      <x:c r="E251" s="16"/>
      <x:c r="F251" s="16"/>
      <x:c r="G251" s="16"/>
      <x:c r="H251" s="109"/>
      <x:c r="I251" s="109"/>
      <x:c r="J251" s="16"/>
      <x:c r="K251" s="16"/>
      <x:c r="L251" s="16"/>
      <x:c r="M251" s="16"/>
      <x:c r="N251" s="16"/>
      <x:c r="O251" s="109"/>
      <x:c r="P251" s="109"/>
      <x:c r="Q251" s="16"/>
      <x:c r="R251" s="16"/>
      <x:c r="S251" s="109"/>
      <x:c r="T251" s="16"/>
      <x:c r="U251" s="16"/>
      <x:c r="V251" s="16"/>
      <x:c r="W251" s="18" t="str">
        <x:f>IF(A251="","",IF(H251="","",IF(I251&lt;&gt;"",I251-H251+1,IF(S251&lt;&gt;"",S251-H251+1,""))))</x:f>
      </x:c>
      <x:c r="X251" s="16"/>
      <x:c r="Y251" s="16"/>
      <x:c r="Z251" s="16"/>
      <x:c r="AA251" s="16"/>
      <x:c r="AB251" s="109"/>
      <x:c r="AC251" s="109"/>
      <x:c r="AD251" s="16"/>
      <x:c r="AE251" s="16"/>
      <x:c r="AF251" s="16"/>
    </x:row>
    <x:row r="252">
      <x:c r="A252" s="16"/>
      <x:c r="B252" s="16"/>
      <x:c r="C252" s="16"/>
      <x:c r="D252" s="16"/>
      <x:c r="E252" s="16"/>
      <x:c r="F252" s="16"/>
      <x:c r="G252" s="16"/>
      <x:c r="H252" s="109"/>
      <x:c r="I252" s="109"/>
      <x:c r="J252" s="16"/>
      <x:c r="K252" s="16"/>
      <x:c r="L252" s="16"/>
      <x:c r="M252" s="16"/>
      <x:c r="N252" s="16"/>
      <x:c r="O252" s="109"/>
      <x:c r="P252" s="109"/>
      <x:c r="Q252" s="16"/>
      <x:c r="R252" s="16"/>
      <x:c r="S252" s="109"/>
      <x:c r="T252" s="16"/>
      <x:c r="U252" s="16"/>
      <x:c r="V252" s="16"/>
      <x:c r="W252" s="18" t="str">
        <x:f>IF(A252="","",IF(H252="","",IF(I252&lt;&gt;"",I252-H252+1,IF(S252&lt;&gt;"",S252-H252+1,""))))</x:f>
      </x:c>
      <x:c r="X252" s="16"/>
      <x:c r="Y252" s="16"/>
      <x:c r="Z252" s="16"/>
      <x:c r="AA252" s="16"/>
      <x:c r="AB252" s="109"/>
      <x:c r="AC252" s="109"/>
      <x:c r="AD252" s="16"/>
      <x:c r="AE252" s="16"/>
      <x:c r="AF252" s="16"/>
    </x:row>
    <x:row r="253">
      <x:c r="A253" s="16"/>
      <x:c r="B253" s="16"/>
      <x:c r="C253" s="16"/>
      <x:c r="D253" s="16"/>
      <x:c r="E253" s="16"/>
      <x:c r="F253" s="16"/>
      <x:c r="G253" s="16"/>
      <x:c r="H253" s="109"/>
      <x:c r="I253" s="109"/>
      <x:c r="J253" s="16"/>
      <x:c r="K253" s="16"/>
      <x:c r="L253" s="16"/>
      <x:c r="M253" s="16"/>
      <x:c r="N253" s="16"/>
      <x:c r="O253" s="109"/>
      <x:c r="P253" s="109"/>
      <x:c r="Q253" s="16"/>
      <x:c r="R253" s="16"/>
      <x:c r="S253" s="109"/>
      <x:c r="T253" s="16"/>
      <x:c r="U253" s="16"/>
      <x:c r="V253" s="16"/>
      <x:c r="W253" s="18" t="str">
        <x:f>IF(A253="","",IF(H253="","",IF(I253&lt;&gt;"",I253-H253+1,IF(S253&lt;&gt;"",S253-H253+1,""))))</x:f>
      </x:c>
      <x:c r="X253" s="16"/>
      <x:c r="Y253" s="16"/>
      <x:c r="Z253" s="16"/>
      <x:c r="AA253" s="16"/>
      <x:c r="AB253" s="109"/>
      <x:c r="AC253" s="109"/>
      <x:c r="AD253" s="16"/>
      <x:c r="AE253" s="16"/>
      <x:c r="AF253" s="16"/>
    </x:row>
    <x:row r="254">
      <x:c r="A254" s="16"/>
      <x:c r="B254" s="16"/>
      <x:c r="C254" s="16"/>
      <x:c r="D254" s="16"/>
      <x:c r="E254" s="16"/>
      <x:c r="F254" s="16"/>
      <x:c r="G254" s="16"/>
      <x:c r="H254" s="109"/>
      <x:c r="I254" s="109"/>
      <x:c r="J254" s="16"/>
      <x:c r="K254" s="16"/>
      <x:c r="L254" s="16"/>
      <x:c r="M254" s="16"/>
      <x:c r="N254" s="16"/>
      <x:c r="O254" s="109"/>
      <x:c r="P254" s="109"/>
      <x:c r="Q254" s="16"/>
      <x:c r="R254" s="16"/>
      <x:c r="S254" s="109"/>
      <x:c r="T254" s="16"/>
      <x:c r="U254" s="16"/>
      <x:c r="V254" s="16"/>
      <x:c r="W254" s="18" t="str">
        <x:f>IF(A254="","",IF(H254="","",IF(I254&lt;&gt;"",I254-H254+1,IF(S254&lt;&gt;"",S254-H254+1,""))))</x:f>
      </x:c>
      <x:c r="X254" s="16"/>
      <x:c r="Y254" s="16"/>
      <x:c r="Z254" s="16"/>
      <x:c r="AA254" s="16"/>
      <x:c r="AB254" s="109"/>
      <x:c r="AC254" s="109"/>
      <x:c r="AD254" s="16"/>
      <x:c r="AE254" s="16"/>
      <x:c r="AF254" s="16"/>
    </x:row>
    <x:row r="255">
      <x:c r="A255" s="16"/>
      <x:c r="B255" s="16"/>
      <x:c r="C255" s="16"/>
      <x:c r="D255" s="16"/>
      <x:c r="E255" s="16"/>
      <x:c r="F255" s="16"/>
      <x:c r="G255" s="16"/>
      <x:c r="H255" s="109"/>
      <x:c r="I255" s="109"/>
      <x:c r="J255" s="16"/>
      <x:c r="K255" s="16"/>
      <x:c r="L255" s="16"/>
      <x:c r="M255" s="16"/>
      <x:c r="N255" s="16"/>
      <x:c r="O255" s="109"/>
      <x:c r="P255" s="109"/>
      <x:c r="Q255" s="16"/>
      <x:c r="R255" s="16"/>
      <x:c r="S255" s="109"/>
      <x:c r="T255" s="16"/>
      <x:c r="U255" s="16"/>
      <x:c r="V255" s="16"/>
      <x:c r="W255" s="18" t="str">
        <x:f>IF(A255="","",IF(H255="","",IF(I255&lt;&gt;"",I255-H255+1,IF(S255&lt;&gt;"",S255-H255+1,""))))</x:f>
      </x:c>
      <x:c r="X255" s="16"/>
      <x:c r="Y255" s="16"/>
      <x:c r="Z255" s="16"/>
      <x:c r="AA255" s="16"/>
      <x:c r="AB255" s="109"/>
      <x:c r="AC255" s="109"/>
      <x:c r="AD255" s="16"/>
      <x:c r="AE255" s="16"/>
      <x:c r="AF255" s="16"/>
    </x:row>
    <x:row r="256">
      <x:c r="A256" s="16"/>
      <x:c r="B256" s="16"/>
      <x:c r="C256" s="16"/>
      <x:c r="D256" s="16"/>
      <x:c r="E256" s="16"/>
      <x:c r="F256" s="16"/>
      <x:c r="G256" s="16"/>
      <x:c r="H256" s="109"/>
      <x:c r="I256" s="109"/>
      <x:c r="J256" s="16"/>
      <x:c r="K256" s="16"/>
      <x:c r="L256" s="16"/>
      <x:c r="M256" s="16"/>
      <x:c r="N256" s="16"/>
      <x:c r="O256" s="109"/>
      <x:c r="P256" s="109"/>
      <x:c r="Q256" s="16"/>
      <x:c r="R256" s="16"/>
      <x:c r="S256" s="109"/>
      <x:c r="T256" s="16"/>
      <x:c r="U256" s="16"/>
      <x:c r="V256" s="16"/>
      <x:c r="W256" s="18" t="str">
        <x:f>IF(A256="","",IF(H256="","",IF(I256&lt;&gt;"",I256-H256+1,IF(S256&lt;&gt;"",S256-H256+1,""))))</x:f>
      </x:c>
      <x:c r="X256" s="16"/>
      <x:c r="Y256" s="16"/>
      <x:c r="Z256" s="16"/>
      <x:c r="AA256" s="16"/>
      <x:c r="AB256" s="109"/>
      <x:c r="AC256" s="109"/>
      <x:c r="AD256" s="16"/>
      <x:c r="AE256" s="16"/>
      <x:c r="AF256" s="16"/>
    </x:row>
    <x:row r="257">
      <x:c r="A257" s="16"/>
      <x:c r="B257" s="16"/>
      <x:c r="C257" s="16"/>
      <x:c r="D257" s="16"/>
      <x:c r="E257" s="16"/>
      <x:c r="F257" s="16"/>
      <x:c r="G257" s="16"/>
      <x:c r="H257" s="109"/>
      <x:c r="I257" s="109"/>
      <x:c r="J257" s="16"/>
      <x:c r="K257" s="16"/>
      <x:c r="L257" s="16"/>
      <x:c r="M257" s="16"/>
      <x:c r="N257" s="16"/>
      <x:c r="O257" s="109"/>
      <x:c r="P257" s="109"/>
      <x:c r="Q257" s="16"/>
      <x:c r="R257" s="16"/>
      <x:c r="S257" s="109"/>
      <x:c r="T257" s="16"/>
      <x:c r="U257" s="16"/>
      <x:c r="V257" s="16"/>
      <x:c r="W257" s="18" t="str">
        <x:f>IF(A257="","",IF(H257="","",IF(I257&lt;&gt;"",I257-H257+1,IF(S257&lt;&gt;"",S257-H257+1,""))))</x:f>
      </x:c>
      <x:c r="X257" s="16"/>
      <x:c r="Y257" s="16"/>
      <x:c r="Z257" s="16"/>
      <x:c r="AA257" s="16"/>
      <x:c r="AB257" s="109"/>
      <x:c r="AC257" s="109"/>
      <x:c r="AD257" s="16"/>
      <x:c r="AE257" s="16"/>
      <x:c r="AF257" s="16"/>
    </x:row>
    <x:row r="258">
      <x:c r="A258" s="16"/>
      <x:c r="B258" s="16"/>
      <x:c r="C258" s="16"/>
      <x:c r="D258" s="16"/>
      <x:c r="E258" s="16"/>
      <x:c r="F258" s="16"/>
      <x:c r="G258" s="16"/>
      <x:c r="H258" s="109"/>
      <x:c r="I258" s="109"/>
      <x:c r="J258" s="16"/>
      <x:c r="K258" s="16"/>
      <x:c r="L258" s="16"/>
      <x:c r="M258" s="16"/>
      <x:c r="N258" s="16"/>
      <x:c r="O258" s="109"/>
      <x:c r="P258" s="109"/>
      <x:c r="Q258" s="16"/>
      <x:c r="R258" s="16"/>
      <x:c r="S258" s="109"/>
      <x:c r="T258" s="16"/>
      <x:c r="U258" s="16"/>
      <x:c r="V258" s="16"/>
      <x:c r="W258" s="18" t="str">
        <x:f>IF(A258="","",IF(H258="","",IF(I258&lt;&gt;"",I258-H258+1,IF(S258&lt;&gt;"",S258-H258+1,""))))</x:f>
      </x:c>
      <x:c r="X258" s="16"/>
      <x:c r="Y258" s="16"/>
      <x:c r="Z258" s="16"/>
      <x:c r="AA258" s="16"/>
      <x:c r="AB258" s="109"/>
      <x:c r="AC258" s="109"/>
      <x:c r="AD258" s="16"/>
      <x:c r="AE258" s="16"/>
      <x:c r="AF258" s="16"/>
    </x:row>
    <x:row r="259">
      <x:c r="A259" s="16"/>
      <x:c r="B259" s="16"/>
      <x:c r="C259" s="16"/>
      <x:c r="D259" s="16"/>
      <x:c r="E259" s="16"/>
      <x:c r="F259" s="16"/>
      <x:c r="G259" s="16"/>
      <x:c r="H259" s="109"/>
      <x:c r="I259" s="109"/>
      <x:c r="J259" s="16"/>
      <x:c r="K259" s="16"/>
      <x:c r="L259" s="16"/>
      <x:c r="M259" s="16"/>
      <x:c r="N259" s="16"/>
      <x:c r="O259" s="109"/>
      <x:c r="P259" s="109"/>
      <x:c r="Q259" s="16"/>
      <x:c r="R259" s="16"/>
      <x:c r="S259" s="109"/>
      <x:c r="T259" s="16"/>
      <x:c r="U259" s="16"/>
      <x:c r="V259" s="16"/>
      <x:c r="W259" s="18" t="str">
        <x:f>IF(A259="","",IF(H259="","",IF(I259&lt;&gt;"",I259-H259+1,IF(S259&lt;&gt;"",S259-H259+1,""))))</x:f>
      </x:c>
      <x:c r="X259" s="16"/>
      <x:c r="Y259" s="16"/>
      <x:c r="Z259" s="16"/>
      <x:c r="AA259" s="16"/>
      <x:c r="AB259" s="109"/>
      <x:c r="AC259" s="109"/>
      <x:c r="AD259" s="16"/>
      <x:c r="AE259" s="16"/>
      <x:c r="AF259" s="16"/>
    </x:row>
    <x:row r="260">
      <x:c r="A260" s="16"/>
      <x:c r="B260" s="16"/>
      <x:c r="C260" s="16"/>
      <x:c r="D260" s="16"/>
      <x:c r="E260" s="16"/>
      <x:c r="F260" s="16"/>
      <x:c r="G260" s="16"/>
      <x:c r="H260" s="109"/>
      <x:c r="I260" s="109"/>
      <x:c r="J260" s="16"/>
      <x:c r="K260" s="16"/>
      <x:c r="L260" s="16"/>
      <x:c r="M260" s="16"/>
      <x:c r="N260" s="16"/>
      <x:c r="O260" s="109"/>
      <x:c r="P260" s="109"/>
      <x:c r="Q260" s="16"/>
      <x:c r="R260" s="16"/>
      <x:c r="S260" s="109"/>
      <x:c r="T260" s="16"/>
      <x:c r="U260" s="16"/>
      <x:c r="V260" s="16"/>
      <x:c r="W260" s="18" t="str">
        <x:f>IF(A260="","",IF(H260="","",IF(I260&lt;&gt;"",I260-H260+1,IF(S260&lt;&gt;"",S260-H260+1,""))))</x:f>
      </x:c>
      <x:c r="X260" s="16"/>
      <x:c r="Y260" s="16"/>
      <x:c r="Z260" s="16"/>
      <x:c r="AA260" s="16"/>
      <x:c r="AB260" s="109"/>
      <x:c r="AC260" s="109"/>
      <x:c r="AD260" s="16"/>
      <x:c r="AE260" s="16"/>
      <x:c r="AF260" s="16"/>
    </x:row>
    <x:row r="261">
      <x:c r="A261" s="16"/>
      <x:c r="B261" s="16"/>
      <x:c r="C261" s="16"/>
      <x:c r="D261" s="16"/>
      <x:c r="E261" s="16"/>
      <x:c r="F261" s="16"/>
      <x:c r="G261" s="16"/>
      <x:c r="H261" s="109"/>
      <x:c r="I261" s="109"/>
      <x:c r="J261" s="16"/>
      <x:c r="K261" s="16"/>
      <x:c r="L261" s="16"/>
      <x:c r="M261" s="16"/>
      <x:c r="N261" s="16"/>
      <x:c r="O261" s="109"/>
      <x:c r="P261" s="109"/>
      <x:c r="Q261" s="16"/>
      <x:c r="R261" s="16"/>
      <x:c r="S261" s="109"/>
      <x:c r="T261" s="16"/>
      <x:c r="U261" s="16"/>
      <x:c r="V261" s="16"/>
      <x:c r="W261" s="18" t="str">
        <x:f>IF(A261="","",IF(H261="","",IF(I261&lt;&gt;"",I261-H261+1,IF(S261&lt;&gt;"",S261-H261+1,""))))</x:f>
      </x:c>
      <x:c r="X261" s="16"/>
      <x:c r="Y261" s="16"/>
      <x:c r="Z261" s="16"/>
      <x:c r="AA261" s="16"/>
      <x:c r="AB261" s="109"/>
      <x:c r="AC261" s="109"/>
      <x:c r="AD261" s="16"/>
      <x:c r="AE261" s="16"/>
      <x:c r="AF261" s="16"/>
    </x:row>
    <x:row r="262">
      <x:c r="A262" s="16"/>
      <x:c r="B262" s="16"/>
      <x:c r="C262" s="16"/>
      <x:c r="D262" s="16"/>
      <x:c r="E262" s="16"/>
      <x:c r="F262" s="16"/>
      <x:c r="G262" s="16"/>
      <x:c r="H262" s="109"/>
      <x:c r="I262" s="109"/>
      <x:c r="J262" s="16"/>
      <x:c r="K262" s="16"/>
      <x:c r="L262" s="16"/>
      <x:c r="M262" s="16"/>
      <x:c r="N262" s="16"/>
      <x:c r="O262" s="109"/>
      <x:c r="P262" s="109"/>
      <x:c r="Q262" s="16"/>
      <x:c r="R262" s="16"/>
      <x:c r="S262" s="109"/>
      <x:c r="T262" s="16"/>
      <x:c r="U262" s="16"/>
      <x:c r="V262" s="16"/>
      <x:c r="W262" s="18" t="str">
        <x:f>IF(A262="","",IF(H262="","",IF(I262&lt;&gt;"",I262-H262+1,IF(S262&lt;&gt;"",S262-H262+1,""))))</x:f>
      </x:c>
      <x:c r="X262" s="16"/>
      <x:c r="Y262" s="16"/>
      <x:c r="Z262" s="16"/>
      <x:c r="AA262" s="16"/>
      <x:c r="AB262" s="109"/>
      <x:c r="AC262" s="109"/>
      <x:c r="AD262" s="16"/>
      <x:c r="AE262" s="16"/>
      <x:c r="AF262" s="16"/>
    </x:row>
    <x:row r="263">
      <x:c r="A263" s="16"/>
      <x:c r="B263" s="16"/>
      <x:c r="C263" s="16"/>
      <x:c r="D263" s="16"/>
      <x:c r="E263" s="16"/>
      <x:c r="F263" s="16"/>
      <x:c r="G263" s="16"/>
      <x:c r="H263" s="109"/>
      <x:c r="I263" s="109"/>
      <x:c r="J263" s="16"/>
      <x:c r="K263" s="16"/>
      <x:c r="L263" s="16"/>
      <x:c r="M263" s="16"/>
      <x:c r="N263" s="16"/>
      <x:c r="O263" s="109"/>
      <x:c r="P263" s="109"/>
      <x:c r="Q263" s="16"/>
      <x:c r="R263" s="16"/>
      <x:c r="S263" s="109"/>
      <x:c r="T263" s="16"/>
      <x:c r="U263" s="16"/>
      <x:c r="V263" s="16"/>
      <x:c r="W263" s="18" t="str">
        <x:f>IF(A263="","",IF(H263="","",IF(I263&lt;&gt;"",I263-H263+1,IF(S263&lt;&gt;"",S263-H263+1,""))))</x:f>
      </x:c>
      <x:c r="X263" s="16"/>
      <x:c r="Y263" s="16"/>
      <x:c r="Z263" s="16"/>
      <x:c r="AA263" s="16"/>
      <x:c r="AB263" s="109"/>
      <x:c r="AC263" s="109"/>
      <x:c r="AD263" s="16"/>
      <x:c r="AE263" s="16"/>
      <x:c r="AF263" s="16"/>
    </x:row>
    <x:row r="264">
      <x:c r="A264" s="16"/>
      <x:c r="B264" s="16"/>
      <x:c r="C264" s="16"/>
      <x:c r="D264" s="16"/>
      <x:c r="E264" s="16"/>
      <x:c r="F264" s="16"/>
      <x:c r="G264" s="16"/>
      <x:c r="H264" s="109"/>
      <x:c r="I264" s="109"/>
      <x:c r="J264" s="16"/>
      <x:c r="K264" s="16"/>
      <x:c r="L264" s="16"/>
      <x:c r="M264" s="16"/>
      <x:c r="N264" s="16"/>
      <x:c r="O264" s="109"/>
      <x:c r="P264" s="109"/>
      <x:c r="Q264" s="16"/>
      <x:c r="R264" s="16"/>
      <x:c r="S264" s="109"/>
      <x:c r="T264" s="16"/>
      <x:c r="U264" s="16"/>
      <x:c r="V264" s="16"/>
      <x:c r="W264" s="18" t="str">
        <x:f>IF(A264="","",IF(H264="","",IF(I264&lt;&gt;"",I264-H264+1,IF(S264&lt;&gt;"",S264-H264+1,""))))</x:f>
      </x:c>
      <x:c r="X264" s="16"/>
      <x:c r="Y264" s="16"/>
      <x:c r="Z264" s="16"/>
      <x:c r="AA264" s="16"/>
      <x:c r="AB264" s="109"/>
      <x:c r="AC264" s="109"/>
      <x:c r="AD264" s="16"/>
      <x:c r="AE264" s="16"/>
      <x:c r="AF264" s="16"/>
    </x:row>
    <x:row r="265">
      <x:c r="A265" s="16"/>
      <x:c r="B265" s="16"/>
      <x:c r="C265" s="16"/>
      <x:c r="D265" s="16"/>
      <x:c r="E265" s="16"/>
      <x:c r="F265" s="16"/>
      <x:c r="G265" s="16"/>
      <x:c r="H265" s="109"/>
      <x:c r="I265" s="109"/>
      <x:c r="J265" s="16"/>
      <x:c r="K265" s="16"/>
      <x:c r="L265" s="16"/>
      <x:c r="M265" s="16"/>
      <x:c r="N265" s="16"/>
      <x:c r="O265" s="109"/>
      <x:c r="P265" s="109"/>
      <x:c r="Q265" s="16"/>
      <x:c r="R265" s="16"/>
      <x:c r="S265" s="109"/>
      <x:c r="T265" s="16"/>
      <x:c r="U265" s="16"/>
      <x:c r="V265" s="16"/>
      <x:c r="W265" s="18" t="str">
        <x:f>IF(A265="","",IF(H265="","",IF(I265&lt;&gt;"",I265-H265+1,IF(S265&lt;&gt;"",S265-H265+1,""))))</x:f>
      </x:c>
      <x:c r="X265" s="16"/>
      <x:c r="Y265" s="16"/>
      <x:c r="Z265" s="16"/>
      <x:c r="AA265" s="16"/>
      <x:c r="AB265" s="109"/>
      <x:c r="AC265" s="109"/>
      <x:c r="AD265" s="16"/>
      <x:c r="AE265" s="16"/>
      <x:c r="AF265" s="16"/>
    </x:row>
    <x:row r="266">
      <x:c r="A266" s="16"/>
      <x:c r="B266" s="16"/>
      <x:c r="C266" s="16"/>
      <x:c r="D266" s="16"/>
      <x:c r="E266" s="16"/>
      <x:c r="F266" s="16"/>
      <x:c r="G266" s="16"/>
      <x:c r="H266" s="109"/>
      <x:c r="I266" s="109"/>
      <x:c r="J266" s="16"/>
      <x:c r="K266" s="16"/>
      <x:c r="L266" s="16"/>
      <x:c r="M266" s="16"/>
      <x:c r="N266" s="16"/>
      <x:c r="O266" s="109"/>
      <x:c r="P266" s="109"/>
      <x:c r="Q266" s="16"/>
      <x:c r="R266" s="16"/>
      <x:c r="S266" s="109"/>
      <x:c r="T266" s="16"/>
      <x:c r="U266" s="16"/>
      <x:c r="V266" s="16"/>
      <x:c r="W266" s="18" t="str">
        <x:f>IF(A266="","",IF(H266="","",IF(I266&lt;&gt;"",I266-H266+1,IF(S266&lt;&gt;"",S266-H266+1,""))))</x:f>
      </x:c>
      <x:c r="X266" s="16"/>
      <x:c r="Y266" s="16"/>
      <x:c r="Z266" s="16"/>
      <x:c r="AA266" s="16"/>
      <x:c r="AB266" s="109"/>
      <x:c r="AC266" s="109"/>
      <x:c r="AD266" s="16"/>
      <x:c r="AE266" s="16"/>
      <x:c r="AF266" s="16"/>
    </x:row>
    <x:row r="267">
      <x:c r="A267" s="16"/>
      <x:c r="B267" s="16"/>
      <x:c r="C267" s="16"/>
      <x:c r="D267" s="16"/>
      <x:c r="E267" s="16"/>
      <x:c r="F267" s="16"/>
      <x:c r="G267" s="16"/>
      <x:c r="H267" s="109"/>
      <x:c r="I267" s="109"/>
      <x:c r="J267" s="16"/>
      <x:c r="K267" s="16"/>
      <x:c r="L267" s="16"/>
      <x:c r="M267" s="16"/>
      <x:c r="N267" s="16"/>
      <x:c r="O267" s="109"/>
      <x:c r="P267" s="109"/>
      <x:c r="Q267" s="16"/>
      <x:c r="R267" s="16"/>
      <x:c r="S267" s="109"/>
      <x:c r="T267" s="16"/>
      <x:c r="U267" s="16"/>
      <x:c r="V267" s="16"/>
      <x:c r="W267" s="18" t="str">
        <x:f>IF(A267="","",IF(H267="","",IF(I267&lt;&gt;"",I267-H267+1,IF(S267&lt;&gt;"",S267-H267+1,""))))</x:f>
      </x:c>
      <x:c r="X267" s="16"/>
      <x:c r="Y267" s="16"/>
      <x:c r="Z267" s="16"/>
      <x:c r="AA267" s="16"/>
      <x:c r="AB267" s="109"/>
      <x:c r="AC267" s="109"/>
      <x:c r="AD267" s="16"/>
      <x:c r="AE267" s="16"/>
      <x:c r="AF267" s="16"/>
    </x:row>
    <x:row r="268">
      <x:c r="A268" s="16"/>
      <x:c r="B268" s="16"/>
      <x:c r="C268" s="16"/>
      <x:c r="D268" s="16"/>
      <x:c r="E268" s="16"/>
      <x:c r="F268" s="16"/>
      <x:c r="G268" s="16"/>
      <x:c r="H268" s="109"/>
      <x:c r="I268" s="109"/>
      <x:c r="J268" s="16"/>
      <x:c r="K268" s="16"/>
      <x:c r="L268" s="16"/>
      <x:c r="M268" s="16"/>
      <x:c r="N268" s="16"/>
      <x:c r="O268" s="109"/>
      <x:c r="P268" s="109"/>
      <x:c r="Q268" s="16"/>
      <x:c r="R268" s="16"/>
      <x:c r="S268" s="109"/>
      <x:c r="T268" s="16"/>
      <x:c r="U268" s="16"/>
      <x:c r="V268" s="16"/>
      <x:c r="W268" s="18" t="str">
        <x:f>IF(A268="","",IF(H268="","",IF(I268&lt;&gt;"",I268-H268+1,IF(S268&lt;&gt;"",S268-H268+1,""))))</x:f>
      </x:c>
      <x:c r="X268" s="16"/>
      <x:c r="Y268" s="16"/>
      <x:c r="Z268" s="16"/>
      <x:c r="AA268" s="16"/>
      <x:c r="AB268" s="109"/>
      <x:c r="AC268" s="109"/>
      <x:c r="AD268" s="16"/>
      <x:c r="AE268" s="16"/>
      <x:c r="AF268" s="16"/>
    </x:row>
    <x:row r="269">
      <x:c r="A269" s="16"/>
      <x:c r="B269" s="16"/>
      <x:c r="C269" s="16"/>
      <x:c r="D269" s="16"/>
      <x:c r="E269" s="16"/>
      <x:c r="F269" s="16"/>
      <x:c r="G269" s="16"/>
      <x:c r="H269" s="109"/>
      <x:c r="I269" s="109"/>
      <x:c r="J269" s="16"/>
      <x:c r="K269" s="16"/>
      <x:c r="L269" s="16"/>
      <x:c r="M269" s="16"/>
      <x:c r="N269" s="16"/>
      <x:c r="O269" s="109"/>
      <x:c r="P269" s="109"/>
      <x:c r="Q269" s="16"/>
      <x:c r="R269" s="16"/>
      <x:c r="S269" s="109"/>
      <x:c r="T269" s="16"/>
      <x:c r="U269" s="16"/>
      <x:c r="V269" s="16"/>
      <x:c r="W269" s="18" t="str">
        <x:f>IF(A269="","",IF(H269="","",IF(I269&lt;&gt;"",I269-H269+1,IF(S269&lt;&gt;"",S269-H269+1,""))))</x:f>
      </x:c>
      <x:c r="X269" s="16"/>
      <x:c r="Y269" s="16"/>
      <x:c r="Z269" s="16"/>
      <x:c r="AA269" s="16"/>
      <x:c r="AB269" s="109"/>
      <x:c r="AC269" s="109"/>
      <x:c r="AD269" s="16"/>
      <x:c r="AE269" s="16"/>
      <x:c r="AF269" s="16"/>
    </x:row>
    <x:row r="270">
      <x:c r="A270" s="16"/>
      <x:c r="B270" s="16"/>
      <x:c r="C270" s="16"/>
      <x:c r="D270" s="16"/>
      <x:c r="E270" s="16"/>
      <x:c r="F270" s="16"/>
      <x:c r="G270" s="16"/>
      <x:c r="H270" s="109"/>
      <x:c r="I270" s="109"/>
      <x:c r="J270" s="16"/>
      <x:c r="K270" s="16"/>
      <x:c r="L270" s="16"/>
      <x:c r="M270" s="16"/>
      <x:c r="N270" s="16"/>
      <x:c r="O270" s="109"/>
      <x:c r="P270" s="109"/>
      <x:c r="Q270" s="16"/>
      <x:c r="R270" s="16"/>
      <x:c r="S270" s="109"/>
      <x:c r="T270" s="16"/>
      <x:c r="U270" s="16"/>
      <x:c r="V270" s="16"/>
      <x:c r="W270" s="18" t="str">
        <x:f>IF(A270="","",IF(H270="","",IF(I270&lt;&gt;"",I270-H270+1,IF(S270&lt;&gt;"",S270-H270+1,""))))</x:f>
      </x:c>
      <x:c r="X270" s="16"/>
      <x:c r="Y270" s="16"/>
      <x:c r="Z270" s="16"/>
      <x:c r="AA270" s="16"/>
      <x:c r="AB270" s="109"/>
      <x:c r="AC270" s="109"/>
      <x:c r="AD270" s="16"/>
      <x:c r="AE270" s="16"/>
      <x:c r="AF270" s="16"/>
    </x:row>
    <x:row r="271">
      <x:c r="A271" s="16"/>
      <x:c r="B271" s="16"/>
      <x:c r="C271" s="16"/>
      <x:c r="D271" s="16"/>
      <x:c r="E271" s="16"/>
      <x:c r="F271" s="16"/>
      <x:c r="G271" s="16"/>
      <x:c r="H271" s="109"/>
      <x:c r="I271" s="109"/>
      <x:c r="J271" s="16"/>
      <x:c r="K271" s="16"/>
      <x:c r="L271" s="16"/>
      <x:c r="M271" s="16"/>
      <x:c r="N271" s="16"/>
      <x:c r="O271" s="109"/>
      <x:c r="P271" s="109"/>
      <x:c r="Q271" s="16"/>
      <x:c r="R271" s="16"/>
      <x:c r="S271" s="109"/>
      <x:c r="T271" s="16"/>
      <x:c r="U271" s="16"/>
      <x:c r="V271" s="16"/>
      <x:c r="W271" s="18" t="str">
        <x:f>IF(A271="","",IF(H271="","",IF(I271&lt;&gt;"",I271-H271+1,IF(S271&lt;&gt;"",S271-H271+1,""))))</x:f>
      </x:c>
      <x:c r="X271" s="16"/>
      <x:c r="Y271" s="16"/>
      <x:c r="Z271" s="16"/>
      <x:c r="AA271" s="16"/>
      <x:c r="AB271" s="109"/>
      <x:c r="AC271" s="109"/>
      <x:c r="AD271" s="16"/>
      <x:c r="AE271" s="16"/>
      <x:c r="AF271" s="16"/>
    </x:row>
    <x:row r="272">
      <x:c r="A272" s="16"/>
      <x:c r="B272" s="16"/>
      <x:c r="C272" s="16"/>
      <x:c r="D272" s="16"/>
      <x:c r="E272" s="16"/>
      <x:c r="F272" s="16"/>
      <x:c r="G272" s="16"/>
      <x:c r="H272" s="109"/>
      <x:c r="I272" s="109"/>
      <x:c r="J272" s="16"/>
      <x:c r="K272" s="16"/>
      <x:c r="L272" s="16"/>
      <x:c r="M272" s="16"/>
      <x:c r="N272" s="16"/>
      <x:c r="O272" s="109"/>
      <x:c r="P272" s="109"/>
      <x:c r="Q272" s="16"/>
      <x:c r="R272" s="16"/>
      <x:c r="S272" s="109"/>
      <x:c r="T272" s="16"/>
      <x:c r="U272" s="16"/>
      <x:c r="V272" s="16"/>
      <x:c r="W272" s="18" t="str">
        <x:f>IF(A272="","",IF(H272="","",IF(I272&lt;&gt;"",I272-H272+1,IF(S272&lt;&gt;"",S272-H272+1,""))))</x:f>
      </x:c>
      <x:c r="X272" s="16"/>
      <x:c r="Y272" s="16"/>
      <x:c r="Z272" s="16"/>
      <x:c r="AA272" s="16"/>
      <x:c r="AB272" s="109"/>
      <x:c r="AC272" s="109"/>
      <x:c r="AD272" s="16"/>
      <x:c r="AE272" s="16"/>
      <x:c r="AF272" s="16"/>
    </x:row>
    <x:row r="273">
      <x:c r="A273" s="16"/>
      <x:c r="B273" s="16"/>
      <x:c r="C273" s="16"/>
      <x:c r="D273" s="16"/>
      <x:c r="E273" s="16"/>
      <x:c r="F273" s="16"/>
      <x:c r="G273" s="16"/>
      <x:c r="H273" s="109"/>
      <x:c r="I273" s="109"/>
      <x:c r="J273" s="16"/>
      <x:c r="K273" s="16"/>
      <x:c r="L273" s="16"/>
      <x:c r="M273" s="16"/>
      <x:c r="N273" s="16"/>
      <x:c r="O273" s="109"/>
      <x:c r="P273" s="109"/>
      <x:c r="Q273" s="16"/>
      <x:c r="R273" s="16"/>
      <x:c r="S273" s="109"/>
      <x:c r="T273" s="16"/>
      <x:c r="U273" s="16"/>
      <x:c r="V273" s="16"/>
      <x:c r="W273" s="18" t="str">
        <x:f>IF(A273="","",IF(H273="","",IF(I273&lt;&gt;"",I273-H273+1,IF(S273&lt;&gt;"",S273-H273+1,""))))</x:f>
      </x:c>
      <x:c r="X273" s="16"/>
      <x:c r="Y273" s="16"/>
      <x:c r="Z273" s="16"/>
      <x:c r="AA273" s="16"/>
      <x:c r="AB273" s="109"/>
      <x:c r="AC273" s="109"/>
      <x:c r="AD273" s="16"/>
      <x:c r="AE273" s="16"/>
      <x:c r="AF273" s="16"/>
    </x:row>
    <x:row r="274">
      <x:c r="A274" s="16"/>
      <x:c r="B274" s="16"/>
      <x:c r="C274" s="16"/>
      <x:c r="D274" s="16"/>
      <x:c r="E274" s="16"/>
      <x:c r="F274" s="16"/>
      <x:c r="G274" s="16"/>
      <x:c r="H274" s="109"/>
      <x:c r="I274" s="109"/>
      <x:c r="J274" s="16"/>
      <x:c r="K274" s="16"/>
      <x:c r="L274" s="16"/>
      <x:c r="M274" s="16"/>
      <x:c r="N274" s="16"/>
      <x:c r="O274" s="109"/>
      <x:c r="P274" s="109"/>
      <x:c r="Q274" s="16"/>
      <x:c r="R274" s="16"/>
      <x:c r="S274" s="109"/>
      <x:c r="T274" s="16"/>
      <x:c r="U274" s="16"/>
      <x:c r="V274" s="16"/>
      <x:c r="W274" s="18" t="str">
        <x:f>IF(A274="","",IF(H274="","",IF(I274&lt;&gt;"",I274-H274+1,IF(S274&lt;&gt;"",S274-H274+1,""))))</x:f>
      </x:c>
      <x:c r="X274" s="16"/>
      <x:c r="Y274" s="16"/>
      <x:c r="Z274" s="16"/>
      <x:c r="AA274" s="16"/>
      <x:c r="AB274" s="109"/>
      <x:c r="AC274" s="109"/>
      <x:c r="AD274" s="16"/>
      <x:c r="AE274" s="16"/>
      <x:c r="AF274" s="16"/>
    </x:row>
    <x:row r="275">
      <x:c r="A275" s="16"/>
      <x:c r="B275" s="16"/>
      <x:c r="C275" s="16"/>
      <x:c r="D275" s="16"/>
      <x:c r="E275" s="16"/>
      <x:c r="F275" s="16"/>
      <x:c r="G275" s="16"/>
      <x:c r="H275" s="109"/>
      <x:c r="I275" s="109"/>
      <x:c r="J275" s="16"/>
      <x:c r="K275" s="16"/>
      <x:c r="L275" s="16"/>
      <x:c r="M275" s="16"/>
      <x:c r="N275" s="16"/>
      <x:c r="O275" s="109"/>
      <x:c r="P275" s="109"/>
      <x:c r="Q275" s="16"/>
      <x:c r="R275" s="16"/>
      <x:c r="S275" s="109"/>
      <x:c r="T275" s="16"/>
      <x:c r="U275" s="16"/>
      <x:c r="V275" s="16"/>
      <x:c r="W275" s="18" t="str">
        <x:f>IF(A275="","",IF(H275="","",IF(I275&lt;&gt;"",I275-H275+1,IF(S275&lt;&gt;"",S275-H275+1,""))))</x:f>
      </x:c>
      <x:c r="X275" s="16"/>
      <x:c r="Y275" s="16"/>
      <x:c r="Z275" s="16"/>
      <x:c r="AA275" s="16"/>
      <x:c r="AB275" s="109"/>
      <x:c r="AC275" s="109"/>
      <x:c r="AD275" s="16"/>
      <x:c r="AE275" s="16"/>
      <x:c r="AF275" s="16"/>
    </x:row>
    <x:row r="276">
      <x:c r="A276" s="16"/>
      <x:c r="B276" s="16"/>
      <x:c r="C276" s="16"/>
      <x:c r="D276" s="16"/>
      <x:c r="E276" s="16"/>
      <x:c r="F276" s="16"/>
      <x:c r="G276" s="16"/>
      <x:c r="H276" s="109"/>
      <x:c r="I276" s="109"/>
      <x:c r="J276" s="16"/>
      <x:c r="K276" s="16"/>
      <x:c r="L276" s="16"/>
      <x:c r="M276" s="16"/>
      <x:c r="N276" s="16"/>
      <x:c r="O276" s="109"/>
      <x:c r="P276" s="109"/>
      <x:c r="Q276" s="16"/>
      <x:c r="R276" s="16"/>
      <x:c r="S276" s="109"/>
      <x:c r="T276" s="16"/>
      <x:c r="U276" s="16"/>
      <x:c r="V276" s="16"/>
      <x:c r="W276" s="18" t="str">
        <x:f>IF(A276="","",IF(H276="","",IF(I276&lt;&gt;"",I276-H276+1,IF(S276&lt;&gt;"",S276-H276+1,""))))</x:f>
      </x:c>
      <x:c r="X276" s="16"/>
      <x:c r="Y276" s="16"/>
      <x:c r="Z276" s="16"/>
      <x:c r="AA276" s="16"/>
      <x:c r="AB276" s="109"/>
      <x:c r="AC276" s="109"/>
      <x:c r="AD276" s="16"/>
      <x:c r="AE276" s="16"/>
      <x:c r="AF276" s="16"/>
    </x:row>
    <x:row r="277">
      <x:c r="A277" s="16"/>
      <x:c r="B277" s="16"/>
      <x:c r="C277" s="16"/>
      <x:c r="D277" s="16"/>
      <x:c r="E277" s="16"/>
      <x:c r="F277" s="16"/>
      <x:c r="G277" s="16"/>
      <x:c r="H277" s="109"/>
      <x:c r="I277" s="109"/>
      <x:c r="J277" s="16"/>
      <x:c r="K277" s="16"/>
      <x:c r="L277" s="16"/>
      <x:c r="M277" s="16"/>
      <x:c r="N277" s="16"/>
      <x:c r="O277" s="109"/>
      <x:c r="P277" s="109"/>
      <x:c r="Q277" s="16"/>
      <x:c r="R277" s="16"/>
      <x:c r="S277" s="109"/>
      <x:c r="T277" s="16"/>
      <x:c r="U277" s="16"/>
      <x:c r="V277" s="16"/>
      <x:c r="W277" s="18" t="str">
        <x:f>IF(A277="","",IF(H277="","",IF(I277&lt;&gt;"",I277-H277+1,IF(S277&lt;&gt;"",S277-H277+1,""))))</x:f>
      </x:c>
      <x:c r="X277" s="16"/>
      <x:c r="Y277" s="16"/>
      <x:c r="Z277" s="16"/>
      <x:c r="AA277" s="16"/>
      <x:c r="AB277" s="109"/>
      <x:c r="AC277" s="109"/>
      <x:c r="AD277" s="16"/>
      <x:c r="AE277" s="16"/>
      <x:c r="AF277" s="16"/>
    </x:row>
    <x:row r="278">
      <x:c r="A278" s="16"/>
      <x:c r="B278" s="16"/>
      <x:c r="C278" s="16"/>
      <x:c r="D278" s="16"/>
      <x:c r="E278" s="16"/>
      <x:c r="F278" s="16"/>
      <x:c r="G278" s="16"/>
      <x:c r="H278" s="109"/>
      <x:c r="I278" s="109"/>
      <x:c r="J278" s="16"/>
      <x:c r="K278" s="16"/>
      <x:c r="L278" s="16"/>
      <x:c r="M278" s="16"/>
      <x:c r="N278" s="16"/>
      <x:c r="O278" s="109"/>
      <x:c r="P278" s="109"/>
      <x:c r="Q278" s="16"/>
      <x:c r="R278" s="16"/>
      <x:c r="S278" s="109"/>
      <x:c r="T278" s="16"/>
      <x:c r="U278" s="16"/>
      <x:c r="V278" s="16"/>
      <x:c r="W278" s="18" t="str">
        <x:f>IF(A278="","",IF(H278="","",IF(I278&lt;&gt;"",I278-H278+1,IF(S278&lt;&gt;"",S278-H278+1,""))))</x:f>
      </x:c>
      <x:c r="X278" s="16"/>
      <x:c r="Y278" s="16"/>
      <x:c r="Z278" s="16"/>
      <x:c r="AA278" s="16"/>
      <x:c r="AB278" s="109"/>
      <x:c r="AC278" s="109"/>
      <x:c r="AD278" s="16"/>
      <x:c r="AE278" s="16"/>
      <x:c r="AF278" s="16"/>
    </x:row>
    <x:row r="279">
      <x:c r="A279" s="16"/>
      <x:c r="B279" s="16"/>
      <x:c r="C279" s="16"/>
      <x:c r="D279" s="16"/>
      <x:c r="E279" s="16"/>
      <x:c r="F279" s="16"/>
      <x:c r="G279" s="16"/>
      <x:c r="H279" s="109"/>
      <x:c r="I279" s="109"/>
      <x:c r="J279" s="16"/>
      <x:c r="K279" s="16"/>
      <x:c r="L279" s="16"/>
      <x:c r="M279" s="16"/>
      <x:c r="N279" s="16"/>
      <x:c r="O279" s="109"/>
      <x:c r="P279" s="109"/>
      <x:c r="Q279" s="16"/>
      <x:c r="R279" s="16"/>
      <x:c r="S279" s="109"/>
      <x:c r="T279" s="16"/>
      <x:c r="U279" s="16"/>
      <x:c r="V279" s="16"/>
      <x:c r="W279" s="18" t="str">
        <x:f>IF(A279="","",IF(H279="","",IF(I279&lt;&gt;"",I279-H279+1,IF(S279&lt;&gt;"",S279-H279+1,""))))</x:f>
      </x:c>
      <x:c r="X279" s="16"/>
      <x:c r="Y279" s="16"/>
      <x:c r="Z279" s="16"/>
      <x:c r="AA279" s="16"/>
      <x:c r="AB279" s="109"/>
      <x:c r="AC279" s="109"/>
      <x:c r="AD279" s="16"/>
      <x:c r="AE279" s="16"/>
      <x:c r="AF279" s="16"/>
    </x:row>
    <x:row r="280">
      <x:c r="A280" s="16"/>
      <x:c r="B280" s="16"/>
      <x:c r="C280" s="16"/>
      <x:c r="D280" s="16"/>
      <x:c r="E280" s="16"/>
      <x:c r="F280" s="16"/>
      <x:c r="G280" s="16"/>
      <x:c r="H280" s="109"/>
      <x:c r="I280" s="109"/>
      <x:c r="J280" s="16"/>
      <x:c r="K280" s="16"/>
      <x:c r="L280" s="16"/>
      <x:c r="M280" s="16"/>
      <x:c r="N280" s="16"/>
      <x:c r="O280" s="109"/>
      <x:c r="P280" s="109"/>
      <x:c r="Q280" s="16"/>
      <x:c r="R280" s="16"/>
      <x:c r="S280" s="109"/>
      <x:c r="T280" s="16"/>
      <x:c r="U280" s="16"/>
      <x:c r="V280" s="16"/>
      <x:c r="W280" s="18" t="str">
        <x:f>IF(A280="","",IF(H280="","",IF(I280&lt;&gt;"",I280-H280+1,IF(S280&lt;&gt;"",S280-H280+1,""))))</x:f>
      </x:c>
      <x:c r="X280" s="16"/>
      <x:c r="Y280" s="16"/>
      <x:c r="Z280" s="16"/>
      <x:c r="AA280" s="16"/>
      <x:c r="AB280" s="109"/>
      <x:c r="AC280" s="109"/>
      <x:c r="AD280" s="16"/>
      <x:c r="AE280" s="16"/>
      <x:c r="AF280" s="16"/>
    </x:row>
    <x:row r="281">
      <x:c r="A281" s="16"/>
      <x:c r="B281" s="16"/>
      <x:c r="C281" s="16"/>
      <x:c r="D281" s="16"/>
      <x:c r="E281" s="16"/>
      <x:c r="F281" s="16"/>
      <x:c r="G281" s="16"/>
      <x:c r="H281" s="109"/>
      <x:c r="I281" s="109"/>
      <x:c r="J281" s="16"/>
      <x:c r="K281" s="16"/>
      <x:c r="L281" s="16"/>
      <x:c r="M281" s="16"/>
      <x:c r="N281" s="16"/>
      <x:c r="O281" s="109"/>
      <x:c r="P281" s="109"/>
      <x:c r="Q281" s="16"/>
      <x:c r="R281" s="16"/>
      <x:c r="S281" s="109"/>
      <x:c r="T281" s="16"/>
      <x:c r="U281" s="16"/>
      <x:c r="V281" s="16"/>
      <x:c r="W281" s="18" t="str">
        <x:f>IF(A281="","",IF(H281="","",IF(I281&lt;&gt;"",I281-H281+1,IF(S281&lt;&gt;"",S281-H281+1,""))))</x:f>
      </x:c>
      <x:c r="X281" s="16"/>
      <x:c r="Y281" s="16"/>
      <x:c r="Z281" s="16"/>
      <x:c r="AA281" s="16"/>
      <x:c r="AB281" s="109"/>
      <x:c r="AC281" s="109"/>
      <x:c r="AD281" s="16"/>
      <x:c r="AE281" s="16"/>
      <x:c r="AF281" s="16"/>
    </x:row>
    <x:row r="282">
      <x:c r="A282" s="16"/>
      <x:c r="B282" s="16"/>
      <x:c r="C282" s="16"/>
      <x:c r="D282" s="16"/>
      <x:c r="E282" s="16"/>
      <x:c r="F282" s="16"/>
      <x:c r="G282" s="16"/>
      <x:c r="H282" s="109"/>
      <x:c r="I282" s="109"/>
      <x:c r="J282" s="16"/>
      <x:c r="K282" s="16"/>
      <x:c r="L282" s="16"/>
      <x:c r="M282" s="16"/>
      <x:c r="N282" s="16"/>
      <x:c r="O282" s="109"/>
      <x:c r="P282" s="109"/>
      <x:c r="Q282" s="16"/>
      <x:c r="R282" s="16"/>
      <x:c r="S282" s="109"/>
      <x:c r="T282" s="16"/>
      <x:c r="U282" s="16"/>
      <x:c r="V282" s="16"/>
      <x:c r="W282" s="18" t="str">
        <x:f>IF(A282="","",IF(H282="","",IF(I282&lt;&gt;"",I282-H282+1,IF(S282&lt;&gt;"",S282-H282+1,""))))</x:f>
      </x:c>
      <x:c r="X282" s="16"/>
      <x:c r="Y282" s="16"/>
      <x:c r="Z282" s="16"/>
      <x:c r="AA282" s="16"/>
      <x:c r="AB282" s="109"/>
      <x:c r="AC282" s="109"/>
      <x:c r="AD282" s="16"/>
      <x:c r="AE282" s="16"/>
      <x:c r="AF282" s="16"/>
    </x:row>
    <x:row r="283">
      <x:c r="A283" s="16"/>
      <x:c r="B283" s="16"/>
      <x:c r="C283" s="16"/>
      <x:c r="D283" s="16"/>
      <x:c r="E283" s="16"/>
      <x:c r="F283" s="16"/>
      <x:c r="G283" s="16"/>
      <x:c r="H283" s="109"/>
      <x:c r="I283" s="109"/>
      <x:c r="J283" s="16"/>
      <x:c r="K283" s="16"/>
      <x:c r="L283" s="16"/>
      <x:c r="M283" s="16"/>
      <x:c r="N283" s="16"/>
      <x:c r="O283" s="109"/>
      <x:c r="P283" s="109"/>
      <x:c r="Q283" s="16"/>
      <x:c r="R283" s="16"/>
      <x:c r="S283" s="109"/>
      <x:c r="T283" s="16"/>
      <x:c r="U283" s="16"/>
      <x:c r="V283" s="16"/>
      <x:c r="W283" s="18" t="str">
        <x:f>IF(A283="","",IF(H283="","",IF(I283&lt;&gt;"",I283-H283+1,IF(S283&lt;&gt;"",S283-H283+1,""))))</x:f>
      </x:c>
      <x:c r="X283" s="16"/>
      <x:c r="Y283" s="16"/>
      <x:c r="Z283" s="16"/>
      <x:c r="AA283" s="16"/>
      <x:c r="AB283" s="109"/>
      <x:c r="AC283" s="109"/>
      <x:c r="AD283" s="16"/>
      <x:c r="AE283" s="16"/>
      <x:c r="AF283" s="16"/>
    </x:row>
    <x:row r="284">
      <x:c r="A284" s="16"/>
      <x:c r="B284" s="16"/>
      <x:c r="C284" s="16"/>
      <x:c r="D284" s="16"/>
      <x:c r="E284" s="16"/>
      <x:c r="F284" s="16"/>
      <x:c r="G284" s="16"/>
      <x:c r="H284" s="109"/>
      <x:c r="I284" s="109"/>
      <x:c r="J284" s="16"/>
      <x:c r="K284" s="16"/>
      <x:c r="L284" s="16"/>
      <x:c r="M284" s="16"/>
      <x:c r="N284" s="16"/>
      <x:c r="O284" s="109"/>
      <x:c r="P284" s="109"/>
      <x:c r="Q284" s="16"/>
      <x:c r="R284" s="16"/>
      <x:c r="S284" s="109"/>
      <x:c r="T284" s="16"/>
      <x:c r="U284" s="16"/>
      <x:c r="V284" s="16"/>
      <x:c r="W284" s="18" t="str">
        <x:f>IF(A284="","",IF(H284="","",IF(I284&lt;&gt;"",I284-H284+1,IF(S284&lt;&gt;"",S284-H284+1,""))))</x:f>
      </x:c>
      <x:c r="X284" s="16"/>
      <x:c r="Y284" s="16"/>
      <x:c r="Z284" s="16"/>
      <x:c r="AA284" s="16"/>
      <x:c r="AB284" s="109"/>
      <x:c r="AC284" s="109"/>
      <x:c r="AD284" s="16"/>
      <x:c r="AE284" s="16"/>
      <x:c r="AF284" s="16"/>
    </x:row>
    <x:row r="285">
      <x:c r="A285" s="16"/>
      <x:c r="B285" s="16"/>
      <x:c r="C285" s="16"/>
      <x:c r="D285" s="16"/>
      <x:c r="E285" s="16"/>
      <x:c r="F285" s="16"/>
      <x:c r="G285" s="16"/>
      <x:c r="H285" s="109"/>
      <x:c r="I285" s="109"/>
      <x:c r="J285" s="16"/>
      <x:c r="K285" s="16"/>
      <x:c r="L285" s="16"/>
      <x:c r="M285" s="16"/>
      <x:c r="N285" s="16"/>
      <x:c r="O285" s="109"/>
      <x:c r="P285" s="109"/>
      <x:c r="Q285" s="16"/>
      <x:c r="R285" s="16"/>
      <x:c r="S285" s="109"/>
      <x:c r="T285" s="16"/>
      <x:c r="U285" s="16"/>
      <x:c r="V285" s="16"/>
      <x:c r="W285" s="18" t="str">
        <x:f>IF(A285="","",IF(H285="","",IF(I285&lt;&gt;"",I285-H285+1,IF(S285&lt;&gt;"",S285-H285+1,""))))</x:f>
      </x:c>
      <x:c r="X285" s="16"/>
      <x:c r="Y285" s="16"/>
      <x:c r="Z285" s="16"/>
      <x:c r="AA285" s="16"/>
      <x:c r="AB285" s="109"/>
      <x:c r="AC285" s="109"/>
      <x:c r="AD285" s="16"/>
      <x:c r="AE285" s="16"/>
      <x:c r="AF285" s="16"/>
    </x:row>
    <x:row r="286">
      <x:c r="A286" s="16"/>
      <x:c r="B286" s="16"/>
      <x:c r="C286" s="16"/>
      <x:c r="D286" s="16"/>
      <x:c r="E286" s="16"/>
      <x:c r="F286" s="16"/>
      <x:c r="G286" s="16"/>
      <x:c r="H286" s="109"/>
      <x:c r="I286" s="109"/>
      <x:c r="J286" s="16"/>
      <x:c r="K286" s="16"/>
      <x:c r="L286" s="16"/>
      <x:c r="M286" s="16"/>
      <x:c r="N286" s="16"/>
      <x:c r="O286" s="109"/>
      <x:c r="P286" s="109"/>
      <x:c r="Q286" s="16"/>
      <x:c r="R286" s="16"/>
      <x:c r="S286" s="109"/>
      <x:c r="T286" s="16"/>
      <x:c r="U286" s="16"/>
      <x:c r="V286" s="16"/>
      <x:c r="W286" s="18" t="str">
        <x:f>IF(A286="","",IF(H286="","",IF(I286&lt;&gt;"",I286-H286+1,IF(S286&lt;&gt;"",S286-H286+1,""))))</x:f>
      </x:c>
      <x:c r="X286" s="16"/>
      <x:c r="Y286" s="16"/>
      <x:c r="Z286" s="16"/>
      <x:c r="AA286" s="16"/>
      <x:c r="AB286" s="109"/>
      <x:c r="AC286" s="109"/>
      <x:c r="AD286" s="16"/>
      <x:c r="AE286" s="16"/>
      <x:c r="AF286" s="16"/>
    </x:row>
    <x:row r="287">
      <x:c r="A287" s="16"/>
      <x:c r="B287" s="16"/>
      <x:c r="C287" s="16"/>
      <x:c r="D287" s="16"/>
      <x:c r="E287" s="16"/>
      <x:c r="F287" s="16"/>
      <x:c r="G287" s="16"/>
      <x:c r="H287" s="109"/>
      <x:c r="I287" s="109"/>
      <x:c r="J287" s="16"/>
      <x:c r="K287" s="16"/>
      <x:c r="L287" s="16"/>
      <x:c r="M287" s="16"/>
      <x:c r="N287" s="16"/>
      <x:c r="O287" s="109"/>
      <x:c r="P287" s="109"/>
      <x:c r="Q287" s="16"/>
      <x:c r="R287" s="16"/>
      <x:c r="S287" s="109"/>
      <x:c r="T287" s="16"/>
      <x:c r="U287" s="16"/>
      <x:c r="V287" s="16"/>
      <x:c r="W287" s="18" t="str">
        <x:f>IF(A287="","",IF(H287="","",IF(I287&lt;&gt;"",I287-H287+1,IF(S287&lt;&gt;"",S287-H287+1,""))))</x:f>
      </x:c>
      <x:c r="X287" s="16"/>
      <x:c r="Y287" s="16"/>
      <x:c r="Z287" s="16"/>
      <x:c r="AA287" s="16"/>
      <x:c r="AB287" s="109"/>
      <x:c r="AC287" s="109"/>
      <x:c r="AD287" s="16"/>
      <x:c r="AE287" s="16"/>
      <x:c r="AF287" s="16"/>
    </x:row>
    <x:row r="288">
      <x:c r="A288" s="16"/>
      <x:c r="B288" s="16"/>
      <x:c r="C288" s="16"/>
      <x:c r="D288" s="16"/>
      <x:c r="E288" s="16"/>
      <x:c r="F288" s="16"/>
      <x:c r="G288" s="16"/>
      <x:c r="H288" s="109"/>
      <x:c r="I288" s="109"/>
      <x:c r="J288" s="16"/>
      <x:c r="K288" s="16"/>
      <x:c r="L288" s="16"/>
      <x:c r="M288" s="16"/>
      <x:c r="N288" s="16"/>
      <x:c r="O288" s="109"/>
      <x:c r="P288" s="109"/>
      <x:c r="Q288" s="16"/>
      <x:c r="R288" s="16"/>
      <x:c r="S288" s="109"/>
      <x:c r="T288" s="16"/>
      <x:c r="U288" s="16"/>
      <x:c r="V288" s="16"/>
      <x:c r="W288" s="18" t="str">
        <x:f>IF(A288="","",IF(H288="","",IF(I288&lt;&gt;"",I288-H288+1,IF(S288&lt;&gt;"",S288-H288+1,""))))</x:f>
      </x:c>
      <x:c r="X288" s="16"/>
      <x:c r="Y288" s="16"/>
      <x:c r="Z288" s="16"/>
      <x:c r="AA288" s="16"/>
      <x:c r="AB288" s="109"/>
      <x:c r="AC288" s="109"/>
      <x:c r="AD288" s="16"/>
      <x:c r="AE288" s="16"/>
      <x:c r="AF288" s="16"/>
    </x:row>
    <x:row r="289">
      <x:c r="A289" s="16"/>
      <x:c r="B289" s="16"/>
      <x:c r="C289" s="16"/>
      <x:c r="D289" s="16"/>
      <x:c r="E289" s="16"/>
      <x:c r="F289" s="16"/>
      <x:c r="G289" s="16"/>
      <x:c r="H289" s="109"/>
      <x:c r="I289" s="109"/>
      <x:c r="J289" s="16"/>
      <x:c r="K289" s="16"/>
      <x:c r="L289" s="16"/>
      <x:c r="M289" s="16"/>
      <x:c r="N289" s="16"/>
      <x:c r="O289" s="109"/>
      <x:c r="P289" s="109"/>
      <x:c r="Q289" s="16"/>
      <x:c r="R289" s="16"/>
      <x:c r="S289" s="109"/>
      <x:c r="T289" s="16"/>
      <x:c r="U289" s="16"/>
      <x:c r="V289" s="16"/>
      <x:c r="W289" s="18" t="str">
        <x:f>IF(A289="","",IF(H289="","",IF(I289&lt;&gt;"",I289-H289+1,IF(S289&lt;&gt;"",S289-H289+1,""))))</x:f>
      </x:c>
      <x:c r="X289" s="16"/>
      <x:c r="Y289" s="16"/>
      <x:c r="Z289" s="16"/>
      <x:c r="AA289" s="16"/>
      <x:c r="AB289" s="109"/>
      <x:c r="AC289" s="109"/>
      <x:c r="AD289" s="16"/>
      <x:c r="AE289" s="16"/>
      <x:c r="AF289" s="16"/>
    </x:row>
    <x:row r="290">
      <x:c r="A290" s="16"/>
      <x:c r="B290" s="16"/>
      <x:c r="C290" s="16"/>
      <x:c r="D290" s="16"/>
      <x:c r="E290" s="16"/>
      <x:c r="F290" s="16"/>
      <x:c r="G290" s="16"/>
      <x:c r="H290" s="109"/>
      <x:c r="I290" s="109"/>
      <x:c r="J290" s="16"/>
      <x:c r="K290" s="16"/>
      <x:c r="L290" s="16"/>
      <x:c r="M290" s="16"/>
      <x:c r="N290" s="16"/>
      <x:c r="O290" s="109"/>
      <x:c r="P290" s="109"/>
      <x:c r="Q290" s="16"/>
      <x:c r="R290" s="16"/>
      <x:c r="S290" s="109"/>
      <x:c r="T290" s="16"/>
      <x:c r="U290" s="16"/>
      <x:c r="V290" s="16"/>
      <x:c r="W290" s="18" t="str">
        <x:f>IF(A290="","",IF(H290="","",IF(I290&lt;&gt;"",I290-H290+1,IF(S290&lt;&gt;"",S290-H290+1,""))))</x:f>
      </x:c>
      <x:c r="X290" s="16"/>
      <x:c r="Y290" s="16"/>
      <x:c r="Z290" s="16"/>
      <x:c r="AA290" s="16"/>
      <x:c r="AB290" s="109"/>
      <x:c r="AC290" s="109"/>
      <x:c r="AD290" s="16"/>
      <x:c r="AE290" s="16"/>
      <x:c r="AF290" s="16"/>
    </x:row>
    <x:row r="291">
      <x:c r="A291" s="16"/>
      <x:c r="B291" s="16"/>
      <x:c r="C291" s="16"/>
      <x:c r="D291" s="16"/>
      <x:c r="E291" s="16"/>
      <x:c r="F291" s="16"/>
      <x:c r="G291" s="16"/>
      <x:c r="H291" s="109"/>
      <x:c r="I291" s="109"/>
      <x:c r="J291" s="16"/>
      <x:c r="K291" s="16"/>
      <x:c r="L291" s="16"/>
      <x:c r="M291" s="16"/>
      <x:c r="N291" s="16"/>
      <x:c r="O291" s="109"/>
      <x:c r="P291" s="109"/>
      <x:c r="Q291" s="16"/>
      <x:c r="R291" s="16"/>
      <x:c r="S291" s="109"/>
      <x:c r="T291" s="16"/>
      <x:c r="U291" s="16"/>
      <x:c r="V291" s="16"/>
      <x:c r="W291" s="18" t="str">
        <x:f>IF(A291="","",IF(H291="","",IF(I291&lt;&gt;"",I291-H291+1,IF(S291&lt;&gt;"",S291-H291+1,""))))</x:f>
      </x:c>
      <x:c r="X291" s="16"/>
      <x:c r="Y291" s="16"/>
      <x:c r="Z291" s="16"/>
      <x:c r="AA291" s="16"/>
      <x:c r="AB291" s="109"/>
      <x:c r="AC291" s="109"/>
      <x:c r="AD291" s="16"/>
      <x:c r="AE291" s="16"/>
      <x:c r="AF291" s="16"/>
    </x:row>
    <x:row r="292">
      <x:c r="A292" s="16"/>
      <x:c r="B292" s="16"/>
      <x:c r="C292" s="16"/>
      <x:c r="D292" s="16"/>
      <x:c r="E292" s="16"/>
      <x:c r="F292" s="16"/>
      <x:c r="G292" s="16"/>
      <x:c r="H292" s="109"/>
      <x:c r="I292" s="109"/>
      <x:c r="J292" s="16"/>
      <x:c r="K292" s="16"/>
      <x:c r="L292" s="16"/>
      <x:c r="M292" s="16"/>
      <x:c r="N292" s="16"/>
      <x:c r="O292" s="109"/>
      <x:c r="P292" s="109"/>
      <x:c r="Q292" s="16"/>
      <x:c r="R292" s="16"/>
      <x:c r="S292" s="109"/>
      <x:c r="T292" s="16"/>
      <x:c r="U292" s="16"/>
      <x:c r="V292" s="16"/>
      <x:c r="W292" s="18" t="str">
        <x:f>IF(A292="","",IF(H292="","",IF(I292&lt;&gt;"",I292-H292+1,IF(S292&lt;&gt;"",S292-H292+1,""))))</x:f>
      </x:c>
      <x:c r="X292" s="16"/>
      <x:c r="Y292" s="16"/>
      <x:c r="Z292" s="16"/>
      <x:c r="AA292" s="16"/>
      <x:c r="AB292" s="109"/>
      <x:c r="AC292" s="109"/>
      <x:c r="AD292" s="16"/>
      <x:c r="AE292" s="16"/>
      <x:c r="AF292" s="16"/>
    </x:row>
    <x:row r="293">
      <x:c r="A293" s="16"/>
      <x:c r="B293" s="16"/>
      <x:c r="C293" s="16"/>
      <x:c r="D293" s="16"/>
      <x:c r="E293" s="16"/>
      <x:c r="F293" s="16"/>
      <x:c r="G293" s="16"/>
      <x:c r="H293" s="109"/>
      <x:c r="I293" s="109"/>
      <x:c r="J293" s="16"/>
      <x:c r="K293" s="16"/>
      <x:c r="L293" s="16"/>
      <x:c r="M293" s="16"/>
      <x:c r="N293" s="16"/>
      <x:c r="O293" s="109"/>
      <x:c r="P293" s="109"/>
      <x:c r="Q293" s="16"/>
      <x:c r="R293" s="16"/>
      <x:c r="S293" s="109"/>
      <x:c r="T293" s="16"/>
      <x:c r="U293" s="16"/>
      <x:c r="V293" s="16"/>
      <x:c r="W293" s="18" t="str">
        <x:f>IF(A293="","",IF(H293="","",IF(I293&lt;&gt;"",I293-H293+1,IF(S293&lt;&gt;"",S293-H293+1,""))))</x:f>
      </x:c>
      <x:c r="X293" s="16"/>
      <x:c r="Y293" s="16"/>
      <x:c r="Z293" s="16"/>
      <x:c r="AA293" s="16"/>
      <x:c r="AB293" s="109"/>
      <x:c r="AC293" s="109"/>
      <x:c r="AD293" s="16"/>
      <x:c r="AE293" s="16"/>
      <x:c r="AF293" s="16"/>
    </x:row>
    <x:row r="294">
      <x:c r="A294" s="16"/>
      <x:c r="B294" s="16"/>
      <x:c r="C294" s="16"/>
      <x:c r="D294" s="16"/>
      <x:c r="E294" s="16"/>
      <x:c r="F294" s="16"/>
      <x:c r="G294" s="16"/>
      <x:c r="H294" s="109"/>
      <x:c r="I294" s="109"/>
      <x:c r="J294" s="16"/>
      <x:c r="K294" s="16"/>
      <x:c r="L294" s="16"/>
      <x:c r="M294" s="16"/>
      <x:c r="N294" s="16"/>
      <x:c r="O294" s="109"/>
      <x:c r="P294" s="109"/>
      <x:c r="Q294" s="16"/>
      <x:c r="R294" s="16"/>
      <x:c r="S294" s="109"/>
      <x:c r="T294" s="16"/>
      <x:c r="U294" s="16"/>
      <x:c r="V294" s="16"/>
      <x:c r="W294" s="18" t="str">
        <x:f>IF(A294="","",IF(H294="","",IF(I294&lt;&gt;"",I294-H294+1,IF(S294&lt;&gt;"",S294-H294+1,""))))</x:f>
      </x:c>
      <x:c r="X294" s="16"/>
      <x:c r="Y294" s="16"/>
      <x:c r="Z294" s="16"/>
      <x:c r="AA294" s="16"/>
      <x:c r="AB294" s="109"/>
      <x:c r="AC294" s="109"/>
      <x:c r="AD294" s="16"/>
      <x:c r="AE294" s="16"/>
      <x:c r="AF294" s="16"/>
    </x:row>
    <x:row r="295">
      <x:c r="A295" s="16"/>
      <x:c r="B295" s="16"/>
      <x:c r="C295" s="16"/>
      <x:c r="D295" s="16"/>
      <x:c r="E295" s="16"/>
      <x:c r="F295" s="16"/>
      <x:c r="G295" s="16"/>
      <x:c r="H295" s="109"/>
      <x:c r="I295" s="109"/>
      <x:c r="J295" s="16"/>
      <x:c r="K295" s="16"/>
      <x:c r="L295" s="16"/>
      <x:c r="M295" s="16"/>
      <x:c r="N295" s="16"/>
      <x:c r="O295" s="109"/>
      <x:c r="P295" s="109"/>
      <x:c r="Q295" s="16"/>
      <x:c r="R295" s="16"/>
      <x:c r="S295" s="109"/>
      <x:c r="T295" s="16"/>
      <x:c r="U295" s="16"/>
      <x:c r="V295" s="16"/>
      <x:c r="W295" s="18" t="str">
        <x:f>IF(A295="","",IF(H295="","",IF(I295&lt;&gt;"",I295-H295+1,IF(S295&lt;&gt;"",S295-H295+1,""))))</x:f>
      </x:c>
      <x:c r="X295" s="16"/>
      <x:c r="Y295" s="16"/>
      <x:c r="Z295" s="16"/>
      <x:c r="AA295" s="16"/>
      <x:c r="AB295" s="109"/>
      <x:c r="AC295" s="109"/>
      <x:c r="AD295" s="16"/>
      <x:c r="AE295" s="16"/>
      <x:c r="AF295" s="16"/>
    </x:row>
    <x:row r="296">
      <x:c r="A296" s="16"/>
      <x:c r="B296" s="16"/>
      <x:c r="C296" s="16"/>
      <x:c r="D296" s="16"/>
      <x:c r="E296" s="16"/>
      <x:c r="F296" s="16"/>
      <x:c r="G296" s="16"/>
      <x:c r="H296" s="109"/>
      <x:c r="I296" s="109"/>
      <x:c r="J296" s="16"/>
      <x:c r="K296" s="16"/>
      <x:c r="L296" s="16"/>
      <x:c r="M296" s="16"/>
      <x:c r="N296" s="16"/>
      <x:c r="O296" s="109"/>
      <x:c r="P296" s="109"/>
      <x:c r="Q296" s="16"/>
      <x:c r="R296" s="16"/>
      <x:c r="S296" s="109"/>
      <x:c r="T296" s="16"/>
      <x:c r="U296" s="16"/>
      <x:c r="V296" s="16"/>
      <x:c r="W296" s="18" t="str">
        <x:f>IF(A296="","",IF(H296="","",IF(I296&lt;&gt;"",I296-H296+1,IF(S296&lt;&gt;"",S296-H296+1,""))))</x:f>
      </x:c>
      <x:c r="X296" s="16"/>
      <x:c r="Y296" s="16"/>
      <x:c r="Z296" s="16"/>
      <x:c r="AA296" s="16"/>
      <x:c r="AB296" s="109"/>
      <x:c r="AC296" s="109"/>
      <x:c r="AD296" s="16"/>
      <x:c r="AE296" s="16"/>
      <x:c r="AF296" s="16"/>
    </x:row>
    <x:row r="297">
      <x:c r="A297" s="16"/>
      <x:c r="B297" s="16"/>
      <x:c r="C297" s="16"/>
      <x:c r="D297" s="16"/>
      <x:c r="E297" s="16"/>
      <x:c r="F297" s="16"/>
      <x:c r="G297" s="16"/>
      <x:c r="H297" s="109"/>
      <x:c r="I297" s="109"/>
      <x:c r="J297" s="16"/>
      <x:c r="K297" s="16"/>
      <x:c r="L297" s="16"/>
      <x:c r="M297" s="16"/>
      <x:c r="N297" s="16"/>
      <x:c r="O297" s="109"/>
      <x:c r="P297" s="109"/>
      <x:c r="Q297" s="16"/>
      <x:c r="R297" s="16"/>
      <x:c r="S297" s="109"/>
      <x:c r="T297" s="16"/>
      <x:c r="U297" s="16"/>
      <x:c r="V297" s="16"/>
      <x:c r="W297" s="18" t="str">
        <x:f>IF(A297="","",IF(H297="","",IF(I297&lt;&gt;"",I297-H297+1,IF(S297&lt;&gt;"",S297-H297+1,""))))</x:f>
      </x:c>
      <x:c r="X297" s="16"/>
      <x:c r="Y297" s="16"/>
      <x:c r="Z297" s="16"/>
      <x:c r="AA297" s="16"/>
      <x:c r="AB297" s="109"/>
      <x:c r="AC297" s="109"/>
      <x:c r="AD297" s="16"/>
      <x:c r="AE297" s="16"/>
      <x:c r="AF297" s="16"/>
    </x:row>
    <x:row r="298">
      <x:c r="A298" s="16"/>
      <x:c r="B298" s="16"/>
      <x:c r="C298" s="16"/>
      <x:c r="D298" s="16"/>
      <x:c r="E298" s="16"/>
      <x:c r="F298" s="16"/>
      <x:c r="G298" s="16"/>
      <x:c r="H298" s="109"/>
      <x:c r="I298" s="109"/>
      <x:c r="J298" s="16"/>
      <x:c r="K298" s="16"/>
      <x:c r="L298" s="16"/>
      <x:c r="M298" s="16"/>
      <x:c r="N298" s="16"/>
      <x:c r="O298" s="109"/>
      <x:c r="P298" s="109"/>
      <x:c r="Q298" s="16"/>
      <x:c r="R298" s="16"/>
      <x:c r="S298" s="109"/>
      <x:c r="T298" s="16"/>
      <x:c r="U298" s="16"/>
      <x:c r="V298" s="16"/>
      <x:c r="W298" s="18" t="str">
        <x:f>IF(A298="","",IF(H298="","",IF(I298&lt;&gt;"",I298-H298+1,IF(S298&lt;&gt;"",S298-H298+1,""))))</x:f>
      </x:c>
      <x:c r="X298" s="16"/>
      <x:c r="Y298" s="16"/>
      <x:c r="Z298" s="16"/>
      <x:c r="AA298" s="16"/>
      <x:c r="AB298" s="109"/>
      <x:c r="AC298" s="109"/>
      <x:c r="AD298" s="16"/>
      <x:c r="AE298" s="16"/>
      <x:c r="AF298" s="16"/>
    </x:row>
    <x:row r="299">
      <x:c r="A299" s="16"/>
      <x:c r="B299" s="16"/>
      <x:c r="C299" s="16"/>
      <x:c r="D299" s="16"/>
      <x:c r="E299" s="16"/>
      <x:c r="F299" s="16"/>
      <x:c r="G299" s="16"/>
      <x:c r="H299" s="109"/>
      <x:c r="I299" s="109"/>
      <x:c r="J299" s="16"/>
      <x:c r="K299" s="16"/>
      <x:c r="L299" s="16"/>
      <x:c r="M299" s="16"/>
      <x:c r="N299" s="16"/>
      <x:c r="O299" s="109"/>
      <x:c r="P299" s="109"/>
      <x:c r="Q299" s="16"/>
      <x:c r="R299" s="16"/>
      <x:c r="S299" s="109"/>
      <x:c r="T299" s="16"/>
      <x:c r="U299" s="16"/>
      <x:c r="V299" s="16"/>
      <x:c r="W299" s="18" t="str">
        <x:f>IF(A299="","",IF(H299="","",IF(I299&lt;&gt;"",I299-H299+1,IF(S299&lt;&gt;"",S299-H299+1,""))))</x:f>
      </x:c>
      <x:c r="X299" s="16"/>
      <x:c r="Y299" s="16"/>
      <x:c r="Z299" s="16"/>
      <x:c r="AA299" s="16"/>
      <x:c r="AB299" s="109"/>
      <x:c r="AC299" s="109"/>
      <x:c r="AD299" s="16"/>
      <x:c r="AE299" s="16"/>
      <x:c r="AF299" s="16"/>
    </x:row>
    <x:row r="300">
      <x:c r="A300" s="16"/>
      <x:c r="B300" s="16"/>
      <x:c r="C300" s="16"/>
      <x:c r="D300" s="16"/>
      <x:c r="E300" s="16"/>
      <x:c r="F300" s="16"/>
      <x:c r="G300" s="16"/>
      <x:c r="H300" s="109"/>
      <x:c r="I300" s="109"/>
      <x:c r="J300" s="16"/>
      <x:c r="K300" s="16"/>
      <x:c r="L300" s="16"/>
      <x:c r="M300" s="16"/>
      <x:c r="N300" s="16"/>
      <x:c r="O300" s="109"/>
      <x:c r="P300" s="109"/>
      <x:c r="Q300" s="16"/>
      <x:c r="R300" s="16"/>
      <x:c r="S300" s="109"/>
      <x:c r="T300" s="16"/>
      <x:c r="U300" s="16"/>
      <x:c r="V300" s="16"/>
      <x:c r="W300" s="18" t="str">
        <x:f>IF(A300="","",IF(H300="","",IF(I300&lt;&gt;"",I300-H300+1,IF(S300&lt;&gt;"",S300-H300+1,""))))</x:f>
      </x:c>
      <x:c r="X300" s="16"/>
      <x:c r="Y300" s="16"/>
      <x:c r="Z300" s="16"/>
      <x:c r="AA300" s="16"/>
      <x:c r="AB300" s="109"/>
      <x:c r="AC300" s="109"/>
      <x:c r="AD300" s="16"/>
      <x:c r="AE300" s="16"/>
      <x:c r="AF300" s="16"/>
    </x:row>
    <x:row r="301">
      <x:c r="A301" s="16"/>
      <x:c r="B301" s="16"/>
      <x:c r="C301" s="16"/>
      <x:c r="D301" s="16"/>
      <x:c r="E301" s="16"/>
      <x:c r="F301" s="16"/>
      <x:c r="G301" s="16"/>
      <x:c r="H301" s="109"/>
      <x:c r="I301" s="109"/>
      <x:c r="J301" s="16"/>
      <x:c r="K301" s="16"/>
      <x:c r="L301" s="16"/>
      <x:c r="M301" s="16"/>
      <x:c r="N301" s="16"/>
      <x:c r="O301" s="109"/>
      <x:c r="P301" s="109"/>
      <x:c r="Q301" s="16"/>
      <x:c r="R301" s="16"/>
      <x:c r="S301" s="109"/>
      <x:c r="T301" s="16"/>
      <x:c r="U301" s="16"/>
      <x:c r="V301" s="16"/>
      <x:c r="W301" s="18" t="str">
        <x:f>IF(A301="","",IF(H301="","",IF(I301&lt;&gt;"",I301-H301+1,IF(S301&lt;&gt;"",S301-H301+1,""))))</x:f>
      </x:c>
      <x:c r="X301" s="16"/>
      <x:c r="Y301" s="16"/>
      <x:c r="Z301" s="16"/>
      <x:c r="AA301" s="16"/>
      <x:c r="AB301" s="109"/>
      <x:c r="AC301" s="109"/>
      <x:c r="AD301" s="16"/>
      <x:c r="AE301" s="16"/>
      <x:c r="AF301" s="16"/>
    </x:row>
    <x:row r="302">
      <x:c r="A302" s="16"/>
      <x:c r="B302" s="16"/>
      <x:c r="C302" s="16"/>
      <x:c r="D302" s="16"/>
      <x:c r="E302" s="16"/>
      <x:c r="F302" s="16"/>
      <x:c r="G302" s="16"/>
      <x:c r="H302" s="109"/>
      <x:c r="I302" s="109"/>
      <x:c r="J302" s="16"/>
      <x:c r="K302" s="16"/>
      <x:c r="L302" s="16"/>
      <x:c r="M302" s="16"/>
      <x:c r="N302" s="16"/>
      <x:c r="O302" s="109"/>
      <x:c r="P302" s="109"/>
      <x:c r="Q302" s="16"/>
      <x:c r="R302" s="16"/>
      <x:c r="S302" s="109"/>
      <x:c r="T302" s="16"/>
      <x:c r="U302" s="16"/>
      <x:c r="V302" s="16"/>
      <x:c r="W302" s="18" t="str">
        <x:f>IF(A302="","",IF(H302="","",IF(I302&lt;&gt;"",I302-H302+1,IF(S302&lt;&gt;"",S302-H302+1,""))))</x:f>
      </x:c>
      <x:c r="X302" s="16"/>
      <x:c r="Y302" s="16"/>
      <x:c r="Z302" s="16"/>
      <x:c r="AA302" s="16"/>
      <x:c r="AB302" s="109"/>
      <x:c r="AC302" s="109"/>
      <x:c r="AD302" s="16"/>
      <x:c r="AE302" s="16"/>
      <x:c r="AF302" s="16"/>
    </x:row>
    <x:row r="303">
      <x:c r="A303" s="16"/>
      <x:c r="B303" s="16"/>
      <x:c r="C303" s="16"/>
      <x:c r="D303" s="16"/>
      <x:c r="E303" s="16"/>
      <x:c r="F303" s="16"/>
      <x:c r="G303" s="16"/>
      <x:c r="H303" s="109"/>
      <x:c r="I303" s="109"/>
      <x:c r="J303" s="16"/>
      <x:c r="K303" s="16"/>
      <x:c r="L303" s="16"/>
      <x:c r="M303" s="16"/>
      <x:c r="N303" s="16"/>
      <x:c r="O303" s="109"/>
      <x:c r="P303" s="109"/>
      <x:c r="Q303" s="16"/>
      <x:c r="R303" s="16"/>
      <x:c r="S303" s="109"/>
      <x:c r="T303" s="16"/>
      <x:c r="U303" s="16"/>
      <x:c r="V303" s="16"/>
      <x:c r="W303" s="18" t="str">
        <x:f>IF(A303="","",IF(H303="","",IF(I303&lt;&gt;"",I303-H303+1,IF(S303&lt;&gt;"",S303-H303+1,""))))</x:f>
      </x:c>
      <x:c r="X303" s="16"/>
      <x:c r="Y303" s="16"/>
      <x:c r="Z303" s="16"/>
      <x:c r="AA303" s="16"/>
      <x:c r="AB303" s="109"/>
      <x:c r="AC303" s="109"/>
      <x:c r="AD303" s="16"/>
      <x:c r="AE303" s="16"/>
      <x:c r="AF303" s="16"/>
    </x:row>
    <x:row r="304">
      <x:c r="A304" s="16"/>
      <x:c r="B304" s="16"/>
      <x:c r="C304" s="16"/>
      <x:c r="D304" s="16"/>
      <x:c r="E304" s="16"/>
      <x:c r="F304" s="16"/>
      <x:c r="G304" s="16"/>
      <x:c r="H304" s="109"/>
      <x:c r="I304" s="109"/>
      <x:c r="J304" s="16"/>
      <x:c r="K304" s="16"/>
      <x:c r="L304" s="16"/>
      <x:c r="M304" s="16"/>
      <x:c r="N304" s="16"/>
      <x:c r="O304" s="109"/>
      <x:c r="P304" s="109"/>
      <x:c r="Q304" s="16"/>
      <x:c r="R304" s="16"/>
      <x:c r="S304" s="109"/>
      <x:c r="T304" s="16"/>
      <x:c r="U304" s="16"/>
      <x:c r="V304" s="16"/>
      <x:c r="W304" s="18" t="str">
        <x:f>IF(A304="","",IF(H304="","",IF(I304&lt;&gt;"",I304-H304+1,IF(S304&lt;&gt;"",S304-H304+1,""))))</x:f>
      </x:c>
      <x:c r="X304" s="16"/>
      <x:c r="Y304" s="16"/>
      <x:c r="Z304" s="16"/>
      <x:c r="AA304" s="16"/>
      <x:c r="AB304" s="109"/>
      <x:c r="AC304" s="109"/>
      <x:c r="AD304" s="16"/>
      <x:c r="AE304" s="16"/>
      <x:c r="AF304" s="16"/>
    </x:row>
    <x:row r="305">
      <x:c r="A305" s="16"/>
      <x:c r="B305" s="16"/>
      <x:c r="C305" s="16"/>
      <x:c r="D305" s="16"/>
      <x:c r="E305" s="16"/>
      <x:c r="F305" s="16"/>
      <x:c r="G305" s="16"/>
      <x:c r="H305" s="109"/>
      <x:c r="I305" s="109"/>
      <x:c r="J305" s="16"/>
      <x:c r="K305" s="16"/>
      <x:c r="L305" s="16"/>
      <x:c r="M305" s="16"/>
      <x:c r="N305" s="16"/>
      <x:c r="O305" s="109"/>
      <x:c r="P305" s="109"/>
      <x:c r="Q305" s="16"/>
      <x:c r="R305" s="16"/>
      <x:c r="S305" s="109"/>
      <x:c r="T305" s="16"/>
      <x:c r="U305" s="16"/>
      <x:c r="V305" s="16"/>
      <x:c r="W305" s="18" t="str">
        <x:f>IF(A305="","",IF(H305="","",IF(I305&lt;&gt;"",I305-H305+1,IF(S305&lt;&gt;"",S305-H305+1,""))))</x:f>
      </x:c>
      <x:c r="X305" s="16"/>
      <x:c r="Y305" s="16"/>
      <x:c r="Z305" s="16"/>
      <x:c r="AA305" s="16"/>
      <x:c r="AB305" s="109"/>
      <x:c r="AC305" s="109"/>
      <x:c r="AD305" s="16"/>
      <x:c r="AE305" s="16"/>
      <x:c r="AF305" s="16"/>
    </x:row>
    <x:row r="306">
      <x:c r="A306" s="16"/>
      <x:c r="B306" s="16"/>
      <x:c r="C306" s="16"/>
      <x:c r="D306" s="16"/>
      <x:c r="E306" s="16"/>
      <x:c r="F306" s="16"/>
      <x:c r="G306" s="16"/>
      <x:c r="H306" s="109"/>
      <x:c r="I306" s="109"/>
      <x:c r="J306" s="16"/>
      <x:c r="K306" s="16"/>
      <x:c r="L306" s="16"/>
      <x:c r="M306" s="16"/>
      <x:c r="N306" s="16"/>
      <x:c r="O306" s="109"/>
      <x:c r="P306" s="109"/>
      <x:c r="Q306" s="16"/>
      <x:c r="R306" s="16"/>
      <x:c r="S306" s="109"/>
      <x:c r="T306" s="16"/>
      <x:c r="U306" s="16"/>
      <x:c r="V306" s="16"/>
      <x:c r="W306" s="18" t="str">
        <x:f>IF(A306="","",IF(H306="","",IF(I306&lt;&gt;"",I306-H306+1,IF(S306&lt;&gt;"",S306-H306+1,""))))</x:f>
      </x:c>
      <x:c r="X306" s="16"/>
      <x:c r="Y306" s="16"/>
      <x:c r="Z306" s="16"/>
      <x:c r="AA306" s="16"/>
      <x:c r="AB306" s="109"/>
      <x:c r="AC306" s="109"/>
      <x:c r="AD306" s="16"/>
      <x:c r="AE306" s="16"/>
      <x:c r="AF306" s="16"/>
    </x:row>
    <x:row r="307">
      <x:c r="A307" s="16"/>
      <x:c r="B307" s="16"/>
      <x:c r="C307" s="16"/>
      <x:c r="D307" s="16"/>
      <x:c r="E307" s="16"/>
      <x:c r="F307" s="16"/>
      <x:c r="G307" s="16"/>
      <x:c r="H307" s="109"/>
      <x:c r="I307" s="109"/>
      <x:c r="J307" s="16"/>
      <x:c r="K307" s="16"/>
      <x:c r="L307" s="16"/>
      <x:c r="M307" s="16"/>
      <x:c r="N307" s="16"/>
      <x:c r="O307" s="109"/>
      <x:c r="P307" s="109"/>
      <x:c r="Q307" s="16"/>
      <x:c r="R307" s="16"/>
      <x:c r="S307" s="109"/>
      <x:c r="T307" s="16"/>
      <x:c r="U307" s="16"/>
      <x:c r="V307" s="16"/>
      <x:c r="W307" s="18" t="str">
        <x:f>IF(A307="","",IF(H307="","",IF(I307&lt;&gt;"",I307-H307+1,IF(S307&lt;&gt;"",S307-H307+1,""))))</x:f>
      </x:c>
      <x:c r="X307" s="16"/>
      <x:c r="Y307" s="16"/>
      <x:c r="Z307" s="16"/>
      <x:c r="AA307" s="16"/>
      <x:c r="AB307" s="109"/>
      <x:c r="AC307" s="109"/>
      <x:c r="AD307" s="16"/>
      <x:c r="AE307" s="16"/>
      <x:c r="AF307" s="16"/>
    </x:row>
    <x:row r="308">
      <x:c r="A308" s="16"/>
      <x:c r="B308" s="16"/>
      <x:c r="C308" s="16"/>
      <x:c r="D308" s="16"/>
      <x:c r="E308" s="16"/>
      <x:c r="F308" s="16"/>
      <x:c r="G308" s="16"/>
      <x:c r="H308" s="109"/>
      <x:c r="I308" s="109"/>
      <x:c r="J308" s="16"/>
      <x:c r="K308" s="16"/>
      <x:c r="L308" s="16"/>
      <x:c r="M308" s="16"/>
      <x:c r="N308" s="16"/>
      <x:c r="O308" s="109"/>
      <x:c r="P308" s="109"/>
      <x:c r="Q308" s="16"/>
      <x:c r="R308" s="16"/>
      <x:c r="S308" s="109"/>
      <x:c r="T308" s="16"/>
      <x:c r="U308" s="16"/>
      <x:c r="V308" s="16"/>
      <x:c r="W308" s="18" t="str">
        <x:f>IF(A308="","",IF(H308="","",IF(I308&lt;&gt;"",I308-H308+1,IF(S308&lt;&gt;"",S308-H308+1,""))))</x:f>
      </x:c>
      <x:c r="X308" s="16"/>
      <x:c r="Y308" s="16"/>
      <x:c r="Z308" s="16"/>
      <x:c r="AA308" s="16"/>
      <x:c r="AB308" s="109"/>
      <x:c r="AC308" s="109"/>
      <x:c r="AD308" s="16"/>
      <x:c r="AE308" s="16"/>
      <x:c r="AF308" s="16"/>
    </x:row>
    <x:row r="309">
      <x:c r="A309" s="16"/>
      <x:c r="B309" s="16"/>
      <x:c r="C309" s="16"/>
      <x:c r="D309" s="16"/>
      <x:c r="E309" s="16"/>
      <x:c r="F309" s="16"/>
      <x:c r="G309" s="16"/>
      <x:c r="H309" s="109"/>
      <x:c r="I309" s="109"/>
      <x:c r="J309" s="16"/>
      <x:c r="K309" s="16"/>
      <x:c r="L309" s="16"/>
      <x:c r="M309" s="16"/>
      <x:c r="N309" s="16"/>
      <x:c r="O309" s="109"/>
      <x:c r="P309" s="109"/>
      <x:c r="Q309" s="16"/>
      <x:c r="R309" s="16"/>
      <x:c r="S309" s="109"/>
      <x:c r="T309" s="16"/>
      <x:c r="U309" s="16"/>
      <x:c r="V309" s="16"/>
      <x:c r="W309" s="18" t="str">
        <x:f>IF(A309="","",IF(H309="","",IF(I309&lt;&gt;"",I309-H309+1,IF(S309&lt;&gt;"",S309-H309+1,""))))</x:f>
      </x:c>
      <x:c r="X309" s="16"/>
      <x:c r="Y309" s="16"/>
      <x:c r="Z309" s="16"/>
      <x:c r="AA309" s="16"/>
      <x:c r="AB309" s="109"/>
      <x:c r="AC309" s="109"/>
      <x:c r="AD309" s="16"/>
      <x:c r="AE309" s="16"/>
      <x:c r="AF309" s="16"/>
    </x:row>
    <x:row r="310">
      <x:c r="A310" s="16"/>
      <x:c r="B310" s="16"/>
      <x:c r="C310" s="16"/>
      <x:c r="D310" s="16"/>
      <x:c r="E310" s="16"/>
      <x:c r="F310" s="16"/>
      <x:c r="G310" s="16"/>
      <x:c r="H310" s="109"/>
      <x:c r="I310" s="109"/>
      <x:c r="J310" s="16"/>
      <x:c r="K310" s="16"/>
      <x:c r="L310" s="16"/>
      <x:c r="M310" s="16"/>
      <x:c r="N310" s="16"/>
      <x:c r="O310" s="109"/>
      <x:c r="P310" s="109"/>
      <x:c r="Q310" s="16"/>
      <x:c r="R310" s="16"/>
      <x:c r="S310" s="109"/>
      <x:c r="T310" s="16"/>
      <x:c r="U310" s="16"/>
      <x:c r="V310" s="16"/>
      <x:c r="W310" s="18" t="str">
        <x:f>IF(A310="","",IF(H310="","",IF(I310&lt;&gt;"",I310-H310+1,IF(S310&lt;&gt;"",S310-H310+1,""))))</x:f>
      </x:c>
      <x:c r="X310" s="16"/>
      <x:c r="Y310" s="16"/>
      <x:c r="Z310" s="16"/>
      <x:c r="AA310" s="16"/>
      <x:c r="AB310" s="109"/>
      <x:c r="AC310" s="109"/>
      <x:c r="AD310" s="16"/>
      <x:c r="AE310" s="16"/>
      <x:c r="AF310" s="16"/>
    </x:row>
    <x:row r="311">
      <x:c r="A311" s="16"/>
      <x:c r="B311" s="16"/>
      <x:c r="C311" s="16"/>
      <x:c r="D311" s="16"/>
      <x:c r="E311" s="16"/>
      <x:c r="F311" s="16"/>
      <x:c r="G311" s="16"/>
      <x:c r="H311" s="109"/>
      <x:c r="I311" s="109"/>
      <x:c r="J311" s="16"/>
      <x:c r="K311" s="16"/>
      <x:c r="L311" s="16"/>
      <x:c r="M311" s="16"/>
      <x:c r="N311" s="16"/>
      <x:c r="O311" s="109"/>
      <x:c r="P311" s="109"/>
      <x:c r="Q311" s="16"/>
      <x:c r="R311" s="16"/>
      <x:c r="S311" s="109"/>
      <x:c r="T311" s="16"/>
      <x:c r="U311" s="16"/>
      <x:c r="V311" s="16"/>
      <x:c r="W311" s="18" t="str">
        <x:f>IF(A311="","",IF(H311="","",IF(I311&lt;&gt;"",I311-H311+1,IF(S311&lt;&gt;"",S311-H311+1,""))))</x:f>
      </x:c>
      <x:c r="X311" s="16"/>
      <x:c r="Y311" s="16"/>
      <x:c r="Z311" s="16"/>
      <x:c r="AA311" s="16"/>
      <x:c r="AB311" s="109"/>
      <x:c r="AC311" s="109"/>
      <x:c r="AD311" s="16"/>
      <x:c r="AE311" s="16"/>
      <x:c r="AF311" s="16"/>
    </x:row>
    <x:row r="312">
      <x:c r="A312" s="16"/>
      <x:c r="B312" s="16"/>
      <x:c r="C312" s="16"/>
      <x:c r="D312" s="16"/>
      <x:c r="E312" s="16"/>
      <x:c r="F312" s="16"/>
      <x:c r="G312" s="16"/>
      <x:c r="H312" s="109"/>
      <x:c r="I312" s="109"/>
      <x:c r="J312" s="16"/>
      <x:c r="K312" s="16"/>
      <x:c r="L312" s="16"/>
      <x:c r="M312" s="16"/>
      <x:c r="N312" s="16"/>
      <x:c r="O312" s="109"/>
      <x:c r="P312" s="109"/>
      <x:c r="Q312" s="16"/>
      <x:c r="R312" s="16"/>
      <x:c r="S312" s="109"/>
      <x:c r="T312" s="16"/>
      <x:c r="U312" s="16"/>
      <x:c r="V312" s="16"/>
      <x:c r="W312" s="18" t="str">
        <x:f>IF(A312="","",IF(H312="","",IF(I312&lt;&gt;"",I312-H312+1,IF(S312&lt;&gt;"",S312-H312+1,""))))</x:f>
      </x:c>
      <x:c r="X312" s="16"/>
      <x:c r="Y312" s="16"/>
      <x:c r="Z312" s="16"/>
      <x:c r="AA312" s="16"/>
      <x:c r="AB312" s="109"/>
      <x:c r="AC312" s="109"/>
      <x:c r="AD312" s="16"/>
      <x:c r="AE312" s="16"/>
      <x:c r="AF312" s="16"/>
    </x:row>
    <x:row r="313">
      <x:c r="A313" s="16"/>
      <x:c r="B313" s="16"/>
      <x:c r="C313" s="16"/>
      <x:c r="D313" s="16"/>
      <x:c r="E313" s="16"/>
      <x:c r="F313" s="16"/>
      <x:c r="G313" s="16"/>
      <x:c r="H313" s="109"/>
      <x:c r="I313" s="109"/>
      <x:c r="J313" s="16"/>
      <x:c r="K313" s="16"/>
      <x:c r="L313" s="16"/>
      <x:c r="M313" s="16"/>
      <x:c r="N313" s="16"/>
      <x:c r="O313" s="109"/>
      <x:c r="P313" s="109"/>
      <x:c r="Q313" s="16"/>
      <x:c r="R313" s="16"/>
      <x:c r="S313" s="109"/>
      <x:c r="T313" s="16"/>
      <x:c r="U313" s="16"/>
      <x:c r="V313" s="16"/>
      <x:c r="W313" s="18" t="str">
        <x:f>IF(A313="","",IF(H313="","",IF(I313&lt;&gt;"",I313-H313+1,IF(S313&lt;&gt;"",S313-H313+1,""))))</x:f>
      </x:c>
      <x:c r="X313" s="16"/>
      <x:c r="Y313" s="16"/>
      <x:c r="Z313" s="16"/>
      <x:c r="AA313" s="16"/>
      <x:c r="AB313" s="109"/>
      <x:c r="AC313" s="109"/>
      <x:c r="AD313" s="16"/>
      <x:c r="AE313" s="16"/>
      <x:c r="AF313" s="16"/>
    </x:row>
    <x:row r="314">
      <x:c r="A314" s="16"/>
      <x:c r="B314" s="16"/>
      <x:c r="C314" s="16"/>
      <x:c r="D314" s="16"/>
      <x:c r="E314" s="16"/>
      <x:c r="F314" s="16"/>
      <x:c r="G314" s="16"/>
      <x:c r="H314" s="109"/>
      <x:c r="I314" s="109"/>
      <x:c r="J314" s="16"/>
      <x:c r="K314" s="16"/>
      <x:c r="L314" s="16"/>
      <x:c r="M314" s="16"/>
      <x:c r="N314" s="16"/>
      <x:c r="O314" s="109"/>
      <x:c r="P314" s="109"/>
      <x:c r="Q314" s="16"/>
      <x:c r="R314" s="16"/>
      <x:c r="S314" s="109"/>
      <x:c r="T314" s="16"/>
      <x:c r="U314" s="16"/>
      <x:c r="V314" s="16"/>
      <x:c r="W314" s="18" t="str">
        <x:f>IF(A314="","",IF(H314="","",IF(I314&lt;&gt;"",I314-H314+1,IF(S314&lt;&gt;"",S314-H314+1,""))))</x:f>
      </x:c>
      <x:c r="X314" s="16"/>
      <x:c r="Y314" s="16"/>
      <x:c r="Z314" s="16"/>
      <x:c r="AA314" s="16"/>
      <x:c r="AB314" s="109"/>
      <x:c r="AC314" s="109"/>
      <x:c r="AD314" s="16"/>
      <x:c r="AE314" s="16"/>
      <x:c r="AF314" s="16"/>
    </x:row>
    <x:row r="315">
      <x:c r="A315" s="16"/>
      <x:c r="B315" s="16"/>
      <x:c r="C315" s="16"/>
      <x:c r="D315" s="16"/>
      <x:c r="E315" s="16"/>
      <x:c r="F315" s="16"/>
      <x:c r="G315" s="16"/>
      <x:c r="H315" s="109"/>
      <x:c r="I315" s="109"/>
      <x:c r="J315" s="16"/>
      <x:c r="K315" s="16"/>
      <x:c r="L315" s="16"/>
      <x:c r="M315" s="16"/>
      <x:c r="N315" s="16"/>
      <x:c r="O315" s="109"/>
      <x:c r="P315" s="109"/>
      <x:c r="Q315" s="16"/>
      <x:c r="R315" s="16"/>
      <x:c r="S315" s="109"/>
      <x:c r="T315" s="16"/>
      <x:c r="U315" s="16"/>
      <x:c r="V315" s="16"/>
      <x:c r="W315" s="18" t="str">
        <x:f>IF(A315="","",IF(H315="","",IF(I315&lt;&gt;"",I315-H315+1,IF(S315&lt;&gt;"",S315-H315+1,""))))</x:f>
      </x:c>
      <x:c r="X315" s="16"/>
      <x:c r="Y315" s="16"/>
      <x:c r="Z315" s="16"/>
      <x:c r="AA315" s="16"/>
      <x:c r="AB315" s="109"/>
      <x:c r="AC315" s="109"/>
      <x:c r="AD315" s="16"/>
      <x:c r="AE315" s="16"/>
      <x:c r="AF315" s="16"/>
    </x:row>
    <x:row r="316">
      <x:c r="A316" s="16"/>
      <x:c r="B316" s="16"/>
      <x:c r="C316" s="16"/>
      <x:c r="D316" s="16"/>
      <x:c r="E316" s="16"/>
      <x:c r="F316" s="16"/>
      <x:c r="G316" s="16"/>
      <x:c r="H316" s="109"/>
      <x:c r="I316" s="109"/>
      <x:c r="J316" s="16"/>
      <x:c r="K316" s="16"/>
      <x:c r="L316" s="16"/>
      <x:c r="M316" s="16"/>
      <x:c r="N316" s="16"/>
      <x:c r="O316" s="109"/>
      <x:c r="P316" s="109"/>
      <x:c r="Q316" s="16"/>
      <x:c r="R316" s="16"/>
      <x:c r="S316" s="109"/>
      <x:c r="T316" s="16"/>
      <x:c r="U316" s="16"/>
      <x:c r="V316" s="16"/>
      <x:c r="W316" s="18" t="str">
        <x:f>IF(A316="","",IF(H316="","",IF(I316&lt;&gt;"",I316-H316+1,IF(S316&lt;&gt;"",S316-H316+1,""))))</x:f>
      </x:c>
      <x:c r="X316" s="16"/>
      <x:c r="Y316" s="16"/>
      <x:c r="Z316" s="16"/>
      <x:c r="AA316" s="16"/>
      <x:c r="AB316" s="109"/>
      <x:c r="AC316" s="109"/>
      <x:c r="AD316" s="16"/>
      <x:c r="AE316" s="16"/>
      <x:c r="AF316" s="16"/>
    </x:row>
    <x:row r="317">
      <x:c r="A317" s="16"/>
      <x:c r="B317" s="16"/>
      <x:c r="C317" s="16"/>
      <x:c r="D317" s="16"/>
      <x:c r="E317" s="16"/>
      <x:c r="F317" s="16"/>
      <x:c r="G317" s="16"/>
      <x:c r="H317" s="109"/>
      <x:c r="I317" s="109"/>
      <x:c r="J317" s="16"/>
      <x:c r="K317" s="16"/>
      <x:c r="L317" s="16"/>
      <x:c r="M317" s="16"/>
      <x:c r="N317" s="16"/>
      <x:c r="O317" s="109"/>
      <x:c r="P317" s="109"/>
      <x:c r="Q317" s="16"/>
      <x:c r="R317" s="16"/>
      <x:c r="S317" s="109"/>
      <x:c r="T317" s="16"/>
      <x:c r="U317" s="16"/>
      <x:c r="V317" s="16"/>
      <x:c r="W317" s="18" t="str">
        <x:f>IF(A317="","",IF(H317="","",IF(I317&lt;&gt;"",I317-H317+1,IF(S317&lt;&gt;"",S317-H317+1,""))))</x:f>
      </x:c>
      <x:c r="X317" s="16"/>
      <x:c r="Y317" s="16"/>
      <x:c r="Z317" s="16"/>
      <x:c r="AA317" s="16"/>
      <x:c r="AB317" s="109"/>
      <x:c r="AC317" s="109"/>
      <x:c r="AD317" s="16"/>
      <x:c r="AE317" s="16"/>
      <x:c r="AF317" s="16"/>
    </x:row>
    <x:row r="318">
      <x:c r="A318" s="16"/>
      <x:c r="B318" s="16"/>
      <x:c r="C318" s="16"/>
      <x:c r="D318" s="16"/>
      <x:c r="E318" s="16"/>
      <x:c r="F318" s="16"/>
      <x:c r="G318" s="16"/>
      <x:c r="H318" s="109"/>
      <x:c r="I318" s="109"/>
      <x:c r="J318" s="16"/>
      <x:c r="K318" s="16"/>
      <x:c r="L318" s="16"/>
      <x:c r="M318" s="16"/>
      <x:c r="N318" s="16"/>
      <x:c r="O318" s="109"/>
      <x:c r="P318" s="109"/>
      <x:c r="Q318" s="16"/>
      <x:c r="R318" s="16"/>
      <x:c r="S318" s="109"/>
      <x:c r="T318" s="16"/>
      <x:c r="U318" s="16"/>
      <x:c r="V318" s="16"/>
      <x:c r="W318" s="18" t="str">
        <x:f>IF(A318="","",IF(H318="","",IF(I318&lt;&gt;"",I318-H318+1,IF(S318&lt;&gt;"",S318-H318+1,""))))</x:f>
      </x:c>
      <x:c r="X318" s="16"/>
      <x:c r="Y318" s="16"/>
      <x:c r="Z318" s="16"/>
      <x:c r="AA318" s="16"/>
      <x:c r="AB318" s="109"/>
      <x:c r="AC318" s="109"/>
      <x:c r="AD318" s="16"/>
      <x:c r="AE318" s="16"/>
      <x:c r="AF318" s="16"/>
    </x:row>
    <x:row r="319">
      <x:c r="A319" s="16"/>
      <x:c r="B319" s="16"/>
      <x:c r="C319" s="16"/>
      <x:c r="D319" s="16"/>
      <x:c r="E319" s="16"/>
      <x:c r="F319" s="16"/>
      <x:c r="G319" s="16"/>
      <x:c r="H319" s="109"/>
      <x:c r="I319" s="109"/>
      <x:c r="J319" s="16"/>
      <x:c r="K319" s="16"/>
      <x:c r="L319" s="16"/>
      <x:c r="M319" s="16"/>
      <x:c r="N319" s="16"/>
      <x:c r="O319" s="109"/>
      <x:c r="P319" s="109"/>
      <x:c r="Q319" s="16"/>
      <x:c r="R319" s="16"/>
      <x:c r="S319" s="109"/>
      <x:c r="T319" s="16"/>
      <x:c r="U319" s="16"/>
      <x:c r="V319" s="16"/>
      <x:c r="W319" s="18" t="str">
        <x:f>IF(A319="","",IF(H319="","",IF(I319&lt;&gt;"",I319-H319+1,IF(S319&lt;&gt;"",S319-H319+1,""))))</x:f>
      </x:c>
      <x:c r="X319" s="16"/>
      <x:c r="Y319" s="16"/>
      <x:c r="Z319" s="16"/>
      <x:c r="AA319" s="16"/>
      <x:c r="AB319" s="109"/>
      <x:c r="AC319" s="109"/>
      <x:c r="AD319" s="16"/>
      <x:c r="AE319" s="16"/>
      <x:c r="AF319" s="16"/>
    </x:row>
    <x:row r="320">
      <x:c r="A320" s="16"/>
      <x:c r="B320" s="16"/>
      <x:c r="C320" s="16"/>
      <x:c r="D320" s="16"/>
      <x:c r="E320" s="16"/>
      <x:c r="F320" s="16"/>
      <x:c r="G320" s="16"/>
      <x:c r="H320" s="109"/>
      <x:c r="I320" s="109"/>
      <x:c r="J320" s="16"/>
      <x:c r="K320" s="16"/>
      <x:c r="L320" s="16"/>
      <x:c r="M320" s="16"/>
      <x:c r="N320" s="16"/>
      <x:c r="O320" s="109"/>
      <x:c r="P320" s="109"/>
      <x:c r="Q320" s="16"/>
      <x:c r="R320" s="16"/>
      <x:c r="S320" s="109"/>
      <x:c r="T320" s="16"/>
      <x:c r="U320" s="16"/>
      <x:c r="V320" s="16"/>
      <x:c r="W320" s="18" t="str">
        <x:f>IF(A320="","",IF(H320="","",IF(I320&lt;&gt;"",I320-H320+1,IF(S320&lt;&gt;"",S320-H320+1,""))))</x:f>
      </x:c>
      <x:c r="X320" s="16"/>
      <x:c r="Y320" s="16"/>
      <x:c r="Z320" s="16"/>
      <x:c r="AA320" s="16"/>
      <x:c r="AB320" s="109"/>
      <x:c r="AC320" s="109"/>
      <x:c r="AD320" s="16"/>
      <x:c r="AE320" s="16"/>
      <x:c r="AF320" s="16"/>
    </x:row>
    <x:row r="321">
      <x:c r="A321" s="16"/>
      <x:c r="B321" s="16"/>
      <x:c r="C321" s="16"/>
      <x:c r="D321" s="16"/>
      <x:c r="E321" s="16"/>
      <x:c r="F321" s="16"/>
      <x:c r="G321" s="16"/>
      <x:c r="H321" s="109"/>
      <x:c r="I321" s="109"/>
      <x:c r="J321" s="16"/>
      <x:c r="K321" s="16"/>
      <x:c r="L321" s="16"/>
      <x:c r="M321" s="16"/>
      <x:c r="N321" s="16"/>
      <x:c r="O321" s="109"/>
      <x:c r="P321" s="109"/>
      <x:c r="Q321" s="16"/>
      <x:c r="R321" s="16"/>
      <x:c r="S321" s="109"/>
      <x:c r="T321" s="16"/>
      <x:c r="U321" s="16"/>
      <x:c r="V321" s="16"/>
      <x:c r="W321" s="18" t="str">
        <x:f>IF(A321="","",IF(H321="","",IF(I321&lt;&gt;"",I321-H321+1,IF(S321&lt;&gt;"",S321-H321+1,""))))</x:f>
      </x:c>
      <x:c r="X321" s="16"/>
      <x:c r="Y321" s="16"/>
      <x:c r="Z321" s="16"/>
      <x:c r="AA321" s="16"/>
      <x:c r="AB321" s="109"/>
      <x:c r="AC321" s="109"/>
      <x:c r="AD321" s="16"/>
      <x:c r="AE321" s="16"/>
      <x:c r="AF321" s="16"/>
    </x:row>
    <x:row r="322">
      <x:c r="A322" s="16"/>
      <x:c r="B322" s="16"/>
      <x:c r="C322" s="16"/>
      <x:c r="D322" s="16"/>
      <x:c r="E322" s="16"/>
      <x:c r="F322" s="16"/>
      <x:c r="G322" s="16"/>
      <x:c r="H322" s="109"/>
      <x:c r="I322" s="109"/>
      <x:c r="J322" s="16"/>
      <x:c r="K322" s="16"/>
      <x:c r="L322" s="16"/>
      <x:c r="M322" s="16"/>
      <x:c r="N322" s="16"/>
      <x:c r="O322" s="109"/>
      <x:c r="P322" s="109"/>
      <x:c r="Q322" s="16"/>
      <x:c r="R322" s="16"/>
      <x:c r="S322" s="109"/>
      <x:c r="T322" s="16"/>
      <x:c r="U322" s="16"/>
      <x:c r="V322" s="16"/>
      <x:c r="W322" s="18" t="str">
        <x:f>IF(A322="","",IF(H322="","",IF(I322&lt;&gt;"",I322-H322+1,IF(S322&lt;&gt;"",S322-H322+1,""))))</x:f>
      </x:c>
      <x:c r="X322" s="16"/>
      <x:c r="Y322" s="16"/>
      <x:c r="Z322" s="16"/>
      <x:c r="AA322" s="16"/>
      <x:c r="AB322" s="109"/>
      <x:c r="AC322" s="109"/>
      <x:c r="AD322" s="16"/>
      <x:c r="AE322" s="16"/>
      <x:c r="AF322" s="16"/>
    </x:row>
    <x:row r="323">
      <x:c r="A323" s="16"/>
      <x:c r="B323" s="16"/>
      <x:c r="C323" s="16"/>
      <x:c r="D323" s="16"/>
      <x:c r="E323" s="16"/>
      <x:c r="F323" s="16"/>
      <x:c r="G323" s="16"/>
      <x:c r="H323" s="109"/>
      <x:c r="I323" s="109"/>
      <x:c r="J323" s="16"/>
      <x:c r="K323" s="16"/>
      <x:c r="L323" s="16"/>
      <x:c r="M323" s="16"/>
      <x:c r="N323" s="16"/>
      <x:c r="O323" s="109"/>
      <x:c r="P323" s="109"/>
      <x:c r="Q323" s="16"/>
      <x:c r="R323" s="16"/>
      <x:c r="S323" s="109"/>
      <x:c r="T323" s="16"/>
      <x:c r="U323" s="16"/>
      <x:c r="V323" s="16"/>
      <x:c r="W323" s="18" t="str">
        <x:f>IF(A323="","",IF(H323="","",IF(I323&lt;&gt;"",I323-H323+1,IF(S323&lt;&gt;"",S323-H323+1,""))))</x:f>
      </x:c>
      <x:c r="X323" s="16"/>
      <x:c r="Y323" s="16"/>
      <x:c r="Z323" s="16"/>
      <x:c r="AA323" s="16"/>
      <x:c r="AB323" s="109"/>
      <x:c r="AC323" s="109"/>
      <x:c r="AD323" s="16"/>
      <x:c r="AE323" s="16"/>
      <x:c r="AF323" s="16"/>
    </x:row>
    <x:row r="324">
      <x:c r="A324" s="16"/>
      <x:c r="B324" s="16"/>
      <x:c r="C324" s="16"/>
      <x:c r="D324" s="16"/>
      <x:c r="E324" s="16"/>
      <x:c r="F324" s="16"/>
      <x:c r="G324" s="16"/>
      <x:c r="H324" s="109"/>
      <x:c r="I324" s="109"/>
      <x:c r="J324" s="16"/>
      <x:c r="K324" s="16"/>
      <x:c r="L324" s="16"/>
      <x:c r="M324" s="16"/>
      <x:c r="N324" s="16"/>
      <x:c r="O324" s="109"/>
      <x:c r="P324" s="109"/>
      <x:c r="Q324" s="16"/>
      <x:c r="R324" s="16"/>
      <x:c r="S324" s="109"/>
      <x:c r="T324" s="16"/>
      <x:c r="U324" s="16"/>
      <x:c r="V324" s="16"/>
      <x:c r="W324" s="18" t="str">
        <x:f>IF(A324="","",IF(H324="","",IF(I324&lt;&gt;"",I324-H324+1,IF(S324&lt;&gt;"",S324-H324+1,""))))</x:f>
      </x:c>
      <x:c r="X324" s="16"/>
      <x:c r="Y324" s="16"/>
      <x:c r="Z324" s="16"/>
      <x:c r="AA324" s="16"/>
      <x:c r="AB324" s="109"/>
      <x:c r="AC324" s="109"/>
      <x:c r="AD324" s="16"/>
      <x:c r="AE324" s="16"/>
      <x:c r="AF324" s="16"/>
    </x:row>
    <x:row r="325">
      <x:c r="A325" s="16"/>
      <x:c r="B325" s="16"/>
      <x:c r="C325" s="16"/>
      <x:c r="D325" s="16"/>
      <x:c r="E325" s="16"/>
      <x:c r="F325" s="16"/>
      <x:c r="G325" s="16"/>
      <x:c r="H325" s="109"/>
      <x:c r="I325" s="109"/>
      <x:c r="J325" s="16"/>
      <x:c r="K325" s="16"/>
      <x:c r="L325" s="16"/>
      <x:c r="M325" s="16"/>
      <x:c r="N325" s="16"/>
      <x:c r="O325" s="109"/>
      <x:c r="P325" s="109"/>
      <x:c r="Q325" s="16"/>
      <x:c r="R325" s="16"/>
      <x:c r="S325" s="109"/>
      <x:c r="T325" s="16"/>
      <x:c r="U325" s="16"/>
      <x:c r="V325" s="16"/>
      <x:c r="W325" s="18" t="str">
        <x:f>IF(A325="","",IF(H325="","",IF(I325&lt;&gt;"",I325-H325+1,IF(S325&lt;&gt;"",S325-H325+1,""))))</x:f>
      </x:c>
      <x:c r="X325" s="16"/>
      <x:c r="Y325" s="16"/>
      <x:c r="Z325" s="16"/>
      <x:c r="AA325" s="16"/>
      <x:c r="AB325" s="109"/>
      <x:c r="AC325" s="109"/>
      <x:c r="AD325" s="16"/>
      <x:c r="AE325" s="16"/>
      <x:c r="AF325" s="16"/>
    </x:row>
    <x:row r="326">
      <x:c r="A326" s="16"/>
      <x:c r="B326" s="16"/>
      <x:c r="C326" s="16"/>
      <x:c r="D326" s="16"/>
      <x:c r="E326" s="16"/>
      <x:c r="F326" s="16"/>
      <x:c r="G326" s="16"/>
      <x:c r="H326" s="109"/>
      <x:c r="I326" s="109"/>
      <x:c r="J326" s="16"/>
      <x:c r="K326" s="16"/>
      <x:c r="L326" s="16"/>
      <x:c r="M326" s="16"/>
      <x:c r="N326" s="16"/>
      <x:c r="O326" s="109"/>
      <x:c r="P326" s="109"/>
      <x:c r="Q326" s="16"/>
      <x:c r="R326" s="16"/>
      <x:c r="S326" s="109"/>
      <x:c r="T326" s="16"/>
      <x:c r="U326" s="16"/>
      <x:c r="V326" s="16"/>
      <x:c r="W326" s="18" t="str">
        <x:f>IF(A326="","",IF(H326="","",IF(I326&lt;&gt;"",I326-H326+1,IF(S326&lt;&gt;"",S326-H326+1,""))))</x:f>
      </x:c>
      <x:c r="X326" s="16"/>
      <x:c r="Y326" s="16"/>
      <x:c r="Z326" s="16"/>
      <x:c r="AA326" s="16"/>
      <x:c r="AB326" s="109"/>
      <x:c r="AC326" s="109"/>
      <x:c r="AD326" s="16"/>
      <x:c r="AE326" s="16"/>
      <x:c r="AF326" s="16"/>
    </x:row>
    <x:row r="327">
      <x:c r="A327" s="16"/>
      <x:c r="B327" s="16"/>
      <x:c r="C327" s="16"/>
      <x:c r="D327" s="16"/>
      <x:c r="E327" s="16"/>
      <x:c r="F327" s="16"/>
      <x:c r="G327" s="16"/>
      <x:c r="H327" s="109"/>
      <x:c r="I327" s="109"/>
      <x:c r="J327" s="16"/>
      <x:c r="K327" s="16"/>
      <x:c r="L327" s="16"/>
      <x:c r="M327" s="16"/>
      <x:c r="N327" s="16"/>
      <x:c r="O327" s="109"/>
      <x:c r="P327" s="109"/>
      <x:c r="Q327" s="16"/>
      <x:c r="R327" s="16"/>
      <x:c r="S327" s="109"/>
      <x:c r="T327" s="16"/>
      <x:c r="U327" s="16"/>
      <x:c r="V327" s="16"/>
      <x:c r="W327" s="18" t="str">
        <x:f>IF(A327="","",IF(H327="","",IF(I327&lt;&gt;"",I327-H327+1,IF(S327&lt;&gt;"",S327-H327+1,""))))</x:f>
      </x:c>
      <x:c r="X327" s="16"/>
      <x:c r="Y327" s="16"/>
      <x:c r="Z327" s="16"/>
      <x:c r="AA327" s="16"/>
      <x:c r="AB327" s="109"/>
      <x:c r="AC327" s="109"/>
      <x:c r="AD327" s="16"/>
      <x:c r="AE327" s="16"/>
      <x:c r="AF327" s="16"/>
    </x:row>
    <x:row r="328">
      <x:c r="A328" s="16"/>
      <x:c r="B328" s="16"/>
      <x:c r="C328" s="16"/>
      <x:c r="D328" s="16"/>
      <x:c r="E328" s="16"/>
      <x:c r="F328" s="16"/>
      <x:c r="G328" s="16"/>
      <x:c r="H328" s="109"/>
      <x:c r="I328" s="109"/>
      <x:c r="J328" s="16"/>
      <x:c r="K328" s="16"/>
      <x:c r="L328" s="16"/>
      <x:c r="M328" s="16"/>
      <x:c r="N328" s="16"/>
      <x:c r="O328" s="109"/>
      <x:c r="P328" s="109"/>
      <x:c r="Q328" s="16"/>
      <x:c r="R328" s="16"/>
      <x:c r="S328" s="109"/>
      <x:c r="T328" s="16"/>
      <x:c r="U328" s="16"/>
      <x:c r="V328" s="16"/>
      <x:c r="W328" s="18" t="str">
        <x:f>IF(A328="","",IF(H328="","",IF(I328&lt;&gt;"",I328-H328+1,IF(S328&lt;&gt;"",S328-H328+1,""))))</x:f>
      </x:c>
      <x:c r="X328" s="16"/>
      <x:c r="Y328" s="16"/>
      <x:c r="Z328" s="16"/>
      <x:c r="AA328" s="16"/>
      <x:c r="AB328" s="109"/>
      <x:c r="AC328" s="109"/>
      <x:c r="AD328" s="16"/>
      <x:c r="AE328" s="16"/>
      <x:c r="AF328" s="16"/>
    </x:row>
    <x:row r="329">
      <x:c r="A329" s="16"/>
      <x:c r="B329" s="16"/>
      <x:c r="C329" s="16"/>
      <x:c r="D329" s="16"/>
      <x:c r="E329" s="16"/>
      <x:c r="F329" s="16"/>
      <x:c r="G329" s="16"/>
      <x:c r="H329" s="109"/>
      <x:c r="I329" s="109"/>
      <x:c r="J329" s="16"/>
      <x:c r="K329" s="16"/>
      <x:c r="L329" s="16"/>
      <x:c r="M329" s="16"/>
      <x:c r="N329" s="16"/>
      <x:c r="O329" s="109"/>
      <x:c r="P329" s="109"/>
      <x:c r="Q329" s="16"/>
      <x:c r="R329" s="16"/>
      <x:c r="S329" s="109"/>
      <x:c r="T329" s="16"/>
      <x:c r="U329" s="16"/>
      <x:c r="V329" s="16"/>
      <x:c r="W329" s="18" t="str">
        <x:f>IF(A329="","",IF(H329="","",IF(I329&lt;&gt;"",I329-H329+1,IF(S329&lt;&gt;"",S329-H329+1,""))))</x:f>
      </x:c>
      <x:c r="X329" s="16"/>
      <x:c r="Y329" s="16"/>
      <x:c r="Z329" s="16"/>
      <x:c r="AA329" s="16"/>
      <x:c r="AB329" s="109"/>
      <x:c r="AC329" s="109"/>
      <x:c r="AD329" s="16"/>
      <x:c r="AE329" s="16"/>
      <x:c r="AF329" s="16"/>
    </x:row>
    <x:row r="330">
      <x:c r="A330" s="16"/>
      <x:c r="B330" s="16"/>
      <x:c r="C330" s="16"/>
      <x:c r="D330" s="16"/>
      <x:c r="E330" s="16"/>
      <x:c r="F330" s="16"/>
      <x:c r="G330" s="16"/>
      <x:c r="H330" s="109"/>
      <x:c r="I330" s="109"/>
      <x:c r="J330" s="16"/>
      <x:c r="K330" s="16"/>
      <x:c r="L330" s="16"/>
      <x:c r="M330" s="16"/>
      <x:c r="N330" s="16"/>
      <x:c r="O330" s="109"/>
      <x:c r="P330" s="109"/>
      <x:c r="Q330" s="16"/>
      <x:c r="R330" s="16"/>
      <x:c r="S330" s="109"/>
      <x:c r="T330" s="16"/>
      <x:c r="U330" s="16"/>
      <x:c r="V330" s="16"/>
      <x:c r="W330" s="18" t="str">
        <x:f>IF(A330="","",IF(H330="","",IF(I330&lt;&gt;"",I330-H330+1,IF(S330&lt;&gt;"",S330-H330+1,""))))</x:f>
      </x:c>
      <x:c r="X330" s="16"/>
      <x:c r="Y330" s="16"/>
      <x:c r="Z330" s="16"/>
      <x:c r="AA330" s="16"/>
      <x:c r="AB330" s="109"/>
      <x:c r="AC330" s="109"/>
      <x:c r="AD330" s="16"/>
      <x:c r="AE330" s="16"/>
      <x:c r="AF330" s="16"/>
    </x:row>
    <x:row r="331">
      <x:c r="A331" s="16"/>
      <x:c r="B331" s="16"/>
      <x:c r="C331" s="16"/>
      <x:c r="D331" s="16"/>
      <x:c r="E331" s="16"/>
      <x:c r="F331" s="16"/>
      <x:c r="G331" s="16"/>
      <x:c r="H331" s="109"/>
      <x:c r="I331" s="109"/>
      <x:c r="J331" s="16"/>
      <x:c r="K331" s="16"/>
      <x:c r="L331" s="16"/>
      <x:c r="M331" s="16"/>
      <x:c r="N331" s="16"/>
      <x:c r="O331" s="109"/>
      <x:c r="P331" s="109"/>
      <x:c r="Q331" s="16"/>
      <x:c r="R331" s="16"/>
      <x:c r="S331" s="109"/>
      <x:c r="T331" s="16"/>
      <x:c r="U331" s="16"/>
      <x:c r="V331" s="16"/>
      <x:c r="W331" s="18" t="str">
        <x:f>IF(A331="","",IF(H331="","",IF(I331&lt;&gt;"",I331-H331+1,IF(S331&lt;&gt;"",S331-H331+1,""))))</x:f>
      </x:c>
      <x:c r="X331" s="16"/>
      <x:c r="Y331" s="16"/>
      <x:c r="Z331" s="16"/>
      <x:c r="AA331" s="16"/>
      <x:c r="AB331" s="109"/>
      <x:c r="AC331" s="109"/>
      <x:c r="AD331" s="16"/>
      <x:c r="AE331" s="16"/>
      <x:c r="AF331" s="16"/>
    </x:row>
    <x:row r="332">
      <x:c r="A332" s="16"/>
      <x:c r="B332" s="16"/>
      <x:c r="C332" s="16"/>
      <x:c r="D332" s="16"/>
      <x:c r="E332" s="16"/>
      <x:c r="F332" s="16"/>
      <x:c r="G332" s="16"/>
      <x:c r="H332" s="109"/>
      <x:c r="I332" s="109"/>
      <x:c r="J332" s="16"/>
      <x:c r="K332" s="16"/>
      <x:c r="L332" s="16"/>
      <x:c r="M332" s="16"/>
      <x:c r="N332" s="16"/>
      <x:c r="O332" s="109"/>
      <x:c r="P332" s="109"/>
      <x:c r="Q332" s="16"/>
      <x:c r="R332" s="16"/>
      <x:c r="S332" s="109"/>
      <x:c r="T332" s="16"/>
      <x:c r="U332" s="16"/>
      <x:c r="V332" s="16"/>
      <x:c r="W332" s="18" t="str">
        <x:f>IF(A332="","",IF(H332="","",IF(I332&lt;&gt;"",I332-H332+1,IF(S332&lt;&gt;"",S332-H332+1,""))))</x:f>
      </x:c>
      <x:c r="X332" s="16"/>
      <x:c r="Y332" s="16"/>
      <x:c r="Z332" s="16"/>
      <x:c r="AA332" s="16"/>
      <x:c r="AB332" s="109"/>
      <x:c r="AC332" s="109"/>
      <x:c r="AD332" s="16"/>
      <x:c r="AE332" s="16"/>
      <x:c r="AF332" s="16"/>
    </x:row>
    <x:row r="333">
      <x:c r="A333" s="16"/>
      <x:c r="B333" s="16"/>
      <x:c r="C333" s="16"/>
      <x:c r="D333" s="16"/>
      <x:c r="E333" s="16"/>
      <x:c r="F333" s="16"/>
      <x:c r="G333" s="16"/>
      <x:c r="H333" s="109"/>
      <x:c r="I333" s="109"/>
      <x:c r="J333" s="16"/>
      <x:c r="K333" s="16"/>
      <x:c r="L333" s="16"/>
      <x:c r="M333" s="16"/>
      <x:c r="N333" s="16"/>
      <x:c r="O333" s="109"/>
      <x:c r="P333" s="109"/>
      <x:c r="Q333" s="16"/>
      <x:c r="R333" s="16"/>
      <x:c r="S333" s="109"/>
      <x:c r="T333" s="16"/>
      <x:c r="U333" s="16"/>
      <x:c r="V333" s="16"/>
      <x:c r="W333" s="18" t="str">
        <x:f>IF(A333="","",IF(H333="","",IF(I333&lt;&gt;"",I333-H333+1,IF(S333&lt;&gt;"",S333-H333+1,""))))</x:f>
      </x:c>
      <x:c r="X333" s="16"/>
      <x:c r="Y333" s="16"/>
      <x:c r="Z333" s="16"/>
      <x:c r="AA333" s="16"/>
      <x:c r="AB333" s="109"/>
      <x:c r="AC333" s="109"/>
      <x:c r="AD333" s="16"/>
      <x:c r="AE333" s="16"/>
      <x:c r="AF333" s="16"/>
    </x:row>
    <x:row r="334">
      <x:c r="A334" s="16"/>
      <x:c r="B334" s="16"/>
      <x:c r="C334" s="16"/>
      <x:c r="D334" s="16"/>
      <x:c r="E334" s="16"/>
      <x:c r="F334" s="16"/>
      <x:c r="G334" s="16"/>
      <x:c r="H334" s="109"/>
      <x:c r="I334" s="109"/>
      <x:c r="J334" s="16"/>
      <x:c r="K334" s="16"/>
      <x:c r="L334" s="16"/>
      <x:c r="M334" s="16"/>
      <x:c r="N334" s="16"/>
      <x:c r="O334" s="109"/>
      <x:c r="P334" s="109"/>
      <x:c r="Q334" s="16"/>
      <x:c r="R334" s="16"/>
      <x:c r="S334" s="109"/>
      <x:c r="T334" s="16"/>
      <x:c r="U334" s="16"/>
      <x:c r="V334" s="16"/>
      <x:c r="W334" s="18" t="str">
        <x:f>IF(A334="","",IF(H334="","",IF(I334&lt;&gt;"",I334-H334+1,IF(S334&lt;&gt;"",S334-H334+1,""))))</x:f>
      </x:c>
      <x:c r="X334" s="16"/>
      <x:c r="Y334" s="16"/>
      <x:c r="Z334" s="16"/>
      <x:c r="AA334" s="16"/>
      <x:c r="AB334" s="109"/>
      <x:c r="AC334" s="109"/>
      <x:c r="AD334" s="16"/>
      <x:c r="AE334" s="16"/>
      <x:c r="AF334" s="16"/>
    </x:row>
    <x:row r="335">
      <x:c r="A335" s="16"/>
      <x:c r="B335" s="16"/>
      <x:c r="C335" s="16"/>
      <x:c r="D335" s="16"/>
      <x:c r="E335" s="16"/>
      <x:c r="F335" s="16"/>
      <x:c r="G335" s="16"/>
      <x:c r="H335" s="109"/>
      <x:c r="I335" s="109"/>
      <x:c r="J335" s="16"/>
      <x:c r="K335" s="16"/>
      <x:c r="L335" s="16"/>
      <x:c r="M335" s="16"/>
      <x:c r="N335" s="16"/>
      <x:c r="O335" s="109"/>
      <x:c r="P335" s="109"/>
      <x:c r="Q335" s="16"/>
      <x:c r="R335" s="16"/>
      <x:c r="S335" s="109"/>
      <x:c r="T335" s="16"/>
      <x:c r="U335" s="16"/>
      <x:c r="V335" s="16"/>
      <x:c r="W335" s="18" t="str">
        <x:f>IF(A335="","",IF(H335="","",IF(I335&lt;&gt;"",I335-H335+1,IF(S335&lt;&gt;"",S335-H335+1,""))))</x:f>
      </x:c>
      <x:c r="X335" s="16"/>
      <x:c r="Y335" s="16"/>
      <x:c r="Z335" s="16"/>
      <x:c r="AA335" s="16"/>
      <x:c r="AB335" s="109"/>
      <x:c r="AC335" s="109"/>
      <x:c r="AD335" s="16"/>
      <x:c r="AE335" s="16"/>
      <x:c r="AF335" s="16"/>
    </x:row>
    <x:row r="336">
      <x:c r="A336" s="16"/>
      <x:c r="B336" s="16"/>
      <x:c r="C336" s="16"/>
      <x:c r="D336" s="16"/>
      <x:c r="E336" s="16"/>
      <x:c r="F336" s="16"/>
      <x:c r="G336" s="16"/>
      <x:c r="H336" s="109"/>
      <x:c r="I336" s="109"/>
      <x:c r="J336" s="16"/>
      <x:c r="K336" s="16"/>
      <x:c r="L336" s="16"/>
      <x:c r="M336" s="16"/>
      <x:c r="N336" s="16"/>
      <x:c r="O336" s="109"/>
      <x:c r="P336" s="109"/>
      <x:c r="Q336" s="16"/>
      <x:c r="R336" s="16"/>
      <x:c r="S336" s="109"/>
      <x:c r="T336" s="16"/>
      <x:c r="U336" s="16"/>
      <x:c r="V336" s="16"/>
      <x:c r="W336" s="18" t="str">
        <x:f>IF(A336="","",IF(H336="","",IF(I336&lt;&gt;"",I336-H336+1,IF(S336&lt;&gt;"",S336-H336+1,""))))</x:f>
      </x:c>
      <x:c r="X336" s="16"/>
      <x:c r="Y336" s="16"/>
      <x:c r="Z336" s="16"/>
      <x:c r="AA336" s="16"/>
      <x:c r="AB336" s="109"/>
      <x:c r="AC336" s="109"/>
      <x:c r="AD336" s="16"/>
      <x:c r="AE336" s="16"/>
      <x:c r="AF336" s="16"/>
    </x:row>
    <x:row r="337">
      <x:c r="A337" s="16"/>
      <x:c r="B337" s="16"/>
      <x:c r="C337" s="16"/>
      <x:c r="D337" s="16"/>
      <x:c r="E337" s="16"/>
      <x:c r="F337" s="16"/>
      <x:c r="G337" s="16"/>
      <x:c r="H337" s="109"/>
      <x:c r="I337" s="109"/>
      <x:c r="J337" s="16"/>
      <x:c r="K337" s="16"/>
      <x:c r="L337" s="16"/>
      <x:c r="M337" s="16"/>
      <x:c r="N337" s="16"/>
      <x:c r="O337" s="109"/>
      <x:c r="P337" s="109"/>
      <x:c r="Q337" s="16"/>
      <x:c r="R337" s="16"/>
      <x:c r="S337" s="109"/>
      <x:c r="T337" s="16"/>
      <x:c r="U337" s="16"/>
      <x:c r="V337" s="16"/>
      <x:c r="W337" s="18" t="str">
        <x:f>IF(A337="","",IF(H337="","",IF(I337&lt;&gt;"",I337-H337+1,IF(S337&lt;&gt;"",S337-H337+1,""))))</x:f>
      </x:c>
      <x:c r="X337" s="16"/>
      <x:c r="Y337" s="16"/>
      <x:c r="Z337" s="16"/>
      <x:c r="AA337" s="16"/>
      <x:c r="AB337" s="109"/>
      <x:c r="AC337" s="109"/>
      <x:c r="AD337" s="16"/>
      <x:c r="AE337" s="16"/>
      <x:c r="AF337" s="16"/>
    </x:row>
    <x:row r="338">
      <x:c r="A338" s="16"/>
      <x:c r="B338" s="16"/>
      <x:c r="C338" s="16"/>
      <x:c r="D338" s="16"/>
      <x:c r="E338" s="16"/>
      <x:c r="F338" s="16"/>
      <x:c r="G338" s="16"/>
      <x:c r="H338" s="109"/>
      <x:c r="I338" s="109"/>
      <x:c r="J338" s="16"/>
      <x:c r="K338" s="16"/>
      <x:c r="L338" s="16"/>
      <x:c r="M338" s="16"/>
      <x:c r="N338" s="16"/>
      <x:c r="O338" s="109"/>
      <x:c r="P338" s="109"/>
      <x:c r="Q338" s="16"/>
      <x:c r="R338" s="16"/>
      <x:c r="S338" s="109"/>
      <x:c r="T338" s="16"/>
      <x:c r="U338" s="16"/>
      <x:c r="V338" s="16"/>
      <x:c r="W338" s="18" t="str">
        <x:f>IF(A338="","",IF(H338="","",IF(I338&lt;&gt;"",I338-H338+1,IF(S338&lt;&gt;"",S338-H338+1,""))))</x:f>
      </x:c>
      <x:c r="X338" s="16"/>
      <x:c r="Y338" s="16"/>
      <x:c r="Z338" s="16"/>
      <x:c r="AA338" s="16"/>
      <x:c r="AB338" s="109"/>
      <x:c r="AC338" s="109"/>
      <x:c r="AD338" s="16"/>
      <x:c r="AE338" s="16"/>
      <x:c r="AF338" s="16"/>
    </x:row>
    <x:row r="339">
      <x:c r="A339" s="16"/>
      <x:c r="B339" s="16"/>
      <x:c r="C339" s="16"/>
      <x:c r="D339" s="16"/>
      <x:c r="E339" s="16"/>
      <x:c r="F339" s="16"/>
      <x:c r="G339" s="16"/>
      <x:c r="H339" s="109"/>
      <x:c r="I339" s="109"/>
      <x:c r="J339" s="16"/>
      <x:c r="K339" s="16"/>
      <x:c r="L339" s="16"/>
      <x:c r="M339" s="16"/>
      <x:c r="N339" s="16"/>
      <x:c r="O339" s="109"/>
      <x:c r="P339" s="109"/>
      <x:c r="Q339" s="16"/>
      <x:c r="R339" s="16"/>
      <x:c r="S339" s="109"/>
      <x:c r="T339" s="16"/>
      <x:c r="U339" s="16"/>
      <x:c r="V339" s="16"/>
      <x:c r="W339" s="18" t="str">
        <x:f>IF(A339="","",IF(H339="","",IF(I339&lt;&gt;"",I339-H339+1,IF(S339&lt;&gt;"",S339-H339+1,""))))</x:f>
      </x:c>
      <x:c r="X339" s="16"/>
      <x:c r="Y339" s="16"/>
      <x:c r="Z339" s="16"/>
      <x:c r="AA339" s="16"/>
      <x:c r="AB339" s="109"/>
      <x:c r="AC339" s="109"/>
      <x:c r="AD339" s="16"/>
      <x:c r="AE339" s="16"/>
      <x:c r="AF339" s="16"/>
    </x:row>
    <x:row r="340">
      <x:c r="A340" s="16"/>
      <x:c r="B340" s="16"/>
      <x:c r="C340" s="16"/>
      <x:c r="D340" s="16"/>
      <x:c r="E340" s="16"/>
      <x:c r="F340" s="16"/>
      <x:c r="G340" s="16"/>
      <x:c r="H340" s="109"/>
      <x:c r="I340" s="109"/>
      <x:c r="J340" s="16"/>
      <x:c r="K340" s="16"/>
      <x:c r="L340" s="16"/>
      <x:c r="M340" s="16"/>
      <x:c r="N340" s="16"/>
      <x:c r="O340" s="109"/>
      <x:c r="P340" s="109"/>
      <x:c r="Q340" s="16"/>
      <x:c r="R340" s="16"/>
      <x:c r="S340" s="109"/>
      <x:c r="T340" s="16"/>
      <x:c r="U340" s="16"/>
      <x:c r="V340" s="16"/>
      <x:c r="W340" s="18" t="str">
        <x:f>IF(A340="","",IF(H340="","",IF(I340&lt;&gt;"",I340-H340+1,IF(S340&lt;&gt;"",S340-H340+1,""))))</x:f>
      </x:c>
      <x:c r="X340" s="16"/>
      <x:c r="Y340" s="16"/>
      <x:c r="Z340" s="16"/>
      <x:c r="AA340" s="16"/>
      <x:c r="AB340" s="109"/>
      <x:c r="AC340" s="109"/>
      <x:c r="AD340" s="16"/>
      <x:c r="AE340" s="16"/>
      <x:c r="AF340" s="16"/>
    </x:row>
    <x:row r="341">
      <x:c r="A341" s="16"/>
      <x:c r="B341" s="16"/>
      <x:c r="C341" s="16"/>
      <x:c r="D341" s="16"/>
      <x:c r="E341" s="16"/>
      <x:c r="F341" s="16"/>
      <x:c r="G341" s="16"/>
      <x:c r="H341" s="109"/>
      <x:c r="I341" s="109"/>
      <x:c r="J341" s="16"/>
      <x:c r="K341" s="16"/>
      <x:c r="L341" s="16"/>
      <x:c r="M341" s="16"/>
      <x:c r="N341" s="16"/>
      <x:c r="O341" s="109"/>
      <x:c r="P341" s="109"/>
      <x:c r="Q341" s="16"/>
      <x:c r="R341" s="16"/>
      <x:c r="S341" s="109"/>
      <x:c r="T341" s="16"/>
      <x:c r="U341" s="16"/>
      <x:c r="V341" s="16"/>
      <x:c r="W341" s="18" t="str">
        <x:f>IF(A341="","",IF(H341="","",IF(I341&lt;&gt;"",I341-H341+1,IF(S341&lt;&gt;"",S341-H341+1,""))))</x:f>
      </x:c>
      <x:c r="X341" s="16"/>
      <x:c r="Y341" s="16"/>
      <x:c r="Z341" s="16"/>
      <x:c r="AA341" s="16"/>
      <x:c r="AB341" s="109"/>
      <x:c r="AC341" s="109"/>
      <x:c r="AD341" s="16"/>
      <x:c r="AE341" s="16"/>
      <x:c r="AF341" s="16"/>
    </x:row>
    <x:row r="342">
      <x:c r="A342" s="16"/>
      <x:c r="B342" s="16"/>
      <x:c r="C342" s="16"/>
      <x:c r="D342" s="16"/>
      <x:c r="E342" s="16"/>
      <x:c r="F342" s="16"/>
      <x:c r="G342" s="16"/>
      <x:c r="H342" s="109"/>
      <x:c r="I342" s="109"/>
      <x:c r="J342" s="16"/>
      <x:c r="K342" s="16"/>
      <x:c r="L342" s="16"/>
      <x:c r="M342" s="16"/>
      <x:c r="N342" s="16"/>
      <x:c r="O342" s="109"/>
      <x:c r="P342" s="109"/>
      <x:c r="Q342" s="16"/>
      <x:c r="R342" s="16"/>
      <x:c r="S342" s="109"/>
      <x:c r="T342" s="16"/>
      <x:c r="U342" s="16"/>
      <x:c r="V342" s="16"/>
      <x:c r="W342" s="18" t="str">
        <x:f>IF(A342="","",IF(H342="","",IF(I342&lt;&gt;"",I342-H342+1,IF(S342&lt;&gt;"",S342-H342+1,""))))</x:f>
      </x:c>
      <x:c r="X342" s="16"/>
      <x:c r="Y342" s="16"/>
      <x:c r="Z342" s="16"/>
      <x:c r="AA342" s="16"/>
      <x:c r="AB342" s="109"/>
      <x:c r="AC342" s="109"/>
      <x:c r="AD342" s="16"/>
      <x:c r="AE342" s="16"/>
      <x:c r="AF342" s="16"/>
    </x:row>
    <x:row r="343">
      <x:c r="A343" s="16"/>
      <x:c r="B343" s="16"/>
      <x:c r="C343" s="16"/>
      <x:c r="D343" s="16"/>
      <x:c r="E343" s="16"/>
      <x:c r="F343" s="16"/>
      <x:c r="G343" s="16"/>
      <x:c r="H343" s="109"/>
      <x:c r="I343" s="109"/>
      <x:c r="J343" s="16"/>
      <x:c r="K343" s="16"/>
      <x:c r="L343" s="16"/>
      <x:c r="M343" s="16"/>
      <x:c r="N343" s="16"/>
      <x:c r="O343" s="109"/>
      <x:c r="P343" s="109"/>
      <x:c r="Q343" s="16"/>
      <x:c r="R343" s="16"/>
      <x:c r="S343" s="109"/>
      <x:c r="T343" s="16"/>
      <x:c r="U343" s="16"/>
      <x:c r="V343" s="16"/>
      <x:c r="W343" s="18" t="str">
        <x:f>IF(A343="","",IF(H343="","",IF(I343&lt;&gt;"",I343-H343+1,IF(S343&lt;&gt;"",S343-H343+1,""))))</x:f>
      </x:c>
      <x:c r="X343" s="16"/>
      <x:c r="Y343" s="16"/>
      <x:c r="Z343" s="16"/>
      <x:c r="AA343" s="16"/>
      <x:c r="AB343" s="109"/>
      <x:c r="AC343" s="109"/>
      <x:c r="AD343" s="16"/>
      <x:c r="AE343" s="16"/>
      <x:c r="AF343" s="16"/>
    </x:row>
    <x:row r="344">
      <x:c r="A344" s="16"/>
      <x:c r="B344" s="16"/>
      <x:c r="C344" s="16"/>
      <x:c r="D344" s="16"/>
      <x:c r="E344" s="16"/>
      <x:c r="F344" s="16"/>
      <x:c r="G344" s="16"/>
      <x:c r="H344" s="109"/>
      <x:c r="I344" s="109"/>
      <x:c r="J344" s="16"/>
      <x:c r="K344" s="16"/>
      <x:c r="L344" s="16"/>
      <x:c r="M344" s="16"/>
      <x:c r="N344" s="16"/>
      <x:c r="O344" s="109"/>
      <x:c r="P344" s="109"/>
      <x:c r="Q344" s="16"/>
      <x:c r="R344" s="16"/>
      <x:c r="S344" s="109"/>
      <x:c r="T344" s="16"/>
      <x:c r="U344" s="16"/>
      <x:c r="V344" s="16"/>
      <x:c r="W344" s="18" t="str">
        <x:f>IF(A344="","",IF(H344="","",IF(I344&lt;&gt;"",I344-H344+1,IF(S344&lt;&gt;"",S344-H344+1,""))))</x:f>
      </x:c>
      <x:c r="X344" s="16"/>
      <x:c r="Y344" s="16"/>
      <x:c r="Z344" s="16"/>
      <x:c r="AA344" s="16"/>
      <x:c r="AB344" s="109"/>
      <x:c r="AC344" s="109"/>
      <x:c r="AD344" s="16"/>
      <x:c r="AE344" s="16"/>
      <x:c r="AF344" s="16"/>
    </x:row>
    <x:row r="345">
      <x:c r="A345" s="16"/>
      <x:c r="B345" s="16"/>
      <x:c r="C345" s="16"/>
      <x:c r="D345" s="16"/>
      <x:c r="E345" s="16"/>
      <x:c r="F345" s="16"/>
      <x:c r="G345" s="16"/>
      <x:c r="H345" s="109"/>
      <x:c r="I345" s="109"/>
      <x:c r="J345" s="16"/>
      <x:c r="K345" s="16"/>
      <x:c r="L345" s="16"/>
      <x:c r="M345" s="16"/>
      <x:c r="N345" s="16"/>
      <x:c r="O345" s="109"/>
      <x:c r="P345" s="109"/>
      <x:c r="Q345" s="16"/>
      <x:c r="R345" s="16"/>
      <x:c r="S345" s="109"/>
      <x:c r="T345" s="16"/>
      <x:c r="U345" s="16"/>
      <x:c r="V345" s="16"/>
      <x:c r="W345" s="18" t="str">
        <x:f>IF(A345="","",IF(H345="","",IF(I345&lt;&gt;"",I345-H345+1,IF(S345&lt;&gt;"",S345-H345+1,""))))</x:f>
      </x:c>
      <x:c r="X345" s="16"/>
      <x:c r="Y345" s="16"/>
      <x:c r="Z345" s="16"/>
      <x:c r="AA345" s="16"/>
      <x:c r="AB345" s="109"/>
      <x:c r="AC345" s="109"/>
      <x:c r="AD345" s="16"/>
      <x:c r="AE345" s="16"/>
      <x:c r="AF345" s="16"/>
    </x:row>
    <x:row r="346">
      <x:c r="A346" s="16"/>
      <x:c r="B346" s="16"/>
      <x:c r="C346" s="16"/>
      <x:c r="D346" s="16"/>
      <x:c r="E346" s="16"/>
      <x:c r="F346" s="16"/>
      <x:c r="G346" s="16"/>
      <x:c r="H346" s="109"/>
      <x:c r="I346" s="109"/>
      <x:c r="J346" s="16"/>
      <x:c r="K346" s="16"/>
      <x:c r="L346" s="16"/>
      <x:c r="M346" s="16"/>
      <x:c r="N346" s="16"/>
      <x:c r="O346" s="109"/>
      <x:c r="P346" s="109"/>
      <x:c r="Q346" s="16"/>
      <x:c r="R346" s="16"/>
      <x:c r="S346" s="109"/>
      <x:c r="T346" s="16"/>
      <x:c r="U346" s="16"/>
      <x:c r="V346" s="16"/>
      <x:c r="W346" s="18" t="str">
        <x:f>IF(A346="","",IF(H346="","",IF(I346&lt;&gt;"",I346-H346+1,IF(S346&lt;&gt;"",S346-H346+1,""))))</x:f>
      </x:c>
      <x:c r="X346" s="16"/>
      <x:c r="Y346" s="16"/>
      <x:c r="Z346" s="16"/>
      <x:c r="AA346" s="16"/>
      <x:c r="AB346" s="109"/>
      <x:c r="AC346" s="109"/>
      <x:c r="AD346" s="16"/>
      <x:c r="AE346" s="16"/>
      <x:c r="AF346" s="16"/>
    </x:row>
    <x:row r="347">
      <x:c r="A347" s="16"/>
      <x:c r="B347" s="16"/>
      <x:c r="C347" s="16"/>
      <x:c r="D347" s="16"/>
      <x:c r="E347" s="16"/>
      <x:c r="F347" s="16"/>
      <x:c r="G347" s="16"/>
      <x:c r="H347" s="109"/>
      <x:c r="I347" s="109"/>
      <x:c r="J347" s="16"/>
      <x:c r="K347" s="16"/>
      <x:c r="L347" s="16"/>
      <x:c r="M347" s="16"/>
      <x:c r="N347" s="16"/>
      <x:c r="O347" s="109"/>
      <x:c r="P347" s="109"/>
      <x:c r="Q347" s="16"/>
      <x:c r="R347" s="16"/>
      <x:c r="S347" s="109"/>
      <x:c r="T347" s="16"/>
      <x:c r="U347" s="16"/>
      <x:c r="V347" s="16"/>
      <x:c r="W347" s="18" t="str">
        <x:f>IF(A347="","",IF(H347="","",IF(I347&lt;&gt;"",I347-H347+1,IF(S347&lt;&gt;"",S347-H347+1,""))))</x:f>
      </x:c>
      <x:c r="X347" s="16"/>
      <x:c r="Y347" s="16"/>
      <x:c r="Z347" s="16"/>
      <x:c r="AA347" s="16"/>
      <x:c r="AB347" s="109"/>
      <x:c r="AC347" s="109"/>
      <x:c r="AD347" s="16"/>
      <x:c r="AE347" s="16"/>
      <x:c r="AF347" s="16"/>
    </x:row>
    <x:row r="348">
      <x:c r="A348" s="16"/>
      <x:c r="B348" s="16"/>
      <x:c r="C348" s="16"/>
      <x:c r="D348" s="16"/>
      <x:c r="E348" s="16"/>
      <x:c r="F348" s="16"/>
      <x:c r="G348" s="16"/>
      <x:c r="H348" s="109"/>
      <x:c r="I348" s="109"/>
      <x:c r="J348" s="16"/>
      <x:c r="K348" s="16"/>
      <x:c r="L348" s="16"/>
      <x:c r="M348" s="16"/>
      <x:c r="N348" s="16"/>
      <x:c r="O348" s="109"/>
      <x:c r="P348" s="109"/>
      <x:c r="Q348" s="16"/>
      <x:c r="R348" s="16"/>
      <x:c r="S348" s="109"/>
      <x:c r="T348" s="16"/>
      <x:c r="U348" s="16"/>
      <x:c r="V348" s="16"/>
      <x:c r="W348" s="18" t="str">
        <x:f>IF(A348="","",IF(H348="","",IF(I348&lt;&gt;"",I348-H348+1,IF(S348&lt;&gt;"",S348-H348+1,""))))</x:f>
      </x:c>
      <x:c r="X348" s="16"/>
      <x:c r="Y348" s="16"/>
      <x:c r="Z348" s="16"/>
      <x:c r="AA348" s="16"/>
      <x:c r="AB348" s="109"/>
      <x:c r="AC348" s="109"/>
      <x:c r="AD348" s="16"/>
      <x:c r="AE348" s="16"/>
      <x:c r="AF348" s="16"/>
    </x:row>
    <x:row r="349">
      <x:c r="A349" s="16"/>
      <x:c r="B349" s="16"/>
      <x:c r="C349" s="16"/>
      <x:c r="D349" s="16"/>
      <x:c r="E349" s="16"/>
      <x:c r="F349" s="16"/>
      <x:c r="G349" s="16"/>
      <x:c r="H349" s="109"/>
      <x:c r="I349" s="109"/>
      <x:c r="J349" s="16"/>
      <x:c r="K349" s="16"/>
      <x:c r="L349" s="16"/>
      <x:c r="M349" s="16"/>
      <x:c r="N349" s="16"/>
      <x:c r="O349" s="109"/>
      <x:c r="P349" s="109"/>
      <x:c r="Q349" s="16"/>
      <x:c r="R349" s="16"/>
      <x:c r="S349" s="109"/>
      <x:c r="T349" s="16"/>
      <x:c r="U349" s="16"/>
      <x:c r="V349" s="16"/>
      <x:c r="W349" s="18" t="str">
        <x:f>IF(A349="","",IF(H349="","",IF(I349&lt;&gt;"",I349-H349+1,IF(S349&lt;&gt;"",S349-H349+1,""))))</x:f>
      </x:c>
      <x:c r="X349" s="16"/>
      <x:c r="Y349" s="16"/>
      <x:c r="Z349" s="16"/>
      <x:c r="AA349" s="16"/>
      <x:c r="AB349" s="109"/>
      <x:c r="AC349" s="109"/>
      <x:c r="AD349" s="16"/>
      <x:c r="AE349" s="16"/>
      <x:c r="AF349" s="16"/>
    </x:row>
    <x:row r="350">
      <x:c r="A350" s="16"/>
      <x:c r="B350" s="16"/>
      <x:c r="C350" s="16"/>
      <x:c r="D350" s="16"/>
      <x:c r="E350" s="16"/>
      <x:c r="F350" s="16"/>
      <x:c r="G350" s="16"/>
      <x:c r="H350" s="109"/>
      <x:c r="I350" s="109"/>
      <x:c r="J350" s="16"/>
      <x:c r="K350" s="16"/>
      <x:c r="L350" s="16"/>
      <x:c r="M350" s="16"/>
      <x:c r="N350" s="16"/>
      <x:c r="O350" s="109"/>
      <x:c r="P350" s="109"/>
      <x:c r="Q350" s="16"/>
      <x:c r="R350" s="16"/>
      <x:c r="S350" s="109"/>
      <x:c r="T350" s="16"/>
      <x:c r="U350" s="16"/>
      <x:c r="V350" s="16"/>
      <x:c r="W350" s="18" t="str">
        <x:f>IF(A350="","",IF(H350="","",IF(I350&lt;&gt;"",I350-H350+1,IF(S350&lt;&gt;"",S350-H350+1,""))))</x:f>
      </x:c>
      <x:c r="X350" s="16"/>
      <x:c r="Y350" s="16"/>
      <x:c r="Z350" s="16"/>
      <x:c r="AA350" s="16"/>
      <x:c r="AB350" s="109"/>
      <x:c r="AC350" s="109"/>
      <x:c r="AD350" s="16"/>
      <x:c r="AE350" s="16"/>
      <x:c r="AF350" s="16"/>
    </x:row>
    <x:row r="351">
      <x:c r="A351" s="16"/>
      <x:c r="B351" s="16"/>
      <x:c r="C351" s="16"/>
      <x:c r="D351" s="16"/>
      <x:c r="E351" s="16"/>
      <x:c r="F351" s="16"/>
      <x:c r="G351" s="16"/>
      <x:c r="H351" s="109"/>
      <x:c r="I351" s="109"/>
      <x:c r="J351" s="16"/>
      <x:c r="K351" s="16"/>
      <x:c r="L351" s="16"/>
      <x:c r="M351" s="16"/>
      <x:c r="N351" s="16"/>
      <x:c r="O351" s="109"/>
      <x:c r="P351" s="109"/>
      <x:c r="Q351" s="16"/>
      <x:c r="R351" s="16"/>
      <x:c r="S351" s="109"/>
      <x:c r="T351" s="16"/>
      <x:c r="U351" s="16"/>
      <x:c r="V351" s="16"/>
      <x:c r="W351" s="18" t="str">
        <x:f>IF(A351="","",IF(H351="","",IF(I351&lt;&gt;"",I351-H351+1,IF(S351&lt;&gt;"",S351-H351+1,""))))</x:f>
      </x:c>
      <x:c r="X351" s="16"/>
      <x:c r="Y351" s="16"/>
      <x:c r="Z351" s="16"/>
      <x:c r="AA351" s="16"/>
      <x:c r="AB351" s="109"/>
      <x:c r="AC351" s="109"/>
      <x:c r="AD351" s="16"/>
      <x:c r="AE351" s="16"/>
      <x:c r="AF351" s="16"/>
    </x:row>
    <x:row r="352">
      <x:c r="A352" s="16"/>
      <x:c r="B352" s="16"/>
      <x:c r="C352" s="16"/>
      <x:c r="D352" s="16"/>
      <x:c r="E352" s="16"/>
      <x:c r="F352" s="16"/>
      <x:c r="G352" s="16"/>
      <x:c r="H352" s="109"/>
      <x:c r="I352" s="109"/>
      <x:c r="J352" s="16"/>
      <x:c r="K352" s="16"/>
      <x:c r="L352" s="16"/>
      <x:c r="M352" s="16"/>
      <x:c r="N352" s="16"/>
      <x:c r="O352" s="109"/>
      <x:c r="P352" s="109"/>
      <x:c r="Q352" s="16"/>
      <x:c r="R352" s="16"/>
      <x:c r="S352" s="109"/>
      <x:c r="T352" s="16"/>
      <x:c r="U352" s="16"/>
      <x:c r="V352" s="16"/>
      <x:c r="W352" s="18" t="str">
        <x:f>IF(A352="","",IF(H352="","",IF(I352&lt;&gt;"",I352-H352+1,IF(S352&lt;&gt;"",S352-H352+1,""))))</x:f>
      </x:c>
      <x:c r="X352" s="16"/>
      <x:c r="Y352" s="16"/>
      <x:c r="Z352" s="16"/>
      <x:c r="AA352" s="16"/>
      <x:c r="AB352" s="109"/>
      <x:c r="AC352" s="109"/>
      <x:c r="AD352" s="16"/>
      <x:c r="AE352" s="16"/>
      <x:c r="AF352" s="16"/>
    </x:row>
    <x:row r="353">
      <x:c r="A353" s="16"/>
      <x:c r="B353" s="16"/>
      <x:c r="C353" s="16"/>
      <x:c r="D353" s="16"/>
      <x:c r="E353" s="16"/>
      <x:c r="F353" s="16"/>
      <x:c r="G353" s="16"/>
      <x:c r="H353" s="109"/>
      <x:c r="I353" s="109"/>
      <x:c r="J353" s="16"/>
      <x:c r="K353" s="16"/>
      <x:c r="L353" s="16"/>
      <x:c r="M353" s="16"/>
      <x:c r="N353" s="16"/>
      <x:c r="O353" s="109"/>
      <x:c r="P353" s="109"/>
      <x:c r="Q353" s="16"/>
      <x:c r="R353" s="16"/>
      <x:c r="S353" s="109"/>
      <x:c r="T353" s="16"/>
      <x:c r="U353" s="16"/>
      <x:c r="V353" s="16"/>
      <x:c r="W353" s="18" t="str">
        <x:f>IF(A353="","",IF(H353="","",IF(I353&lt;&gt;"",I353-H353+1,IF(S353&lt;&gt;"",S353-H353+1,""))))</x:f>
      </x:c>
      <x:c r="X353" s="16"/>
      <x:c r="Y353" s="16"/>
      <x:c r="Z353" s="16"/>
      <x:c r="AA353" s="16"/>
      <x:c r="AB353" s="109"/>
      <x:c r="AC353" s="109"/>
      <x:c r="AD353" s="16"/>
      <x:c r="AE353" s="16"/>
      <x:c r="AF353" s="16"/>
    </x:row>
    <x:row r="354">
      <x:c r="A354" s="16"/>
      <x:c r="B354" s="16"/>
      <x:c r="C354" s="16"/>
      <x:c r="D354" s="16"/>
      <x:c r="E354" s="16"/>
      <x:c r="F354" s="16"/>
      <x:c r="G354" s="16"/>
      <x:c r="H354" s="109"/>
      <x:c r="I354" s="109"/>
      <x:c r="J354" s="16"/>
      <x:c r="K354" s="16"/>
      <x:c r="L354" s="16"/>
      <x:c r="M354" s="16"/>
      <x:c r="N354" s="16"/>
      <x:c r="O354" s="109"/>
      <x:c r="P354" s="109"/>
      <x:c r="Q354" s="16"/>
      <x:c r="R354" s="16"/>
      <x:c r="S354" s="109"/>
      <x:c r="T354" s="16"/>
      <x:c r="U354" s="16"/>
      <x:c r="V354" s="16"/>
      <x:c r="W354" s="18" t="str">
        <x:f>IF(A354="","",IF(H354="","",IF(I354&lt;&gt;"",I354-H354+1,IF(S354&lt;&gt;"",S354-H354+1,""))))</x:f>
      </x:c>
      <x:c r="X354" s="16"/>
      <x:c r="Y354" s="16"/>
      <x:c r="Z354" s="16"/>
      <x:c r="AA354" s="16"/>
      <x:c r="AB354" s="109"/>
      <x:c r="AC354" s="109"/>
      <x:c r="AD354" s="16"/>
      <x:c r="AE354" s="16"/>
      <x:c r="AF354" s="16"/>
    </x:row>
    <x:row r="355">
      <x:c r="A355" s="16"/>
      <x:c r="B355" s="16"/>
      <x:c r="C355" s="16"/>
      <x:c r="D355" s="16"/>
      <x:c r="E355" s="16"/>
      <x:c r="F355" s="16"/>
      <x:c r="G355" s="16"/>
      <x:c r="H355" s="109"/>
      <x:c r="I355" s="109"/>
      <x:c r="J355" s="16"/>
      <x:c r="K355" s="16"/>
      <x:c r="L355" s="16"/>
      <x:c r="M355" s="16"/>
      <x:c r="N355" s="16"/>
      <x:c r="O355" s="109"/>
      <x:c r="P355" s="109"/>
      <x:c r="Q355" s="16"/>
      <x:c r="R355" s="16"/>
      <x:c r="S355" s="109"/>
      <x:c r="T355" s="16"/>
      <x:c r="U355" s="16"/>
      <x:c r="V355" s="16"/>
      <x:c r="W355" s="18" t="str">
        <x:f>IF(A355="","",IF(H355="","",IF(I355&lt;&gt;"",I355-H355+1,IF(S355&lt;&gt;"",S355-H355+1,""))))</x:f>
      </x:c>
      <x:c r="X355" s="16"/>
      <x:c r="Y355" s="16"/>
      <x:c r="Z355" s="16"/>
      <x:c r="AA355" s="16"/>
      <x:c r="AB355" s="109"/>
      <x:c r="AC355" s="109"/>
      <x:c r="AD355" s="16"/>
      <x:c r="AE355" s="16"/>
      <x:c r="AF355" s="16"/>
    </x:row>
    <x:row r="356">
      <x:c r="A356" s="16"/>
      <x:c r="B356" s="16"/>
      <x:c r="C356" s="16"/>
      <x:c r="D356" s="16"/>
      <x:c r="E356" s="16"/>
      <x:c r="F356" s="16"/>
      <x:c r="G356" s="16"/>
      <x:c r="H356" s="109"/>
      <x:c r="I356" s="109"/>
      <x:c r="J356" s="16"/>
      <x:c r="K356" s="16"/>
      <x:c r="L356" s="16"/>
      <x:c r="M356" s="16"/>
      <x:c r="N356" s="16"/>
      <x:c r="O356" s="109"/>
      <x:c r="P356" s="109"/>
      <x:c r="Q356" s="16"/>
      <x:c r="R356" s="16"/>
      <x:c r="S356" s="109"/>
      <x:c r="T356" s="16"/>
      <x:c r="U356" s="16"/>
      <x:c r="V356" s="16"/>
      <x:c r="W356" s="18" t="str">
        <x:f>IF(A356="","",IF(H356="","",IF(I356&lt;&gt;"",I356-H356+1,IF(S356&lt;&gt;"",S356-H356+1,""))))</x:f>
      </x:c>
      <x:c r="X356" s="16"/>
      <x:c r="Y356" s="16"/>
      <x:c r="Z356" s="16"/>
      <x:c r="AA356" s="16"/>
      <x:c r="AB356" s="109"/>
      <x:c r="AC356" s="109"/>
      <x:c r="AD356" s="16"/>
      <x:c r="AE356" s="16"/>
      <x:c r="AF356" s="16"/>
    </x:row>
    <x:row r="357">
      <x:c r="A357" s="16"/>
      <x:c r="B357" s="16"/>
      <x:c r="C357" s="16"/>
      <x:c r="D357" s="16"/>
      <x:c r="E357" s="16"/>
      <x:c r="F357" s="16"/>
      <x:c r="G357" s="16"/>
      <x:c r="H357" s="109"/>
      <x:c r="I357" s="109"/>
      <x:c r="J357" s="16"/>
      <x:c r="K357" s="16"/>
      <x:c r="L357" s="16"/>
      <x:c r="M357" s="16"/>
      <x:c r="N357" s="16"/>
      <x:c r="O357" s="109"/>
      <x:c r="P357" s="109"/>
      <x:c r="Q357" s="16"/>
      <x:c r="R357" s="16"/>
      <x:c r="S357" s="109"/>
      <x:c r="T357" s="16"/>
      <x:c r="U357" s="16"/>
      <x:c r="V357" s="16"/>
      <x:c r="W357" s="18" t="str">
        <x:f>IF(A357="","",IF(H357="","",IF(I357&lt;&gt;"",I357-H357+1,IF(S357&lt;&gt;"",S357-H357+1,""))))</x:f>
      </x:c>
      <x:c r="X357" s="16"/>
      <x:c r="Y357" s="16"/>
      <x:c r="Z357" s="16"/>
      <x:c r="AA357" s="16"/>
      <x:c r="AB357" s="109"/>
      <x:c r="AC357" s="109"/>
      <x:c r="AD357" s="16"/>
      <x:c r="AE357" s="16"/>
      <x:c r="AF357" s="16"/>
    </x:row>
    <x:row r="358">
      <x:c r="A358" s="16"/>
      <x:c r="B358" s="16"/>
      <x:c r="C358" s="16"/>
      <x:c r="D358" s="16"/>
      <x:c r="E358" s="16"/>
      <x:c r="F358" s="16"/>
      <x:c r="G358" s="16"/>
      <x:c r="H358" s="109"/>
      <x:c r="I358" s="109"/>
      <x:c r="J358" s="16"/>
      <x:c r="K358" s="16"/>
      <x:c r="L358" s="16"/>
      <x:c r="M358" s="16"/>
      <x:c r="N358" s="16"/>
      <x:c r="O358" s="109"/>
      <x:c r="P358" s="109"/>
      <x:c r="Q358" s="16"/>
      <x:c r="R358" s="16"/>
      <x:c r="S358" s="109"/>
      <x:c r="T358" s="16"/>
      <x:c r="U358" s="16"/>
      <x:c r="V358" s="16"/>
      <x:c r="W358" s="18" t="str">
        <x:f>IF(A358="","",IF(H358="","",IF(I358&lt;&gt;"",I358-H358+1,IF(S358&lt;&gt;"",S358-H358+1,""))))</x:f>
      </x:c>
      <x:c r="X358" s="16"/>
      <x:c r="Y358" s="16"/>
      <x:c r="Z358" s="16"/>
      <x:c r="AA358" s="16"/>
      <x:c r="AB358" s="109"/>
      <x:c r="AC358" s="109"/>
      <x:c r="AD358" s="16"/>
      <x:c r="AE358" s="16"/>
      <x:c r="AF358" s="16"/>
    </x:row>
    <x:row r="359">
      <x:c r="A359" s="16"/>
      <x:c r="B359" s="16"/>
      <x:c r="C359" s="16"/>
      <x:c r="D359" s="16"/>
      <x:c r="E359" s="16"/>
      <x:c r="F359" s="16"/>
      <x:c r="G359" s="16"/>
      <x:c r="H359" s="109"/>
      <x:c r="I359" s="109"/>
      <x:c r="J359" s="16"/>
      <x:c r="K359" s="16"/>
      <x:c r="L359" s="16"/>
      <x:c r="M359" s="16"/>
      <x:c r="N359" s="16"/>
      <x:c r="O359" s="109"/>
      <x:c r="P359" s="109"/>
      <x:c r="Q359" s="16"/>
      <x:c r="R359" s="16"/>
      <x:c r="S359" s="109"/>
      <x:c r="T359" s="16"/>
      <x:c r="U359" s="16"/>
      <x:c r="V359" s="16"/>
      <x:c r="W359" s="18" t="str">
        <x:f>IF(A359="","",IF(H359="","",IF(I359&lt;&gt;"",I359-H359+1,IF(S359&lt;&gt;"",S359-H359+1,""))))</x:f>
      </x:c>
      <x:c r="X359" s="16"/>
      <x:c r="Y359" s="16"/>
      <x:c r="Z359" s="16"/>
      <x:c r="AA359" s="16"/>
      <x:c r="AB359" s="109"/>
      <x:c r="AC359" s="109"/>
      <x:c r="AD359" s="16"/>
      <x:c r="AE359" s="16"/>
      <x:c r="AF359" s="16"/>
    </x:row>
    <x:row r="360">
      <x:c r="A360" s="16"/>
      <x:c r="B360" s="16"/>
      <x:c r="C360" s="16"/>
      <x:c r="D360" s="16"/>
      <x:c r="E360" s="16"/>
      <x:c r="F360" s="16"/>
      <x:c r="G360" s="16"/>
      <x:c r="H360" s="109"/>
      <x:c r="I360" s="109"/>
      <x:c r="J360" s="16"/>
      <x:c r="K360" s="16"/>
      <x:c r="L360" s="16"/>
      <x:c r="M360" s="16"/>
      <x:c r="N360" s="16"/>
      <x:c r="O360" s="109"/>
      <x:c r="P360" s="109"/>
      <x:c r="Q360" s="16"/>
      <x:c r="R360" s="16"/>
      <x:c r="S360" s="109"/>
      <x:c r="T360" s="16"/>
      <x:c r="U360" s="16"/>
      <x:c r="V360" s="16"/>
      <x:c r="W360" s="18" t="str">
        <x:f>IF(A360="","",IF(H360="","",IF(I360&lt;&gt;"",I360-H360+1,IF(S360&lt;&gt;"",S360-H360+1,""))))</x:f>
      </x:c>
      <x:c r="X360" s="16"/>
      <x:c r="Y360" s="16"/>
      <x:c r="Z360" s="16"/>
      <x:c r="AA360" s="16"/>
      <x:c r="AB360" s="109"/>
      <x:c r="AC360" s="109"/>
      <x:c r="AD360" s="16"/>
      <x:c r="AE360" s="16"/>
      <x:c r="AF360" s="16"/>
    </x:row>
    <x:row r="361">
      <x:c r="A361" s="16"/>
      <x:c r="B361" s="16"/>
      <x:c r="C361" s="16"/>
      <x:c r="D361" s="16"/>
      <x:c r="E361" s="16"/>
      <x:c r="F361" s="16"/>
      <x:c r="G361" s="16"/>
      <x:c r="H361" s="109"/>
      <x:c r="I361" s="109"/>
      <x:c r="J361" s="16"/>
      <x:c r="K361" s="16"/>
      <x:c r="L361" s="16"/>
      <x:c r="M361" s="16"/>
      <x:c r="N361" s="16"/>
      <x:c r="O361" s="109"/>
      <x:c r="P361" s="109"/>
      <x:c r="Q361" s="16"/>
      <x:c r="R361" s="16"/>
      <x:c r="S361" s="109"/>
      <x:c r="T361" s="16"/>
      <x:c r="U361" s="16"/>
      <x:c r="V361" s="16"/>
      <x:c r="W361" s="18" t="str">
        <x:f>IF(A361="","",IF(H361="","",IF(I361&lt;&gt;"",I361-H361+1,IF(S361&lt;&gt;"",S361-H361+1,""))))</x:f>
      </x:c>
      <x:c r="X361" s="16"/>
      <x:c r="Y361" s="16"/>
      <x:c r="Z361" s="16"/>
      <x:c r="AA361" s="16"/>
      <x:c r="AB361" s="109"/>
      <x:c r="AC361" s="109"/>
      <x:c r="AD361" s="16"/>
      <x:c r="AE361" s="16"/>
      <x:c r="AF361" s="16"/>
    </x:row>
    <x:row r="362">
      <x:c r="A362" s="16"/>
      <x:c r="B362" s="16"/>
      <x:c r="C362" s="16"/>
      <x:c r="D362" s="16"/>
      <x:c r="E362" s="16"/>
      <x:c r="F362" s="16"/>
      <x:c r="G362" s="16"/>
      <x:c r="H362" s="109"/>
      <x:c r="I362" s="109"/>
      <x:c r="J362" s="16"/>
      <x:c r="K362" s="16"/>
      <x:c r="L362" s="16"/>
      <x:c r="M362" s="16"/>
      <x:c r="N362" s="16"/>
      <x:c r="O362" s="109"/>
      <x:c r="P362" s="109"/>
      <x:c r="Q362" s="16"/>
      <x:c r="R362" s="16"/>
      <x:c r="S362" s="109"/>
      <x:c r="T362" s="16"/>
      <x:c r="U362" s="16"/>
      <x:c r="V362" s="16"/>
      <x:c r="W362" s="18" t="str">
        <x:f>IF(A362="","",IF(H362="","",IF(I362&lt;&gt;"",I362-H362+1,IF(S362&lt;&gt;"",S362-H362+1,""))))</x:f>
      </x:c>
      <x:c r="X362" s="16"/>
      <x:c r="Y362" s="16"/>
      <x:c r="Z362" s="16"/>
      <x:c r="AA362" s="16"/>
      <x:c r="AB362" s="109"/>
      <x:c r="AC362" s="109"/>
      <x:c r="AD362" s="16"/>
      <x:c r="AE362" s="16"/>
      <x:c r="AF362" s="16"/>
    </x:row>
    <x:row r="363">
      <x:c r="A363" s="16"/>
      <x:c r="B363" s="16"/>
      <x:c r="C363" s="16"/>
      <x:c r="D363" s="16"/>
      <x:c r="E363" s="16"/>
      <x:c r="F363" s="16"/>
      <x:c r="G363" s="16"/>
      <x:c r="H363" s="109"/>
      <x:c r="I363" s="109"/>
      <x:c r="J363" s="16"/>
      <x:c r="K363" s="16"/>
      <x:c r="L363" s="16"/>
      <x:c r="M363" s="16"/>
      <x:c r="N363" s="16"/>
      <x:c r="O363" s="109"/>
      <x:c r="P363" s="109"/>
      <x:c r="Q363" s="16"/>
      <x:c r="R363" s="16"/>
      <x:c r="S363" s="109"/>
      <x:c r="T363" s="16"/>
      <x:c r="U363" s="16"/>
      <x:c r="V363" s="16"/>
      <x:c r="W363" s="18" t="str">
        <x:f>IF(A363="","",IF(H363="","",IF(I363&lt;&gt;"",I363-H363+1,IF(S363&lt;&gt;"",S363-H363+1,""))))</x:f>
      </x:c>
      <x:c r="X363" s="16"/>
      <x:c r="Y363" s="16"/>
      <x:c r="Z363" s="16"/>
      <x:c r="AA363" s="16"/>
      <x:c r="AB363" s="109"/>
      <x:c r="AC363" s="109"/>
      <x:c r="AD363" s="16"/>
      <x:c r="AE363" s="16"/>
      <x:c r="AF363" s="16"/>
    </x:row>
    <x:row r="364">
      <x:c r="A364" s="16"/>
      <x:c r="B364" s="16"/>
      <x:c r="C364" s="16"/>
      <x:c r="D364" s="16"/>
      <x:c r="E364" s="16"/>
      <x:c r="F364" s="16"/>
      <x:c r="G364" s="16"/>
      <x:c r="H364" s="109"/>
      <x:c r="I364" s="109"/>
      <x:c r="J364" s="16"/>
      <x:c r="K364" s="16"/>
      <x:c r="L364" s="16"/>
      <x:c r="M364" s="16"/>
      <x:c r="N364" s="16"/>
      <x:c r="O364" s="109"/>
      <x:c r="P364" s="109"/>
      <x:c r="Q364" s="16"/>
      <x:c r="R364" s="16"/>
      <x:c r="S364" s="109"/>
      <x:c r="T364" s="16"/>
      <x:c r="U364" s="16"/>
      <x:c r="V364" s="16"/>
      <x:c r="W364" s="18" t="str">
        <x:f>IF(A364="","",IF(H364="","",IF(I364&lt;&gt;"",I364-H364+1,IF(S364&lt;&gt;"",S364-H364+1,""))))</x:f>
      </x:c>
      <x:c r="X364" s="16"/>
      <x:c r="Y364" s="16"/>
      <x:c r="Z364" s="16"/>
      <x:c r="AA364" s="16"/>
      <x:c r="AB364" s="109"/>
      <x:c r="AC364" s="109"/>
      <x:c r="AD364" s="16"/>
      <x:c r="AE364" s="16"/>
      <x:c r="AF364" s="16"/>
    </x:row>
    <x:row r="365">
      <x:c r="A365" s="16"/>
      <x:c r="B365" s="16"/>
      <x:c r="C365" s="16"/>
      <x:c r="D365" s="16"/>
      <x:c r="E365" s="16"/>
      <x:c r="F365" s="16"/>
      <x:c r="G365" s="16"/>
      <x:c r="H365" s="109"/>
      <x:c r="I365" s="109"/>
      <x:c r="J365" s="16"/>
      <x:c r="K365" s="16"/>
      <x:c r="L365" s="16"/>
      <x:c r="M365" s="16"/>
      <x:c r="N365" s="16"/>
      <x:c r="O365" s="109"/>
      <x:c r="P365" s="109"/>
      <x:c r="Q365" s="16"/>
      <x:c r="R365" s="16"/>
      <x:c r="S365" s="109"/>
      <x:c r="T365" s="16"/>
      <x:c r="U365" s="16"/>
      <x:c r="V365" s="16"/>
      <x:c r="W365" s="18" t="str">
        <x:f>IF(A365="","",IF(H365="","",IF(I365&lt;&gt;"",I365-H365+1,IF(S365&lt;&gt;"",S365-H365+1,""))))</x:f>
      </x:c>
      <x:c r="X365" s="16"/>
      <x:c r="Y365" s="16"/>
      <x:c r="Z365" s="16"/>
      <x:c r="AA365" s="16"/>
      <x:c r="AB365" s="109"/>
      <x:c r="AC365" s="109"/>
      <x:c r="AD365" s="16"/>
      <x:c r="AE365" s="16"/>
      <x:c r="AF365" s="16"/>
    </x:row>
    <x:row r="366">
      <x:c r="A366" s="16"/>
      <x:c r="B366" s="16"/>
      <x:c r="C366" s="16"/>
      <x:c r="D366" s="16"/>
      <x:c r="E366" s="16"/>
      <x:c r="F366" s="16"/>
      <x:c r="G366" s="16"/>
      <x:c r="H366" s="109"/>
      <x:c r="I366" s="109"/>
      <x:c r="J366" s="16"/>
      <x:c r="K366" s="16"/>
      <x:c r="L366" s="16"/>
      <x:c r="M366" s="16"/>
      <x:c r="N366" s="16"/>
      <x:c r="O366" s="109"/>
      <x:c r="P366" s="109"/>
      <x:c r="Q366" s="16"/>
      <x:c r="R366" s="16"/>
      <x:c r="S366" s="109"/>
      <x:c r="T366" s="16"/>
      <x:c r="U366" s="16"/>
      <x:c r="V366" s="16"/>
      <x:c r="W366" s="18" t="str">
        <x:f>IF(A366="","",IF(H366="","",IF(I366&lt;&gt;"",I366-H366+1,IF(S366&lt;&gt;"",S366-H366+1,""))))</x:f>
      </x:c>
      <x:c r="X366" s="16"/>
      <x:c r="Y366" s="16"/>
      <x:c r="Z366" s="16"/>
      <x:c r="AA366" s="16"/>
      <x:c r="AB366" s="109"/>
      <x:c r="AC366" s="109"/>
      <x:c r="AD366" s="16"/>
      <x:c r="AE366" s="16"/>
      <x:c r="AF366" s="16"/>
    </x:row>
    <x:row r="367">
      <x:c r="A367" s="16"/>
      <x:c r="B367" s="16"/>
      <x:c r="C367" s="16"/>
      <x:c r="D367" s="16"/>
      <x:c r="E367" s="16"/>
      <x:c r="F367" s="16"/>
      <x:c r="G367" s="16"/>
      <x:c r="H367" s="109"/>
      <x:c r="I367" s="109"/>
      <x:c r="J367" s="16"/>
      <x:c r="K367" s="16"/>
      <x:c r="L367" s="16"/>
      <x:c r="M367" s="16"/>
      <x:c r="N367" s="16"/>
      <x:c r="O367" s="109"/>
      <x:c r="P367" s="109"/>
      <x:c r="Q367" s="16"/>
      <x:c r="R367" s="16"/>
      <x:c r="S367" s="109"/>
      <x:c r="T367" s="16"/>
      <x:c r="U367" s="16"/>
      <x:c r="V367" s="16"/>
      <x:c r="W367" s="18" t="str">
        <x:f>IF(A367="","",IF(H367="","",IF(I367&lt;&gt;"",I367-H367+1,IF(S367&lt;&gt;"",S367-H367+1,""))))</x:f>
      </x:c>
      <x:c r="X367" s="16"/>
      <x:c r="Y367" s="16"/>
      <x:c r="Z367" s="16"/>
      <x:c r="AA367" s="16"/>
      <x:c r="AB367" s="109"/>
      <x:c r="AC367" s="109"/>
      <x:c r="AD367" s="16"/>
      <x:c r="AE367" s="16"/>
      <x:c r="AF367" s="16"/>
    </x:row>
    <x:row r="368">
      <x:c r="A368" s="16"/>
      <x:c r="B368" s="16"/>
      <x:c r="C368" s="16"/>
      <x:c r="D368" s="16"/>
      <x:c r="E368" s="16"/>
      <x:c r="F368" s="16"/>
      <x:c r="G368" s="16"/>
      <x:c r="H368" s="109"/>
      <x:c r="I368" s="109"/>
      <x:c r="J368" s="16"/>
      <x:c r="K368" s="16"/>
      <x:c r="L368" s="16"/>
      <x:c r="M368" s="16"/>
      <x:c r="N368" s="16"/>
      <x:c r="O368" s="109"/>
      <x:c r="P368" s="109"/>
      <x:c r="Q368" s="16"/>
      <x:c r="R368" s="16"/>
      <x:c r="S368" s="109"/>
      <x:c r="T368" s="16"/>
      <x:c r="U368" s="16"/>
      <x:c r="V368" s="16"/>
      <x:c r="W368" s="18" t="str">
        <x:f>IF(A368="","",IF(H368="","",IF(I368&lt;&gt;"",I368-H368+1,IF(S368&lt;&gt;"",S368-H368+1,""))))</x:f>
      </x:c>
      <x:c r="X368" s="16"/>
      <x:c r="Y368" s="16"/>
      <x:c r="Z368" s="16"/>
      <x:c r="AA368" s="16"/>
      <x:c r="AB368" s="109"/>
      <x:c r="AC368" s="109"/>
      <x:c r="AD368" s="16"/>
      <x:c r="AE368" s="16"/>
      <x:c r="AF368" s="16"/>
    </x:row>
    <x:row r="369">
      <x:c r="A369" s="16"/>
      <x:c r="B369" s="16"/>
      <x:c r="C369" s="16"/>
      <x:c r="D369" s="16"/>
      <x:c r="E369" s="16"/>
      <x:c r="F369" s="16"/>
      <x:c r="G369" s="16"/>
      <x:c r="H369" s="109"/>
      <x:c r="I369" s="109"/>
      <x:c r="J369" s="16"/>
      <x:c r="K369" s="16"/>
      <x:c r="L369" s="16"/>
      <x:c r="M369" s="16"/>
      <x:c r="N369" s="16"/>
      <x:c r="O369" s="109"/>
      <x:c r="P369" s="109"/>
      <x:c r="Q369" s="16"/>
      <x:c r="R369" s="16"/>
      <x:c r="S369" s="109"/>
      <x:c r="T369" s="16"/>
      <x:c r="U369" s="16"/>
      <x:c r="V369" s="16"/>
      <x:c r="W369" s="18" t="str">
        <x:f>IF(A369="","",IF(H369="","",IF(I369&lt;&gt;"",I369-H369+1,IF(S369&lt;&gt;"",S369-H369+1,""))))</x:f>
      </x:c>
      <x:c r="X369" s="16"/>
      <x:c r="Y369" s="16"/>
      <x:c r="Z369" s="16"/>
      <x:c r="AA369" s="16"/>
      <x:c r="AB369" s="109"/>
      <x:c r="AC369" s="109"/>
      <x:c r="AD369" s="16"/>
      <x:c r="AE369" s="16"/>
      <x:c r="AF369" s="16"/>
    </x:row>
    <x:row r="370">
      <x:c r="A370" s="16"/>
      <x:c r="B370" s="16"/>
      <x:c r="C370" s="16"/>
      <x:c r="D370" s="16"/>
      <x:c r="E370" s="16"/>
      <x:c r="F370" s="16"/>
      <x:c r="G370" s="16"/>
      <x:c r="H370" s="109"/>
      <x:c r="I370" s="109"/>
      <x:c r="J370" s="16"/>
      <x:c r="K370" s="16"/>
      <x:c r="L370" s="16"/>
      <x:c r="M370" s="16"/>
      <x:c r="N370" s="16"/>
      <x:c r="O370" s="109"/>
      <x:c r="P370" s="109"/>
      <x:c r="Q370" s="16"/>
      <x:c r="R370" s="16"/>
      <x:c r="S370" s="109"/>
      <x:c r="T370" s="16"/>
      <x:c r="U370" s="16"/>
      <x:c r="V370" s="16"/>
      <x:c r="W370" s="18" t="str">
        <x:f>IF(A370="","",IF(H370="","",IF(I370&lt;&gt;"",I370-H370+1,IF(S370&lt;&gt;"",S370-H370+1,""))))</x:f>
      </x:c>
      <x:c r="X370" s="16"/>
      <x:c r="Y370" s="16"/>
      <x:c r="Z370" s="16"/>
      <x:c r="AA370" s="16"/>
      <x:c r="AB370" s="109"/>
      <x:c r="AC370" s="109"/>
      <x:c r="AD370" s="16"/>
      <x:c r="AE370" s="16"/>
      <x:c r="AF370" s="16"/>
    </x:row>
    <x:row r="371">
      <x:c r="A371" s="16"/>
      <x:c r="B371" s="16"/>
      <x:c r="C371" s="16"/>
      <x:c r="D371" s="16"/>
      <x:c r="E371" s="16"/>
      <x:c r="F371" s="16"/>
      <x:c r="G371" s="16"/>
      <x:c r="H371" s="109"/>
      <x:c r="I371" s="109"/>
      <x:c r="J371" s="16"/>
      <x:c r="K371" s="16"/>
      <x:c r="L371" s="16"/>
      <x:c r="M371" s="16"/>
      <x:c r="N371" s="16"/>
      <x:c r="O371" s="109"/>
      <x:c r="P371" s="109"/>
      <x:c r="Q371" s="16"/>
      <x:c r="R371" s="16"/>
      <x:c r="S371" s="109"/>
      <x:c r="T371" s="16"/>
      <x:c r="U371" s="16"/>
      <x:c r="V371" s="16"/>
      <x:c r="W371" s="18" t="str">
        <x:f>IF(A371="","",IF(H371="","",IF(I371&lt;&gt;"",I371-H371+1,IF(S371&lt;&gt;"",S371-H371+1,""))))</x:f>
      </x:c>
      <x:c r="X371" s="16"/>
      <x:c r="Y371" s="16"/>
      <x:c r="Z371" s="16"/>
      <x:c r="AA371" s="16"/>
      <x:c r="AB371" s="109"/>
      <x:c r="AC371" s="109"/>
      <x:c r="AD371" s="16"/>
      <x:c r="AE371" s="16"/>
      <x:c r="AF371" s="16"/>
    </x:row>
    <x:row r="372">
      <x:c r="A372" s="16"/>
      <x:c r="B372" s="16"/>
      <x:c r="C372" s="16"/>
      <x:c r="D372" s="16"/>
      <x:c r="E372" s="16"/>
      <x:c r="F372" s="16"/>
      <x:c r="G372" s="16"/>
      <x:c r="H372" s="109"/>
      <x:c r="I372" s="109"/>
      <x:c r="J372" s="16"/>
      <x:c r="K372" s="16"/>
      <x:c r="L372" s="16"/>
      <x:c r="M372" s="16"/>
      <x:c r="N372" s="16"/>
      <x:c r="O372" s="109"/>
      <x:c r="P372" s="109"/>
      <x:c r="Q372" s="16"/>
      <x:c r="R372" s="16"/>
      <x:c r="S372" s="109"/>
      <x:c r="T372" s="16"/>
      <x:c r="U372" s="16"/>
      <x:c r="V372" s="16"/>
      <x:c r="W372" s="18" t="str">
        <x:f>IF(A372="","",IF(H372="","",IF(I372&lt;&gt;"",I372-H372+1,IF(S372&lt;&gt;"",S372-H372+1,""))))</x:f>
      </x:c>
      <x:c r="X372" s="16"/>
      <x:c r="Y372" s="16"/>
      <x:c r="Z372" s="16"/>
      <x:c r="AA372" s="16"/>
      <x:c r="AB372" s="109"/>
      <x:c r="AC372" s="109"/>
      <x:c r="AD372" s="16"/>
      <x:c r="AE372" s="16"/>
      <x:c r="AF372" s="16"/>
    </x:row>
    <x:row r="373">
      <x:c r="A373" s="16"/>
      <x:c r="B373" s="16"/>
      <x:c r="C373" s="16"/>
      <x:c r="D373" s="16"/>
      <x:c r="E373" s="16"/>
      <x:c r="F373" s="16"/>
      <x:c r="G373" s="16"/>
      <x:c r="H373" s="109"/>
      <x:c r="I373" s="109"/>
      <x:c r="J373" s="16"/>
      <x:c r="K373" s="16"/>
      <x:c r="L373" s="16"/>
      <x:c r="M373" s="16"/>
      <x:c r="N373" s="16"/>
      <x:c r="O373" s="109"/>
      <x:c r="P373" s="109"/>
      <x:c r="Q373" s="16"/>
      <x:c r="R373" s="16"/>
      <x:c r="S373" s="109"/>
      <x:c r="T373" s="16"/>
      <x:c r="U373" s="16"/>
      <x:c r="V373" s="16"/>
      <x:c r="W373" s="18" t="str">
        <x:f>IF(A373="","",IF(H373="","",IF(I373&lt;&gt;"",I373-H373+1,IF(S373&lt;&gt;"",S373-H373+1,""))))</x:f>
      </x:c>
      <x:c r="X373" s="16"/>
      <x:c r="Y373" s="16"/>
      <x:c r="Z373" s="16"/>
      <x:c r="AA373" s="16"/>
      <x:c r="AB373" s="109"/>
      <x:c r="AC373" s="109"/>
      <x:c r="AD373" s="16"/>
      <x:c r="AE373" s="16"/>
      <x:c r="AF373" s="16"/>
    </x:row>
    <x:row r="374">
      <x:c r="A374" s="16"/>
      <x:c r="B374" s="16"/>
      <x:c r="C374" s="16"/>
      <x:c r="D374" s="16"/>
      <x:c r="E374" s="16"/>
      <x:c r="F374" s="16"/>
      <x:c r="G374" s="16"/>
      <x:c r="H374" s="109"/>
      <x:c r="I374" s="109"/>
      <x:c r="J374" s="16"/>
      <x:c r="K374" s="16"/>
      <x:c r="L374" s="16"/>
      <x:c r="M374" s="16"/>
      <x:c r="N374" s="16"/>
      <x:c r="O374" s="109"/>
      <x:c r="P374" s="109"/>
      <x:c r="Q374" s="16"/>
      <x:c r="R374" s="16"/>
      <x:c r="S374" s="109"/>
      <x:c r="T374" s="16"/>
      <x:c r="U374" s="16"/>
      <x:c r="V374" s="16"/>
      <x:c r="W374" s="18" t="str">
        <x:f>IF(A374="","",IF(H374="","",IF(I374&lt;&gt;"",I374-H374+1,IF(S374&lt;&gt;"",S374-H374+1,""))))</x:f>
      </x:c>
      <x:c r="X374" s="16"/>
      <x:c r="Y374" s="16"/>
      <x:c r="Z374" s="16"/>
      <x:c r="AA374" s="16"/>
      <x:c r="AB374" s="109"/>
      <x:c r="AC374" s="109"/>
      <x:c r="AD374" s="16"/>
      <x:c r="AE374" s="16"/>
      <x:c r="AF374" s="16"/>
    </x:row>
    <x:row r="375">
      <x:c r="A375" s="16"/>
      <x:c r="B375" s="16"/>
      <x:c r="C375" s="16"/>
      <x:c r="D375" s="16"/>
      <x:c r="E375" s="16"/>
      <x:c r="F375" s="16"/>
      <x:c r="G375" s="16"/>
      <x:c r="H375" s="109"/>
      <x:c r="I375" s="109"/>
      <x:c r="J375" s="16"/>
      <x:c r="K375" s="16"/>
      <x:c r="L375" s="16"/>
      <x:c r="M375" s="16"/>
      <x:c r="N375" s="16"/>
      <x:c r="O375" s="109"/>
      <x:c r="P375" s="109"/>
      <x:c r="Q375" s="16"/>
      <x:c r="R375" s="16"/>
      <x:c r="S375" s="109"/>
      <x:c r="T375" s="16"/>
      <x:c r="U375" s="16"/>
      <x:c r="V375" s="16"/>
      <x:c r="W375" s="18" t="str">
        <x:f>IF(A375="","",IF(H375="","",IF(I375&lt;&gt;"",I375-H375+1,IF(S375&lt;&gt;"",S375-H375+1,""))))</x:f>
      </x:c>
      <x:c r="X375" s="16"/>
      <x:c r="Y375" s="16"/>
      <x:c r="Z375" s="16"/>
      <x:c r="AA375" s="16"/>
      <x:c r="AB375" s="109"/>
      <x:c r="AC375" s="109"/>
      <x:c r="AD375" s="16"/>
      <x:c r="AE375" s="16"/>
      <x:c r="AF375" s="16"/>
    </x:row>
    <x:row r="376">
      <x:c r="A376" s="16"/>
      <x:c r="B376" s="16"/>
      <x:c r="C376" s="16"/>
      <x:c r="D376" s="16"/>
      <x:c r="E376" s="16"/>
      <x:c r="F376" s="16"/>
      <x:c r="G376" s="16"/>
      <x:c r="H376" s="109"/>
      <x:c r="I376" s="109"/>
      <x:c r="J376" s="16"/>
      <x:c r="K376" s="16"/>
      <x:c r="L376" s="16"/>
      <x:c r="M376" s="16"/>
      <x:c r="N376" s="16"/>
      <x:c r="O376" s="109"/>
      <x:c r="P376" s="109"/>
      <x:c r="Q376" s="16"/>
      <x:c r="R376" s="16"/>
      <x:c r="S376" s="109"/>
      <x:c r="T376" s="16"/>
      <x:c r="U376" s="16"/>
      <x:c r="V376" s="16"/>
      <x:c r="W376" s="18" t="str">
        <x:f>IF(A376="","",IF(H376="","",IF(I376&lt;&gt;"",I376-H376+1,IF(S376&lt;&gt;"",S376-H376+1,""))))</x:f>
      </x:c>
      <x:c r="X376" s="16"/>
      <x:c r="Y376" s="16"/>
      <x:c r="Z376" s="16"/>
      <x:c r="AA376" s="16"/>
      <x:c r="AB376" s="109"/>
      <x:c r="AC376" s="109"/>
      <x:c r="AD376" s="16"/>
      <x:c r="AE376" s="16"/>
      <x:c r="AF376" s="16"/>
    </x:row>
    <x:row r="377">
      <x:c r="A377" s="16"/>
      <x:c r="B377" s="16"/>
      <x:c r="C377" s="16"/>
      <x:c r="D377" s="16"/>
      <x:c r="E377" s="16"/>
      <x:c r="F377" s="16"/>
      <x:c r="G377" s="16"/>
      <x:c r="H377" s="109"/>
      <x:c r="I377" s="109"/>
      <x:c r="J377" s="16"/>
      <x:c r="K377" s="16"/>
      <x:c r="L377" s="16"/>
      <x:c r="M377" s="16"/>
      <x:c r="N377" s="16"/>
      <x:c r="O377" s="109"/>
      <x:c r="P377" s="109"/>
      <x:c r="Q377" s="16"/>
      <x:c r="R377" s="16"/>
      <x:c r="S377" s="109"/>
      <x:c r="T377" s="16"/>
      <x:c r="U377" s="16"/>
      <x:c r="V377" s="16"/>
      <x:c r="W377" s="18" t="str">
        <x:f>IF(A377="","",IF(H377="","",IF(I377&lt;&gt;"",I377-H377+1,IF(S377&lt;&gt;"",S377-H377+1,""))))</x:f>
      </x:c>
      <x:c r="X377" s="16"/>
      <x:c r="Y377" s="16"/>
      <x:c r="Z377" s="16"/>
      <x:c r="AA377" s="16"/>
      <x:c r="AB377" s="109"/>
      <x:c r="AC377" s="109"/>
      <x:c r="AD377" s="16"/>
      <x:c r="AE377" s="16"/>
      <x:c r="AF377" s="16"/>
    </x:row>
    <x:row r="378">
      <x:c r="A378" s="16"/>
      <x:c r="B378" s="16"/>
      <x:c r="C378" s="16"/>
      <x:c r="D378" s="16"/>
      <x:c r="E378" s="16"/>
      <x:c r="F378" s="16"/>
      <x:c r="G378" s="16"/>
      <x:c r="H378" s="109"/>
      <x:c r="I378" s="109"/>
      <x:c r="J378" s="16"/>
      <x:c r="K378" s="16"/>
      <x:c r="L378" s="16"/>
      <x:c r="M378" s="16"/>
      <x:c r="N378" s="16"/>
      <x:c r="O378" s="109"/>
      <x:c r="P378" s="109"/>
      <x:c r="Q378" s="16"/>
      <x:c r="R378" s="16"/>
      <x:c r="S378" s="109"/>
      <x:c r="T378" s="16"/>
      <x:c r="U378" s="16"/>
      <x:c r="V378" s="16"/>
      <x:c r="W378" s="18" t="str">
        <x:f>IF(A378="","",IF(H378="","",IF(I378&lt;&gt;"",I378-H378+1,IF(S378&lt;&gt;"",S378-H378+1,""))))</x:f>
      </x:c>
      <x:c r="X378" s="16"/>
      <x:c r="Y378" s="16"/>
      <x:c r="Z378" s="16"/>
      <x:c r="AA378" s="16"/>
      <x:c r="AB378" s="109"/>
      <x:c r="AC378" s="109"/>
      <x:c r="AD378" s="16"/>
      <x:c r="AE378" s="16"/>
      <x:c r="AF378" s="16"/>
    </x:row>
    <x:row r="379">
      <x:c r="A379" s="16"/>
      <x:c r="B379" s="16"/>
      <x:c r="C379" s="16"/>
      <x:c r="D379" s="16"/>
      <x:c r="E379" s="16"/>
      <x:c r="F379" s="16"/>
      <x:c r="G379" s="16"/>
      <x:c r="H379" s="109"/>
      <x:c r="I379" s="109"/>
      <x:c r="J379" s="16"/>
      <x:c r="K379" s="16"/>
      <x:c r="L379" s="16"/>
      <x:c r="M379" s="16"/>
      <x:c r="N379" s="16"/>
      <x:c r="O379" s="109"/>
      <x:c r="P379" s="109"/>
      <x:c r="Q379" s="16"/>
      <x:c r="R379" s="16"/>
      <x:c r="S379" s="109"/>
      <x:c r="T379" s="16"/>
      <x:c r="U379" s="16"/>
      <x:c r="V379" s="16"/>
      <x:c r="W379" s="18" t="str">
        <x:f>IF(A379="","",IF(H379="","",IF(I379&lt;&gt;"",I379-H379+1,IF(S379&lt;&gt;"",S379-H379+1,""))))</x:f>
      </x:c>
      <x:c r="X379" s="16"/>
      <x:c r="Y379" s="16"/>
      <x:c r="Z379" s="16"/>
      <x:c r="AA379" s="16"/>
      <x:c r="AB379" s="109"/>
      <x:c r="AC379" s="109"/>
      <x:c r="AD379" s="16"/>
      <x:c r="AE379" s="16"/>
      <x:c r="AF379" s="16"/>
    </x:row>
    <x:row r="380">
      <x:c r="A380" s="16"/>
      <x:c r="B380" s="16"/>
      <x:c r="C380" s="16"/>
      <x:c r="D380" s="16"/>
      <x:c r="E380" s="16"/>
      <x:c r="F380" s="16"/>
      <x:c r="G380" s="16"/>
      <x:c r="H380" s="109"/>
      <x:c r="I380" s="109"/>
      <x:c r="J380" s="16"/>
      <x:c r="K380" s="16"/>
      <x:c r="L380" s="16"/>
      <x:c r="M380" s="16"/>
      <x:c r="N380" s="16"/>
      <x:c r="O380" s="109"/>
      <x:c r="P380" s="109"/>
      <x:c r="Q380" s="16"/>
      <x:c r="R380" s="16"/>
      <x:c r="S380" s="109"/>
      <x:c r="T380" s="16"/>
      <x:c r="U380" s="16"/>
      <x:c r="V380" s="16"/>
      <x:c r="W380" s="18" t="str">
        <x:f>IF(A380="","",IF(H380="","",IF(I380&lt;&gt;"",I380-H380+1,IF(S380&lt;&gt;"",S380-H380+1,""))))</x:f>
      </x:c>
      <x:c r="X380" s="16"/>
      <x:c r="Y380" s="16"/>
      <x:c r="Z380" s="16"/>
      <x:c r="AA380" s="16"/>
      <x:c r="AB380" s="109"/>
      <x:c r="AC380" s="109"/>
      <x:c r="AD380" s="16"/>
      <x:c r="AE380" s="16"/>
      <x:c r="AF380" s="16"/>
    </x:row>
    <x:row r="381">
      <x:c r="A381" s="16"/>
      <x:c r="B381" s="16"/>
      <x:c r="C381" s="16"/>
      <x:c r="D381" s="16"/>
      <x:c r="E381" s="16"/>
      <x:c r="F381" s="16"/>
      <x:c r="G381" s="16"/>
      <x:c r="H381" s="109"/>
      <x:c r="I381" s="109"/>
      <x:c r="J381" s="16"/>
      <x:c r="K381" s="16"/>
      <x:c r="L381" s="16"/>
      <x:c r="M381" s="16"/>
      <x:c r="N381" s="16"/>
      <x:c r="O381" s="109"/>
      <x:c r="P381" s="109"/>
      <x:c r="Q381" s="16"/>
      <x:c r="R381" s="16"/>
      <x:c r="S381" s="109"/>
      <x:c r="T381" s="16"/>
      <x:c r="U381" s="16"/>
      <x:c r="V381" s="16"/>
      <x:c r="W381" s="18" t="str">
        <x:f>IF(A381="","",IF(H381="","",IF(I381&lt;&gt;"",I381-H381+1,IF(S381&lt;&gt;"",S381-H381+1,""))))</x:f>
      </x:c>
      <x:c r="X381" s="16"/>
      <x:c r="Y381" s="16"/>
      <x:c r="Z381" s="16"/>
      <x:c r="AA381" s="16"/>
      <x:c r="AB381" s="109"/>
      <x:c r="AC381" s="109"/>
      <x:c r="AD381" s="16"/>
      <x:c r="AE381" s="16"/>
      <x:c r="AF381" s="16"/>
    </x:row>
    <x:row r="382">
      <x:c r="A382" s="16"/>
      <x:c r="B382" s="16"/>
      <x:c r="C382" s="16"/>
      <x:c r="D382" s="16"/>
      <x:c r="E382" s="16"/>
      <x:c r="F382" s="16"/>
      <x:c r="G382" s="16"/>
      <x:c r="H382" s="109"/>
      <x:c r="I382" s="109"/>
      <x:c r="J382" s="16"/>
      <x:c r="K382" s="16"/>
      <x:c r="L382" s="16"/>
      <x:c r="M382" s="16"/>
      <x:c r="N382" s="16"/>
      <x:c r="O382" s="109"/>
      <x:c r="P382" s="109"/>
      <x:c r="Q382" s="16"/>
      <x:c r="R382" s="16"/>
      <x:c r="S382" s="109"/>
      <x:c r="T382" s="16"/>
      <x:c r="U382" s="16"/>
      <x:c r="V382" s="16"/>
      <x:c r="W382" s="18" t="str">
        <x:f>IF(A382="","",IF(H382="","",IF(I382&lt;&gt;"",I382-H382+1,IF(S382&lt;&gt;"",S382-H382+1,""))))</x:f>
      </x:c>
      <x:c r="X382" s="16"/>
      <x:c r="Y382" s="16"/>
      <x:c r="Z382" s="16"/>
      <x:c r="AA382" s="16"/>
      <x:c r="AB382" s="109"/>
      <x:c r="AC382" s="109"/>
      <x:c r="AD382" s="16"/>
      <x:c r="AE382" s="16"/>
      <x:c r="AF382" s="16"/>
    </x:row>
    <x:row r="383">
      <x:c r="A383" s="16"/>
      <x:c r="B383" s="16"/>
      <x:c r="C383" s="16"/>
      <x:c r="D383" s="16"/>
      <x:c r="E383" s="16"/>
      <x:c r="F383" s="16"/>
      <x:c r="G383" s="16"/>
      <x:c r="H383" s="109"/>
      <x:c r="I383" s="109"/>
      <x:c r="J383" s="16"/>
      <x:c r="K383" s="16"/>
      <x:c r="L383" s="16"/>
      <x:c r="M383" s="16"/>
      <x:c r="N383" s="16"/>
      <x:c r="O383" s="109"/>
      <x:c r="P383" s="109"/>
      <x:c r="Q383" s="16"/>
      <x:c r="R383" s="16"/>
      <x:c r="S383" s="109"/>
      <x:c r="T383" s="16"/>
      <x:c r="U383" s="16"/>
      <x:c r="V383" s="16"/>
      <x:c r="W383" s="18" t="str">
        <x:f>IF(A383="","",IF(H383="","",IF(I383&lt;&gt;"",I383-H383+1,IF(S383&lt;&gt;"",S383-H383+1,""))))</x:f>
      </x:c>
      <x:c r="X383" s="16"/>
      <x:c r="Y383" s="16"/>
      <x:c r="Z383" s="16"/>
      <x:c r="AA383" s="16"/>
      <x:c r="AB383" s="109"/>
      <x:c r="AC383" s="109"/>
      <x:c r="AD383" s="16"/>
      <x:c r="AE383" s="16"/>
      <x:c r="AF383" s="16"/>
    </x:row>
    <x:row r="384">
      <x:c r="A384" s="16"/>
      <x:c r="B384" s="16"/>
      <x:c r="C384" s="16"/>
      <x:c r="D384" s="16"/>
      <x:c r="E384" s="16"/>
      <x:c r="F384" s="16"/>
      <x:c r="G384" s="16"/>
      <x:c r="H384" s="109"/>
      <x:c r="I384" s="109"/>
      <x:c r="J384" s="16"/>
      <x:c r="K384" s="16"/>
      <x:c r="L384" s="16"/>
      <x:c r="M384" s="16"/>
      <x:c r="N384" s="16"/>
      <x:c r="O384" s="109"/>
      <x:c r="P384" s="109"/>
      <x:c r="Q384" s="16"/>
      <x:c r="R384" s="16"/>
      <x:c r="S384" s="109"/>
      <x:c r="T384" s="16"/>
      <x:c r="U384" s="16"/>
      <x:c r="V384" s="16"/>
      <x:c r="W384" s="18" t="str">
        <x:f>IF(A384="","",IF(H384="","",IF(I384&lt;&gt;"",I384-H384+1,IF(S384&lt;&gt;"",S384-H384+1,""))))</x:f>
      </x:c>
      <x:c r="X384" s="16"/>
      <x:c r="Y384" s="16"/>
      <x:c r="Z384" s="16"/>
      <x:c r="AA384" s="16"/>
      <x:c r="AB384" s="109"/>
      <x:c r="AC384" s="109"/>
      <x:c r="AD384" s="16"/>
      <x:c r="AE384" s="16"/>
      <x:c r="AF384" s="16"/>
    </x:row>
    <x:row r="385">
      <x:c r="A385" s="16"/>
      <x:c r="B385" s="16"/>
      <x:c r="C385" s="16"/>
      <x:c r="D385" s="16"/>
      <x:c r="E385" s="16"/>
      <x:c r="F385" s="16"/>
      <x:c r="G385" s="16"/>
      <x:c r="H385" s="109"/>
      <x:c r="I385" s="109"/>
      <x:c r="J385" s="16"/>
      <x:c r="K385" s="16"/>
      <x:c r="L385" s="16"/>
      <x:c r="M385" s="16"/>
      <x:c r="N385" s="16"/>
      <x:c r="O385" s="109"/>
      <x:c r="P385" s="109"/>
      <x:c r="Q385" s="16"/>
      <x:c r="R385" s="16"/>
      <x:c r="S385" s="109"/>
      <x:c r="T385" s="16"/>
      <x:c r="U385" s="16"/>
      <x:c r="V385" s="16"/>
      <x:c r="W385" s="18" t="str">
        <x:f>IF(A385="","",IF(H385="","",IF(I385&lt;&gt;"",I385-H385+1,IF(S385&lt;&gt;"",S385-H385+1,""))))</x:f>
      </x:c>
      <x:c r="X385" s="16"/>
      <x:c r="Y385" s="16"/>
      <x:c r="Z385" s="16"/>
      <x:c r="AA385" s="16"/>
      <x:c r="AB385" s="109"/>
      <x:c r="AC385" s="109"/>
      <x:c r="AD385" s="16"/>
      <x:c r="AE385" s="16"/>
      <x:c r="AF385" s="16"/>
    </x:row>
    <x:row r="386">
      <x:c r="A386" s="16"/>
      <x:c r="B386" s="16"/>
      <x:c r="C386" s="16"/>
      <x:c r="D386" s="16"/>
      <x:c r="E386" s="16"/>
      <x:c r="F386" s="16"/>
      <x:c r="G386" s="16"/>
      <x:c r="H386" s="109"/>
      <x:c r="I386" s="109"/>
      <x:c r="J386" s="16"/>
      <x:c r="K386" s="16"/>
      <x:c r="L386" s="16"/>
      <x:c r="M386" s="16"/>
      <x:c r="N386" s="16"/>
      <x:c r="O386" s="109"/>
      <x:c r="P386" s="109"/>
      <x:c r="Q386" s="16"/>
      <x:c r="R386" s="16"/>
      <x:c r="S386" s="109"/>
      <x:c r="T386" s="16"/>
      <x:c r="U386" s="16"/>
      <x:c r="V386" s="16"/>
      <x:c r="W386" s="18" t="str">
        <x:f>IF(A386="","",IF(H386="","",IF(I386&lt;&gt;"",I386-H386+1,IF(S386&lt;&gt;"",S386-H386+1,""))))</x:f>
      </x:c>
      <x:c r="X386" s="16"/>
      <x:c r="Y386" s="16"/>
      <x:c r="Z386" s="16"/>
      <x:c r="AA386" s="16"/>
      <x:c r="AB386" s="109"/>
      <x:c r="AC386" s="109"/>
      <x:c r="AD386" s="16"/>
      <x:c r="AE386" s="16"/>
      <x:c r="AF386" s="16"/>
    </x:row>
    <x:row r="387">
      <x:c r="A387" s="16"/>
      <x:c r="B387" s="16"/>
      <x:c r="C387" s="16"/>
      <x:c r="D387" s="16"/>
      <x:c r="E387" s="16"/>
      <x:c r="F387" s="16"/>
      <x:c r="G387" s="16"/>
      <x:c r="H387" s="109"/>
      <x:c r="I387" s="109"/>
      <x:c r="J387" s="16"/>
      <x:c r="K387" s="16"/>
      <x:c r="L387" s="16"/>
      <x:c r="M387" s="16"/>
      <x:c r="N387" s="16"/>
      <x:c r="O387" s="109"/>
      <x:c r="P387" s="109"/>
      <x:c r="Q387" s="16"/>
      <x:c r="R387" s="16"/>
      <x:c r="S387" s="109"/>
      <x:c r="T387" s="16"/>
      <x:c r="U387" s="16"/>
      <x:c r="V387" s="16"/>
      <x:c r="W387" s="18" t="str">
        <x:f>IF(A387="","",IF(H387="","",IF(I387&lt;&gt;"",I387-H387+1,IF(S387&lt;&gt;"",S387-H387+1,""))))</x:f>
      </x:c>
      <x:c r="X387" s="16"/>
      <x:c r="Y387" s="16"/>
      <x:c r="Z387" s="16"/>
      <x:c r="AA387" s="16"/>
      <x:c r="AB387" s="109"/>
      <x:c r="AC387" s="109"/>
      <x:c r="AD387" s="16"/>
      <x:c r="AE387" s="16"/>
      <x:c r="AF387" s="16"/>
    </x:row>
    <x:row r="388">
      <x:c r="A388" s="16"/>
      <x:c r="B388" s="16"/>
      <x:c r="C388" s="16"/>
      <x:c r="D388" s="16"/>
      <x:c r="E388" s="16"/>
      <x:c r="F388" s="16"/>
      <x:c r="G388" s="16"/>
      <x:c r="H388" s="109"/>
      <x:c r="I388" s="109"/>
      <x:c r="J388" s="16"/>
      <x:c r="K388" s="16"/>
      <x:c r="L388" s="16"/>
      <x:c r="M388" s="16"/>
      <x:c r="N388" s="16"/>
      <x:c r="O388" s="109"/>
      <x:c r="P388" s="109"/>
      <x:c r="Q388" s="16"/>
      <x:c r="R388" s="16"/>
      <x:c r="S388" s="109"/>
      <x:c r="T388" s="16"/>
      <x:c r="U388" s="16"/>
      <x:c r="V388" s="16"/>
      <x:c r="W388" s="18" t="str">
        <x:f>IF(A388="","",IF(H388="","",IF(I388&lt;&gt;"",I388-H388+1,IF(S388&lt;&gt;"",S388-H388+1,""))))</x:f>
      </x:c>
      <x:c r="X388" s="16"/>
      <x:c r="Y388" s="16"/>
      <x:c r="Z388" s="16"/>
      <x:c r="AA388" s="16"/>
      <x:c r="AB388" s="109"/>
      <x:c r="AC388" s="109"/>
      <x:c r="AD388" s="16"/>
      <x:c r="AE388" s="16"/>
      <x:c r="AF388" s="16"/>
    </x:row>
    <x:row r="389">
      <x:c r="A389" s="16"/>
      <x:c r="B389" s="16"/>
      <x:c r="C389" s="16"/>
      <x:c r="D389" s="16"/>
      <x:c r="E389" s="16"/>
      <x:c r="F389" s="16"/>
      <x:c r="G389" s="16"/>
      <x:c r="H389" s="109"/>
      <x:c r="I389" s="109"/>
      <x:c r="J389" s="16"/>
      <x:c r="K389" s="16"/>
      <x:c r="L389" s="16"/>
      <x:c r="M389" s="16"/>
      <x:c r="N389" s="16"/>
      <x:c r="O389" s="109"/>
      <x:c r="P389" s="109"/>
      <x:c r="Q389" s="16"/>
      <x:c r="R389" s="16"/>
      <x:c r="S389" s="109"/>
      <x:c r="T389" s="16"/>
      <x:c r="U389" s="16"/>
      <x:c r="V389" s="16"/>
      <x:c r="W389" s="18" t="str">
        <x:f>IF(A389="","",IF(H389="","",IF(I389&lt;&gt;"",I389-H389+1,IF(S389&lt;&gt;"",S389-H389+1,""))))</x:f>
      </x:c>
      <x:c r="X389" s="16"/>
      <x:c r="Y389" s="16"/>
      <x:c r="Z389" s="16"/>
      <x:c r="AA389" s="16"/>
      <x:c r="AB389" s="109"/>
      <x:c r="AC389" s="109"/>
      <x:c r="AD389" s="16"/>
      <x:c r="AE389" s="16"/>
      <x:c r="AF389" s="16"/>
    </x:row>
    <x:row r="390">
      <x:c r="A390" s="16"/>
      <x:c r="B390" s="16"/>
      <x:c r="C390" s="16"/>
      <x:c r="D390" s="16"/>
      <x:c r="E390" s="16"/>
      <x:c r="F390" s="16"/>
      <x:c r="G390" s="16"/>
      <x:c r="H390" s="109"/>
      <x:c r="I390" s="109"/>
      <x:c r="J390" s="16"/>
      <x:c r="K390" s="16"/>
      <x:c r="L390" s="16"/>
      <x:c r="M390" s="16"/>
      <x:c r="N390" s="16"/>
      <x:c r="O390" s="109"/>
      <x:c r="P390" s="109"/>
      <x:c r="Q390" s="16"/>
      <x:c r="R390" s="16"/>
      <x:c r="S390" s="109"/>
      <x:c r="T390" s="16"/>
      <x:c r="U390" s="16"/>
      <x:c r="V390" s="16"/>
      <x:c r="W390" s="18" t="str">
        <x:f>IF(A390="","",IF(H390="","",IF(I390&lt;&gt;"",I390-H390+1,IF(S390&lt;&gt;"",S390-H390+1,""))))</x:f>
      </x:c>
      <x:c r="X390" s="16"/>
      <x:c r="Y390" s="16"/>
      <x:c r="Z390" s="16"/>
      <x:c r="AA390" s="16"/>
      <x:c r="AB390" s="109"/>
      <x:c r="AC390" s="109"/>
      <x:c r="AD390" s="16"/>
      <x:c r="AE390" s="16"/>
      <x:c r="AF390" s="16"/>
    </x:row>
    <x:row r="391">
      <x:c r="A391" s="16"/>
      <x:c r="B391" s="16"/>
      <x:c r="C391" s="16"/>
      <x:c r="D391" s="16"/>
      <x:c r="E391" s="16"/>
      <x:c r="F391" s="16"/>
      <x:c r="G391" s="16"/>
      <x:c r="H391" s="109"/>
      <x:c r="I391" s="109"/>
      <x:c r="J391" s="16"/>
      <x:c r="K391" s="16"/>
      <x:c r="L391" s="16"/>
      <x:c r="M391" s="16"/>
      <x:c r="N391" s="16"/>
      <x:c r="O391" s="109"/>
      <x:c r="P391" s="109"/>
      <x:c r="Q391" s="16"/>
      <x:c r="R391" s="16"/>
      <x:c r="S391" s="109"/>
      <x:c r="T391" s="16"/>
      <x:c r="U391" s="16"/>
      <x:c r="V391" s="16"/>
      <x:c r="W391" s="18" t="str">
        <x:f>IF(A391="","",IF(H391="","",IF(I391&lt;&gt;"",I391-H391+1,IF(S391&lt;&gt;"",S391-H391+1,""))))</x:f>
      </x:c>
      <x:c r="X391" s="16"/>
      <x:c r="Y391" s="16"/>
      <x:c r="Z391" s="16"/>
      <x:c r="AA391" s="16"/>
      <x:c r="AB391" s="109"/>
      <x:c r="AC391" s="109"/>
      <x:c r="AD391" s="16"/>
      <x:c r="AE391" s="16"/>
      <x:c r="AF391" s="16"/>
    </x:row>
    <x:row r="392">
      <x:c r="A392" s="16"/>
      <x:c r="B392" s="16"/>
      <x:c r="C392" s="16"/>
      <x:c r="D392" s="16"/>
      <x:c r="E392" s="16"/>
      <x:c r="F392" s="16"/>
      <x:c r="G392" s="16"/>
      <x:c r="H392" s="109"/>
      <x:c r="I392" s="109"/>
      <x:c r="J392" s="16"/>
      <x:c r="K392" s="16"/>
      <x:c r="L392" s="16"/>
      <x:c r="M392" s="16"/>
      <x:c r="N392" s="16"/>
      <x:c r="O392" s="109"/>
      <x:c r="P392" s="109"/>
      <x:c r="Q392" s="16"/>
      <x:c r="R392" s="16"/>
      <x:c r="S392" s="109"/>
      <x:c r="T392" s="16"/>
      <x:c r="U392" s="16"/>
      <x:c r="V392" s="16"/>
      <x:c r="W392" s="18" t="str">
        <x:f>IF(A392="","",IF(H392="","",IF(I392&lt;&gt;"",I392-H392+1,IF(S392&lt;&gt;"",S392-H392+1,""))))</x:f>
      </x:c>
      <x:c r="X392" s="16"/>
      <x:c r="Y392" s="16"/>
      <x:c r="Z392" s="16"/>
      <x:c r="AA392" s="16"/>
      <x:c r="AB392" s="109"/>
      <x:c r="AC392" s="109"/>
      <x:c r="AD392" s="16"/>
      <x:c r="AE392" s="16"/>
      <x:c r="AF392" s="16"/>
    </x:row>
    <x:row r="393">
      <x:c r="A393" s="16"/>
      <x:c r="B393" s="16"/>
      <x:c r="C393" s="16"/>
      <x:c r="D393" s="16"/>
      <x:c r="E393" s="16"/>
      <x:c r="F393" s="16"/>
      <x:c r="G393" s="16"/>
      <x:c r="H393" s="109"/>
      <x:c r="I393" s="109"/>
      <x:c r="J393" s="16"/>
      <x:c r="K393" s="16"/>
      <x:c r="L393" s="16"/>
      <x:c r="M393" s="16"/>
      <x:c r="N393" s="16"/>
      <x:c r="O393" s="109"/>
      <x:c r="P393" s="109"/>
      <x:c r="Q393" s="16"/>
      <x:c r="R393" s="16"/>
      <x:c r="S393" s="109"/>
      <x:c r="T393" s="16"/>
      <x:c r="U393" s="16"/>
      <x:c r="V393" s="16"/>
      <x:c r="W393" s="18" t="str">
        <x:f>IF(A393="","",IF(H393="","",IF(I393&lt;&gt;"",I393-H393+1,IF(S393&lt;&gt;"",S393-H393+1,""))))</x:f>
      </x:c>
      <x:c r="X393" s="16"/>
      <x:c r="Y393" s="16"/>
      <x:c r="Z393" s="16"/>
      <x:c r="AA393" s="16"/>
      <x:c r="AB393" s="109"/>
      <x:c r="AC393" s="109"/>
      <x:c r="AD393" s="16"/>
      <x:c r="AE393" s="16"/>
      <x:c r="AF393" s="16"/>
    </x:row>
    <x:row r="394">
      <x:c r="A394" s="16"/>
      <x:c r="B394" s="16"/>
      <x:c r="C394" s="16"/>
      <x:c r="D394" s="16"/>
      <x:c r="E394" s="16"/>
      <x:c r="F394" s="16"/>
      <x:c r="G394" s="16"/>
      <x:c r="H394" s="109"/>
      <x:c r="I394" s="109"/>
      <x:c r="J394" s="16"/>
      <x:c r="K394" s="16"/>
      <x:c r="L394" s="16"/>
      <x:c r="M394" s="16"/>
      <x:c r="N394" s="16"/>
      <x:c r="O394" s="109"/>
      <x:c r="P394" s="109"/>
      <x:c r="Q394" s="16"/>
      <x:c r="R394" s="16"/>
      <x:c r="S394" s="109"/>
      <x:c r="T394" s="16"/>
      <x:c r="U394" s="16"/>
      <x:c r="V394" s="16"/>
      <x:c r="W394" s="18" t="str">
        <x:f>IF(A394="","",IF(H394="","",IF(I394&lt;&gt;"",I394-H394+1,IF(S394&lt;&gt;"",S394-H394+1,""))))</x:f>
      </x:c>
      <x:c r="X394" s="16"/>
      <x:c r="Y394" s="16"/>
      <x:c r="Z394" s="16"/>
      <x:c r="AA394" s="16"/>
      <x:c r="AB394" s="109"/>
      <x:c r="AC394" s="109"/>
      <x:c r="AD394" s="16"/>
      <x:c r="AE394" s="16"/>
      <x:c r="AF394" s="16"/>
    </x:row>
    <x:row r="395">
      <x:c r="A395" s="16"/>
      <x:c r="B395" s="16"/>
      <x:c r="C395" s="16"/>
      <x:c r="D395" s="16"/>
      <x:c r="E395" s="16"/>
      <x:c r="F395" s="16"/>
      <x:c r="G395" s="16"/>
      <x:c r="H395" s="109"/>
      <x:c r="I395" s="109"/>
      <x:c r="J395" s="16"/>
      <x:c r="K395" s="16"/>
      <x:c r="L395" s="16"/>
      <x:c r="M395" s="16"/>
      <x:c r="N395" s="16"/>
      <x:c r="O395" s="109"/>
      <x:c r="P395" s="109"/>
      <x:c r="Q395" s="16"/>
      <x:c r="R395" s="16"/>
      <x:c r="S395" s="109"/>
      <x:c r="T395" s="16"/>
      <x:c r="U395" s="16"/>
      <x:c r="V395" s="16"/>
      <x:c r="W395" s="18" t="str">
        <x:f>IF(A395="","",IF(H395="","",IF(I395&lt;&gt;"",I395-H395+1,IF(S395&lt;&gt;"",S395-H395+1,""))))</x:f>
      </x:c>
      <x:c r="X395" s="16"/>
      <x:c r="Y395" s="16"/>
      <x:c r="Z395" s="16"/>
      <x:c r="AA395" s="16"/>
      <x:c r="AB395" s="109"/>
      <x:c r="AC395" s="109"/>
      <x:c r="AD395" s="16"/>
      <x:c r="AE395" s="16"/>
      <x:c r="AF395" s="16"/>
    </x:row>
    <x:row r="396">
      <x:c r="A396" s="16"/>
      <x:c r="B396" s="16"/>
      <x:c r="C396" s="16"/>
      <x:c r="D396" s="16"/>
      <x:c r="E396" s="16"/>
      <x:c r="F396" s="16"/>
      <x:c r="G396" s="16"/>
      <x:c r="H396" s="109"/>
      <x:c r="I396" s="109"/>
      <x:c r="J396" s="16"/>
      <x:c r="K396" s="16"/>
      <x:c r="L396" s="16"/>
      <x:c r="M396" s="16"/>
      <x:c r="N396" s="16"/>
      <x:c r="O396" s="109"/>
      <x:c r="P396" s="109"/>
      <x:c r="Q396" s="16"/>
      <x:c r="R396" s="16"/>
      <x:c r="S396" s="109"/>
      <x:c r="T396" s="16"/>
      <x:c r="U396" s="16"/>
      <x:c r="V396" s="16"/>
      <x:c r="W396" s="18" t="str">
        <x:f>IF(A396="","",IF(H396="","",IF(I396&lt;&gt;"",I396-H396+1,IF(S396&lt;&gt;"",S396-H396+1,""))))</x:f>
      </x:c>
      <x:c r="X396" s="16"/>
      <x:c r="Y396" s="16"/>
      <x:c r="Z396" s="16"/>
      <x:c r="AA396" s="16"/>
      <x:c r="AB396" s="109"/>
      <x:c r="AC396" s="109"/>
      <x:c r="AD396" s="16"/>
      <x:c r="AE396" s="16"/>
      <x:c r="AF396" s="16"/>
    </x:row>
    <x:row r="397">
      <x:c r="A397" s="16"/>
      <x:c r="B397" s="16"/>
      <x:c r="C397" s="16"/>
      <x:c r="D397" s="16"/>
      <x:c r="E397" s="16"/>
      <x:c r="F397" s="16"/>
      <x:c r="G397" s="16"/>
      <x:c r="H397" s="109"/>
      <x:c r="I397" s="109"/>
      <x:c r="J397" s="16"/>
      <x:c r="K397" s="16"/>
      <x:c r="L397" s="16"/>
      <x:c r="M397" s="16"/>
      <x:c r="N397" s="16"/>
      <x:c r="O397" s="109"/>
      <x:c r="P397" s="109"/>
      <x:c r="Q397" s="16"/>
      <x:c r="R397" s="16"/>
      <x:c r="S397" s="109"/>
      <x:c r="T397" s="16"/>
      <x:c r="U397" s="16"/>
      <x:c r="V397" s="16"/>
      <x:c r="W397" s="18" t="str">
        <x:f>IF(A397="","",IF(H397="","",IF(I397&lt;&gt;"",I397-H397+1,IF(S397&lt;&gt;"",S397-H397+1,""))))</x:f>
      </x:c>
      <x:c r="X397" s="16"/>
      <x:c r="Y397" s="16"/>
      <x:c r="Z397" s="16"/>
      <x:c r="AA397" s="16"/>
      <x:c r="AB397" s="109"/>
      <x:c r="AC397" s="109"/>
      <x:c r="AD397" s="16"/>
      <x:c r="AE397" s="16"/>
      <x:c r="AF397" s="16"/>
    </x:row>
    <x:row r="398">
      <x:c r="A398" s="16"/>
      <x:c r="B398" s="16"/>
      <x:c r="C398" s="16"/>
      <x:c r="D398" s="16"/>
      <x:c r="E398" s="16"/>
      <x:c r="F398" s="16"/>
      <x:c r="G398" s="16"/>
      <x:c r="H398" s="109"/>
      <x:c r="I398" s="109"/>
      <x:c r="J398" s="16"/>
      <x:c r="K398" s="16"/>
      <x:c r="L398" s="16"/>
      <x:c r="M398" s="16"/>
      <x:c r="N398" s="16"/>
      <x:c r="O398" s="109"/>
      <x:c r="P398" s="109"/>
      <x:c r="Q398" s="16"/>
      <x:c r="R398" s="16"/>
      <x:c r="S398" s="109"/>
      <x:c r="T398" s="16"/>
      <x:c r="U398" s="16"/>
      <x:c r="V398" s="16"/>
      <x:c r="W398" s="18" t="str">
        <x:f>IF(A398="","",IF(H398="","",IF(I398&lt;&gt;"",I398-H398+1,IF(S398&lt;&gt;"",S398-H398+1,""))))</x:f>
      </x:c>
      <x:c r="X398" s="16"/>
      <x:c r="Y398" s="16"/>
      <x:c r="Z398" s="16"/>
      <x:c r="AA398" s="16"/>
      <x:c r="AB398" s="109"/>
      <x:c r="AC398" s="109"/>
      <x:c r="AD398" s="16"/>
      <x:c r="AE398" s="16"/>
      <x:c r="AF398" s="16"/>
    </x:row>
    <x:row r="399">
      <x:c r="A399" s="16"/>
      <x:c r="B399" s="16"/>
      <x:c r="C399" s="16"/>
      <x:c r="D399" s="16"/>
      <x:c r="E399" s="16"/>
      <x:c r="F399" s="16"/>
      <x:c r="G399" s="16"/>
      <x:c r="H399" s="109"/>
      <x:c r="I399" s="109"/>
      <x:c r="J399" s="16"/>
      <x:c r="K399" s="16"/>
      <x:c r="L399" s="16"/>
      <x:c r="M399" s="16"/>
      <x:c r="N399" s="16"/>
      <x:c r="O399" s="109"/>
      <x:c r="P399" s="109"/>
      <x:c r="Q399" s="16"/>
      <x:c r="R399" s="16"/>
      <x:c r="S399" s="109"/>
      <x:c r="T399" s="16"/>
      <x:c r="U399" s="16"/>
      <x:c r="V399" s="16"/>
      <x:c r="W399" s="18" t="str">
        <x:f>IF(A399="","",IF(H399="","",IF(I399&lt;&gt;"",I399-H399+1,IF(S399&lt;&gt;"",S399-H399+1,""))))</x:f>
      </x:c>
      <x:c r="X399" s="16"/>
      <x:c r="Y399" s="16"/>
      <x:c r="Z399" s="16"/>
      <x:c r="AA399" s="16"/>
      <x:c r="AB399" s="109"/>
      <x:c r="AC399" s="109"/>
      <x:c r="AD399" s="16"/>
      <x:c r="AE399" s="16"/>
      <x:c r="AF399" s="16"/>
    </x:row>
    <x:row r="400">
      <x:c r="A400" s="16"/>
      <x:c r="B400" s="16"/>
      <x:c r="C400" s="16"/>
      <x:c r="D400" s="16"/>
      <x:c r="E400" s="16"/>
      <x:c r="F400" s="16"/>
      <x:c r="G400" s="16"/>
      <x:c r="H400" s="109"/>
      <x:c r="I400" s="109"/>
      <x:c r="J400" s="16"/>
      <x:c r="K400" s="16"/>
      <x:c r="L400" s="16"/>
      <x:c r="M400" s="16"/>
      <x:c r="N400" s="16"/>
      <x:c r="O400" s="109"/>
      <x:c r="P400" s="109"/>
      <x:c r="Q400" s="16"/>
      <x:c r="R400" s="16"/>
      <x:c r="S400" s="109"/>
      <x:c r="T400" s="16"/>
      <x:c r="U400" s="16"/>
      <x:c r="V400" s="16"/>
      <x:c r="W400" s="18" t="str">
        <x:f>IF(A400="","",IF(H400="","",IF(I400&lt;&gt;"",I400-H400+1,IF(S400&lt;&gt;"",S400-H400+1,""))))</x:f>
      </x:c>
      <x:c r="X400" s="16"/>
      <x:c r="Y400" s="16"/>
      <x:c r="Z400" s="16"/>
      <x:c r="AA400" s="16"/>
      <x:c r="AB400" s="109"/>
      <x:c r="AC400" s="109"/>
      <x:c r="AD400" s="16"/>
      <x:c r="AE400" s="16"/>
      <x:c r="AF400" s="16"/>
    </x:row>
    <x:row r="401">
      <x:c r="A401" s="16"/>
      <x:c r="B401" s="16"/>
      <x:c r="C401" s="16"/>
      <x:c r="D401" s="16"/>
      <x:c r="E401" s="16"/>
      <x:c r="F401" s="16"/>
      <x:c r="G401" s="16"/>
      <x:c r="H401" s="109"/>
      <x:c r="I401" s="109"/>
      <x:c r="J401" s="16"/>
      <x:c r="K401" s="16"/>
      <x:c r="L401" s="16"/>
      <x:c r="M401" s="16"/>
      <x:c r="N401" s="16"/>
      <x:c r="O401" s="109"/>
      <x:c r="P401" s="109"/>
      <x:c r="Q401" s="16"/>
      <x:c r="R401" s="16"/>
      <x:c r="S401" s="109"/>
      <x:c r="T401" s="16"/>
      <x:c r="U401" s="16"/>
      <x:c r="V401" s="16"/>
      <x:c r="W401" s="18" t="str">
        <x:f>IF(A401="","",IF(H401="","",IF(I401&lt;&gt;"",I401-H401+1,IF(S401&lt;&gt;"",S401-H401+1,""))))</x:f>
      </x:c>
      <x:c r="X401" s="16"/>
      <x:c r="Y401" s="16"/>
      <x:c r="Z401" s="16"/>
      <x:c r="AA401" s="16"/>
      <x:c r="AB401" s="109"/>
      <x:c r="AC401" s="109"/>
      <x:c r="AD401" s="16"/>
      <x:c r="AE401" s="16"/>
      <x:c r="AF401" s="16"/>
    </x:row>
    <x:row r="402">
      <x:c r="A402" s="16"/>
      <x:c r="B402" s="16"/>
      <x:c r="C402" s="16"/>
      <x:c r="D402" s="16"/>
      <x:c r="E402" s="16"/>
      <x:c r="F402" s="16"/>
      <x:c r="G402" s="16"/>
      <x:c r="H402" s="109"/>
      <x:c r="I402" s="109"/>
      <x:c r="J402" s="16"/>
      <x:c r="K402" s="16"/>
      <x:c r="L402" s="16"/>
      <x:c r="M402" s="16"/>
      <x:c r="N402" s="16"/>
      <x:c r="O402" s="109"/>
      <x:c r="P402" s="109"/>
      <x:c r="Q402" s="16"/>
      <x:c r="R402" s="16"/>
      <x:c r="S402" s="109"/>
      <x:c r="T402" s="16"/>
      <x:c r="U402" s="16"/>
      <x:c r="V402" s="16"/>
      <x:c r="W402" s="18" t="str">
        <x:f>IF(A402="","",IF(H402="","",IF(I402&lt;&gt;"",I402-H402+1,IF(S402&lt;&gt;"",S402-H402+1,""))))</x:f>
      </x:c>
      <x:c r="X402" s="16"/>
      <x:c r="Y402" s="16"/>
      <x:c r="Z402" s="16"/>
      <x:c r="AA402" s="16"/>
      <x:c r="AB402" s="109"/>
      <x:c r="AC402" s="109"/>
      <x:c r="AD402" s="16"/>
      <x:c r="AE402" s="16"/>
      <x:c r="AF402" s="16"/>
    </x:row>
    <x:row r="403">
      <x:c r="A403" s="16"/>
      <x:c r="B403" s="16"/>
      <x:c r="C403" s="16"/>
      <x:c r="D403" s="16"/>
      <x:c r="E403" s="16"/>
      <x:c r="F403" s="16"/>
      <x:c r="G403" s="16"/>
      <x:c r="H403" s="109"/>
      <x:c r="I403" s="109"/>
      <x:c r="J403" s="16"/>
      <x:c r="K403" s="16"/>
      <x:c r="L403" s="16"/>
      <x:c r="M403" s="16"/>
      <x:c r="N403" s="16"/>
      <x:c r="O403" s="109"/>
      <x:c r="P403" s="109"/>
      <x:c r="Q403" s="16"/>
      <x:c r="R403" s="16"/>
      <x:c r="S403" s="109"/>
      <x:c r="T403" s="16"/>
      <x:c r="U403" s="16"/>
      <x:c r="V403" s="16"/>
      <x:c r="W403" s="18" t="str">
        <x:f>IF(A403="","",IF(H403="","",IF(I403&lt;&gt;"",I403-H403+1,IF(S403&lt;&gt;"",S403-H403+1,""))))</x:f>
      </x:c>
      <x:c r="X403" s="16"/>
      <x:c r="Y403" s="16"/>
      <x:c r="Z403" s="16"/>
      <x:c r="AA403" s="16"/>
      <x:c r="AB403" s="109"/>
      <x:c r="AC403" s="109"/>
      <x:c r="AD403" s="16"/>
      <x:c r="AE403" s="16"/>
      <x:c r="AF403" s="16"/>
    </x:row>
    <x:row r="404">
      <x:c r="A404" s="16"/>
      <x:c r="B404" s="16"/>
      <x:c r="C404" s="16"/>
      <x:c r="D404" s="16"/>
      <x:c r="E404" s="16"/>
      <x:c r="F404" s="16"/>
      <x:c r="G404" s="16"/>
      <x:c r="H404" s="109"/>
      <x:c r="I404" s="109"/>
      <x:c r="J404" s="16"/>
      <x:c r="K404" s="16"/>
      <x:c r="L404" s="16"/>
      <x:c r="M404" s="16"/>
      <x:c r="N404" s="16"/>
      <x:c r="O404" s="109"/>
      <x:c r="P404" s="109"/>
      <x:c r="Q404" s="16"/>
      <x:c r="R404" s="16"/>
      <x:c r="S404" s="109"/>
      <x:c r="T404" s="16"/>
      <x:c r="U404" s="16"/>
      <x:c r="V404" s="16"/>
      <x:c r="W404" s="18" t="str">
        <x:f>IF(A404="","",IF(H404="","",IF(I404&lt;&gt;"",I404-H404+1,IF(S404&lt;&gt;"",S404-H404+1,""))))</x:f>
      </x:c>
      <x:c r="X404" s="16"/>
      <x:c r="Y404" s="16"/>
      <x:c r="Z404" s="16"/>
      <x:c r="AA404" s="16"/>
      <x:c r="AB404" s="109"/>
      <x:c r="AC404" s="109"/>
      <x:c r="AD404" s="16"/>
      <x:c r="AE404" s="16"/>
      <x:c r="AF404" s="16"/>
    </x:row>
    <x:row r="405">
      <x:c r="A405" s="16"/>
      <x:c r="B405" s="16"/>
      <x:c r="C405" s="16"/>
      <x:c r="D405" s="16"/>
      <x:c r="E405" s="16"/>
      <x:c r="F405" s="16"/>
      <x:c r="G405" s="16"/>
      <x:c r="H405" s="109"/>
      <x:c r="I405" s="109"/>
      <x:c r="J405" s="16"/>
      <x:c r="K405" s="16"/>
      <x:c r="L405" s="16"/>
      <x:c r="M405" s="16"/>
      <x:c r="N405" s="16"/>
      <x:c r="O405" s="109"/>
      <x:c r="P405" s="109"/>
      <x:c r="Q405" s="16"/>
      <x:c r="R405" s="16"/>
      <x:c r="S405" s="109"/>
      <x:c r="T405" s="16"/>
      <x:c r="U405" s="16"/>
      <x:c r="V405" s="16"/>
      <x:c r="W405" s="18" t="str">
        <x:f>IF(A405="","",IF(H405="","",IF(I405&lt;&gt;"",I405-H405+1,IF(S405&lt;&gt;"",S405-H405+1,""))))</x:f>
      </x:c>
      <x:c r="X405" s="16"/>
      <x:c r="Y405" s="16"/>
      <x:c r="Z405" s="16"/>
      <x:c r="AA405" s="16"/>
      <x:c r="AB405" s="109"/>
      <x:c r="AC405" s="109"/>
      <x:c r="AD405" s="16"/>
      <x:c r="AE405" s="16"/>
      <x:c r="AF405" s="16"/>
    </x:row>
    <x:row r="406">
      <x:c r="A406" s="16"/>
      <x:c r="B406" s="16"/>
      <x:c r="C406" s="16"/>
      <x:c r="D406" s="16"/>
      <x:c r="E406" s="16"/>
      <x:c r="F406" s="16"/>
      <x:c r="G406" s="16"/>
      <x:c r="H406" s="109"/>
      <x:c r="I406" s="109"/>
      <x:c r="J406" s="16"/>
      <x:c r="K406" s="16"/>
      <x:c r="L406" s="16"/>
      <x:c r="M406" s="16"/>
      <x:c r="N406" s="16"/>
      <x:c r="O406" s="109"/>
      <x:c r="P406" s="109"/>
      <x:c r="Q406" s="16"/>
      <x:c r="R406" s="16"/>
      <x:c r="S406" s="109"/>
      <x:c r="T406" s="16"/>
      <x:c r="U406" s="16"/>
      <x:c r="V406" s="16"/>
      <x:c r="W406" s="18" t="str">
        <x:f>IF(A406="","",IF(H406="","",IF(I406&lt;&gt;"",I406-H406+1,IF(S406&lt;&gt;"",S406-H406+1,""))))</x:f>
      </x:c>
      <x:c r="X406" s="16"/>
      <x:c r="Y406" s="16"/>
      <x:c r="Z406" s="16"/>
      <x:c r="AA406" s="16"/>
      <x:c r="AB406" s="109"/>
      <x:c r="AC406" s="109"/>
      <x:c r="AD406" s="16"/>
      <x:c r="AE406" s="16"/>
      <x:c r="AF406" s="16"/>
    </x:row>
    <x:row r="407">
      <x:c r="A407" s="16"/>
      <x:c r="B407" s="16"/>
      <x:c r="C407" s="16"/>
      <x:c r="D407" s="16"/>
      <x:c r="E407" s="16"/>
      <x:c r="F407" s="16"/>
      <x:c r="G407" s="16"/>
      <x:c r="H407" s="109"/>
      <x:c r="I407" s="109"/>
      <x:c r="J407" s="16"/>
      <x:c r="K407" s="16"/>
      <x:c r="L407" s="16"/>
      <x:c r="M407" s="16"/>
      <x:c r="N407" s="16"/>
      <x:c r="O407" s="109"/>
      <x:c r="P407" s="109"/>
      <x:c r="Q407" s="16"/>
      <x:c r="R407" s="16"/>
      <x:c r="S407" s="109"/>
      <x:c r="T407" s="16"/>
      <x:c r="U407" s="16"/>
      <x:c r="V407" s="16"/>
      <x:c r="W407" s="18" t="str">
        <x:f>IF(A407="","",IF(H407="","",IF(I407&lt;&gt;"",I407-H407+1,IF(S407&lt;&gt;"",S407-H407+1,""))))</x:f>
      </x:c>
      <x:c r="X407" s="16"/>
      <x:c r="Y407" s="16"/>
      <x:c r="Z407" s="16"/>
      <x:c r="AA407" s="16"/>
      <x:c r="AB407" s="109"/>
      <x:c r="AC407" s="109"/>
      <x:c r="AD407" s="16"/>
      <x:c r="AE407" s="16"/>
      <x:c r="AF407" s="16"/>
    </x:row>
    <x:row r="408">
      <x:c r="A408" s="16"/>
      <x:c r="B408" s="16"/>
      <x:c r="C408" s="16"/>
      <x:c r="D408" s="16"/>
      <x:c r="E408" s="16"/>
      <x:c r="F408" s="16"/>
      <x:c r="G408" s="16"/>
      <x:c r="H408" s="109"/>
      <x:c r="I408" s="109"/>
      <x:c r="J408" s="16"/>
      <x:c r="K408" s="16"/>
      <x:c r="L408" s="16"/>
      <x:c r="M408" s="16"/>
      <x:c r="N408" s="16"/>
      <x:c r="O408" s="109"/>
      <x:c r="P408" s="109"/>
      <x:c r="Q408" s="16"/>
      <x:c r="R408" s="16"/>
      <x:c r="S408" s="109"/>
      <x:c r="T408" s="16"/>
      <x:c r="U408" s="16"/>
      <x:c r="V408" s="16"/>
      <x:c r="W408" s="18" t="str">
        <x:f>IF(A408="","",IF(H408="","",IF(I408&lt;&gt;"",I408-H408+1,IF(S408&lt;&gt;"",S408-H408+1,""))))</x:f>
      </x:c>
      <x:c r="X408" s="16"/>
      <x:c r="Y408" s="16"/>
      <x:c r="Z408" s="16"/>
      <x:c r="AA408" s="16"/>
      <x:c r="AB408" s="109"/>
      <x:c r="AC408" s="109"/>
      <x:c r="AD408" s="16"/>
      <x:c r="AE408" s="16"/>
      <x:c r="AF408" s="16"/>
    </x:row>
    <x:row r="409">
      <x:c r="A409" s="16"/>
      <x:c r="B409" s="16"/>
      <x:c r="C409" s="16"/>
      <x:c r="D409" s="16"/>
      <x:c r="E409" s="16"/>
      <x:c r="F409" s="16"/>
      <x:c r="G409" s="16"/>
      <x:c r="H409" s="109"/>
      <x:c r="I409" s="109"/>
      <x:c r="J409" s="16"/>
      <x:c r="K409" s="16"/>
      <x:c r="L409" s="16"/>
      <x:c r="M409" s="16"/>
      <x:c r="N409" s="16"/>
      <x:c r="O409" s="109"/>
      <x:c r="P409" s="109"/>
      <x:c r="Q409" s="16"/>
      <x:c r="R409" s="16"/>
      <x:c r="S409" s="109"/>
      <x:c r="T409" s="16"/>
      <x:c r="U409" s="16"/>
      <x:c r="V409" s="16"/>
      <x:c r="W409" s="18" t="str">
        <x:f>IF(A409="","",IF(H409="","",IF(I409&lt;&gt;"",I409-H409+1,IF(S409&lt;&gt;"",S409-H409+1,""))))</x:f>
      </x:c>
      <x:c r="X409" s="16"/>
      <x:c r="Y409" s="16"/>
      <x:c r="Z409" s="16"/>
      <x:c r="AA409" s="16"/>
      <x:c r="AB409" s="109"/>
      <x:c r="AC409" s="109"/>
      <x:c r="AD409" s="16"/>
      <x:c r="AE409" s="16"/>
      <x:c r="AF409" s="16"/>
    </x:row>
    <x:row r="410">
      <x:c r="A410" s="16"/>
      <x:c r="B410" s="16"/>
      <x:c r="C410" s="16"/>
      <x:c r="D410" s="16"/>
      <x:c r="E410" s="16"/>
      <x:c r="F410" s="16"/>
      <x:c r="G410" s="16"/>
      <x:c r="H410" s="109"/>
      <x:c r="I410" s="109"/>
      <x:c r="J410" s="16"/>
      <x:c r="K410" s="16"/>
      <x:c r="L410" s="16"/>
      <x:c r="M410" s="16"/>
      <x:c r="N410" s="16"/>
      <x:c r="O410" s="109"/>
      <x:c r="P410" s="109"/>
      <x:c r="Q410" s="16"/>
      <x:c r="R410" s="16"/>
      <x:c r="S410" s="109"/>
      <x:c r="T410" s="16"/>
      <x:c r="U410" s="16"/>
      <x:c r="V410" s="16"/>
      <x:c r="W410" s="18" t="str">
        <x:f>IF(A410="","",IF(H410="","",IF(I410&lt;&gt;"",I410-H410+1,IF(S410&lt;&gt;"",S410-H410+1,""))))</x:f>
      </x:c>
      <x:c r="X410" s="16"/>
      <x:c r="Y410" s="16"/>
      <x:c r="Z410" s="16"/>
      <x:c r="AA410" s="16"/>
      <x:c r="AB410" s="109"/>
      <x:c r="AC410" s="109"/>
      <x:c r="AD410" s="16"/>
      <x:c r="AE410" s="16"/>
      <x:c r="AF410" s="16"/>
    </x:row>
    <x:row r="411">
      <x:c r="A411" s="16"/>
      <x:c r="B411" s="16"/>
      <x:c r="C411" s="16"/>
      <x:c r="D411" s="16"/>
      <x:c r="E411" s="16"/>
      <x:c r="F411" s="16"/>
      <x:c r="G411" s="16"/>
      <x:c r="H411" s="109"/>
      <x:c r="I411" s="109"/>
      <x:c r="J411" s="16"/>
      <x:c r="K411" s="16"/>
      <x:c r="L411" s="16"/>
      <x:c r="M411" s="16"/>
      <x:c r="N411" s="16"/>
      <x:c r="O411" s="109"/>
      <x:c r="P411" s="109"/>
      <x:c r="Q411" s="16"/>
      <x:c r="R411" s="16"/>
      <x:c r="S411" s="109"/>
      <x:c r="T411" s="16"/>
      <x:c r="U411" s="16"/>
      <x:c r="V411" s="16"/>
      <x:c r="W411" s="18" t="str">
        <x:f>IF(A411="","",IF(H411="","",IF(I411&lt;&gt;"",I411-H411+1,IF(S411&lt;&gt;"",S411-H411+1,""))))</x:f>
      </x:c>
      <x:c r="X411" s="16"/>
      <x:c r="Y411" s="16"/>
      <x:c r="Z411" s="16"/>
      <x:c r="AA411" s="16"/>
      <x:c r="AB411" s="109"/>
      <x:c r="AC411" s="109"/>
      <x:c r="AD411" s="16"/>
      <x:c r="AE411" s="16"/>
      <x:c r="AF411" s="16"/>
    </x:row>
    <x:row r="412">
      <x:c r="A412" s="16"/>
      <x:c r="B412" s="16"/>
      <x:c r="C412" s="16"/>
      <x:c r="D412" s="16"/>
      <x:c r="E412" s="16"/>
      <x:c r="F412" s="16"/>
      <x:c r="G412" s="16"/>
      <x:c r="H412" s="109"/>
      <x:c r="I412" s="109"/>
      <x:c r="J412" s="16"/>
      <x:c r="K412" s="16"/>
      <x:c r="L412" s="16"/>
      <x:c r="M412" s="16"/>
      <x:c r="N412" s="16"/>
      <x:c r="O412" s="109"/>
      <x:c r="P412" s="109"/>
      <x:c r="Q412" s="16"/>
      <x:c r="R412" s="16"/>
      <x:c r="S412" s="109"/>
      <x:c r="T412" s="16"/>
      <x:c r="U412" s="16"/>
      <x:c r="V412" s="16"/>
      <x:c r="W412" s="18" t="str">
        <x:f>IF(A412="","",IF(H412="","",IF(I412&lt;&gt;"",I412-H412+1,IF(S412&lt;&gt;"",S412-H412+1,""))))</x:f>
      </x:c>
      <x:c r="X412" s="16"/>
      <x:c r="Y412" s="16"/>
      <x:c r="Z412" s="16"/>
      <x:c r="AA412" s="16"/>
      <x:c r="AB412" s="109"/>
      <x:c r="AC412" s="109"/>
      <x:c r="AD412" s="16"/>
      <x:c r="AE412" s="16"/>
      <x:c r="AF412" s="16"/>
    </x:row>
    <x:row r="413">
      <x:c r="A413" s="16"/>
      <x:c r="B413" s="16"/>
      <x:c r="C413" s="16"/>
      <x:c r="D413" s="16"/>
      <x:c r="E413" s="16"/>
      <x:c r="F413" s="16"/>
      <x:c r="G413" s="16"/>
      <x:c r="H413" s="109"/>
      <x:c r="I413" s="109"/>
      <x:c r="J413" s="16"/>
      <x:c r="K413" s="16"/>
      <x:c r="L413" s="16"/>
      <x:c r="M413" s="16"/>
      <x:c r="N413" s="16"/>
      <x:c r="O413" s="109"/>
      <x:c r="P413" s="109"/>
      <x:c r="Q413" s="16"/>
      <x:c r="R413" s="16"/>
      <x:c r="S413" s="109"/>
      <x:c r="T413" s="16"/>
      <x:c r="U413" s="16"/>
      <x:c r="V413" s="16"/>
      <x:c r="W413" s="18" t="str">
        <x:f>IF(A413="","",IF(H413="","",IF(I413&lt;&gt;"",I413-H413+1,IF(S413&lt;&gt;"",S413-H413+1,""))))</x:f>
      </x:c>
      <x:c r="X413" s="16"/>
      <x:c r="Y413" s="16"/>
      <x:c r="Z413" s="16"/>
      <x:c r="AA413" s="16"/>
      <x:c r="AB413" s="109"/>
      <x:c r="AC413" s="109"/>
      <x:c r="AD413" s="16"/>
      <x:c r="AE413" s="16"/>
      <x:c r="AF413" s="16"/>
    </x:row>
    <x:row r="414">
      <x:c r="A414" s="16"/>
      <x:c r="B414" s="16"/>
      <x:c r="C414" s="16"/>
      <x:c r="D414" s="16"/>
      <x:c r="E414" s="16"/>
      <x:c r="F414" s="16"/>
      <x:c r="G414" s="16"/>
      <x:c r="H414" s="109"/>
      <x:c r="I414" s="109"/>
      <x:c r="J414" s="16"/>
      <x:c r="K414" s="16"/>
      <x:c r="L414" s="16"/>
      <x:c r="M414" s="16"/>
      <x:c r="N414" s="16"/>
      <x:c r="O414" s="109"/>
      <x:c r="P414" s="109"/>
      <x:c r="Q414" s="16"/>
      <x:c r="R414" s="16"/>
      <x:c r="S414" s="109"/>
      <x:c r="T414" s="16"/>
      <x:c r="U414" s="16"/>
      <x:c r="V414" s="16"/>
      <x:c r="W414" s="18" t="str">
        <x:f>IF(A414="","",IF(H414="","",IF(I414&lt;&gt;"",I414-H414+1,IF(S414&lt;&gt;"",S414-H414+1,""))))</x:f>
      </x:c>
      <x:c r="X414" s="16"/>
      <x:c r="Y414" s="16"/>
      <x:c r="Z414" s="16"/>
      <x:c r="AA414" s="16"/>
      <x:c r="AB414" s="109"/>
      <x:c r="AC414" s="109"/>
      <x:c r="AD414" s="16"/>
      <x:c r="AE414" s="16"/>
      <x:c r="AF414" s="16"/>
    </x:row>
    <x:row r="415">
      <x:c r="A415" s="16"/>
      <x:c r="B415" s="16"/>
      <x:c r="C415" s="16"/>
      <x:c r="D415" s="16"/>
      <x:c r="E415" s="16"/>
      <x:c r="F415" s="16"/>
      <x:c r="G415" s="16"/>
      <x:c r="H415" s="109"/>
      <x:c r="I415" s="109"/>
      <x:c r="J415" s="16"/>
      <x:c r="K415" s="16"/>
      <x:c r="L415" s="16"/>
      <x:c r="M415" s="16"/>
      <x:c r="N415" s="16"/>
      <x:c r="O415" s="109"/>
      <x:c r="P415" s="109"/>
      <x:c r="Q415" s="16"/>
      <x:c r="R415" s="16"/>
      <x:c r="S415" s="109"/>
      <x:c r="T415" s="16"/>
      <x:c r="U415" s="16"/>
      <x:c r="V415" s="16"/>
      <x:c r="W415" s="18" t="str">
        <x:f>IF(A415="","",IF(H415="","",IF(I415&lt;&gt;"",I415-H415+1,IF(S415&lt;&gt;"",S415-H415+1,""))))</x:f>
      </x:c>
      <x:c r="X415" s="16"/>
      <x:c r="Y415" s="16"/>
      <x:c r="Z415" s="16"/>
      <x:c r="AA415" s="16"/>
      <x:c r="AB415" s="109"/>
      <x:c r="AC415" s="109"/>
      <x:c r="AD415" s="16"/>
      <x:c r="AE415" s="16"/>
      <x:c r="AF415" s="16"/>
    </x:row>
    <x:row r="416">
      <x:c r="A416" s="16"/>
      <x:c r="B416" s="16"/>
      <x:c r="C416" s="16"/>
      <x:c r="D416" s="16"/>
      <x:c r="E416" s="16"/>
      <x:c r="F416" s="16"/>
      <x:c r="G416" s="16"/>
      <x:c r="H416" s="109"/>
      <x:c r="I416" s="109"/>
      <x:c r="J416" s="16"/>
      <x:c r="K416" s="16"/>
      <x:c r="L416" s="16"/>
      <x:c r="M416" s="16"/>
      <x:c r="N416" s="16"/>
      <x:c r="O416" s="109"/>
      <x:c r="P416" s="109"/>
      <x:c r="Q416" s="16"/>
      <x:c r="R416" s="16"/>
      <x:c r="S416" s="109"/>
      <x:c r="T416" s="16"/>
      <x:c r="U416" s="16"/>
      <x:c r="V416" s="16"/>
      <x:c r="W416" s="18" t="str">
        <x:f>IF(A416="","",IF(H416="","",IF(I416&lt;&gt;"",I416-H416+1,IF(S416&lt;&gt;"",S416-H416+1,""))))</x:f>
      </x:c>
      <x:c r="X416" s="16"/>
      <x:c r="Y416" s="16"/>
      <x:c r="Z416" s="16"/>
      <x:c r="AA416" s="16"/>
      <x:c r="AB416" s="109"/>
      <x:c r="AC416" s="109"/>
      <x:c r="AD416" s="16"/>
      <x:c r="AE416" s="16"/>
      <x:c r="AF416" s="16"/>
    </x:row>
    <x:row r="417">
      <x:c r="A417" s="16"/>
      <x:c r="B417" s="16"/>
      <x:c r="C417" s="16"/>
      <x:c r="D417" s="16"/>
      <x:c r="E417" s="16"/>
      <x:c r="F417" s="16"/>
      <x:c r="G417" s="16"/>
      <x:c r="H417" s="109"/>
      <x:c r="I417" s="109"/>
      <x:c r="J417" s="16"/>
      <x:c r="K417" s="16"/>
      <x:c r="L417" s="16"/>
      <x:c r="M417" s="16"/>
      <x:c r="N417" s="16"/>
      <x:c r="O417" s="109"/>
      <x:c r="P417" s="109"/>
      <x:c r="Q417" s="16"/>
      <x:c r="R417" s="16"/>
      <x:c r="S417" s="109"/>
      <x:c r="T417" s="16"/>
      <x:c r="U417" s="16"/>
      <x:c r="V417" s="16"/>
      <x:c r="W417" s="18" t="str">
        <x:f>IF(A417="","",IF(H417="","",IF(I417&lt;&gt;"",I417-H417+1,IF(S417&lt;&gt;"",S417-H417+1,""))))</x:f>
      </x:c>
      <x:c r="X417" s="16"/>
      <x:c r="Y417" s="16"/>
      <x:c r="Z417" s="16"/>
      <x:c r="AA417" s="16"/>
      <x:c r="AB417" s="109"/>
      <x:c r="AC417" s="109"/>
      <x:c r="AD417" s="16"/>
      <x:c r="AE417" s="16"/>
      <x:c r="AF417" s="16"/>
    </x:row>
    <x:row r="418">
      <x:c r="A418" s="16"/>
      <x:c r="B418" s="16"/>
      <x:c r="C418" s="16"/>
      <x:c r="D418" s="16"/>
      <x:c r="E418" s="16"/>
      <x:c r="F418" s="16"/>
      <x:c r="G418" s="16"/>
      <x:c r="H418" s="109"/>
      <x:c r="I418" s="109"/>
      <x:c r="J418" s="16"/>
      <x:c r="K418" s="16"/>
      <x:c r="L418" s="16"/>
      <x:c r="M418" s="16"/>
      <x:c r="N418" s="16"/>
      <x:c r="O418" s="109"/>
      <x:c r="P418" s="109"/>
      <x:c r="Q418" s="16"/>
      <x:c r="R418" s="16"/>
      <x:c r="S418" s="109"/>
      <x:c r="T418" s="16"/>
      <x:c r="U418" s="16"/>
      <x:c r="V418" s="16"/>
      <x:c r="W418" s="18" t="str">
        <x:f>IF(A418="","",IF(H418="","",IF(I418&lt;&gt;"",I418-H418+1,IF(S418&lt;&gt;"",S418-H418+1,""))))</x:f>
      </x:c>
      <x:c r="X418" s="16"/>
      <x:c r="Y418" s="16"/>
      <x:c r="Z418" s="16"/>
      <x:c r="AA418" s="16"/>
      <x:c r="AB418" s="109"/>
      <x:c r="AC418" s="109"/>
      <x:c r="AD418" s="16"/>
      <x:c r="AE418" s="16"/>
      <x:c r="AF418" s="16"/>
    </x:row>
    <x:row r="419">
      <x:c r="A419" s="16"/>
      <x:c r="B419" s="16"/>
      <x:c r="C419" s="16"/>
      <x:c r="D419" s="16"/>
      <x:c r="E419" s="16"/>
      <x:c r="F419" s="16"/>
      <x:c r="G419" s="16"/>
      <x:c r="H419" s="109"/>
      <x:c r="I419" s="109"/>
      <x:c r="J419" s="16"/>
      <x:c r="K419" s="16"/>
      <x:c r="L419" s="16"/>
      <x:c r="M419" s="16"/>
      <x:c r="N419" s="16"/>
      <x:c r="O419" s="109"/>
      <x:c r="P419" s="109"/>
      <x:c r="Q419" s="16"/>
      <x:c r="R419" s="16"/>
      <x:c r="S419" s="109"/>
      <x:c r="T419" s="16"/>
      <x:c r="U419" s="16"/>
      <x:c r="V419" s="16"/>
      <x:c r="W419" s="18" t="str">
        <x:f>IF(A419="","",IF(H419="","",IF(I419&lt;&gt;"",I419-H419+1,IF(S419&lt;&gt;"",S419-H419+1,""))))</x:f>
      </x:c>
      <x:c r="X419" s="16"/>
      <x:c r="Y419" s="16"/>
      <x:c r="Z419" s="16"/>
      <x:c r="AA419" s="16"/>
      <x:c r="AB419" s="109"/>
      <x:c r="AC419" s="109"/>
      <x:c r="AD419" s="16"/>
      <x:c r="AE419" s="16"/>
      <x:c r="AF419" s="16"/>
    </x:row>
    <x:row r="420">
      <x:c r="A420" s="16"/>
      <x:c r="B420" s="16"/>
      <x:c r="C420" s="16"/>
      <x:c r="D420" s="16"/>
      <x:c r="E420" s="16"/>
      <x:c r="F420" s="16"/>
      <x:c r="G420" s="16"/>
      <x:c r="H420" s="109"/>
      <x:c r="I420" s="109"/>
      <x:c r="J420" s="16"/>
      <x:c r="K420" s="16"/>
      <x:c r="L420" s="16"/>
      <x:c r="M420" s="16"/>
      <x:c r="N420" s="16"/>
      <x:c r="O420" s="109"/>
      <x:c r="P420" s="109"/>
      <x:c r="Q420" s="16"/>
      <x:c r="R420" s="16"/>
      <x:c r="S420" s="109"/>
      <x:c r="T420" s="16"/>
      <x:c r="U420" s="16"/>
      <x:c r="V420" s="16"/>
      <x:c r="W420" s="18" t="str">
        <x:f>IF(A420="","",IF(H420="","",IF(I420&lt;&gt;"",I420-H420+1,IF(S420&lt;&gt;"",S420-H420+1,""))))</x:f>
      </x:c>
      <x:c r="X420" s="16"/>
      <x:c r="Y420" s="16"/>
      <x:c r="Z420" s="16"/>
      <x:c r="AA420" s="16"/>
      <x:c r="AB420" s="109"/>
      <x:c r="AC420" s="109"/>
      <x:c r="AD420" s="16"/>
      <x:c r="AE420" s="16"/>
      <x:c r="AF420" s="16"/>
    </x:row>
    <x:row r="421">
      <x:c r="A421" s="16"/>
      <x:c r="B421" s="16"/>
      <x:c r="C421" s="16"/>
      <x:c r="D421" s="16"/>
      <x:c r="E421" s="16"/>
      <x:c r="F421" s="16"/>
      <x:c r="G421" s="16"/>
      <x:c r="H421" s="109"/>
      <x:c r="I421" s="109"/>
      <x:c r="J421" s="16"/>
      <x:c r="K421" s="16"/>
      <x:c r="L421" s="16"/>
      <x:c r="M421" s="16"/>
      <x:c r="N421" s="16"/>
      <x:c r="O421" s="109"/>
      <x:c r="P421" s="109"/>
      <x:c r="Q421" s="16"/>
      <x:c r="R421" s="16"/>
      <x:c r="S421" s="109"/>
      <x:c r="T421" s="16"/>
      <x:c r="U421" s="16"/>
      <x:c r="V421" s="16"/>
      <x:c r="W421" s="18" t="str">
        <x:f>IF(A421="","",IF(H421="","",IF(I421&lt;&gt;"",I421-H421+1,IF(S421&lt;&gt;"",S421-H421+1,""))))</x:f>
      </x:c>
      <x:c r="X421" s="16"/>
      <x:c r="Y421" s="16"/>
      <x:c r="Z421" s="16"/>
      <x:c r="AA421" s="16"/>
      <x:c r="AB421" s="109"/>
      <x:c r="AC421" s="109"/>
      <x:c r="AD421" s="16"/>
      <x:c r="AE421" s="16"/>
      <x:c r="AF421" s="16"/>
    </x:row>
    <x:row r="422">
      <x:c r="A422" s="16"/>
      <x:c r="B422" s="16"/>
      <x:c r="C422" s="16"/>
      <x:c r="D422" s="16"/>
      <x:c r="E422" s="16"/>
      <x:c r="F422" s="16"/>
      <x:c r="G422" s="16"/>
      <x:c r="H422" s="109"/>
      <x:c r="I422" s="109"/>
      <x:c r="J422" s="16"/>
      <x:c r="K422" s="16"/>
      <x:c r="L422" s="16"/>
      <x:c r="M422" s="16"/>
      <x:c r="N422" s="16"/>
      <x:c r="O422" s="109"/>
      <x:c r="P422" s="109"/>
      <x:c r="Q422" s="16"/>
      <x:c r="R422" s="16"/>
      <x:c r="S422" s="109"/>
      <x:c r="T422" s="16"/>
      <x:c r="U422" s="16"/>
      <x:c r="V422" s="16"/>
      <x:c r="W422" s="18" t="str">
        <x:f>IF(A422="","",IF(H422="","",IF(I422&lt;&gt;"",I422-H422+1,IF(S422&lt;&gt;"",S422-H422+1,""))))</x:f>
      </x:c>
      <x:c r="X422" s="16"/>
      <x:c r="Y422" s="16"/>
      <x:c r="Z422" s="16"/>
      <x:c r="AA422" s="16"/>
      <x:c r="AB422" s="109"/>
      <x:c r="AC422" s="109"/>
      <x:c r="AD422" s="16"/>
      <x:c r="AE422" s="16"/>
      <x:c r="AF422" s="16"/>
    </x:row>
    <x:row r="423">
      <x:c r="A423" s="16"/>
      <x:c r="B423" s="16"/>
      <x:c r="C423" s="16"/>
      <x:c r="D423" s="16"/>
      <x:c r="E423" s="16"/>
      <x:c r="F423" s="16"/>
      <x:c r="G423" s="16"/>
      <x:c r="H423" s="109"/>
      <x:c r="I423" s="109"/>
      <x:c r="J423" s="16"/>
      <x:c r="K423" s="16"/>
      <x:c r="L423" s="16"/>
      <x:c r="M423" s="16"/>
      <x:c r="N423" s="16"/>
      <x:c r="O423" s="109"/>
      <x:c r="P423" s="109"/>
      <x:c r="Q423" s="16"/>
      <x:c r="R423" s="16"/>
      <x:c r="S423" s="109"/>
      <x:c r="T423" s="16"/>
      <x:c r="U423" s="16"/>
      <x:c r="V423" s="16"/>
      <x:c r="W423" s="18" t="str">
        <x:f>IF(A423="","",IF(H423="","",IF(I423&lt;&gt;"",I423-H423+1,IF(S423&lt;&gt;"",S423-H423+1,""))))</x:f>
      </x:c>
      <x:c r="X423" s="16"/>
      <x:c r="Y423" s="16"/>
      <x:c r="Z423" s="16"/>
      <x:c r="AA423" s="16"/>
      <x:c r="AB423" s="109"/>
      <x:c r="AC423" s="109"/>
      <x:c r="AD423" s="16"/>
      <x:c r="AE423" s="16"/>
      <x:c r="AF423" s="16"/>
    </x:row>
    <x:row r="424">
      <x:c r="A424" s="16"/>
      <x:c r="B424" s="16"/>
      <x:c r="C424" s="16"/>
      <x:c r="D424" s="16"/>
      <x:c r="E424" s="16"/>
      <x:c r="F424" s="16"/>
      <x:c r="G424" s="16"/>
      <x:c r="H424" s="109"/>
      <x:c r="I424" s="109"/>
      <x:c r="J424" s="16"/>
      <x:c r="K424" s="16"/>
      <x:c r="L424" s="16"/>
      <x:c r="M424" s="16"/>
      <x:c r="N424" s="16"/>
      <x:c r="O424" s="109"/>
      <x:c r="P424" s="109"/>
      <x:c r="Q424" s="16"/>
      <x:c r="R424" s="16"/>
      <x:c r="S424" s="109"/>
      <x:c r="T424" s="16"/>
      <x:c r="U424" s="16"/>
      <x:c r="V424" s="16"/>
      <x:c r="W424" s="18" t="str">
        <x:f>IF(A424="","",IF(H424="","",IF(I424&lt;&gt;"",I424-H424+1,IF(S424&lt;&gt;"",S424-H424+1,""))))</x:f>
      </x:c>
      <x:c r="X424" s="16"/>
      <x:c r="Y424" s="16"/>
      <x:c r="Z424" s="16"/>
      <x:c r="AA424" s="16"/>
      <x:c r="AB424" s="109"/>
      <x:c r="AC424" s="109"/>
      <x:c r="AD424" s="16"/>
      <x:c r="AE424" s="16"/>
      <x:c r="AF424" s="16"/>
    </x:row>
    <x:row r="425">
      <x:c r="A425" s="16"/>
      <x:c r="B425" s="16"/>
      <x:c r="C425" s="16"/>
      <x:c r="D425" s="16"/>
      <x:c r="E425" s="16"/>
      <x:c r="F425" s="16"/>
      <x:c r="G425" s="16"/>
      <x:c r="H425" s="109"/>
      <x:c r="I425" s="109"/>
      <x:c r="J425" s="16"/>
      <x:c r="K425" s="16"/>
      <x:c r="L425" s="16"/>
      <x:c r="M425" s="16"/>
      <x:c r="N425" s="16"/>
      <x:c r="O425" s="109"/>
      <x:c r="P425" s="109"/>
      <x:c r="Q425" s="16"/>
      <x:c r="R425" s="16"/>
      <x:c r="S425" s="109"/>
      <x:c r="T425" s="16"/>
      <x:c r="U425" s="16"/>
      <x:c r="V425" s="16"/>
      <x:c r="W425" s="18" t="str">
        <x:f>IF(A425="","",IF(H425="","",IF(I425&lt;&gt;"",I425-H425+1,IF(S425&lt;&gt;"",S425-H425+1,""))))</x:f>
      </x:c>
      <x:c r="X425" s="16"/>
      <x:c r="Y425" s="16"/>
      <x:c r="Z425" s="16"/>
      <x:c r="AA425" s="16"/>
      <x:c r="AB425" s="109"/>
      <x:c r="AC425" s="109"/>
      <x:c r="AD425" s="16"/>
      <x:c r="AE425" s="16"/>
      <x:c r="AF425" s="16"/>
    </x:row>
    <x:row r="426">
      <x:c r="A426" s="16"/>
      <x:c r="B426" s="16"/>
      <x:c r="C426" s="16"/>
      <x:c r="D426" s="16"/>
      <x:c r="E426" s="16"/>
      <x:c r="F426" s="16"/>
      <x:c r="G426" s="16"/>
      <x:c r="H426" s="109"/>
      <x:c r="I426" s="109"/>
      <x:c r="J426" s="16"/>
      <x:c r="K426" s="16"/>
      <x:c r="L426" s="16"/>
      <x:c r="M426" s="16"/>
      <x:c r="N426" s="16"/>
      <x:c r="O426" s="109"/>
      <x:c r="P426" s="109"/>
      <x:c r="Q426" s="16"/>
      <x:c r="R426" s="16"/>
      <x:c r="S426" s="109"/>
      <x:c r="T426" s="16"/>
      <x:c r="U426" s="16"/>
      <x:c r="V426" s="16"/>
      <x:c r="W426" s="18" t="str">
        <x:f>IF(A426="","",IF(H426="","",IF(I426&lt;&gt;"",I426-H426+1,IF(S426&lt;&gt;"",S426-H426+1,""))))</x:f>
      </x:c>
      <x:c r="X426" s="16"/>
      <x:c r="Y426" s="16"/>
      <x:c r="Z426" s="16"/>
      <x:c r="AA426" s="16"/>
      <x:c r="AB426" s="109"/>
      <x:c r="AC426" s="109"/>
      <x:c r="AD426" s="16"/>
      <x:c r="AE426" s="16"/>
      <x:c r="AF426" s="16"/>
    </x:row>
    <x:row r="427">
      <x:c r="A427" s="16"/>
      <x:c r="B427" s="16"/>
      <x:c r="C427" s="16"/>
      <x:c r="D427" s="16"/>
      <x:c r="E427" s="16"/>
      <x:c r="F427" s="16"/>
      <x:c r="G427" s="16"/>
      <x:c r="H427" s="109"/>
      <x:c r="I427" s="109"/>
      <x:c r="J427" s="16"/>
      <x:c r="K427" s="16"/>
      <x:c r="L427" s="16"/>
      <x:c r="M427" s="16"/>
      <x:c r="N427" s="16"/>
      <x:c r="O427" s="109"/>
      <x:c r="P427" s="109"/>
      <x:c r="Q427" s="16"/>
      <x:c r="R427" s="16"/>
      <x:c r="S427" s="109"/>
      <x:c r="T427" s="16"/>
      <x:c r="U427" s="16"/>
      <x:c r="V427" s="16"/>
      <x:c r="W427" s="18" t="str">
        <x:f>IF(A427="","",IF(H427="","",IF(I427&lt;&gt;"",I427-H427+1,IF(S427&lt;&gt;"",S427-H427+1,""))))</x:f>
      </x:c>
      <x:c r="X427" s="16"/>
      <x:c r="Y427" s="16"/>
      <x:c r="Z427" s="16"/>
      <x:c r="AA427" s="16"/>
      <x:c r="AB427" s="109"/>
      <x:c r="AC427" s="109"/>
      <x:c r="AD427" s="16"/>
      <x:c r="AE427" s="16"/>
      <x:c r="AF427" s="16"/>
    </x:row>
    <x:row r="428">
      <x:c r="A428" s="16"/>
      <x:c r="B428" s="16"/>
      <x:c r="C428" s="16"/>
      <x:c r="D428" s="16"/>
      <x:c r="E428" s="16"/>
      <x:c r="F428" s="16"/>
      <x:c r="G428" s="16"/>
      <x:c r="H428" s="109"/>
      <x:c r="I428" s="109"/>
      <x:c r="J428" s="16"/>
      <x:c r="K428" s="16"/>
      <x:c r="L428" s="16"/>
      <x:c r="M428" s="16"/>
      <x:c r="N428" s="16"/>
      <x:c r="O428" s="109"/>
      <x:c r="P428" s="109"/>
      <x:c r="Q428" s="16"/>
      <x:c r="R428" s="16"/>
      <x:c r="S428" s="109"/>
      <x:c r="T428" s="16"/>
      <x:c r="U428" s="16"/>
      <x:c r="V428" s="16"/>
      <x:c r="W428" s="18" t="str">
        <x:f>IF(A428="","",IF(H428="","",IF(I428&lt;&gt;"",I428-H428+1,IF(S428&lt;&gt;"",S428-H428+1,""))))</x:f>
      </x:c>
      <x:c r="X428" s="16"/>
      <x:c r="Y428" s="16"/>
      <x:c r="Z428" s="16"/>
      <x:c r="AA428" s="16"/>
      <x:c r="AB428" s="109"/>
      <x:c r="AC428" s="109"/>
      <x:c r="AD428" s="16"/>
      <x:c r="AE428" s="16"/>
      <x:c r="AF428" s="16"/>
    </x:row>
    <x:row r="429">
      <x:c r="A429" s="16"/>
      <x:c r="B429" s="16"/>
      <x:c r="C429" s="16"/>
      <x:c r="D429" s="16"/>
      <x:c r="E429" s="16"/>
      <x:c r="F429" s="16"/>
      <x:c r="G429" s="16"/>
      <x:c r="H429" s="109"/>
      <x:c r="I429" s="109"/>
      <x:c r="J429" s="16"/>
      <x:c r="K429" s="16"/>
      <x:c r="L429" s="16"/>
      <x:c r="M429" s="16"/>
      <x:c r="N429" s="16"/>
      <x:c r="O429" s="109"/>
      <x:c r="P429" s="109"/>
      <x:c r="Q429" s="16"/>
      <x:c r="R429" s="16"/>
      <x:c r="S429" s="109"/>
      <x:c r="T429" s="16"/>
      <x:c r="U429" s="16"/>
      <x:c r="V429" s="16"/>
      <x:c r="W429" s="18" t="str">
        <x:f>IF(A429="","",IF(H429="","",IF(I429&lt;&gt;"",I429-H429+1,IF(S429&lt;&gt;"",S429-H429+1,""))))</x:f>
      </x:c>
      <x:c r="X429" s="16"/>
      <x:c r="Y429" s="16"/>
      <x:c r="Z429" s="16"/>
      <x:c r="AA429" s="16"/>
      <x:c r="AB429" s="109"/>
      <x:c r="AC429" s="109"/>
      <x:c r="AD429" s="16"/>
      <x:c r="AE429" s="16"/>
      <x:c r="AF429" s="16"/>
    </x:row>
    <x:row r="430">
      <x:c r="A430" s="16"/>
      <x:c r="B430" s="16"/>
      <x:c r="C430" s="16"/>
      <x:c r="D430" s="16"/>
      <x:c r="E430" s="16"/>
      <x:c r="F430" s="16"/>
      <x:c r="G430" s="16"/>
      <x:c r="H430" s="109"/>
      <x:c r="I430" s="109"/>
      <x:c r="J430" s="16"/>
      <x:c r="K430" s="16"/>
      <x:c r="L430" s="16"/>
      <x:c r="M430" s="16"/>
      <x:c r="N430" s="16"/>
      <x:c r="O430" s="109"/>
      <x:c r="P430" s="109"/>
      <x:c r="Q430" s="16"/>
      <x:c r="R430" s="16"/>
      <x:c r="S430" s="109"/>
      <x:c r="T430" s="16"/>
      <x:c r="U430" s="16"/>
      <x:c r="V430" s="16"/>
      <x:c r="W430" s="18" t="str">
        <x:f>IF(A430="","",IF(H430="","",IF(I430&lt;&gt;"",I430-H430+1,IF(S430&lt;&gt;"",S430-H430+1,""))))</x:f>
      </x:c>
      <x:c r="X430" s="16"/>
      <x:c r="Y430" s="16"/>
      <x:c r="Z430" s="16"/>
      <x:c r="AA430" s="16"/>
      <x:c r="AB430" s="109"/>
      <x:c r="AC430" s="109"/>
      <x:c r="AD430" s="16"/>
      <x:c r="AE430" s="16"/>
      <x:c r="AF430" s="16"/>
    </x:row>
    <x:row r="431">
      <x:c r="A431" s="16"/>
      <x:c r="B431" s="16"/>
      <x:c r="C431" s="16"/>
      <x:c r="D431" s="16"/>
      <x:c r="E431" s="16"/>
      <x:c r="F431" s="16"/>
      <x:c r="G431" s="16"/>
      <x:c r="H431" s="109"/>
      <x:c r="I431" s="109"/>
      <x:c r="J431" s="16"/>
      <x:c r="K431" s="16"/>
      <x:c r="L431" s="16"/>
      <x:c r="M431" s="16"/>
      <x:c r="N431" s="16"/>
      <x:c r="O431" s="109"/>
      <x:c r="P431" s="109"/>
      <x:c r="Q431" s="16"/>
      <x:c r="R431" s="16"/>
      <x:c r="S431" s="109"/>
      <x:c r="T431" s="16"/>
      <x:c r="U431" s="16"/>
      <x:c r="V431" s="16"/>
      <x:c r="W431" s="18" t="str">
        <x:f>IF(A431="","",IF(H431="","",IF(I431&lt;&gt;"",I431-H431+1,IF(S431&lt;&gt;"",S431-H431+1,""))))</x:f>
      </x:c>
      <x:c r="X431" s="16"/>
      <x:c r="Y431" s="16"/>
      <x:c r="Z431" s="16"/>
      <x:c r="AA431" s="16"/>
      <x:c r="AB431" s="109"/>
      <x:c r="AC431" s="109"/>
      <x:c r="AD431" s="16"/>
      <x:c r="AE431" s="16"/>
      <x:c r="AF431" s="16"/>
    </x:row>
    <x:row r="432">
      <x:c r="A432" s="16"/>
      <x:c r="B432" s="16"/>
      <x:c r="C432" s="16"/>
      <x:c r="D432" s="16"/>
      <x:c r="E432" s="16"/>
      <x:c r="F432" s="16"/>
      <x:c r="G432" s="16"/>
      <x:c r="H432" s="109"/>
      <x:c r="I432" s="109"/>
      <x:c r="J432" s="16"/>
      <x:c r="K432" s="16"/>
      <x:c r="L432" s="16"/>
      <x:c r="M432" s="16"/>
      <x:c r="N432" s="16"/>
      <x:c r="O432" s="109"/>
      <x:c r="P432" s="109"/>
      <x:c r="Q432" s="16"/>
      <x:c r="R432" s="16"/>
      <x:c r="S432" s="109"/>
      <x:c r="T432" s="16"/>
      <x:c r="U432" s="16"/>
      <x:c r="V432" s="16"/>
      <x:c r="W432" s="18" t="str">
        <x:f>IF(A432="","",IF(H432="","",IF(I432&lt;&gt;"",I432-H432+1,IF(S432&lt;&gt;"",S432-H432+1,""))))</x:f>
      </x:c>
      <x:c r="X432" s="16"/>
      <x:c r="Y432" s="16"/>
      <x:c r="Z432" s="16"/>
      <x:c r="AA432" s="16"/>
      <x:c r="AB432" s="109"/>
      <x:c r="AC432" s="109"/>
      <x:c r="AD432" s="16"/>
      <x:c r="AE432" s="16"/>
      <x:c r="AF432" s="16"/>
    </x:row>
    <x:row r="433">
      <x:c r="A433" s="16"/>
      <x:c r="B433" s="16"/>
      <x:c r="C433" s="16"/>
      <x:c r="D433" s="16"/>
      <x:c r="E433" s="16"/>
      <x:c r="F433" s="16"/>
      <x:c r="G433" s="16"/>
      <x:c r="H433" s="109"/>
      <x:c r="I433" s="109"/>
      <x:c r="J433" s="16"/>
      <x:c r="K433" s="16"/>
      <x:c r="L433" s="16"/>
      <x:c r="M433" s="16"/>
      <x:c r="N433" s="16"/>
      <x:c r="O433" s="109"/>
      <x:c r="P433" s="109"/>
      <x:c r="Q433" s="16"/>
      <x:c r="R433" s="16"/>
      <x:c r="S433" s="109"/>
      <x:c r="T433" s="16"/>
      <x:c r="U433" s="16"/>
      <x:c r="V433" s="16"/>
      <x:c r="W433" s="18" t="str">
        <x:f>IF(A433="","",IF(H433="","",IF(I433&lt;&gt;"",I433-H433+1,IF(S433&lt;&gt;"",S433-H433+1,""))))</x:f>
      </x:c>
      <x:c r="X433" s="16"/>
      <x:c r="Y433" s="16"/>
      <x:c r="Z433" s="16"/>
      <x:c r="AA433" s="16"/>
      <x:c r="AB433" s="109"/>
      <x:c r="AC433" s="109"/>
      <x:c r="AD433" s="16"/>
      <x:c r="AE433" s="16"/>
      <x:c r="AF433" s="16"/>
    </x:row>
    <x:row r="434">
      <x:c r="A434" s="16"/>
      <x:c r="B434" s="16"/>
      <x:c r="C434" s="16"/>
      <x:c r="D434" s="16"/>
      <x:c r="E434" s="16"/>
      <x:c r="F434" s="16"/>
      <x:c r="G434" s="16"/>
      <x:c r="H434" s="109"/>
      <x:c r="I434" s="109"/>
      <x:c r="J434" s="16"/>
      <x:c r="K434" s="16"/>
      <x:c r="L434" s="16"/>
      <x:c r="M434" s="16"/>
      <x:c r="N434" s="16"/>
      <x:c r="O434" s="109"/>
      <x:c r="P434" s="109"/>
      <x:c r="Q434" s="16"/>
      <x:c r="R434" s="16"/>
      <x:c r="S434" s="109"/>
      <x:c r="T434" s="16"/>
      <x:c r="U434" s="16"/>
      <x:c r="V434" s="16"/>
      <x:c r="W434" s="18" t="str">
        <x:f>IF(A434="","",IF(H434="","",IF(I434&lt;&gt;"",I434-H434+1,IF(S434&lt;&gt;"",S434-H434+1,""))))</x:f>
      </x:c>
      <x:c r="X434" s="16"/>
      <x:c r="Y434" s="16"/>
      <x:c r="Z434" s="16"/>
      <x:c r="AA434" s="16"/>
      <x:c r="AB434" s="109"/>
      <x:c r="AC434" s="109"/>
      <x:c r="AD434" s="16"/>
      <x:c r="AE434" s="16"/>
      <x:c r="AF434" s="16"/>
    </x:row>
    <x:row r="435">
      <x:c r="A435" s="16"/>
      <x:c r="B435" s="16"/>
      <x:c r="C435" s="16"/>
      <x:c r="D435" s="16"/>
      <x:c r="E435" s="16"/>
      <x:c r="F435" s="16"/>
      <x:c r="G435" s="16"/>
      <x:c r="H435" s="109"/>
      <x:c r="I435" s="109"/>
      <x:c r="J435" s="16"/>
      <x:c r="K435" s="16"/>
      <x:c r="L435" s="16"/>
      <x:c r="M435" s="16"/>
      <x:c r="N435" s="16"/>
      <x:c r="O435" s="109"/>
      <x:c r="P435" s="109"/>
      <x:c r="Q435" s="16"/>
      <x:c r="R435" s="16"/>
      <x:c r="S435" s="109"/>
      <x:c r="T435" s="16"/>
      <x:c r="U435" s="16"/>
      <x:c r="V435" s="16"/>
      <x:c r="W435" s="18" t="str">
        <x:f>IF(A435="","",IF(H435="","",IF(I435&lt;&gt;"",I435-H435+1,IF(S435&lt;&gt;"",S435-H435+1,""))))</x:f>
      </x:c>
      <x:c r="X435" s="16"/>
      <x:c r="Y435" s="16"/>
      <x:c r="Z435" s="16"/>
      <x:c r="AA435" s="16"/>
      <x:c r="AB435" s="109"/>
      <x:c r="AC435" s="109"/>
      <x:c r="AD435" s="16"/>
      <x:c r="AE435" s="16"/>
      <x:c r="AF435" s="16"/>
    </x:row>
    <x:row r="436">
      <x:c r="A436" s="16"/>
      <x:c r="B436" s="16"/>
      <x:c r="C436" s="16"/>
      <x:c r="D436" s="16"/>
      <x:c r="E436" s="16"/>
      <x:c r="F436" s="16"/>
      <x:c r="G436" s="16"/>
      <x:c r="H436" s="109"/>
      <x:c r="I436" s="109"/>
      <x:c r="J436" s="16"/>
      <x:c r="K436" s="16"/>
      <x:c r="L436" s="16"/>
      <x:c r="M436" s="16"/>
      <x:c r="N436" s="16"/>
      <x:c r="O436" s="109"/>
      <x:c r="P436" s="109"/>
      <x:c r="Q436" s="16"/>
      <x:c r="R436" s="16"/>
      <x:c r="S436" s="109"/>
      <x:c r="T436" s="16"/>
      <x:c r="U436" s="16"/>
      <x:c r="V436" s="16"/>
      <x:c r="W436" s="18" t="str">
        <x:f>IF(A436="","",IF(H436="","",IF(I436&lt;&gt;"",I436-H436+1,IF(S436&lt;&gt;"",S436-H436+1,""))))</x:f>
      </x:c>
      <x:c r="X436" s="16"/>
      <x:c r="Y436" s="16"/>
      <x:c r="Z436" s="16"/>
      <x:c r="AA436" s="16"/>
      <x:c r="AB436" s="109"/>
      <x:c r="AC436" s="109"/>
      <x:c r="AD436" s="16"/>
      <x:c r="AE436" s="16"/>
      <x:c r="AF436" s="16"/>
    </x:row>
    <x:row r="437">
      <x:c r="A437" s="16"/>
      <x:c r="B437" s="16"/>
      <x:c r="C437" s="16"/>
      <x:c r="D437" s="16"/>
      <x:c r="E437" s="16"/>
      <x:c r="F437" s="16"/>
      <x:c r="G437" s="16"/>
      <x:c r="H437" s="109"/>
      <x:c r="I437" s="109"/>
      <x:c r="J437" s="16"/>
      <x:c r="K437" s="16"/>
      <x:c r="L437" s="16"/>
      <x:c r="M437" s="16"/>
      <x:c r="N437" s="16"/>
      <x:c r="O437" s="109"/>
      <x:c r="P437" s="109"/>
      <x:c r="Q437" s="16"/>
      <x:c r="R437" s="16"/>
      <x:c r="S437" s="109"/>
      <x:c r="T437" s="16"/>
      <x:c r="U437" s="16"/>
      <x:c r="V437" s="16"/>
      <x:c r="W437" s="18" t="str">
        <x:f>IF(A437="","",IF(H437="","",IF(I437&lt;&gt;"",I437-H437+1,IF(S437&lt;&gt;"",S437-H437+1,""))))</x:f>
      </x:c>
      <x:c r="X437" s="16"/>
      <x:c r="Y437" s="16"/>
      <x:c r="Z437" s="16"/>
      <x:c r="AA437" s="16"/>
      <x:c r="AB437" s="109"/>
      <x:c r="AC437" s="109"/>
      <x:c r="AD437" s="16"/>
      <x:c r="AE437" s="16"/>
      <x:c r="AF437" s="16"/>
    </x:row>
    <x:row r="438">
      <x:c r="A438" s="16"/>
      <x:c r="B438" s="16"/>
      <x:c r="C438" s="16"/>
      <x:c r="D438" s="16"/>
      <x:c r="E438" s="16"/>
      <x:c r="F438" s="16"/>
      <x:c r="G438" s="16"/>
      <x:c r="H438" s="109"/>
      <x:c r="I438" s="109"/>
      <x:c r="J438" s="16"/>
      <x:c r="K438" s="16"/>
      <x:c r="L438" s="16"/>
      <x:c r="M438" s="16"/>
      <x:c r="N438" s="16"/>
      <x:c r="O438" s="109"/>
      <x:c r="P438" s="109"/>
      <x:c r="Q438" s="16"/>
      <x:c r="R438" s="16"/>
      <x:c r="S438" s="109"/>
      <x:c r="T438" s="16"/>
      <x:c r="U438" s="16"/>
      <x:c r="V438" s="16"/>
      <x:c r="W438" s="18" t="str">
        <x:f>IF(A438="","",IF(H438="","",IF(I438&lt;&gt;"",I438-H438+1,IF(S438&lt;&gt;"",S438-H438+1,""))))</x:f>
      </x:c>
      <x:c r="X438" s="16"/>
      <x:c r="Y438" s="16"/>
      <x:c r="Z438" s="16"/>
      <x:c r="AA438" s="16"/>
      <x:c r="AB438" s="109"/>
      <x:c r="AC438" s="109"/>
      <x:c r="AD438" s="16"/>
      <x:c r="AE438" s="16"/>
      <x:c r="AF438" s="16"/>
    </x:row>
    <x:row r="439">
      <x:c r="A439" s="16"/>
      <x:c r="B439" s="16"/>
      <x:c r="C439" s="16"/>
      <x:c r="D439" s="16"/>
      <x:c r="E439" s="16"/>
      <x:c r="F439" s="16"/>
      <x:c r="G439" s="16"/>
      <x:c r="H439" s="109"/>
      <x:c r="I439" s="109"/>
      <x:c r="J439" s="16"/>
      <x:c r="K439" s="16"/>
      <x:c r="L439" s="16"/>
      <x:c r="M439" s="16"/>
      <x:c r="N439" s="16"/>
      <x:c r="O439" s="109"/>
      <x:c r="P439" s="109"/>
      <x:c r="Q439" s="16"/>
      <x:c r="R439" s="16"/>
      <x:c r="S439" s="109"/>
      <x:c r="T439" s="16"/>
      <x:c r="U439" s="16"/>
      <x:c r="V439" s="16"/>
      <x:c r="W439" s="18" t="str">
        <x:f>IF(A439="","",IF(H439="","",IF(I439&lt;&gt;"",I439-H439+1,IF(S439&lt;&gt;"",S439-H439+1,""))))</x:f>
      </x:c>
      <x:c r="X439" s="16"/>
      <x:c r="Y439" s="16"/>
      <x:c r="Z439" s="16"/>
      <x:c r="AA439" s="16"/>
      <x:c r="AB439" s="109"/>
      <x:c r="AC439" s="109"/>
      <x:c r="AD439" s="16"/>
      <x:c r="AE439" s="16"/>
      <x:c r="AF439" s="16"/>
    </x:row>
    <x:row r="440">
      <x:c r="A440" s="16"/>
      <x:c r="B440" s="16"/>
      <x:c r="C440" s="16"/>
      <x:c r="D440" s="16"/>
      <x:c r="E440" s="16"/>
      <x:c r="F440" s="16"/>
      <x:c r="G440" s="16"/>
      <x:c r="H440" s="109"/>
      <x:c r="I440" s="109"/>
      <x:c r="J440" s="16"/>
      <x:c r="K440" s="16"/>
      <x:c r="L440" s="16"/>
      <x:c r="M440" s="16"/>
      <x:c r="N440" s="16"/>
      <x:c r="O440" s="109"/>
      <x:c r="P440" s="109"/>
      <x:c r="Q440" s="16"/>
      <x:c r="R440" s="16"/>
      <x:c r="S440" s="109"/>
      <x:c r="T440" s="16"/>
      <x:c r="U440" s="16"/>
      <x:c r="V440" s="16"/>
      <x:c r="W440" s="18" t="str">
        <x:f>IF(A440="","",IF(H440="","",IF(I440&lt;&gt;"",I440-H440+1,IF(S440&lt;&gt;"",S440-H440+1,""))))</x:f>
      </x:c>
      <x:c r="X440" s="16"/>
      <x:c r="Y440" s="16"/>
      <x:c r="Z440" s="16"/>
      <x:c r="AA440" s="16"/>
      <x:c r="AB440" s="109"/>
      <x:c r="AC440" s="109"/>
      <x:c r="AD440" s="16"/>
      <x:c r="AE440" s="16"/>
      <x:c r="AF440" s="16"/>
    </x:row>
    <x:row r="441">
      <x:c r="A441" s="16"/>
      <x:c r="B441" s="16"/>
      <x:c r="C441" s="16"/>
      <x:c r="D441" s="16"/>
      <x:c r="E441" s="16"/>
      <x:c r="F441" s="16"/>
      <x:c r="G441" s="16"/>
      <x:c r="H441" s="109"/>
      <x:c r="I441" s="109"/>
      <x:c r="J441" s="16"/>
      <x:c r="K441" s="16"/>
      <x:c r="L441" s="16"/>
      <x:c r="M441" s="16"/>
      <x:c r="N441" s="16"/>
      <x:c r="O441" s="109"/>
      <x:c r="P441" s="109"/>
      <x:c r="Q441" s="16"/>
      <x:c r="R441" s="16"/>
      <x:c r="S441" s="109"/>
      <x:c r="T441" s="16"/>
      <x:c r="U441" s="16"/>
      <x:c r="V441" s="16"/>
      <x:c r="W441" s="18" t="str">
        <x:f>IF(A441="","",IF(H441="","",IF(I441&lt;&gt;"",I441-H441+1,IF(S441&lt;&gt;"",S441-H441+1,""))))</x:f>
      </x:c>
      <x:c r="X441" s="16"/>
      <x:c r="Y441" s="16"/>
      <x:c r="Z441" s="16"/>
      <x:c r="AA441" s="16"/>
      <x:c r="AB441" s="109"/>
      <x:c r="AC441" s="109"/>
      <x:c r="AD441" s="16"/>
      <x:c r="AE441" s="16"/>
      <x:c r="AF441" s="16"/>
    </x:row>
    <x:row r="442">
      <x:c r="A442" s="16"/>
      <x:c r="B442" s="16"/>
      <x:c r="C442" s="16"/>
      <x:c r="D442" s="16"/>
      <x:c r="E442" s="16"/>
      <x:c r="F442" s="16"/>
      <x:c r="G442" s="16"/>
      <x:c r="H442" s="109"/>
      <x:c r="I442" s="109"/>
      <x:c r="J442" s="16"/>
      <x:c r="K442" s="16"/>
      <x:c r="L442" s="16"/>
      <x:c r="M442" s="16"/>
      <x:c r="N442" s="16"/>
      <x:c r="O442" s="109"/>
      <x:c r="P442" s="109"/>
      <x:c r="Q442" s="16"/>
      <x:c r="R442" s="16"/>
      <x:c r="S442" s="109"/>
      <x:c r="T442" s="16"/>
      <x:c r="U442" s="16"/>
      <x:c r="V442" s="16"/>
      <x:c r="W442" s="18" t="str">
        <x:f>IF(A442="","",IF(H442="","",IF(I442&lt;&gt;"",I442-H442+1,IF(S442&lt;&gt;"",S442-H442+1,""))))</x:f>
      </x:c>
      <x:c r="X442" s="16"/>
      <x:c r="Y442" s="16"/>
      <x:c r="Z442" s="16"/>
      <x:c r="AA442" s="16"/>
      <x:c r="AB442" s="109"/>
      <x:c r="AC442" s="109"/>
      <x:c r="AD442" s="16"/>
      <x:c r="AE442" s="16"/>
      <x:c r="AF442" s="16"/>
    </x:row>
    <x:row r="443">
      <x:c r="A443" s="16"/>
      <x:c r="B443" s="16"/>
      <x:c r="C443" s="16"/>
      <x:c r="D443" s="16"/>
      <x:c r="E443" s="16"/>
      <x:c r="F443" s="16"/>
      <x:c r="G443" s="16"/>
      <x:c r="H443" s="109"/>
      <x:c r="I443" s="109"/>
      <x:c r="J443" s="16"/>
      <x:c r="K443" s="16"/>
      <x:c r="L443" s="16"/>
      <x:c r="M443" s="16"/>
      <x:c r="N443" s="16"/>
      <x:c r="O443" s="109"/>
      <x:c r="P443" s="109"/>
      <x:c r="Q443" s="16"/>
      <x:c r="R443" s="16"/>
      <x:c r="S443" s="109"/>
      <x:c r="T443" s="16"/>
      <x:c r="U443" s="16"/>
      <x:c r="V443" s="16"/>
      <x:c r="W443" s="18" t="str">
        <x:f>IF(A443="","",IF(H443="","",IF(I443&lt;&gt;"",I443-H443+1,IF(S443&lt;&gt;"",S443-H443+1,""))))</x:f>
      </x:c>
      <x:c r="X443" s="16"/>
      <x:c r="Y443" s="16"/>
      <x:c r="Z443" s="16"/>
      <x:c r="AA443" s="16"/>
      <x:c r="AB443" s="109"/>
      <x:c r="AC443" s="109"/>
      <x:c r="AD443" s="16"/>
      <x:c r="AE443" s="16"/>
      <x:c r="AF443" s="16"/>
    </x:row>
    <x:row r="444">
      <x:c r="A444" s="16"/>
      <x:c r="B444" s="16"/>
      <x:c r="C444" s="16"/>
      <x:c r="D444" s="16"/>
      <x:c r="E444" s="16"/>
      <x:c r="F444" s="16"/>
      <x:c r="G444" s="16"/>
      <x:c r="H444" s="109"/>
      <x:c r="I444" s="109"/>
      <x:c r="J444" s="16"/>
      <x:c r="K444" s="16"/>
      <x:c r="L444" s="16"/>
      <x:c r="M444" s="16"/>
      <x:c r="N444" s="16"/>
      <x:c r="O444" s="109"/>
      <x:c r="P444" s="109"/>
      <x:c r="Q444" s="16"/>
      <x:c r="R444" s="16"/>
      <x:c r="S444" s="109"/>
      <x:c r="T444" s="16"/>
      <x:c r="U444" s="16"/>
      <x:c r="V444" s="16"/>
      <x:c r="W444" s="18" t="str">
        <x:f>IF(A444="","",IF(H444="","",IF(I444&lt;&gt;"",I444-H444+1,IF(S444&lt;&gt;"",S444-H444+1,""))))</x:f>
      </x:c>
      <x:c r="X444" s="16"/>
      <x:c r="Y444" s="16"/>
      <x:c r="Z444" s="16"/>
      <x:c r="AA444" s="16"/>
      <x:c r="AB444" s="109"/>
      <x:c r="AC444" s="109"/>
      <x:c r="AD444" s="16"/>
      <x:c r="AE444" s="16"/>
      <x:c r="AF444" s="16"/>
    </x:row>
    <x:row r="445">
      <x:c r="A445" s="16"/>
      <x:c r="B445" s="16"/>
      <x:c r="C445" s="16"/>
      <x:c r="D445" s="16"/>
      <x:c r="E445" s="16"/>
      <x:c r="F445" s="16"/>
      <x:c r="G445" s="16"/>
      <x:c r="H445" s="109"/>
      <x:c r="I445" s="109"/>
      <x:c r="J445" s="16"/>
      <x:c r="K445" s="16"/>
      <x:c r="L445" s="16"/>
      <x:c r="M445" s="16"/>
      <x:c r="N445" s="16"/>
      <x:c r="O445" s="109"/>
      <x:c r="P445" s="109"/>
      <x:c r="Q445" s="16"/>
      <x:c r="R445" s="16"/>
      <x:c r="S445" s="109"/>
      <x:c r="T445" s="16"/>
      <x:c r="U445" s="16"/>
      <x:c r="V445" s="16"/>
      <x:c r="W445" s="18" t="str">
        <x:f>IF(A445="","",IF(H445="","",IF(I445&lt;&gt;"",I445-H445+1,IF(S445&lt;&gt;"",S445-H445+1,""))))</x:f>
      </x:c>
      <x:c r="X445" s="16"/>
      <x:c r="Y445" s="16"/>
      <x:c r="Z445" s="16"/>
      <x:c r="AA445" s="16"/>
      <x:c r="AB445" s="109"/>
      <x:c r="AC445" s="109"/>
      <x:c r="AD445" s="16"/>
      <x:c r="AE445" s="16"/>
      <x:c r="AF445" s="16"/>
    </x:row>
    <x:row r="446">
      <x:c r="A446" s="16"/>
      <x:c r="B446" s="16"/>
      <x:c r="C446" s="16"/>
      <x:c r="D446" s="16"/>
      <x:c r="E446" s="16"/>
      <x:c r="F446" s="16"/>
      <x:c r="G446" s="16"/>
      <x:c r="H446" s="109"/>
      <x:c r="I446" s="109"/>
      <x:c r="J446" s="16"/>
      <x:c r="K446" s="16"/>
      <x:c r="L446" s="16"/>
      <x:c r="M446" s="16"/>
      <x:c r="N446" s="16"/>
      <x:c r="O446" s="109"/>
      <x:c r="P446" s="109"/>
      <x:c r="Q446" s="16"/>
      <x:c r="R446" s="16"/>
      <x:c r="S446" s="109"/>
      <x:c r="T446" s="16"/>
      <x:c r="U446" s="16"/>
      <x:c r="V446" s="16"/>
      <x:c r="W446" s="18" t="str">
        <x:f>IF(A446="","",IF(H446="","",IF(I446&lt;&gt;"",I446-H446+1,IF(S446&lt;&gt;"",S446-H446+1,""))))</x:f>
      </x:c>
      <x:c r="X446" s="16"/>
      <x:c r="Y446" s="16"/>
      <x:c r="Z446" s="16"/>
      <x:c r="AA446" s="16"/>
      <x:c r="AB446" s="109"/>
      <x:c r="AC446" s="109"/>
      <x:c r="AD446" s="16"/>
      <x:c r="AE446" s="16"/>
      <x:c r="AF446" s="16"/>
    </x:row>
    <x:row r="447">
      <x:c r="A447" s="16"/>
      <x:c r="B447" s="16"/>
      <x:c r="C447" s="16"/>
      <x:c r="D447" s="16"/>
      <x:c r="E447" s="16"/>
      <x:c r="F447" s="16"/>
      <x:c r="G447" s="16"/>
      <x:c r="H447" s="109"/>
      <x:c r="I447" s="109"/>
      <x:c r="J447" s="16"/>
      <x:c r="K447" s="16"/>
      <x:c r="L447" s="16"/>
      <x:c r="M447" s="16"/>
      <x:c r="N447" s="16"/>
      <x:c r="O447" s="109"/>
      <x:c r="P447" s="109"/>
      <x:c r="Q447" s="16"/>
      <x:c r="R447" s="16"/>
      <x:c r="S447" s="109"/>
      <x:c r="T447" s="16"/>
      <x:c r="U447" s="16"/>
      <x:c r="V447" s="16"/>
      <x:c r="W447" s="18" t="str">
        <x:f>IF(A447="","",IF(H447="","",IF(I447&lt;&gt;"",I447-H447+1,IF(S447&lt;&gt;"",S447-H447+1,""))))</x:f>
      </x:c>
      <x:c r="X447" s="16"/>
      <x:c r="Y447" s="16"/>
      <x:c r="Z447" s="16"/>
      <x:c r="AA447" s="16"/>
      <x:c r="AB447" s="109"/>
      <x:c r="AC447" s="109"/>
      <x:c r="AD447" s="16"/>
      <x:c r="AE447" s="16"/>
      <x:c r="AF447" s="16"/>
    </x:row>
    <x:row r="448">
      <x:c r="A448" s="16"/>
      <x:c r="B448" s="16"/>
      <x:c r="C448" s="16"/>
      <x:c r="D448" s="16"/>
      <x:c r="E448" s="16"/>
      <x:c r="F448" s="16"/>
      <x:c r="G448" s="16"/>
      <x:c r="H448" s="109"/>
      <x:c r="I448" s="109"/>
      <x:c r="J448" s="16"/>
      <x:c r="K448" s="16"/>
      <x:c r="L448" s="16"/>
      <x:c r="M448" s="16"/>
      <x:c r="N448" s="16"/>
      <x:c r="O448" s="109"/>
      <x:c r="P448" s="109"/>
      <x:c r="Q448" s="16"/>
      <x:c r="R448" s="16"/>
      <x:c r="S448" s="109"/>
      <x:c r="T448" s="16"/>
      <x:c r="U448" s="16"/>
      <x:c r="V448" s="16"/>
      <x:c r="W448" s="18" t="str">
        <x:f>IF(A448="","",IF(H448="","",IF(I448&lt;&gt;"",I448-H448+1,IF(S448&lt;&gt;"",S448-H448+1,""))))</x:f>
      </x:c>
      <x:c r="X448" s="16"/>
      <x:c r="Y448" s="16"/>
      <x:c r="Z448" s="16"/>
      <x:c r="AA448" s="16"/>
      <x:c r="AB448" s="109"/>
      <x:c r="AC448" s="109"/>
      <x:c r="AD448" s="16"/>
      <x:c r="AE448" s="16"/>
      <x:c r="AF448" s="16"/>
    </x:row>
    <x:row r="449">
      <x:c r="A449" s="16"/>
      <x:c r="B449" s="16"/>
      <x:c r="C449" s="16"/>
      <x:c r="D449" s="16"/>
      <x:c r="E449" s="16"/>
      <x:c r="F449" s="16"/>
      <x:c r="G449" s="16"/>
      <x:c r="H449" s="109"/>
      <x:c r="I449" s="109"/>
      <x:c r="J449" s="16"/>
      <x:c r="K449" s="16"/>
      <x:c r="L449" s="16"/>
      <x:c r="M449" s="16"/>
      <x:c r="N449" s="16"/>
      <x:c r="O449" s="109"/>
      <x:c r="P449" s="109"/>
      <x:c r="Q449" s="16"/>
      <x:c r="R449" s="16"/>
      <x:c r="S449" s="109"/>
      <x:c r="T449" s="16"/>
      <x:c r="U449" s="16"/>
      <x:c r="V449" s="16"/>
      <x:c r="W449" s="18" t="str">
        <x:f>IF(A449="","",IF(H449="","",IF(I449&lt;&gt;"",I449-H449+1,IF(S449&lt;&gt;"",S449-H449+1,""))))</x:f>
      </x:c>
      <x:c r="X449" s="16"/>
      <x:c r="Y449" s="16"/>
      <x:c r="Z449" s="16"/>
      <x:c r="AA449" s="16"/>
      <x:c r="AB449" s="109"/>
      <x:c r="AC449" s="109"/>
      <x:c r="AD449" s="16"/>
      <x:c r="AE449" s="16"/>
      <x:c r="AF449" s="16"/>
    </x:row>
    <x:row r="450">
      <x:c r="A450" s="16"/>
      <x:c r="B450" s="16"/>
      <x:c r="C450" s="16"/>
      <x:c r="D450" s="16"/>
      <x:c r="E450" s="16"/>
      <x:c r="F450" s="16"/>
      <x:c r="G450" s="16"/>
      <x:c r="H450" s="109"/>
      <x:c r="I450" s="109"/>
      <x:c r="J450" s="16"/>
      <x:c r="K450" s="16"/>
      <x:c r="L450" s="16"/>
      <x:c r="M450" s="16"/>
      <x:c r="N450" s="16"/>
      <x:c r="O450" s="109"/>
      <x:c r="P450" s="109"/>
      <x:c r="Q450" s="16"/>
      <x:c r="R450" s="16"/>
      <x:c r="S450" s="109"/>
      <x:c r="T450" s="16"/>
      <x:c r="U450" s="16"/>
      <x:c r="V450" s="16"/>
      <x:c r="W450" s="18" t="str">
        <x:f>IF(A450="","",IF(H450="","",IF(I450&lt;&gt;"",I450-H450+1,IF(S450&lt;&gt;"",S450-H450+1,""))))</x:f>
      </x:c>
      <x:c r="X450" s="16"/>
      <x:c r="Y450" s="16"/>
      <x:c r="Z450" s="16"/>
      <x:c r="AA450" s="16"/>
      <x:c r="AB450" s="109"/>
      <x:c r="AC450" s="109"/>
      <x:c r="AD450" s="16"/>
      <x:c r="AE450" s="16"/>
      <x:c r="AF450" s="16"/>
    </x:row>
    <x:row r="451">
      <x:c r="A451" s="16"/>
      <x:c r="B451" s="16"/>
      <x:c r="C451" s="16"/>
      <x:c r="D451" s="16"/>
      <x:c r="E451" s="16"/>
      <x:c r="F451" s="16"/>
      <x:c r="G451" s="16"/>
      <x:c r="H451" s="109"/>
      <x:c r="I451" s="109"/>
      <x:c r="J451" s="16"/>
      <x:c r="K451" s="16"/>
      <x:c r="L451" s="16"/>
      <x:c r="M451" s="16"/>
      <x:c r="N451" s="16"/>
      <x:c r="O451" s="109"/>
      <x:c r="P451" s="109"/>
      <x:c r="Q451" s="16"/>
      <x:c r="R451" s="16"/>
      <x:c r="S451" s="109"/>
      <x:c r="T451" s="16"/>
      <x:c r="U451" s="16"/>
      <x:c r="V451" s="16"/>
      <x:c r="W451" s="18" t="str">
        <x:f>IF(A451="","",IF(H451="","",IF(I451&lt;&gt;"",I451-H451+1,IF(S451&lt;&gt;"",S451-H451+1,""))))</x:f>
      </x:c>
      <x:c r="X451" s="16"/>
      <x:c r="Y451" s="16"/>
      <x:c r="Z451" s="16"/>
      <x:c r="AA451" s="16"/>
      <x:c r="AB451" s="109"/>
      <x:c r="AC451" s="109"/>
      <x:c r="AD451" s="16"/>
      <x:c r="AE451" s="16"/>
      <x:c r="AF451" s="16"/>
    </x:row>
    <x:row r="452">
      <x:c r="A452" s="16"/>
      <x:c r="B452" s="16"/>
      <x:c r="C452" s="16"/>
      <x:c r="D452" s="16"/>
      <x:c r="E452" s="16"/>
      <x:c r="F452" s="16"/>
      <x:c r="G452" s="16"/>
      <x:c r="H452" s="109"/>
      <x:c r="I452" s="109"/>
      <x:c r="J452" s="16"/>
      <x:c r="K452" s="16"/>
      <x:c r="L452" s="16"/>
      <x:c r="M452" s="16"/>
      <x:c r="N452" s="16"/>
      <x:c r="O452" s="109"/>
      <x:c r="P452" s="109"/>
      <x:c r="Q452" s="16"/>
      <x:c r="R452" s="16"/>
      <x:c r="S452" s="109"/>
      <x:c r="T452" s="16"/>
      <x:c r="U452" s="16"/>
      <x:c r="V452" s="16"/>
      <x:c r="W452" s="18" t="str">
        <x:f>IF(A452="","",IF(H452="","",IF(I452&lt;&gt;"",I452-H452+1,IF(S452&lt;&gt;"",S452-H452+1,""))))</x:f>
      </x:c>
      <x:c r="X452" s="16"/>
      <x:c r="Y452" s="16"/>
      <x:c r="Z452" s="16"/>
      <x:c r="AA452" s="16"/>
      <x:c r="AB452" s="109"/>
      <x:c r="AC452" s="109"/>
      <x:c r="AD452" s="16"/>
      <x:c r="AE452" s="16"/>
      <x:c r="AF452" s="16"/>
    </x:row>
    <x:row r="453">
      <x:c r="A453" s="16"/>
      <x:c r="B453" s="16"/>
      <x:c r="C453" s="16"/>
      <x:c r="D453" s="16"/>
      <x:c r="E453" s="16"/>
      <x:c r="F453" s="16"/>
      <x:c r="G453" s="16"/>
      <x:c r="H453" s="109"/>
      <x:c r="I453" s="109"/>
      <x:c r="J453" s="16"/>
      <x:c r="K453" s="16"/>
      <x:c r="L453" s="16"/>
      <x:c r="M453" s="16"/>
      <x:c r="N453" s="16"/>
      <x:c r="O453" s="109"/>
      <x:c r="P453" s="109"/>
      <x:c r="Q453" s="16"/>
      <x:c r="R453" s="16"/>
      <x:c r="S453" s="109"/>
      <x:c r="T453" s="16"/>
      <x:c r="U453" s="16"/>
      <x:c r="V453" s="16"/>
      <x:c r="W453" s="18" t="str">
        <x:f>IF(A453="","",IF(H453="","",IF(I453&lt;&gt;"",I453-H453+1,IF(S453&lt;&gt;"",S453-H453+1,""))))</x:f>
      </x:c>
      <x:c r="X453" s="16"/>
      <x:c r="Y453" s="16"/>
      <x:c r="Z453" s="16"/>
      <x:c r="AA453" s="16"/>
      <x:c r="AB453" s="109"/>
      <x:c r="AC453" s="109"/>
      <x:c r="AD453" s="16"/>
      <x:c r="AE453" s="16"/>
      <x:c r="AF453" s="16"/>
    </x:row>
    <x:row r="454">
      <x:c r="A454" s="16"/>
      <x:c r="B454" s="16"/>
      <x:c r="C454" s="16"/>
      <x:c r="D454" s="16"/>
      <x:c r="E454" s="16"/>
      <x:c r="F454" s="16"/>
      <x:c r="G454" s="16"/>
      <x:c r="H454" s="109"/>
      <x:c r="I454" s="109"/>
      <x:c r="J454" s="16"/>
      <x:c r="K454" s="16"/>
      <x:c r="L454" s="16"/>
      <x:c r="M454" s="16"/>
      <x:c r="N454" s="16"/>
      <x:c r="O454" s="109"/>
      <x:c r="P454" s="109"/>
      <x:c r="Q454" s="16"/>
      <x:c r="R454" s="16"/>
      <x:c r="S454" s="109"/>
      <x:c r="T454" s="16"/>
      <x:c r="U454" s="16"/>
      <x:c r="V454" s="16"/>
      <x:c r="W454" s="18" t="str">
        <x:f>IF(A454="","",IF(H454="","",IF(I454&lt;&gt;"",I454-H454+1,IF(S454&lt;&gt;"",S454-H454+1,""))))</x:f>
      </x:c>
      <x:c r="X454" s="16"/>
      <x:c r="Y454" s="16"/>
      <x:c r="Z454" s="16"/>
      <x:c r="AA454" s="16"/>
      <x:c r="AB454" s="109"/>
      <x:c r="AC454" s="109"/>
      <x:c r="AD454" s="16"/>
      <x:c r="AE454" s="16"/>
      <x:c r="AF454" s="16"/>
    </x:row>
    <x:row r="455">
      <x:c r="A455" s="16"/>
      <x:c r="B455" s="16"/>
      <x:c r="C455" s="16"/>
      <x:c r="D455" s="16"/>
      <x:c r="E455" s="16"/>
      <x:c r="F455" s="16"/>
      <x:c r="G455" s="16"/>
      <x:c r="H455" s="109"/>
      <x:c r="I455" s="109"/>
      <x:c r="J455" s="16"/>
      <x:c r="K455" s="16"/>
      <x:c r="L455" s="16"/>
      <x:c r="M455" s="16"/>
      <x:c r="N455" s="16"/>
      <x:c r="O455" s="109"/>
      <x:c r="P455" s="109"/>
      <x:c r="Q455" s="16"/>
      <x:c r="R455" s="16"/>
      <x:c r="S455" s="109"/>
      <x:c r="T455" s="16"/>
      <x:c r="U455" s="16"/>
      <x:c r="V455" s="16"/>
      <x:c r="W455" s="18" t="str">
        <x:f>IF(A455="","",IF(H455="","",IF(I455&lt;&gt;"",I455-H455+1,IF(S455&lt;&gt;"",S455-H455+1,""))))</x:f>
      </x:c>
      <x:c r="X455" s="16"/>
      <x:c r="Y455" s="16"/>
      <x:c r="Z455" s="16"/>
      <x:c r="AA455" s="16"/>
      <x:c r="AB455" s="109"/>
      <x:c r="AC455" s="109"/>
      <x:c r="AD455" s="16"/>
      <x:c r="AE455" s="16"/>
      <x:c r="AF455" s="16"/>
    </x:row>
    <x:row r="456">
      <x:c r="A456" s="16"/>
      <x:c r="B456" s="16"/>
      <x:c r="C456" s="16"/>
      <x:c r="D456" s="16"/>
      <x:c r="E456" s="16"/>
      <x:c r="F456" s="16"/>
      <x:c r="G456" s="16"/>
      <x:c r="H456" s="109"/>
      <x:c r="I456" s="109"/>
      <x:c r="J456" s="16"/>
      <x:c r="K456" s="16"/>
      <x:c r="L456" s="16"/>
      <x:c r="M456" s="16"/>
      <x:c r="N456" s="16"/>
      <x:c r="O456" s="109"/>
      <x:c r="P456" s="109"/>
      <x:c r="Q456" s="16"/>
      <x:c r="R456" s="16"/>
      <x:c r="S456" s="109"/>
      <x:c r="T456" s="16"/>
      <x:c r="U456" s="16"/>
      <x:c r="V456" s="16"/>
      <x:c r="W456" s="18" t="str">
        <x:f>IF(A456="","",IF(H456="","",IF(I456&lt;&gt;"",I456-H456+1,IF(S456&lt;&gt;"",S456-H456+1,""))))</x:f>
      </x:c>
      <x:c r="X456" s="16"/>
      <x:c r="Y456" s="16"/>
      <x:c r="Z456" s="16"/>
      <x:c r="AA456" s="16"/>
      <x:c r="AB456" s="109"/>
      <x:c r="AC456" s="109"/>
      <x:c r="AD456" s="16"/>
      <x:c r="AE456" s="16"/>
      <x:c r="AF456" s="16"/>
    </x:row>
    <x:row r="457">
      <x:c r="A457" s="16"/>
      <x:c r="B457" s="16"/>
      <x:c r="C457" s="16"/>
      <x:c r="D457" s="16"/>
      <x:c r="E457" s="16"/>
      <x:c r="F457" s="16"/>
      <x:c r="G457" s="16"/>
      <x:c r="H457" s="109"/>
      <x:c r="I457" s="109"/>
      <x:c r="J457" s="16"/>
      <x:c r="K457" s="16"/>
      <x:c r="L457" s="16"/>
      <x:c r="M457" s="16"/>
      <x:c r="N457" s="16"/>
      <x:c r="O457" s="109"/>
      <x:c r="P457" s="109"/>
      <x:c r="Q457" s="16"/>
      <x:c r="R457" s="16"/>
      <x:c r="S457" s="109"/>
      <x:c r="T457" s="16"/>
      <x:c r="U457" s="16"/>
      <x:c r="V457" s="16"/>
      <x:c r="W457" s="18" t="str">
        <x:f>IF(A457="","",IF(H457="","",IF(I457&lt;&gt;"",I457-H457+1,IF(S457&lt;&gt;"",S457-H457+1,""))))</x:f>
      </x:c>
      <x:c r="X457" s="16"/>
      <x:c r="Y457" s="16"/>
      <x:c r="Z457" s="16"/>
      <x:c r="AA457" s="16"/>
      <x:c r="AB457" s="109"/>
      <x:c r="AC457" s="109"/>
      <x:c r="AD457" s="16"/>
      <x:c r="AE457" s="16"/>
      <x:c r="AF457" s="16"/>
    </x:row>
    <x:row r="458">
      <x:c r="A458" s="16"/>
      <x:c r="B458" s="16"/>
      <x:c r="C458" s="16"/>
      <x:c r="D458" s="16"/>
      <x:c r="E458" s="16"/>
      <x:c r="F458" s="16"/>
      <x:c r="G458" s="16"/>
      <x:c r="H458" s="109"/>
      <x:c r="I458" s="109"/>
      <x:c r="J458" s="16"/>
      <x:c r="K458" s="16"/>
      <x:c r="L458" s="16"/>
      <x:c r="M458" s="16"/>
      <x:c r="N458" s="16"/>
      <x:c r="O458" s="109"/>
      <x:c r="P458" s="109"/>
      <x:c r="Q458" s="16"/>
      <x:c r="R458" s="16"/>
      <x:c r="S458" s="109"/>
      <x:c r="T458" s="16"/>
      <x:c r="U458" s="16"/>
      <x:c r="V458" s="16"/>
      <x:c r="W458" s="18" t="str">
        <x:f>IF(A458="","",IF(H458="","",IF(I458&lt;&gt;"",I458-H458+1,IF(S458&lt;&gt;"",S458-H458+1,""))))</x:f>
      </x:c>
      <x:c r="X458" s="16"/>
      <x:c r="Y458" s="16"/>
      <x:c r="Z458" s="16"/>
      <x:c r="AA458" s="16"/>
      <x:c r="AB458" s="109"/>
      <x:c r="AC458" s="109"/>
      <x:c r="AD458" s="16"/>
      <x:c r="AE458" s="16"/>
      <x:c r="AF458" s="16"/>
    </x:row>
    <x:row r="459">
      <x:c r="A459" s="16"/>
      <x:c r="B459" s="16"/>
      <x:c r="C459" s="16"/>
      <x:c r="D459" s="16"/>
      <x:c r="E459" s="16"/>
      <x:c r="F459" s="16"/>
      <x:c r="G459" s="16"/>
      <x:c r="H459" s="109"/>
      <x:c r="I459" s="109"/>
      <x:c r="J459" s="16"/>
      <x:c r="K459" s="16"/>
      <x:c r="L459" s="16"/>
      <x:c r="M459" s="16"/>
      <x:c r="N459" s="16"/>
      <x:c r="O459" s="109"/>
      <x:c r="P459" s="109"/>
      <x:c r="Q459" s="16"/>
      <x:c r="R459" s="16"/>
      <x:c r="S459" s="109"/>
      <x:c r="T459" s="16"/>
      <x:c r="U459" s="16"/>
      <x:c r="V459" s="16"/>
      <x:c r="W459" s="18" t="str">
        <x:f>IF(A459="","",IF(H459="","",IF(I459&lt;&gt;"",I459-H459+1,IF(S459&lt;&gt;"",S459-H459+1,""))))</x:f>
      </x:c>
      <x:c r="X459" s="16"/>
      <x:c r="Y459" s="16"/>
      <x:c r="Z459" s="16"/>
      <x:c r="AA459" s="16"/>
      <x:c r="AB459" s="109"/>
      <x:c r="AC459" s="109"/>
      <x:c r="AD459" s="16"/>
      <x:c r="AE459" s="16"/>
      <x:c r="AF459" s="16"/>
    </x:row>
    <x:row r="460">
      <x:c r="A460" s="16"/>
      <x:c r="B460" s="16"/>
      <x:c r="C460" s="16"/>
      <x:c r="D460" s="16"/>
      <x:c r="E460" s="16"/>
      <x:c r="F460" s="16"/>
      <x:c r="G460" s="16"/>
      <x:c r="H460" s="109"/>
      <x:c r="I460" s="109"/>
      <x:c r="J460" s="16"/>
      <x:c r="K460" s="16"/>
      <x:c r="L460" s="16"/>
      <x:c r="M460" s="16"/>
      <x:c r="N460" s="16"/>
      <x:c r="O460" s="109"/>
      <x:c r="P460" s="109"/>
      <x:c r="Q460" s="16"/>
      <x:c r="R460" s="16"/>
      <x:c r="S460" s="109"/>
      <x:c r="T460" s="16"/>
      <x:c r="U460" s="16"/>
      <x:c r="V460" s="16"/>
      <x:c r="W460" s="18" t="str">
        <x:f>IF(A460="","",IF(H460="","",IF(I460&lt;&gt;"",I460-H460+1,IF(S460&lt;&gt;"",S460-H460+1,""))))</x:f>
      </x:c>
      <x:c r="X460" s="16"/>
      <x:c r="Y460" s="16"/>
      <x:c r="Z460" s="16"/>
      <x:c r="AA460" s="16"/>
      <x:c r="AB460" s="109"/>
      <x:c r="AC460" s="109"/>
      <x:c r="AD460" s="16"/>
      <x:c r="AE460" s="16"/>
      <x:c r="AF460" s="16"/>
    </x:row>
    <x:row r="461">
      <x:c r="A461" s="16"/>
      <x:c r="B461" s="16"/>
      <x:c r="C461" s="16"/>
      <x:c r="D461" s="16"/>
      <x:c r="E461" s="16"/>
      <x:c r="F461" s="16"/>
      <x:c r="G461" s="16"/>
      <x:c r="H461" s="109"/>
      <x:c r="I461" s="109"/>
      <x:c r="J461" s="16"/>
      <x:c r="K461" s="16"/>
      <x:c r="L461" s="16"/>
      <x:c r="M461" s="16"/>
      <x:c r="N461" s="16"/>
      <x:c r="O461" s="109"/>
      <x:c r="P461" s="109"/>
      <x:c r="Q461" s="16"/>
      <x:c r="R461" s="16"/>
      <x:c r="S461" s="109"/>
      <x:c r="T461" s="16"/>
      <x:c r="U461" s="16"/>
      <x:c r="V461" s="16"/>
      <x:c r="W461" s="18" t="str">
        <x:f>IF(A461="","",IF(H461="","",IF(I461&lt;&gt;"",I461-H461+1,IF(S461&lt;&gt;"",S461-H461+1,""))))</x:f>
      </x:c>
      <x:c r="X461" s="16"/>
      <x:c r="Y461" s="16"/>
      <x:c r="Z461" s="16"/>
      <x:c r="AA461" s="16"/>
      <x:c r="AB461" s="109"/>
      <x:c r="AC461" s="109"/>
      <x:c r="AD461" s="16"/>
      <x:c r="AE461" s="16"/>
      <x:c r="AF461" s="16"/>
    </x:row>
    <x:row r="462">
      <x:c r="A462" s="16"/>
      <x:c r="B462" s="16"/>
      <x:c r="C462" s="16"/>
      <x:c r="D462" s="16"/>
      <x:c r="E462" s="16"/>
      <x:c r="F462" s="16"/>
      <x:c r="G462" s="16"/>
      <x:c r="H462" s="109"/>
      <x:c r="I462" s="109"/>
      <x:c r="J462" s="16"/>
      <x:c r="K462" s="16"/>
      <x:c r="L462" s="16"/>
      <x:c r="M462" s="16"/>
      <x:c r="N462" s="16"/>
      <x:c r="O462" s="109"/>
      <x:c r="P462" s="109"/>
      <x:c r="Q462" s="16"/>
      <x:c r="R462" s="16"/>
      <x:c r="S462" s="109"/>
      <x:c r="T462" s="16"/>
      <x:c r="U462" s="16"/>
      <x:c r="V462" s="16"/>
      <x:c r="W462" s="18" t="str">
        <x:f>IF(A462="","",IF(H462="","",IF(I462&lt;&gt;"",I462-H462+1,IF(S462&lt;&gt;"",S462-H462+1,""))))</x:f>
      </x:c>
      <x:c r="X462" s="16"/>
      <x:c r="Y462" s="16"/>
      <x:c r="Z462" s="16"/>
      <x:c r="AA462" s="16"/>
      <x:c r="AB462" s="109"/>
      <x:c r="AC462" s="109"/>
      <x:c r="AD462" s="16"/>
      <x:c r="AE462" s="16"/>
      <x:c r="AF462" s="16"/>
    </x:row>
    <x:row r="463">
      <x:c r="A463" s="16"/>
      <x:c r="B463" s="16"/>
      <x:c r="C463" s="16"/>
      <x:c r="D463" s="16"/>
      <x:c r="E463" s="16"/>
      <x:c r="F463" s="16"/>
      <x:c r="G463" s="16"/>
      <x:c r="H463" s="109"/>
      <x:c r="I463" s="109"/>
      <x:c r="J463" s="16"/>
      <x:c r="K463" s="16"/>
      <x:c r="L463" s="16"/>
      <x:c r="M463" s="16"/>
      <x:c r="N463" s="16"/>
      <x:c r="O463" s="109"/>
      <x:c r="P463" s="109"/>
      <x:c r="Q463" s="16"/>
      <x:c r="R463" s="16"/>
      <x:c r="S463" s="109"/>
      <x:c r="T463" s="16"/>
      <x:c r="U463" s="16"/>
      <x:c r="V463" s="16"/>
      <x:c r="W463" s="18" t="str">
        <x:f>IF(A463="","",IF(H463="","",IF(I463&lt;&gt;"",I463-H463+1,IF(S463&lt;&gt;"",S463-H463+1,""))))</x:f>
      </x:c>
      <x:c r="X463" s="16"/>
      <x:c r="Y463" s="16"/>
      <x:c r="Z463" s="16"/>
      <x:c r="AA463" s="16"/>
      <x:c r="AB463" s="109"/>
      <x:c r="AC463" s="109"/>
      <x:c r="AD463" s="16"/>
      <x:c r="AE463" s="16"/>
      <x:c r="AF463" s="16"/>
    </x:row>
    <x:row r="464">
      <x:c r="A464" s="16"/>
      <x:c r="B464" s="16"/>
      <x:c r="C464" s="16"/>
      <x:c r="D464" s="16"/>
      <x:c r="E464" s="16"/>
      <x:c r="F464" s="16"/>
      <x:c r="G464" s="16"/>
      <x:c r="H464" s="109"/>
      <x:c r="I464" s="109"/>
      <x:c r="J464" s="16"/>
      <x:c r="K464" s="16"/>
      <x:c r="L464" s="16"/>
      <x:c r="M464" s="16"/>
      <x:c r="N464" s="16"/>
      <x:c r="O464" s="109"/>
      <x:c r="P464" s="109"/>
      <x:c r="Q464" s="16"/>
      <x:c r="R464" s="16"/>
      <x:c r="S464" s="109"/>
      <x:c r="T464" s="16"/>
      <x:c r="U464" s="16"/>
      <x:c r="V464" s="16"/>
      <x:c r="W464" s="18" t="str">
        <x:f>IF(A464="","",IF(H464="","",IF(I464&lt;&gt;"",I464-H464+1,IF(S464&lt;&gt;"",S464-H464+1,""))))</x:f>
      </x:c>
      <x:c r="X464" s="16"/>
      <x:c r="Y464" s="16"/>
      <x:c r="Z464" s="16"/>
      <x:c r="AA464" s="16"/>
      <x:c r="AB464" s="109"/>
      <x:c r="AC464" s="109"/>
      <x:c r="AD464" s="16"/>
      <x:c r="AE464" s="16"/>
      <x:c r="AF464" s="16"/>
    </x:row>
    <x:row r="465">
      <x:c r="A465" s="16"/>
      <x:c r="B465" s="16"/>
      <x:c r="C465" s="16"/>
      <x:c r="D465" s="16"/>
      <x:c r="E465" s="16"/>
      <x:c r="F465" s="16"/>
      <x:c r="G465" s="16"/>
      <x:c r="H465" s="109"/>
      <x:c r="I465" s="109"/>
      <x:c r="J465" s="16"/>
      <x:c r="K465" s="16"/>
      <x:c r="L465" s="16"/>
      <x:c r="M465" s="16"/>
      <x:c r="N465" s="16"/>
      <x:c r="O465" s="109"/>
      <x:c r="P465" s="109"/>
      <x:c r="Q465" s="16"/>
      <x:c r="R465" s="16"/>
      <x:c r="S465" s="109"/>
      <x:c r="T465" s="16"/>
      <x:c r="U465" s="16"/>
      <x:c r="V465" s="16"/>
      <x:c r="W465" s="18" t="str">
        <x:f>IF(A465="","",IF(H465="","",IF(I465&lt;&gt;"",I465-H465+1,IF(S465&lt;&gt;"",S465-H465+1,""))))</x:f>
      </x:c>
      <x:c r="X465" s="16"/>
      <x:c r="Y465" s="16"/>
      <x:c r="Z465" s="16"/>
      <x:c r="AA465" s="16"/>
      <x:c r="AB465" s="109"/>
      <x:c r="AC465" s="109"/>
      <x:c r="AD465" s="16"/>
      <x:c r="AE465" s="16"/>
      <x:c r="AF465" s="16"/>
    </x:row>
    <x:row r="466">
      <x:c r="A466" s="16"/>
      <x:c r="B466" s="16"/>
      <x:c r="C466" s="16"/>
      <x:c r="D466" s="16"/>
      <x:c r="E466" s="16"/>
      <x:c r="F466" s="16"/>
      <x:c r="G466" s="16"/>
      <x:c r="H466" s="109"/>
      <x:c r="I466" s="109"/>
      <x:c r="J466" s="16"/>
      <x:c r="K466" s="16"/>
      <x:c r="L466" s="16"/>
      <x:c r="M466" s="16"/>
      <x:c r="N466" s="16"/>
      <x:c r="O466" s="109"/>
      <x:c r="P466" s="109"/>
      <x:c r="Q466" s="16"/>
      <x:c r="R466" s="16"/>
      <x:c r="S466" s="109"/>
      <x:c r="T466" s="16"/>
      <x:c r="U466" s="16"/>
      <x:c r="V466" s="16"/>
      <x:c r="W466" s="18" t="str">
        <x:f>IF(A466="","",IF(H466="","",IF(I466&lt;&gt;"",I466-H466+1,IF(S466&lt;&gt;"",S466-H466+1,""))))</x:f>
      </x:c>
      <x:c r="X466" s="16"/>
      <x:c r="Y466" s="16"/>
      <x:c r="Z466" s="16"/>
      <x:c r="AA466" s="16"/>
      <x:c r="AB466" s="109"/>
      <x:c r="AC466" s="109"/>
      <x:c r="AD466" s="16"/>
      <x:c r="AE466" s="16"/>
      <x:c r="AF466" s="16"/>
    </x:row>
    <x:row r="467">
      <x:c r="A467" s="16"/>
      <x:c r="B467" s="16"/>
      <x:c r="C467" s="16"/>
      <x:c r="D467" s="16"/>
      <x:c r="E467" s="16"/>
      <x:c r="F467" s="16"/>
      <x:c r="G467" s="16"/>
      <x:c r="H467" s="109"/>
      <x:c r="I467" s="109"/>
      <x:c r="J467" s="16"/>
      <x:c r="K467" s="16"/>
      <x:c r="L467" s="16"/>
      <x:c r="M467" s="16"/>
      <x:c r="N467" s="16"/>
      <x:c r="O467" s="109"/>
      <x:c r="P467" s="109"/>
      <x:c r="Q467" s="16"/>
      <x:c r="R467" s="16"/>
      <x:c r="S467" s="109"/>
      <x:c r="T467" s="16"/>
      <x:c r="U467" s="16"/>
      <x:c r="V467" s="16"/>
      <x:c r="W467" s="18" t="str">
        <x:f>IF(A467="","",IF(H467="","",IF(I467&lt;&gt;"",I467-H467+1,IF(S467&lt;&gt;"",S467-H467+1,""))))</x:f>
      </x:c>
      <x:c r="X467" s="16"/>
      <x:c r="Y467" s="16"/>
      <x:c r="Z467" s="16"/>
      <x:c r="AA467" s="16"/>
      <x:c r="AB467" s="109"/>
      <x:c r="AC467" s="109"/>
      <x:c r="AD467" s="16"/>
      <x:c r="AE467" s="16"/>
      <x:c r="AF467" s="16"/>
    </x:row>
    <x:row r="468">
      <x:c r="A468" s="16"/>
      <x:c r="B468" s="16"/>
      <x:c r="C468" s="16"/>
      <x:c r="D468" s="16"/>
      <x:c r="E468" s="16"/>
      <x:c r="F468" s="16"/>
      <x:c r="G468" s="16"/>
      <x:c r="H468" s="109"/>
      <x:c r="I468" s="109"/>
      <x:c r="J468" s="16"/>
      <x:c r="K468" s="16"/>
      <x:c r="L468" s="16"/>
      <x:c r="M468" s="16"/>
      <x:c r="N468" s="16"/>
      <x:c r="O468" s="109"/>
      <x:c r="P468" s="109"/>
      <x:c r="Q468" s="16"/>
      <x:c r="R468" s="16"/>
      <x:c r="S468" s="109"/>
      <x:c r="T468" s="16"/>
      <x:c r="U468" s="16"/>
      <x:c r="V468" s="16"/>
      <x:c r="W468" s="18" t="str">
        <x:f>IF(A468="","",IF(H468="","",IF(I468&lt;&gt;"",I468-H468+1,IF(S468&lt;&gt;"",S468-H468+1,""))))</x:f>
      </x:c>
      <x:c r="X468" s="16"/>
      <x:c r="Y468" s="16"/>
      <x:c r="Z468" s="16"/>
      <x:c r="AA468" s="16"/>
      <x:c r="AB468" s="109"/>
      <x:c r="AC468" s="109"/>
      <x:c r="AD468" s="16"/>
      <x:c r="AE468" s="16"/>
      <x:c r="AF468" s="16"/>
    </x:row>
    <x:row r="469">
      <x:c r="A469" s="16"/>
      <x:c r="B469" s="16"/>
      <x:c r="C469" s="16"/>
      <x:c r="D469" s="16"/>
      <x:c r="E469" s="16"/>
      <x:c r="F469" s="16"/>
      <x:c r="G469" s="16"/>
      <x:c r="H469" s="109"/>
      <x:c r="I469" s="109"/>
      <x:c r="J469" s="16"/>
      <x:c r="K469" s="16"/>
      <x:c r="L469" s="16"/>
      <x:c r="M469" s="16"/>
      <x:c r="N469" s="16"/>
      <x:c r="O469" s="109"/>
      <x:c r="P469" s="109"/>
      <x:c r="Q469" s="16"/>
      <x:c r="R469" s="16"/>
      <x:c r="S469" s="109"/>
      <x:c r="T469" s="16"/>
      <x:c r="U469" s="16"/>
      <x:c r="V469" s="16"/>
      <x:c r="W469" s="18" t="str">
        <x:f>IF(A469="","",IF(H469="","",IF(I469&lt;&gt;"",I469-H469+1,IF(S469&lt;&gt;"",S469-H469+1,""))))</x:f>
      </x:c>
      <x:c r="X469" s="16"/>
      <x:c r="Y469" s="16"/>
      <x:c r="Z469" s="16"/>
      <x:c r="AA469" s="16"/>
      <x:c r="AB469" s="109"/>
      <x:c r="AC469" s="109"/>
      <x:c r="AD469" s="16"/>
      <x:c r="AE469" s="16"/>
      <x:c r="AF469" s="16"/>
    </x:row>
    <x:row r="470">
      <x:c r="A470" s="16"/>
      <x:c r="B470" s="16"/>
      <x:c r="C470" s="16"/>
      <x:c r="D470" s="16"/>
      <x:c r="E470" s="16"/>
      <x:c r="F470" s="16"/>
      <x:c r="G470" s="16"/>
      <x:c r="H470" s="109"/>
      <x:c r="I470" s="109"/>
      <x:c r="J470" s="16"/>
      <x:c r="K470" s="16"/>
      <x:c r="L470" s="16"/>
      <x:c r="M470" s="16"/>
      <x:c r="N470" s="16"/>
      <x:c r="O470" s="109"/>
      <x:c r="P470" s="109"/>
      <x:c r="Q470" s="16"/>
      <x:c r="R470" s="16"/>
      <x:c r="S470" s="109"/>
      <x:c r="T470" s="16"/>
      <x:c r="U470" s="16"/>
      <x:c r="V470" s="16"/>
      <x:c r="W470" s="18" t="str">
        <x:f>IF(A470="","",IF(H470="","",IF(I470&lt;&gt;"",I470-H470+1,IF(S470&lt;&gt;"",S470-H470+1,""))))</x:f>
      </x:c>
      <x:c r="X470" s="16"/>
      <x:c r="Y470" s="16"/>
      <x:c r="Z470" s="16"/>
      <x:c r="AA470" s="16"/>
      <x:c r="AB470" s="109"/>
      <x:c r="AC470" s="109"/>
      <x:c r="AD470" s="16"/>
      <x:c r="AE470" s="16"/>
      <x:c r="AF470" s="16"/>
    </x:row>
    <x:row r="471">
      <x:c r="A471" s="16"/>
      <x:c r="B471" s="16"/>
      <x:c r="C471" s="16"/>
      <x:c r="D471" s="16"/>
      <x:c r="E471" s="16"/>
      <x:c r="F471" s="16"/>
      <x:c r="G471" s="16"/>
      <x:c r="H471" s="109"/>
      <x:c r="I471" s="109"/>
      <x:c r="J471" s="16"/>
      <x:c r="K471" s="16"/>
      <x:c r="L471" s="16"/>
      <x:c r="M471" s="16"/>
      <x:c r="N471" s="16"/>
      <x:c r="O471" s="109"/>
      <x:c r="P471" s="109"/>
      <x:c r="Q471" s="16"/>
      <x:c r="R471" s="16"/>
      <x:c r="S471" s="109"/>
      <x:c r="T471" s="16"/>
      <x:c r="U471" s="16"/>
      <x:c r="V471" s="16"/>
      <x:c r="W471" s="18" t="str">
        <x:f>IF(A471="","",IF(H471="","",IF(I471&lt;&gt;"",I471-H471+1,IF(S471&lt;&gt;"",S471-H471+1,""))))</x:f>
      </x:c>
      <x:c r="X471" s="16"/>
      <x:c r="Y471" s="16"/>
      <x:c r="Z471" s="16"/>
      <x:c r="AA471" s="16"/>
      <x:c r="AB471" s="109"/>
      <x:c r="AC471" s="109"/>
      <x:c r="AD471" s="16"/>
      <x:c r="AE471" s="16"/>
      <x:c r="AF471" s="16"/>
    </x:row>
    <x:row r="472">
      <x:c r="A472" s="16"/>
      <x:c r="B472" s="16"/>
      <x:c r="C472" s="16"/>
      <x:c r="D472" s="16"/>
      <x:c r="E472" s="16"/>
      <x:c r="F472" s="16"/>
      <x:c r="G472" s="16"/>
      <x:c r="H472" s="109"/>
      <x:c r="I472" s="109"/>
      <x:c r="J472" s="16"/>
      <x:c r="K472" s="16"/>
      <x:c r="L472" s="16"/>
      <x:c r="M472" s="16"/>
      <x:c r="N472" s="16"/>
      <x:c r="O472" s="109"/>
      <x:c r="P472" s="109"/>
      <x:c r="Q472" s="16"/>
      <x:c r="R472" s="16"/>
      <x:c r="S472" s="109"/>
      <x:c r="T472" s="16"/>
      <x:c r="U472" s="16"/>
      <x:c r="V472" s="16"/>
      <x:c r="W472" s="18" t="str">
        <x:f>IF(A472="","",IF(H472="","",IF(I472&lt;&gt;"",I472-H472+1,IF(S472&lt;&gt;"",S472-H472+1,""))))</x:f>
      </x:c>
      <x:c r="X472" s="16"/>
      <x:c r="Y472" s="16"/>
      <x:c r="Z472" s="16"/>
      <x:c r="AA472" s="16"/>
      <x:c r="AB472" s="109"/>
      <x:c r="AC472" s="109"/>
      <x:c r="AD472" s="16"/>
      <x:c r="AE472" s="16"/>
      <x:c r="AF472" s="16"/>
    </x:row>
    <x:row r="473">
      <x:c r="A473" s="16"/>
      <x:c r="B473" s="16"/>
      <x:c r="C473" s="16"/>
      <x:c r="D473" s="16"/>
      <x:c r="E473" s="16"/>
      <x:c r="F473" s="16"/>
      <x:c r="G473" s="16"/>
      <x:c r="H473" s="109"/>
      <x:c r="I473" s="109"/>
      <x:c r="J473" s="16"/>
      <x:c r="K473" s="16"/>
      <x:c r="L473" s="16"/>
      <x:c r="M473" s="16"/>
      <x:c r="N473" s="16"/>
      <x:c r="O473" s="109"/>
      <x:c r="P473" s="109"/>
      <x:c r="Q473" s="16"/>
      <x:c r="R473" s="16"/>
      <x:c r="S473" s="109"/>
      <x:c r="T473" s="16"/>
      <x:c r="U473" s="16"/>
      <x:c r="V473" s="16"/>
      <x:c r="W473" s="18" t="str">
        <x:f>IF(A473="","",IF(H473="","",IF(I473&lt;&gt;"",I473-H473+1,IF(S473&lt;&gt;"",S473-H473+1,""))))</x:f>
      </x:c>
      <x:c r="X473" s="16"/>
      <x:c r="Y473" s="16"/>
      <x:c r="Z473" s="16"/>
      <x:c r="AA473" s="16"/>
      <x:c r="AB473" s="109"/>
      <x:c r="AC473" s="109"/>
      <x:c r="AD473" s="16"/>
      <x:c r="AE473" s="16"/>
      <x:c r="AF473" s="16"/>
    </x:row>
    <x:row r="474">
      <x:c r="A474" s="16"/>
      <x:c r="B474" s="16"/>
      <x:c r="C474" s="16"/>
      <x:c r="D474" s="16"/>
      <x:c r="E474" s="16"/>
      <x:c r="F474" s="16"/>
      <x:c r="G474" s="16"/>
      <x:c r="H474" s="109"/>
      <x:c r="I474" s="109"/>
      <x:c r="J474" s="16"/>
      <x:c r="K474" s="16"/>
      <x:c r="L474" s="16"/>
      <x:c r="M474" s="16"/>
      <x:c r="N474" s="16"/>
      <x:c r="O474" s="109"/>
      <x:c r="P474" s="109"/>
      <x:c r="Q474" s="16"/>
      <x:c r="R474" s="16"/>
      <x:c r="S474" s="109"/>
      <x:c r="T474" s="16"/>
      <x:c r="U474" s="16"/>
      <x:c r="V474" s="16"/>
      <x:c r="W474" s="18" t="str">
        <x:f>IF(A474="","",IF(H474="","",IF(I474&lt;&gt;"",I474-H474+1,IF(S474&lt;&gt;"",S474-H474+1,""))))</x:f>
      </x:c>
      <x:c r="X474" s="16"/>
      <x:c r="Y474" s="16"/>
      <x:c r="Z474" s="16"/>
      <x:c r="AA474" s="16"/>
      <x:c r="AB474" s="109"/>
      <x:c r="AC474" s="109"/>
      <x:c r="AD474" s="16"/>
      <x:c r="AE474" s="16"/>
      <x:c r="AF474" s="16"/>
    </x:row>
    <x:row r="475">
      <x:c r="A475" s="16"/>
      <x:c r="B475" s="16"/>
      <x:c r="C475" s="16"/>
      <x:c r="D475" s="16"/>
      <x:c r="E475" s="16"/>
      <x:c r="F475" s="16"/>
      <x:c r="G475" s="16"/>
      <x:c r="H475" s="109"/>
      <x:c r="I475" s="109"/>
      <x:c r="J475" s="16"/>
      <x:c r="K475" s="16"/>
      <x:c r="L475" s="16"/>
      <x:c r="M475" s="16"/>
      <x:c r="N475" s="16"/>
      <x:c r="O475" s="109"/>
      <x:c r="P475" s="109"/>
      <x:c r="Q475" s="16"/>
      <x:c r="R475" s="16"/>
      <x:c r="S475" s="109"/>
      <x:c r="T475" s="16"/>
      <x:c r="U475" s="16"/>
      <x:c r="V475" s="16"/>
      <x:c r="W475" s="18" t="str">
        <x:f>IF(A475="","",IF(H475="","",IF(I475&lt;&gt;"",I475-H475+1,IF(S475&lt;&gt;"",S475-H475+1,""))))</x:f>
      </x:c>
      <x:c r="X475" s="16"/>
      <x:c r="Y475" s="16"/>
      <x:c r="Z475" s="16"/>
      <x:c r="AA475" s="16"/>
      <x:c r="AB475" s="109"/>
      <x:c r="AC475" s="109"/>
      <x:c r="AD475" s="16"/>
      <x:c r="AE475" s="16"/>
      <x:c r="AF475" s="16"/>
    </x:row>
    <x:row r="476">
      <x:c r="A476" s="16"/>
      <x:c r="B476" s="16"/>
      <x:c r="C476" s="16"/>
      <x:c r="D476" s="16"/>
      <x:c r="E476" s="16"/>
      <x:c r="F476" s="16"/>
      <x:c r="G476" s="16"/>
      <x:c r="H476" s="109"/>
      <x:c r="I476" s="109"/>
      <x:c r="J476" s="16"/>
      <x:c r="K476" s="16"/>
      <x:c r="L476" s="16"/>
      <x:c r="M476" s="16"/>
      <x:c r="N476" s="16"/>
      <x:c r="O476" s="109"/>
      <x:c r="P476" s="109"/>
      <x:c r="Q476" s="16"/>
      <x:c r="R476" s="16"/>
      <x:c r="S476" s="109"/>
      <x:c r="T476" s="16"/>
      <x:c r="U476" s="16"/>
      <x:c r="V476" s="16"/>
      <x:c r="W476" s="18" t="str">
        <x:f>IF(A476="","",IF(H476="","",IF(I476&lt;&gt;"",I476-H476+1,IF(S476&lt;&gt;"",S476-H476+1,""))))</x:f>
      </x:c>
      <x:c r="X476" s="16"/>
      <x:c r="Y476" s="16"/>
      <x:c r="Z476" s="16"/>
      <x:c r="AA476" s="16"/>
      <x:c r="AB476" s="109"/>
      <x:c r="AC476" s="109"/>
      <x:c r="AD476" s="16"/>
      <x:c r="AE476" s="16"/>
      <x:c r="AF476" s="16"/>
    </x:row>
    <x:row r="477">
      <x:c r="A477" s="16"/>
      <x:c r="B477" s="16"/>
      <x:c r="C477" s="16"/>
      <x:c r="D477" s="16"/>
      <x:c r="E477" s="16"/>
      <x:c r="F477" s="16"/>
      <x:c r="G477" s="16"/>
      <x:c r="H477" s="109"/>
      <x:c r="I477" s="109"/>
      <x:c r="J477" s="16"/>
      <x:c r="K477" s="16"/>
      <x:c r="L477" s="16"/>
      <x:c r="M477" s="16"/>
      <x:c r="N477" s="16"/>
      <x:c r="O477" s="109"/>
      <x:c r="P477" s="109"/>
      <x:c r="Q477" s="16"/>
      <x:c r="R477" s="16"/>
      <x:c r="S477" s="109"/>
      <x:c r="T477" s="16"/>
      <x:c r="U477" s="16"/>
      <x:c r="V477" s="16"/>
      <x:c r="W477" s="18" t="str">
        <x:f>IF(A477="","",IF(H477="","",IF(I477&lt;&gt;"",I477-H477+1,IF(S477&lt;&gt;"",S477-H477+1,""))))</x:f>
      </x:c>
      <x:c r="X477" s="16"/>
      <x:c r="Y477" s="16"/>
      <x:c r="Z477" s="16"/>
      <x:c r="AA477" s="16"/>
      <x:c r="AB477" s="109"/>
      <x:c r="AC477" s="109"/>
      <x:c r="AD477" s="16"/>
      <x:c r="AE477" s="16"/>
      <x:c r="AF477" s="16"/>
    </x:row>
    <x:row r="478">
      <x:c r="A478" s="16"/>
      <x:c r="B478" s="16"/>
      <x:c r="C478" s="16"/>
      <x:c r="D478" s="16"/>
      <x:c r="E478" s="16"/>
      <x:c r="F478" s="16"/>
      <x:c r="G478" s="16"/>
      <x:c r="H478" s="109"/>
      <x:c r="I478" s="109"/>
      <x:c r="J478" s="16"/>
      <x:c r="K478" s="16"/>
      <x:c r="L478" s="16"/>
      <x:c r="M478" s="16"/>
      <x:c r="N478" s="16"/>
      <x:c r="O478" s="109"/>
      <x:c r="P478" s="109"/>
      <x:c r="Q478" s="16"/>
      <x:c r="R478" s="16"/>
      <x:c r="S478" s="109"/>
      <x:c r="T478" s="16"/>
      <x:c r="U478" s="16"/>
      <x:c r="V478" s="16"/>
      <x:c r="W478" s="18" t="str">
        <x:f>IF(A478="","",IF(H478="","",IF(I478&lt;&gt;"",I478-H478+1,IF(S478&lt;&gt;"",S478-H478+1,""))))</x:f>
      </x:c>
      <x:c r="X478" s="16"/>
      <x:c r="Y478" s="16"/>
      <x:c r="Z478" s="16"/>
      <x:c r="AA478" s="16"/>
      <x:c r="AB478" s="109"/>
      <x:c r="AC478" s="109"/>
      <x:c r="AD478" s="16"/>
      <x:c r="AE478" s="16"/>
      <x:c r="AF478" s="16"/>
    </x:row>
    <x:row r="479">
      <x:c r="A479" s="16"/>
      <x:c r="B479" s="16"/>
      <x:c r="C479" s="16"/>
      <x:c r="D479" s="16"/>
      <x:c r="E479" s="16"/>
      <x:c r="F479" s="16"/>
      <x:c r="G479" s="16"/>
      <x:c r="H479" s="109"/>
      <x:c r="I479" s="109"/>
      <x:c r="J479" s="16"/>
      <x:c r="K479" s="16"/>
      <x:c r="L479" s="16"/>
      <x:c r="M479" s="16"/>
      <x:c r="N479" s="16"/>
      <x:c r="O479" s="109"/>
      <x:c r="P479" s="109"/>
      <x:c r="Q479" s="16"/>
      <x:c r="R479" s="16"/>
      <x:c r="S479" s="109"/>
      <x:c r="T479" s="16"/>
      <x:c r="U479" s="16"/>
      <x:c r="V479" s="16"/>
      <x:c r="W479" s="18" t="str">
        <x:f>IF(A479="","",IF(H479="","",IF(I479&lt;&gt;"",I479-H479+1,IF(S479&lt;&gt;"",S479-H479+1,""))))</x:f>
      </x:c>
      <x:c r="X479" s="16"/>
      <x:c r="Y479" s="16"/>
      <x:c r="Z479" s="16"/>
      <x:c r="AA479" s="16"/>
      <x:c r="AB479" s="109"/>
      <x:c r="AC479" s="109"/>
      <x:c r="AD479" s="16"/>
      <x:c r="AE479" s="16"/>
      <x:c r="AF479" s="16"/>
    </x:row>
    <x:row r="480">
      <x:c r="A480" s="16"/>
      <x:c r="B480" s="16"/>
      <x:c r="C480" s="16"/>
      <x:c r="D480" s="16"/>
      <x:c r="E480" s="16"/>
      <x:c r="F480" s="16"/>
      <x:c r="G480" s="16"/>
      <x:c r="H480" s="109"/>
      <x:c r="I480" s="109"/>
      <x:c r="J480" s="16"/>
      <x:c r="K480" s="16"/>
      <x:c r="L480" s="16"/>
      <x:c r="M480" s="16"/>
      <x:c r="N480" s="16"/>
      <x:c r="O480" s="109"/>
      <x:c r="P480" s="109"/>
      <x:c r="Q480" s="16"/>
      <x:c r="R480" s="16"/>
      <x:c r="S480" s="109"/>
      <x:c r="T480" s="16"/>
      <x:c r="U480" s="16"/>
      <x:c r="V480" s="16"/>
      <x:c r="W480" s="18" t="str">
        <x:f>IF(A480="","",IF(H480="","",IF(I480&lt;&gt;"",I480-H480+1,IF(S480&lt;&gt;"",S480-H480+1,""))))</x:f>
      </x:c>
      <x:c r="X480" s="16"/>
      <x:c r="Y480" s="16"/>
      <x:c r="Z480" s="16"/>
      <x:c r="AA480" s="16"/>
      <x:c r="AB480" s="109"/>
      <x:c r="AC480" s="109"/>
      <x:c r="AD480" s="16"/>
      <x:c r="AE480" s="16"/>
      <x:c r="AF480" s="16"/>
    </x:row>
    <x:row r="481">
      <x:c r="A481" s="16"/>
      <x:c r="B481" s="16"/>
      <x:c r="C481" s="16"/>
      <x:c r="D481" s="16"/>
      <x:c r="E481" s="16"/>
      <x:c r="F481" s="16"/>
      <x:c r="G481" s="16"/>
      <x:c r="H481" s="109"/>
      <x:c r="I481" s="109"/>
      <x:c r="J481" s="16"/>
      <x:c r="K481" s="16"/>
      <x:c r="L481" s="16"/>
      <x:c r="M481" s="16"/>
      <x:c r="N481" s="16"/>
      <x:c r="O481" s="109"/>
      <x:c r="P481" s="109"/>
      <x:c r="Q481" s="16"/>
      <x:c r="R481" s="16"/>
      <x:c r="S481" s="109"/>
      <x:c r="T481" s="16"/>
      <x:c r="U481" s="16"/>
      <x:c r="V481" s="16"/>
      <x:c r="W481" s="18" t="str">
        <x:f>IF(A481="","",IF(H481="","",IF(I481&lt;&gt;"",I481-H481+1,IF(S481&lt;&gt;"",S481-H481+1,""))))</x:f>
      </x:c>
      <x:c r="X481" s="16"/>
      <x:c r="Y481" s="16"/>
      <x:c r="Z481" s="16"/>
      <x:c r="AA481" s="16"/>
      <x:c r="AB481" s="109"/>
      <x:c r="AC481" s="109"/>
      <x:c r="AD481" s="16"/>
      <x:c r="AE481" s="16"/>
      <x:c r="AF481" s="16"/>
    </x:row>
    <x:row r="482">
      <x:c r="A482" s="16"/>
      <x:c r="B482" s="16"/>
      <x:c r="C482" s="16"/>
      <x:c r="D482" s="16"/>
      <x:c r="E482" s="16"/>
      <x:c r="F482" s="16"/>
      <x:c r="G482" s="16"/>
      <x:c r="H482" s="109"/>
      <x:c r="I482" s="109"/>
      <x:c r="J482" s="16"/>
      <x:c r="K482" s="16"/>
      <x:c r="L482" s="16"/>
      <x:c r="M482" s="16"/>
      <x:c r="N482" s="16"/>
      <x:c r="O482" s="109"/>
      <x:c r="P482" s="109"/>
      <x:c r="Q482" s="16"/>
      <x:c r="R482" s="16"/>
      <x:c r="S482" s="109"/>
      <x:c r="T482" s="16"/>
      <x:c r="U482" s="16"/>
      <x:c r="V482" s="16"/>
      <x:c r="W482" s="18" t="str">
        <x:f>IF(A482="","",IF(H482="","",IF(I482&lt;&gt;"",I482-H482+1,IF(S482&lt;&gt;"",S482-H482+1,""))))</x:f>
      </x:c>
      <x:c r="X482" s="16"/>
      <x:c r="Y482" s="16"/>
      <x:c r="Z482" s="16"/>
      <x:c r="AA482" s="16"/>
      <x:c r="AB482" s="109"/>
      <x:c r="AC482" s="109"/>
      <x:c r="AD482" s="16"/>
      <x:c r="AE482" s="16"/>
      <x:c r="AF482" s="16"/>
    </x:row>
    <x:row r="483">
      <x:c r="A483" s="16"/>
      <x:c r="B483" s="16"/>
      <x:c r="C483" s="16"/>
      <x:c r="D483" s="16"/>
      <x:c r="E483" s="16"/>
      <x:c r="F483" s="16"/>
      <x:c r="G483" s="16"/>
      <x:c r="H483" s="109"/>
      <x:c r="I483" s="109"/>
      <x:c r="J483" s="16"/>
      <x:c r="K483" s="16"/>
      <x:c r="L483" s="16"/>
      <x:c r="M483" s="16"/>
      <x:c r="N483" s="16"/>
      <x:c r="O483" s="109"/>
      <x:c r="P483" s="109"/>
      <x:c r="Q483" s="16"/>
      <x:c r="R483" s="16"/>
      <x:c r="S483" s="109"/>
      <x:c r="T483" s="16"/>
      <x:c r="U483" s="16"/>
      <x:c r="V483" s="16"/>
      <x:c r="W483" s="18" t="str">
        <x:f>IF(A483="","",IF(H483="","",IF(I483&lt;&gt;"",I483-H483+1,IF(S483&lt;&gt;"",S483-H483+1,""))))</x:f>
      </x:c>
      <x:c r="X483" s="16"/>
      <x:c r="Y483" s="16"/>
      <x:c r="Z483" s="16"/>
      <x:c r="AA483" s="16"/>
      <x:c r="AB483" s="109"/>
      <x:c r="AC483" s="109"/>
      <x:c r="AD483" s="16"/>
      <x:c r="AE483" s="16"/>
      <x:c r="AF483" s="16"/>
    </x:row>
    <x:row r="484">
      <x:c r="A484" s="16"/>
      <x:c r="B484" s="16"/>
      <x:c r="C484" s="16"/>
      <x:c r="D484" s="16"/>
      <x:c r="E484" s="16"/>
      <x:c r="F484" s="16"/>
      <x:c r="G484" s="16"/>
      <x:c r="H484" s="109"/>
      <x:c r="I484" s="109"/>
      <x:c r="J484" s="16"/>
      <x:c r="K484" s="16"/>
      <x:c r="L484" s="16"/>
      <x:c r="M484" s="16"/>
      <x:c r="N484" s="16"/>
      <x:c r="O484" s="109"/>
      <x:c r="P484" s="109"/>
      <x:c r="Q484" s="16"/>
      <x:c r="R484" s="16"/>
      <x:c r="S484" s="109"/>
      <x:c r="T484" s="16"/>
      <x:c r="U484" s="16"/>
      <x:c r="V484" s="16"/>
      <x:c r="W484" s="18" t="str">
        <x:f>IF(A484="","",IF(H484="","",IF(I484&lt;&gt;"",I484-H484+1,IF(S484&lt;&gt;"",S484-H484+1,""))))</x:f>
      </x:c>
      <x:c r="X484" s="16"/>
      <x:c r="Y484" s="16"/>
      <x:c r="Z484" s="16"/>
      <x:c r="AA484" s="16"/>
      <x:c r="AB484" s="109"/>
      <x:c r="AC484" s="109"/>
      <x:c r="AD484" s="16"/>
      <x:c r="AE484" s="16"/>
      <x:c r="AF484" s="16"/>
    </x:row>
    <x:row r="485">
      <x:c r="A485" s="16"/>
      <x:c r="B485" s="16"/>
      <x:c r="C485" s="16"/>
      <x:c r="D485" s="16"/>
      <x:c r="E485" s="16"/>
      <x:c r="F485" s="16"/>
      <x:c r="G485" s="16"/>
      <x:c r="H485" s="109"/>
      <x:c r="I485" s="109"/>
      <x:c r="J485" s="16"/>
      <x:c r="K485" s="16"/>
      <x:c r="L485" s="16"/>
      <x:c r="M485" s="16"/>
      <x:c r="N485" s="16"/>
      <x:c r="O485" s="109"/>
      <x:c r="P485" s="109"/>
      <x:c r="Q485" s="16"/>
      <x:c r="R485" s="16"/>
      <x:c r="S485" s="109"/>
      <x:c r="T485" s="16"/>
      <x:c r="U485" s="16"/>
      <x:c r="V485" s="16"/>
      <x:c r="W485" s="18" t="str">
        <x:f>IF(A485="","",IF(H485="","",IF(I485&lt;&gt;"",I485-H485+1,IF(S485&lt;&gt;"",S485-H485+1,""))))</x:f>
      </x:c>
      <x:c r="X485" s="16"/>
      <x:c r="Y485" s="16"/>
      <x:c r="Z485" s="16"/>
      <x:c r="AA485" s="16"/>
      <x:c r="AB485" s="109"/>
      <x:c r="AC485" s="109"/>
      <x:c r="AD485" s="16"/>
      <x:c r="AE485" s="16"/>
      <x:c r="AF485" s="16"/>
    </x:row>
    <x:row r="486">
      <x:c r="A486" s="16"/>
      <x:c r="B486" s="16"/>
      <x:c r="C486" s="16"/>
      <x:c r="D486" s="16"/>
      <x:c r="E486" s="16"/>
      <x:c r="F486" s="16"/>
      <x:c r="G486" s="16"/>
      <x:c r="H486" s="109"/>
      <x:c r="I486" s="109"/>
      <x:c r="J486" s="16"/>
      <x:c r="K486" s="16"/>
      <x:c r="L486" s="16"/>
      <x:c r="M486" s="16"/>
      <x:c r="N486" s="16"/>
      <x:c r="O486" s="109"/>
      <x:c r="P486" s="109"/>
      <x:c r="Q486" s="16"/>
      <x:c r="R486" s="16"/>
      <x:c r="S486" s="109"/>
      <x:c r="T486" s="16"/>
      <x:c r="U486" s="16"/>
      <x:c r="V486" s="16"/>
      <x:c r="W486" s="18" t="str">
        <x:f>IF(A486="","",IF(H486="","",IF(I486&lt;&gt;"",I486-H486+1,IF(S486&lt;&gt;"",S486-H486+1,""))))</x:f>
      </x:c>
      <x:c r="X486" s="16"/>
      <x:c r="Y486" s="16"/>
      <x:c r="Z486" s="16"/>
      <x:c r="AA486" s="16"/>
      <x:c r="AB486" s="109"/>
      <x:c r="AC486" s="109"/>
      <x:c r="AD486" s="16"/>
      <x:c r="AE486" s="16"/>
      <x:c r="AF486" s="16"/>
    </x:row>
    <x:row r="487">
      <x:c r="A487" s="16"/>
      <x:c r="B487" s="16"/>
      <x:c r="C487" s="16"/>
      <x:c r="D487" s="16"/>
      <x:c r="E487" s="16"/>
      <x:c r="F487" s="16"/>
      <x:c r="G487" s="16"/>
      <x:c r="H487" s="109"/>
      <x:c r="I487" s="109"/>
      <x:c r="J487" s="16"/>
      <x:c r="K487" s="16"/>
      <x:c r="L487" s="16"/>
      <x:c r="M487" s="16"/>
      <x:c r="N487" s="16"/>
      <x:c r="O487" s="109"/>
      <x:c r="P487" s="109"/>
      <x:c r="Q487" s="16"/>
      <x:c r="R487" s="16"/>
      <x:c r="S487" s="109"/>
      <x:c r="T487" s="16"/>
      <x:c r="U487" s="16"/>
      <x:c r="V487" s="16"/>
      <x:c r="W487" s="18" t="str">
        <x:f>IF(A487="","",IF(H487="","",IF(I487&lt;&gt;"",I487-H487+1,IF(S487&lt;&gt;"",S487-H487+1,""))))</x:f>
      </x:c>
      <x:c r="X487" s="16"/>
      <x:c r="Y487" s="16"/>
      <x:c r="Z487" s="16"/>
      <x:c r="AA487" s="16"/>
      <x:c r="AB487" s="109"/>
      <x:c r="AC487" s="109"/>
      <x:c r="AD487" s="16"/>
      <x:c r="AE487" s="16"/>
      <x:c r="AF487" s="16"/>
    </x:row>
    <x:row r="488">
      <x:c r="A488" s="16"/>
      <x:c r="B488" s="16"/>
      <x:c r="C488" s="16"/>
      <x:c r="D488" s="16"/>
      <x:c r="E488" s="16"/>
      <x:c r="F488" s="16"/>
      <x:c r="G488" s="16"/>
      <x:c r="H488" s="109"/>
      <x:c r="I488" s="109"/>
      <x:c r="J488" s="16"/>
      <x:c r="K488" s="16"/>
      <x:c r="L488" s="16"/>
      <x:c r="M488" s="16"/>
      <x:c r="N488" s="16"/>
      <x:c r="O488" s="109"/>
      <x:c r="P488" s="109"/>
      <x:c r="Q488" s="16"/>
      <x:c r="R488" s="16"/>
      <x:c r="S488" s="109"/>
      <x:c r="T488" s="16"/>
      <x:c r="U488" s="16"/>
      <x:c r="V488" s="16"/>
      <x:c r="W488" s="18" t="str">
        <x:f>IF(A488="","",IF(H488="","",IF(I488&lt;&gt;"",I488-H488+1,IF(S488&lt;&gt;"",S488-H488+1,""))))</x:f>
      </x:c>
      <x:c r="X488" s="16"/>
      <x:c r="Y488" s="16"/>
      <x:c r="Z488" s="16"/>
      <x:c r="AA488" s="16"/>
      <x:c r="AB488" s="109"/>
      <x:c r="AC488" s="109"/>
      <x:c r="AD488" s="16"/>
      <x:c r="AE488" s="16"/>
      <x:c r="AF488" s="16"/>
    </x:row>
    <x:row r="489">
      <x:c r="A489" s="16"/>
      <x:c r="B489" s="16"/>
      <x:c r="C489" s="16"/>
      <x:c r="D489" s="16"/>
      <x:c r="E489" s="16"/>
      <x:c r="F489" s="16"/>
      <x:c r="G489" s="16"/>
      <x:c r="H489" s="109"/>
      <x:c r="I489" s="109"/>
      <x:c r="J489" s="16"/>
      <x:c r="K489" s="16"/>
      <x:c r="L489" s="16"/>
      <x:c r="M489" s="16"/>
      <x:c r="N489" s="16"/>
      <x:c r="O489" s="109"/>
      <x:c r="P489" s="109"/>
      <x:c r="Q489" s="16"/>
      <x:c r="R489" s="16"/>
      <x:c r="S489" s="109"/>
      <x:c r="T489" s="16"/>
      <x:c r="U489" s="16"/>
      <x:c r="V489" s="16"/>
      <x:c r="W489" s="18" t="str">
        <x:f>IF(A489="","",IF(H489="","",IF(I489&lt;&gt;"",I489-H489+1,IF(S489&lt;&gt;"",S489-H489+1,""))))</x:f>
      </x:c>
      <x:c r="X489" s="16"/>
      <x:c r="Y489" s="16"/>
      <x:c r="Z489" s="16"/>
      <x:c r="AA489" s="16"/>
      <x:c r="AB489" s="109"/>
      <x:c r="AC489" s="109"/>
      <x:c r="AD489" s="16"/>
      <x:c r="AE489" s="16"/>
      <x:c r="AF489" s="16"/>
    </x:row>
    <x:row r="490">
      <x:c r="A490" s="16"/>
      <x:c r="B490" s="16"/>
      <x:c r="C490" s="16"/>
      <x:c r="D490" s="16"/>
      <x:c r="E490" s="16"/>
      <x:c r="F490" s="16"/>
      <x:c r="G490" s="16"/>
      <x:c r="H490" s="109"/>
      <x:c r="I490" s="109"/>
      <x:c r="J490" s="16"/>
      <x:c r="K490" s="16"/>
      <x:c r="L490" s="16"/>
      <x:c r="M490" s="16"/>
      <x:c r="N490" s="16"/>
      <x:c r="O490" s="109"/>
      <x:c r="P490" s="109"/>
      <x:c r="Q490" s="16"/>
      <x:c r="R490" s="16"/>
      <x:c r="S490" s="109"/>
      <x:c r="T490" s="16"/>
      <x:c r="U490" s="16"/>
      <x:c r="V490" s="16"/>
      <x:c r="W490" s="18" t="str">
        <x:f>IF(A490="","",IF(H490="","",IF(I490&lt;&gt;"",I490-H490+1,IF(S490&lt;&gt;"",S490-H490+1,""))))</x:f>
      </x:c>
      <x:c r="X490" s="16"/>
      <x:c r="Y490" s="16"/>
      <x:c r="Z490" s="16"/>
      <x:c r="AA490" s="16"/>
      <x:c r="AB490" s="109"/>
      <x:c r="AC490" s="109"/>
      <x:c r="AD490" s="16"/>
      <x:c r="AE490" s="16"/>
      <x:c r="AF490" s="16"/>
    </x:row>
    <x:row r="491">
      <x:c r="A491" s="16"/>
      <x:c r="B491" s="16"/>
      <x:c r="C491" s="16"/>
      <x:c r="D491" s="16"/>
      <x:c r="E491" s="16"/>
      <x:c r="F491" s="16"/>
      <x:c r="G491" s="16"/>
      <x:c r="H491" s="109"/>
      <x:c r="I491" s="109"/>
      <x:c r="J491" s="16"/>
      <x:c r="K491" s="16"/>
      <x:c r="L491" s="16"/>
      <x:c r="M491" s="16"/>
      <x:c r="N491" s="16"/>
      <x:c r="O491" s="109"/>
      <x:c r="P491" s="109"/>
      <x:c r="Q491" s="16"/>
      <x:c r="R491" s="16"/>
      <x:c r="S491" s="109"/>
      <x:c r="T491" s="16"/>
      <x:c r="U491" s="16"/>
      <x:c r="V491" s="16"/>
      <x:c r="W491" s="18" t="str">
        <x:f>IF(A491="","",IF(H491="","",IF(I491&lt;&gt;"",I491-H491+1,IF(S491&lt;&gt;"",S491-H491+1,""))))</x:f>
      </x:c>
      <x:c r="X491" s="16"/>
      <x:c r="Y491" s="16"/>
      <x:c r="Z491" s="16"/>
      <x:c r="AA491" s="16"/>
      <x:c r="AB491" s="109"/>
      <x:c r="AC491" s="109"/>
      <x:c r="AD491" s="16"/>
      <x:c r="AE491" s="16"/>
      <x:c r="AF491" s="16"/>
    </x:row>
    <x:row r="492">
      <x:c r="A492" s="16"/>
      <x:c r="B492" s="16"/>
      <x:c r="C492" s="16"/>
      <x:c r="D492" s="16"/>
      <x:c r="E492" s="16"/>
      <x:c r="F492" s="16"/>
      <x:c r="G492" s="16"/>
      <x:c r="H492" s="109"/>
      <x:c r="I492" s="109"/>
      <x:c r="J492" s="16"/>
      <x:c r="K492" s="16"/>
      <x:c r="L492" s="16"/>
      <x:c r="M492" s="16"/>
      <x:c r="N492" s="16"/>
      <x:c r="O492" s="109"/>
      <x:c r="P492" s="109"/>
      <x:c r="Q492" s="16"/>
      <x:c r="R492" s="16"/>
      <x:c r="S492" s="109"/>
      <x:c r="T492" s="16"/>
      <x:c r="U492" s="16"/>
      <x:c r="V492" s="16"/>
      <x:c r="W492" s="18" t="str">
        <x:f>IF(A492="","",IF(H492="","",IF(I492&lt;&gt;"",I492-H492+1,IF(S492&lt;&gt;"",S492-H492+1,""))))</x:f>
      </x:c>
      <x:c r="X492" s="16"/>
      <x:c r="Y492" s="16"/>
      <x:c r="Z492" s="16"/>
      <x:c r="AA492" s="16"/>
      <x:c r="AB492" s="109"/>
      <x:c r="AC492" s="109"/>
      <x:c r="AD492" s="16"/>
      <x:c r="AE492" s="16"/>
      <x:c r="AF492" s="16"/>
    </x:row>
    <x:row r="493">
      <x:c r="A493" s="16"/>
      <x:c r="B493" s="16"/>
      <x:c r="C493" s="16"/>
      <x:c r="D493" s="16"/>
      <x:c r="E493" s="16"/>
      <x:c r="F493" s="16"/>
      <x:c r="G493" s="16"/>
      <x:c r="H493" s="109"/>
      <x:c r="I493" s="109"/>
      <x:c r="J493" s="16"/>
      <x:c r="K493" s="16"/>
      <x:c r="L493" s="16"/>
      <x:c r="M493" s="16"/>
      <x:c r="N493" s="16"/>
      <x:c r="O493" s="109"/>
      <x:c r="P493" s="109"/>
      <x:c r="Q493" s="16"/>
      <x:c r="R493" s="16"/>
      <x:c r="S493" s="109"/>
      <x:c r="T493" s="16"/>
      <x:c r="U493" s="16"/>
      <x:c r="V493" s="16"/>
      <x:c r="W493" s="18" t="str">
        <x:f>IF(A493="","",IF(H493="","",IF(I493&lt;&gt;"",I493-H493+1,IF(S493&lt;&gt;"",S493-H493+1,""))))</x:f>
      </x:c>
      <x:c r="X493" s="16"/>
      <x:c r="Y493" s="16"/>
      <x:c r="Z493" s="16"/>
      <x:c r="AA493" s="16"/>
      <x:c r="AB493" s="109"/>
      <x:c r="AC493" s="109"/>
      <x:c r="AD493" s="16"/>
      <x:c r="AE493" s="16"/>
      <x:c r="AF493" s="16"/>
    </x:row>
    <x:row r="494">
      <x:c r="A494" s="16"/>
      <x:c r="B494" s="16"/>
      <x:c r="C494" s="16"/>
      <x:c r="D494" s="16"/>
      <x:c r="E494" s="16"/>
      <x:c r="F494" s="16"/>
      <x:c r="G494" s="16"/>
      <x:c r="H494" s="109"/>
      <x:c r="I494" s="109"/>
      <x:c r="J494" s="16"/>
      <x:c r="K494" s="16"/>
      <x:c r="L494" s="16"/>
      <x:c r="M494" s="16"/>
      <x:c r="N494" s="16"/>
      <x:c r="O494" s="109"/>
      <x:c r="P494" s="109"/>
      <x:c r="Q494" s="16"/>
      <x:c r="R494" s="16"/>
      <x:c r="S494" s="109"/>
      <x:c r="T494" s="16"/>
      <x:c r="U494" s="16"/>
      <x:c r="V494" s="16"/>
      <x:c r="W494" s="18" t="str">
        <x:f>IF(A494="","",IF(H494="","",IF(I494&lt;&gt;"",I494-H494+1,IF(S494&lt;&gt;"",S494-H494+1,""))))</x:f>
      </x:c>
      <x:c r="X494" s="16"/>
      <x:c r="Y494" s="16"/>
      <x:c r="Z494" s="16"/>
      <x:c r="AA494" s="16"/>
      <x:c r="AB494" s="109"/>
      <x:c r="AC494" s="109"/>
      <x:c r="AD494" s="16"/>
      <x:c r="AE494" s="16"/>
      <x:c r="AF494" s="16"/>
    </x:row>
    <x:row r="495">
      <x:c r="A495" s="16"/>
      <x:c r="B495" s="16"/>
      <x:c r="C495" s="16"/>
      <x:c r="D495" s="16"/>
      <x:c r="E495" s="16"/>
      <x:c r="F495" s="16"/>
      <x:c r="G495" s="16"/>
      <x:c r="H495" s="109"/>
      <x:c r="I495" s="109"/>
      <x:c r="J495" s="16"/>
      <x:c r="K495" s="16"/>
      <x:c r="L495" s="16"/>
      <x:c r="M495" s="16"/>
      <x:c r="N495" s="16"/>
      <x:c r="O495" s="109"/>
      <x:c r="P495" s="109"/>
      <x:c r="Q495" s="16"/>
      <x:c r="R495" s="16"/>
      <x:c r="S495" s="109"/>
      <x:c r="T495" s="16"/>
      <x:c r="U495" s="16"/>
      <x:c r="V495" s="16"/>
      <x:c r="W495" s="18" t="str">
        <x:f>IF(A495="","",IF(H495="","",IF(I495&lt;&gt;"",I495-H495+1,IF(S495&lt;&gt;"",S495-H495+1,""))))</x:f>
      </x:c>
      <x:c r="X495" s="16"/>
      <x:c r="Y495" s="16"/>
      <x:c r="Z495" s="16"/>
      <x:c r="AA495" s="16"/>
      <x:c r="AB495" s="109"/>
      <x:c r="AC495" s="109"/>
      <x:c r="AD495" s="16"/>
      <x:c r="AE495" s="16"/>
      <x:c r="AF495" s="16"/>
    </x:row>
    <x:row r="496">
      <x:c r="A496" s="16"/>
      <x:c r="B496" s="16"/>
      <x:c r="C496" s="16"/>
      <x:c r="D496" s="16"/>
      <x:c r="E496" s="16"/>
      <x:c r="F496" s="16"/>
      <x:c r="G496" s="16"/>
      <x:c r="H496" s="109"/>
      <x:c r="I496" s="109"/>
      <x:c r="J496" s="16"/>
      <x:c r="K496" s="16"/>
      <x:c r="L496" s="16"/>
      <x:c r="M496" s="16"/>
      <x:c r="N496" s="16"/>
      <x:c r="O496" s="109"/>
      <x:c r="P496" s="109"/>
      <x:c r="Q496" s="16"/>
      <x:c r="R496" s="16"/>
      <x:c r="S496" s="109"/>
      <x:c r="T496" s="16"/>
      <x:c r="U496" s="16"/>
      <x:c r="V496" s="16"/>
      <x:c r="W496" s="18" t="str">
        <x:f>IF(A496="","",IF(H496="","",IF(I496&lt;&gt;"",I496-H496+1,IF(S496&lt;&gt;"",S496-H496+1,""))))</x:f>
      </x:c>
      <x:c r="X496" s="16"/>
      <x:c r="Y496" s="16"/>
      <x:c r="Z496" s="16"/>
      <x:c r="AA496" s="16"/>
      <x:c r="AB496" s="109"/>
      <x:c r="AC496" s="109"/>
      <x:c r="AD496" s="16"/>
      <x:c r="AE496" s="16"/>
      <x:c r="AF496" s="16"/>
    </x:row>
    <x:row r="497">
      <x:c r="A497" s="16"/>
      <x:c r="B497" s="16"/>
      <x:c r="C497" s="16"/>
      <x:c r="D497" s="16"/>
      <x:c r="E497" s="16"/>
      <x:c r="F497" s="16"/>
      <x:c r="G497" s="16"/>
      <x:c r="H497" s="109"/>
      <x:c r="I497" s="109"/>
      <x:c r="J497" s="16"/>
      <x:c r="K497" s="16"/>
      <x:c r="L497" s="16"/>
      <x:c r="M497" s="16"/>
      <x:c r="N497" s="16"/>
      <x:c r="O497" s="109"/>
      <x:c r="P497" s="109"/>
      <x:c r="Q497" s="16"/>
      <x:c r="R497" s="16"/>
      <x:c r="S497" s="109"/>
      <x:c r="T497" s="16"/>
      <x:c r="U497" s="16"/>
      <x:c r="V497" s="16"/>
      <x:c r="W497" s="18" t="str">
        <x:f>IF(A497="","",IF(H497="","",IF(I497&lt;&gt;"",I497-H497+1,IF(S497&lt;&gt;"",S497-H497+1,""))))</x:f>
      </x:c>
      <x:c r="X497" s="16"/>
      <x:c r="Y497" s="16"/>
      <x:c r="Z497" s="16"/>
      <x:c r="AA497" s="16"/>
      <x:c r="AB497" s="109"/>
      <x:c r="AC497" s="109"/>
      <x:c r="AD497" s="16"/>
      <x:c r="AE497" s="16"/>
      <x:c r="AF497" s="16"/>
    </x:row>
    <x:row r="498">
      <x:c r="A498" s="16"/>
      <x:c r="B498" s="16"/>
      <x:c r="C498" s="16"/>
      <x:c r="D498" s="16"/>
      <x:c r="E498" s="16"/>
      <x:c r="F498" s="16"/>
      <x:c r="G498" s="16"/>
      <x:c r="H498" s="109"/>
      <x:c r="I498" s="109"/>
      <x:c r="J498" s="16"/>
      <x:c r="K498" s="16"/>
      <x:c r="L498" s="16"/>
      <x:c r="M498" s="16"/>
      <x:c r="N498" s="16"/>
      <x:c r="O498" s="109"/>
      <x:c r="P498" s="109"/>
      <x:c r="Q498" s="16"/>
      <x:c r="R498" s="16"/>
      <x:c r="S498" s="109"/>
      <x:c r="T498" s="16"/>
      <x:c r="U498" s="16"/>
      <x:c r="V498" s="16"/>
      <x:c r="W498" s="18" t="str">
        <x:f>IF(A498="","",IF(H498="","",IF(I498&lt;&gt;"",I498-H498+1,IF(S498&lt;&gt;"",S498-H498+1,""))))</x:f>
      </x:c>
      <x:c r="X498" s="16"/>
      <x:c r="Y498" s="16"/>
      <x:c r="Z498" s="16"/>
      <x:c r="AA498" s="16"/>
      <x:c r="AB498" s="109"/>
      <x:c r="AC498" s="109"/>
      <x:c r="AD498" s="16"/>
      <x:c r="AE498" s="16"/>
      <x:c r="AF498" s="16"/>
    </x:row>
    <x:row r="499">
      <x:c r="A499" s="16"/>
      <x:c r="B499" s="16"/>
      <x:c r="C499" s="16"/>
      <x:c r="D499" s="16"/>
      <x:c r="E499" s="16"/>
      <x:c r="F499" s="16"/>
      <x:c r="G499" s="16"/>
      <x:c r="H499" s="109"/>
      <x:c r="I499" s="109"/>
      <x:c r="J499" s="16"/>
      <x:c r="K499" s="16"/>
      <x:c r="L499" s="16"/>
      <x:c r="M499" s="16"/>
      <x:c r="N499" s="16"/>
      <x:c r="O499" s="109"/>
      <x:c r="P499" s="109"/>
      <x:c r="Q499" s="16"/>
      <x:c r="R499" s="16"/>
      <x:c r="S499" s="109"/>
      <x:c r="T499" s="16"/>
      <x:c r="U499" s="16"/>
      <x:c r="V499" s="16"/>
      <x:c r="W499" s="18" t="str">
        <x:f>IF(A499="","",IF(H499="","",IF(I499&lt;&gt;"",I499-H499+1,IF(S499&lt;&gt;"",S499-H499+1,""))))</x:f>
      </x:c>
      <x:c r="X499" s="16"/>
      <x:c r="Y499" s="16"/>
      <x:c r="Z499" s="16"/>
      <x:c r="AA499" s="16"/>
      <x:c r="AB499" s="109"/>
      <x:c r="AC499" s="109"/>
      <x:c r="AD499" s="16"/>
      <x:c r="AE499" s="16"/>
      <x:c r="AF499" s="16"/>
    </x:row>
    <x:row r="500">
      <x:c r="A500" s="16"/>
      <x:c r="B500" s="16"/>
      <x:c r="C500" s="16"/>
      <x:c r="D500" s="16"/>
      <x:c r="E500" s="16"/>
      <x:c r="F500" s="16"/>
      <x:c r="G500" s="16"/>
      <x:c r="H500" s="109"/>
      <x:c r="I500" s="109"/>
      <x:c r="J500" s="16"/>
      <x:c r="K500" s="16"/>
      <x:c r="L500" s="16"/>
      <x:c r="M500" s="16"/>
      <x:c r="N500" s="16"/>
      <x:c r="O500" s="109"/>
      <x:c r="P500" s="109"/>
      <x:c r="Q500" s="16"/>
      <x:c r="R500" s="16"/>
      <x:c r="S500" s="109"/>
      <x:c r="T500" s="16"/>
      <x:c r="U500" s="16"/>
      <x:c r="V500" s="16"/>
      <x:c r="W500" s="18" t="str">
        <x:f>IF(A500="","",IF(H500="","",IF(I500&lt;&gt;"",I500-H500+1,IF(S500&lt;&gt;"",S500-H500+1,""))))</x:f>
      </x:c>
      <x:c r="X500" s="16"/>
      <x:c r="Y500" s="16"/>
      <x:c r="Z500" s="16"/>
      <x:c r="AA500" s="16"/>
      <x:c r="AB500" s="109"/>
      <x:c r="AC500" s="109"/>
      <x:c r="AD500" s="16"/>
      <x:c r="AE500" s="16"/>
      <x:c r="AF500" s="16"/>
    </x:row>
    <x:row r="501">
      <x:c r="H501" s="107"/>
      <x:c r="I501" s="107"/>
      <x:c r="O501" s="107"/>
      <x:c r="P501" s="107"/>
      <x:c r="S501" s="107"/>
      <x:c r="W501" s="18" t="str">
        <x:f>IF(A501="","",IF(H501="","",IF(I501&lt;&gt;"",I501-H501+1,IF(S501&lt;&gt;"",S501-H501+1,""))))</x:f>
      </x:c>
      <x:c r="X501" s="16"/>
      <x:c r="Y501" s="16"/>
      <x:c r="Z501" s="16"/>
      <x:c r="AA501" s="16"/>
      <x:c r="AB501" s="109"/>
      <x:c r="AC501" s="109"/>
      <x:c r="AD501" s="16"/>
      <x:c r="AE501" s="16"/>
      <x:c r="AF501" s="16"/>
    </x:row>
    <x:row r="502">
      <x:c r="H502" s="107"/>
      <x:c r="I502" s="107"/>
      <x:c r="O502" s="107"/>
      <x:c r="P502" s="107"/>
      <x:c r="S502" s="107"/>
      <x:c r="W502" s="18" t="str">
        <x:f>IF(A502="","",IF(H502="","",IF(I502&lt;&gt;"",I502-H502+1,IF(S502&lt;&gt;"",S502-H502+1,""))))</x:f>
      </x:c>
      <x:c r="X502" s="16"/>
      <x:c r="Y502" s="16"/>
      <x:c r="Z502" s="16"/>
      <x:c r="AA502" s="16"/>
      <x:c r="AB502" s="109"/>
      <x:c r="AC502" s="109"/>
      <x:c r="AD502" s="16"/>
      <x:c r="AE502" s="16"/>
      <x:c r="AF502" s="16"/>
    </x:row>
    <x:row r="503">
      <x:c r="H503" s="107"/>
      <x:c r="I503" s="107"/>
      <x:c r="O503" s="107"/>
      <x:c r="P503" s="107"/>
      <x:c r="S503" s="107"/>
      <x:c r="W503" s="18" t="str">
        <x:f>IF(A503="","",IF(H503="","",IF(I503&lt;&gt;"",I503-H503+1,IF(S503&lt;&gt;"",S503-H503+1,""))))</x:f>
      </x:c>
      <x:c r="X503" s="16"/>
      <x:c r="Y503" s="16"/>
      <x:c r="Z503" s="16"/>
      <x:c r="AA503" s="16"/>
      <x:c r="AB503" s="109"/>
      <x:c r="AC503" s="109"/>
      <x:c r="AD503" s="16"/>
      <x:c r="AE503" s="16"/>
      <x:c r="AF503" s="16"/>
    </x:row>
    <x:row r="504">
      <x:c r="H504" s="107"/>
      <x:c r="I504" s="107"/>
      <x:c r="O504" s="107"/>
      <x:c r="P504" s="107"/>
      <x:c r="S504" s="107"/>
      <x:c r="W504" s="18" t="str">
        <x:f>IF(A504="","",IF(H504="","",IF(I504&lt;&gt;"",I504-H504+1,IF(S504&lt;&gt;"",S504-H504+1,""))))</x:f>
      </x:c>
      <x:c r="X504" s="16"/>
      <x:c r="Y504" s="16"/>
      <x:c r="Z504" s="16"/>
      <x:c r="AA504" s="16"/>
      <x:c r="AB504" s="109"/>
      <x:c r="AC504" s="109"/>
      <x:c r="AD504" s="16"/>
      <x:c r="AE504" s="16"/>
      <x:c r="AF504" s="16"/>
    </x:row>
    <x:row r="505">
      <x:c r="H505" s="107"/>
      <x:c r="I505" s="107"/>
      <x:c r="O505" s="107"/>
      <x:c r="P505" s="107"/>
      <x:c r="S505" s="107"/>
      <x:c r="W505" s="18" t="str">
        <x:f>IF(A505="","",IF(H505="","",IF(I505&lt;&gt;"",I505-H505+1,IF(S505&lt;&gt;"",S505-H505+1,""))))</x:f>
      </x:c>
      <x:c r="X505" s="16"/>
      <x:c r="Y505" s="16"/>
      <x:c r="Z505" s="16"/>
      <x:c r="AA505" s="16"/>
      <x:c r="AB505" s="109"/>
      <x:c r="AC505" s="109"/>
      <x:c r="AD505" s="16"/>
      <x:c r="AE505" s="16"/>
      <x:c r="AF505" s="16"/>
    </x:row>
    <x:row r="506">
      <x:c r="H506" s="107"/>
      <x:c r="I506" s="107"/>
      <x:c r="O506" s="107"/>
      <x:c r="P506" s="107"/>
      <x:c r="S506" s="107"/>
      <x:c r="W506" s="18" t="str">
        <x:f>IF(A506="","",IF(H506="","",IF(I506&lt;&gt;"",I506-H506+1,IF(S506&lt;&gt;"",S506-H506+1,""))))</x:f>
      </x:c>
      <x:c r="X506" s="16"/>
      <x:c r="Y506" s="16"/>
      <x:c r="Z506" s="16"/>
      <x:c r="AA506" s="16"/>
      <x:c r="AB506" s="109"/>
      <x:c r="AC506" s="109"/>
      <x:c r="AD506" s="16"/>
      <x:c r="AE506" s="16"/>
      <x:c r="AF506" s="16"/>
    </x:row>
    <x:row r="507">
      <x:c r="H507" s="107"/>
      <x:c r="I507" s="107"/>
      <x:c r="O507" s="107"/>
      <x:c r="P507" s="107"/>
      <x:c r="S507" s="107"/>
      <x:c r="W507" s="18" t="str">
        <x:f>IF(A507="","",IF(H507="","",IF(I507&lt;&gt;"",I507-H507+1,IF(S507&lt;&gt;"",S507-H507+1,""))))</x:f>
      </x:c>
      <x:c r="X507" s="16"/>
      <x:c r="Y507" s="16"/>
      <x:c r="Z507" s="16"/>
      <x:c r="AA507" s="16"/>
      <x:c r="AB507" s="109"/>
      <x:c r="AC507" s="109"/>
      <x:c r="AD507" s="16"/>
      <x:c r="AE507" s="16"/>
      <x:c r="AF507" s="16"/>
    </x:row>
    <x:row r="508">
      <x:c r="H508" s="107"/>
      <x:c r="I508" s="107"/>
      <x:c r="O508" s="107"/>
      <x:c r="P508" s="107"/>
      <x:c r="S508" s="107"/>
      <x:c r="W508" s="18" t="str">
        <x:f>IF(A508="","",IF(H508="","",IF(I508&lt;&gt;"",I508-H508+1,IF(S508&lt;&gt;"",S508-H508+1,""))))</x:f>
      </x:c>
      <x:c r="X508" s="16"/>
      <x:c r="Y508" s="16"/>
      <x:c r="Z508" s="16"/>
      <x:c r="AA508" s="16"/>
      <x:c r="AB508" s="109"/>
      <x:c r="AC508" s="109"/>
      <x:c r="AD508" s="16"/>
      <x:c r="AE508" s="16"/>
      <x:c r="AF508" s="16"/>
    </x:row>
    <x:row r="509">
      <x:c r="H509" s="107"/>
      <x:c r="I509" s="107"/>
      <x:c r="O509" s="107"/>
      <x:c r="P509" s="107"/>
      <x:c r="S509" s="107"/>
      <x:c r="W509" s="18" t="str">
        <x:f>IF(A509="","",IF(H509="","",IF(I509&lt;&gt;"",I509-H509+1,IF(S509&lt;&gt;"",S509-H509+1,""))))</x:f>
      </x:c>
      <x:c r="X509" s="16"/>
      <x:c r="Y509" s="16"/>
      <x:c r="Z509" s="16"/>
      <x:c r="AA509" s="16"/>
      <x:c r="AB509" s="109"/>
      <x:c r="AC509" s="109"/>
      <x:c r="AD509" s="16"/>
      <x:c r="AE509" s="16"/>
      <x:c r="AF509" s="16"/>
    </x:row>
    <x:row r="510">
      <x:c r="H510" s="107"/>
      <x:c r="I510" s="107"/>
      <x:c r="O510" s="107"/>
      <x:c r="P510" s="107"/>
      <x:c r="S510" s="107"/>
      <x:c r="W510" s="18" t="str">
        <x:f>IF(A510="","",IF(H510="","",IF(I510&lt;&gt;"",I510-H510+1,IF(S510&lt;&gt;"",S510-H510+1,""))))</x:f>
      </x:c>
      <x:c r="X510" s="16"/>
      <x:c r="Y510" s="16"/>
      <x:c r="Z510" s="16"/>
      <x:c r="AA510" s="16"/>
      <x:c r="AB510" s="109"/>
      <x:c r="AC510" s="109"/>
      <x:c r="AD510" s="16"/>
      <x:c r="AE510" s="16"/>
      <x:c r="AF510" s="16"/>
    </x:row>
    <x:row r="511">
      <x:c r="H511" s="107"/>
      <x:c r="I511" s="107"/>
      <x:c r="O511" s="107"/>
      <x:c r="P511" s="107"/>
      <x:c r="S511" s="107"/>
      <x:c r="W511" s="18" t="str">
        <x:f>IF(A511="","",IF(H511="","",IF(I511&lt;&gt;"",I511-H511+1,IF(S511&lt;&gt;"",S511-H511+1,""))))</x:f>
      </x:c>
      <x:c r="X511" s="16"/>
      <x:c r="Y511" s="16"/>
      <x:c r="Z511" s="16"/>
      <x:c r="AA511" s="16"/>
      <x:c r="AB511" s="109"/>
      <x:c r="AC511" s="109"/>
      <x:c r="AD511" s="16"/>
      <x:c r="AE511" s="16"/>
      <x:c r="AF511" s="16"/>
    </x:row>
    <x:row r="512">
      <x:c r="H512" s="107"/>
      <x:c r="I512" s="107"/>
      <x:c r="O512" s="107"/>
      <x:c r="P512" s="107"/>
      <x:c r="S512" s="107"/>
      <x:c r="W512" s="18" t="str">
        <x:f>IF(A512="","",IF(H512="","",IF(I512&lt;&gt;"",I512-H512+1,IF(S512&lt;&gt;"",S512-H512+1,""))))</x:f>
      </x:c>
      <x:c r="X512" s="16"/>
      <x:c r="Y512" s="16"/>
      <x:c r="Z512" s="16"/>
      <x:c r="AA512" s="16"/>
      <x:c r="AB512" s="109"/>
      <x:c r="AC512" s="109"/>
      <x:c r="AD512" s="16"/>
      <x:c r="AE512" s="16"/>
      <x:c r="AF512" s="16"/>
    </x:row>
    <x:row r="513">
      <x:c r="H513" s="107"/>
      <x:c r="I513" s="107"/>
      <x:c r="O513" s="107"/>
      <x:c r="P513" s="107"/>
      <x:c r="S513" s="107"/>
      <x:c r="W513" s="18" t="str">
        <x:f>IF(A513="","",IF(H513="","",IF(I513&lt;&gt;"",I513-H513+1,IF(S513&lt;&gt;"",S513-H513+1,""))))</x:f>
      </x:c>
      <x:c r="X513" s="16"/>
      <x:c r="Y513" s="16"/>
      <x:c r="Z513" s="16"/>
      <x:c r="AA513" s="16"/>
      <x:c r="AB513" s="109"/>
      <x:c r="AC513" s="109"/>
      <x:c r="AD513" s="16"/>
      <x:c r="AE513" s="16"/>
      <x:c r="AF513" s="16"/>
    </x:row>
    <x:row r="514">
      <x:c r="H514" s="107"/>
      <x:c r="I514" s="107"/>
      <x:c r="O514" s="107"/>
      <x:c r="P514" s="107"/>
      <x:c r="S514" s="107"/>
      <x:c r="W514" s="18" t="str">
        <x:f>IF(A514="","",IF(H514="","",IF(I514&lt;&gt;"",I514-H514+1,IF(S514&lt;&gt;"",S514-H514+1,""))))</x:f>
      </x:c>
      <x:c r="X514" s="16"/>
      <x:c r="Y514" s="16"/>
      <x:c r="Z514" s="16"/>
      <x:c r="AA514" s="16"/>
      <x:c r="AB514" s="109"/>
      <x:c r="AC514" s="109"/>
      <x:c r="AD514" s="16"/>
      <x:c r="AE514" s="16"/>
      <x:c r="AF514" s="16"/>
    </x:row>
    <x:row r="515">
      <x:c r="H515" s="107"/>
      <x:c r="I515" s="107"/>
      <x:c r="O515" s="107"/>
      <x:c r="P515" s="107"/>
      <x:c r="S515" s="107"/>
      <x:c r="W515" s="18" t="str">
        <x:f>IF(A515="","",IF(H515="","",IF(I515&lt;&gt;"",I515-H515+1,IF(S515&lt;&gt;"",S515-H515+1,""))))</x:f>
      </x:c>
      <x:c r="X515" s="16"/>
      <x:c r="Y515" s="16"/>
      <x:c r="Z515" s="16"/>
      <x:c r="AA515" s="16"/>
      <x:c r="AB515" s="109"/>
      <x:c r="AC515" s="109"/>
      <x:c r="AD515" s="16"/>
      <x:c r="AE515" s="16"/>
      <x:c r="AF515" s="16"/>
    </x:row>
    <x:row r="516">
      <x:c r="H516" s="107"/>
      <x:c r="I516" s="107"/>
      <x:c r="O516" s="107"/>
      <x:c r="P516" s="107"/>
      <x:c r="S516" s="107"/>
      <x:c r="W516" s="18" t="str">
        <x:f>IF(A516="","",IF(H516="","",IF(I516&lt;&gt;"",I516-H516+1,IF(S516&lt;&gt;"",S516-H516+1,""))))</x:f>
      </x:c>
      <x:c r="X516" s="16"/>
      <x:c r="Y516" s="16"/>
      <x:c r="Z516" s="16"/>
      <x:c r="AA516" s="16"/>
      <x:c r="AB516" s="109"/>
      <x:c r="AC516" s="109"/>
      <x:c r="AD516" s="16"/>
      <x:c r="AE516" s="16"/>
      <x:c r="AF516" s="16"/>
    </x:row>
    <x:row r="517">
      <x:c r="H517" s="107"/>
      <x:c r="I517" s="107"/>
      <x:c r="O517" s="107"/>
      <x:c r="P517" s="107"/>
      <x:c r="S517" s="107"/>
      <x:c r="W517" s="18" t="str">
        <x:f>IF(A517="","",IF(H517="","",IF(I517&lt;&gt;"",I517-H517+1,IF(S517&lt;&gt;"",S517-H517+1,""))))</x:f>
      </x:c>
      <x:c r="X517" s="16"/>
      <x:c r="Y517" s="16"/>
      <x:c r="Z517" s="16"/>
      <x:c r="AA517" s="16"/>
      <x:c r="AB517" s="109"/>
      <x:c r="AC517" s="109"/>
      <x:c r="AD517" s="16"/>
      <x:c r="AE517" s="16"/>
      <x:c r="AF517" s="16"/>
    </x:row>
    <x:row r="518">
      <x:c r="H518" s="107"/>
      <x:c r="I518" s="107"/>
      <x:c r="O518" s="107"/>
      <x:c r="P518" s="107"/>
      <x:c r="S518" s="107"/>
      <x:c r="W518" s="18" t="str">
        <x:f>IF(A518="","",IF(H518="","",IF(I518&lt;&gt;"",I518-H518+1,IF(S518&lt;&gt;"",S518-H518+1,""))))</x:f>
      </x:c>
      <x:c r="X518" s="16"/>
      <x:c r="Y518" s="16"/>
      <x:c r="Z518" s="16"/>
      <x:c r="AA518" s="16"/>
      <x:c r="AB518" s="109"/>
      <x:c r="AC518" s="109"/>
      <x:c r="AD518" s="16"/>
      <x:c r="AE518" s="16"/>
      <x:c r="AF518" s="16"/>
    </x:row>
    <x:row r="519">
      <x:c r="H519" s="107"/>
      <x:c r="I519" s="107"/>
      <x:c r="O519" s="107"/>
      <x:c r="P519" s="107"/>
      <x:c r="S519" s="107"/>
      <x:c r="W519" s="18" t="str">
        <x:f>IF(A519="","",IF(H519="","",IF(I519&lt;&gt;"",I519-H519+1,IF(S519&lt;&gt;"",S519-H519+1,""))))</x:f>
      </x:c>
      <x:c r="X519" s="16"/>
      <x:c r="Y519" s="16"/>
      <x:c r="Z519" s="16"/>
      <x:c r="AA519" s="16"/>
      <x:c r="AB519" s="109"/>
      <x:c r="AC519" s="109"/>
      <x:c r="AD519" s="16"/>
      <x:c r="AE519" s="16"/>
      <x:c r="AF519" s="16"/>
    </x:row>
    <x:row r="520">
      <x:c r="H520" s="107"/>
      <x:c r="I520" s="107"/>
      <x:c r="O520" s="107"/>
      <x:c r="P520" s="107"/>
      <x:c r="S520" s="107"/>
      <x:c r="W520" s="18" t="str">
        <x:f>IF(A520="","",IF(H520="","",IF(I520&lt;&gt;"",I520-H520+1,IF(S520&lt;&gt;"",S520-H520+1,""))))</x:f>
      </x:c>
      <x:c r="X520" s="16"/>
      <x:c r="Y520" s="16"/>
      <x:c r="Z520" s="16"/>
      <x:c r="AA520" s="16"/>
      <x:c r="AB520" s="109"/>
      <x:c r="AC520" s="109"/>
      <x:c r="AD520" s="16"/>
      <x:c r="AE520" s="16"/>
      <x:c r="AF520" s="16"/>
    </x:row>
    <x:row r="521">
      <x:c r="H521" s="107"/>
      <x:c r="I521" s="107"/>
      <x:c r="O521" s="107"/>
      <x:c r="P521" s="107"/>
      <x:c r="S521" s="107"/>
      <x:c r="W521" s="18" t="str">
        <x:f>IF(A521="","",IF(H521="","",IF(I521&lt;&gt;"",I521-H521+1,IF(S521&lt;&gt;"",S521-H521+1,""))))</x:f>
      </x:c>
      <x:c r="X521" s="16"/>
      <x:c r="Y521" s="16"/>
      <x:c r="Z521" s="16"/>
      <x:c r="AA521" s="16"/>
      <x:c r="AB521" s="109"/>
      <x:c r="AC521" s="109"/>
      <x:c r="AD521" s="16"/>
      <x:c r="AE521" s="16"/>
      <x:c r="AF521" s="16"/>
    </x:row>
    <x:row r="522">
      <x:c r="H522" s="107"/>
      <x:c r="I522" s="107"/>
      <x:c r="O522" s="107"/>
      <x:c r="P522" s="107"/>
      <x:c r="S522" s="107"/>
      <x:c r="W522" s="18" t="str">
        <x:f>IF(A522="","",IF(H522="","",IF(I522&lt;&gt;"",I522-H522+1,IF(S522&lt;&gt;"",S522-H522+1,""))))</x:f>
      </x:c>
      <x:c r="X522" s="16"/>
      <x:c r="Y522" s="16"/>
      <x:c r="Z522" s="16"/>
      <x:c r="AA522" s="16"/>
      <x:c r="AB522" s="109"/>
      <x:c r="AC522" s="109"/>
      <x:c r="AD522" s="16"/>
      <x:c r="AE522" s="16"/>
      <x:c r="AF522" s="16"/>
    </x:row>
    <x:row r="523">
      <x:c r="H523" s="107"/>
      <x:c r="I523" s="107"/>
      <x:c r="O523" s="107"/>
      <x:c r="P523" s="107"/>
      <x:c r="S523" s="107"/>
      <x:c r="W523" s="18" t="str">
        <x:f>IF(A523="","",IF(H523="","",IF(I523&lt;&gt;"",I523-H523+1,IF(S523&lt;&gt;"",S523-H523+1,""))))</x:f>
      </x:c>
      <x:c r="X523" s="16"/>
      <x:c r="Y523" s="16"/>
      <x:c r="Z523" s="16"/>
      <x:c r="AA523" s="16"/>
      <x:c r="AB523" s="109"/>
      <x:c r="AC523" s="109"/>
      <x:c r="AD523" s="16"/>
      <x:c r="AE523" s="16"/>
      <x:c r="AF523" s="16"/>
    </x:row>
    <x:row r="524">
      <x:c r="H524" s="107"/>
      <x:c r="I524" s="107"/>
      <x:c r="O524" s="107"/>
      <x:c r="P524" s="107"/>
      <x:c r="S524" s="107"/>
      <x:c r="W524" s="18" t="str">
        <x:f>IF(A524="","",IF(H524="","",IF(I524&lt;&gt;"",I524-H524+1,IF(S524&lt;&gt;"",S524-H524+1,""))))</x:f>
      </x:c>
      <x:c r="X524" s="16"/>
      <x:c r="Y524" s="16"/>
      <x:c r="Z524" s="16"/>
      <x:c r="AA524" s="16"/>
      <x:c r="AB524" s="109"/>
      <x:c r="AC524" s="109"/>
      <x:c r="AD524" s="16"/>
      <x:c r="AE524" s="16"/>
      <x:c r="AF524" s="16"/>
    </x:row>
    <x:row r="525">
      <x:c r="H525" s="107"/>
      <x:c r="I525" s="107"/>
      <x:c r="O525" s="107"/>
      <x:c r="P525" s="107"/>
      <x:c r="S525" s="107"/>
      <x:c r="W525" s="18" t="str">
        <x:f>IF(A525="","",IF(H525="","",IF(I525&lt;&gt;"",I525-H525+1,IF(S525&lt;&gt;"",S525-H525+1,""))))</x:f>
      </x:c>
      <x:c r="X525" s="16"/>
      <x:c r="Y525" s="16"/>
      <x:c r="Z525" s="16"/>
      <x:c r="AA525" s="16"/>
      <x:c r="AB525" s="109"/>
      <x:c r="AC525" s="109"/>
      <x:c r="AD525" s="16"/>
      <x:c r="AE525" s="16"/>
      <x:c r="AF525" s="16"/>
    </x:row>
    <x:row r="526">
      <x:c r="H526" s="107"/>
      <x:c r="I526" s="107"/>
      <x:c r="O526" s="107"/>
      <x:c r="P526" s="107"/>
      <x:c r="S526" s="107"/>
      <x:c r="W526" s="18" t="str">
        <x:f>IF(A526="","",IF(H526="","",IF(I526&lt;&gt;"",I526-H526+1,IF(S526&lt;&gt;"",S526-H526+1,""))))</x:f>
      </x:c>
      <x:c r="X526" s="16"/>
      <x:c r="Y526" s="16"/>
      <x:c r="Z526" s="16"/>
      <x:c r="AA526" s="16"/>
      <x:c r="AB526" s="109"/>
      <x:c r="AC526" s="109"/>
      <x:c r="AD526" s="16"/>
      <x:c r="AE526" s="16"/>
      <x:c r="AF526" s="16"/>
    </x:row>
    <x:row r="527">
      <x:c r="H527" s="107"/>
      <x:c r="I527" s="107"/>
      <x:c r="O527" s="107"/>
      <x:c r="P527" s="107"/>
      <x:c r="S527" s="107"/>
      <x:c r="W527" s="18" t="str">
        <x:f>IF(A527="","",IF(H527="","",IF(I527&lt;&gt;"",I527-H527+1,IF(S527&lt;&gt;"",S527-H527+1,""))))</x:f>
      </x:c>
      <x:c r="X527" s="16"/>
      <x:c r="Y527" s="16"/>
      <x:c r="Z527" s="16"/>
      <x:c r="AA527" s="16"/>
      <x:c r="AB527" s="109"/>
      <x:c r="AC527" s="109"/>
      <x:c r="AD527" s="16"/>
      <x:c r="AE527" s="16"/>
      <x:c r="AF527" s="16"/>
    </x:row>
    <x:row r="528">
      <x:c r="H528" s="107"/>
      <x:c r="I528" s="107"/>
      <x:c r="O528" s="107"/>
      <x:c r="P528" s="107"/>
      <x:c r="S528" s="107"/>
      <x:c r="W528" s="18" t="str">
        <x:f>IF(A528="","",IF(H528="","",IF(I528&lt;&gt;"",I528-H528+1,IF(S528&lt;&gt;"",S528-H528+1,""))))</x:f>
      </x:c>
      <x:c r="X528" s="16"/>
      <x:c r="Y528" s="16"/>
      <x:c r="Z528" s="16"/>
      <x:c r="AA528" s="16"/>
      <x:c r="AB528" s="109"/>
      <x:c r="AC528" s="109"/>
      <x:c r="AD528" s="16"/>
      <x:c r="AE528" s="16"/>
      <x:c r="AF528" s="16"/>
    </x:row>
    <x:row r="529">
      <x:c r="H529" s="107"/>
      <x:c r="I529" s="107"/>
      <x:c r="O529" s="107"/>
      <x:c r="P529" s="107"/>
      <x:c r="S529" s="107"/>
      <x:c r="W529" s="18" t="str">
        <x:f>IF(A529="","",IF(H529="","",IF(I529&lt;&gt;"",I529-H529+1,IF(S529&lt;&gt;"",S529-H529+1,""))))</x:f>
      </x:c>
      <x:c r="X529" s="16"/>
      <x:c r="Y529" s="16"/>
      <x:c r="Z529" s="16"/>
      <x:c r="AA529" s="16"/>
      <x:c r="AB529" s="109"/>
      <x:c r="AC529" s="109"/>
      <x:c r="AD529" s="16"/>
      <x:c r="AE529" s="16"/>
      <x:c r="AF529" s="16"/>
    </x:row>
    <x:row r="530">
      <x:c r="H530" s="107"/>
      <x:c r="I530" s="107"/>
      <x:c r="O530" s="107"/>
      <x:c r="P530" s="107"/>
      <x:c r="S530" s="107"/>
      <x:c r="W530" s="18" t="str">
        <x:f>IF(A530="","",IF(H530="","",IF(I530&lt;&gt;"",I530-H530+1,IF(S530&lt;&gt;"",S530-H530+1,""))))</x:f>
      </x:c>
      <x:c r="X530" s="16"/>
      <x:c r="Y530" s="16"/>
      <x:c r="Z530" s="16"/>
      <x:c r="AA530" s="16"/>
      <x:c r="AB530" s="109"/>
      <x:c r="AC530" s="109"/>
      <x:c r="AD530" s="16"/>
      <x:c r="AE530" s="16"/>
      <x:c r="AF530" s="16"/>
    </x:row>
    <x:row r="531">
      <x:c r="H531" s="107"/>
      <x:c r="I531" s="107"/>
      <x:c r="O531" s="107"/>
      <x:c r="P531" s="107"/>
      <x:c r="S531" s="107"/>
      <x:c r="W531" s="18" t="str">
        <x:f>IF(A531="","",IF(H531="","",IF(I531&lt;&gt;"",I531-H531+1,IF(S531&lt;&gt;"",S531-H531+1,""))))</x:f>
      </x:c>
      <x:c r="X531" s="16"/>
      <x:c r="Y531" s="16"/>
      <x:c r="Z531" s="16"/>
      <x:c r="AA531" s="16"/>
      <x:c r="AB531" s="109"/>
      <x:c r="AC531" s="109"/>
      <x:c r="AD531" s="16"/>
      <x:c r="AE531" s="16"/>
      <x:c r="AF531" s="16"/>
    </x:row>
    <x:row r="532">
      <x:c r="H532" s="107"/>
      <x:c r="I532" s="107"/>
      <x:c r="O532" s="107"/>
      <x:c r="P532" s="107"/>
      <x:c r="S532" s="107"/>
      <x:c r="W532" s="18" t="str">
        <x:f>IF(A532="","",IF(H532="","",IF(I532&lt;&gt;"",I532-H532+1,IF(S532&lt;&gt;"",S532-H532+1,""))))</x:f>
      </x:c>
      <x:c r="X532" s="16"/>
      <x:c r="Y532" s="16"/>
      <x:c r="Z532" s="16"/>
      <x:c r="AA532" s="16"/>
      <x:c r="AB532" s="109"/>
      <x:c r="AC532" s="109"/>
      <x:c r="AD532" s="16"/>
      <x:c r="AE532" s="16"/>
      <x:c r="AF532" s="16"/>
    </x:row>
    <x:row r="533">
      <x:c r="H533" s="107"/>
      <x:c r="I533" s="107"/>
      <x:c r="O533" s="107"/>
      <x:c r="P533" s="107"/>
      <x:c r="S533" s="107"/>
      <x:c r="W533" s="18" t="str">
        <x:f>IF(A533="","",IF(H533="","",IF(I533&lt;&gt;"",I533-H533+1,IF(S533&lt;&gt;"",S533-H533+1,""))))</x:f>
      </x:c>
      <x:c r="X533" s="16"/>
      <x:c r="Y533" s="16"/>
      <x:c r="Z533" s="16"/>
      <x:c r="AA533" s="16"/>
      <x:c r="AB533" s="109"/>
      <x:c r="AC533" s="109"/>
      <x:c r="AD533" s="16"/>
      <x:c r="AE533" s="16"/>
      <x:c r="AF533" s="16"/>
    </x:row>
    <x:row r="534">
      <x:c r="H534" s="107"/>
      <x:c r="I534" s="107"/>
      <x:c r="O534" s="107"/>
      <x:c r="P534" s="107"/>
      <x:c r="S534" s="107"/>
      <x:c r="W534" s="18" t="str">
        <x:f>IF(A534="","",IF(H534="","",IF(I534&lt;&gt;"",I534-H534+1,IF(S534&lt;&gt;"",S534-H534+1,""))))</x:f>
      </x:c>
      <x:c r="X534" s="16"/>
      <x:c r="Y534" s="16"/>
      <x:c r="Z534" s="16"/>
      <x:c r="AA534" s="16"/>
      <x:c r="AB534" s="109"/>
      <x:c r="AC534" s="109"/>
      <x:c r="AD534" s="16"/>
      <x:c r="AE534" s="16"/>
      <x:c r="AF534" s="16"/>
    </x:row>
    <x:row r="535">
      <x:c r="H535" s="107"/>
      <x:c r="I535" s="107"/>
      <x:c r="O535" s="107"/>
      <x:c r="P535" s="107"/>
      <x:c r="S535" s="107"/>
      <x:c r="W535" s="18" t="str">
        <x:f>IF(A535="","",IF(H535="","",IF(I535&lt;&gt;"",I535-H535+1,IF(S535&lt;&gt;"",S535-H535+1,""))))</x:f>
      </x:c>
      <x:c r="X535" s="16"/>
      <x:c r="Y535" s="16"/>
      <x:c r="Z535" s="16"/>
      <x:c r="AA535" s="16"/>
      <x:c r="AB535" s="109"/>
      <x:c r="AC535" s="109"/>
      <x:c r="AD535" s="16"/>
      <x:c r="AE535" s="16"/>
      <x:c r="AF535" s="16"/>
    </x:row>
    <x:row r="536">
      <x:c r="H536" s="107"/>
      <x:c r="I536" s="107"/>
      <x:c r="O536" s="107"/>
      <x:c r="P536" s="107"/>
      <x:c r="S536" s="107"/>
      <x:c r="W536" s="18" t="str">
        <x:f>IF(A536="","",IF(H536="","",IF(I536&lt;&gt;"",I536-H536+1,IF(S536&lt;&gt;"",S536-H536+1,""))))</x:f>
      </x:c>
      <x:c r="X536" s="16"/>
      <x:c r="Y536" s="16"/>
      <x:c r="Z536" s="16"/>
      <x:c r="AA536" s="16"/>
      <x:c r="AB536" s="109"/>
      <x:c r="AC536" s="109"/>
      <x:c r="AD536" s="16"/>
      <x:c r="AE536" s="16"/>
      <x:c r="AF536" s="16"/>
    </x:row>
    <x:row r="537">
      <x:c r="H537" s="107"/>
      <x:c r="I537" s="107"/>
      <x:c r="O537" s="107"/>
      <x:c r="P537" s="107"/>
      <x:c r="S537" s="107"/>
      <x:c r="W537" s="18" t="str">
        <x:f>IF(A537="","",IF(H537="","",IF(I537&lt;&gt;"",I537-H537+1,IF(S537&lt;&gt;"",S537-H537+1,""))))</x:f>
      </x:c>
      <x:c r="X537" s="16"/>
      <x:c r="Y537" s="16"/>
      <x:c r="Z537" s="16"/>
      <x:c r="AA537" s="16"/>
      <x:c r="AB537" s="109"/>
      <x:c r="AC537" s="109"/>
      <x:c r="AD537" s="16"/>
      <x:c r="AE537" s="16"/>
      <x:c r="AF537" s="16"/>
    </x:row>
    <x:row r="538">
      <x:c r="H538" s="107"/>
      <x:c r="I538" s="107"/>
      <x:c r="O538" s="107"/>
      <x:c r="P538" s="107"/>
      <x:c r="S538" s="107"/>
      <x:c r="W538" s="18" t="str">
        <x:f>IF(A538="","",IF(H538="","",IF(I538&lt;&gt;"",I538-H538+1,IF(S538&lt;&gt;"",S538-H538+1,""))))</x:f>
      </x:c>
      <x:c r="X538" s="16"/>
      <x:c r="Y538" s="16"/>
      <x:c r="Z538" s="16"/>
      <x:c r="AA538" s="16"/>
      <x:c r="AB538" s="109"/>
      <x:c r="AC538" s="109"/>
      <x:c r="AD538" s="16"/>
      <x:c r="AE538" s="16"/>
      <x:c r="AF538" s="16"/>
    </x:row>
    <x:row r="539">
      <x:c r="H539" s="107"/>
      <x:c r="I539" s="107"/>
      <x:c r="O539" s="107"/>
      <x:c r="P539" s="107"/>
      <x:c r="S539" s="107"/>
      <x:c r="W539" s="18" t="str">
        <x:f>IF(A539="","",IF(H539="","",IF(I539&lt;&gt;"",I539-H539+1,IF(S539&lt;&gt;"",S539-H539+1,""))))</x:f>
      </x:c>
      <x:c r="X539" s="16"/>
      <x:c r="Y539" s="16"/>
      <x:c r="Z539" s="16"/>
      <x:c r="AA539" s="16"/>
      <x:c r="AB539" s="109"/>
      <x:c r="AC539" s="109"/>
      <x:c r="AD539" s="16"/>
      <x:c r="AE539" s="16"/>
      <x:c r="AF539" s="16"/>
    </x:row>
    <x:row r="540">
      <x:c r="H540" s="107"/>
      <x:c r="I540" s="107"/>
      <x:c r="O540" s="107"/>
      <x:c r="P540" s="107"/>
      <x:c r="S540" s="107"/>
      <x:c r="W540" s="18" t="str">
        <x:f>IF(A540="","",IF(H540="","",IF(I540&lt;&gt;"",I540-H540+1,IF(S540&lt;&gt;"",S540-H540+1,""))))</x:f>
      </x:c>
      <x:c r="X540" s="16"/>
      <x:c r="Y540" s="16"/>
      <x:c r="Z540" s="16"/>
      <x:c r="AA540" s="16"/>
      <x:c r="AB540" s="109"/>
      <x:c r="AC540" s="109"/>
      <x:c r="AD540" s="16"/>
      <x:c r="AE540" s="16"/>
      <x:c r="AF540" s="16"/>
    </x:row>
    <x:row r="541">
      <x:c r="H541" s="107"/>
      <x:c r="I541" s="107"/>
      <x:c r="O541" s="107"/>
      <x:c r="P541" s="107"/>
      <x:c r="S541" s="107"/>
      <x:c r="W541" s="18" t="str">
        <x:f>IF(A541="","",IF(H541="","",IF(I541&lt;&gt;"",I541-H541+1,IF(S541&lt;&gt;"",S541-H541+1,""))))</x:f>
      </x:c>
      <x:c r="X541" s="16"/>
      <x:c r="Y541" s="16"/>
      <x:c r="Z541" s="16"/>
      <x:c r="AA541" s="16"/>
      <x:c r="AB541" s="109"/>
      <x:c r="AC541" s="109"/>
      <x:c r="AD541" s="16"/>
      <x:c r="AE541" s="16"/>
      <x:c r="AF541" s="16"/>
    </x:row>
    <x:row r="542">
      <x:c r="H542" s="107"/>
      <x:c r="I542" s="107"/>
      <x:c r="O542" s="107"/>
      <x:c r="P542" s="107"/>
      <x:c r="S542" s="107"/>
      <x:c r="W542" s="18" t="str">
        <x:f>IF(A542="","",IF(H542="","",IF(I542&lt;&gt;"",I542-H542+1,IF(S542&lt;&gt;"",S542-H542+1,""))))</x:f>
      </x:c>
      <x:c r="X542" s="16"/>
      <x:c r="Y542" s="16"/>
      <x:c r="Z542" s="16"/>
      <x:c r="AA542" s="16"/>
      <x:c r="AB542" s="109"/>
      <x:c r="AC542" s="109"/>
      <x:c r="AD542" s="16"/>
      <x:c r="AE542" s="16"/>
      <x:c r="AF542" s="16"/>
    </x:row>
    <x:row r="543">
      <x:c r="H543" s="107"/>
      <x:c r="I543" s="107"/>
      <x:c r="O543" s="107"/>
      <x:c r="P543" s="107"/>
      <x:c r="S543" s="107"/>
      <x:c r="W543" s="18" t="str">
        <x:f>IF(A543="","",IF(H543="","",IF(I543&lt;&gt;"",I543-H543+1,IF(S543&lt;&gt;"",S543-H543+1,""))))</x:f>
      </x:c>
      <x:c r="X543" s="16"/>
      <x:c r="Y543" s="16"/>
      <x:c r="Z543" s="16"/>
      <x:c r="AA543" s="16"/>
      <x:c r="AB543" s="109"/>
      <x:c r="AC543" s="109"/>
      <x:c r="AD543" s="16"/>
      <x:c r="AE543" s="16"/>
      <x:c r="AF543" s="16"/>
    </x:row>
    <x:row r="544">
      <x:c r="H544" s="107"/>
      <x:c r="I544" s="107"/>
      <x:c r="O544" s="107"/>
      <x:c r="P544" s="107"/>
      <x:c r="S544" s="107"/>
      <x:c r="W544" s="18" t="str">
        <x:f>IF(A544="","",IF(H544="","",IF(I544&lt;&gt;"",I544-H544+1,IF(S544&lt;&gt;"",S544-H544+1,""))))</x:f>
      </x:c>
      <x:c r="X544" s="16"/>
      <x:c r="Y544" s="16"/>
      <x:c r="Z544" s="16"/>
      <x:c r="AA544" s="16"/>
      <x:c r="AB544" s="109"/>
      <x:c r="AC544" s="109"/>
      <x:c r="AD544" s="16"/>
      <x:c r="AE544" s="16"/>
      <x:c r="AF544" s="16"/>
    </x:row>
    <x:row r="545">
      <x:c r="H545" s="107"/>
      <x:c r="I545" s="107"/>
      <x:c r="O545" s="107"/>
      <x:c r="P545" s="107"/>
      <x:c r="S545" s="107"/>
      <x:c r="W545" s="18" t="str">
        <x:f>IF(A545="","",IF(H545="","",IF(I545&lt;&gt;"",I545-H545+1,IF(S545&lt;&gt;"",S545-H545+1,""))))</x:f>
      </x:c>
      <x:c r="X545" s="16"/>
      <x:c r="Y545" s="16"/>
      <x:c r="Z545" s="16"/>
      <x:c r="AA545" s="16"/>
      <x:c r="AB545" s="109"/>
      <x:c r="AC545" s="109"/>
      <x:c r="AD545" s="16"/>
      <x:c r="AE545" s="16"/>
      <x:c r="AF545" s="16"/>
    </x:row>
    <x:row r="546">
      <x:c r="H546" s="107"/>
      <x:c r="I546" s="107"/>
      <x:c r="O546" s="107"/>
      <x:c r="P546" s="107"/>
      <x:c r="S546" s="107"/>
      <x:c r="W546" s="18" t="str">
        <x:f>IF(A546="","",IF(H546="","",IF(I546&lt;&gt;"",I546-H546+1,IF(S546&lt;&gt;"",S546-H546+1,""))))</x:f>
      </x:c>
      <x:c r="X546" s="16"/>
      <x:c r="Y546" s="16"/>
      <x:c r="Z546" s="16"/>
      <x:c r="AA546" s="16"/>
      <x:c r="AB546" s="109"/>
      <x:c r="AC546" s="109"/>
      <x:c r="AD546" s="16"/>
      <x:c r="AE546" s="16"/>
      <x:c r="AF546" s="16"/>
    </x:row>
    <x:row r="547">
      <x:c r="H547" s="107"/>
      <x:c r="I547" s="107"/>
      <x:c r="O547" s="107"/>
      <x:c r="P547" s="107"/>
      <x:c r="S547" s="107"/>
      <x:c r="W547" s="18" t="str">
        <x:f>IF(A547="","",IF(H547="","",IF(I547&lt;&gt;"",I547-H547+1,IF(S547&lt;&gt;"",S547-H547+1,""))))</x:f>
      </x:c>
      <x:c r="X547" s="16"/>
      <x:c r="Y547" s="16"/>
      <x:c r="Z547" s="16"/>
      <x:c r="AA547" s="16"/>
      <x:c r="AB547" s="109"/>
      <x:c r="AC547" s="109"/>
      <x:c r="AD547" s="16"/>
      <x:c r="AE547" s="16"/>
      <x:c r="AF547" s="16"/>
    </x:row>
    <x:row r="548">
      <x:c r="H548" s="107"/>
      <x:c r="I548" s="107"/>
      <x:c r="O548" s="107"/>
      <x:c r="P548" s="107"/>
      <x:c r="S548" s="107"/>
      <x:c r="W548" s="18" t="str">
        <x:f>IF(A548="","",IF(H548="","",IF(I548&lt;&gt;"",I548-H548+1,IF(S548&lt;&gt;"",S548-H548+1,""))))</x:f>
      </x:c>
      <x:c r="X548" s="16"/>
      <x:c r="Y548" s="16"/>
      <x:c r="Z548" s="16"/>
      <x:c r="AA548" s="16"/>
      <x:c r="AB548" s="109"/>
      <x:c r="AC548" s="109"/>
      <x:c r="AD548" s="16"/>
      <x:c r="AE548" s="16"/>
      <x:c r="AF548" s="16"/>
    </x:row>
    <x:row r="549">
      <x:c r="H549" s="107"/>
      <x:c r="I549" s="107"/>
      <x:c r="O549" s="107"/>
      <x:c r="P549" s="107"/>
      <x:c r="S549" s="107"/>
      <x:c r="W549" s="18" t="str">
        <x:f>IF(A549="","",IF(H549="","",IF(I549&lt;&gt;"",I549-H549+1,IF(S549&lt;&gt;"",S549-H549+1,""))))</x:f>
      </x:c>
      <x:c r="X549" s="16"/>
      <x:c r="Y549" s="16"/>
      <x:c r="Z549" s="16"/>
      <x:c r="AA549" s="16"/>
      <x:c r="AB549" s="109"/>
      <x:c r="AC549" s="109"/>
      <x:c r="AD549" s="16"/>
      <x:c r="AE549" s="16"/>
      <x:c r="AF549" s="16"/>
    </x:row>
    <x:row r="550">
      <x:c r="H550" s="107"/>
      <x:c r="I550" s="107"/>
      <x:c r="O550" s="107"/>
      <x:c r="P550" s="107"/>
      <x:c r="S550" s="107"/>
      <x:c r="W550" s="18" t="str">
        <x:f>IF(A550="","",IF(H550="","",IF(I550&lt;&gt;"",I550-H550+1,IF(S550&lt;&gt;"",S550-H550+1,""))))</x:f>
      </x:c>
      <x:c r="X550" s="16"/>
      <x:c r="Y550" s="16"/>
      <x:c r="Z550" s="16"/>
      <x:c r="AA550" s="16"/>
      <x:c r="AB550" s="109"/>
      <x:c r="AC550" s="109"/>
      <x:c r="AD550" s="16"/>
      <x:c r="AE550" s="16"/>
      <x:c r="AF550" s="16"/>
    </x:row>
    <x:row r="551">
      <x:c r="H551" s="107"/>
      <x:c r="I551" s="107"/>
      <x:c r="O551" s="107"/>
      <x:c r="P551" s="107"/>
      <x:c r="S551" s="107"/>
      <x:c r="W551" s="18" t="str">
        <x:f>IF(A551="","",IF(H551="","",IF(I551&lt;&gt;"",I551-H551+1,IF(S551&lt;&gt;"",S551-H551+1,""))))</x:f>
      </x:c>
      <x:c r="X551" s="16"/>
      <x:c r="Y551" s="16"/>
      <x:c r="Z551" s="16"/>
      <x:c r="AA551" s="16"/>
      <x:c r="AB551" s="109"/>
      <x:c r="AC551" s="109"/>
      <x:c r="AD551" s="16"/>
      <x:c r="AE551" s="16"/>
      <x:c r="AF551" s="16"/>
    </x:row>
    <x:row r="552">
      <x:c r="H552" s="107"/>
      <x:c r="I552" s="107"/>
      <x:c r="O552" s="107"/>
      <x:c r="P552" s="107"/>
      <x:c r="S552" s="107"/>
      <x:c r="W552" s="18" t="str">
        <x:f>IF(A552="","",IF(H552="","",IF(I552&lt;&gt;"",I552-H552+1,IF(S552&lt;&gt;"",S552-H552+1,""))))</x:f>
      </x:c>
      <x:c r="X552" s="16"/>
      <x:c r="Y552" s="16"/>
      <x:c r="Z552" s="16"/>
      <x:c r="AA552" s="16"/>
      <x:c r="AB552" s="109"/>
      <x:c r="AC552" s="109"/>
      <x:c r="AD552" s="16"/>
      <x:c r="AE552" s="16"/>
      <x:c r="AF552" s="16"/>
    </x:row>
    <x:row r="553">
      <x:c r="H553" s="107"/>
      <x:c r="I553" s="107"/>
      <x:c r="O553" s="107"/>
      <x:c r="P553" s="107"/>
      <x:c r="S553" s="107"/>
      <x:c r="W553" s="18" t="str">
        <x:f>IF(A553="","",IF(H553="","",IF(I553&lt;&gt;"",I553-H553+1,IF(S553&lt;&gt;"",S553-H553+1,""))))</x:f>
      </x:c>
      <x:c r="X553" s="16"/>
      <x:c r="Y553" s="16"/>
      <x:c r="Z553" s="16"/>
      <x:c r="AA553" s="16"/>
      <x:c r="AB553" s="109"/>
      <x:c r="AC553" s="109"/>
      <x:c r="AD553" s="16"/>
      <x:c r="AE553" s="16"/>
      <x:c r="AF553" s="16"/>
    </x:row>
    <x:row r="554">
      <x:c r="H554" s="107"/>
      <x:c r="I554" s="107"/>
      <x:c r="O554" s="107"/>
      <x:c r="P554" s="107"/>
      <x:c r="S554" s="107"/>
      <x:c r="W554" s="18" t="str">
        <x:f>IF(A554="","",IF(H554="","",IF(I554&lt;&gt;"",I554-H554+1,IF(S554&lt;&gt;"",S554-H554+1,""))))</x:f>
      </x:c>
      <x:c r="X554" s="16"/>
      <x:c r="Y554" s="16"/>
      <x:c r="Z554" s="16"/>
      <x:c r="AA554" s="16"/>
      <x:c r="AB554" s="109"/>
      <x:c r="AC554" s="109"/>
      <x:c r="AD554" s="16"/>
      <x:c r="AE554" s="16"/>
      <x:c r="AF554" s="16"/>
    </x:row>
    <x:row r="555">
      <x:c r="H555" s="107"/>
      <x:c r="I555" s="107"/>
      <x:c r="O555" s="107"/>
      <x:c r="P555" s="107"/>
      <x:c r="S555" s="107"/>
      <x:c r="W555" s="18" t="str">
        <x:f>IF(A555="","",IF(H555="","",IF(I555&lt;&gt;"",I555-H555+1,IF(S555&lt;&gt;"",S555-H555+1,""))))</x:f>
      </x:c>
      <x:c r="X555" s="16"/>
      <x:c r="Y555" s="16"/>
      <x:c r="Z555" s="16"/>
      <x:c r="AA555" s="16"/>
      <x:c r="AB555" s="109"/>
      <x:c r="AC555" s="109"/>
      <x:c r="AD555" s="16"/>
      <x:c r="AE555" s="16"/>
      <x:c r="AF555" s="16"/>
    </x:row>
    <x:row r="556">
      <x:c r="H556" s="107"/>
      <x:c r="I556" s="107"/>
      <x:c r="O556" s="107"/>
      <x:c r="P556" s="107"/>
      <x:c r="S556" s="107"/>
      <x:c r="W556" s="18" t="str">
        <x:f>IF(A556="","",IF(H556="","",IF(I556&lt;&gt;"",I556-H556+1,IF(S556&lt;&gt;"",S556-H556+1,""))))</x:f>
      </x:c>
      <x:c r="X556" s="16"/>
      <x:c r="Y556" s="16"/>
      <x:c r="Z556" s="16"/>
      <x:c r="AA556" s="16"/>
      <x:c r="AB556" s="109"/>
      <x:c r="AC556" s="109"/>
      <x:c r="AD556" s="16"/>
      <x:c r="AE556" s="16"/>
      <x:c r="AF556" s="16"/>
    </x:row>
    <x:row r="557">
      <x:c r="H557" s="107"/>
      <x:c r="I557" s="107"/>
      <x:c r="O557" s="107"/>
      <x:c r="P557" s="107"/>
      <x:c r="S557" s="107"/>
      <x:c r="W557" s="18" t="str">
        <x:f>IF(A557="","",IF(H557="","",IF(I557&lt;&gt;"",I557-H557+1,IF(S557&lt;&gt;"",S557-H557+1,""))))</x:f>
      </x:c>
      <x:c r="X557" s="16"/>
      <x:c r="Y557" s="16"/>
      <x:c r="Z557" s="16"/>
      <x:c r="AA557" s="16"/>
      <x:c r="AB557" s="109"/>
      <x:c r="AC557" s="109"/>
      <x:c r="AD557" s="16"/>
      <x:c r="AE557" s="16"/>
      <x:c r="AF557" s="16"/>
    </x:row>
    <x:row r="558">
      <x:c r="H558" s="107"/>
      <x:c r="I558" s="107"/>
      <x:c r="O558" s="107"/>
      <x:c r="P558" s="107"/>
      <x:c r="S558" s="107"/>
      <x:c r="W558" s="18" t="str">
        <x:f>IF(A558="","",IF(H558="","",IF(I558&lt;&gt;"",I558-H558+1,IF(S558&lt;&gt;"",S558-H558+1,""))))</x:f>
      </x:c>
      <x:c r="X558" s="16"/>
      <x:c r="Y558" s="16"/>
      <x:c r="Z558" s="16"/>
      <x:c r="AA558" s="16"/>
      <x:c r="AB558" s="109"/>
      <x:c r="AC558" s="109"/>
      <x:c r="AD558" s="16"/>
      <x:c r="AE558" s="16"/>
      <x:c r="AF558" s="16"/>
    </x:row>
    <x:row r="559">
      <x:c r="H559" s="107"/>
      <x:c r="I559" s="107"/>
      <x:c r="O559" s="107"/>
      <x:c r="P559" s="107"/>
      <x:c r="S559" s="107"/>
      <x:c r="W559" s="18" t="str">
        <x:f>IF(A559="","",IF(H559="","",IF(I559&lt;&gt;"",I559-H559+1,IF(S559&lt;&gt;"",S559-H559+1,""))))</x:f>
      </x:c>
      <x:c r="X559" s="16"/>
      <x:c r="Y559" s="16"/>
      <x:c r="Z559" s="16"/>
      <x:c r="AA559" s="16"/>
      <x:c r="AB559" s="109"/>
      <x:c r="AC559" s="109"/>
      <x:c r="AD559" s="16"/>
      <x:c r="AE559" s="16"/>
      <x:c r="AF559" s="16"/>
    </x:row>
    <x:row r="560">
      <x:c r="H560" s="107"/>
      <x:c r="I560" s="107"/>
      <x:c r="O560" s="107"/>
      <x:c r="P560" s="107"/>
      <x:c r="S560" s="107"/>
      <x:c r="W560" s="18" t="str">
        <x:f>IF(A560="","",IF(H560="","",IF(I560&lt;&gt;"",I560-H560+1,IF(S560&lt;&gt;"",S560-H560+1,""))))</x:f>
      </x:c>
      <x:c r="X560" s="16"/>
      <x:c r="Y560" s="16"/>
      <x:c r="Z560" s="16"/>
      <x:c r="AA560" s="16"/>
      <x:c r="AB560" s="109"/>
      <x:c r="AC560" s="109"/>
      <x:c r="AD560" s="16"/>
      <x:c r="AE560" s="16"/>
      <x:c r="AF560" s="16"/>
    </x:row>
    <x:row r="561">
      <x:c r="H561" s="107"/>
      <x:c r="I561" s="107"/>
      <x:c r="O561" s="107"/>
      <x:c r="P561" s="107"/>
      <x:c r="S561" s="107"/>
      <x:c r="W561" s="18" t="str">
        <x:f>IF(A561="","",IF(H561="","",IF(I561&lt;&gt;"",I561-H561+1,IF(S561&lt;&gt;"",S561-H561+1,""))))</x:f>
      </x:c>
      <x:c r="X561" s="16"/>
      <x:c r="Y561" s="16"/>
      <x:c r="Z561" s="16"/>
      <x:c r="AA561" s="16"/>
      <x:c r="AB561" s="109"/>
      <x:c r="AC561" s="109"/>
      <x:c r="AD561" s="16"/>
      <x:c r="AE561" s="16"/>
      <x:c r="AF561" s="16"/>
    </x:row>
    <x:row r="562">
      <x:c r="H562" s="107"/>
      <x:c r="I562" s="107"/>
      <x:c r="O562" s="107"/>
      <x:c r="P562" s="107"/>
      <x:c r="S562" s="107"/>
      <x:c r="W562" s="18" t="str">
        <x:f>IF(A562="","",IF(H562="","",IF(I562&lt;&gt;"",I562-H562+1,IF(S562&lt;&gt;"",S562-H562+1,""))))</x:f>
      </x:c>
      <x:c r="X562" s="16"/>
      <x:c r="Y562" s="16"/>
      <x:c r="Z562" s="16"/>
      <x:c r="AA562" s="16"/>
      <x:c r="AB562" s="109"/>
      <x:c r="AC562" s="109"/>
      <x:c r="AD562" s="16"/>
      <x:c r="AE562" s="16"/>
      <x:c r="AF562" s="16"/>
    </x:row>
    <x:row r="563">
      <x:c r="H563" s="107"/>
      <x:c r="I563" s="107"/>
      <x:c r="O563" s="107"/>
      <x:c r="P563" s="107"/>
      <x:c r="S563" s="107"/>
      <x:c r="W563" s="18" t="str">
        <x:f>IF(A563="","",IF(H563="","",IF(I563&lt;&gt;"",I563-H563+1,IF(S563&lt;&gt;"",S563-H563+1,""))))</x:f>
      </x:c>
      <x:c r="X563" s="16"/>
      <x:c r="Y563" s="16"/>
      <x:c r="Z563" s="16"/>
      <x:c r="AA563" s="16"/>
      <x:c r="AB563" s="109"/>
      <x:c r="AC563" s="109"/>
      <x:c r="AD563" s="16"/>
      <x:c r="AE563" s="16"/>
      <x:c r="AF563" s="16"/>
    </x:row>
    <x:row r="564">
      <x:c r="H564" s="107"/>
      <x:c r="I564" s="107"/>
      <x:c r="O564" s="107"/>
      <x:c r="P564" s="107"/>
      <x:c r="S564" s="107"/>
      <x:c r="W564" s="18" t="str">
        <x:f>IF(A564="","",IF(H564="","",IF(I564&lt;&gt;"",I564-H564+1,IF(S564&lt;&gt;"",S564-H564+1,""))))</x:f>
      </x:c>
      <x:c r="X564" s="16"/>
      <x:c r="Y564" s="16"/>
      <x:c r="Z564" s="16"/>
      <x:c r="AA564" s="16"/>
      <x:c r="AB564" s="109"/>
      <x:c r="AC564" s="109"/>
      <x:c r="AD564" s="16"/>
      <x:c r="AE564" s="16"/>
      <x:c r="AF564" s="16"/>
    </x:row>
    <x:row r="565">
      <x:c r="H565" s="107"/>
      <x:c r="I565" s="107"/>
      <x:c r="O565" s="107"/>
      <x:c r="P565" s="107"/>
      <x:c r="S565" s="107"/>
      <x:c r="W565" s="18" t="str">
        <x:f>IF(A565="","",IF(H565="","",IF(I565&lt;&gt;"",I565-H565+1,IF(S565&lt;&gt;"",S565-H565+1,""))))</x:f>
      </x:c>
      <x:c r="X565" s="16"/>
      <x:c r="Y565" s="16"/>
      <x:c r="Z565" s="16"/>
      <x:c r="AA565" s="16"/>
      <x:c r="AB565" s="109"/>
      <x:c r="AC565" s="109"/>
      <x:c r="AD565" s="16"/>
      <x:c r="AE565" s="16"/>
      <x:c r="AF565" s="16"/>
    </x:row>
    <x:row r="566">
      <x:c r="H566" s="107"/>
      <x:c r="I566" s="107"/>
      <x:c r="O566" s="107"/>
      <x:c r="P566" s="107"/>
      <x:c r="S566" s="107"/>
      <x:c r="W566" s="18" t="str">
        <x:f>IF(A566="","",IF(H566="","",IF(I566&lt;&gt;"",I566-H566+1,IF(S566&lt;&gt;"",S566-H566+1,""))))</x:f>
      </x:c>
      <x:c r="X566" s="16"/>
      <x:c r="Y566" s="16"/>
      <x:c r="Z566" s="16"/>
      <x:c r="AA566" s="16"/>
      <x:c r="AB566" s="109"/>
      <x:c r="AC566" s="109"/>
      <x:c r="AD566" s="16"/>
      <x:c r="AE566" s="16"/>
      <x:c r="AF566" s="16"/>
    </x:row>
    <x:row r="567">
      <x:c r="H567" s="107"/>
      <x:c r="I567" s="107"/>
      <x:c r="O567" s="107"/>
      <x:c r="P567" s="107"/>
      <x:c r="S567" s="107"/>
      <x:c r="W567" s="18" t="str">
        <x:f>IF(A567="","",IF(H567="","",IF(I567&lt;&gt;"",I567-H567+1,IF(S567&lt;&gt;"",S567-H567+1,""))))</x:f>
      </x:c>
      <x:c r="X567" s="16"/>
      <x:c r="Y567" s="16"/>
      <x:c r="Z567" s="16"/>
      <x:c r="AA567" s="16"/>
      <x:c r="AB567" s="109"/>
      <x:c r="AC567" s="109"/>
      <x:c r="AD567" s="16"/>
      <x:c r="AE567" s="16"/>
      <x:c r="AF567" s="16"/>
    </x:row>
    <x:row r="568">
      <x:c r="H568" s="107"/>
      <x:c r="I568" s="107"/>
      <x:c r="O568" s="107"/>
      <x:c r="P568" s="107"/>
      <x:c r="S568" s="107"/>
      <x:c r="W568" s="18" t="str">
        <x:f>IF(A568="","",IF(H568="","",IF(I568&lt;&gt;"",I568-H568+1,IF(S568&lt;&gt;"",S568-H568+1,""))))</x:f>
      </x:c>
      <x:c r="X568" s="16"/>
      <x:c r="Y568" s="16"/>
      <x:c r="Z568" s="16"/>
      <x:c r="AA568" s="16"/>
      <x:c r="AB568" s="109"/>
      <x:c r="AC568" s="109"/>
      <x:c r="AD568" s="16"/>
      <x:c r="AE568" s="16"/>
      <x:c r="AF568" s="16"/>
    </x:row>
    <x:row r="569">
      <x:c r="H569" s="107"/>
      <x:c r="I569" s="107"/>
      <x:c r="O569" s="107"/>
      <x:c r="P569" s="107"/>
      <x:c r="S569" s="107"/>
      <x:c r="W569" s="18" t="str">
        <x:f>IF(A569="","",IF(H569="","",IF(I569&lt;&gt;"",I569-H569+1,IF(S569&lt;&gt;"",S569-H569+1,""))))</x:f>
      </x:c>
      <x:c r="X569" s="16"/>
      <x:c r="Y569" s="16"/>
      <x:c r="Z569" s="16"/>
      <x:c r="AA569" s="16"/>
      <x:c r="AB569" s="109"/>
      <x:c r="AC569" s="109"/>
      <x:c r="AD569" s="16"/>
      <x:c r="AE569" s="16"/>
      <x:c r="AF569" s="16"/>
    </x:row>
    <x:row r="570">
      <x:c r="H570" s="107"/>
      <x:c r="I570" s="107"/>
      <x:c r="O570" s="107"/>
      <x:c r="P570" s="107"/>
      <x:c r="S570" s="107"/>
      <x:c r="W570" s="18" t="str">
        <x:f>IF(A570="","",IF(H570="","",IF(I570&lt;&gt;"",I570-H570+1,IF(S570&lt;&gt;"",S570-H570+1,""))))</x:f>
      </x:c>
      <x:c r="X570" s="16"/>
      <x:c r="Y570" s="16"/>
      <x:c r="Z570" s="16"/>
      <x:c r="AA570" s="16"/>
      <x:c r="AB570" s="109"/>
      <x:c r="AC570" s="109"/>
      <x:c r="AD570" s="16"/>
      <x:c r="AE570" s="16"/>
      <x:c r="AF570" s="16"/>
    </x:row>
    <x:row r="571">
      <x:c r="H571" s="107"/>
      <x:c r="I571" s="107"/>
      <x:c r="O571" s="107"/>
      <x:c r="P571" s="107"/>
      <x:c r="S571" s="107"/>
      <x:c r="W571" s="18" t="str">
        <x:f>IF(A571="","",IF(H571="","",IF(I571&lt;&gt;"",I571-H571+1,IF(S571&lt;&gt;"",S571-H571+1,""))))</x:f>
      </x:c>
      <x:c r="X571" s="16"/>
      <x:c r="Y571" s="16"/>
      <x:c r="Z571" s="16"/>
      <x:c r="AA571" s="16"/>
      <x:c r="AB571" s="109"/>
      <x:c r="AC571" s="109"/>
      <x:c r="AD571" s="16"/>
      <x:c r="AE571" s="16"/>
      <x:c r="AF571" s="16"/>
    </x:row>
    <x:row r="572">
      <x:c r="H572" s="107"/>
      <x:c r="I572" s="107"/>
      <x:c r="O572" s="107"/>
      <x:c r="P572" s="107"/>
      <x:c r="S572" s="107"/>
      <x:c r="W572" s="18" t="str">
        <x:f>IF(A572="","",IF(H572="","",IF(I572&lt;&gt;"",I572-H572+1,IF(S572&lt;&gt;"",S572-H572+1,""))))</x:f>
      </x:c>
      <x:c r="X572" s="16"/>
      <x:c r="Y572" s="16"/>
      <x:c r="Z572" s="16"/>
      <x:c r="AA572" s="16"/>
      <x:c r="AB572" s="109"/>
      <x:c r="AC572" s="109"/>
      <x:c r="AD572" s="16"/>
      <x:c r="AE572" s="16"/>
      <x:c r="AF572" s="16"/>
    </x:row>
    <x:row r="573">
      <x:c r="H573" s="107"/>
      <x:c r="I573" s="107"/>
      <x:c r="O573" s="107"/>
      <x:c r="P573" s="107"/>
      <x:c r="S573" s="107"/>
      <x:c r="W573" s="18" t="str">
        <x:f>IF(A573="","",IF(H573="","",IF(I573&lt;&gt;"",I573-H573+1,IF(S573&lt;&gt;"",S573-H573+1,""))))</x:f>
      </x:c>
      <x:c r="X573" s="16"/>
      <x:c r="Y573" s="16"/>
      <x:c r="Z573" s="16"/>
      <x:c r="AA573" s="16"/>
      <x:c r="AB573" s="109"/>
      <x:c r="AC573" s="109"/>
      <x:c r="AD573" s="16"/>
      <x:c r="AE573" s="16"/>
      <x:c r="AF573" s="16"/>
    </x:row>
    <x:row r="574">
      <x:c r="H574" s="107"/>
      <x:c r="I574" s="107"/>
      <x:c r="O574" s="107"/>
      <x:c r="P574" s="107"/>
      <x:c r="S574" s="107"/>
      <x:c r="W574" s="18" t="str">
        <x:f>IF(A574="","",IF(H574="","",IF(I574&lt;&gt;"",I574-H574+1,IF(S574&lt;&gt;"",S574-H574+1,""))))</x:f>
      </x:c>
      <x:c r="X574" s="16"/>
      <x:c r="Y574" s="16"/>
      <x:c r="Z574" s="16"/>
      <x:c r="AA574" s="16"/>
      <x:c r="AB574" s="109"/>
      <x:c r="AC574" s="109"/>
      <x:c r="AD574" s="16"/>
      <x:c r="AE574" s="16"/>
      <x:c r="AF574" s="16"/>
    </x:row>
    <x:row r="575">
      <x:c r="H575" s="107"/>
      <x:c r="I575" s="107"/>
      <x:c r="O575" s="107"/>
      <x:c r="P575" s="107"/>
      <x:c r="S575" s="107"/>
      <x:c r="W575" s="18" t="str">
        <x:f>IF(A575="","",IF(H575="","",IF(I575&lt;&gt;"",I575-H575+1,IF(S575&lt;&gt;"",S575-H575+1,""))))</x:f>
      </x:c>
      <x:c r="X575" s="16"/>
      <x:c r="Y575" s="16"/>
      <x:c r="Z575" s="16"/>
      <x:c r="AA575" s="16"/>
      <x:c r="AB575" s="109"/>
      <x:c r="AC575" s="109"/>
      <x:c r="AD575" s="16"/>
      <x:c r="AE575" s="16"/>
      <x:c r="AF575" s="16"/>
    </x:row>
    <x:row r="576">
      <x:c r="H576" s="107"/>
      <x:c r="I576" s="107"/>
      <x:c r="O576" s="107"/>
      <x:c r="P576" s="107"/>
      <x:c r="S576" s="107"/>
      <x:c r="W576" s="18" t="str">
        <x:f>IF(A576="","",IF(H576="","",IF(I576&lt;&gt;"",I576-H576+1,IF(S576&lt;&gt;"",S576-H576+1,""))))</x:f>
      </x:c>
      <x:c r="X576" s="16"/>
      <x:c r="Y576" s="16"/>
      <x:c r="Z576" s="16"/>
      <x:c r="AA576" s="16"/>
      <x:c r="AB576" s="109"/>
      <x:c r="AC576" s="109"/>
      <x:c r="AD576" s="16"/>
      <x:c r="AE576" s="16"/>
      <x:c r="AF576" s="16"/>
    </x:row>
    <x:row r="577">
      <x:c r="H577" s="107"/>
      <x:c r="I577" s="107"/>
      <x:c r="O577" s="107"/>
      <x:c r="P577" s="107"/>
      <x:c r="S577" s="107"/>
      <x:c r="W577" s="18" t="str">
        <x:f>IF(A577="","",IF(H577="","",IF(I577&lt;&gt;"",I577-H577+1,IF(S577&lt;&gt;"",S577-H577+1,""))))</x:f>
      </x:c>
      <x:c r="X577" s="16"/>
      <x:c r="Y577" s="16"/>
      <x:c r="Z577" s="16"/>
      <x:c r="AA577" s="16"/>
      <x:c r="AB577" s="109"/>
      <x:c r="AC577" s="109"/>
      <x:c r="AD577" s="16"/>
      <x:c r="AE577" s="16"/>
      <x:c r="AF577" s="16"/>
    </x:row>
    <x:row r="578">
      <x:c r="H578" s="107"/>
      <x:c r="I578" s="107"/>
      <x:c r="O578" s="107"/>
      <x:c r="P578" s="107"/>
      <x:c r="S578" s="107"/>
      <x:c r="W578" s="18" t="str">
        <x:f>IF(A578="","",IF(H578="","",IF(I578&lt;&gt;"",I578-H578+1,IF(S578&lt;&gt;"",S578-H578+1,""))))</x:f>
      </x:c>
      <x:c r="X578" s="16"/>
      <x:c r="Y578" s="16"/>
      <x:c r="Z578" s="16"/>
      <x:c r="AA578" s="16"/>
      <x:c r="AB578" s="109"/>
      <x:c r="AC578" s="109"/>
      <x:c r="AD578" s="16"/>
      <x:c r="AE578" s="16"/>
      <x:c r="AF578" s="16"/>
    </x:row>
    <x:row r="579">
      <x:c r="H579" s="107"/>
      <x:c r="I579" s="107"/>
      <x:c r="O579" s="107"/>
      <x:c r="P579" s="107"/>
      <x:c r="S579" s="107"/>
      <x:c r="W579" s="18" t="str">
        <x:f>IF(A579="","",IF(H579="","",IF(I579&lt;&gt;"",I579-H579+1,IF(S579&lt;&gt;"",S579-H579+1,""))))</x:f>
      </x:c>
      <x:c r="X579" s="16"/>
      <x:c r="Y579" s="16"/>
      <x:c r="Z579" s="16"/>
      <x:c r="AA579" s="16"/>
      <x:c r="AB579" s="109"/>
      <x:c r="AC579" s="109"/>
      <x:c r="AD579" s="16"/>
      <x:c r="AE579" s="16"/>
      <x:c r="AF579" s="16"/>
    </x:row>
    <x:row r="580">
      <x:c r="H580" s="107"/>
      <x:c r="I580" s="107"/>
      <x:c r="O580" s="107"/>
      <x:c r="P580" s="107"/>
      <x:c r="S580" s="107"/>
      <x:c r="W580" s="18" t="str">
        <x:f>IF(A580="","",IF(H580="","",IF(I580&lt;&gt;"",I580-H580+1,IF(S580&lt;&gt;"",S580-H580+1,""))))</x:f>
      </x:c>
      <x:c r="X580" s="16"/>
      <x:c r="Y580" s="16"/>
      <x:c r="Z580" s="16"/>
      <x:c r="AA580" s="16"/>
      <x:c r="AB580" s="109"/>
      <x:c r="AC580" s="109"/>
      <x:c r="AD580" s="16"/>
      <x:c r="AE580" s="16"/>
      <x:c r="AF580" s="16"/>
    </x:row>
    <x:row r="581">
      <x:c r="H581" s="107"/>
      <x:c r="I581" s="107"/>
      <x:c r="O581" s="107"/>
      <x:c r="P581" s="107"/>
      <x:c r="S581" s="107"/>
      <x:c r="W581" s="18" t="str">
        <x:f>IF(A581="","",IF(H581="","",IF(I581&lt;&gt;"",I581-H581+1,IF(S581&lt;&gt;"",S581-H581+1,""))))</x:f>
      </x:c>
      <x:c r="X581" s="16"/>
      <x:c r="Y581" s="16"/>
      <x:c r="Z581" s="16"/>
      <x:c r="AA581" s="16"/>
      <x:c r="AB581" s="109"/>
      <x:c r="AC581" s="109"/>
      <x:c r="AD581" s="16"/>
      <x:c r="AE581" s="16"/>
      <x:c r="AF581" s="16"/>
    </x:row>
    <x:row r="582">
      <x:c r="H582" s="107"/>
      <x:c r="I582" s="107"/>
      <x:c r="O582" s="107"/>
      <x:c r="P582" s="107"/>
      <x:c r="S582" s="107"/>
      <x:c r="W582" s="18" t="str">
        <x:f>IF(A582="","",IF(H582="","",IF(I582&lt;&gt;"",I582-H582+1,IF(S582&lt;&gt;"",S582-H582+1,""))))</x:f>
      </x:c>
      <x:c r="X582" s="16"/>
      <x:c r="Y582" s="16"/>
      <x:c r="Z582" s="16"/>
      <x:c r="AA582" s="16"/>
      <x:c r="AB582" s="109"/>
      <x:c r="AC582" s="109"/>
      <x:c r="AD582" s="16"/>
      <x:c r="AE582" s="16"/>
      <x:c r="AF582" s="16"/>
    </x:row>
    <x:row r="583">
      <x:c r="H583" s="107"/>
      <x:c r="I583" s="107"/>
      <x:c r="O583" s="107"/>
      <x:c r="P583" s="107"/>
      <x:c r="S583" s="107"/>
      <x:c r="W583" s="18" t="str">
        <x:f>IF(A583="","",IF(H583="","",IF(I583&lt;&gt;"",I583-H583+1,IF(S583&lt;&gt;"",S583-H583+1,""))))</x:f>
      </x:c>
      <x:c r="X583" s="16"/>
      <x:c r="Y583" s="16"/>
      <x:c r="Z583" s="16"/>
      <x:c r="AA583" s="16"/>
      <x:c r="AB583" s="109"/>
      <x:c r="AC583" s="109"/>
      <x:c r="AD583" s="16"/>
      <x:c r="AE583" s="16"/>
      <x:c r="AF583" s="16"/>
    </x:row>
    <x:row r="584">
      <x:c r="H584" s="107"/>
      <x:c r="I584" s="107"/>
      <x:c r="O584" s="107"/>
      <x:c r="P584" s="107"/>
      <x:c r="S584" s="107"/>
      <x:c r="W584" s="18" t="str">
        <x:f>IF(A584="","",IF(H584="","",IF(I584&lt;&gt;"",I584-H584+1,IF(S584&lt;&gt;"",S584-H584+1,""))))</x:f>
      </x:c>
      <x:c r="X584" s="16"/>
      <x:c r="Y584" s="16"/>
      <x:c r="Z584" s="16"/>
      <x:c r="AA584" s="16"/>
      <x:c r="AB584" s="109"/>
      <x:c r="AC584" s="109"/>
      <x:c r="AD584" s="16"/>
      <x:c r="AE584" s="16"/>
      <x:c r="AF584" s="16"/>
    </x:row>
    <x:row r="585">
      <x:c r="H585" s="107"/>
      <x:c r="I585" s="107"/>
      <x:c r="O585" s="107"/>
      <x:c r="P585" s="107"/>
      <x:c r="S585" s="107"/>
      <x:c r="W585" s="18" t="str">
        <x:f>IF(A585="","",IF(H585="","",IF(I585&lt;&gt;"",I585-H585+1,IF(S585&lt;&gt;"",S585-H585+1,""))))</x:f>
      </x:c>
      <x:c r="X585" s="16"/>
      <x:c r="Y585" s="16"/>
      <x:c r="Z585" s="16"/>
      <x:c r="AA585" s="16"/>
      <x:c r="AB585" s="109"/>
      <x:c r="AC585" s="109"/>
      <x:c r="AD585" s="16"/>
      <x:c r="AE585" s="16"/>
      <x:c r="AF585" s="16"/>
    </x:row>
    <x:row r="586">
      <x:c r="H586" s="107"/>
      <x:c r="I586" s="107"/>
      <x:c r="O586" s="107"/>
      <x:c r="P586" s="107"/>
      <x:c r="S586" s="107"/>
      <x:c r="W586" s="18" t="str">
        <x:f>IF(A586="","",IF(H586="","",IF(I586&lt;&gt;"",I586-H586+1,IF(S586&lt;&gt;"",S586-H586+1,""))))</x:f>
      </x:c>
      <x:c r="X586" s="16"/>
      <x:c r="Y586" s="16"/>
      <x:c r="Z586" s="16"/>
      <x:c r="AA586" s="16"/>
      <x:c r="AB586" s="109"/>
      <x:c r="AC586" s="109"/>
      <x:c r="AD586" s="16"/>
      <x:c r="AE586" s="16"/>
      <x:c r="AF586" s="16"/>
    </x:row>
    <x:row r="587">
      <x:c r="H587" s="107"/>
      <x:c r="I587" s="107"/>
      <x:c r="O587" s="107"/>
      <x:c r="P587" s="107"/>
      <x:c r="S587" s="107"/>
      <x:c r="W587" s="18" t="str">
        <x:f>IF(A587="","",IF(H587="","",IF(I587&lt;&gt;"",I587-H587+1,IF(S587&lt;&gt;"",S587-H587+1,""))))</x:f>
      </x:c>
      <x:c r="X587" s="16"/>
      <x:c r="Y587" s="16"/>
      <x:c r="Z587" s="16"/>
      <x:c r="AA587" s="16"/>
      <x:c r="AB587" s="109"/>
      <x:c r="AC587" s="109"/>
      <x:c r="AD587" s="16"/>
      <x:c r="AE587" s="16"/>
      <x:c r="AF587" s="16"/>
    </x:row>
    <x:row r="588">
      <x:c r="H588" s="107"/>
      <x:c r="I588" s="107"/>
      <x:c r="O588" s="107"/>
      <x:c r="P588" s="107"/>
      <x:c r="S588" s="107"/>
      <x:c r="W588" s="18" t="str">
        <x:f>IF(A588="","",IF(H588="","",IF(I588&lt;&gt;"",I588-H588+1,IF(S588&lt;&gt;"",S588-H588+1,""))))</x:f>
      </x:c>
      <x:c r="X588" s="16"/>
      <x:c r="Y588" s="16"/>
      <x:c r="Z588" s="16"/>
      <x:c r="AA588" s="16"/>
      <x:c r="AB588" s="109"/>
      <x:c r="AC588" s="109"/>
      <x:c r="AD588" s="16"/>
      <x:c r="AE588" s="16"/>
      <x:c r="AF588" s="16"/>
    </x:row>
    <x:row r="589">
      <x:c r="H589" s="107"/>
      <x:c r="I589" s="107"/>
      <x:c r="O589" s="107"/>
      <x:c r="P589" s="107"/>
      <x:c r="S589" s="107"/>
      <x:c r="W589" s="18" t="str">
        <x:f>IF(A589="","",IF(H589="","",IF(I589&lt;&gt;"",I589-H589+1,IF(S589&lt;&gt;"",S589-H589+1,""))))</x:f>
      </x:c>
      <x:c r="X589" s="16"/>
      <x:c r="Y589" s="16"/>
      <x:c r="Z589" s="16"/>
      <x:c r="AA589" s="16"/>
      <x:c r="AB589" s="109"/>
      <x:c r="AC589" s="109"/>
      <x:c r="AD589" s="16"/>
      <x:c r="AE589" s="16"/>
      <x:c r="AF589" s="16"/>
    </x:row>
    <x:row r="590">
      <x:c r="H590" s="107"/>
      <x:c r="I590" s="107"/>
      <x:c r="O590" s="107"/>
      <x:c r="P590" s="107"/>
      <x:c r="S590" s="107"/>
      <x:c r="W590" s="18" t="str">
        <x:f>IF(A590="","",IF(H590="","",IF(I590&lt;&gt;"",I590-H590+1,IF(S590&lt;&gt;"",S590-H590+1,""))))</x:f>
      </x:c>
      <x:c r="X590" s="16"/>
      <x:c r="Y590" s="16"/>
      <x:c r="Z590" s="16"/>
      <x:c r="AA590" s="16"/>
      <x:c r="AB590" s="109"/>
      <x:c r="AC590" s="109"/>
      <x:c r="AD590" s="16"/>
      <x:c r="AE590" s="16"/>
      <x:c r="AF590" s="16"/>
    </x:row>
    <x:row r="591">
      <x:c r="H591" s="107"/>
      <x:c r="I591" s="107"/>
      <x:c r="O591" s="107"/>
      <x:c r="P591" s="107"/>
      <x:c r="S591" s="107"/>
      <x:c r="W591" s="18" t="str">
        <x:f>IF(A591="","",IF(H591="","",IF(I591&lt;&gt;"",I591-H591+1,IF(S591&lt;&gt;"",S591-H591+1,""))))</x:f>
      </x:c>
      <x:c r="X591" s="16"/>
      <x:c r="Y591" s="16"/>
      <x:c r="Z591" s="16"/>
      <x:c r="AA591" s="16"/>
      <x:c r="AB591" s="109"/>
      <x:c r="AC591" s="109"/>
      <x:c r="AD591" s="16"/>
      <x:c r="AE591" s="16"/>
      <x:c r="AF591" s="16"/>
    </x:row>
    <x:row r="592">
      <x:c r="H592" s="107"/>
      <x:c r="I592" s="107"/>
      <x:c r="O592" s="107"/>
      <x:c r="P592" s="107"/>
      <x:c r="S592" s="107"/>
      <x:c r="W592" s="18" t="str">
        <x:f>IF(A592="","",IF(H592="","",IF(I592&lt;&gt;"",I592-H592+1,IF(S592&lt;&gt;"",S592-H592+1,""))))</x:f>
      </x:c>
      <x:c r="X592" s="16"/>
      <x:c r="Y592" s="16"/>
      <x:c r="Z592" s="16"/>
      <x:c r="AA592" s="16"/>
      <x:c r="AB592" s="109"/>
      <x:c r="AC592" s="109"/>
      <x:c r="AD592" s="16"/>
      <x:c r="AE592" s="16"/>
      <x:c r="AF592" s="16"/>
    </x:row>
    <x:row r="593">
      <x:c r="H593" s="107"/>
      <x:c r="I593" s="107"/>
      <x:c r="O593" s="107"/>
      <x:c r="P593" s="107"/>
      <x:c r="S593" s="107"/>
      <x:c r="W593" s="18" t="str">
        <x:f>IF(A593="","",IF(H593="","",IF(I593&lt;&gt;"",I593-H593+1,IF(S593&lt;&gt;"",S593-H593+1,""))))</x:f>
      </x:c>
      <x:c r="X593" s="16"/>
      <x:c r="Y593" s="16"/>
      <x:c r="Z593" s="16"/>
      <x:c r="AA593" s="16"/>
      <x:c r="AB593" s="109"/>
      <x:c r="AC593" s="109"/>
      <x:c r="AD593" s="16"/>
      <x:c r="AE593" s="16"/>
      <x:c r="AF593" s="16"/>
    </x:row>
    <x:row r="594">
      <x:c r="H594" s="107"/>
      <x:c r="I594" s="107"/>
      <x:c r="O594" s="107"/>
      <x:c r="P594" s="107"/>
      <x:c r="S594" s="107"/>
      <x:c r="W594" s="18" t="str">
        <x:f>IF(A594="","",IF(H594="","",IF(I594&lt;&gt;"",I594-H594+1,IF(S594&lt;&gt;"",S594-H594+1,""))))</x:f>
      </x:c>
      <x:c r="X594" s="16"/>
      <x:c r="Y594" s="16"/>
      <x:c r="Z594" s="16"/>
      <x:c r="AA594" s="16"/>
      <x:c r="AB594" s="109"/>
      <x:c r="AC594" s="109"/>
      <x:c r="AD594" s="16"/>
      <x:c r="AE594" s="16"/>
      <x:c r="AF594" s="16"/>
    </x:row>
    <x:row r="595">
      <x:c r="H595" s="107"/>
      <x:c r="I595" s="107"/>
      <x:c r="O595" s="107"/>
      <x:c r="P595" s="107"/>
      <x:c r="S595" s="107"/>
      <x:c r="W595" s="18" t="str">
        <x:f>IF(A595="","",IF(H595="","",IF(I595&lt;&gt;"",I595-H595+1,IF(S595&lt;&gt;"",S595-H595+1,""))))</x:f>
      </x:c>
      <x:c r="X595" s="16"/>
      <x:c r="Y595" s="16"/>
      <x:c r="Z595" s="16"/>
      <x:c r="AA595" s="16"/>
      <x:c r="AB595" s="109"/>
      <x:c r="AC595" s="109"/>
      <x:c r="AD595" s="16"/>
      <x:c r="AE595" s="16"/>
      <x:c r="AF595" s="16"/>
    </x:row>
    <x:row r="596">
      <x:c r="H596" s="107"/>
      <x:c r="I596" s="107"/>
      <x:c r="O596" s="107"/>
      <x:c r="P596" s="107"/>
      <x:c r="S596" s="107"/>
      <x:c r="W596" s="18" t="str">
        <x:f>IF(A596="","",IF(H596="","",IF(I596&lt;&gt;"",I596-H596+1,IF(S596&lt;&gt;"",S596-H596+1,""))))</x:f>
      </x:c>
      <x:c r="X596" s="16"/>
      <x:c r="Y596" s="16"/>
      <x:c r="Z596" s="16"/>
      <x:c r="AA596" s="16"/>
      <x:c r="AB596" s="109"/>
      <x:c r="AC596" s="109"/>
      <x:c r="AD596" s="16"/>
      <x:c r="AE596" s="16"/>
      <x:c r="AF596" s="16"/>
    </x:row>
    <x:row r="597">
      <x:c r="H597" s="107"/>
      <x:c r="I597" s="107"/>
      <x:c r="O597" s="107"/>
      <x:c r="P597" s="107"/>
      <x:c r="S597" s="107"/>
      <x:c r="W597" s="18" t="str">
        <x:f>IF(A597="","",IF(H597="","",IF(I597&lt;&gt;"",I597-H597+1,IF(S597&lt;&gt;"",S597-H597+1,""))))</x:f>
      </x:c>
      <x:c r="X597" s="16"/>
      <x:c r="Y597" s="16"/>
      <x:c r="Z597" s="16"/>
      <x:c r="AA597" s="16"/>
      <x:c r="AB597" s="109"/>
      <x:c r="AC597" s="109"/>
      <x:c r="AD597" s="16"/>
      <x:c r="AE597" s="16"/>
      <x:c r="AF597" s="16"/>
    </x:row>
    <x:row r="598">
      <x:c r="H598" s="107"/>
      <x:c r="I598" s="107"/>
      <x:c r="O598" s="107"/>
      <x:c r="P598" s="107"/>
      <x:c r="S598" s="107"/>
      <x:c r="W598" s="18" t="str">
        <x:f>IF(A598="","",IF(H598="","",IF(I598&lt;&gt;"",I598-H598+1,IF(S598&lt;&gt;"",S598-H598+1,""))))</x:f>
      </x:c>
      <x:c r="X598" s="16"/>
      <x:c r="Y598" s="16"/>
      <x:c r="Z598" s="16"/>
      <x:c r="AA598" s="16"/>
      <x:c r="AB598" s="109"/>
      <x:c r="AC598" s="109"/>
      <x:c r="AD598" s="16"/>
      <x:c r="AE598" s="16"/>
      <x:c r="AF598" s="16"/>
    </x:row>
    <x:row r="599">
      <x:c r="H599" s="107"/>
      <x:c r="I599" s="107"/>
      <x:c r="O599" s="107"/>
      <x:c r="P599" s="107"/>
      <x:c r="S599" s="107"/>
      <x:c r="W599" s="18" t="str">
        <x:f>IF(A599="","",IF(H599="","",IF(I599&lt;&gt;"",I599-H599+1,IF(S599&lt;&gt;"",S599-H599+1,""))))</x:f>
      </x:c>
      <x:c r="X599" s="16"/>
      <x:c r="Y599" s="16"/>
      <x:c r="Z599" s="16"/>
      <x:c r="AA599" s="16"/>
      <x:c r="AB599" s="109"/>
      <x:c r="AC599" s="109"/>
      <x:c r="AD599" s="16"/>
      <x:c r="AE599" s="16"/>
      <x:c r="AF599" s="16"/>
    </x:row>
    <x:row r="600">
      <x:c r="H600" s="107"/>
      <x:c r="I600" s="107"/>
      <x:c r="O600" s="107"/>
      <x:c r="P600" s="107"/>
      <x:c r="S600" s="107"/>
      <x:c r="W600" s="18" t="str">
        <x:f>IF(A600="","",IF(H600="","",IF(I600&lt;&gt;"",I600-H600+1,IF(S600&lt;&gt;"",S600-H600+1,""))))</x:f>
      </x:c>
      <x:c r="X600" s="16"/>
      <x:c r="Y600" s="16"/>
      <x:c r="Z600" s="16"/>
      <x:c r="AA600" s="16"/>
      <x:c r="AB600" s="109"/>
      <x:c r="AC600" s="109"/>
      <x:c r="AD600" s="16"/>
      <x:c r="AE600" s="16"/>
      <x:c r="AF600" s="16"/>
    </x:row>
    <x:row r="601">
      <x:c r="H601" s="107"/>
      <x:c r="I601" s="107"/>
      <x:c r="O601" s="107"/>
      <x:c r="P601" s="107"/>
      <x:c r="S601" s="107"/>
      <x:c r="W601" s="18" t="str">
        <x:f>IF(A601="","",IF(H601="","",IF(I601&lt;&gt;"",I601-H601+1,IF(S601&lt;&gt;"",S601-H601+1,""))))</x:f>
      </x:c>
      <x:c r="X601" s="16"/>
      <x:c r="Y601" s="16"/>
      <x:c r="Z601" s="16"/>
      <x:c r="AA601" s="16"/>
      <x:c r="AB601" s="109"/>
      <x:c r="AC601" s="109"/>
      <x:c r="AD601" s="16"/>
      <x:c r="AE601" s="16"/>
      <x:c r="AF601" s="16"/>
    </x:row>
    <x:row r="602">
      <x:c r="H602" s="107"/>
      <x:c r="I602" s="107"/>
      <x:c r="O602" s="107"/>
      <x:c r="P602" s="107"/>
      <x:c r="S602" s="107"/>
      <x:c r="W602" s="18" t="str">
        <x:f>IF(A602="","",IF(H602="","",IF(I602&lt;&gt;"",I602-H602+1,IF(S602&lt;&gt;"",S602-H602+1,""))))</x:f>
      </x:c>
      <x:c r="X602" s="16"/>
      <x:c r="Y602" s="16"/>
      <x:c r="Z602" s="16"/>
      <x:c r="AA602" s="16"/>
      <x:c r="AB602" s="109"/>
      <x:c r="AC602" s="109"/>
      <x:c r="AD602" s="16"/>
      <x:c r="AE602" s="16"/>
      <x:c r="AF602" s="16"/>
    </x:row>
    <x:row r="603">
      <x:c r="H603" s="107"/>
      <x:c r="I603" s="107"/>
      <x:c r="O603" s="107"/>
      <x:c r="P603" s="107"/>
      <x:c r="S603" s="107"/>
      <x:c r="W603" s="18" t="str">
        <x:f>IF(A603="","",IF(H603="","",IF(I603&lt;&gt;"",I603-H603+1,IF(S603&lt;&gt;"",S603-H603+1,""))))</x:f>
      </x:c>
      <x:c r="X603" s="16"/>
      <x:c r="Y603" s="16"/>
      <x:c r="Z603" s="16"/>
      <x:c r="AA603" s="16"/>
      <x:c r="AB603" s="109"/>
      <x:c r="AC603" s="109"/>
      <x:c r="AD603" s="16"/>
      <x:c r="AE603" s="16"/>
      <x:c r="AF603" s="16"/>
    </x:row>
    <x:row r="604">
      <x:c r="H604" s="107"/>
      <x:c r="I604" s="107"/>
      <x:c r="O604" s="107"/>
      <x:c r="P604" s="107"/>
      <x:c r="S604" s="107"/>
      <x:c r="W604" s="18" t="str">
        <x:f>IF(A604="","",IF(H604="","",IF(I604&lt;&gt;"",I604-H604+1,IF(S604&lt;&gt;"",S604-H604+1,""))))</x:f>
      </x:c>
      <x:c r="X604" s="16"/>
      <x:c r="Y604" s="16"/>
      <x:c r="Z604" s="16"/>
      <x:c r="AA604" s="16"/>
      <x:c r="AB604" s="109"/>
      <x:c r="AC604" s="109"/>
      <x:c r="AD604" s="16"/>
      <x:c r="AE604" s="16"/>
      <x:c r="AF604" s="16"/>
    </x:row>
    <x:row r="605">
      <x:c r="H605" s="107"/>
      <x:c r="I605" s="107"/>
      <x:c r="O605" s="107"/>
      <x:c r="P605" s="107"/>
      <x:c r="S605" s="107"/>
      <x:c r="W605" s="18" t="str">
        <x:f>IF(A605="","",IF(H605="","",IF(I605&lt;&gt;"",I605-H605+1,IF(S605&lt;&gt;"",S605-H605+1,""))))</x:f>
      </x:c>
      <x:c r="X605" s="16"/>
      <x:c r="Y605" s="16"/>
      <x:c r="Z605" s="16"/>
      <x:c r="AA605" s="16"/>
      <x:c r="AB605" s="109"/>
      <x:c r="AC605" s="109"/>
      <x:c r="AD605" s="16"/>
      <x:c r="AE605" s="16"/>
      <x:c r="AF605" s="16"/>
    </x:row>
    <x:row r="606">
      <x:c r="H606" s="107"/>
      <x:c r="I606" s="107"/>
      <x:c r="O606" s="107"/>
      <x:c r="P606" s="107"/>
      <x:c r="S606" s="107"/>
      <x:c r="W606" s="18" t="str">
        <x:f>IF(A606="","",IF(H606="","",IF(I606&lt;&gt;"",I606-H606+1,IF(S606&lt;&gt;"",S606-H606+1,""))))</x:f>
      </x:c>
      <x:c r="X606" s="16"/>
      <x:c r="Y606" s="16"/>
      <x:c r="Z606" s="16"/>
      <x:c r="AA606" s="16"/>
      <x:c r="AB606" s="109"/>
      <x:c r="AC606" s="109"/>
      <x:c r="AD606" s="16"/>
      <x:c r="AE606" s="16"/>
      <x:c r="AF606" s="16"/>
    </x:row>
    <x:row r="607">
      <x:c r="H607" s="107"/>
      <x:c r="I607" s="107"/>
      <x:c r="O607" s="107"/>
      <x:c r="P607" s="107"/>
      <x:c r="S607" s="107"/>
      <x:c r="W607" s="18" t="str">
        <x:f>IF(A607="","",IF(H607="","",IF(I607&lt;&gt;"",I607-H607+1,IF(S607&lt;&gt;"",S607-H607+1,""))))</x:f>
      </x:c>
      <x:c r="X607" s="16"/>
      <x:c r="Y607" s="16"/>
      <x:c r="Z607" s="16"/>
      <x:c r="AA607" s="16"/>
      <x:c r="AB607" s="109"/>
      <x:c r="AC607" s="109"/>
      <x:c r="AD607" s="16"/>
      <x:c r="AE607" s="16"/>
      <x:c r="AF607" s="16"/>
    </x:row>
    <x:row r="608">
      <x:c r="H608" s="107"/>
      <x:c r="I608" s="107"/>
      <x:c r="O608" s="107"/>
      <x:c r="P608" s="107"/>
      <x:c r="S608" s="107"/>
      <x:c r="W608" s="18" t="str">
        <x:f>IF(A608="","",IF(H608="","",IF(I608&lt;&gt;"",I608-H608+1,IF(S608&lt;&gt;"",S608-H608+1,""))))</x:f>
      </x:c>
      <x:c r="X608" s="16"/>
      <x:c r="Y608" s="16"/>
      <x:c r="Z608" s="16"/>
      <x:c r="AA608" s="16"/>
      <x:c r="AB608" s="109"/>
      <x:c r="AC608" s="109"/>
      <x:c r="AD608" s="16"/>
      <x:c r="AE608" s="16"/>
      <x:c r="AF608" s="16"/>
    </x:row>
    <x:row r="609">
      <x:c r="H609" s="107"/>
      <x:c r="I609" s="107"/>
      <x:c r="O609" s="107"/>
      <x:c r="P609" s="107"/>
      <x:c r="S609" s="107"/>
      <x:c r="W609" s="18" t="str">
        <x:f>IF(A609="","",IF(H609="","",IF(I609&lt;&gt;"",I609-H609+1,IF(S609&lt;&gt;"",S609-H609+1,""))))</x:f>
      </x:c>
      <x:c r="X609" s="16"/>
      <x:c r="Y609" s="16"/>
      <x:c r="Z609" s="16"/>
      <x:c r="AA609" s="16"/>
      <x:c r="AB609" s="109"/>
      <x:c r="AC609" s="109"/>
      <x:c r="AD609" s="16"/>
      <x:c r="AE609" s="16"/>
      <x:c r="AF609" s="16"/>
    </x:row>
    <x:row r="610">
      <x:c r="H610" s="107"/>
      <x:c r="I610" s="107"/>
      <x:c r="O610" s="107"/>
      <x:c r="P610" s="107"/>
      <x:c r="S610" s="107"/>
      <x:c r="W610" s="18" t="str">
        <x:f>IF(A610="","",IF(H610="","",IF(I610&lt;&gt;"",I610-H610+1,IF(S610&lt;&gt;"",S610-H610+1,""))))</x:f>
      </x:c>
      <x:c r="X610" s="16"/>
      <x:c r="Y610" s="16"/>
      <x:c r="Z610" s="16"/>
      <x:c r="AA610" s="16"/>
      <x:c r="AB610" s="109"/>
      <x:c r="AC610" s="109"/>
      <x:c r="AD610" s="16"/>
      <x:c r="AE610" s="16"/>
      <x:c r="AF610" s="16"/>
    </x:row>
    <x:row r="611">
      <x:c r="H611" s="107"/>
      <x:c r="I611" s="107"/>
      <x:c r="O611" s="107"/>
      <x:c r="P611" s="107"/>
      <x:c r="S611" s="107"/>
      <x:c r="W611" s="18" t="str">
        <x:f>IF(A611="","",IF(H611="","",IF(I611&lt;&gt;"",I611-H611+1,IF(S611&lt;&gt;"",S611-H611+1,""))))</x:f>
      </x:c>
      <x:c r="X611" s="16"/>
      <x:c r="Y611" s="16"/>
      <x:c r="Z611" s="16"/>
      <x:c r="AA611" s="16"/>
      <x:c r="AB611" s="109"/>
      <x:c r="AC611" s="109"/>
      <x:c r="AD611" s="16"/>
      <x:c r="AE611" s="16"/>
      <x:c r="AF611" s="16"/>
    </x:row>
    <x:row r="612">
      <x:c r="H612" s="107"/>
      <x:c r="I612" s="107"/>
      <x:c r="O612" s="107"/>
      <x:c r="P612" s="107"/>
      <x:c r="S612" s="107"/>
      <x:c r="W612" s="18" t="str">
        <x:f>IF(A612="","",IF(H612="","",IF(I612&lt;&gt;"",I612-H612+1,IF(S612&lt;&gt;"",S612-H612+1,""))))</x:f>
      </x:c>
      <x:c r="X612" s="16"/>
      <x:c r="Y612" s="16"/>
      <x:c r="Z612" s="16"/>
      <x:c r="AA612" s="16"/>
      <x:c r="AB612" s="109"/>
      <x:c r="AC612" s="109"/>
      <x:c r="AD612" s="16"/>
      <x:c r="AE612" s="16"/>
      <x:c r="AF612" s="16"/>
    </x:row>
    <x:row r="613">
      <x:c r="H613" s="107"/>
      <x:c r="I613" s="107"/>
      <x:c r="O613" s="107"/>
      <x:c r="P613" s="107"/>
      <x:c r="S613" s="107"/>
      <x:c r="W613" s="18" t="str">
        <x:f>IF(A613="","",IF(H613="","",IF(I613&lt;&gt;"",I613-H613+1,IF(S613&lt;&gt;"",S613-H613+1,""))))</x:f>
      </x:c>
      <x:c r="X613" s="16"/>
      <x:c r="Y613" s="16"/>
      <x:c r="Z613" s="16"/>
      <x:c r="AA613" s="16"/>
      <x:c r="AB613" s="109"/>
      <x:c r="AC613" s="109"/>
      <x:c r="AD613" s="16"/>
      <x:c r="AE613" s="16"/>
      <x:c r="AF613" s="16"/>
    </x:row>
    <x:row r="614">
      <x:c r="H614" s="107"/>
      <x:c r="I614" s="107"/>
      <x:c r="O614" s="107"/>
      <x:c r="P614" s="107"/>
      <x:c r="S614" s="107"/>
      <x:c r="W614" s="18" t="str">
        <x:f>IF(A614="","",IF(H614="","",IF(I614&lt;&gt;"",I614-H614+1,IF(S614&lt;&gt;"",S614-H614+1,""))))</x:f>
      </x:c>
      <x:c r="X614" s="16"/>
      <x:c r="Y614" s="16"/>
      <x:c r="Z614" s="16"/>
      <x:c r="AA614" s="16"/>
      <x:c r="AB614" s="109"/>
      <x:c r="AC614" s="109"/>
      <x:c r="AD614" s="16"/>
      <x:c r="AE614" s="16"/>
      <x:c r="AF614" s="16"/>
    </x:row>
    <x:row r="615">
      <x:c r="H615" s="107"/>
      <x:c r="I615" s="107"/>
      <x:c r="O615" s="107"/>
      <x:c r="P615" s="107"/>
      <x:c r="S615" s="107"/>
      <x:c r="W615" s="18" t="str">
        <x:f>IF(A615="","",IF(H615="","",IF(I615&lt;&gt;"",I615-H615+1,IF(S615&lt;&gt;"",S615-H615+1,""))))</x:f>
      </x:c>
      <x:c r="X615" s="16"/>
      <x:c r="Y615" s="16"/>
      <x:c r="Z615" s="16"/>
      <x:c r="AA615" s="16"/>
      <x:c r="AB615" s="109"/>
      <x:c r="AC615" s="109"/>
      <x:c r="AD615" s="16"/>
      <x:c r="AE615" s="16"/>
      <x:c r="AF615" s="16"/>
    </x:row>
    <x:row r="616">
      <x:c r="H616" s="107"/>
      <x:c r="I616" s="107"/>
      <x:c r="O616" s="107"/>
      <x:c r="P616" s="107"/>
      <x:c r="S616" s="107"/>
      <x:c r="W616" s="18" t="str">
        <x:f>IF(A616="","",IF(H616="","",IF(I616&lt;&gt;"",I616-H616+1,IF(S616&lt;&gt;"",S616-H616+1,""))))</x:f>
      </x:c>
      <x:c r="X616" s="16"/>
      <x:c r="Y616" s="16"/>
      <x:c r="Z616" s="16"/>
      <x:c r="AA616" s="16"/>
      <x:c r="AB616" s="109"/>
      <x:c r="AC616" s="109"/>
      <x:c r="AD616" s="16"/>
      <x:c r="AE616" s="16"/>
      <x:c r="AF616" s="16"/>
    </x:row>
    <x:row r="617">
      <x:c r="H617" s="107"/>
      <x:c r="I617" s="107"/>
      <x:c r="O617" s="107"/>
      <x:c r="P617" s="107"/>
      <x:c r="S617" s="107"/>
      <x:c r="W617" s="18" t="str">
        <x:f>IF(A617="","",IF(H617="","",IF(I617&lt;&gt;"",I617-H617+1,IF(S617&lt;&gt;"",S617-H617+1,""))))</x:f>
      </x:c>
      <x:c r="X617" s="16"/>
      <x:c r="Y617" s="16"/>
      <x:c r="Z617" s="16"/>
      <x:c r="AA617" s="16"/>
      <x:c r="AB617" s="109"/>
      <x:c r="AC617" s="109"/>
      <x:c r="AD617" s="16"/>
      <x:c r="AE617" s="16"/>
      <x:c r="AF617" s="16"/>
    </x:row>
    <x:row r="618">
      <x:c r="H618" s="107"/>
      <x:c r="I618" s="107"/>
      <x:c r="O618" s="107"/>
      <x:c r="P618" s="107"/>
      <x:c r="S618" s="107"/>
      <x:c r="W618" s="18" t="str">
        <x:f>IF(A618="","",IF(H618="","",IF(I618&lt;&gt;"",I618-H618+1,IF(S618&lt;&gt;"",S618-H618+1,""))))</x:f>
      </x:c>
      <x:c r="X618" s="16"/>
      <x:c r="Y618" s="16"/>
      <x:c r="Z618" s="16"/>
      <x:c r="AA618" s="16"/>
      <x:c r="AB618" s="109"/>
      <x:c r="AC618" s="109"/>
      <x:c r="AD618" s="16"/>
      <x:c r="AE618" s="16"/>
      <x:c r="AF618" s="16"/>
    </x:row>
    <x:row r="619">
      <x:c r="H619" s="107"/>
      <x:c r="I619" s="107"/>
      <x:c r="O619" s="107"/>
      <x:c r="P619" s="107"/>
      <x:c r="S619" s="107"/>
      <x:c r="W619" s="18" t="str">
        <x:f>IF(A619="","",IF(H619="","",IF(I619&lt;&gt;"",I619-H619+1,IF(S619&lt;&gt;"",S619-H619+1,""))))</x:f>
      </x:c>
      <x:c r="X619" s="16"/>
      <x:c r="Y619" s="16"/>
      <x:c r="Z619" s="16"/>
      <x:c r="AA619" s="16"/>
      <x:c r="AB619" s="109"/>
      <x:c r="AC619" s="109"/>
      <x:c r="AD619" s="16"/>
      <x:c r="AE619" s="16"/>
      <x:c r="AF619" s="16"/>
    </x:row>
    <x:row r="620">
      <x:c r="H620" s="107"/>
      <x:c r="I620" s="107"/>
      <x:c r="O620" s="107"/>
      <x:c r="P620" s="107"/>
      <x:c r="S620" s="107"/>
      <x:c r="W620" s="18" t="str">
        <x:f>IF(A620="","",IF(H620="","",IF(I620&lt;&gt;"",I620-H620+1,IF(S620&lt;&gt;"",S620-H620+1,""))))</x:f>
      </x:c>
      <x:c r="X620" s="16"/>
      <x:c r="Y620" s="16"/>
      <x:c r="Z620" s="16"/>
      <x:c r="AA620" s="16"/>
      <x:c r="AB620" s="109"/>
      <x:c r="AC620" s="109"/>
      <x:c r="AD620" s="16"/>
      <x:c r="AE620" s="16"/>
      <x:c r="AF620" s="16"/>
    </x:row>
    <x:row r="621">
      <x:c r="H621" s="107"/>
      <x:c r="I621" s="107"/>
      <x:c r="O621" s="107"/>
      <x:c r="P621" s="107"/>
      <x:c r="S621" s="107"/>
      <x:c r="W621" s="18" t="str">
        <x:f>IF(A621="","",IF(H621="","",IF(I621&lt;&gt;"",I621-H621+1,IF(S621&lt;&gt;"",S621-H621+1,""))))</x:f>
      </x:c>
      <x:c r="X621" s="16"/>
      <x:c r="Y621" s="16"/>
      <x:c r="Z621" s="16"/>
      <x:c r="AA621" s="16"/>
      <x:c r="AB621" s="109"/>
      <x:c r="AC621" s="109"/>
      <x:c r="AD621" s="16"/>
      <x:c r="AE621" s="16"/>
      <x:c r="AF621" s="16"/>
    </x:row>
    <x:row r="622">
      <x:c r="H622" s="107"/>
      <x:c r="I622" s="107"/>
      <x:c r="O622" s="107"/>
      <x:c r="P622" s="107"/>
      <x:c r="S622" s="107"/>
      <x:c r="W622" s="18" t="str">
        <x:f>IF(A622="","",IF(H622="","",IF(I622&lt;&gt;"",I622-H622+1,IF(S622&lt;&gt;"",S622-H622+1,""))))</x:f>
      </x:c>
      <x:c r="X622" s="16"/>
      <x:c r="Y622" s="16"/>
      <x:c r="Z622" s="16"/>
      <x:c r="AA622" s="16"/>
      <x:c r="AB622" s="109"/>
      <x:c r="AC622" s="109"/>
      <x:c r="AD622" s="16"/>
      <x:c r="AE622" s="16"/>
      <x:c r="AF622" s="16"/>
    </x:row>
    <x:row r="623">
      <x:c r="H623" s="107"/>
      <x:c r="I623" s="107"/>
      <x:c r="O623" s="107"/>
      <x:c r="P623" s="107"/>
      <x:c r="S623" s="107"/>
      <x:c r="W623" s="18" t="str">
        <x:f>IF(A623="","",IF(H623="","",IF(I623&lt;&gt;"",I623-H623+1,IF(S623&lt;&gt;"",S623-H623+1,""))))</x:f>
      </x:c>
      <x:c r="X623" s="16"/>
      <x:c r="Y623" s="16"/>
      <x:c r="Z623" s="16"/>
      <x:c r="AA623" s="16"/>
      <x:c r="AB623" s="109"/>
      <x:c r="AC623" s="109"/>
      <x:c r="AD623" s="16"/>
      <x:c r="AE623" s="16"/>
      <x:c r="AF623" s="16"/>
    </x:row>
    <x:row r="624">
      <x:c r="H624" s="107"/>
      <x:c r="I624" s="107"/>
      <x:c r="O624" s="107"/>
      <x:c r="P624" s="107"/>
      <x:c r="S624" s="107"/>
      <x:c r="W624" s="18" t="str">
        <x:f>IF(A624="","",IF(H624="","",IF(I624&lt;&gt;"",I624-H624+1,IF(S624&lt;&gt;"",S624-H624+1,""))))</x:f>
      </x:c>
      <x:c r="X624" s="16"/>
      <x:c r="Y624" s="16"/>
      <x:c r="Z624" s="16"/>
      <x:c r="AA624" s="16"/>
      <x:c r="AB624" s="109"/>
      <x:c r="AC624" s="109"/>
      <x:c r="AD624" s="16"/>
      <x:c r="AE624" s="16"/>
      <x:c r="AF624" s="16"/>
    </x:row>
    <x:row r="625">
      <x:c r="H625" s="107"/>
      <x:c r="I625" s="107"/>
      <x:c r="O625" s="107"/>
      <x:c r="P625" s="107"/>
      <x:c r="S625" s="107"/>
      <x:c r="W625" s="18" t="str">
        <x:f>IF(A625="","",IF(H625="","",IF(I625&lt;&gt;"",I625-H625+1,IF(S625&lt;&gt;"",S625-H625+1,""))))</x:f>
      </x:c>
      <x:c r="X625" s="16"/>
      <x:c r="Y625" s="16"/>
      <x:c r="Z625" s="16"/>
      <x:c r="AA625" s="16"/>
      <x:c r="AB625" s="109"/>
      <x:c r="AC625" s="109"/>
      <x:c r="AD625" s="16"/>
      <x:c r="AE625" s="16"/>
      <x:c r="AF625" s="16"/>
    </x:row>
    <x:row r="626">
      <x:c r="H626" s="107"/>
      <x:c r="I626" s="107"/>
      <x:c r="O626" s="107"/>
      <x:c r="P626" s="107"/>
      <x:c r="S626" s="107"/>
      <x:c r="W626" s="18" t="str">
        <x:f>IF(A626="","",IF(H626="","",IF(I626&lt;&gt;"",I626-H626+1,IF(S626&lt;&gt;"",S626-H626+1,""))))</x:f>
      </x:c>
      <x:c r="X626" s="16"/>
      <x:c r="Y626" s="16"/>
      <x:c r="Z626" s="16"/>
      <x:c r="AA626" s="16"/>
      <x:c r="AB626" s="109"/>
      <x:c r="AC626" s="109"/>
      <x:c r="AD626" s="16"/>
      <x:c r="AE626" s="16"/>
      <x:c r="AF626" s="16"/>
    </x:row>
    <x:row r="627">
      <x:c r="H627" s="107"/>
      <x:c r="I627" s="107"/>
      <x:c r="O627" s="107"/>
      <x:c r="P627" s="107"/>
      <x:c r="S627" s="107"/>
      <x:c r="W627" s="18" t="str">
        <x:f>IF(A627="","",IF(H627="","",IF(I627&lt;&gt;"",I627-H627+1,IF(S627&lt;&gt;"",S627-H627+1,""))))</x:f>
      </x:c>
      <x:c r="X627" s="16"/>
      <x:c r="Y627" s="16"/>
      <x:c r="Z627" s="16"/>
      <x:c r="AA627" s="16"/>
      <x:c r="AB627" s="109"/>
      <x:c r="AC627" s="109"/>
      <x:c r="AD627" s="16"/>
      <x:c r="AE627" s="16"/>
      <x:c r="AF627" s="16"/>
    </x:row>
    <x:row r="628">
      <x:c r="H628" s="107"/>
      <x:c r="I628" s="107"/>
      <x:c r="O628" s="107"/>
      <x:c r="P628" s="107"/>
      <x:c r="S628" s="107"/>
      <x:c r="W628" s="18" t="str">
        <x:f>IF(A628="","",IF(H628="","",IF(I628&lt;&gt;"",I628-H628+1,IF(S628&lt;&gt;"",S628-H628+1,""))))</x:f>
      </x:c>
      <x:c r="X628" s="16"/>
      <x:c r="Y628" s="16"/>
      <x:c r="Z628" s="16"/>
      <x:c r="AA628" s="16"/>
      <x:c r="AB628" s="109"/>
      <x:c r="AC628" s="109"/>
      <x:c r="AD628" s="16"/>
      <x:c r="AE628" s="16"/>
      <x:c r="AF628" s="16"/>
    </x:row>
    <x:row r="629">
      <x:c r="H629" s="107"/>
      <x:c r="I629" s="107"/>
      <x:c r="O629" s="107"/>
      <x:c r="P629" s="107"/>
      <x:c r="S629" s="107"/>
      <x:c r="W629" s="18" t="str">
        <x:f>IF(A629="","",IF(H629="","",IF(I629&lt;&gt;"",I629-H629+1,IF(S629&lt;&gt;"",S629-H629+1,""))))</x:f>
      </x:c>
      <x:c r="X629" s="16"/>
      <x:c r="Y629" s="16"/>
      <x:c r="Z629" s="16"/>
      <x:c r="AA629" s="16"/>
      <x:c r="AB629" s="109"/>
      <x:c r="AC629" s="109"/>
      <x:c r="AD629" s="16"/>
      <x:c r="AE629" s="16"/>
      <x:c r="AF629" s="16"/>
    </x:row>
    <x:row r="630">
      <x:c r="H630" s="107"/>
      <x:c r="I630" s="107"/>
      <x:c r="O630" s="107"/>
      <x:c r="P630" s="107"/>
      <x:c r="S630" s="107"/>
      <x:c r="W630" s="18" t="str">
        <x:f>IF(A630="","",IF(H630="","",IF(I630&lt;&gt;"",I630-H630+1,IF(S630&lt;&gt;"",S630-H630+1,""))))</x:f>
      </x:c>
      <x:c r="X630" s="16"/>
      <x:c r="Y630" s="16"/>
      <x:c r="Z630" s="16"/>
      <x:c r="AA630" s="16"/>
      <x:c r="AB630" s="109"/>
      <x:c r="AC630" s="109"/>
      <x:c r="AD630" s="16"/>
      <x:c r="AE630" s="16"/>
      <x:c r="AF630" s="16"/>
    </x:row>
    <x:row r="631">
      <x:c r="H631" s="107"/>
      <x:c r="I631" s="107"/>
      <x:c r="O631" s="107"/>
      <x:c r="P631" s="107"/>
      <x:c r="S631" s="107"/>
      <x:c r="W631" s="18" t="str">
        <x:f>IF(A631="","",IF(H631="","",IF(I631&lt;&gt;"",I631-H631+1,IF(S631&lt;&gt;"",S631-H631+1,""))))</x:f>
      </x:c>
      <x:c r="X631" s="16"/>
      <x:c r="Y631" s="16"/>
      <x:c r="Z631" s="16"/>
      <x:c r="AA631" s="16"/>
      <x:c r="AB631" s="109"/>
      <x:c r="AC631" s="109"/>
      <x:c r="AD631" s="16"/>
      <x:c r="AE631" s="16"/>
      <x:c r="AF631" s="16"/>
    </x:row>
    <x:row r="632">
      <x:c r="H632" s="107"/>
      <x:c r="I632" s="107"/>
      <x:c r="O632" s="107"/>
      <x:c r="P632" s="107"/>
      <x:c r="S632" s="107"/>
      <x:c r="W632" s="18" t="str">
        <x:f>IF(A632="","",IF(H632="","",IF(I632&lt;&gt;"",I632-H632+1,IF(S632&lt;&gt;"",S632-H632+1,""))))</x:f>
      </x:c>
      <x:c r="X632" s="16"/>
      <x:c r="Y632" s="16"/>
      <x:c r="Z632" s="16"/>
      <x:c r="AA632" s="16"/>
      <x:c r="AB632" s="109"/>
      <x:c r="AC632" s="109"/>
      <x:c r="AD632" s="16"/>
      <x:c r="AE632" s="16"/>
      <x:c r="AF632" s="16"/>
    </x:row>
    <x:row r="633">
      <x:c r="H633" s="107"/>
      <x:c r="I633" s="107"/>
      <x:c r="O633" s="107"/>
      <x:c r="P633" s="107"/>
      <x:c r="S633" s="107"/>
      <x:c r="W633" s="18" t="str">
        <x:f>IF(A633="","",IF(H633="","",IF(I633&lt;&gt;"",I633-H633+1,IF(S633&lt;&gt;"",S633-H633+1,""))))</x:f>
      </x:c>
      <x:c r="X633" s="16"/>
      <x:c r="Y633" s="16"/>
      <x:c r="Z633" s="16"/>
      <x:c r="AA633" s="16"/>
      <x:c r="AB633" s="109"/>
      <x:c r="AC633" s="109"/>
      <x:c r="AD633" s="16"/>
      <x:c r="AE633" s="16"/>
      <x:c r="AF633" s="16"/>
    </x:row>
    <x:row r="634">
      <x:c r="H634" s="107"/>
      <x:c r="I634" s="107"/>
      <x:c r="O634" s="107"/>
      <x:c r="P634" s="107"/>
      <x:c r="S634" s="107"/>
      <x:c r="W634" s="18" t="str">
        <x:f>IF(A634="","",IF(H634="","",IF(I634&lt;&gt;"",I634-H634+1,IF(S634&lt;&gt;"",S634-H634+1,""))))</x:f>
      </x:c>
      <x:c r="X634" s="16"/>
      <x:c r="Y634" s="16"/>
      <x:c r="Z634" s="16"/>
      <x:c r="AA634" s="16"/>
      <x:c r="AB634" s="109"/>
      <x:c r="AC634" s="109"/>
      <x:c r="AD634" s="16"/>
      <x:c r="AE634" s="16"/>
      <x:c r="AF634" s="16"/>
    </x:row>
    <x:row r="635">
      <x:c r="H635" s="107"/>
      <x:c r="I635" s="107"/>
      <x:c r="O635" s="107"/>
      <x:c r="P635" s="107"/>
      <x:c r="S635" s="107"/>
      <x:c r="W635" s="18" t="str">
        <x:f>IF(A635="","",IF(H635="","",IF(I635&lt;&gt;"",I635-H635+1,IF(S635&lt;&gt;"",S635-H635+1,""))))</x:f>
      </x:c>
      <x:c r="X635" s="16"/>
      <x:c r="Y635" s="16"/>
      <x:c r="Z635" s="16"/>
      <x:c r="AA635" s="16"/>
      <x:c r="AB635" s="109"/>
      <x:c r="AC635" s="109"/>
      <x:c r="AD635" s="16"/>
      <x:c r="AE635" s="16"/>
      <x:c r="AF635" s="16"/>
    </x:row>
    <x:row r="636">
      <x:c r="H636" s="107"/>
      <x:c r="I636" s="107"/>
      <x:c r="O636" s="107"/>
      <x:c r="P636" s="107"/>
      <x:c r="S636" s="107"/>
      <x:c r="W636" s="18" t="str">
        <x:f>IF(A636="","",IF(H636="","",IF(I636&lt;&gt;"",I636-H636+1,IF(S636&lt;&gt;"",S636-H636+1,""))))</x:f>
      </x:c>
      <x:c r="X636" s="16"/>
      <x:c r="Y636" s="16"/>
      <x:c r="Z636" s="16"/>
      <x:c r="AA636" s="16"/>
      <x:c r="AB636" s="109"/>
      <x:c r="AC636" s="109"/>
      <x:c r="AD636" s="16"/>
      <x:c r="AE636" s="16"/>
      <x:c r="AF636" s="16"/>
    </x:row>
    <x:row r="637">
      <x:c r="H637" s="107"/>
      <x:c r="I637" s="107"/>
      <x:c r="O637" s="107"/>
      <x:c r="P637" s="107"/>
      <x:c r="S637" s="107"/>
      <x:c r="W637" s="18" t="str">
        <x:f>IF(A637="","",IF(H637="","",IF(I637&lt;&gt;"",I637-H637+1,IF(S637&lt;&gt;"",S637-H637+1,""))))</x:f>
      </x:c>
      <x:c r="X637" s="16"/>
      <x:c r="Y637" s="16"/>
      <x:c r="Z637" s="16"/>
      <x:c r="AA637" s="16"/>
      <x:c r="AB637" s="109"/>
      <x:c r="AC637" s="109"/>
      <x:c r="AD637" s="16"/>
      <x:c r="AE637" s="16"/>
      <x:c r="AF637" s="16"/>
    </x:row>
    <x:row r="638">
      <x:c r="H638" s="107"/>
      <x:c r="I638" s="107"/>
      <x:c r="O638" s="107"/>
      <x:c r="P638" s="107"/>
      <x:c r="S638" s="107"/>
      <x:c r="W638" s="18" t="str">
        <x:f>IF(A638="","",IF(H638="","",IF(I638&lt;&gt;"",I638-H638+1,IF(S638&lt;&gt;"",S638-H638+1,""))))</x:f>
      </x:c>
      <x:c r="X638" s="16"/>
      <x:c r="Y638" s="16"/>
      <x:c r="Z638" s="16"/>
      <x:c r="AA638" s="16"/>
      <x:c r="AB638" s="109"/>
      <x:c r="AC638" s="109"/>
      <x:c r="AD638" s="16"/>
      <x:c r="AE638" s="16"/>
      <x:c r="AF638" s="16"/>
    </x:row>
    <x:row r="639">
      <x:c r="H639" s="107"/>
      <x:c r="I639" s="107"/>
      <x:c r="O639" s="107"/>
      <x:c r="P639" s="107"/>
      <x:c r="S639" s="107"/>
      <x:c r="W639" s="18" t="str">
        <x:f>IF(A639="","",IF(H639="","",IF(I639&lt;&gt;"",I639-H639+1,IF(S639&lt;&gt;"",S639-H639+1,""))))</x:f>
      </x:c>
      <x:c r="X639" s="16"/>
      <x:c r="Y639" s="16"/>
      <x:c r="Z639" s="16"/>
      <x:c r="AA639" s="16"/>
      <x:c r="AB639" s="109"/>
      <x:c r="AC639" s="109"/>
      <x:c r="AD639" s="16"/>
      <x:c r="AE639" s="16"/>
      <x:c r="AF639" s="16"/>
    </x:row>
    <x:row r="640">
      <x:c r="H640" s="107"/>
      <x:c r="I640" s="107"/>
      <x:c r="O640" s="107"/>
      <x:c r="P640" s="107"/>
      <x:c r="S640" s="107"/>
      <x:c r="W640" s="18" t="str">
        <x:f>IF(A640="","",IF(H640="","",IF(I640&lt;&gt;"",I640-H640+1,IF(S640&lt;&gt;"",S640-H640+1,""))))</x:f>
      </x:c>
      <x:c r="X640" s="16"/>
      <x:c r="Y640" s="16"/>
      <x:c r="Z640" s="16"/>
      <x:c r="AA640" s="16"/>
      <x:c r="AB640" s="109"/>
      <x:c r="AC640" s="109"/>
      <x:c r="AD640" s="16"/>
      <x:c r="AE640" s="16"/>
      <x:c r="AF640" s="16"/>
    </x:row>
    <x:row r="641">
      <x:c r="H641" s="107"/>
      <x:c r="I641" s="107"/>
      <x:c r="O641" s="107"/>
      <x:c r="P641" s="107"/>
      <x:c r="S641" s="107"/>
      <x:c r="W641" s="18" t="str">
        <x:f>IF(A641="","",IF(H641="","",IF(I641&lt;&gt;"",I641-H641+1,IF(S641&lt;&gt;"",S641-H641+1,""))))</x:f>
      </x:c>
      <x:c r="X641" s="16"/>
      <x:c r="Y641" s="16"/>
      <x:c r="Z641" s="16"/>
      <x:c r="AA641" s="16"/>
      <x:c r="AB641" s="109"/>
      <x:c r="AC641" s="109"/>
      <x:c r="AD641" s="16"/>
      <x:c r="AE641" s="16"/>
      <x:c r="AF641" s="16"/>
    </x:row>
    <x:row r="642">
      <x:c r="H642" s="107"/>
      <x:c r="I642" s="107"/>
      <x:c r="O642" s="107"/>
      <x:c r="P642" s="107"/>
      <x:c r="S642" s="107"/>
      <x:c r="W642" s="18" t="str">
        <x:f>IF(A642="","",IF(H642="","",IF(I642&lt;&gt;"",I642-H642+1,IF(S642&lt;&gt;"",S642-H642+1,""))))</x:f>
      </x:c>
      <x:c r="X642" s="16"/>
      <x:c r="Y642" s="16"/>
      <x:c r="Z642" s="16"/>
      <x:c r="AA642" s="16"/>
      <x:c r="AB642" s="109"/>
      <x:c r="AC642" s="109"/>
      <x:c r="AD642" s="16"/>
      <x:c r="AE642" s="16"/>
      <x:c r="AF642" s="16"/>
    </x:row>
    <x:row r="643">
      <x:c r="H643" s="107"/>
      <x:c r="I643" s="107"/>
      <x:c r="O643" s="107"/>
      <x:c r="P643" s="107"/>
      <x:c r="S643" s="107"/>
      <x:c r="W643" s="18" t="str">
        <x:f>IF(A643="","",IF(H643="","",IF(I643&lt;&gt;"",I643-H643+1,IF(S643&lt;&gt;"",S643-H643+1,""))))</x:f>
      </x:c>
      <x:c r="X643" s="16"/>
      <x:c r="Y643" s="16"/>
      <x:c r="Z643" s="16"/>
      <x:c r="AA643" s="16"/>
      <x:c r="AB643" s="109"/>
      <x:c r="AC643" s="109"/>
      <x:c r="AD643" s="16"/>
      <x:c r="AE643" s="16"/>
      <x:c r="AF643" s="16"/>
    </x:row>
    <x:row r="644">
      <x:c r="H644" s="107"/>
      <x:c r="I644" s="107"/>
      <x:c r="O644" s="107"/>
      <x:c r="P644" s="107"/>
      <x:c r="S644" s="107"/>
      <x:c r="W644" s="18" t="str">
        <x:f>IF(A644="","",IF(H644="","",IF(I644&lt;&gt;"",I644-H644+1,IF(S644&lt;&gt;"",S644-H644+1,""))))</x:f>
      </x:c>
      <x:c r="X644" s="16"/>
      <x:c r="Y644" s="16"/>
      <x:c r="Z644" s="16"/>
      <x:c r="AA644" s="16"/>
      <x:c r="AB644" s="109"/>
      <x:c r="AC644" s="109"/>
      <x:c r="AD644" s="16"/>
      <x:c r="AE644" s="16"/>
      <x:c r="AF644" s="16"/>
    </x:row>
    <x:row r="645">
      <x:c r="H645" s="107"/>
      <x:c r="I645" s="107"/>
      <x:c r="O645" s="107"/>
      <x:c r="P645" s="107"/>
      <x:c r="S645" s="107"/>
      <x:c r="W645" s="18" t="str">
        <x:f>IF(A645="","",IF(H645="","",IF(I645&lt;&gt;"",I645-H645+1,IF(S645&lt;&gt;"",S645-H645+1,""))))</x:f>
      </x:c>
      <x:c r="X645" s="16"/>
      <x:c r="Y645" s="16"/>
      <x:c r="Z645" s="16"/>
      <x:c r="AA645" s="16"/>
      <x:c r="AB645" s="109"/>
      <x:c r="AC645" s="109"/>
      <x:c r="AD645" s="16"/>
      <x:c r="AE645" s="16"/>
      <x:c r="AF645" s="16"/>
    </x:row>
    <x:row r="646">
      <x:c r="H646" s="107"/>
      <x:c r="I646" s="107"/>
      <x:c r="O646" s="107"/>
      <x:c r="P646" s="107"/>
      <x:c r="S646" s="107"/>
      <x:c r="W646" s="18" t="str">
        <x:f>IF(A646="","",IF(H646="","",IF(I646&lt;&gt;"",I646-H646+1,IF(S646&lt;&gt;"",S646-H646+1,""))))</x:f>
      </x:c>
      <x:c r="X646" s="16"/>
      <x:c r="Y646" s="16"/>
      <x:c r="Z646" s="16"/>
      <x:c r="AA646" s="16"/>
      <x:c r="AB646" s="109"/>
      <x:c r="AC646" s="109"/>
      <x:c r="AD646" s="16"/>
      <x:c r="AE646" s="16"/>
      <x:c r="AF646" s="16"/>
    </x:row>
    <x:row r="647">
      <x:c r="H647" s="107"/>
      <x:c r="I647" s="107"/>
      <x:c r="O647" s="107"/>
      <x:c r="P647" s="107"/>
      <x:c r="S647" s="107"/>
      <x:c r="W647" s="18" t="str">
        <x:f>IF(A647="","",IF(H647="","",IF(I647&lt;&gt;"",I647-H647+1,IF(S647&lt;&gt;"",S647-H647+1,""))))</x:f>
      </x:c>
      <x:c r="X647" s="16"/>
      <x:c r="Y647" s="16"/>
      <x:c r="Z647" s="16"/>
      <x:c r="AA647" s="16"/>
      <x:c r="AB647" s="109"/>
      <x:c r="AC647" s="109"/>
      <x:c r="AD647" s="16"/>
      <x:c r="AE647" s="16"/>
      <x:c r="AF647" s="16"/>
    </x:row>
    <x:row r="648">
      <x:c r="H648" s="107"/>
      <x:c r="I648" s="107"/>
      <x:c r="O648" s="107"/>
      <x:c r="P648" s="107"/>
      <x:c r="S648" s="107"/>
      <x:c r="W648" s="18" t="str">
        <x:f>IF(A648="","",IF(H648="","",IF(I648&lt;&gt;"",I648-H648+1,IF(S648&lt;&gt;"",S648-H648+1,""))))</x:f>
      </x:c>
      <x:c r="X648" s="16"/>
      <x:c r="Y648" s="16"/>
      <x:c r="Z648" s="16"/>
      <x:c r="AA648" s="16"/>
      <x:c r="AB648" s="109"/>
      <x:c r="AC648" s="109"/>
      <x:c r="AD648" s="16"/>
      <x:c r="AE648" s="16"/>
      <x:c r="AF648" s="16"/>
    </x:row>
    <x:row r="649">
      <x:c r="H649" s="107"/>
      <x:c r="I649" s="107"/>
      <x:c r="O649" s="107"/>
      <x:c r="P649" s="107"/>
      <x:c r="S649" s="107"/>
      <x:c r="W649" s="18" t="str">
        <x:f>IF(A649="","",IF(H649="","",IF(I649&lt;&gt;"",I649-H649+1,IF(S649&lt;&gt;"",S649-H649+1,""))))</x:f>
      </x:c>
      <x:c r="X649" s="16"/>
      <x:c r="Y649" s="16"/>
      <x:c r="Z649" s="16"/>
      <x:c r="AA649" s="16"/>
      <x:c r="AB649" s="109"/>
      <x:c r="AC649" s="109"/>
      <x:c r="AD649" s="16"/>
      <x:c r="AE649" s="16"/>
      <x:c r="AF649" s="16"/>
    </x:row>
    <x:row r="650">
      <x:c r="H650" s="107"/>
      <x:c r="I650" s="107"/>
      <x:c r="O650" s="107"/>
      <x:c r="P650" s="107"/>
      <x:c r="S650" s="107"/>
      <x:c r="W650" s="18" t="str">
        <x:f>IF(A650="","",IF(H650="","",IF(I650&lt;&gt;"",I650-H650+1,IF(S650&lt;&gt;"",S650-H650+1,""))))</x:f>
      </x:c>
      <x:c r="X650" s="16"/>
      <x:c r="Y650" s="16"/>
      <x:c r="Z650" s="16"/>
      <x:c r="AA650" s="16"/>
      <x:c r="AB650" s="109"/>
      <x:c r="AC650" s="109"/>
      <x:c r="AD650" s="16"/>
      <x:c r="AE650" s="16"/>
      <x:c r="AF650" s="16"/>
    </x:row>
    <x:row r="651">
      <x:c r="H651" s="107"/>
      <x:c r="I651" s="107"/>
      <x:c r="O651" s="107"/>
      <x:c r="P651" s="107"/>
      <x:c r="S651" s="107"/>
      <x:c r="W651" s="18" t="str">
        <x:f>IF(A651="","",IF(H651="","",IF(I651&lt;&gt;"",I651-H651+1,IF(S651&lt;&gt;"",S651-H651+1,""))))</x:f>
      </x:c>
      <x:c r="X651" s="16"/>
      <x:c r="Y651" s="16"/>
      <x:c r="Z651" s="16"/>
      <x:c r="AA651" s="16"/>
      <x:c r="AB651" s="109"/>
      <x:c r="AC651" s="109"/>
      <x:c r="AD651" s="16"/>
      <x:c r="AE651" s="16"/>
      <x:c r="AF651" s="16"/>
    </x:row>
    <x:row r="652">
      <x:c r="H652" s="107"/>
      <x:c r="I652" s="107"/>
      <x:c r="O652" s="107"/>
      <x:c r="P652" s="107"/>
      <x:c r="S652" s="107"/>
      <x:c r="W652" s="18" t="str">
        <x:f>IF(A652="","",IF(H652="","",IF(I652&lt;&gt;"",I652-H652+1,IF(S652&lt;&gt;"",S652-H652+1,""))))</x:f>
      </x:c>
      <x:c r="X652" s="16"/>
      <x:c r="Y652" s="16"/>
      <x:c r="Z652" s="16"/>
      <x:c r="AA652" s="16"/>
      <x:c r="AB652" s="109"/>
      <x:c r="AC652" s="109"/>
      <x:c r="AD652" s="16"/>
      <x:c r="AE652" s="16"/>
      <x:c r="AF652" s="16"/>
    </x:row>
    <x:row r="653">
      <x:c r="H653" s="107"/>
      <x:c r="I653" s="107"/>
      <x:c r="O653" s="107"/>
      <x:c r="P653" s="107"/>
      <x:c r="S653" s="107"/>
      <x:c r="W653" s="18" t="str">
        <x:f>IF(A653="","",IF(H653="","",IF(I653&lt;&gt;"",I653-H653+1,IF(S653&lt;&gt;"",S653-H653+1,""))))</x:f>
      </x:c>
      <x:c r="X653" s="16"/>
      <x:c r="Y653" s="16"/>
      <x:c r="Z653" s="16"/>
      <x:c r="AA653" s="16"/>
      <x:c r="AB653" s="109"/>
      <x:c r="AC653" s="109"/>
      <x:c r="AD653" s="16"/>
      <x:c r="AE653" s="16"/>
      <x:c r="AF653" s="16"/>
    </x:row>
    <x:row r="654">
      <x:c r="H654" s="107"/>
      <x:c r="I654" s="107"/>
      <x:c r="O654" s="107"/>
      <x:c r="P654" s="107"/>
      <x:c r="S654" s="107"/>
      <x:c r="W654" s="18" t="str">
        <x:f>IF(A654="","",IF(H654="","",IF(I654&lt;&gt;"",I654-H654+1,IF(S654&lt;&gt;"",S654-H654+1,""))))</x:f>
      </x:c>
      <x:c r="X654" s="16"/>
      <x:c r="Y654" s="16"/>
      <x:c r="Z654" s="16"/>
      <x:c r="AA654" s="16"/>
      <x:c r="AB654" s="109"/>
      <x:c r="AC654" s="109"/>
      <x:c r="AD654" s="16"/>
      <x:c r="AE654" s="16"/>
      <x:c r="AF654" s="16"/>
    </x:row>
    <x:row r="655">
      <x:c r="H655" s="107"/>
      <x:c r="I655" s="107"/>
      <x:c r="O655" s="107"/>
      <x:c r="P655" s="107"/>
      <x:c r="S655" s="107"/>
      <x:c r="W655" s="18" t="str">
        <x:f>IF(A655="","",IF(H655="","",IF(I655&lt;&gt;"",I655-H655+1,IF(S655&lt;&gt;"",S655-H655+1,""))))</x:f>
      </x:c>
      <x:c r="X655" s="16"/>
      <x:c r="Y655" s="16"/>
      <x:c r="Z655" s="16"/>
      <x:c r="AA655" s="16"/>
      <x:c r="AB655" s="109"/>
      <x:c r="AC655" s="109"/>
      <x:c r="AD655" s="16"/>
      <x:c r="AE655" s="16"/>
      <x:c r="AF655" s="16"/>
    </x:row>
    <x:row r="656">
      <x:c r="H656" s="107"/>
      <x:c r="I656" s="107"/>
      <x:c r="O656" s="107"/>
      <x:c r="P656" s="107"/>
      <x:c r="S656" s="107"/>
      <x:c r="W656" s="18" t="str">
        <x:f>IF(A656="","",IF(H656="","",IF(I656&lt;&gt;"",I656-H656+1,IF(S656&lt;&gt;"",S656-H656+1,""))))</x:f>
      </x:c>
      <x:c r="X656" s="16"/>
      <x:c r="Y656" s="16"/>
      <x:c r="Z656" s="16"/>
      <x:c r="AA656" s="16"/>
      <x:c r="AB656" s="109"/>
      <x:c r="AC656" s="109"/>
      <x:c r="AD656" s="16"/>
      <x:c r="AE656" s="16"/>
      <x:c r="AF656" s="16"/>
    </x:row>
    <x:row r="657">
      <x:c r="H657" s="107"/>
      <x:c r="I657" s="107"/>
      <x:c r="O657" s="107"/>
      <x:c r="P657" s="107"/>
      <x:c r="S657" s="107"/>
      <x:c r="W657" s="18" t="str">
        <x:f>IF(A657="","",IF(H657="","",IF(I657&lt;&gt;"",I657-H657+1,IF(S657&lt;&gt;"",S657-H657+1,""))))</x:f>
      </x:c>
      <x:c r="X657" s="16"/>
      <x:c r="Y657" s="16"/>
      <x:c r="Z657" s="16"/>
      <x:c r="AA657" s="16"/>
      <x:c r="AB657" s="109"/>
      <x:c r="AC657" s="109"/>
      <x:c r="AD657" s="16"/>
      <x:c r="AE657" s="16"/>
      <x:c r="AF657" s="16"/>
    </x:row>
    <x:row r="658">
      <x:c r="H658" s="107"/>
      <x:c r="I658" s="107"/>
      <x:c r="O658" s="107"/>
      <x:c r="P658" s="107"/>
      <x:c r="S658" s="107"/>
      <x:c r="W658" s="18" t="str">
        <x:f>IF(A658="","",IF(H658="","",IF(I658&lt;&gt;"",I658-H658+1,IF(S658&lt;&gt;"",S658-H658+1,""))))</x:f>
      </x:c>
      <x:c r="X658" s="16"/>
      <x:c r="Y658" s="16"/>
      <x:c r="Z658" s="16"/>
      <x:c r="AA658" s="16"/>
      <x:c r="AB658" s="109"/>
      <x:c r="AC658" s="109"/>
      <x:c r="AD658" s="16"/>
      <x:c r="AE658" s="16"/>
      <x:c r="AF658" s="16"/>
    </x:row>
    <x:row r="659">
      <x:c r="H659" s="107"/>
      <x:c r="I659" s="107"/>
      <x:c r="O659" s="107"/>
      <x:c r="P659" s="107"/>
      <x:c r="S659" s="107"/>
      <x:c r="W659" s="18" t="str">
        <x:f>IF(A659="","",IF(H659="","",IF(I659&lt;&gt;"",I659-H659+1,IF(S659&lt;&gt;"",S659-H659+1,""))))</x:f>
      </x:c>
      <x:c r="X659" s="16"/>
      <x:c r="Y659" s="16"/>
      <x:c r="Z659" s="16"/>
      <x:c r="AA659" s="16"/>
      <x:c r="AB659" s="109"/>
      <x:c r="AC659" s="109"/>
      <x:c r="AD659" s="16"/>
      <x:c r="AE659" s="16"/>
      <x:c r="AF659" s="16"/>
    </x:row>
    <x:row r="660">
      <x:c r="H660" s="107"/>
      <x:c r="I660" s="107"/>
      <x:c r="O660" s="107"/>
      <x:c r="P660" s="107"/>
      <x:c r="S660" s="107"/>
      <x:c r="W660" s="18" t="str">
        <x:f>IF(A660="","",IF(H660="","",IF(I660&lt;&gt;"",I660-H660+1,IF(S660&lt;&gt;"",S660-H660+1,""))))</x:f>
      </x:c>
      <x:c r="X660" s="16"/>
      <x:c r="Y660" s="16"/>
      <x:c r="Z660" s="16"/>
      <x:c r="AA660" s="16"/>
      <x:c r="AB660" s="109"/>
      <x:c r="AC660" s="109"/>
      <x:c r="AD660" s="16"/>
      <x:c r="AE660" s="16"/>
      <x:c r="AF660" s="16"/>
    </x:row>
    <x:row r="661">
      <x:c r="H661" s="107"/>
      <x:c r="I661" s="107"/>
      <x:c r="O661" s="107"/>
      <x:c r="P661" s="107"/>
      <x:c r="S661" s="107"/>
      <x:c r="W661" s="18" t="str">
        <x:f>IF(A661="","",IF(H661="","",IF(I661&lt;&gt;"",I661-H661+1,IF(S661&lt;&gt;"",S661-H661+1,""))))</x:f>
      </x:c>
      <x:c r="X661" s="16"/>
      <x:c r="Y661" s="16"/>
      <x:c r="Z661" s="16"/>
      <x:c r="AA661" s="16"/>
      <x:c r="AB661" s="109"/>
      <x:c r="AC661" s="109"/>
      <x:c r="AD661" s="16"/>
      <x:c r="AE661" s="16"/>
      <x:c r="AF661" s="16"/>
    </x:row>
    <x:row r="662">
      <x:c r="H662" s="107"/>
      <x:c r="I662" s="107"/>
      <x:c r="O662" s="107"/>
      <x:c r="P662" s="107"/>
      <x:c r="S662" s="107"/>
      <x:c r="W662" s="18" t="str">
        <x:f>IF(A662="","",IF(H662="","",IF(I662&lt;&gt;"",I662-H662+1,IF(S662&lt;&gt;"",S662-H662+1,""))))</x:f>
      </x:c>
      <x:c r="X662" s="16"/>
      <x:c r="Y662" s="16"/>
      <x:c r="Z662" s="16"/>
      <x:c r="AA662" s="16"/>
      <x:c r="AB662" s="109"/>
      <x:c r="AC662" s="109"/>
      <x:c r="AD662" s="16"/>
      <x:c r="AE662" s="16"/>
      <x:c r="AF662" s="16"/>
    </x:row>
    <x:row r="663">
      <x:c r="H663" s="107"/>
      <x:c r="I663" s="107"/>
      <x:c r="O663" s="107"/>
      <x:c r="P663" s="107"/>
      <x:c r="S663" s="107"/>
      <x:c r="W663" s="18" t="str">
        <x:f>IF(A663="","",IF(H663="","",IF(I663&lt;&gt;"",I663-H663+1,IF(S663&lt;&gt;"",S663-H663+1,""))))</x:f>
      </x:c>
      <x:c r="X663" s="16"/>
      <x:c r="Y663" s="16"/>
      <x:c r="Z663" s="16"/>
      <x:c r="AA663" s="16"/>
      <x:c r="AB663" s="109"/>
      <x:c r="AC663" s="109"/>
      <x:c r="AD663" s="16"/>
      <x:c r="AE663" s="16"/>
      <x:c r="AF663" s="16"/>
    </x:row>
    <x:row r="664">
      <x:c r="H664" s="107"/>
      <x:c r="I664" s="107"/>
      <x:c r="O664" s="107"/>
      <x:c r="P664" s="107"/>
      <x:c r="S664" s="107"/>
      <x:c r="W664" s="18" t="str">
        <x:f>IF(A664="","",IF(H664="","",IF(I664&lt;&gt;"",I664-H664+1,IF(S664&lt;&gt;"",S664-H664+1,""))))</x:f>
      </x:c>
      <x:c r="X664" s="16"/>
      <x:c r="Y664" s="16"/>
      <x:c r="Z664" s="16"/>
      <x:c r="AA664" s="16"/>
      <x:c r="AB664" s="109"/>
      <x:c r="AC664" s="109"/>
      <x:c r="AD664" s="16"/>
      <x:c r="AE664" s="16"/>
      <x:c r="AF664" s="16"/>
    </x:row>
    <x:row r="665">
      <x:c r="H665" s="107"/>
      <x:c r="I665" s="107"/>
      <x:c r="O665" s="107"/>
      <x:c r="P665" s="107"/>
      <x:c r="S665" s="107"/>
      <x:c r="W665" s="18" t="str">
        <x:f>IF(A665="","",IF(H665="","",IF(I665&lt;&gt;"",I665-H665+1,IF(S665&lt;&gt;"",S665-H665+1,""))))</x:f>
      </x:c>
      <x:c r="X665" s="16"/>
      <x:c r="Y665" s="16"/>
      <x:c r="Z665" s="16"/>
      <x:c r="AA665" s="16"/>
      <x:c r="AB665" s="109"/>
      <x:c r="AC665" s="109"/>
      <x:c r="AD665" s="16"/>
      <x:c r="AE665" s="16"/>
      <x:c r="AF665" s="16"/>
    </x:row>
    <x:row r="666">
      <x:c r="H666" s="107"/>
      <x:c r="I666" s="107"/>
      <x:c r="O666" s="107"/>
      <x:c r="P666" s="107"/>
      <x:c r="S666" s="107"/>
      <x:c r="W666" s="18" t="str">
        <x:f>IF(A666="","",IF(H666="","",IF(I666&lt;&gt;"",I666-H666+1,IF(S666&lt;&gt;"",S666-H666+1,""))))</x:f>
      </x:c>
      <x:c r="X666" s="16"/>
      <x:c r="Y666" s="16"/>
      <x:c r="Z666" s="16"/>
      <x:c r="AA666" s="16"/>
      <x:c r="AB666" s="109"/>
      <x:c r="AC666" s="109"/>
      <x:c r="AD666" s="16"/>
      <x:c r="AE666" s="16"/>
      <x:c r="AF666" s="16"/>
    </x:row>
    <x:row r="667">
      <x:c r="H667" s="107"/>
      <x:c r="I667" s="107"/>
      <x:c r="O667" s="107"/>
      <x:c r="P667" s="107"/>
      <x:c r="S667" s="107"/>
      <x:c r="W667" s="18" t="str">
        <x:f>IF(A667="","",IF(H667="","",IF(I667&lt;&gt;"",I667-H667+1,IF(S667&lt;&gt;"",S667-H667+1,""))))</x:f>
      </x:c>
      <x:c r="X667" s="16"/>
      <x:c r="Y667" s="16"/>
      <x:c r="Z667" s="16"/>
      <x:c r="AA667" s="16"/>
      <x:c r="AB667" s="109"/>
      <x:c r="AC667" s="109"/>
      <x:c r="AD667" s="16"/>
      <x:c r="AE667" s="16"/>
      <x:c r="AF667" s="16"/>
    </x:row>
    <x:row r="668">
      <x:c r="H668" s="107"/>
      <x:c r="I668" s="107"/>
      <x:c r="O668" s="107"/>
      <x:c r="P668" s="107"/>
      <x:c r="S668" s="107"/>
      <x:c r="W668" s="18" t="str">
        <x:f>IF(A668="","",IF(H668="","",IF(I668&lt;&gt;"",I668-H668+1,IF(S668&lt;&gt;"",S668-H668+1,""))))</x:f>
      </x:c>
      <x:c r="X668" s="16"/>
      <x:c r="Y668" s="16"/>
      <x:c r="Z668" s="16"/>
      <x:c r="AA668" s="16"/>
      <x:c r="AB668" s="109"/>
      <x:c r="AC668" s="109"/>
      <x:c r="AD668" s="16"/>
      <x:c r="AE668" s="16"/>
      <x:c r="AF668" s="16"/>
    </x:row>
    <x:row r="669">
      <x:c r="H669" s="107"/>
      <x:c r="I669" s="107"/>
      <x:c r="O669" s="107"/>
      <x:c r="P669" s="107"/>
      <x:c r="S669" s="107"/>
      <x:c r="W669" s="18" t="str">
        <x:f>IF(A669="","",IF(H669="","",IF(I669&lt;&gt;"",I669-H669+1,IF(S669&lt;&gt;"",S669-H669+1,""))))</x:f>
      </x:c>
      <x:c r="X669" s="16"/>
      <x:c r="Y669" s="16"/>
      <x:c r="Z669" s="16"/>
      <x:c r="AA669" s="16"/>
      <x:c r="AB669" s="109"/>
      <x:c r="AC669" s="109"/>
      <x:c r="AD669" s="16"/>
      <x:c r="AE669" s="16"/>
      <x:c r="AF669" s="16"/>
    </x:row>
    <x:row r="670">
      <x:c r="H670" s="107"/>
      <x:c r="I670" s="107"/>
      <x:c r="O670" s="107"/>
      <x:c r="P670" s="107"/>
      <x:c r="S670" s="107"/>
      <x:c r="W670" s="18" t="str">
        <x:f>IF(A670="","",IF(H670="","",IF(I670&lt;&gt;"",I670-H670+1,IF(S670&lt;&gt;"",S670-H670+1,""))))</x:f>
      </x:c>
      <x:c r="X670" s="16"/>
      <x:c r="Y670" s="16"/>
      <x:c r="Z670" s="16"/>
      <x:c r="AA670" s="16"/>
      <x:c r="AB670" s="109"/>
      <x:c r="AC670" s="109"/>
      <x:c r="AD670" s="16"/>
      <x:c r="AE670" s="16"/>
      <x:c r="AF670" s="16"/>
    </x:row>
    <x:row r="671">
      <x:c r="H671" s="107"/>
      <x:c r="I671" s="107"/>
      <x:c r="O671" s="107"/>
      <x:c r="P671" s="107"/>
      <x:c r="S671" s="107"/>
      <x:c r="W671" s="18" t="str">
        <x:f>IF(A671="","",IF(H671="","",IF(I671&lt;&gt;"",I671-H671+1,IF(S671&lt;&gt;"",S671-H671+1,""))))</x:f>
      </x:c>
      <x:c r="X671" s="16"/>
      <x:c r="Y671" s="16"/>
      <x:c r="Z671" s="16"/>
      <x:c r="AA671" s="16"/>
      <x:c r="AB671" s="109"/>
      <x:c r="AC671" s="109"/>
      <x:c r="AD671" s="16"/>
      <x:c r="AE671" s="16"/>
      <x:c r="AF671" s="16"/>
    </x:row>
    <x:row r="672">
      <x:c r="H672" s="107"/>
      <x:c r="I672" s="107"/>
      <x:c r="O672" s="107"/>
      <x:c r="P672" s="107"/>
      <x:c r="S672" s="107"/>
      <x:c r="W672" s="18" t="str">
        <x:f>IF(A672="","",IF(H672="","",IF(I672&lt;&gt;"",I672-H672+1,IF(S672&lt;&gt;"",S672-H672+1,""))))</x:f>
      </x:c>
      <x:c r="X672" s="16"/>
      <x:c r="Y672" s="16"/>
      <x:c r="Z672" s="16"/>
      <x:c r="AA672" s="16"/>
      <x:c r="AB672" s="109"/>
      <x:c r="AC672" s="109"/>
      <x:c r="AD672" s="16"/>
      <x:c r="AE672" s="16"/>
      <x:c r="AF672" s="16"/>
    </x:row>
    <x:row r="673">
      <x:c r="H673" s="107"/>
      <x:c r="I673" s="107"/>
      <x:c r="O673" s="107"/>
      <x:c r="P673" s="107"/>
      <x:c r="S673" s="107"/>
      <x:c r="W673" s="18" t="str">
        <x:f>IF(A673="","",IF(H673="","",IF(I673&lt;&gt;"",I673-H673+1,IF(S673&lt;&gt;"",S673-H673+1,""))))</x:f>
      </x:c>
      <x:c r="X673" s="16"/>
      <x:c r="Y673" s="16"/>
      <x:c r="Z673" s="16"/>
      <x:c r="AA673" s="16"/>
      <x:c r="AB673" s="109"/>
      <x:c r="AC673" s="109"/>
      <x:c r="AD673" s="16"/>
      <x:c r="AE673" s="16"/>
      <x:c r="AF673" s="16"/>
    </x:row>
    <x:row r="674">
      <x:c r="H674" s="107"/>
      <x:c r="I674" s="107"/>
      <x:c r="O674" s="107"/>
      <x:c r="P674" s="107"/>
      <x:c r="S674" s="107"/>
      <x:c r="W674" s="18" t="str">
        <x:f>IF(A674="","",IF(H674="","",IF(I674&lt;&gt;"",I674-H674+1,IF(S674&lt;&gt;"",S674-H674+1,""))))</x:f>
      </x:c>
      <x:c r="X674" s="16"/>
      <x:c r="Y674" s="16"/>
      <x:c r="Z674" s="16"/>
      <x:c r="AA674" s="16"/>
      <x:c r="AB674" s="109"/>
      <x:c r="AC674" s="109"/>
      <x:c r="AD674" s="16"/>
      <x:c r="AE674" s="16"/>
      <x:c r="AF674" s="16"/>
    </x:row>
    <x:row r="675">
      <x:c r="H675" s="107"/>
      <x:c r="I675" s="107"/>
      <x:c r="O675" s="107"/>
      <x:c r="P675" s="107"/>
      <x:c r="S675" s="107"/>
      <x:c r="W675" s="18" t="str">
        <x:f>IF(A675="","",IF(H675="","",IF(I675&lt;&gt;"",I675-H675+1,IF(S675&lt;&gt;"",S675-H675+1,""))))</x:f>
      </x:c>
      <x:c r="X675" s="16"/>
      <x:c r="Y675" s="16"/>
      <x:c r="Z675" s="16"/>
      <x:c r="AA675" s="16"/>
      <x:c r="AB675" s="109"/>
      <x:c r="AC675" s="109"/>
      <x:c r="AD675" s="16"/>
      <x:c r="AE675" s="16"/>
      <x:c r="AF675" s="16"/>
    </x:row>
    <x:row r="676">
      <x:c r="H676" s="107"/>
      <x:c r="I676" s="107"/>
      <x:c r="O676" s="107"/>
      <x:c r="P676" s="107"/>
      <x:c r="S676" s="107"/>
      <x:c r="W676" s="18" t="str">
        <x:f>IF(A676="","",IF(H676="","",IF(I676&lt;&gt;"",I676-H676+1,IF(S676&lt;&gt;"",S676-H676+1,""))))</x:f>
      </x:c>
      <x:c r="X676" s="16"/>
      <x:c r="Y676" s="16"/>
      <x:c r="Z676" s="16"/>
      <x:c r="AA676" s="16"/>
      <x:c r="AB676" s="109"/>
      <x:c r="AC676" s="109"/>
      <x:c r="AD676" s="16"/>
      <x:c r="AE676" s="16"/>
      <x:c r="AF676" s="16"/>
    </x:row>
    <x:row r="677">
      <x:c r="H677" s="107"/>
      <x:c r="I677" s="107"/>
      <x:c r="O677" s="107"/>
      <x:c r="P677" s="107"/>
      <x:c r="S677" s="107"/>
      <x:c r="W677" s="18" t="str">
        <x:f>IF(A677="","",IF(H677="","",IF(I677&lt;&gt;"",I677-H677+1,IF(S677&lt;&gt;"",S677-H677+1,""))))</x:f>
      </x:c>
      <x:c r="X677" s="16"/>
      <x:c r="Y677" s="16"/>
      <x:c r="Z677" s="16"/>
      <x:c r="AA677" s="16"/>
      <x:c r="AB677" s="109"/>
      <x:c r="AC677" s="109"/>
      <x:c r="AD677" s="16"/>
      <x:c r="AE677" s="16"/>
      <x:c r="AF677" s="16"/>
    </x:row>
    <x:row r="678">
      <x:c r="H678" s="107"/>
      <x:c r="I678" s="107"/>
      <x:c r="O678" s="107"/>
      <x:c r="P678" s="107"/>
      <x:c r="S678" s="107"/>
      <x:c r="W678" s="18" t="str">
        <x:f>IF(A678="","",IF(H678="","",IF(I678&lt;&gt;"",I678-H678+1,IF(S678&lt;&gt;"",S678-H678+1,""))))</x:f>
      </x:c>
      <x:c r="X678" s="16"/>
      <x:c r="Y678" s="16"/>
      <x:c r="Z678" s="16"/>
      <x:c r="AA678" s="16"/>
      <x:c r="AB678" s="109"/>
      <x:c r="AC678" s="109"/>
      <x:c r="AD678" s="16"/>
      <x:c r="AE678" s="16"/>
      <x:c r="AF678" s="16"/>
    </x:row>
    <x:row r="679">
      <x:c r="H679" s="107"/>
      <x:c r="I679" s="107"/>
      <x:c r="O679" s="107"/>
      <x:c r="P679" s="107"/>
      <x:c r="S679" s="107"/>
      <x:c r="W679" s="18" t="str">
        <x:f>IF(A679="","",IF(H679="","",IF(I679&lt;&gt;"",I679-H679+1,IF(S679&lt;&gt;"",S679-H679+1,""))))</x:f>
      </x:c>
      <x:c r="X679" s="16"/>
      <x:c r="Y679" s="16"/>
      <x:c r="Z679" s="16"/>
      <x:c r="AA679" s="16"/>
      <x:c r="AB679" s="109"/>
      <x:c r="AC679" s="109"/>
      <x:c r="AD679" s="16"/>
      <x:c r="AE679" s="16"/>
      <x:c r="AF679" s="16"/>
    </x:row>
    <x:row r="680">
      <x:c r="H680" s="107"/>
      <x:c r="I680" s="107"/>
      <x:c r="O680" s="107"/>
      <x:c r="P680" s="107"/>
      <x:c r="S680" s="107"/>
      <x:c r="W680" s="18" t="str">
        <x:f>IF(A680="","",IF(H680="","",IF(I680&lt;&gt;"",I680-H680+1,IF(S680&lt;&gt;"",S680-H680+1,""))))</x:f>
      </x:c>
      <x:c r="X680" s="16"/>
      <x:c r="Y680" s="16"/>
      <x:c r="Z680" s="16"/>
      <x:c r="AA680" s="16"/>
      <x:c r="AB680" s="109"/>
      <x:c r="AC680" s="109"/>
      <x:c r="AD680" s="16"/>
      <x:c r="AE680" s="16"/>
      <x:c r="AF680" s="16"/>
    </x:row>
    <x:row r="681">
      <x:c r="H681" s="107"/>
      <x:c r="I681" s="107"/>
      <x:c r="O681" s="107"/>
      <x:c r="P681" s="107"/>
      <x:c r="S681" s="107"/>
      <x:c r="W681" s="18" t="str">
        <x:f>IF(A681="","",IF(H681="","",IF(I681&lt;&gt;"",I681-H681+1,IF(S681&lt;&gt;"",S681-H681+1,""))))</x:f>
      </x:c>
      <x:c r="X681" s="16"/>
      <x:c r="Y681" s="16"/>
      <x:c r="Z681" s="16"/>
      <x:c r="AA681" s="16"/>
      <x:c r="AB681" s="109"/>
      <x:c r="AC681" s="109"/>
      <x:c r="AD681" s="16"/>
      <x:c r="AE681" s="16"/>
      <x:c r="AF681" s="16"/>
    </x:row>
    <x:row r="682">
      <x:c r="H682" s="107"/>
      <x:c r="I682" s="107"/>
      <x:c r="O682" s="107"/>
      <x:c r="P682" s="107"/>
      <x:c r="S682" s="107"/>
      <x:c r="W682" s="18" t="str">
        <x:f>IF(A682="","",IF(H682="","",IF(I682&lt;&gt;"",I682-H682+1,IF(S682&lt;&gt;"",S682-H682+1,""))))</x:f>
      </x:c>
      <x:c r="X682" s="16"/>
      <x:c r="Y682" s="16"/>
      <x:c r="Z682" s="16"/>
      <x:c r="AA682" s="16"/>
      <x:c r="AB682" s="109"/>
      <x:c r="AC682" s="109"/>
      <x:c r="AD682" s="16"/>
      <x:c r="AE682" s="16"/>
      <x:c r="AF682" s="16"/>
    </x:row>
    <x:row r="683">
      <x:c r="H683" s="107"/>
      <x:c r="I683" s="107"/>
      <x:c r="O683" s="107"/>
      <x:c r="P683" s="107"/>
      <x:c r="S683" s="107"/>
      <x:c r="W683" s="18" t="str">
        <x:f>IF(A683="","",IF(H683="","",IF(I683&lt;&gt;"",I683-H683+1,IF(S683&lt;&gt;"",S683-H683+1,""))))</x:f>
      </x:c>
      <x:c r="X683" s="16"/>
      <x:c r="Y683" s="16"/>
      <x:c r="Z683" s="16"/>
      <x:c r="AA683" s="16"/>
      <x:c r="AB683" s="109"/>
      <x:c r="AC683" s="109"/>
      <x:c r="AD683" s="16"/>
      <x:c r="AE683" s="16"/>
      <x:c r="AF683" s="16"/>
    </x:row>
    <x:row r="684">
      <x:c r="H684" s="107"/>
      <x:c r="I684" s="107"/>
      <x:c r="O684" s="107"/>
      <x:c r="P684" s="107"/>
      <x:c r="S684" s="107"/>
      <x:c r="W684" s="18" t="str">
        <x:f>IF(A684="","",IF(H684="","",IF(I684&lt;&gt;"",I684-H684+1,IF(S684&lt;&gt;"",S684-H684+1,""))))</x:f>
      </x:c>
      <x:c r="X684" s="16"/>
      <x:c r="Y684" s="16"/>
      <x:c r="Z684" s="16"/>
      <x:c r="AA684" s="16"/>
      <x:c r="AB684" s="109"/>
      <x:c r="AC684" s="109"/>
      <x:c r="AD684" s="16"/>
      <x:c r="AE684" s="16"/>
      <x:c r="AF684" s="16"/>
    </x:row>
    <x:row r="685">
      <x:c r="H685" s="107"/>
      <x:c r="I685" s="107"/>
      <x:c r="O685" s="107"/>
      <x:c r="P685" s="107"/>
      <x:c r="S685" s="107"/>
      <x:c r="W685" s="18" t="str">
        <x:f>IF(A685="","",IF(H685="","",IF(I685&lt;&gt;"",I685-H685+1,IF(S685&lt;&gt;"",S685-H685+1,""))))</x:f>
      </x:c>
      <x:c r="X685" s="16"/>
      <x:c r="Y685" s="16"/>
      <x:c r="Z685" s="16"/>
      <x:c r="AA685" s="16"/>
      <x:c r="AB685" s="109"/>
      <x:c r="AC685" s="109"/>
      <x:c r="AD685" s="16"/>
      <x:c r="AE685" s="16"/>
      <x:c r="AF685" s="16"/>
    </x:row>
    <x:row r="686">
      <x:c r="H686" s="107"/>
      <x:c r="I686" s="107"/>
      <x:c r="O686" s="107"/>
      <x:c r="P686" s="107"/>
      <x:c r="S686" s="107"/>
      <x:c r="W686" s="18" t="str">
        <x:f>IF(A686="","",IF(H686="","",IF(I686&lt;&gt;"",I686-H686+1,IF(S686&lt;&gt;"",S686-H686+1,""))))</x:f>
      </x:c>
      <x:c r="X686" s="16"/>
      <x:c r="Y686" s="16"/>
      <x:c r="Z686" s="16"/>
      <x:c r="AA686" s="16"/>
      <x:c r="AB686" s="109"/>
      <x:c r="AC686" s="109"/>
      <x:c r="AD686" s="16"/>
      <x:c r="AE686" s="16"/>
      <x:c r="AF686" s="16"/>
    </x:row>
    <x:row r="687">
      <x:c r="H687" s="107"/>
      <x:c r="I687" s="107"/>
      <x:c r="O687" s="107"/>
      <x:c r="P687" s="107"/>
      <x:c r="S687" s="107"/>
      <x:c r="W687" s="18" t="str">
        <x:f>IF(A687="","",IF(H687="","",IF(I687&lt;&gt;"",I687-H687+1,IF(S687&lt;&gt;"",S687-H687+1,""))))</x:f>
      </x:c>
      <x:c r="X687" s="16"/>
      <x:c r="Y687" s="16"/>
      <x:c r="Z687" s="16"/>
      <x:c r="AA687" s="16"/>
      <x:c r="AB687" s="109"/>
      <x:c r="AC687" s="109"/>
      <x:c r="AD687" s="16"/>
      <x:c r="AE687" s="16"/>
      <x:c r="AF687" s="16"/>
    </x:row>
    <x:row r="688">
      <x:c r="H688" s="107"/>
      <x:c r="I688" s="107"/>
      <x:c r="O688" s="107"/>
      <x:c r="P688" s="107"/>
      <x:c r="S688" s="107"/>
      <x:c r="W688" s="18" t="str">
        <x:f>IF(A688="","",IF(H688="","",IF(I688&lt;&gt;"",I688-H688+1,IF(S688&lt;&gt;"",S688-H688+1,""))))</x:f>
      </x:c>
      <x:c r="X688" s="16"/>
      <x:c r="Y688" s="16"/>
      <x:c r="Z688" s="16"/>
      <x:c r="AA688" s="16"/>
      <x:c r="AB688" s="109"/>
      <x:c r="AC688" s="109"/>
      <x:c r="AD688" s="16"/>
      <x:c r="AE688" s="16"/>
      <x:c r="AF688" s="16"/>
    </x:row>
    <x:row r="689">
      <x:c r="H689" s="107"/>
      <x:c r="I689" s="107"/>
      <x:c r="O689" s="107"/>
      <x:c r="P689" s="107"/>
      <x:c r="S689" s="107"/>
      <x:c r="W689" s="18" t="str">
        <x:f>IF(A689="","",IF(H689="","",IF(I689&lt;&gt;"",I689-H689+1,IF(S689&lt;&gt;"",S689-H689+1,""))))</x:f>
      </x:c>
      <x:c r="X689" s="16"/>
      <x:c r="Y689" s="16"/>
      <x:c r="Z689" s="16"/>
      <x:c r="AA689" s="16"/>
      <x:c r="AB689" s="109"/>
      <x:c r="AC689" s="109"/>
      <x:c r="AD689" s="16"/>
      <x:c r="AE689" s="16"/>
      <x:c r="AF689" s="16"/>
    </x:row>
    <x:row r="690">
      <x:c r="H690" s="107"/>
      <x:c r="I690" s="107"/>
      <x:c r="O690" s="107"/>
      <x:c r="P690" s="107"/>
      <x:c r="S690" s="107"/>
      <x:c r="W690" s="18" t="str">
        <x:f>IF(A690="","",IF(H690="","",IF(I690&lt;&gt;"",I690-H690+1,IF(S690&lt;&gt;"",S690-H690+1,""))))</x:f>
      </x:c>
      <x:c r="X690" s="16"/>
      <x:c r="Y690" s="16"/>
      <x:c r="Z690" s="16"/>
      <x:c r="AA690" s="16"/>
      <x:c r="AB690" s="109"/>
      <x:c r="AC690" s="109"/>
      <x:c r="AD690" s="16"/>
      <x:c r="AE690" s="16"/>
      <x:c r="AF690" s="16"/>
    </x:row>
    <x:row r="691">
      <x:c r="H691" s="107"/>
      <x:c r="I691" s="107"/>
      <x:c r="O691" s="107"/>
      <x:c r="P691" s="107"/>
      <x:c r="S691" s="107"/>
      <x:c r="W691" s="18" t="str">
        <x:f>IF(A691="","",IF(H691="","",IF(I691&lt;&gt;"",I691-H691+1,IF(S691&lt;&gt;"",S691-H691+1,""))))</x:f>
      </x:c>
      <x:c r="X691" s="16"/>
      <x:c r="Y691" s="16"/>
      <x:c r="Z691" s="16"/>
      <x:c r="AA691" s="16"/>
      <x:c r="AB691" s="109"/>
      <x:c r="AC691" s="109"/>
      <x:c r="AD691" s="16"/>
      <x:c r="AE691" s="16"/>
      <x:c r="AF691" s="16"/>
    </x:row>
    <x:row r="692">
      <x:c r="H692" s="107"/>
      <x:c r="I692" s="107"/>
      <x:c r="O692" s="107"/>
      <x:c r="P692" s="107"/>
      <x:c r="S692" s="107"/>
      <x:c r="W692" s="18" t="str">
        <x:f>IF(A692="","",IF(H692="","",IF(I692&lt;&gt;"",I692-H692+1,IF(S692&lt;&gt;"",S692-H692+1,""))))</x:f>
      </x:c>
      <x:c r="X692" s="16"/>
      <x:c r="Y692" s="16"/>
      <x:c r="Z692" s="16"/>
      <x:c r="AA692" s="16"/>
      <x:c r="AB692" s="109"/>
      <x:c r="AC692" s="109"/>
      <x:c r="AD692" s="16"/>
      <x:c r="AE692" s="16"/>
      <x:c r="AF692" s="16"/>
    </x:row>
    <x:row r="693">
      <x:c r="H693" s="107"/>
      <x:c r="I693" s="107"/>
      <x:c r="O693" s="107"/>
      <x:c r="P693" s="107"/>
      <x:c r="S693" s="107"/>
      <x:c r="W693" s="18" t="str">
        <x:f>IF(A693="","",IF(H693="","",IF(I693&lt;&gt;"",I693-H693+1,IF(S693&lt;&gt;"",S693-H693+1,""))))</x:f>
      </x:c>
      <x:c r="X693" s="16"/>
      <x:c r="Y693" s="16"/>
      <x:c r="Z693" s="16"/>
      <x:c r="AA693" s="16"/>
      <x:c r="AB693" s="109"/>
      <x:c r="AC693" s="109"/>
      <x:c r="AD693" s="16"/>
      <x:c r="AE693" s="16"/>
      <x:c r="AF693" s="16"/>
    </x:row>
    <x:row r="694">
      <x:c r="H694" s="107"/>
      <x:c r="I694" s="107"/>
      <x:c r="O694" s="107"/>
      <x:c r="P694" s="107"/>
      <x:c r="S694" s="107"/>
      <x:c r="W694" s="18" t="str">
        <x:f>IF(A694="","",IF(H694="","",IF(I694&lt;&gt;"",I694-H694+1,IF(S694&lt;&gt;"",S694-H694+1,""))))</x:f>
      </x:c>
      <x:c r="X694" s="16"/>
      <x:c r="Y694" s="16"/>
      <x:c r="Z694" s="16"/>
      <x:c r="AA694" s="16"/>
      <x:c r="AB694" s="109"/>
      <x:c r="AC694" s="109"/>
      <x:c r="AD694" s="16"/>
      <x:c r="AE694" s="16"/>
      <x:c r="AF694" s="16"/>
    </x:row>
    <x:row r="695">
      <x:c r="H695" s="107"/>
      <x:c r="I695" s="107"/>
      <x:c r="O695" s="107"/>
      <x:c r="P695" s="107"/>
      <x:c r="S695" s="107"/>
      <x:c r="W695" s="18" t="str">
        <x:f>IF(A695="","",IF(H695="","",IF(I695&lt;&gt;"",I695-H695+1,IF(S695&lt;&gt;"",S695-H695+1,""))))</x:f>
      </x:c>
      <x:c r="X695" s="16"/>
      <x:c r="Y695" s="16"/>
      <x:c r="Z695" s="16"/>
      <x:c r="AA695" s="16"/>
      <x:c r="AB695" s="109"/>
      <x:c r="AC695" s="109"/>
      <x:c r="AD695" s="16"/>
      <x:c r="AE695" s="16"/>
      <x:c r="AF695" s="16"/>
    </x:row>
    <x:row r="696">
      <x:c r="H696" s="107"/>
      <x:c r="I696" s="107"/>
      <x:c r="O696" s="107"/>
      <x:c r="P696" s="107"/>
      <x:c r="S696" s="107"/>
      <x:c r="W696" s="18" t="str">
        <x:f>IF(A696="","",IF(H696="","",IF(I696&lt;&gt;"",I696-H696+1,IF(S696&lt;&gt;"",S696-H696+1,""))))</x:f>
      </x:c>
      <x:c r="X696" s="16"/>
      <x:c r="Y696" s="16"/>
      <x:c r="Z696" s="16"/>
      <x:c r="AA696" s="16"/>
      <x:c r="AB696" s="109"/>
      <x:c r="AC696" s="109"/>
      <x:c r="AD696" s="16"/>
      <x:c r="AE696" s="16"/>
      <x:c r="AF696" s="16"/>
    </x:row>
    <x:row r="697">
      <x:c r="H697" s="107"/>
      <x:c r="I697" s="107"/>
      <x:c r="O697" s="107"/>
      <x:c r="P697" s="107"/>
      <x:c r="S697" s="107"/>
      <x:c r="W697" s="18" t="str">
        <x:f>IF(A697="","",IF(H697="","",IF(I697&lt;&gt;"",I697-H697+1,IF(S697&lt;&gt;"",S697-H697+1,""))))</x:f>
      </x:c>
      <x:c r="X697" s="16"/>
      <x:c r="Y697" s="16"/>
      <x:c r="Z697" s="16"/>
      <x:c r="AA697" s="16"/>
      <x:c r="AB697" s="109"/>
      <x:c r="AC697" s="109"/>
      <x:c r="AD697" s="16"/>
      <x:c r="AE697" s="16"/>
      <x:c r="AF697" s="16"/>
    </x:row>
    <x:row r="698">
      <x:c r="H698" s="107"/>
      <x:c r="I698" s="107"/>
      <x:c r="O698" s="107"/>
      <x:c r="P698" s="107"/>
      <x:c r="S698" s="107"/>
      <x:c r="W698" s="18" t="str">
        <x:f>IF(A698="","",IF(H698="","",IF(I698&lt;&gt;"",I698-H698+1,IF(S698&lt;&gt;"",S698-H698+1,""))))</x:f>
      </x:c>
      <x:c r="X698" s="16"/>
      <x:c r="Y698" s="16"/>
      <x:c r="Z698" s="16"/>
      <x:c r="AA698" s="16"/>
      <x:c r="AB698" s="109"/>
      <x:c r="AC698" s="109"/>
      <x:c r="AD698" s="16"/>
      <x:c r="AE698" s="16"/>
      <x:c r="AF698" s="16"/>
    </x:row>
    <x:row r="699">
      <x:c r="H699" s="107"/>
      <x:c r="I699" s="107"/>
      <x:c r="O699" s="107"/>
      <x:c r="P699" s="107"/>
      <x:c r="S699" s="107"/>
      <x:c r="W699" s="18" t="str">
        <x:f>IF(A699="","",IF(H699="","",IF(I699&lt;&gt;"",I699-H699+1,IF(S699&lt;&gt;"",S699-H699+1,""))))</x:f>
      </x:c>
      <x:c r="X699" s="16"/>
      <x:c r="Y699" s="16"/>
      <x:c r="Z699" s="16"/>
      <x:c r="AA699" s="16"/>
      <x:c r="AB699" s="109"/>
      <x:c r="AC699" s="109"/>
      <x:c r="AD699" s="16"/>
      <x:c r="AE699" s="16"/>
      <x:c r="AF699" s="16"/>
    </x:row>
    <x:row r="700">
      <x:c r="H700" s="107"/>
      <x:c r="I700" s="107"/>
      <x:c r="O700" s="107"/>
      <x:c r="P700" s="107"/>
      <x:c r="S700" s="107"/>
      <x:c r="W700" s="18" t="str">
        <x:f>IF(A700="","",IF(H700="","",IF(I700&lt;&gt;"",I700-H700+1,IF(S700&lt;&gt;"",S700-H700+1,""))))</x:f>
      </x:c>
      <x:c r="X700" s="16"/>
      <x:c r="Y700" s="16"/>
      <x:c r="Z700" s="16"/>
      <x:c r="AA700" s="16"/>
      <x:c r="AB700" s="109"/>
      <x:c r="AC700" s="109"/>
      <x:c r="AD700" s="16"/>
      <x:c r="AE700" s="16"/>
      <x:c r="AF700" s="16"/>
    </x:row>
    <x:row r="701">
      <x:c r="H701" s="107"/>
      <x:c r="I701" s="107"/>
      <x:c r="O701" s="107"/>
      <x:c r="P701" s="107"/>
      <x:c r="S701" s="107"/>
      <x:c r="W701" s="18" t="str">
        <x:f>IF(A701="","",IF(H701="","",IF(I701&lt;&gt;"",I701-H701+1,IF(S701&lt;&gt;"",S701-H701+1,""))))</x:f>
      </x:c>
      <x:c r="X701" s="16"/>
      <x:c r="Y701" s="16"/>
      <x:c r="Z701" s="16"/>
      <x:c r="AA701" s="16"/>
      <x:c r="AB701" s="109"/>
      <x:c r="AC701" s="109"/>
      <x:c r="AD701" s="16"/>
      <x:c r="AE701" s="16"/>
      <x:c r="AF701" s="16"/>
    </x:row>
    <x:row r="702">
      <x:c r="H702" s="107"/>
      <x:c r="I702" s="107"/>
      <x:c r="O702" s="107"/>
      <x:c r="P702" s="107"/>
      <x:c r="S702" s="107"/>
      <x:c r="W702" s="18" t="str">
        <x:f>IF(A702="","",IF(H702="","",IF(I702&lt;&gt;"",I702-H702+1,IF(S702&lt;&gt;"",S702-H702+1,""))))</x:f>
      </x:c>
      <x:c r="X702" s="16"/>
      <x:c r="Y702" s="16"/>
      <x:c r="Z702" s="16"/>
      <x:c r="AA702" s="16"/>
      <x:c r="AB702" s="109"/>
      <x:c r="AC702" s="109"/>
      <x:c r="AD702" s="16"/>
      <x:c r="AE702" s="16"/>
      <x:c r="AF702" s="16"/>
    </x:row>
    <x:row r="703">
      <x:c r="H703" s="107"/>
      <x:c r="I703" s="107"/>
      <x:c r="O703" s="107"/>
      <x:c r="P703" s="107"/>
      <x:c r="S703" s="107"/>
      <x:c r="W703" s="18" t="str">
        <x:f>IF(A703="","",IF(H703="","",IF(I703&lt;&gt;"",I703-H703+1,IF(S703&lt;&gt;"",S703-H703+1,""))))</x:f>
      </x:c>
      <x:c r="X703" s="16"/>
      <x:c r="Y703" s="16"/>
      <x:c r="Z703" s="16"/>
      <x:c r="AA703" s="16"/>
      <x:c r="AB703" s="109"/>
      <x:c r="AC703" s="109"/>
      <x:c r="AD703" s="16"/>
      <x:c r="AE703" s="16"/>
      <x:c r="AF703" s="16"/>
    </x:row>
    <x:row r="704">
      <x:c r="H704" s="107"/>
      <x:c r="I704" s="107"/>
      <x:c r="O704" s="107"/>
      <x:c r="P704" s="107"/>
      <x:c r="S704" s="107"/>
      <x:c r="W704" s="18" t="str">
        <x:f>IF(A704="","",IF(H704="","",IF(I704&lt;&gt;"",I704-H704+1,IF(S704&lt;&gt;"",S704-H704+1,""))))</x:f>
      </x:c>
      <x:c r="X704" s="16"/>
      <x:c r="Y704" s="16"/>
      <x:c r="Z704" s="16"/>
      <x:c r="AA704" s="16"/>
      <x:c r="AB704" s="109"/>
      <x:c r="AC704" s="109"/>
      <x:c r="AD704" s="16"/>
      <x:c r="AE704" s="16"/>
      <x:c r="AF704" s="16"/>
    </x:row>
    <x:row r="705">
      <x:c r="H705" s="107"/>
      <x:c r="I705" s="107"/>
      <x:c r="O705" s="107"/>
      <x:c r="P705" s="107"/>
      <x:c r="S705" s="107"/>
      <x:c r="W705" s="18" t="str">
        <x:f>IF(A705="","",IF(H705="","",IF(I705&lt;&gt;"",I705-H705+1,IF(S705&lt;&gt;"",S705-H705+1,""))))</x:f>
      </x:c>
      <x:c r="X705" s="16"/>
      <x:c r="Y705" s="16"/>
      <x:c r="Z705" s="16"/>
      <x:c r="AA705" s="16"/>
      <x:c r="AB705" s="109"/>
      <x:c r="AC705" s="109"/>
      <x:c r="AD705" s="16"/>
      <x:c r="AE705" s="16"/>
      <x:c r="AF705" s="16"/>
    </x:row>
    <x:row r="706">
      <x:c r="H706" s="107"/>
      <x:c r="I706" s="107"/>
      <x:c r="O706" s="107"/>
      <x:c r="P706" s="107"/>
      <x:c r="S706" s="107"/>
      <x:c r="W706" s="18" t="str">
        <x:f>IF(A706="","",IF(H706="","",IF(I706&lt;&gt;"",I706-H706+1,IF(S706&lt;&gt;"",S706-H706+1,""))))</x:f>
      </x:c>
      <x:c r="X706" s="16"/>
      <x:c r="Y706" s="16"/>
      <x:c r="Z706" s="16"/>
      <x:c r="AA706" s="16"/>
      <x:c r="AB706" s="109"/>
      <x:c r="AC706" s="109"/>
      <x:c r="AD706" s="16"/>
      <x:c r="AE706" s="16"/>
      <x:c r="AF706" s="16"/>
    </x:row>
    <x:row r="707">
      <x:c r="H707" s="107"/>
      <x:c r="I707" s="107"/>
      <x:c r="O707" s="107"/>
      <x:c r="P707" s="107"/>
      <x:c r="S707" s="107"/>
      <x:c r="W707" s="18" t="str">
        <x:f>IF(A707="","",IF(H707="","",IF(I707&lt;&gt;"",I707-H707+1,IF(S707&lt;&gt;"",S707-H707+1,""))))</x:f>
      </x:c>
      <x:c r="X707" s="16"/>
      <x:c r="Y707" s="16"/>
      <x:c r="Z707" s="16"/>
      <x:c r="AA707" s="16"/>
      <x:c r="AB707" s="109"/>
      <x:c r="AC707" s="109"/>
      <x:c r="AD707" s="16"/>
      <x:c r="AE707" s="16"/>
      <x:c r="AF707" s="16"/>
    </x:row>
    <x:row r="708">
      <x:c r="H708" s="107"/>
      <x:c r="I708" s="107"/>
      <x:c r="O708" s="107"/>
      <x:c r="P708" s="107"/>
      <x:c r="S708" s="107"/>
      <x:c r="W708" s="18" t="str">
        <x:f>IF(A708="","",IF(H708="","",IF(I708&lt;&gt;"",I708-H708+1,IF(S708&lt;&gt;"",S708-H708+1,""))))</x:f>
      </x:c>
      <x:c r="X708" s="16"/>
      <x:c r="Y708" s="16"/>
      <x:c r="Z708" s="16"/>
      <x:c r="AA708" s="16"/>
      <x:c r="AB708" s="109"/>
      <x:c r="AC708" s="109"/>
      <x:c r="AD708" s="16"/>
      <x:c r="AE708" s="16"/>
      <x:c r="AF708" s="16"/>
    </x:row>
    <x:row r="709">
      <x:c r="H709" s="107"/>
      <x:c r="I709" s="107"/>
      <x:c r="O709" s="107"/>
      <x:c r="P709" s="107"/>
      <x:c r="S709" s="107"/>
      <x:c r="W709" s="18" t="str">
        <x:f>IF(A709="","",IF(H709="","",IF(I709&lt;&gt;"",I709-H709+1,IF(S709&lt;&gt;"",S709-H709+1,""))))</x:f>
      </x:c>
      <x:c r="X709" s="16"/>
      <x:c r="Y709" s="16"/>
      <x:c r="Z709" s="16"/>
      <x:c r="AA709" s="16"/>
      <x:c r="AB709" s="109"/>
      <x:c r="AC709" s="109"/>
      <x:c r="AD709" s="16"/>
      <x:c r="AE709" s="16"/>
      <x:c r="AF709" s="16"/>
    </x:row>
    <x:row r="710">
      <x:c r="H710" s="107"/>
      <x:c r="I710" s="107"/>
      <x:c r="O710" s="107"/>
      <x:c r="P710" s="107"/>
      <x:c r="S710" s="107"/>
      <x:c r="W710" s="18" t="str">
        <x:f>IF(A710="","",IF(H710="","",IF(I710&lt;&gt;"",I710-H710+1,IF(S710&lt;&gt;"",S710-H710+1,""))))</x:f>
      </x:c>
      <x:c r="X710" s="16"/>
      <x:c r="Y710" s="16"/>
      <x:c r="Z710" s="16"/>
      <x:c r="AA710" s="16"/>
      <x:c r="AB710" s="109"/>
      <x:c r="AC710" s="109"/>
      <x:c r="AD710" s="16"/>
      <x:c r="AE710" s="16"/>
      <x:c r="AF710" s="16"/>
    </x:row>
    <x:row r="711">
      <x:c r="H711" s="107"/>
      <x:c r="I711" s="107"/>
      <x:c r="O711" s="107"/>
      <x:c r="P711" s="107"/>
      <x:c r="S711" s="107"/>
      <x:c r="W711" s="18" t="str">
        <x:f>IF(A711="","",IF(H711="","",IF(I711&lt;&gt;"",I711-H711+1,IF(S711&lt;&gt;"",S711-H711+1,""))))</x:f>
      </x:c>
      <x:c r="X711" s="16"/>
      <x:c r="Y711" s="16"/>
      <x:c r="Z711" s="16"/>
      <x:c r="AA711" s="16"/>
      <x:c r="AB711" s="109"/>
      <x:c r="AC711" s="109"/>
      <x:c r="AD711" s="16"/>
      <x:c r="AE711" s="16"/>
      <x:c r="AF711" s="16"/>
    </x:row>
    <x:row r="712">
      <x:c r="H712" s="107"/>
      <x:c r="I712" s="107"/>
      <x:c r="O712" s="107"/>
      <x:c r="P712" s="107"/>
      <x:c r="S712" s="107"/>
      <x:c r="W712" s="18" t="str">
        <x:f>IF(A712="","",IF(H712="","",IF(I712&lt;&gt;"",I712-H712+1,IF(S712&lt;&gt;"",S712-H712+1,""))))</x:f>
      </x:c>
      <x:c r="X712" s="16"/>
      <x:c r="Y712" s="16"/>
      <x:c r="Z712" s="16"/>
      <x:c r="AA712" s="16"/>
      <x:c r="AB712" s="109"/>
      <x:c r="AC712" s="109"/>
      <x:c r="AD712" s="16"/>
      <x:c r="AE712" s="16"/>
      <x:c r="AF712" s="16"/>
    </x:row>
    <x:row r="713">
      <x:c r="H713" s="107"/>
      <x:c r="I713" s="107"/>
      <x:c r="O713" s="107"/>
      <x:c r="P713" s="107"/>
      <x:c r="S713" s="107"/>
      <x:c r="W713" s="18" t="str">
        <x:f>IF(A713="","",IF(H713="","",IF(I713&lt;&gt;"",I713-H713+1,IF(S713&lt;&gt;"",S713-H713+1,""))))</x:f>
      </x:c>
      <x:c r="X713" s="16"/>
      <x:c r="Y713" s="16"/>
      <x:c r="Z713" s="16"/>
      <x:c r="AA713" s="16"/>
      <x:c r="AB713" s="109"/>
      <x:c r="AC713" s="109"/>
      <x:c r="AD713" s="16"/>
      <x:c r="AE713" s="16"/>
      <x:c r="AF713" s="16"/>
    </x:row>
    <x:row r="714">
      <x:c r="H714" s="107"/>
      <x:c r="I714" s="107"/>
      <x:c r="O714" s="107"/>
      <x:c r="P714" s="107"/>
      <x:c r="S714" s="107"/>
      <x:c r="W714" s="18" t="str">
        <x:f>IF(A714="","",IF(H714="","",IF(I714&lt;&gt;"",I714-H714+1,IF(S714&lt;&gt;"",S714-H714+1,""))))</x:f>
      </x:c>
      <x:c r="X714" s="16"/>
      <x:c r="Y714" s="16"/>
      <x:c r="Z714" s="16"/>
      <x:c r="AA714" s="16"/>
      <x:c r="AB714" s="109"/>
      <x:c r="AC714" s="109"/>
      <x:c r="AD714" s="16"/>
      <x:c r="AE714" s="16"/>
      <x:c r="AF714" s="16"/>
    </x:row>
    <x:row r="715">
      <x:c r="H715" s="107"/>
      <x:c r="I715" s="107"/>
      <x:c r="O715" s="107"/>
      <x:c r="P715" s="107"/>
      <x:c r="S715" s="107"/>
      <x:c r="W715" s="18" t="str">
        <x:f>IF(A715="","",IF(H715="","",IF(I715&lt;&gt;"",I715-H715+1,IF(S715&lt;&gt;"",S715-H715+1,""))))</x:f>
      </x:c>
      <x:c r="X715" s="16"/>
      <x:c r="Y715" s="16"/>
      <x:c r="Z715" s="16"/>
      <x:c r="AA715" s="16"/>
      <x:c r="AB715" s="109"/>
      <x:c r="AC715" s="109"/>
      <x:c r="AD715" s="16"/>
      <x:c r="AE715" s="16"/>
      <x:c r="AF715" s="16"/>
    </x:row>
    <x:row r="716">
      <x:c r="H716" s="107"/>
      <x:c r="I716" s="107"/>
      <x:c r="O716" s="107"/>
      <x:c r="P716" s="107"/>
      <x:c r="S716" s="107"/>
      <x:c r="W716" s="18" t="str">
        <x:f>IF(A716="","",IF(H716="","",IF(I716&lt;&gt;"",I716-H716+1,IF(S716&lt;&gt;"",S716-H716+1,""))))</x:f>
      </x:c>
      <x:c r="X716" s="16"/>
      <x:c r="Y716" s="16"/>
      <x:c r="Z716" s="16"/>
      <x:c r="AA716" s="16"/>
      <x:c r="AB716" s="109"/>
      <x:c r="AC716" s="109"/>
      <x:c r="AD716" s="16"/>
      <x:c r="AE716" s="16"/>
      <x:c r="AF716" s="16"/>
    </x:row>
    <x:row r="717">
      <x:c r="H717" s="107"/>
      <x:c r="I717" s="107"/>
      <x:c r="O717" s="107"/>
      <x:c r="P717" s="107"/>
      <x:c r="S717" s="107"/>
      <x:c r="W717" s="18" t="str">
        <x:f>IF(A717="","",IF(H717="","",IF(I717&lt;&gt;"",I717-H717+1,IF(S717&lt;&gt;"",S717-H717+1,""))))</x:f>
      </x:c>
      <x:c r="X717" s="16"/>
      <x:c r="Y717" s="16"/>
      <x:c r="Z717" s="16"/>
      <x:c r="AA717" s="16"/>
      <x:c r="AB717" s="109"/>
      <x:c r="AC717" s="109"/>
      <x:c r="AD717" s="16"/>
      <x:c r="AE717" s="16"/>
      <x:c r="AF717" s="16"/>
    </x:row>
    <x:row r="718">
      <x:c r="H718" s="107"/>
      <x:c r="I718" s="107"/>
      <x:c r="O718" s="107"/>
      <x:c r="P718" s="107"/>
      <x:c r="S718" s="107"/>
      <x:c r="W718" s="18" t="str">
        <x:f>IF(A718="","",IF(H718="","",IF(I718&lt;&gt;"",I718-H718+1,IF(S718&lt;&gt;"",S718-H718+1,""))))</x:f>
      </x:c>
      <x:c r="X718" s="16"/>
      <x:c r="Y718" s="16"/>
      <x:c r="Z718" s="16"/>
      <x:c r="AA718" s="16"/>
      <x:c r="AB718" s="109"/>
      <x:c r="AC718" s="109"/>
      <x:c r="AD718" s="16"/>
      <x:c r="AE718" s="16"/>
      <x:c r="AF718" s="16"/>
    </x:row>
    <x:row r="719">
      <x:c r="H719" s="107"/>
      <x:c r="I719" s="107"/>
      <x:c r="O719" s="107"/>
      <x:c r="P719" s="107"/>
      <x:c r="S719" s="107"/>
      <x:c r="W719" s="18" t="str">
        <x:f>IF(A719="","",IF(H719="","",IF(I719&lt;&gt;"",I719-H719+1,IF(S719&lt;&gt;"",S719-H719+1,""))))</x:f>
      </x:c>
      <x:c r="X719" s="16"/>
      <x:c r="Y719" s="16"/>
      <x:c r="Z719" s="16"/>
      <x:c r="AA719" s="16"/>
      <x:c r="AB719" s="109"/>
      <x:c r="AC719" s="109"/>
      <x:c r="AD719" s="16"/>
      <x:c r="AE719" s="16"/>
      <x:c r="AF719" s="16"/>
    </x:row>
    <x:row r="720">
      <x:c r="H720" s="107"/>
      <x:c r="I720" s="107"/>
      <x:c r="O720" s="107"/>
      <x:c r="P720" s="107"/>
      <x:c r="S720" s="107"/>
      <x:c r="W720" s="18" t="str">
        <x:f>IF(A720="","",IF(H720="","",IF(I720&lt;&gt;"",I720-H720+1,IF(S720&lt;&gt;"",S720-H720+1,""))))</x:f>
      </x:c>
      <x:c r="X720" s="16"/>
      <x:c r="Y720" s="16"/>
      <x:c r="Z720" s="16"/>
      <x:c r="AA720" s="16"/>
      <x:c r="AB720" s="109"/>
      <x:c r="AC720" s="109"/>
      <x:c r="AD720" s="16"/>
      <x:c r="AE720" s="16"/>
      <x:c r="AF720" s="16"/>
    </x:row>
    <x:row r="721">
      <x:c r="H721" s="107"/>
      <x:c r="I721" s="107"/>
      <x:c r="O721" s="107"/>
      <x:c r="P721" s="107"/>
      <x:c r="S721" s="107"/>
      <x:c r="W721" s="18" t="str">
        <x:f>IF(A721="","",IF(H721="","",IF(I721&lt;&gt;"",I721-H721+1,IF(S721&lt;&gt;"",S721-H721+1,""))))</x:f>
      </x:c>
      <x:c r="X721" s="16"/>
      <x:c r="Y721" s="16"/>
      <x:c r="Z721" s="16"/>
      <x:c r="AA721" s="16"/>
      <x:c r="AB721" s="109"/>
      <x:c r="AC721" s="109"/>
      <x:c r="AD721" s="16"/>
      <x:c r="AE721" s="16"/>
      <x:c r="AF721" s="16"/>
    </x:row>
    <x:row r="722">
      <x:c r="H722" s="107"/>
      <x:c r="I722" s="107"/>
      <x:c r="O722" s="107"/>
      <x:c r="P722" s="107"/>
      <x:c r="S722" s="107"/>
      <x:c r="W722" s="18" t="str">
        <x:f>IF(A722="","",IF(H722="","",IF(I722&lt;&gt;"",I722-H722+1,IF(S722&lt;&gt;"",S722-H722+1,""))))</x:f>
      </x:c>
      <x:c r="X722" s="16"/>
      <x:c r="Y722" s="16"/>
      <x:c r="Z722" s="16"/>
      <x:c r="AA722" s="16"/>
      <x:c r="AB722" s="109"/>
      <x:c r="AC722" s="109"/>
      <x:c r="AD722" s="16"/>
      <x:c r="AE722" s="16"/>
      <x:c r="AF722" s="16"/>
    </x:row>
    <x:row r="723">
      <x:c r="H723" s="107"/>
      <x:c r="I723" s="107"/>
      <x:c r="O723" s="107"/>
      <x:c r="P723" s="107"/>
      <x:c r="S723" s="107"/>
      <x:c r="W723" s="18" t="str">
        <x:f>IF(A723="","",IF(H723="","",IF(I723&lt;&gt;"",I723-H723+1,IF(S723&lt;&gt;"",S723-H723+1,""))))</x:f>
      </x:c>
      <x:c r="X723" s="16"/>
      <x:c r="Y723" s="16"/>
      <x:c r="Z723" s="16"/>
      <x:c r="AA723" s="16"/>
      <x:c r="AB723" s="109"/>
      <x:c r="AC723" s="109"/>
      <x:c r="AD723" s="16"/>
      <x:c r="AE723" s="16"/>
      <x:c r="AF723" s="16"/>
    </x:row>
    <x:row r="724">
      <x:c r="H724" s="107"/>
      <x:c r="I724" s="107"/>
      <x:c r="O724" s="107"/>
      <x:c r="P724" s="107"/>
      <x:c r="S724" s="107"/>
      <x:c r="W724" s="18" t="str">
        <x:f>IF(A724="","",IF(H724="","",IF(I724&lt;&gt;"",I724-H724+1,IF(S724&lt;&gt;"",S724-H724+1,""))))</x:f>
      </x:c>
      <x:c r="X724" s="16"/>
      <x:c r="Y724" s="16"/>
      <x:c r="Z724" s="16"/>
      <x:c r="AA724" s="16"/>
      <x:c r="AB724" s="109"/>
      <x:c r="AC724" s="109"/>
      <x:c r="AD724" s="16"/>
      <x:c r="AE724" s="16"/>
      <x:c r="AF724" s="16"/>
    </x:row>
    <x:row r="725">
      <x:c r="H725" s="107"/>
      <x:c r="I725" s="107"/>
      <x:c r="O725" s="107"/>
      <x:c r="P725" s="107"/>
      <x:c r="S725" s="107"/>
      <x:c r="W725" s="18" t="str">
        <x:f>IF(A725="","",IF(H725="","",IF(I725&lt;&gt;"",I725-H725+1,IF(S725&lt;&gt;"",S725-H725+1,""))))</x:f>
      </x:c>
      <x:c r="X725" s="16"/>
      <x:c r="Y725" s="16"/>
      <x:c r="Z725" s="16"/>
      <x:c r="AA725" s="16"/>
      <x:c r="AB725" s="109"/>
      <x:c r="AC725" s="109"/>
      <x:c r="AD725" s="16"/>
      <x:c r="AE725" s="16"/>
      <x:c r="AF725" s="16"/>
    </x:row>
    <x:row r="726">
      <x:c r="H726" s="107"/>
      <x:c r="I726" s="107"/>
      <x:c r="O726" s="107"/>
      <x:c r="P726" s="107"/>
      <x:c r="S726" s="107"/>
      <x:c r="W726" s="18" t="str">
        <x:f>IF(A726="","",IF(H726="","",IF(I726&lt;&gt;"",I726-H726+1,IF(S726&lt;&gt;"",S726-H726+1,""))))</x:f>
      </x:c>
      <x:c r="X726" s="16"/>
      <x:c r="Y726" s="16"/>
      <x:c r="Z726" s="16"/>
      <x:c r="AA726" s="16"/>
      <x:c r="AB726" s="109"/>
      <x:c r="AC726" s="109"/>
      <x:c r="AD726" s="16"/>
      <x:c r="AE726" s="16"/>
      <x:c r="AF726" s="16"/>
    </x:row>
    <x:row r="727">
      <x:c r="H727" s="107"/>
      <x:c r="I727" s="107"/>
      <x:c r="O727" s="107"/>
      <x:c r="P727" s="107"/>
      <x:c r="S727" s="107"/>
      <x:c r="W727" s="18" t="str">
        <x:f>IF(A727="","",IF(H727="","",IF(I727&lt;&gt;"",I727-H727+1,IF(S727&lt;&gt;"",S727-H727+1,""))))</x:f>
      </x:c>
      <x:c r="X727" s="16"/>
      <x:c r="Y727" s="16"/>
      <x:c r="Z727" s="16"/>
      <x:c r="AA727" s="16"/>
      <x:c r="AB727" s="109"/>
      <x:c r="AC727" s="109"/>
      <x:c r="AD727" s="16"/>
      <x:c r="AE727" s="16"/>
      <x:c r="AF727" s="16"/>
    </x:row>
    <x:row r="728">
      <x:c r="H728" s="107"/>
      <x:c r="I728" s="107"/>
      <x:c r="O728" s="107"/>
      <x:c r="P728" s="107"/>
      <x:c r="S728" s="107"/>
      <x:c r="W728" s="18" t="str">
        <x:f>IF(A728="","",IF(H728="","",IF(I728&lt;&gt;"",I728-H728+1,IF(S728&lt;&gt;"",S728-H728+1,""))))</x:f>
      </x:c>
      <x:c r="X728" s="16"/>
      <x:c r="Y728" s="16"/>
      <x:c r="Z728" s="16"/>
      <x:c r="AA728" s="16"/>
      <x:c r="AB728" s="109"/>
      <x:c r="AC728" s="109"/>
      <x:c r="AD728" s="16"/>
      <x:c r="AE728" s="16"/>
      <x:c r="AF728" s="16"/>
    </x:row>
    <x:row r="729">
      <x:c r="H729" s="107"/>
      <x:c r="I729" s="107"/>
      <x:c r="O729" s="107"/>
      <x:c r="P729" s="107"/>
      <x:c r="S729" s="107"/>
      <x:c r="W729" s="18" t="str">
        <x:f>IF(A729="","",IF(H729="","",IF(I729&lt;&gt;"",I729-H729+1,IF(S729&lt;&gt;"",S729-H729+1,""))))</x:f>
      </x:c>
      <x:c r="X729" s="16"/>
      <x:c r="Y729" s="16"/>
      <x:c r="Z729" s="16"/>
      <x:c r="AA729" s="16"/>
      <x:c r="AB729" s="109"/>
      <x:c r="AC729" s="109"/>
      <x:c r="AD729" s="16"/>
      <x:c r="AE729" s="16"/>
      <x:c r="AF729" s="16"/>
    </x:row>
    <x:row r="730">
      <x:c r="H730" s="107"/>
      <x:c r="I730" s="107"/>
      <x:c r="O730" s="107"/>
      <x:c r="P730" s="107"/>
      <x:c r="S730" s="107"/>
      <x:c r="W730" s="18" t="str">
        <x:f>IF(A730="","",IF(H730="","",IF(I730&lt;&gt;"",I730-H730+1,IF(S730&lt;&gt;"",S730-H730+1,""))))</x:f>
      </x:c>
      <x:c r="X730" s="16"/>
      <x:c r="Y730" s="16"/>
      <x:c r="Z730" s="16"/>
      <x:c r="AA730" s="16"/>
      <x:c r="AB730" s="109"/>
      <x:c r="AC730" s="109"/>
      <x:c r="AD730" s="16"/>
      <x:c r="AE730" s="16"/>
      <x:c r="AF730" s="16"/>
    </x:row>
    <x:row r="731">
      <x:c r="H731" s="107"/>
      <x:c r="I731" s="107"/>
      <x:c r="O731" s="107"/>
      <x:c r="P731" s="107"/>
      <x:c r="S731" s="107"/>
      <x:c r="W731" s="18" t="str">
        <x:f>IF(A731="","",IF(H731="","",IF(I731&lt;&gt;"",I731-H731+1,IF(S731&lt;&gt;"",S731-H731+1,""))))</x:f>
      </x:c>
      <x:c r="X731" s="16"/>
      <x:c r="Y731" s="16"/>
      <x:c r="Z731" s="16"/>
      <x:c r="AA731" s="16"/>
      <x:c r="AB731" s="109"/>
      <x:c r="AC731" s="109"/>
      <x:c r="AD731" s="16"/>
      <x:c r="AE731" s="16"/>
      <x:c r="AF731" s="16"/>
    </x:row>
    <x:row r="732">
      <x:c r="H732" s="107"/>
      <x:c r="I732" s="107"/>
      <x:c r="O732" s="107"/>
      <x:c r="P732" s="107"/>
      <x:c r="S732" s="107"/>
      <x:c r="W732" s="18" t="str">
        <x:f>IF(A732="","",IF(H732="","",IF(I732&lt;&gt;"",I732-H732+1,IF(S732&lt;&gt;"",S732-H732+1,""))))</x:f>
      </x:c>
      <x:c r="X732" s="16"/>
      <x:c r="Y732" s="16"/>
      <x:c r="Z732" s="16"/>
      <x:c r="AA732" s="16"/>
      <x:c r="AB732" s="109"/>
      <x:c r="AC732" s="109"/>
      <x:c r="AD732" s="16"/>
      <x:c r="AE732" s="16"/>
      <x:c r="AF732" s="16"/>
    </x:row>
    <x:row r="733">
      <x:c r="H733" s="107"/>
      <x:c r="I733" s="107"/>
      <x:c r="O733" s="107"/>
      <x:c r="P733" s="107"/>
      <x:c r="S733" s="107"/>
      <x:c r="W733" s="18" t="str">
        <x:f>IF(A733="","",IF(H733="","",IF(I733&lt;&gt;"",I733-H733+1,IF(S733&lt;&gt;"",S733-H733+1,""))))</x:f>
      </x:c>
      <x:c r="X733" s="16"/>
      <x:c r="Y733" s="16"/>
      <x:c r="Z733" s="16"/>
      <x:c r="AA733" s="16"/>
      <x:c r="AB733" s="109"/>
      <x:c r="AC733" s="109"/>
      <x:c r="AD733" s="16"/>
      <x:c r="AE733" s="16"/>
      <x:c r="AF733" s="16"/>
    </x:row>
    <x:row r="734">
      <x:c r="H734" s="107"/>
      <x:c r="I734" s="107"/>
      <x:c r="O734" s="107"/>
      <x:c r="P734" s="107"/>
      <x:c r="S734" s="107"/>
      <x:c r="W734" s="18" t="str">
        <x:f>IF(A734="","",IF(H734="","",IF(I734&lt;&gt;"",I734-H734+1,IF(S734&lt;&gt;"",S734-H734+1,""))))</x:f>
      </x:c>
      <x:c r="X734" s="16"/>
      <x:c r="Y734" s="16"/>
      <x:c r="Z734" s="16"/>
      <x:c r="AA734" s="16"/>
      <x:c r="AB734" s="109"/>
      <x:c r="AC734" s="109"/>
      <x:c r="AD734" s="16"/>
      <x:c r="AE734" s="16"/>
      <x:c r="AF734" s="16"/>
    </x:row>
    <x:row r="735">
      <x:c r="H735" s="107"/>
      <x:c r="I735" s="107"/>
      <x:c r="O735" s="107"/>
      <x:c r="P735" s="107"/>
      <x:c r="S735" s="107"/>
      <x:c r="W735" s="18" t="str">
        <x:f>IF(A735="","",IF(H735="","",IF(I735&lt;&gt;"",I735-H735+1,IF(S735&lt;&gt;"",S735-H735+1,""))))</x:f>
      </x:c>
      <x:c r="X735" s="16"/>
      <x:c r="Y735" s="16"/>
      <x:c r="Z735" s="16"/>
      <x:c r="AA735" s="16"/>
      <x:c r="AB735" s="109"/>
      <x:c r="AC735" s="109"/>
      <x:c r="AD735" s="16"/>
      <x:c r="AE735" s="16"/>
      <x:c r="AF735" s="16"/>
    </x:row>
    <x:row r="736">
      <x:c r="H736" s="107"/>
      <x:c r="I736" s="107"/>
      <x:c r="O736" s="107"/>
      <x:c r="P736" s="107"/>
      <x:c r="S736" s="107"/>
      <x:c r="W736" s="18" t="str">
        <x:f>IF(A736="","",IF(H736="","",IF(I736&lt;&gt;"",I736-H736+1,IF(S736&lt;&gt;"",S736-H736+1,""))))</x:f>
      </x:c>
      <x:c r="X736" s="16"/>
      <x:c r="Y736" s="16"/>
      <x:c r="Z736" s="16"/>
      <x:c r="AA736" s="16"/>
      <x:c r="AB736" s="109"/>
      <x:c r="AC736" s="109"/>
      <x:c r="AD736" s="16"/>
      <x:c r="AE736" s="16"/>
      <x:c r="AF736" s="16"/>
    </x:row>
    <x:row r="737">
      <x:c r="H737" s="107"/>
      <x:c r="I737" s="107"/>
      <x:c r="O737" s="107"/>
      <x:c r="P737" s="107"/>
      <x:c r="S737" s="107"/>
      <x:c r="W737" s="18" t="str">
        <x:f>IF(A737="","",IF(H737="","",IF(I737&lt;&gt;"",I737-H737+1,IF(S737&lt;&gt;"",S737-H737+1,""))))</x:f>
      </x:c>
      <x:c r="X737" s="16"/>
      <x:c r="Y737" s="16"/>
      <x:c r="Z737" s="16"/>
      <x:c r="AA737" s="16"/>
      <x:c r="AB737" s="109"/>
      <x:c r="AC737" s="109"/>
      <x:c r="AD737" s="16"/>
      <x:c r="AE737" s="16"/>
      <x:c r="AF737" s="16"/>
    </x:row>
    <x:row r="738">
      <x:c r="H738" s="107"/>
      <x:c r="I738" s="107"/>
      <x:c r="O738" s="107"/>
      <x:c r="P738" s="107"/>
      <x:c r="S738" s="107"/>
      <x:c r="W738" s="18" t="str">
        <x:f>IF(A738="","",IF(H738="","",IF(I738&lt;&gt;"",I738-H738+1,IF(S738&lt;&gt;"",S738-H738+1,""))))</x:f>
      </x:c>
      <x:c r="X738" s="16"/>
      <x:c r="Y738" s="16"/>
      <x:c r="Z738" s="16"/>
      <x:c r="AA738" s="16"/>
      <x:c r="AB738" s="109"/>
      <x:c r="AC738" s="109"/>
      <x:c r="AD738" s="16"/>
      <x:c r="AE738" s="16"/>
      <x:c r="AF738" s="16"/>
    </x:row>
    <x:row r="739">
      <x:c r="H739" s="107"/>
      <x:c r="I739" s="107"/>
      <x:c r="O739" s="107"/>
      <x:c r="P739" s="107"/>
      <x:c r="S739" s="107"/>
      <x:c r="W739" s="18" t="str">
        <x:f>IF(A739="","",IF(H739="","",IF(I739&lt;&gt;"",I739-H739+1,IF(S739&lt;&gt;"",S739-H739+1,""))))</x:f>
      </x:c>
      <x:c r="X739" s="16"/>
      <x:c r="Y739" s="16"/>
      <x:c r="Z739" s="16"/>
      <x:c r="AA739" s="16"/>
      <x:c r="AB739" s="109"/>
      <x:c r="AC739" s="109"/>
      <x:c r="AD739" s="16"/>
      <x:c r="AE739" s="16"/>
      <x:c r="AF739" s="16"/>
    </x:row>
    <x:row r="740">
      <x:c r="H740" s="107"/>
      <x:c r="I740" s="107"/>
      <x:c r="O740" s="107"/>
      <x:c r="P740" s="107"/>
      <x:c r="S740" s="107"/>
      <x:c r="W740" s="18" t="str">
        <x:f>IF(A740="","",IF(H740="","",IF(I740&lt;&gt;"",I740-H740+1,IF(S740&lt;&gt;"",S740-H740+1,""))))</x:f>
      </x:c>
      <x:c r="X740" s="16"/>
      <x:c r="Y740" s="16"/>
      <x:c r="Z740" s="16"/>
      <x:c r="AA740" s="16"/>
      <x:c r="AB740" s="109"/>
      <x:c r="AC740" s="109"/>
      <x:c r="AD740" s="16"/>
      <x:c r="AE740" s="16"/>
      <x:c r="AF740" s="16"/>
    </x:row>
    <x:row r="741">
      <x:c r="H741" s="107"/>
      <x:c r="I741" s="107"/>
      <x:c r="O741" s="107"/>
      <x:c r="P741" s="107"/>
      <x:c r="S741" s="107"/>
      <x:c r="W741" s="18" t="str">
        <x:f>IF(A741="","",IF(H741="","",IF(I741&lt;&gt;"",I741-H741+1,IF(S741&lt;&gt;"",S741-H741+1,""))))</x:f>
      </x:c>
      <x:c r="X741" s="16"/>
      <x:c r="Y741" s="16"/>
      <x:c r="Z741" s="16"/>
      <x:c r="AA741" s="16"/>
      <x:c r="AB741" s="109"/>
      <x:c r="AC741" s="109"/>
      <x:c r="AD741" s="16"/>
      <x:c r="AE741" s="16"/>
      <x:c r="AF741" s="16"/>
    </x:row>
    <x:row r="742">
      <x:c r="H742" s="107"/>
      <x:c r="I742" s="107"/>
      <x:c r="O742" s="107"/>
      <x:c r="P742" s="107"/>
      <x:c r="S742" s="107"/>
      <x:c r="W742" s="18" t="str">
        <x:f>IF(A742="","",IF(H742="","",IF(I742&lt;&gt;"",I742-H742+1,IF(S742&lt;&gt;"",S742-H742+1,""))))</x:f>
      </x:c>
      <x:c r="X742" s="16"/>
      <x:c r="Y742" s="16"/>
      <x:c r="Z742" s="16"/>
      <x:c r="AA742" s="16"/>
      <x:c r="AB742" s="109"/>
      <x:c r="AC742" s="109"/>
      <x:c r="AD742" s="16"/>
      <x:c r="AE742" s="16"/>
      <x:c r="AF742" s="16"/>
    </x:row>
    <x:row r="743">
      <x:c r="H743" s="107"/>
      <x:c r="I743" s="107"/>
      <x:c r="O743" s="107"/>
      <x:c r="P743" s="107"/>
      <x:c r="S743" s="107"/>
      <x:c r="W743" s="18" t="str">
        <x:f>IF(A743="","",IF(H743="","",IF(I743&lt;&gt;"",I743-H743+1,IF(S743&lt;&gt;"",S743-H743+1,""))))</x:f>
      </x:c>
      <x:c r="X743" s="16"/>
      <x:c r="Y743" s="16"/>
      <x:c r="Z743" s="16"/>
      <x:c r="AA743" s="16"/>
      <x:c r="AB743" s="109"/>
      <x:c r="AC743" s="109"/>
      <x:c r="AD743" s="16"/>
      <x:c r="AE743" s="16"/>
      <x:c r="AF743" s="16"/>
    </x:row>
    <x:row r="744">
      <x:c r="H744" s="107"/>
      <x:c r="I744" s="107"/>
      <x:c r="O744" s="107"/>
      <x:c r="P744" s="107"/>
      <x:c r="S744" s="107"/>
      <x:c r="W744" s="18" t="str">
        <x:f>IF(A744="","",IF(H744="","",IF(I744&lt;&gt;"",I744-H744+1,IF(S744&lt;&gt;"",S744-H744+1,""))))</x:f>
      </x:c>
      <x:c r="X744" s="16"/>
      <x:c r="Y744" s="16"/>
      <x:c r="Z744" s="16"/>
      <x:c r="AA744" s="16"/>
      <x:c r="AB744" s="109"/>
      <x:c r="AC744" s="109"/>
      <x:c r="AD744" s="16"/>
      <x:c r="AE744" s="16"/>
      <x:c r="AF744" s="16"/>
    </x:row>
    <x:row r="745">
      <x:c r="H745" s="107"/>
      <x:c r="I745" s="107"/>
      <x:c r="O745" s="107"/>
      <x:c r="P745" s="107"/>
      <x:c r="S745" s="107"/>
      <x:c r="W745" s="18" t="str">
        <x:f>IF(A745="","",IF(H745="","",IF(I745&lt;&gt;"",I745-H745+1,IF(S745&lt;&gt;"",S745-H745+1,""))))</x:f>
      </x:c>
      <x:c r="X745" s="16"/>
      <x:c r="Y745" s="16"/>
      <x:c r="Z745" s="16"/>
      <x:c r="AA745" s="16"/>
      <x:c r="AB745" s="109"/>
      <x:c r="AC745" s="109"/>
      <x:c r="AD745" s="16"/>
      <x:c r="AE745" s="16"/>
      <x:c r="AF745" s="16"/>
    </x:row>
    <x:row r="746">
      <x:c r="H746" s="107"/>
      <x:c r="I746" s="107"/>
      <x:c r="O746" s="107"/>
      <x:c r="P746" s="107"/>
      <x:c r="S746" s="107"/>
      <x:c r="W746" s="18" t="str">
        <x:f>IF(A746="","",IF(H746="","",IF(I746&lt;&gt;"",I746-H746+1,IF(S746&lt;&gt;"",S746-H746+1,""))))</x:f>
      </x:c>
      <x:c r="X746" s="16"/>
      <x:c r="Y746" s="16"/>
      <x:c r="Z746" s="16"/>
      <x:c r="AA746" s="16"/>
      <x:c r="AB746" s="109"/>
      <x:c r="AC746" s="109"/>
      <x:c r="AD746" s="16"/>
      <x:c r="AE746" s="16"/>
      <x:c r="AF746" s="16"/>
    </x:row>
    <x:row r="747">
      <x:c r="H747" s="107"/>
      <x:c r="I747" s="107"/>
      <x:c r="O747" s="107"/>
      <x:c r="P747" s="107"/>
      <x:c r="S747" s="107"/>
      <x:c r="W747" s="18" t="str">
        <x:f>IF(A747="","",IF(H747="","",IF(I747&lt;&gt;"",I747-H747+1,IF(S747&lt;&gt;"",S747-H747+1,""))))</x:f>
      </x:c>
      <x:c r="X747" s="16"/>
      <x:c r="Y747" s="16"/>
      <x:c r="Z747" s="16"/>
      <x:c r="AA747" s="16"/>
      <x:c r="AB747" s="109"/>
      <x:c r="AC747" s="109"/>
      <x:c r="AD747" s="16"/>
      <x:c r="AE747" s="16"/>
      <x:c r="AF747" s="16"/>
    </x:row>
    <x:row r="748">
      <x:c r="H748" s="107"/>
      <x:c r="I748" s="107"/>
      <x:c r="O748" s="107"/>
      <x:c r="P748" s="107"/>
      <x:c r="S748" s="107"/>
      <x:c r="W748" s="18" t="str">
        <x:f>IF(A748="","",IF(H748="","",IF(I748&lt;&gt;"",I748-H748+1,IF(S748&lt;&gt;"",S748-H748+1,""))))</x:f>
      </x:c>
      <x:c r="X748" s="16"/>
      <x:c r="Y748" s="16"/>
      <x:c r="Z748" s="16"/>
      <x:c r="AA748" s="16"/>
      <x:c r="AB748" s="109"/>
      <x:c r="AC748" s="109"/>
      <x:c r="AD748" s="16"/>
      <x:c r="AE748" s="16"/>
      <x:c r="AF748" s="16"/>
    </x:row>
    <x:row r="749">
      <x:c r="H749" s="107"/>
      <x:c r="I749" s="107"/>
      <x:c r="O749" s="107"/>
      <x:c r="P749" s="107"/>
      <x:c r="S749" s="107"/>
      <x:c r="W749" s="18" t="str">
        <x:f>IF(A749="","",IF(H749="","",IF(I749&lt;&gt;"",I749-H749+1,IF(S749&lt;&gt;"",S749-H749+1,""))))</x:f>
      </x:c>
      <x:c r="X749" s="16"/>
      <x:c r="Y749" s="16"/>
      <x:c r="Z749" s="16"/>
      <x:c r="AA749" s="16"/>
      <x:c r="AB749" s="109"/>
      <x:c r="AC749" s="109"/>
      <x:c r="AD749" s="16"/>
      <x:c r="AE749" s="16"/>
      <x:c r="AF749" s="16"/>
    </x:row>
    <x:row r="750">
      <x:c r="H750" s="107"/>
      <x:c r="I750" s="107"/>
      <x:c r="O750" s="107"/>
      <x:c r="P750" s="107"/>
      <x:c r="S750" s="107"/>
      <x:c r="W750" s="18" t="str">
        <x:f>IF(A750="","",IF(H750="","",IF(I750&lt;&gt;"",I750-H750+1,IF(S750&lt;&gt;"",S750-H750+1,""))))</x:f>
      </x:c>
      <x:c r="X750" s="16"/>
      <x:c r="Y750" s="16"/>
      <x:c r="Z750" s="16"/>
      <x:c r="AA750" s="16"/>
      <x:c r="AB750" s="109"/>
      <x:c r="AC750" s="109"/>
      <x:c r="AD750" s="16"/>
      <x:c r="AE750" s="16"/>
      <x:c r="AF750" s="16"/>
    </x:row>
    <x:row r="751">
      <x:c r="H751" s="107"/>
      <x:c r="I751" s="107"/>
      <x:c r="O751" s="107"/>
      <x:c r="P751" s="107"/>
      <x:c r="S751" s="107"/>
      <x:c r="W751" s="18" t="str">
        <x:f>IF(A751="","",IF(H751="","",IF(I751&lt;&gt;"",I751-H751+1,IF(S751&lt;&gt;"",S751-H751+1,""))))</x:f>
      </x:c>
      <x:c r="X751" s="16"/>
      <x:c r="Y751" s="16"/>
      <x:c r="Z751" s="16"/>
      <x:c r="AA751" s="16"/>
      <x:c r="AB751" s="109"/>
      <x:c r="AC751" s="109"/>
      <x:c r="AD751" s="16"/>
      <x:c r="AE751" s="16"/>
      <x:c r="AF751" s="16"/>
    </x:row>
    <x:row r="752">
      <x:c r="H752" s="107"/>
      <x:c r="I752" s="107"/>
      <x:c r="O752" s="107"/>
      <x:c r="P752" s="107"/>
      <x:c r="S752" s="107"/>
      <x:c r="W752" s="18" t="str">
        <x:f>IF(A752="","",IF(H752="","",IF(I752&lt;&gt;"",I752-H752+1,IF(S752&lt;&gt;"",S752-H752+1,""))))</x:f>
      </x:c>
      <x:c r="X752" s="16"/>
      <x:c r="Y752" s="16"/>
      <x:c r="Z752" s="16"/>
      <x:c r="AA752" s="16"/>
      <x:c r="AB752" s="109"/>
      <x:c r="AC752" s="109"/>
      <x:c r="AD752" s="16"/>
      <x:c r="AE752" s="16"/>
      <x:c r="AF752" s="16"/>
    </x:row>
    <x:row r="753">
      <x:c r="H753" s="107"/>
      <x:c r="I753" s="107"/>
      <x:c r="O753" s="107"/>
      <x:c r="P753" s="107"/>
      <x:c r="S753" s="107"/>
      <x:c r="W753" s="18" t="str">
        <x:f>IF(A753="","",IF(H753="","",IF(I753&lt;&gt;"",I753-H753+1,IF(S753&lt;&gt;"",S753-H753+1,""))))</x:f>
      </x:c>
      <x:c r="X753" s="16"/>
      <x:c r="Y753" s="16"/>
      <x:c r="Z753" s="16"/>
      <x:c r="AA753" s="16"/>
      <x:c r="AB753" s="109"/>
      <x:c r="AC753" s="109"/>
      <x:c r="AD753" s="16"/>
      <x:c r="AE753" s="16"/>
      <x:c r="AF753" s="16"/>
    </x:row>
    <x:row r="754">
      <x:c r="H754" s="107"/>
      <x:c r="I754" s="107"/>
      <x:c r="O754" s="107"/>
      <x:c r="P754" s="107"/>
      <x:c r="S754" s="107"/>
      <x:c r="W754" s="18" t="str">
        <x:f>IF(A754="","",IF(H754="","",IF(I754&lt;&gt;"",I754-H754+1,IF(S754&lt;&gt;"",S754-H754+1,""))))</x:f>
      </x:c>
      <x:c r="X754" s="16"/>
      <x:c r="Y754" s="16"/>
      <x:c r="Z754" s="16"/>
      <x:c r="AA754" s="16"/>
      <x:c r="AB754" s="109"/>
      <x:c r="AC754" s="109"/>
      <x:c r="AD754" s="16"/>
      <x:c r="AE754" s="16"/>
      <x:c r="AF754" s="16"/>
    </x:row>
    <x:row r="755">
      <x:c r="H755" s="107"/>
      <x:c r="I755" s="107"/>
      <x:c r="O755" s="107"/>
      <x:c r="P755" s="107"/>
      <x:c r="S755" s="107"/>
      <x:c r="W755" s="18" t="str">
        <x:f>IF(A755="","",IF(H755="","",IF(I755&lt;&gt;"",I755-H755+1,IF(S755&lt;&gt;"",S755-H755+1,""))))</x:f>
      </x:c>
      <x:c r="X755" s="16"/>
      <x:c r="Y755" s="16"/>
      <x:c r="Z755" s="16"/>
      <x:c r="AA755" s="16"/>
      <x:c r="AB755" s="109"/>
      <x:c r="AC755" s="109"/>
      <x:c r="AD755" s="16"/>
      <x:c r="AE755" s="16"/>
      <x:c r="AF755" s="16"/>
    </x:row>
    <x:row r="756">
      <x:c r="H756" s="107"/>
      <x:c r="I756" s="107"/>
      <x:c r="O756" s="107"/>
      <x:c r="P756" s="107"/>
      <x:c r="S756" s="107"/>
      <x:c r="W756" s="18" t="str">
        <x:f>IF(A756="","",IF(H756="","",IF(I756&lt;&gt;"",I756-H756+1,IF(S756&lt;&gt;"",S756-H756+1,""))))</x:f>
      </x:c>
      <x:c r="X756" s="16"/>
      <x:c r="Y756" s="16"/>
      <x:c r="Z756" s="16"/>
      <x:c r="AA756" s="16"/>
      <x:c r="AB756" s="109"/>
      <x:c r="AC756" s="109"/>
      <x:c r="AD756" s="16"/>
      <x:c r="AE756" s="16"/>
      <x:c r="AF756" s="16"/>
    </x:row>
    <x:row r="757">
      <x:c r="H757" s="107"/>
      <x:c r="I757" s="107"/>
      <x:c r="O757" s="107"/>
      <x:c r="P757" s="107"/>
      <x:c r="S757" s="107"/>
      <x:c r="W757" s="18" t="str">
        <x:f>IF(A757="","",IF(H757="","",IF(I757&lt;&gt;"",I757-H757+1,IF(S757&lt;&gt;"",S757-H757+1,""))))</x:f>
      </x:c>
      <x:c r="X757" s="16"/>
      <x:c r="Y757" s="16"/>
      <x:c r="Z757" s="16"/>
      <x:c r="AA757" s="16"/>
      <x:c r="AB757" s="109"/>
      <x:c r="AC757" s="109"/>
      <x:c r="AD757" s="16"/>
      <x:c r="AE757" s="16"/>
      <x:c r="AF757" s="16"/>
    </x:row>
    <x:row r="758">
      <x:c r="H758" s="107"/>
      <x:c r="I758" s="107"/>
      <x:c r="O758" s="107"/>
      <x:c r="P758" s="107"/>
      <x:c r="S758" s="107"/>
      <x:c r="W758" s="18" t="str">
        <x:f>IF(A758="","",IF(H758="","",IF(I758&lt;&gt;"",I758-H758+1,IF(S758&lt;&gt;"",S758-H758+1,""))))</x:f>
      </x:c>
      <x:c r="X758" s="16"/>
      <x:c r="Y758" s="16"/>
      <x:c r="Z758" s="16"/>
      <x:c r="AA758" s="16"/>
      <x:c r="AB758" s="109"/>
      <x:c r="AC758" s="109"/>
      <x:c r="AD758" s="16"/>
      <x:c r="AE758" s="16"/>
      <x:c r="AF758" s="16"/>
    </x:row>
    <x:row r="759">
      <x:c r="H759" s="107"/>
      <x:c r="I759" s="107"/>
      <x:c r="O759" s="107"/>
      <x:c r="P759" s="107"/>
      <x:c r="S759" s="107"/>
      <x:c r="W759" s="18" t="str">
        <x:f>IF(A759="","",IF(H759="","",IF(I759&lt;&gt;"",I759-H759+1,IF(S759&lt;&gt;"",S759-H759+1,""))))</x:f>
      </x:c>
      <x:c r="X759" s="16"/>
      <x:c r="Y759" s="16"/>
      <x:c r="Z759" s="16"/>
      <x:c r="AA759" s="16"/>
      <x:c r="AB759" s="109"/>
      <x:c r="AC759" s="109"/>
      <x:c r="AD759" s="16"/>
      <x:c r="AE759" s="16"/>
      <x:c r="AF759" s="16"/>
    </x:row>
    <x:row r="760">
      <x:c r="H760" s="107"/>
      <x:c r="I760" s="107"/>
      <x:c r="O760" s="107"/>
      <x:c r="P760" s="107"/>
      <x:c r="S760" s="107"/>
      <x:c r="W760" s="18" t="str">
        <x:f>IF(A760="","",IF(H760="","",IF(I760&lt;&gt;"",I760-H760+1,IF(S760&lt;&gt;"",S760-H760+1,""))))</x:f>
      </x:c>
      <x:c r="X760" s="16"/>
      <x:c r="Y760" s="16"/>
      <x:c r="Z760" s="16"/>
      <x:c r="AA760" s="16"/>
      <x:c r="AB760" s="109"/>
      <x:c r="AC760" s="109"/>
      <x:c r="AD760" s="16"/>
      <x:c r="AE760" s="16"/>
      <x:c r="AF760" s="16"/>
    </x:row>
    <x:row r="761">
      <x:c r="H761" s="107"/>
      <x:c r="I761" s="107"/>
      <x:c r="O761" s="107"/>
      <x:c r="P761" s="107"/>
      <x:c r="S761" s="107"/>
      <x:c r="W761" s="18" t="str">
        <x:f>IF(A761="","",IF(H761="","",IF(I761&lt;&gt;"",I761-H761+1,IF(S761&lt;&gt;"",S761-H761+1,""))))</x:f>
      </x:c>
      <x:c r="X761" s="16"/>
      <x:c r="Y761" s="16"/>
      <x:c r="Z761" s="16"/>
      <x:c r="AA761" s="16"/>
      <x:c r="AB761" s="109"/>
      <x:c r="AC761" s="109"/>
      <x:c r="AD761" s="16"/>
      <x:c r="AE761" s="16"/>
      <x:c r="AF761" s="16"/>
    </x:row>
    <x:row r="762">
      <x:c r="H762" s="107"/>
      <x:c r="I762" s="107"/>
      <x:c r="O762" s="107"/>
      <x:c r="P762" s="107"/>
      <x:c r="S762" s="107"/>
      <x:c r="W762" s="18" t="str">
        <x:f>IF(A762="","",IF(H762="","",IF(I762&lt;&gt;"",I762-H762+1,IF(S762&lt;&gt;"",S762-H762+1,""))))</x:f>
      </x:c>
      <x:c r="X762" s="16"/>
      <x:c r="Y762" s="16"/>
      <x:c r="Z762" s="16"/>
      <x:c r="AA762" s="16"/>
      <x:c r="AB762" s="109"/>
      <x:c r="AC762" s="109"/>
      <x:c r="AD762" s="16"/>
      <x:c r="AE762" s="16"/>
      <x:c r="AF762" s="16"/>
    </x:row>
    <x:row r="763">
      <x:c r="H763" s="107"/>
      <x:c r="I763" s="107"/>
      <x:c r="O763" s="107"/>
      <x:c r="P763" s="107"/>
      <x:c r="S763" s="107"/>
      <x:c r="W763" s="18" t="str">
        <x:f>IF(A763="","",IF(H763="","",IF(I763&lt;&gt;"",I763-H763+1,IF(S763&lt;&gt;"",S763-H763+1,""))))</x:f>
      </x:c>
      <x:c r="X763" s="16"/>
      <x:c r="Y763" s="16"/>
      <x:c r="Z763" s="16"/>
      <x:c r="AA763" s="16"/>
      <x:c r="AB763" s="109"/>
      <x:c r="AC763" s="109"/>
      <x:c r="AD763" s="16"/>
      <x:c r="AE763" s="16"/>
      <x:c r="AF763" s="16"/>
    </x:row>
    <x:row r="764">
      <x:c r="H764" s="107"/>
      <x:c r="I764" s="107"/>
      <x:c r="O764" s="107"/>
      <x:c r="P764" s="107"/>
      <x:c r="S764" s="107"/>
      <x:c r="W764" s="18" t="str">
        <x:f>IF(A764="","",IF(H764="","",IF(I764&lt;&gt;"",I764-H764+1,IF(S764&lt;&gt;"",S764-H764+1,""))))</x:f>
      </x:c>
      <x:c r="X764" s="16"/>
      <x:c r="Y764" s="16"/>
      <x:c r="Z764" s="16"/>
      <x:c r="AA764" s="16"/>
      <x:c r="AB764" s="109"/>
      <x:c r="AC764" s="109"/>
      <x:c r="AD764" s="16"/>
      <x:c r="AE764" s="16"/>
      <x:c r="AF764" s="16"/>
    </x:row>
    <x:row r="765">
      <x:c r="H765" s="107"/>
      <x:c r="I765" s="107"/>
      <x:c r="O765" s="107"/>
      <x:c r="P765" s="107"/>
      <x:c r="S765" s="107"/>
      <x:c r="W765" s="18" t="str">
        <x:f>IF(A765="","",IF(H765="","",IF(I765&lt;&gt;"",I765-H765+1,IF(S765&lt;&gt;"",S765-H765+1,""))))</x:f>
      </x:c>
      <x:c r="X765" s="16"/>
      <x:c r="Y765" s="16"/>
      <x:c r="Z765" s="16"/>
      <x:c r="AA765" s="16"/>
      <x:c r="AB765" s="109"/>
      <x:c r="AC765" s="109"/>
      <x:c r="AD765" s="16"/>
      <x:c r="AE765" s="16"/>
      <x:c r="AF765" s="16"/>
    </x:row>
    <x:row r="766">
      <x:c r="H766" s="107"/>
      <x:c r="I766" s="107"/>
      <x:c r="O766" s="107"/>
      <x:c r="P766" s="107"/>
      <x:c r="S766" s="107"/>
      <x:c r="W766" s="18" t="str">
        <x:f>IF(A766="","",IF(H766="","",IF(I766&lt;&gt;"",I766-H766+1,IF(S766&lt;&gt;"",S766-H766+1,""))))</x:f>
      </x:c>
      <x:c r="X766" s="16"/>
      <x:c r="Y766" s="16"/>
      <x:c r="Z766" s="16"/>
      <x:c r="AA766" s="16"/>
      <x:c r="AB766" s="109"/>
      <x:c r="AC766" s="109"/>
      <x:c r="AD766" s="16"/>
      <x:c r="AE766" s="16"/>
      <x:c r="AF766" s="16"/>
    </x:row>
    <x:row r="767">
      <x:c r="H767" s="107"/>
      <x:c r="I767" s="107"/>
      <x:c r="O767" s="107"/>
      <x:c r="P767" s="107"/>
      <x:c r="S767" s="107"/>
      <x:c r="W767" s="18" t="str">
        <x:f>IF(A767="","",IF(H767="","",IF(I767&lt;&gt;"",I767-H767+1,IF(S767&lt;&gt;"",S767-H767+1,""))))</x:f>
      </x:c>
      <x:c r="X767" s="16"/>
      <x:c r="Y767" s="16"/>
      <x:c r="Z767" s="16"/>
      <x:c r="AA767" s="16"/>
      <x:c r="AB767" s="109"/>
      <x:c r="AC767" s="109"/>
      <x:c r="AD767" s="16"/>
      <x:c r="AE767" s="16"/>
      <x:c r="AF767" s="16"/>
    </x:row>
    <x:row r="768">
      <x:c r="H768" s="107"/>
      <x:c r="I768" s="107"/>
      <x:c r="O768" s="107"/>
      <x:c r="P768" s="107"/>
      <x:c r="S768" s="107"/>
      <x:c r="W768" s="18" t="str">
        <x:f>IF(A768="","",IF(H768="","",IF(I768&lt;&gt;"",I768-H768+1,IF(S768&lt;&gt;"",S768-H768+1,""))))</x:f>
      </x:c>
      <x:c r="X768" s="16"/>
      <x:c r="Y768" s="16"/>
      <x:c r="Z768" s="16"/>
      <x:c r="AA768" s="16"/>
      <x:c r="AB768" s="109"/>
      <x:c r="AC768" s="109"/>
      <x:c r="AD768" s="16"/>
      <x:c r="AE768" s="16"/>
      <x:c r="AF768" s="16"/>
    </x:row>
    <x:row r="769">
      <x:c r="H769" s="107"/>
      <x:c r="I769" s="107"/>
      <x:c r="O769" s="107"/>
      <x:c r="P769" s="107"/>
      <x:c r="S769" s="107"/>
      <x:c r="W769" s="18" t="str">
        <x:f>IF(A769="","",IF(H769="","",IF(I769&lt;&gt;"",I769-H769+1,IF(S769&lt;&gt;"",S769-H769+1,""))))</x:f>
      </x:c>
      <x:c r="X769" s="16"/>
      <x:c r="Y769" s="16"/>
      <x:c r="Z769" s="16"/>
      <x:c r="AA769" s="16"/>
      <x:c r="AB769" s="109"/>
      <x:c r="AC769" s="109"/>
      <x:c r="AD769" s="16"/>
      <x:c r="AE769" s="16"/>
      <x:c r="AF769" s="16"/>
    </x:row>
    <x:row r="770">
      <x:c r="H770" s="107"/>
      <x:c r="I770" s="107"/>
      <x:c r="O770" s="107"/>
      <x:c r="P770" s="107"/>
      <x:c r="S770" s="107"/>
      <x:c r="W770" s="18" t="str">
        <x:f>IF(A770="","",IF(H770="","",IF(I770&lt;&gt;"",I770-H770+1,IF(S770&lt;&gt;"",S770-H770+1,""))))</x:f>
      </x:c>
      <x:c r="X770" s="16"/>
      <x:c r="Y770" s="16"/>
      <x:c r="Z770" s="16"/>
      <x:c r="AA770" s="16"/>
      <x:c r="AB770" s="109"/>
      <x:c r="AC770" s="109"/>
      <x:c r="AD770" s="16"/>
      <x:c r="AE770" s="16"/>
      <x:c r="AF770" s="16"/>
    </x:row>
    <x:row r="771">
      <x:c r="H771" s="107"/>
      <x:c r="I771" s="107"/>
      <x:c r="O771" s="107"/>
      <x:c r="P771" s="107"/>
      <x:c r="S771" s="107"/>
      <x:c r="W771" s="18" t="str">
        <x:f>IF(A771="","",IF(H771="","",IF(I771&lt;&gt;"",I771-H771+1,IF(S771&lt;&gt;"",S771-H771+1,""))))</x:f>
      </x:c>
      <x:c r="X771" s="16"/>
      <x:c r="Y771" s="16"/>
      <x:c r="Z771" s="16"/>
      <x:c r="AA771" s="16"/>
      <x:c r="AB771" s="109"/>
      <x:c r="AC771" s="109"/>
      <x:c r="AD771" s="16"/>
      <x:c r="AE771" s="16"/>
      <x:c r="AF771" s="16"/>
    </x:row>
    <x:row r="772">
      <x:c r="H772" s="107"/>
      <x:c r="I772" s="107"/>
      <x:c r="O772" s="107"/>
      <x:c r="P772" s="107"/>
      <x:c r="S772" s="107"/>
      <x:c r="W772" s="18" t="str">
        <x:f>IF(A772="","",IF(H772="","",IF(I772&lt;&gt;"",I772-H772+1,IF(S772&lt;&gt;"",S772-H772+1,""))))</x:f>
      </x:c>
      <x:c r="X772" s="16"/>
      <x:c r="Y772" s="16"/>
      <x:c r="Z772" s="16"/>
      <x:c r="AA772" s="16"/>
      <x:c r="AB772" s="109"/>
      <x:c r="AC772" s="109"/>
      <x:c r="AD772" s="16"/>
      <x:c r="AE772" s="16"/>
      <x:c r="AF772" s="16"/>
    </x:row>
    <x:row r="773">
      <x:c r="H773" s="107"/>
      <x:c r="I773" s="107"/>
      <x:c r="O773" s="107"/>
      <x:c r="P773" s="107"/>
      <x:c r="S773" s="107"/>
      <x:c r="W773" s="18" t="str">
        <x:f>IF(A773="","",IF(H773="","",IF(I773&lt;&gt;"",I773-H773+1,IF(S773&lt;&gt;"",S773-H773+1,""))))</x:f>
      </x:c>
      <x:c r="X773" s="16"/>
      <x:c r="Y773" s="16"/>
      <x:c r="Z773" s="16"/>
      <x:c r="AA773" s="16"/>
      <x:c r="AB773" s="109"/>
      <x:c r="AC773" s="109"/>
      <x:c r="AD773" s="16"/>
      <x:c r="AE773" s="16"/>
      <x:c r="AF773" s="16"/>
    </x:row>
    <x:row r="774">
      <x:c r="H774" s="107"/>
      <x:c r="I774" s="107"/>
      <x:c r="O774" s="107"/>
      <x:c r="P774" s="107"/>
      <x:c r="S774" s="107"/>
      <x:c r="W774" s="18" t="str">
        <x:f>IF(A774="","",IF(H774="","",IF(I774&lt;&gt;"",I774-H774+1,IF(S774&lt;&gt;"",S774-H774+1,""))))</x:f>
      </x:c>
      <x:c r="X774" s="16"/>
      <x:c r="Y774" s="16"/>
      <x:c r="Z774" s="16"/>
      <x:c r="AA774" s="16"/>
      <x:c r="AB774" s="109"/>
      <x:c r="AC774" s="109"/>
      <x:c r="AD774" s="16"/>
      <x:c r="AE774" s="16"/>
      <x:c r="AF774" s="16"/>
    </x:row>
    <x:row r="775">
      <x:c r="H775" s="107"/>
      <x:c r="I775" s="107"/>
      <x:c r="O775" s="107"/>
      <x:c r="P775" s="107"/>
      <x:c r="S775" s="107"/>
      <x:c r="W775" s="18" t="str">
        <x:f>IF(A775="","",IF(H775="","",IF(I775&lt;&gt;"",I775-H775+1,IF(S775&lt;&gt;"",S775-H775+1,""))))</x:f>
      </x:c>
      <x:c r="X775" s="16"/>
      <x:c r="Y775" s="16"/>
      <x:c r="Z775" s="16"/>
      <x:c r="AA775" s="16"/>
      <x:c r="AB775" s="109"/>
      <x:c r="AC775" s="109"/>
      <x:c r="AD775" s="16"/>
      <x:c r="AE775" s="16"/>
      <x:c r="AF775" s="16"/>
    </x:row>
    <x:row r="776">
      <x:c r="H776" s="107"/>
      <x:c r="I776" s="107"/>
      <x:c r="O776" s="107"/>
      <x:c r="P776" s="107"/>
      <x:c r="S776" s="107"/>
      <x:c r="W776" s="18" t="str">
        <x:f>IF(A776="","",IF(H776="","",IF(I776&lt;&gt;"",I776-H776+1,IF(S776&lt;&gt;"",S776-H776+1,""))))</x:f>
      </x:c>
      <x:c r="X776" s="16"/>
      <x:c r="Y776" s="16"/>
      <x:c r="Z776" s="16"/>
      <x:c r="AA776" s="16"/>
      <x:c r="AB776" s="109"/>
      <x:c r="AC776" s="109"/>
      <x:c r="AD776" s="16"/>
      <x:c r="AE776" s="16"/>
      <x:c r="AF776" s="16"/>
    </x:row>
    <x:row r="777">
      <x:c r="H777" s="107"/>
      <x:c r="I777" s="107"/>
      <x:c r="O777" s="107"/>
      <x:c r="P777" s="107"/>
      <x:c r="S777" s="107"/>
      <x:c r="W777" s="18" t="str">
        <x:f>IF(A777="","",IF(H777="","",IF(I777&lt;&gt;"",I777-H777+1,IF(S777&lt;&gt;"",S777-H777+1,""))))</x:f>
      </x:c>
      <x:c r="X777" s="16"/>
      <x:c r="Y777" s="16"/>
      <x:c r="Z777" s="16"/>
      <x:c r="AA777" s="16"/>
      <x:c r="AB777" s="109"/>
      <x:c r="AC777" s="109"/>
      <x:c r="AD777" s="16"/>
      <x:c r="AE777" s="16"/>
      <x:c r="AF777" s="16"/>
    </x:row>
    <x:row r="778">
      <x:c r="H778" s="107"/>
      <x:c r="I778" s="107"/>
      <x:c r="O778" s="107"/>
      <x:c r="P778" s="107"/>
      <x:c r="S778" s="107"/>
      <x:c r="W778" s="18" t="str">
        <x:f>IF(A778="","",IF(H778="","",IF(I778&lt;&gt;"",I778-H778+1,IF(S778&lt;&gt;"",S778-H778+1,""))))</x:f>
      </x:c>
      <x:c r="X778" s="16"/>
      <x:c r="Y778" s="16"/>
      <x:c r="Z778" s="16"/>
      <x:c r="AA778" s="16"/>
      <x:c r="AB778" s="109"/>
      <x:c r="AC778" s="109"/>
      <x:c r="AD778" s="16"/>
      <x:c r="AE778" s="16"/>
      <x:c r="AF778" s="16"/>
    </x:row>
    <x:row r="779">
      <x:c r="H779" s="107"/>
      <x:c r="I779" s="107"/>
      <x:c r="O779" s="107"/>
      <x:c r="P779" s="107"/>
      <x:c r="S779" s="107"/>
      <x:c r="W779" s="18" t="str">
        <x:f>IF(A779="","",IF(H779="","",IF(I779&lt;&gt;"",I779-H779+1,IF(S779&lt;&gt;"",S779-H779+1,""))))</x:f>
      </x:c>
      <x:c r="X779" s="16"/>
      <x:c r="Y779" s="16"/>
      <x:c r="Z779" s="16"/>
      <x:c r="AA779" s="16"/>
      <x:c r="AB779" s="109"/>
      <x:c r="AC779" s="109"/>
      <x:c r="AD779" s="16"/>
      <x:c r="AE779" s="16"/>
      <x:c r="AF779" s="16"/>
    </x:row>
    <x:row r="780">
      <x:c r="H780" s="107"/>
      <x:c r="I780" s="107"/>
      <x:c r="O780" s="107"/>
      <x:c r="P780" s="107"/>
      <x:c r="S780" s="107"/>
      <x:c r="W780" s="18" t="str">
        <x:f>IF(A780="","",IF(H780="","",IF(I780&lt;&gt;"",I780-H780+1,IF(S780&lt;&gt;"",S780-H780+1,""))))</x:f>
      </x:c>
      <x:c r="X780" s="16"/>
      <x:c r="Y780" s="16"/>
      <x:c r="Z780" s="16"/>
      <x:c r="AA780" s="16"/>
      <x:c r="AB780" s="109"/>
      <x:c r="AC780" s="109"/>
      <x:c r="AD780" s="16"/>
      <x:c r="AE780" s="16"/>
      <x:c r="AF780" s="16"/>
    </x:row>
    <x:row r="781">
      <x:c r="H781" s="107"/>
      <x:c r="I781" s="107"/>
      <x:c r="O781" s="107"/>
      <x:c r="P781" s="107"/>
      <x:c r="S781" s="107"/>
      <x:c r="W781" s="18" t="str">
        <x:f>IF(A781="","",IF(H781="","",IF(I781&lt;&gt;"",I781-H781+1,IF(S781&lt;&gt;"",S781-H781+1,""))))</x:f>
      </x:c>
      <x:c r="X781" s="16"/>
      <x:c r="Y781" s="16"/>
      <x:c r="Z781" s="16"/>
      <x:c r="AA781" s="16"/>
      <x:c r="AB781" s="109"/>
      <x:c r="AC781" s="109"/>
      <x:c r="AD781" s="16"/>
      <x:c r="AE781" s="16"/>
      <x:c r="AF781" s="16"/>
    </x:row>
    <x:row r="782">
      <x:c r="H782" s="107"/>
      <x:c r="I782" s="107"/>
      <x:c r="O782" s="107"/>
      <x:c r="P782" s="107"/>
      <x:c r="S782" s="107"/>
      <x:c r="W782" s="18" t="str">
        <x:f>IF(A782="","",IF(H782="","",IF(I782&lt;&gt;"",I782-H782+1,IF(S782&lt;&gt;"",S782-H782+1,""))))</x:f>
      </x:c>
      <x:c r="X782" s="16"/>
      <x:c r="Y782" s="16"/>
      <x:c r="Z782" s="16"/>
      <x:c r="AA782" s="16"/>
      <x:c r="AB782" s="109"/>
      <x:c r="AC782" s="109"/>
      <x:c r="AD782" s="16"/>
      <x:c r="AE782" s="16"/>
      <x:c r="AF782" s="16"/>
    </x:row>
    <x:row r="783">
      <x:c r="H783" s="107"/>
      <x:c r="I783" s="107"/>
      <x:c r="O783" s="107"/>
      <x:c r="P783" s="107"/>
      <x:c r="S783" s="107"/>
      <x:c r="W783" s="18" t="str">
        <x:f>IF(A783="","",IF(H783="","",IF(I783&lt;&gt;"",I783-H783+1,IF(S783&lt;&gt;"",S783-H783+1,""))))</x:f>
      </x:c>
      <x:c r="X783" s="16"/>
      <x:c r="Y783" s="16"/>
      <x:c r="Z783" s="16"/>
      <x:c r="AA783" s="16"/>
      <x:c r="AB783" s="109"/>
      <x:c r="AC783" s="109"/>
      <x:c r="AD783" s="16"/>
      <x:c r="AE783" s="16"/>
      <x:c r="AF783" s="16"/>
    </x:row>
    <x:row r="784">
      <x:c r="H784" s="107"/>
      <x:c r="I784" s="107"/>
      <x:c r="O784" s="107"/>
      <x:c r="P784" s="107"/>
      <x:c r="S784" s="107"/>
      <x:c r="W784" s="18" t="str">
        <x:f>IF(A784="","",IF(H784="","",IF(I784&lt;&gt;"",I784-H784+1,IF(S784&lt;&gt;"",S784-H784+1,""))))</x:f>
      </x:c>
      <x:c r="X784" s="16"/>
      <x:c r="Y784" s="16"/>
      <x:c r="Z784" s="16"/>
      <x:c r="AA784" s="16"/>
      <x:c r="AB784" s="109"/>
      <x:c r="AC784" s="109"/>
      <x:c r="AD784" s="16"/>
      <x:c r="AE784" s="16"/>
      <x:c r="AF784" s="16"/>
    </x:row>
    <x:row r="785">
      <x:c r="H785" s="107"/>
      <x:c r="I785" s="107"/>
      <x:c r="O785" s="107"/>
      <x:c r="P785" s="107"/>
      <x:c r="S785" s="107"/>
      <x:c r="W785" s="18" t="str">
        <x:f>IF(A785="","",IF(H785="","",IF(I785&lt;&gt;"",I785-H785+1,IF(S785&lt;&gt;"",S785-H785+1,""))))</x:f>
      </x:c>
      <x:c r="X785" s="16"/>
      <x:c r="Y785" s="16"/>
      <x:c r="Z785" s="16"/>
      <x:c r="AA785" s="16"/>
      <x:c r="AB785" s="109"/>
      <x:c r="AC785" s="109"/>
      <x:c r="AD785" s="16"/>
      <x:c r="AE785" s="16"/>
      <x:c r="AF785" s="16"/>
    </x:row>
    <x:row r="786">
      <x:c r="H786" s="107"/>
      <x:c r="I786" s="107"/>
      <x:c r="O786" s="107"/>
      <x:c r="P786" s="107"/>
      <x:c r="S786" s="107"/>
      <x:c r="W786" s="18" t="str">
        <x:f>IF(A786="","",IF(H786="","",IF(I786&lt;&gt;"",I786-H786+1,IF(S786&lt;&gt;"",S786-H786+1,""))))</x:f>
      </x:c>
      <x:c r="X786" s="16"/>
      <x:c r="Y786" s="16"/>
      <x:c r="Z786" s="16"/>
      <x:c r="AA786" s="16"/>
      <x:c r="AB786" s="109"/>
      <x:c r="AC786" s="109"/>
      <x:c r="AD786" s="16"/>
      <x:c r="AE786" s="16"/>
      <x:c r="AF786" s="16"/>
    </x:row>
    <x:row r="787">
      <x:c r="H787" s="107"/>
      <x:c r="I787" s="107"/>
      <x:c r="O787" s="107"/>
      <x:c r="P787" s="107"/>
      <x:c r="S787" s="107"/>
      <x:c r="W787" s="18" t="str">
        <x:f>IF(A787="","",IF(H787="","",IF(I787&lt;&gt;"",I787-H787+1,IF(S787&lt;&gt;"",S787-H787+1,""))))</x:f>
      </x:c>
      <x:c r="X787" s="16"/>
      <x:c r="Y787" s="16"/>
      <x:c r="Z787" s="16"/>
      <x:c r="AA787" s="16"/>
      <x:c r="AB787" s="109"/>
      <x:c r="AC787" s="109"/>
      <x:c r="AD787" s="16"/>
      <x:c r="AE787" s="16"/>
      <x:c r="AF787" s="16"/>
    </x:row>
    <x:row r="788">
      <x:c r="H788" s="107"/>
      <x:c r="I788" s="107"/>
      <x:c r="O788" s="107"/>
      <x:c r="P788" s="107"/>
      <x:c r="S788" s="107"/>
      <x:c r="W788" s="18" t="str">
        <x:f>IF(A788="","",IF(H788="","",IF(I788&lt;&gt;"",I788-H788+1,IF(S788&lt;&gt;"",S788-H788+1,""))))</x:f>
      </x:c>
      <x:c r="X788" s="16"/>
      <x:c r="Y788" s="16"/>
      <x:c r="Z788" s="16"/>
      <x:c r="AA788" s="16"/>
      <x:c r="AB788" s="109"/>
      <x:c r="AC788" s="109"/>
      <x:c r="AD788" s="16"/>
      <x:c r="AE788" s="16"/>
      <x:c r="AF788" s="16"/>
    </x:row>
    <x:row r="789">
      <x:c r="H789" s="107"/>
      <x:c r="I789" s="107"/>
      <x:c r="O789" s="107"/>
      <x:c r="P789" s="107"/>
      <x:c r="S789" s="107"/>
      <x:c r="W789" s="18" t="str">
        <x:f>IF(A789="","",IF(H789="","",IF(I789&lt;&gt;"",I789-H789+1,IF(S789&lt;&gt;"",S789-H789+1,""))))</x:f>
      </x:c>
      <x:c r="X789" s="16"/>
      <x:c r="Y789" s="16"/>
      <x:c r="Z789" s="16"/>
      <x:c r="AA789" s="16"/>
      <x:c r="AB789" s="109"/>
      <x:c r="AC789" s="109"/>
      <x:c r="AD789" s="16"/>
      <x:c r="AE789" s="16"/>
      <x:c r="AF789" s="16"/>
    </x:row>
    <x:row r="790">
      <x:c r="H790" s="107"/>
      <x:c r="I790" s="107"/>
      <x:c r="O790" s="107"/>
      <x:c r="P790" s="107"/>
      <x:c r="S790" s="107"/>
      <x:c r="W790" s="18" t="str">
        <x:f>IF(A790="","",IF(H790="","",IF(I790&lt;&gt;"",I790-H790+1,IF(S790&lt;&gt;"",S790-H790+1,""))))</x:f>
      </x:c>
      <x:c r="X790" s="16"/>
      <x:c r="Y790" s="16"/>
      <x:c r="Z790" s="16"/>
      <x:c r="AA790" s="16"/>
      <x:c r="AB790" s="109"/>
      <x:c r="AC790" s="109"/>
      <x:c r="AD790" s="16"/>
      <x:c r="AE790" s="16"/>
      <x:c r="AF790" s="16"/>
    </x:row>
    <x:row r="791">
      <x:c r="H791" s="107"/>
      <x:c r="I791" s="107"/>
      <x:c r="O791" s="107"/>
      <x:c r="P791" s="107"/>
      <x:c r="S791" s="107"/>
      <x:c r="W791" s="18" t="str">
        <x:f>IF(A791="","",IF(H791="","",IF(I791&lt;&gt;"",I791-H791+1,IF(S791&lt;&gt;"",S791-H791+1,""))))</x:f>
      </x:c>
      <x:c r="X791" s="16"/>
      <x:c r="Y791" s="16"/>
      <x:c r="Z791" s="16"/>
      <x:c r="AA791" s="16"/>
      <x:c r="AB791" s="109"/>
      <x:c r="AC791" s="109"/>
      <x:c r="AD791" s="16"/>
      <x:c r="AE791" s="16"/>
      <x:c r="AF791" s="16"/>
    </x:row>
    <x:row r="792">
      <x:c r="H792" s="107"/>
      <x:c r="I792" s="107"/>
      <x:c r="O792" s="107"/>
      <x:c r="P792" s="107"/>
      <x:c r="S792" s="107"/>
      <x:c r="W792" s="18" t="str">
        <x:f>IF(A792="","",IF(H792="","",IF(I792&lt;&gt;"",I792-H792+1,IF(S792&lt;&gt;"",S792-H792+1,""))))</x:f>
      </x:c>
      <x:c r="X792" s="16"/>
      <x:c r="Y792" s="16"/>
      <x:c r="Z792" s="16"/>
      <x:c r="AA792" s="16"/>
      <x:c r="AB792" s="109"/>
      <x:c r="AC792" s="109"/>
      <x:c r="AD792" s="16"/>
      <x:c r="AE792" s="16"/>
      <x:c r="AF792" s="16"/>
    </x:row>
    <x:row r="793">
      <x:c r="H793" s="107"/>
      <x:c r="I793" s="107"/>
      <x:c r="O793" s="107"/>
      <x:c r="P793" s="107"/>
      <x:c r="S793" s="107"/>
      <x:c r="W793" s="18" t="str">
        <x:f>IF(A793="","",IF(H793="","",IF(I793&lt;&gt;"",I793-H793+1,IF(S793&lt;&gt;"",S793-H793+1,""))))</x:f>
      </x:c>
      <x:c r="X793" s="16"/>
      <x:c r="Y793" s="16"/>
      <x:c r="Z793" s="16"/>
      <x:c r="AA793" s="16"/>
      <x:c r="AB793" s="109"/>
      <x:c r="AC793" s="109"/>
      <x:c r="AD793" s="16"/>
      <x:c r="AE793" s="16"/>
      <x:c r="AF793" s="16"/>
    </x:row>
    <x:row r="794">
      <x:c r="H794" s="107"/>
      <x:c r="I794" s="107"/>
      <x:c r="O794" s="107"/>
      <x:c r="P794" s="107"/>
      <x:c r="S794" s="107"/>
      <x:c r="W794" s="18" t="str">
        <x:f>IF(A794="","",IF(H794="","",IF(I794&lt;&gt;"",I794-H794+1,IF(S794&lt;&gt;"",S794-H794+1,""))))</x:f>
      </x:c>
      <x:c r="X794" s="16"/>
      <x:c r="Y794" s="16"/>
      <x:c r="Z794" s="16"/>
      <x:c r="AA794" s="16"/>
      <x:c r="AB794" s="109"/>
      <x:c r="AC794" s="109"/>
      <x:c r="AD794" s="16"/>
      <x:c r="AE794" s="16"/>
      <x:c r="AF794" s="16"/>
    </x:row>
    <x:row r="795">
      <x:c r="H795" s="107"/>
      <x:c r="I795" s="107"/>
      <x:c r="O795" s="107"/>
      <x:c r="P795" s="107"/>
      <x:c r="S795" s="107"/>
      <x:c r="W795" s="18" t="str">
        <x:f>IF(A795="","",IF(H795="","",IF(I795&lt;&gt;"",I795-H795+1,IF(S795&lt;&gt;"",S795-H795+1,""))))</x:f>
      </x:c>
      <x:c r="X795" s="16"/>
      <x:c r="Y795" s="16"/>
      <x:c r="Z795" s="16"/>
      <x:c r="AA795" s="16"/>
      <x:c r="AB795" s="109"/>
      <x:c r="AC795" s="109"/>
      <x:c r="AD795" s="16"/>
      <x:c r="AE795" s="16"/>
      <x:c r="AF795" s="16"/>
    </x:row>
    <x:row r="796">
      <x:c r="H796" s="107"/>
      <x:c r="I796" s="107"/>
      <x:c r="O796" s="107"/>
      <x:c r="P796" s="107"/>
      <x:c r="S796" s="107"/>
      <x:c r="W796" s="18" t="str">
        <x:f>IF(A796="","",IF(H796="","",IF(I796&lt;&gt;"",I796-H796+1,IF(S796&lt;&gt;"",S796-H796+1,""))))</x:f>
      </x:c>
      <x:c r="X796" s="16"/>
      <x:c r="Y796" s="16"/>
      <x:c r="Z796" s="16"/>
      <x:c r="AA796" s="16"/>
      <x:c r="AB796" s="109"/>
      <x:c r="AC796" s="109"/>
      <x:c r="AD796" s="16"/>
      <x:c r="AE796" s="16"/>
      <x:c r="AF796" s="16"/>
    </x:row>
    <x:row r="797">
      <x:c r="H797" s="107"/>
      <x:c r="I797" s="107"/>
      <x:c r="O797" s="107"/>
      <x:c r="P797" s="107"/>
      <x:c r="S797" s="107"/>
      <x:c r="W797" s="18" t="str">
        <x:f>IF(A797="","",IF(H797="","",IF(I797&lt;&gt;"",I797-H797+1,IF(S797&lt;&gt;"",S797-H797+1,""))))</x:f>
      </x:c>
      <x:c r="X797" s="16"/>
      <x:c r="Y797" s="16"/>
      <x:c r="Z797" s="16"/>
      <x:c r="AA797" s="16"/>
      <x:c r="AB797" s="109"/>
      <x:c r="AC797" s="109"/>
      <x:c r="AD797" s="16"/>
      <x:c r="AE797" s="16"/>
      <x:c r="AF797" s="16"/>
    </x:row>
    <x:row r="798">
      <x:c r="H798" s="107"/>
      <x:c r="I798" s="107"/>
      <x:c r="O798" s="107"/>
      <x:c r="P798" s="107"/>
      <x:c r="S798" s="107"/>
      <x:c r="W798" s="18" t="str">
        <x:f>IF(A798="","",IF(H798="","",IF(I798&lt;&gt;"",I798-H798+1,IF(S798&lt;&gt;"",S798-H798+1,""))))</x:f>
      </x:c>
      <x:c r="X798" s="16"/>
      <x:c r="Y798" s="16"/>
      <x:c r="Z798" s="16"/>
      <x:c r="AA798" s="16"/>
      <x:c r="AB798" s="109"/>
      <x:c r="AC798" s="109"/>
      <x:c r="AD798" s="16"/>
      <x:c r="AE798" s="16"/>
      <x:c r="AF798" s="16"/>
    </x:row>
    <x:row r="799">
      <x:c r="H799" s="107"/>
      <x:c r="I799" s="107"/>
      <x:c r="O799" s="107"/>
      <x:c r="P799" s="107"/>
      <x:c r="S799" s="107"/>
      <x:c r="W799" s="18" t="str">
        <x:f>IF(A799="","",IF(H799="","",IF(I799&lt;&gt;"",I799-H799+1,IF(S799&lt;&gt;"",S799-H799+1,""))))</x:f>
      </x:c>
      <x:c r="X799" s="16"/>
      <x:c r="Y799" s="16"/>
      <x:c r="Z799" s="16"/>
      <x:c r="AA799" s="16"/>
      <x:c r="AB799" s="109"/>
      <x:c r="AC799" s="109"/>
      <x:c r="AD799" s="16"/>
      <x:c r="AE799" s="16"/>
      <x:c r="AF799" s="16"/>
    </x:row>
    <x:row r="800">
      <x:c r="H800" s="107"/>
      <x:c r="I800" s="107"/>
      <x:c r="O800" s="107"/>
      <x:c r="P800" s="107"/>
      <x:c r="S800" s="107"/>
      <x:c r="W800" s="18" t="str">
        <x:f>IF(A800="","",IF(H800="","",IF(I800&lt;&gt;"",I800-H800+1,IF(S800&lt;&gt;"",S800-H800+1,""))))</x:f>
      </x:c>
      <x:c r="X800" s="16"/>
      <x:c r="Y800" s="16"/>
      <x:c r="Z800" s="16"/>
      <x:c r="AA800" s="16"/>
      <x:c r="AB800" s="109"/>
      <x:c r="AC800" s="109"/>
      <x:c r="AD800" s="16"/>
      <x:c r="AE800" s="16"/>
      <x:c r="AF800" s="16"/>
    </x:row>
    <x:row r="801">
      <x:c r="H801" s="107"/>
      <x:c r="I801" s="107"/>
      <x:c r="O801" s="107"/>
      <x:c r="P801" s="107"/>
      <x:c r="S801" s="107"/>
      <x:c r="W801" s="18" t="str">
        <x:f>IF(A801="","",IF(H801="","",IF(I801&lt;&gt;"",I801-H801+1,IF(S801&lt;&gt;"",S801-H801+1,""))))</x:f>
      </x:c>
      <x:c r="X801" s="16"/>
      <x:c r="Y801" s="16"/>
      <x:c r="Z801" s="16"/>
      <x:c r="AA801" s="16"/>
      <x:c r="AB801" s="109"/>
      <x:c r="AC801" s="109"/>
      <x:c r="AD801" s="16"/>
      <x:c r="AE801" s="16"/>
      <x:c r="AF801" s="16"/>
    </x:row>
    <x:row r="802">
      <x:c r="H802" s="107"/>
      <x:c r="I802" s="107"/>
      <x:c r="O802" s="107"/>
      <x:c r="P802" s="107"/>
      <x:c r="S802" s="107"/>
      <x:c r="W802" s="18" t="str">
        <x:f>IF(A802="","",IF(H802="","",IF(I802&lt;&gt;"",I802-H802+1,IF(S802&lt;&gt;"",S802-H802+1,""))))</x:f>
      </x:c>
      <x:c r="X802" s="16"/>
      <x:c r="Y802" s="16"/>
      <x:c r="Z802" s="16"/>
      <x:c r="AA802" s="16"/>
      <x:c r="AB802" s="109"/>
      <x:c r="AC802" s="109"/>
      <x:c r="AD802" s="16"/>
      <x:c r="AE802" s="16"/>
      <x:c r="AF802" s="16"/>
    </x:row>
    <x:row r="803">
      <x:c r="H803" s="107"/>
      <x:c r="I803" s="107"/>
      <x:c r="O803" s="107"/>
      <x:c r="P803" s="107"/>
      <x:c r="S803" s="107"/>
      <x:c r="W803" s="18" t="str">
        <x:f>IF(A803="","",IF(H803="","",IF(I803&lt;&gt;"",I803-H803+1,IF(S803&lt;&gt;"",S803-H803+1,""))))</x:f>
      </x:c>
      <x:c r="X803" s="16"/>
      <x:c r="Y803" s="16"/>
      <x:c r="Z803" s="16"/>
      <x:c r="AA803" s="16"/>
      <x:c r="AB803" s="109"/>
      <x:c r="AC803" s="109"/>
      <x:c r="AD803" s="16"/>
      <x:c r="AE803" s="16"/>
      <x:c r="AF803" s="16"/>
    </x:row>
    <x:row r="804">
      <x:c r="H804" s="107"/>
      <x:c r="I804" s="107"/>
      <x:c r="O804" s="107"/>
      <x:c r="P804" s="107"/>
      <x:c r="S804" s="107"/>
      <x:c r="W804" s="18" t="str">
        <x:f>IF(A804="","",IF(H804="","",IF(I804&lt;&gt;"",I804-H804+1,IF(S804&lt;&gt;"",S804-H804+1,""))))</x:f>
      </x:c>
      <x:c r="X804" s="16"/>
      <x:c r="Y804" s="16"/>
      <x:c r="Z804" s="16"/>
      <x:c r="AA804" s="16"/>
      <x:c r="AB804" s="109"/>
      <x:c r="AC804" s="109"/>
      <x:c r="AD804" s="16"/>
      <x:c r="AE804" s="16"/>
      <x:c r="AF804" s="16"/>
    </x:row>
    <x:row r="805">
      <x:c r="H805" s="107"/>
      <x:c r="I805" s="107"/>
      <x:c r="O805" s="107"/>
      <x:c r="P805" s="107"/>
      <x:c r="S805" s="107"/>
      <x:c r="W805" s="18" t="str">
        <x:f>IF(A805="","",IF(H805="","",IF(I805&lt;&gt;"",I805-H805+1,IF(S805&lt;&gt;"",S805-H805+1,""))))</x:f>
      </x:c>
      <x:c r="X805" s="16"/>
      <x:c r="Y805" s="16"/>
      <x:c r="Z805" s="16"/>
      <x:c r="AA805" s="16"/>
      <x:c r="AB805" s="109"/>
      <x:c r="AC805" s="109"/>
      <x:c r="AD805" s="16"/>
      <x:c r="AE805" s="16"/>
      <x:c r="AF805" s="16"/>
    </x:row>
    <x:row r="806">
      <x:c r="H806" s="107"/>
      <x:c r="I806" s="107"/>
      <x:c r="O806" s="107"/>
      <x:c r="P806" s="107"/>
      <x:c r="S806" s="107"/>
      <x:c r="W806" s="18" t="str">
        <x:f>IF(A806="","",IF(H806="","",IF(I806&lt;&gt;"",I806-H806+1,IF(S806&lt;&gt;"",S806-H806+1,""))))</x:f>
      </x:c>
      <x:c r="X806" s="16"/>
      <x:c r="Y806" s="16"/>
      <x:c r="Z806" s="16"/>
      <x:c r="AA806" s="16"/>
      <x:c r="AB806" s="109"/>
      <x:c r="AC806" s="109"/>
      <x:c r="AD806" s="16"/>
      <x:c r="AE806" s="16"/>
      <x:c r="AF806" s="16"/>
    </x:row>
    <x:row r="807">
      <x:c r="H807" s="107"/>
      <x:c r="I807" s="107"/>
      <x:c r="O807" s="107"/>
      <x:c r="P807" s="107"/>
      <x:c r="S807" s="107"/>
      <x:c r="W807" s="18" t="str">
        <x:f>IF(A807="","",IF(H807="","",IF(I807&lt;&gt;"",I807-H807+1,IF(S807&lt;&gt;"",S807-H807+1,""))))</x:f>
      </x:c>
      <x:c r="X807" s="16"/>
      <x:c r="Y807" s="16"/>
      <x:c r="Z807" s="16"/>
      <x:c r="AA807" s="16"/>
      <x:c r="AB807" s="109"/>
      <x:c r="AC807" s="109"/>
      <x:c r="AD807" s="16"/>
      <x:c r="AE807" s="16"/>
      <x:c r="AF807" s="16"/>
    </x:row>
    <x:row r="808">
      <x:c r="H808" s="107"/>
      <x:c r="I808" s="107"/>
      <x:c r="O808" s="107"/>
      <x:c r="P808" s="107"/>
      <x:c r="S808" s="107"/>
      <x:c r="W808" s="18" t="str">
        <x:f>IF(A808="","",IF(H808="","",IF(I808&lt;&gt;"",I808-H808+1,IF(S808&lt;&gt;"",S808-H808+1,""))))</x:f>
      </x:c>
      <x:c r="X808" s="16"/>
      <x:c r="Y808" s="16"/>
      <x:c r="Z808" s="16"/>
      <x:c r="AA808" s="16"/>
      <x:c r="AB808" s="109"/>
      <x:c r="AC808" s="109"/>
      <x:c r="AD808" s="16"/>
      <x:c r="AE808" s="16"/>
      <x:c r="AF808" s="16"/>
    </x:row>
    <x:row r="809">
      <x:c r="H809" s="107"/>
      <x:c r="I809" s="107"/>
      <x:c r="O809" s="107"/>
      <x:c r="P809" s="107"/>
      <x:c r="S809" s="107"/>
      <x:c r="W809" s="18" t="str">
        <x:f>IF(A809="","",IF(H809="","",IF(I809&lt;&gt;"",I809-H809+1,IF(S809&lt;&gt;"",S809-H809+1,""))))</x:f>
      </x:c>
      <x:c r="X809" s="16"/>
      <x:c r="Y809" s="16"/>
      <x:c r="Z809" s="16"/>
      <x:c r="AA809" s="16"/>
      <x:c r="AB809" s="109"/>
      <x:c r="AC809" s="109"/>
      <x:c r="AD809" s="16"/>
      <x:c r="AE809" s="16"/>
      <x:c r="AF809" s="16"/>
    </x:row>
    <x:row r="810">
      <x:c r="H810" s="107"/>
      <x:c r="I810" s="107"/>
      <x:c r="O810" s="107"/>
      <x:c r="P810" s="107"/>
      <x:c r="S810" s="107"/>
      <x:c r="W810" s="18" t="str">
        <x:f>IF(A810="","",IF(H810="","",IF(I810&lt;&gt;"",I810-H810+1,IF(S810&lt;&gt;"",S810-H810+1,""))))</x:f>
      </x:c>
      <x:c r="X810" s="16"/>
      <x:c r="Y810" s="16"/>
      <x:c r="Z810" s="16"/>
      <x:c r="AA810" s="16"/>
      <x:c r="AB810" s="109"/>
      <x:c r="AC810" s="109"/>
      <x:c r="AD810" s="16"/>
      <x:c r="AE810" s="16"/>
      <x:c r="AF810" s="16"/>
    </x:row>
    <x:row r="811">
      <x:c r="H811" s="107"/>
      <x:c r="I811" s="107"/>
      <x:c r="O811" s="107"/>
      <x:c r="P811" s="107"/>
      <x:c r="S811" s="107"/>
      <x:c r="W811" s="18" t="str">
        <x:f>IF(A811="","",IF(H811="","",IF(I811&lt;&gt;"",I811-H811+1,IF(S811&lt;&gt;"",S811-H811+1,""))))</x:f>
      </x:c>
      <x:c r="X811" s="16"/>
      <x:c r="Y811" s="16"/>
      <x:c r="Z811" s="16"/>
      <x:c r="AA811" s="16"/>
      <x:c r="AB811" s="109"/>
      <x:c r="AC811" s="109"/>
      <x:c r="AD811" s="16"/>
      <x:c r="AE811" s="16"/>
      <x:c r="AF811" s="16"/>
    </x:row>
    <x:row r="812">
      <x:c r="H812" s="107"/>
      <x:c r="I812" s="107"/>
      <x:c r="O812" s="107"/>
      <x:c r="P812" s="107"/>
      <x:c r="S812" s="107"/>
      <x:c r="W812" s="18" t="str">
        <x:f>IF(A812="","",IF(H812="","",IF(I812&lt;&gt;"",I812-H812+1,IF(S812&lt;&gt;"",S812-H812+1,""))))</x:f>
      </x:c>
      <x:c r="X812" s="16"/>
      <x:c r="Y812" s="16"/>
      <x:c r="Z812" s="16"/>
      <x:c r="AA812" s="16"/>
      <x:c r="AB812" s="109"/>
      <x:c r="AC812" s="109"/>
      <x:c r="AD812" s="16"/>
      <x:c r="AE812" s="16"/>
      <x:c r="AF812" s="16"/>
    </x:row>
    <x:row r="813">
      <x:c r="H813" s="107"/>
      <x:c r="I813" s="107"/>
      <x:c r="O813" s="107"/>
      <x:c r="P813" s="107"/>
      <x:c r="S813" s="107"/>
      <x:c r="W813" s="18" t="str">
        <x:f>IF(A813="","",IF(H813="","",IF(I813&lt;&gt;"",I813-H813+1,IF(S813&lt;&gt;"",S813-H813+1,""))))</x:f>
      </x:c>
      <x:c r="X813" s="16"/>
      <x:c r="Y813" s="16"/>
      <x:c r="Z813" s="16"/>
      <x:c r="AA813" s="16"/>
      <x:c r="AB813" s="109"/>
      <x:c r="AC813" s="109"/>
      <x:c r="AD813" s="16"/>
      <x:c r="AE813" s="16"/>
      <x:c r="AF813" s="16"/>
    </x:row>
    <x:row r="814">
      <x:c r="H814" s="107"/>
      <x:c r="I814" s="107"/>
      <x:c r="O814" s="107"/>
      <x:c r="P814" s="107"/>
      <x:c r="S814" s="107"/>
      <x:c r="W814" s="18" t="str">
        <x:f>IF(A814="","",IF(H814="","",IF(I814&lt;&gt;"",I814-H814+1,IF(S814&lt;&gt;"",S814-H814+1,""))))</x:f>
      </x:c>
      <x:c r="X814" s="16"/>
      <x:c r="Y814" s="16"/>
      <x:c r="Z814" s="16"/>
      <x:c r="AA814" s="16"/>
      <x:c r="AB814" s="109"/>
      <x:c r="AC814" s="109"/>
      <x:c r="AD814" s="16"/>
      <x:c r="AE814" s="16"/>
      <x:c r="AF814" s="16"/>
    </x:row>
    <x:row r="815">
      <x:c r="H815" s="107"/>
      <x:c r="I815" s="107"/>
      <x:c r="O815" s="107"/>
      <x:c r="P815" s="107"/>
      <x:c r="S815" s="107"/>
      <x:c r="W815" s="18" t="str">
        <x:f>IF(A815="","",IF(H815="","",IF(I815&lt;&gt;"",I815-H815+1,IF(S815&lt;&gt;"",S815-H815+1,""))))</x:f>
      </x:c>
      <x:c r="X815" s="16"/>
      <x:c r="Y815" s="16"/>
      <x:c r="Z815" s="16"/>
      <x:c r="AA815" s="16"/>
      <x:c r="AB815" s="109"/>
      <x:c r="AC815" s="109"/>
      <x:c r="AD815" s="16"/>
      <x:c r="AE815" s="16"/>
      <x:c r="AF815" s="16"/>
    </x:row>
    <x:row r="816">
      <x:c r="H816" s="107"/>
      <x:c r="I816" s="107"/>
      <x:c r="O816" s="107"/>
      <x:c r="P816" s="107"/>
      <x:c r="S816" s="107"/>
      <x:c r="W816" s="18" t="str">
        <x:f>IF(A816="","",IF(H816="","",IF(I816&lt;&gt;"",I816-H816+1,IF(S816&lt;&gt;"",S816-H816+1,""))))</x:f>
      </x:c>
      <x:c r="X816" s="16"/>
      <x:c r="Y816" s="16"/>
      <x:c r="Z816" s="16"/>
      <x:c r="AA816" s="16"/>
      <x:c r="AB816" s="109"/>
      <x:c r="AC816" s="109"/>
      <x:c r="AD816" s="16"/>
      <x:c r="AE816" s="16"/>
      <x:c r="AF816" s="16"/>
    </x:row>
    <x:row r="817">
      <x:c r="H817" s="107"/>
      <x:c r="I817" s="107"/>
      <x:c r="O817" s="107"/>
      <x:c r="P817" s="107"/>
      <x:c r="S817" s="107"/>
      <x:c r="W817" s="18" t="str">
        <x:f>IF(A817="","",IF(H817="","",IF(I817&lt;&gt;"",I817-H817+1,IF(S817&lt;&gt;"",S817-H817+1,""))))</x:f>
      </x:c>
      <x:c r="X817" s="16"/>
      <x:c r="Y817" s="16"/>
      <x:c r="Z817" s="16"/>
      <x:c r="AA817" s="16"/>
      <x:c r="AB817" s="109"/>
      <x:c r="AC817" s="109"/>
      <x:c r="AD817" s="16"/>
      <x:c r="AE817" s="16"/>
      <x:c r="AF817" s="16"/>
    </x:row>
    <x:row r="818">
      <x:c r="H818" s="107"/>
      <x:c r="I818" s="107"/>
      <x:c r="O818" s="107"/>
      <x:c r="P818" s="107"/>
      <x:c r="S818" s="107"/>
      <x:c r="W818" s="18" t="str">
        <x:f>IF(A818="","",IF(H818="","",IF(I818&lt;&gt;"",I818-H818+1,IF(S818&lt;&gt;"",S818-H818+1,""))))</x:f>
      </x:c>
      <x:c r="X818" s="16"/>
      <x:c r="Y818" s="16"/>
      <x:c r="Z818" s="16"/>
      <x:c r="AA818" s="16"/>
      <x:c r="AB818" s="109"/>
      <x:c r="AC818" s="109"/>
      <x:c r="AD818" s="16"/>
      <x:c r="AE818" s="16"/>
      <x:c r="AF818" s="16"/>
    </x:row>
    <x:row r="819">
      <x:c r="H819" s="107"/>
      <x:c r="I819" s="107"/>
      <x:c r="O819" s="107"/>
      <x:c r="P819" s="107"/>
      <x:c r="S819" s="107"/>
      <x:c r="W819" s="18" t="str">
        <x:f>IF(A819="","",IF(H819="","",IF(I819&lt;&gt;"",I819-H819+1,IF(S819&lt;&gt;"",S819-H819+1,""))))</x:f>
      </x:c>
      <x:c r="X819" s="16"/>
      <x:c r="Y819" s="16"/>
      <x:c r="Z819" s="16"/>
      <x:c r="AA819" s="16"/>
      <x:c r="AB819" s="109"/>
      <x:c r="AC819" s="109"/>
      <x:c r="AD819" s="16"/>
      <x:c r="AE819" s="16"/>
      <x:c r="AF819" s="16"/>
    </x:row>
    <x:row r="820">
      <x:c r="H820" s="107"/>
      <x:c r="I820" s="107"/>
      <x:c r="O820" s="107"/>
      <x:c r="P820" s="107"/>
      <x:c r="S820" s="107"/>
      <x:c r="W820" s="18" t="str">
        <x:f>IF(A820="","",IF(H820="","",IF(I820&lt;&gt;"",I820-H820+1,IF(S820&lt;&gt;"",S820-H820+1,""))))</x:f>
      </x:c>
      <x:c r="X820" s="16"/>
      <x:c r="Y820" s="16"/>
      <x:c r="Z820" s="16"/>
      <x:c r="AA820" s="16"/>
      <x:c r="AB820" s="109"/>
      <x:c r="AC820" s="109"/>
      <x:c r="AD820" s="16"/>
      <x:c r="AE820" s="16"/>
      <x:c r="AF820" s="16"/>
    </x:row>
    <x:row r="821">
      <x:c r="H821" s="107"/>
      <x:c r="I821" s="107"/>
      <x:c r="O821" s="107"/>
      <x:c r="P821" s="107"/>
      <x:c r="S821" s="107"/>
      <x:c r="W821" s="18" t="str">
        <x:f>IF(A821="","",IF(H821="","",IF(I821&lt;&gt;"",I821-H821+1,IF(S821&lt;&gt;"",S821-H821+1,""))))</x:f>
      </x:c>
      <x:c r="X821" s="16"/>
      <x:c r="Y821" s="16"/>
      <x:c r="Z821" s="16"/>
      <x:c r="AA821" s="16"/>
      <x:c r="AB821" s="109"/>
      <x:c r="AC821" s="109"/>
      <x:c r="AD821" s="16"/>
      <x:c r="AE821" s="16"/>
      <x:c r="AF821" s="16"/>
    </x:row>
    <x:row r="822">
      <x:c r="H822" s="107"/>
      <x:c r="I822" s="107"/>
      <x:c r="O822" s="107"/>
      <x:c r="P822" s="107"/>
      <x:c r="S822" s="107"/>
      <x:c r="W822" s="18" t="str">
        <x:f>IF(A822="","",IF(H822="","",IF(I822&lt;&gt;"",I822-H822+1,IF(S822&lt;&gt;"",S822-H822+1,""))))</x:f>
      </x:c>
      <x:c r="X822" s="16"/>
      <x:c r="Y822" s="16"/>
      <x:c r="Z822" s="16"/>
      <x:c r="AA822" s="16"/>
      <x:c r="AB822" s="109"/>
      <x:c r="AC822" s="109"/>
      <x:c r="AD822" s="16"/>
      <x:c r="AE822" s="16"/>
      <x:c r="AF822" s="16"/>
    </x:row>
    <x:row r="823">
      <x:c r="H823" s="107"/>
      <x:c r="I823" s="107"/>
      <x:c r="O823" s="107"/>
      <x:c r="P823" s="107"/>
      <x:c r="S823" s="107"/>
      <x:c r="W823" s="18" t="str">
        <x:f>IF(A823="","",IF(H823="","",IF(I823&lt;&gt;"",I823-H823+1,IF(S823&lt;&gt;"",S823-H823+1,""))))</x:f>
      </x:c>
      <x:c r="X823" s="16"/>
      <x:c r="Y823" s="16"/>
      <x:c r="Z823" s="16"/>
      <x:c r="AA823" s="16"/>
      <x:c r="AB823" s="109"/>
      <x:c r="AC823" s="109"/>
      <x:c r="AD823" s="16"/>
      <x:c r="AE823" s="16"/>
      <x:c r="AF823" s="16"/>
    </x:row>
    <x:row r="824">
      <x:c r="H824" s="107"/>
      <x:c r="I824" s="107"/>
      <x:c r="O824" s="107"/>
      <x:c r="P824" s="107"/>
      <x:c r="S824" s="107"/>
      <x:c r="W824" s="18" t="str">
        <x:f>IF(A824="","",IF(H824="","",IF(I824&lt;&gt;"",I824-H824+1,IF(S824&lt;&gt;"",S824-H824+1,""))))</x:f>
      </x:c>
      <x:c r="X824" s="16"/>
      <x:c r="Y824" s="16"/>
      <x:c r="Z824" s="16"/>
      <x:c r="AA824" s="16"/>
      <x:c r="AB824" s="109"/>
      <x:c r="AC824" s="109"/>
      <x:c r="AD824" s="16"/>
      <x:c r="AE824" s="16"/>
      <x:c r="AF824" s="16"/>
    </x:row>
    <x:row r="825">
      <x:c r="H825" s="107"/>
      <x:c r="I825" s="107"/>
      <x:c r="O825" s="107"/>
      <x:c r="P825" s="107"/>
      <x:c r="S825" s="107"/>
      <x:c r="W825" s="18" t="str">
        <x:f>IF(A825="","",IF(H825="","",IF(I825&lt;&gt;"",I825-H825+1,IF(S825&lt;&gt;"",S825-H825+1,""))))</x:f>
      </x:c>
      <x:c r="X825" s="16"/>
      <x:c r="Y825" s="16"/>
      <x:c r="Z825" s="16"/>
      <x:c r="AA825" s="16"/>
      <x:c r="AB825" s="109"/>
      <x:c r="AC825" s="109"/>
      <x:c r="AD825" s="16"/>
      <x:c r="AE825" s="16"/>
      <x:c r="AF825" s="16"/>
    </x:row>
    <x:row r="826">
      <x:c r="H826" s="107"/>
      <x:c r="I826" s="107"/>
      <x:c r="O826" s="107"/>
      <x:c r="P826" s="107"/>
      <x:c r="S826" s="107"/>
      <x:c r="W826" s="18" t="str">
        <x:f>IF(A826="","",IF(H826="","",IF(I826&lt;&gt;"",I826-H826+1,IF(S826&lt;&gt;"",S826-H826+1,""))))</x:f>
      </x:c>
      <x:c r="X826" s="16"/>
      <x:c r="Y826" s="16"/>
      <x:c r="Z826" s="16"/>
      <x:c r="AA826" s="16"/>
      <x:c r="AB826" s="109"/>
      <x:c r="AC826" s="109"/>
      <x:c r="AD826" s="16"/>
      <x:c r="AE826" s="16"/>
      <x:c r="AF826" s="16"/>
    </x:row>
    <x:row r="827">
      <x:c r="H827" s="107"/>
      <x:c r="I827" s="107"/>
      <x:c r="O827" s="107"/>
      <x:c r="P827" s="107"/>
      <x:c r="S827" s="107"/>
      <x:c r="W827" s="18" t="str">
        <x:f>IF(A827="","",IF(H827="","",IF(I827&lt;&gt;"",I827-H827+1,IF(S827&lt;&gt;"",S827-H827+1,""))))</x:f>
      </x:c>
      <x:c r="X827" s="16"/>
      <x:c r="Y827" s="16"/>
      <x:c r="Z827" s="16"/>
      <x:c r="AA827" s="16"/>
      <x:c r="AB827" s="109"/>
      <x:c r="AC827" s="109"/>
      <x:c r="AD827" s="16"/>
      <x:c r="AE827" s="16"/>
      <x:c r="AF827" s="16"/>
    </x:row>
    <x:row r="828">
      <x:c r="H828" s="107"/>
      <x:c r="I828" s="107"/>
      <x:c r="O828" s="107"/>
      <x:c r="P828" s="107"/>
      <x:c r="S828" s="107"/>
      <x:c r="W828" s="18" t="str">
        <x:f>IF(A828="","",IF(H828="","",IF(I828&lt;&gt;"",I828-H828+1,IF(S828&lt;&gt;"",S828-H828+1,""))))</x:f>
      </x:c>
      <x:c r="X828" s="16"/>
      <x:c r="Y828" s="16"/>
      <x:c r="Z828" s="16"/>
      <x:c r="AA828" s="16"/>
      <x:c r="AB828" s="109"/>
      <x:c r="AC828" s="109"/>
      <x:c r="AD828" s="16"/>
      <x:c r="AE828" s="16"/>
      <x:c r="AF828" s="16"/>
    </x:row>
    <x:row r="829">
      <x:c r="H829" s="107"/>
      <x:c r="I829" s="107"/>
      <x:c r="O829" s="107"/>
      <x:c r="P829" s="107"/>
      <x:c r="S829" s="107"/>
      <x:c r="W829" s="18" t="str">
        <x:f>IF(A829="","",IF(H829="","",IF(I829&lt;&gt;"",I829-H829+1,IF(S829&lt;&gt;"",S829-H829+1,""))))</x:f>
      </x:c>
      <x:c r="X829" s="16"/>
      <x:c r="Y829" s="16"/>
      <x:c r="Z829" s="16"/>
      <x:c r="AA829" s="16"/>
      <x:c r="AB829" s="109"/>
      <x:c r="AC829" s="109"/>
      <x:c r="AD829" s="16"/>
      <x:c r="AE829" s="16"/>
      <x:c r="AF829" s="16"/>
    </x:row>
    <x:row r="830">
      <x:c r="H830" s="107"/>
      <x:c r="I830" s="107"/>
      <x:c r="O830" s="107"/>
      <x:c r="P830" s="107"/>
      <x:c r="S830" s="107"/>
      <x:c r="W830" s="18" t="str">
        <x:f>IF(A830="","",IF(H830="","",IF(I830&lt;&gt;"",I830-H830+1,IF(S830&lt;&gt;"",S830-H830+1,""))))</x:f>
      </x:c>
      <x:c r="X830" s="16"/>
      <x:c r="Y830" s="16"/>
      <x:c r="Z830" s="16"/>
      <x:c r="AA830" s="16"/>
      <x:c r="AB830" s="109"/>
      <x:c r="AC830" s="109"/>
      <x:c r="AD830" s="16"/>
      <x:c r="AE830" s="16"/>
      <x:c r="AF830" s="16"/>
    </x:row>
    <x:row r="831">
      <x:c r="H831" s="107"/>
      <x:c r="I831" s="107"/>
      <x:c r="O831" s="107"/>
      <x:c r="P831" s="107"/>
      <x:c r="S831" s="107"/>
      <x:c r="W831" s="18" t="str">
        <x:f>IF(A831="","",IF(H831="","",IF(I831&lt;&gt;"",I831-H831+1,IF(S831&lt;&gt;"",S831-H831+1,""))))</x:f>
      </x:c>
      <x:c r="X831" s="16"/>
      <x:c r="Y831" s="16"/>
      <x:c r="Z831" s="16"/>
      <x:c r="AA831" s="16"/>
      <x:c r="AB831" s="109"/>
      <x:c r="AC831" s="109"/>
      <x:c r="AD831" s="16"/>
      <x:c r="AE831" s="16"/>
      <x:c r="AF831" s="16"/>
    </x:row>
    <x:row r="832">
      <x:c r="H832" s="107"/>
      <x:c r="I832" s="107"/>
      <x:c r="O832" s="107"/>
      <x:c r="P832" s="107"/>
      <x:c r="S832" s="107"/>
      <x:c r="W832" s="18" t="str">
        <x:f>IF(A832="","",IF(H832="","",IF(I832&lt;&gt;"",I832-H832+1,IF(S832&lt;&gt;"",S832-H832+1,""))))</x:f>
      </x:c>
      <x:c r="X832" s="16"/>
      <x:c r="Y832" s="16"/>
      <x:c r="Z832" s="16"/>
      <x:c r="AA832" s="16"/>
      <x:c r="AB832" s="109"/>
      <x:c r="AC832" s="109"/>
      <x:c r="AD832" s="16"/>
      <x:c r="AE832" s="16"/>
      <x:c r="AF832" s="16"/>
    </x:row>
    <x:row r="833">
      <x:c r="H833" s="107"/>
      <x:c r="I833" s="107"/>
      <x:c r="O833" s="107"/>
      <x:c r="P833" s="107"/>
      <x:c r="S833" s="107"/>
      <x:c r="W833" s="18" t="str">
        <x:f>IF(A833="","",IF(H833="","",IF(I833&lt;&gt;"",I833-H833+1,IF(S833&lt;&gt;"",S833-H833+1,""))))</x:f>
      </x:c>
      <x:c r="X833" s="16"/>
      <x:c r="Y833" s="16"/>
      <x:c r="Z833" s="16"/>
      <x:c r="AA833" s="16"/>
      <x:c r="AB833" s="109"/>
      <x:c r="AC833" s="109"/>
      <x:c r="AD833" s="16"/>
      <x:c r="AE833" s="16"/>
      <x:c r="AF833" s="16"/>
    </x:row>
    <x:row r="834">
      <x:c r="H834" s="107"/>
      <x:c r="I834" s="107"/>
      <x:c r="O834" s="107"/>
      <x:c r="P834" s="107"/>
      <x:c r="S834" s="107"/>
      <x:c r="W834" s="18" t="str">
        <x:f>IF(A834="","",IF(H834="","",IF(I834&lt;&gt;"",I834-H834+1,IF(S834&lt;&gt;"",S834-H834+1,""))))</x:f>
      </x:c>
      <x:c r="X834" s="16"/>
      <x:c r="Y834" s="16"/>
      <x:c r="Z834" s="16"/>
      <x:c r="AA834" s="16"/>
      <x:c r="AB834" s="109"/>
      <x:c r="AC834" s="109"/>
      <x:c r="AD834" s="16"/>
      <x:c r="AE834" s="16"/>
      <x:c r="AF834" s="16"/>
    </x:row>
    <x:row r="835">
      <x:c r="H835" s="107"/>
      <x:c r="I835" s="107"/>
      <x:c r="O835" s="107"/>
      <x:c r="P835" s="107"/>
      <x:c r="S835" s="107"/>
      <x:c r="W835" s="18" t="str">
        <x:f>IF(A835="","",IF(H835="","",IF(I835&lt;&gt;"",I835-H835+1,IF(S835&lt;&gt;"",S835-H835+1,""))))</x:f>
      </x:c>
      <x:c r="X835" s="16"/>
      <x:c r="Y835" s="16"/>
      <x:c r="Z835" s="16"/>
      <x:c r="AA835" s="16"/>
      <x:c r="AB835" s="109"/>
      <x:c r="AC835" s="109"/>
      <x:c r="AD835" s="16"/>
      <x:c r="AE835" s="16"/>
      <x:c r="AF835" s="16"/>
    </x:row>
    <x:row r="836">
      <x:c r="H836" s="107"/>
      <x:c r="I836" s="107"/>
      <x:c r="O836" s="107"/>
      <x:c r="P836" s="107"/>
      <x:c r="S836" s="107"/>
      <x:c r="W836" s="18" t="str">
        <x:f>IF(A836="","",IF(H836="","",IF(I836&lt;&gt;"",I836-H836+1,IF(S836&lt;&gt;"",S836-H836+1,""))))</x:f>
      </x:c>
      <x:c r="X836" s="16"/>
      <x:c r="Y836" s="16"/>
      <x:c r="Z836" s="16"/>
      <x:c r="AA836" s="16"/>
      <x:c r="AB836" s="109"/>
      <x:c r="AC836" s="109"/>
      <x:c r="AD836" s="16"/>
      <x:c r="AE836" s="16"/>
      <x:c r="AF836" s="16"/>
    </x:row>
    <x:row r="837">
      <x:c r="H837" s="107"/>
      <x:c r="I837" s="107"/>
      <x:c r="O837" s="107"/>
      <x:c r="P837" s="107"/>
      <x:c r="S837" s="107"/>
      <x:c r="W837" s="18" t="str">
        <x:f>IF(A837="","",IF(H837="","",IF(I837&lt;&gt;"",I837-H837+1,IF(S837&lt;&gt;"",S837-H837+1,""))))</x:f>
      </x:c>
      <x:c r="X837" s="16"/>
      <x:c r="Y837" s="16"/>
      <x:c r="Z837" s="16"/>
      <x:c r="AA837" s="16"/>
      <x:c r="AB837" s="109"/>
      <x:c r="AC837" s="109"/>
      <x:c r="AD837" s="16"/>
      <x:c r="AE837" s="16"/>
      <x:c r="AF837" s="16"/>
    </x:row>
    <x:row r="838">
      <x:c r="H838" s="107"/>
      <x:c r="I838" s="107"/>
      <x:c r="O838" s="107"/>
      <x:c r="P838" s="107"/>
      <x:c r="S838" s="107"/>
      <x:c r="W838" s="18" t="str">
        <x:f>IF(A838="","",IF(H838="","",IF(I838&lt;&gt;"",I838-H838+1,IF(S838&lt;&gt;"",S838-H838+1,""))))</x:f>
      </x:c>
      <x:c r="X838" s="16"/>
      <x:c r="Y838" s="16"/>
      <x:c r="Z838" s="16"/>
      <x:c r="AA838" s="16"/>
      <x:c r="AB838" s="109"/>
      <x:c r="AC838" s="109"/>
      <x:c r="AD838" s="16"/>
      <x:c r="AE838" s="16"/>
      <x:c r="AF838" s="16"/>
    </x:row>
    <x:row r="839">
      <x:c r="H839" s="107"/>
      <x:c r="I839" s="107"/>
      <x:c r="O839" s="107"/>
      <x:c r="P839" s="107"/>
      <x:c r="S839" s="107"/>
      <x:c r="W839" s="18" t="str">
        <x:f>IF(A839="","",IF(H839="","",IF(I839&lt;&gt;"",I839-H839+1,IF(S839&lt;&gt;"",S839-H839+1,""))))</x:f>
      </x:c>
      <x:c r="X839" s="16"/>
      <x:c r="Y839" s="16"/>
      <x:c r="Z839" s="16"/>
      <x:c r="AA839" s="16"/>
      <x:c r="AB839" s="109"/>
      <x:c r="AC839" s="109"/>
      <x:c r="AD839" s="16"/>
      <x:c r="AE839" s="16"/>
      <x:c r="AF839" s="16"/>
    </x:row>
    <x:row r="840">
      <x:c r="H840" s="107"/>
      <x:c r="I840" s="107"/>
      <x:c r="O840" s="107"/>
      <x:c r="P840" s="107"/>
      <x:c r="S840" s="107"/>
      <x:c r="W840" s="18" t="str">
        <x:f>IF(A840="","",IF(H840="","",IF(I840&lt;&gt;"",I840-H840+1,IF(S840&lt;&gt;"",S840-H840+1,""))))</x:f>
      </x:c>
      <x:c r="X840" s="16"/>
      <x:c r="Y840" s="16"/>
      <x:c r="Z840" s="16"/>
      <x:c r="AA840" s="16"/>
      <x:c r="AB840" s="109"/>
      <x:c r="AC840" s="109"/>
      <x:c r="AD840" s="16"/>
      <x:c r="AE840" s="16"/>
      <x:c r="AF840" s="16"/>
    </x:row>
    <x:row r="841">
      <x:c r="H841" s="107"/>
      <x:c r="I841" s="107"/>
      <x:c r="O841" s="107"/>
      <x:c r="P841" s="107"/>
      <x:c r="S841" s="107"/>
      <x:c r="W841" s="18" t="str">
        <x:f>IF(A841="","",IF(H841="","",IF(I841&lt;&gt;"",I841-H841+1,IF(S841&lt;&gt;"",S841-H841+1,""))))</x:f>
      </x:c>
      <x:c r="X841" s="16"/>
      <x:c r="Y841" s="16"/>
      <x:c r="Z841" s="16"/>
      <x:c r="AA841" s="16"/>
      <x:c r="AB841" s="109"/>
      <x:c r="AC841" s="109"/>
      <x:c r="AD841" s="16"/>
      <x:c r="AE841" s="16"/>
      <x:c r="AF841" s="16"/>
    </x:row>
    <x:row r="842">
      <x:c r="H842" s="107"/>
      <x:c r="I842" s="107"/>
      <x:c r="O842" s="107"/>
      <x:c r="P842" s="107"/>
      <x:c r="S842" s="107"/>
      <x:c r="W842" s="18" t="str">
        <x:f>IF(A842="","",IF(H842="","",IF(I842&lt;&gt;"",I842-H842+1,IF(S842&lt;&gt;"",S842-H842+1,""))))</x:f>
      </x:c>
      <x:c r="X842" s="16"/>
      <x:c r="Y842" s="16"/>
      <x:c r="Z842" s="16"/>
      <x:c r="AA842" s="16"/>
      <x:c r="AB842" s="109"/>
      <x:c r="AC842" s="109"/>
      <x:c r="AD842" s="16"/>
      <x:c r="AE842" s="16"/>
      <x:c r="AF842" s="16"/>
    </x:row>
    <x:row r="843">
      <x:c r="H843" s="107"/>
      <x:c r="I843" s="107"/>
      <x:c r="O843" s="107"/>
      <x:c r="P843" s="107"/>
      <x:c r="S843" s="107"/>
      <x:c r="W843" s="18" t="str">
        <x:f>IF(A843="","",IF(H843="","",IF(I843&lt;&gt;"",I843-H843+1,IF(S843&lt;&gt;"",S843-H843+1,""))))</x:f>
      </x:c>
      <x:c r="X843" s="16"/>
      <x:c r="Y843" s="16"/>
      <x:c r="Z843" s="16"/>
      <x:c r="AA843" s="16"/>
      <x:c r="AB843" s="109"/>
      <x:c r="AC843" s="109"/>
      <x:c r="AD843" s="16"/>
      <x:c r="AE843" s="16"/>
      <x:c r="AF843" s="16"/>
    </x:row>
    <x:row r="844">
      <x:c r="H844" s="107"/>
      <x:c r="I844" s="107"/>
      <x:c r="O844" s="107"/>
      <x:c r="P844" s="107"/>
      <x:c r="S844" s="107"/>
      <x:c r="W844" s="18" t="str">
        <x:f>IF(A844="","",IF(H844="","",IF(I844&lt;&gt;"",I844-H844+1,IF(S844&lt;&gt;"",S844-H844+1,""))))</x:f>
      </x:c>
      <x:c r="X844" s="16"/>
      <x:c r="Y844" s="16"/>
      <x:c r="Z844" s="16"/>
      <x:c r="AA844" s="16"/>
      <x:c r="AB844" s="109"/>
      <x:c r="AC844" s="109"/>
      <x:c r="AD844" s="16"/>
      <x:c r="AE844" s="16"/>
      <x:c r="AF844" s="16"/>
    </x:row>
    <x:row r="845">
      <x:c r="H845" s="107"/>
      <x:c r="I845" s="107"/>
      <x:c r="O845" s="107"/>
      <x:c r="P845" s="107"/>
      <x:c r="S845" s="107"/>
      <x:c r="W845" s="18" t="str">
        <x:f>IF(A845="","",IF(H845="","",IF(I845&lt;&gt;"",I845-H845+1,IF(S845&lt;&gt;"",S845-H845+1,""))))</x:f>
      </x:c>
      <x:c r="X845" s="16"/>
      <x:c r="Y845" s="16"/>
      <x:c r="Z845" s="16"/>
      <x:c r="AA845" s="16"/>
      <x:c r="AB845" s="109"/>
      <x:c r="AC845" s="109"/>
      <x:c r="AD845" s="16"/>
      <x:c r="AE845" s="16"/>
      <x:c r="AF845" s="16"/>
    </x:row>
    <x:row r="846">
      <x:c r="H846" s="107"/>
      <x:c r="I846" s="107"/>
      <x:c r="O846" s="107"/>
      <x:c r="P846" s="107"/>
      <x:c r="S846" s="107"/>
      <x:c r="W846" s="18" t="str">
        <x:f>IF(A846="","",IF(H846="","",IF(I846&lt;&gt;"",I846-H846+1,IF(S846&lt;&gt;"",S846-H846+1,""))))</x:f>
      </x:c>
      <x:c r="X846" s="16"/>
      <x:c r="Y846" s="16"/>
      <x:c r="Z846" s="16"/>
      <x:c r="AA846" s="16"/>
      <x:c r="AB846" s="109"/>
      <x:c r="AC846" s="109"/>
      <x:c r="AD846" s="16"/>
      <x:c r="AE846" s="16"/>
      <x:c r="AF846" s="16"/>
    </x:row>
    <x:row r="847">
      <x:c r="H847" s="107"/>
      <x:c r="I847" s="107"/>
      <x:c r="O847" s="107"/>
      <x:c r="P847" s="107"/>
      <x:c r="S847" s="107"/>
      <x:c r="W847" s="18" t="str">
        <x:f>IF(A847="","",IF(H847="","",IF(I847&lt;&gt;"",I847-H847+1,IF(S847&lt;&gt;"",S847-H847+1,""))))</x:f>
      </x:c>
      <x:c r="X847" s="16"/>
      <x:c r="Y847" s="16"/>
      <x:c r="Z847" s="16"/>
      <x:c r="AA847" s="16"/>
      <x:c r="AB847" s="109"/>
      <x:c r="AC847" s="109"/>
      <x:c r="AD847" s="16"/>
      <x:c r="AE847" s="16"/>
      <x:c r="AF847" s="16"/>
    </x:row>
    <x:row r="848">
      <x:c r="H848" s="107"/>
      <x:c r="I848" s="107"/>
      <x:c r="O848" s="107"/>
      <x:c r="P848" s="107"/>
      <x:c r="S848" s="107"/>
      <x:c r="W848" s="18" t="str">
        <x:f>IF(A848="","",IF(H848="","",IF(I848&lt;&gt;"",I848-H848+1,IF(S848&lt;&gt;"",S848-H848+1,""))))</x:f>
      </x:c>
      <x:c r="X848" s="16"/>
      <x:c r="Y848" s="16"/>
      <x:c r="Z848" s="16"/>
      <x:c r="AA848" s="16"/>
      <x:c r="AB848" s="109"/>
      <x:c r="AC848" s="109"/>
      <x:c r="AD848" s="16"/>
      <x:c r="AE848" s="16"/>
      <x:c r="AF848" s="16"/>
    </x:row>
    <x:row r="849">
      <x:c r="H849" s="107"/>
      <x:c r="I849" s="107"/>
      <x:c r="O849" s="107"/>
      <x:c r="P849" s="107"/>
      <x:c r="S849" s="107"/>
      <x:c r="W849" s="18" t="str">
        <x:f>IF(A849="","",IF(H849="","",IF(I849&lt;&gt;"",I849-H849+1,IF(S849&lt;&gt;"",S849-H849+1,""))))</x:f>
      </x:c>
      <x:c r="X849" s="16"/>
      <x:c r="Y849" s="16"/>
      <x:c r="Z849" s="16"/>
      <x:c r="AA849" s="16"/>
      <x:c r="AB849" s="109"/>
      <x:c r="AC849" s="109"/>
      <x:c r="AD849" s="16"/>
      <x:c r="AE849" s="16"/>
      <x:c r="AF849" s="16"/>
    </x:row>
    <x:row r="850">
      <x:c r="H850" s="107"/>
      <x:c r="I850" s="107"/>
      <x:c r="O850" s="107"/>
      <x:c r="P850" s="107"/>
      <x:c r="S850" s="107"/>
      <x:c r="W850" s="18" t="str">
        <x:f>IF(A850="","",IF(H850="","",IF(I850&lt;&gt;"",I850-H850+1,IF(S850&lt;&gt;"",S850-H850+1,""))))</x:f>
      </x:c>
      <x:c r="X850" s="16"/>
      <x:c r="Y850" s="16"/>
      <x:c r="Z850" s="16"/>
      <x:c r="AA850" s="16"/>
      <x:c r="AB850" s="109"/>
      <x:c r="AC850" s="109"/>
      <x:c r="AD850" s="16"/>
      <x:c r="AE850" s="16"/>
      <x:c r="AF850" s="16"/>
    </x:row>
    <x:row r="851">
      <x:c r="H851" s="107"/>
      <x:c r="I851" s="107"/>
      <x:c r="O851" s="107"/>
      <x:c r="P851" s="107"/>
      <x:c r="S851" s="107"/>
      <x:c r="W851" s="18" t="str">
        <x:f>IF(A851="","",IF(H851="","",IF(I851&lt;&gt;"",I851-H851+1,IF(S851&lt;&gt;"",S851-H851+1,""))))</x:f>
      </x:c>
      <x:c r="X851" s="16"/>
      <x:c r="Y851" s="16"/>
      <x:c r="Z851" s="16"/>
      <x:c r="AA851" s="16"/>
      <x:c r="AB851" s="109"/>
      <x:c r="AC851" s="109"/>
      <x:c r="AD851" s="16"/>
      <x:c r="AE851" s="16"/>
      <x:c r="AF851" s="16"/>
    </x:row>
    <x:row r="852">
      <x:c r="H852" s="107"/>
      <x:c r="I852" s="107"/>
      <x:c r="O852" s="107"/>
      <x:c r="P852" s="107"/>
      <x:c r="S852" s="107"/>
      <x:c r="W852" s="18" t="str">
        <x:f>IF(A852="","",IF(H852="","",IF(I852&lt;&gt;"",I852-H852+1,IF(S852&lt;&gt;"",S852-H852+1,""))))</x:f>
      </x:c>
      <x:c r="X852" s="16"/>
      <x:c r="Y852" s="16"/>
      <x:c r="Z852" s="16"/>
      <x:c r="AA852" s="16"/>
      <x:c r="AB852" s="109"/>
      <x:c r="AC852" s="109"/>
      <x:c r="AD852" s="16"/>
      <x:c r="AE852" s="16"/>
      <x:c r="AF852" s="16"/>
    </x:row>
    <x:row r="853">
      <x:c r="H853" s="107"/>
      <x:c r="I853" s="107"/>
      <x:c r="O853" s="107"/>
      <x:c r="P853" s="107"/>
      <x:c r="S853" s="107"/>
      <x:c r="W853" s="18" t="str">
        <x:f>IF(A853="","",IF(H853="","",IF(I853&lt;&gt;"",I853-H853+1,IF(S853&lt;&gt;"",S853-H853+1,""))))</x:f>
      </x:c>
      <x:c r="X853" s="16"/>
      <x:c r="Y853" s="16"/>
      <x:c r="Z853" s="16"/>
      <x:c r="AA853" s="16"/>
      <x:c r="AB853" s="109"/>
      <x:c r="AC853" s="109"/>
      <x:c r="AD853" s="16"/>
      <x:c r="AE853" s="16"/>
      <x:c r="AF853" s="16"/>
    </x:row>
    <x:row r="854">
      <x:c r="H854" s="107"/>
      <x:c r="I854" s="107"/>
      <x:c r="O854" s="107"/>
      <x:c r="P854" s="107"/>
      <x:c r="S854" s="107"/>
      <x:c r="W854" s="18" t="str">
        <x:f>IF(A854="","",IF(H854="","",IF(I854&lt;&gt;"",I854-H854+1,IF(S854&lt;&gt;"",S854-H854+1,""))))</x:f>
      </x:c>
      <x:c r="X854" s="16"/>
      <x:c r="Y854" s="16"/>
      <x:c r="Z854" s="16"/>
      <x:c r="AA854" s="16"/>
      <x:c r="AB854" s="109"/>
      <x:c r="AC854" s="109"/>
      <x:c r="AD854" s="16"/>
      <x:c r="AE854" s="16"/>
      <x:c r="AF854" s="16"/>
    </x:row>
    <x:row r="855">
      <x:c r="H855" s="107"/>
      <x:c r="I855" s="107"/>
      <x:c r="O855" s="107"/>
      <x:c r="P855" s="107"/>
      <x:c r="S855" s="107"/>
      <x:c r="W855" s="18" t="str">
        <x:f>IF(A855="","",IF(H855="","",IF(I855&lt;&gt;"",I855-H855+1,IF(S855&lt;&gt;"",S855-H855+1,""))))</x:f>
      </x:c>
      <x:c r="X855" s="16"/>
      <x:c r="Y855" s="16"/>
      <x:c r="Z855" s="16"/>
      <x:c r="AA855" s="16"/>
      <x:c r="AB855" s="109"/>
      <x:c r="AC855" s="109"/>
      <x:c r="AD855" s="16"/>
      <x:c r="AE855" s="16"/>
      <x:c r="AF855" s="16"/>
    </x:row>
    <x:row r="856">
      <x:c r="H856" s="107"/>
      <x:c r="I856" s="107"/>
      <x:c r="O856" s="107"/>
      <x:c r="P856" s="107"/>
      <x:c r="S856" s="107"/>
      <x:c r="W856" s="18" t="str">
        <x:f>IF(A856="","",IF(H856="","",IF(I856&lt;&gt;"",I856-H856+1,IF(S856&lt;&gt;"",S856-H856+1,""))))</x:f>
      </x:c>
      <x:c r="X856" s="16"/>
      <x:c r="Y856" s="16"/>
      <x:c r="Z856" s="16"/>
      <x:c r="AA856" s="16"/>
      <x:c r="AB856" s="109"/>
      <x:c r="AC856" s="109"/>
      <x:c r="AD856" s="16"/>
      <x:c r="AE856" s="16"/>
      <x:c r="AF856" s="16"/>
    </x:row>
    <x:row r="857">
      <x:c r="H857" s="107"/>
      <x:c r="I857" s="107"/>
      <x:c r="O857" s="107"/>
      <x:c r="P857" s="107"/>
      <x:c r="S857" s="107"/>
      <x:c r="W857" s="18" t="str">
        <x:f>IF(A857="","",IF(H857="","",IF(I857&lt;&gt;"",I857-H857+1,IF(S857&lt;&gt;"",S857-H857+1,""))))</x:f>
      </x:c>
      <x:c r="X857" s="16"/>
      <x:c r="Y857" s="16"/>
      <x:c r="Z857" s="16"/>
      <x:c r="AA857" s="16"/>
      <x:c r="AB857" s="109"/>
      <x:c r="AC857" s="109"/>
      <x:c r="AD857" s="16"/>
      <x:c r="AE857" s="16"/>
      <x:c r="AF857" s="16"/>
    </x:row>
    <x:row r="858">
      <x:c r="H858" s="107"/>
      <x:c r="I858" s="107"/>
      <x:c r="O858" s="107"/>
      <x:c r="P858" s="107"/>
      <x:c r="S858" s="107"/>
      <x:c r="W858" s="18" t="str">
        <x:f>IF(A858="","",IF(H858="","",IF(I858&lt;&gt;"",I858-H858+1,IF(S858&lt;&gt;"",S858-H858+1,""))))</x:f>
      </x:c>
      <x:c r="X858" s="16"/>
      <x:c r="Y858" s="16"/>
      <x:c r="Z858" s="16"/>
      <x:c r="AA858" s="16"/>
      <x:c r="AB858" s="109"/>
      <x:c r="AC858" s="109"/>
      <x:c r="AD858" s="16"/>
      <x:c r="AE858" s="16"/>
      <x:c r="AF858" s="16"/>
    </x:row>
    <x:row r="859">
      <x:c r="H859" s="107"/>
      <x:c r="I859" s="107"/>
      <x:c r="O859" s="107"/>
      <x:c r="P859" s="107"/>
      <x:c r="S859" s="107"/>
      <x:c r="W859" s="18" t="str">
        <x:f>IF(A859="","",IF(H859="","",IF(I859&lt;&gt;"",I859-H859+1,IF(S859&lt;&gt;"",S859-H859+1,""))))</x:f>
      </x:c>
      <x:c r="X859" s="16"/>
      <x:c r="Y859" s="16"/>
      <x:c r="Z859" s="16"/>
      <x:c r="AA859" s="16"/>
      <x:c r="AB859" s="109"/>
      <x:c r="AC859" s="109"/>
      <x:c r="AD859" s="16"/>
      <x:c r="AE859" s="16"/>
      <x:c r="AF859" s="16"/>
    </x:row>
    <x:row r="860">
      <x:c r="H860" s="107"/>
      <x:c r="I860" s="107"/>
      <x:c r="O860" s="107"/>
      <x:c r="P860" s="107"/>
      <x:c r="S860" s="107"/>
      <x:c r="W860" s="18" t="str">
        <x:f>IF(A860="","",IF(H860="","",IF(I860&lt;&gt;"",I860-H860+1,IF(S860&lt;&gt;"",S860-H860+1,""))))</x:f>
      </x:c>
      <x:c r="X860" s="16"/>
      <x:c r="Y860" s="16"/>
      <x:c r="Z860" s="16"/>
      <x:c r="AA860" s="16"/>
      <x:c r="AB860" s="109"/>
      <x:c r="AC860" s="109"/>
      <x:c r="AD860" s="16"/>
      <x:c r="AE860" s="16"/>
      <x:c r="AF860" s="16"/>
    </x:row>
    <x:row r="861">
      <x:c r="H861" s="107"/>
      <x:c r="I861" s="107"/>
      <x:c r="O861" s="107"/>
      <x:c r="P861" s="107"/>
      <x:c r="S861" s="107"/>
      <x:c r="W861" s="18" t="str">
        <x:f>IF(A861="","",IF(H861="","",IF(I861&lt;&gt;"",I861-H861+1,IF(S861&lt;&gt;"",S861-H861+1,""))))</x:f>
      </x:c>
      <x:c r="X861" s="16"/>
      <x:c r="Y861" s="16"/>
      <x:c r="Z861" s="16"/>
      <x:c r="AA861" s="16"/>
      <x:c r="AB861" s="109"/>
      <x:c r="AC861" s="109"/>
      <x:c r="AD861" s="16"/>
      <x:c r="AE861" s="16"/>
      <x:c r="AF861" s="16"/>
    </x:row>
    <x:row r="862">
      <x:c r="H862" s="107"/>
      <x:c r="I862" s="107"/>
      <x:c r="O862" s="107"/>
      <x:c r="P862" s="107"/>
      <x:c r="S862" s="107"/>
      <x:c r="W862" s="18" t="str">
        <x:f>IF(A862="","",IF(H862="","",IF(I862&lt;&gt;"",I862-H862+1,IF(S862&lt;&gt;"",S862-H862+1,""))))</x:f>
      </x:c>
      <x:c r="X862" s="16"/>
      <x:c r="Y862" s="16"/>
      <x:c r="Z862" s="16"/>
      <x:c r="AA862" s="16"/>
      <x:c r="AB862" s="109"/>
      <x:c r="AC862" s="109"/>
      <x:c r="AD862" s="16"/>
      <x:c r="AE862" s="16"/>
      <x:c r="AF862" s="16"/>
    </x:row>
    <x:row r="863">
      <x:c r="H863" s="107"/>
      <x:c r="I863" s="107"/>
      <x:c r="O863" s="107"/>
      <x:c r="P863" s="107"/>
      <x:c r="S863" s="107"/>
      <x:c r="W863" s="18" t="str">
        <x:f>IF(A863="","",IF(H863="","",IF(I863&lt;&gt;"",I863-H863+1,IF(S863&lt;&gt;"",S863-H863+1,""))))</x:f>
      </x:c>
      <x:c r="X863" s="16"/>
      <x:c r="Y863" s="16"/>
      <x:c r="Z863" s="16"/>
      <x:c r="AA863" s="16"/>
      <x:c r="AB863" s="109"/>
      <x:c r="AC863" s="109"/>
      <x:c r="AD863" s="16"/>
      <x:c r="AE863" s="16"/>
      <x:c r="AF863" s="16"/>
    </x:row>
    <x:row r="864">
      <x:c r="H864" s="107"/>
      <x:c r="I864" s="107"/>
      <x:c r="O864" s="107"/>
      <x:c r="P864" s="107"/>
      <x:c r="S864" s="107"/>
      <x:c r="W864" s="18" t="str">
        <x:f>IF(A864="","",IF(H864="","",IF(I864&lt;&gt;"",I864-H864+1,IF(S864&lt;&gt;"",S864-H864+1,""))))</x:f>
      </x:c>
      <x:c r="X864" s="16"/>
      <x:c r="Y864" s="16"/>
      <x:c r="Z864" s="16"/>
      <x:c r="AA864" s="16"/>
      <x:c r="AB864" s="109"/>
      <x:c r="AC864" s="109"/>
      <x:c r="AD864" s="16"/>
      <x:c r="AE864" s="16"/>
      <x:c r="AF864" s="16"/>
    </x:row>
    <x:row r="865">
      <x:c r="H865" s="107"/>
      <x:c r="I865" s="107"/>
      <x:c r="O865" s="107"/>
      <x:c r="P865" s="107"/>
      <x:c r="S865" s="107"/>
      <x:c r="W865" s="18" t="str">
        <x:f>IF(A865="","",IF(H865="","",IF(I865&lt;&gt;"",I865-H865+1,IF(S865&lt;&gt;"",S865-H865+1,""))))</x:f>
      </x:c>
      <x:c r="X865" s="16"/>
      <x:c r="Y865" s="16"/>
      <x:c r="Z865" s="16"/>
      <x:c r="AA865" s="16"/>
      <x:c r="AB865" s="109"/>
      <x:c r="AC865" s="109"/>
      <x:c r="AD865" s="16"/>
      <x:c r="AE865" s="16"/>
      <x:c r="AF865" s="16"/>
    </x:row>
    <x:row r="866">
      <x:c r="H866" s="107"/>
      <x:c r="I866" s="107"/>
      <x:c r="O866" s="107"/>
      <x:c r="P866" s="107"/>
      <x:c r="S866" s="107"/>
      <x:c r="W866" s="18" t="str">
        <x:f>IF(A866="","",IF(H866="","",IF(I866&lt;&gt;"",I866-H866+1,IF(S866&lt;&gt;"",S866-H866+1,""))))</x:f>
      </x:c>
      <x:c r="X866" s="16"/>
      <x:c r="Y866" s="16"/>
      <x:c r="Z866" s="16"/>
      <x:c r="AA866" s="16"/>
      <x:c r="AB866" s="109"/>
      <x:c r="AC866" s="109"/>
      <x:c r="AD866" s="16"/>
      <x:c r="AE866" s="16"/>
      <x:c r="AF866" s="16"/>
    </x:row>
    <x:row r="867">
      <x:c r="H867" s="107"/>
      <x:c r="I867" s="107"/>
      <x:c r="O867" s="107"/>
      <x:c r="P867" s="107"/>
      <x:c r="S867" s="107"/>
      <x:c r="W867" s="18" t="str">
        <x:f>IF(A867="","",IF(H867="","",IF(I867&lt;&gt;"",I867-H867+1,IF(S867&lt;&gt;"",S867-H867+1,""))))</x:f>
      </x:c>
      <x:c r="X867" s="16"/>
      <x:c r="Y867" s="16"/>
      <x:c r="Z867" s="16"/>
      <x:c r="AA867" s="16"/>
      <x:c r="AB867" s="109"/>
      <x:c r="AC867" s="109"/>
      <x:c r="AD867" s="16"/>
      <x:c r="AE867" s="16"/>
      <x:c r="AF867" s="16"/>
    </x:row>
    <x:row r="868">
      <x:c r="H868" s="107"/>
      <x:c r="I868" s="107"/>
      <x:c r="O868" s="107"/>
      <x:c r="P868" s="107"/>
      <x:c r="S868" s="107"/>
      <x:c r="W868" s="18" t="str">
        <x:f>IF(A868="","",IF(H868="","",IF(I868&lt;&gt;"",I868-H868+1,IF(S868&lt;&gt;"",S868-H868+1,""))))</x:f>
      </x:c>
      <x:c r="X868" s="16"/>
      <x:c r="Y868" s="16"/>
      <x:c r="Z868" s="16"/>
      <x:c r="AA868" s="16"/>
      <x:c r="AB868" s="109"/>
      <x:c r="AC868" s="109"/>
      <x:c r="AD868" s="16"/>
      <x:c r="AE868" s="16"/>
      <x:c r="AF868" s="16"/>
    </x:row>
    <x:row r="869">
      <x:c r="H869" s="107"/>
      <x:c r="I869" s="107"/>
      <x:c r="O869" s="107"/>
      <x:c r="P869" s="107"/>
      <x:c r="S869" s="107"/>
      <x:c r="W869" s="18" t="str">
        <x:f>IF(A869="","",IF(H869="","",IF(I869&lt;&gt;"",I869-H869+1,IF(S869&lt;&gt;"",S869-H869+1,""))))</x:f>
      </x:c>
      <x:c r="X869" s="16"/>
      <x:c r="Y869" s="16"/>
      <x:c r="Z869" s="16"/>
      <x:c r="AA869" s="16"/>
      <x:c r="AB869" s="109"/>
      <x:c r="AC869" s="109"/>
      <x:c r="AD869" s="16"/>
      <x:c r="AE869" s="16"/>
      <x:c r="AF869" s="16"/>
    </x:row>
    <x:row r="870">
      <x:c r="H870" s="107"/>
      <x:c r="I870" s="107"/>
      <x:c r="O870" s="107"/>
      <x:c r="P870" s="107"/>
      <x:c r="S870" s="107"/>
      <x:c r="W870" s="18" t="str">
        <x:f>IF(A870="","",IF(H870="","",IF(I870&lt;&gt;"",I870-H870+1,IF(S870&lt;&gt;"",S870-H870+1,""))))</x:f>
      </x:c>
      <x:c r="X870" s="16"/>
      <x:c r="Y870" s="16"/>
      <x:c r="Z870" s="16"/>
      <x:c r="AA870" s="16"/>
      <x:c r="AB870" s="109"/>
      <x:c r="AC870" s="109"/>
      <x:c r="AD870" s="16"/>
      <x:c r="AE870" s="16"/>
      <x:c r="AF870" s="16"/>
    </x:row>
    <x:row r="871">
      <x:c r="H871" s="107"/>
      <x:c r="I871" s="107"/>
      <x:c r="O871" s="107"/>
      <x:c r="P871" s="107"/>
      <x:c r="S871" s="107"/>
      <x:c r="W871" s="18" t="str">
        <x:f>IF(A871="","",IF(H871="","",IF(I871&lt;&gt;"",I871-H871+1,IF(S871&lt;&gt;"",S871-H871+1,""))))</x:f>
      </x:c>
      <x:c r="X871" s="16"/>
      <x:c r="Y871" s="16"/>
      <x:c r="Z871" s="16"/>
      <x:c r="AA871" s="16"/>
      <x:c r="AB871" s="109"/>
      <x:c r="AC871" s="109"/>
      <x:c r="AD871" s="16"/>
      <x:c r="AE871" s="16"/>
      <x:c r="AF871" s="16"/>
    </x:row>
    <x:row r="872">
      <x:c r="H872" s="107"/>
      <x:c r="I872" s="107"/>
      <x:c r="O872" s="107"/>
      <x:c r="P872" s="107"/>
      <x:c r="S872" s="107"/>
      <x:c r="W872" s="18" t="str">
        <x:f>IF(A872="","",IF(H872="","",IF(I872&lt;&gt;"",I872-H872+1,IF(S872&lt;&gt;"",S872-H872+1,""))))</x:f>
      </x:c>
      <x:c r="X872" s="16"/>
      <x:c r="Y872" s="16"/>
      <x:c r="Z872" s="16"/>
      <x:c r="AA872" s="16"/>
      <x:c r="AB872" s="109"/>
      <x:c r="AC872" s="109"/>
      <x:c r="AD872" s="16"/>
      <x:c r="AE872" s="16"/>
      <x:c r="AF872" s="16"/>
    </x:row>
    <x:row r="873">
      <x:c r="H873" s="107"/>
      <x:c r="I873" s="107"/>
      <x:c r="O873" s="107"/>
      <x:c r="P873" s="107"/>
      <x:c r="S873" s="107"/>
      <x:c r="W873" s="18" t="str">
        <x:f>IF(A873="","",IF(H873="","",IF(I873&lt;&gt;"",I873-H873+1,IF(S873&lt;&gt;"",S873-H873+1,""))))</x:f>
      </x:c>
      <x:c r="X873" s="16"/>
      <x:c r="Y873" s="16"/>
      <x:c r="Z873" s="16"/>
      <x:c r="AA873" s="16"/>
      <x:c r="AB873" s="109"/>
      <x:c r="AC873" s="109"/>
      <x:c r="AD873" s="16"/>
      <x:c r="AE873" s="16"/>
      <x:c r="AF873" s="16"/>
    </x:row>
    <x:row r="874">
      <x:c r="H874" s="107"/>
      <x:c r="I874" s="107"/>
      <x:c r="O874" s="107"/>
      <x:c r="P874" s="107"/>
      <x:c r="S874" s="107"/>
      <x:c r="W874" s="18" t="str">
        <x:f>IF(A874="","",IF(H874="","",IF(I874&lt;&gt;"",I874-H874+1,IF(S874&lt;&gt;"",S874-H874+1,""))))</x:f>
      </x:c>
      <x:c r="X874" s="16"/>
      <x:c r="Y874" s="16"/>
      <x:c r="Z874" s="16"/>
      <x:c r="AA874" s="16"/>
      <x:c r="AB874" s="109"/>
      <x:c r="AC874" s="109"/>
      <x:c r="AD874" s="16"/>
      <x:c r="AE874" s="16"/>
      <x:c r="AF874" s="16"/>
    </x:row>
    <x:row r="875">
      <x:c r="H875" s="107"/>
      <x:c r="I875" s="107"/>
      <x:c r="O875" s="107"/>
      <x:c r="P875" s="107"/>
      <x:c r="S875" s="107"/>
      <x:c r="W875" s="18" t="str">
        <x:f>IF(A875="","",IF(H875="","",IF(I875&lt;&gt;"",I875-H875+1,IF(S875&lt;&gt;"",S875-H875+1,""))))</x:f>
      </x:c>
      <x:c r="X875" s="16"/>
      <x:c r="Y875" s="16"/>
      <x:c r="Z875" s="16"/>
      <x:c r="AA875" s="16"/>
      <x:c r="AB875" s="109"/>
      <x:c r="AC875" s="109"/>
      <x:c r="AD875" s="16"/>
      <x:c r="AE875" s="16"/>
      <x:c r="AF875" s="16"/>
    </x:row>
    <x:row r="876">
      <x:c r="H876" s="107"/>
      <x:c r="I876" s="107"/>
      <x:c r="O876" s="107"/>
      <x:c r="P876" s="107"/>
      <x:c r="S876" s="107"/>
      <x:c r="W876" s="18" t="str">
        <x:f>IF(A876="","",IF(H876="","",IF(I876&lt;&gt;"",I876-H876+1,IF(S876&lt;&gt;"",S876-H876+1,""))))</x:f>
      </x:c>
      <x:c r="X876" s="16"/>
      <x:c r="Y876" s="16"/>
      <x:c r="Z876" s="16"/>
      <x:c r="AA876" s="16"/>
      <x:c r="AB876" s="109"/>
      <x:c r="AC876" s="109"/>
      <x:c r="AD876" s="16"/>
      <x:c r="AE876" s="16"/>
      <x:c r="AF876" s="16"/>
    </x:row>
    <x:row r="877">
      <x:c r="H877" s="107"/>
      <x:c r="I877" s="107"/>
      <x:c r="O877" s="107"/>
      <x:c r="P877" s="107"/>
      <x:c r="S877" s="107"/>
      <x:c r="W877" s="18" t="str">
        <x:f>IF(A877="","",IF(H877="","",IF(I877&lt;&gt;"",I877-H877+1,IF(S877&lt;&gt;"",S877-H877+1,""))))</x:f>
      </x:c>
      <x:c r="X877" s="16"/>
      <x:c r="Y877" s="16"/>
      <x:c r="Z877" s="16"/>
      <x:c r="AA877" s="16"/>
      <x:c r="AB877" s="109"/>
      <x:c r="AC877" s="109"/>
      <x:c r="AD877" s="16"/>
      <x:c r="AE877" s="16"/>
      <x:c r="AF877" s="16"/>
    </x:row>
    <x:row r="878">
      <x:c r="H878" s="107"/>
      <x:c r="I878" s="107"/>
      <x:c r="O878" s="107"/>
      <x:c r="P878" s="107"/>
      <x:c r="S878" s="107"/>
      <x:c r="W878" s="18" t="str">
        <x:f>IF(A878="","",IF(H878="","",IF(I878&lt;&gt;"",I878-H878+1,IF(S878&lt;&gt;"",S878-H878+1,""))))</x:f>
      </x:c>
      <x:c r="X878" s="16"/>
      <x:c r="Y878" s="16"/>
      <x:c r="Z878" s="16"/>
      <x:c r="AA878" s="16"/>
      <x:c r="AB878" s="109"/>
      <x:c r="AC878" s="109"/>
      <x:c r="AD878" s="16"/>
      <x:c r="AE878" s="16"/>
      <x:c r="AF878" s="16"/>
    </x:row>
    <x:row r="879">
      <x:c r="H879" s="107"/>
      <x:c r="I879" s="107"/>
      <x:c r="O879" s="107"/>
      <x:c r="P879" s="107"/>
      <x:c r="S879" s="107"/>
      <x:c r="W879" s="18" t="str">
        <x:f>IF(A879="","",IF(H879="","",IF(I879&lt;&gt;"",I879-H879+1,IF(S879&lt;&gt;"",S879-H879+1,""))))</x:f>
      </x:c>
      <x:c r="X879" s="16"/>
      <x:c r="Y879" s="16"/>
      <x:c r="Z879" s="16"/>
      <x:c r="AA879" s="16"/>
      <x:c r="AB879" s="109"/>
      <x:c r="AC879" s="109"/>
      <x:c r="AD879" s="16"/>
      <x:c r="AE879" s="16"/>
      <x:c r="AF879" s="16"/>
    </x:row>
    <x:row r="880">
      <x:c r="H880" s="107"/>
      <x:c r="I880" s="107"/>
      <x:c r="O880" s="107"/>
      <x:c r="P880" s="107"/>
      <x:c r="S880" s="107"/>
      <x:c r="W880" s="18" t="str">
        <x:f>IF(A880="","",IF(H880="","",IF(I880&lt;&gt;"",I880-H880+1,IF(S880&lt;&gt;"",S880-H880+1,""))))</x:f>
      </x:c>
      <x:c r="X880" s="16"/>
      <x:c r="Y880" s="16"/>
      <x:c r="Z880" s="16"/>
      <x:c r="AA880" s="16"/>
      <x:c r="AB880" s="109"/>
      <x:c r="AC880" s="109"/>
      <x:c r="AD880" s="16"/>
      <x:c r="AE880" s="16"/>
      <x:c r="AF880" s="16"/>
    </x:row>
    <x:row r="881">
      <x:c r="H881" s="107"/>
      <x:c r="I881" s="107"/>
      <x:c r="O881" s="107"/>
      <x:c r="P881" s="107"/>
      <x:c r="S881" s="107"/>
      <x:c r="W881" s="18" t="str">
        <x:f>IF(A881="","",IF(H881="","",IF(I881&lt;&gt;"",I881-H881+1,IF(S881&lt;&gt;"",S881-H881+1,""))))</x:f>
      </x:c>
      <x:c r="X881" s="16"/>
      <x:c r="Y881" s="16"/>
      <x:c r="Z881" s="16"/>
      <x:c r="AA881" s="16"/>
      <x:c r="AB881" s="109"/>
      <x:c r="AC881" s="109"/>
      <x:c r="AD881" s="16"/>
      <x:c r="AE881" s="16"/>
      <x:c r="AF881" s="16"/>
    </x:row>
    <x:row r="882">
      <x:c r="H882" s="107"/>
      <x:c r="I882" s="107"/>
      <x:c r="O882" s="107"/>
      <x:c r="P882" s="107"/>
      <x:c r="S882" s="107"/>
      <x:c r="W882" s="18" t="str">
        <x:f>IF(A882="","",IF(H882="","",IF(I882&lt;&gt;"",I882-H882+1,IF(S882&lt;&gt;"",S882-H882+1,""))))</x:f>
      </x:c>
      <x:c r="X882" s="16"/>
      <x:c r="Y882" s="16"/>
      <x:c r="Z882" s="16"/>
      <x:c r="AA882" s="16"/>
      <x:c r="AB882" s="109"/>
      <x:c r="AC882" s="109"/>
      <x:c r="AD882" s="16"/>
      <x:c r="AE882" s="16"/>
      <x:c r="AF882" s="16"/>
    </x:row>
    <x:row r="883">
      <x:c r="H883" s="107"/>
      <x:c r="I883" s="107"/>
      <x:c r="O883" s="107"/>
      <x:c r="P883" s="107"/>
      <x:c r="S883" s="107"/>
      <x:c r="W883" s="18" t="str">
        <x:f>IF(A883="","",IF(H883="","",IF(I883&lt;&gt;"",I883-H883+1,IF(S883&lt;&gt;"",S883-H883+1,""))))</x:f>
      </x:c>
      <x:c r="X883" s="16"/>
      <x:c r="Y883" s="16"/>
      <x:c r="Z883" s="16"/>
      <x:c r="AA883" s="16"/>
      <x:c r="AB883" s="109"/>
      <x:c r="AC883" s="109"/>
      <x:c r="AD883" s="16"/>
      <x:c r="AE883" s="16"/>
      <x:c r="AF883" s="16"/>
    </x:row>
    <x:row r="884">
      <x:c r="H884" s="107"/>
      <x:c r="I884" s="107"/>
      <x:c r="O884" s="107"/>
      <x:c r="P884" s="107"/>
      <x:c r="S884" s="107"/>
      <x:c r="W884" s="18" t="str">
        <x:f>IF(A884="","",IF(H884="","",IF(I884&lt;&gt;"",I884-H884+1,IF(S884&lt;&gt;"",S884-H884+1,""))))</x:f>
      </x:c>
      <x:c r="X884" s="16"/>
      <x:c r="Y884" s="16"/>
      <x:c r="Z884" s="16"/>
      <x:c r="AA884" s="16"/>
      <x:c r="AB884" s="109"/>
      <x:c r="AC884" s="109"/>
      <x:c r="AD884" s="16"/>
      <x:c r="AE884" s="16"/>
      <x:c r="AF884" s="16"/>
    </x:row>
    <x:row r="885">
      <x:c r="H885" s="107"/>
      <x:c r="I885" s="107"/>
      <x:c r="O885" s="107"/>
      <x:c r="P885" s="107"/>
      <x:c r="S885" s="107"/>
      <x:c r="W885" s="18" t="str">
        <x:f>IF(A885="","",IF(H885="","",IF(I885&lt;&gt;"",I885-H885+1,IF(S885&lt;&gt;"",S885-H885+1,""))))</x:f>
      </x:c>
      <x:c r="X885" s="16"/>
      <x:c r="Y885" s="16"/>
      <x:c r="Z885" s="16"/>
      <x:c r="AA885" s="16"/>
      <x:c r="AB885" s="109"/>
      <x:c r="AC885" s="109"/>
      <x:c r="AD885" s="16"/>
      <x:c r="AE885" s="16"/>
      <x:c r="AF885" s="16"/>
    </x:row>
    <x:row r="886">
      <x:c r="H886" s="107"/>
      <x:c r="I886" s="107"/>
      <x:c r="O886" s="107"/>
      <x:c r="P886" s="107"/>
      <x:c r="S886" s="107"/>
      <x:c r="W886" s="18" t="str">
        <x:f>IF(A886="","",IF(H886="","",IF(I886&lt;&gt;"",I886-H886+1,IF(S886&lt;&gt;"",S886-H886+1,""))))</x:f>
      </x:c>
      <x:c r="X886" s="16"/>
      <x:c r="Y886" s="16"/>
      <x:c r="Z886" s="16"/>
      <x:c r="AA886" s="16"/>
      <x:c r="AB886" s="109"/>
      <x:c r="AC886" s="109"/>
      <x:c r="AD886" s="16"/>
      <x:c r="AE886" s="16"/>
      <x:c r="AF886" s="16"/>
    </x:row>
    <x:row r="887">
      <x:c r="H887" s="107"/>
      <x:c r="I887" s="107"/>
      <x:c r="O887" s="107"/>
      <x:c r="P887" s="107"/>
      <x:c r="S887" s="107"/>
      <x:c r="W887" s="18" t="str">
        <x:f>IF(A887="","",IF(H887="","",IF(I887&lt;&gt;"",I887-H887+1,IF(S887&lt;&gt;"",S887-H887+1,""))))</x:f>
      </x:c>
      <x:c r="X887" s="16"/>
      <x:c r="Y887" s="16"/>
      <x:c r="Z887" s="16"/>
      <x:c r="AA887" s="16"/>
      <x:c r="AB887" s="109"/>
      <x:c r="AC887" s="109"/>
      <x:c r="AD887" s="16"/>
      <x:c r="AE887" s="16"/>
      <x:c r="AF887" s="16"/>
    </x:row>
    <x:row r="888">
      <x:c r="H888" s="107"/>
      <x:c r="I888" s="107"/>
      <x:c r="O888" s="107"/>
      <x:c r="P888" s="107"/>
      <x:c r="S888" s="107"/>
      <x:c r="W888" s="18" t="str">
        <x:f>IF(A888="","",IF(H888="","",IF(I888&lt;&gt;"",I888-H888+1,IF(S888&lt;&gt;"",S888-H888+1,""))))</x:f>
      </x:c>
      <x:c r="X888" s="16"/>
      <x:c r="Y888" s="16"/>
      <x:c r="Z888" s="16"/>
      <x:c r="AA888" s="16"/>
      <x:c r="AB888" s="109"/>
      <x:c r="AC888" s="109"/>
      <x:c r="AD888" s="16"/>
      <x:c r="AE888" s="16"/>
      <x:c r="AF888" s="16"/>
    </x:row>
    <x:row r="889">
      <x:c r="H889" s="107"/>
      <x:c r="I889" s="107"/>
      <x:c r="O889" s="107"/>
      <x:c r="P889" s="107"/>
      <x:c r="S889" s="107"/>
      <x:c r="W889" s="18" t="str">
        <x:f>IF(A889="","",IF(H889="","",IF(I889&lt;&gt;"",I889-H889+1,IF(S889&lt;&gt;"",S889-H889+1,""))))</x:f>
      </x:c>
      <x:c r="X889" s="16"/>
      <x:c r="Y889" s="16"/>
      <x:c r="Z889" s="16"/>
      <x:c r="AA889" s="16"/>
      <x:c r="AB889" s="109"/>
      <x:c r="AC889" s="109"/>
      <x:c r="AD889" s="16"/>
      <x:c r="AE889" s="16"/>
      <x:c r="AF889" s="16"/>
    </x:row>
    <x:row r="890">
      <x:c r="H890" s="107"/>
      <x:c r="I890" s="107"/>
      <x:c r="O890" s="107"/>
      <x:c r="P890" s="107"/>
      <x:c r="S890" s="107"/>
      <x:c r="W890" s="18" t="str">
        <x:f>IF(A890="","",IF(H890="","",IF(I890&lt;&gt;"",I890-H890+1,IF(S890&lt;&gt;"",S890-H890+1,""))))</x:f>
      </x:c>
      <x:c r="X890" s="16"/>
      <x:c r="Y890" s="16"/>
      <x:c r="Z890" s="16"/>
      <x:c r="AA890" s="16"/>
      <x:c r="AB890" s="109"/>
      <x:c r="AC890" s="109"/>
      <x:c r="AD890" s="16"/>
      <x:c r="AE890" s="16"/>
      <x:c r="AF890" s="16"/>
    </x:row>
    <x:row r="891">
      <x:c r="H891" s="107"/>
      <x:c r="I891" s="107"/>
      <x:c r="O891" s="107"/>
      <x:c r="P891" s="107"/>
      <x:c r="S891" s="107"/>
      <x:c r="W891" s="18" t="str">
        <x:f>IF(A891="","",IF(H891="","",IF(I891&lt;&gt;"",I891-H891+1,IF(S891&lt;&gt;"",S891-H891+1,""))))</x:f>
      </x:c>
      <x:c r="X891" s="16"/>
      <x:c r="Y891" s="16"/>
      <x:c r="Z891" s="16"/>
      <x:c r="AA891" s="16"/>
      <x:c r="AB891" s="109"/>
      <x:c r="AC891" s="109"/>
      <x:c r="AD891" s="16"/>
      <x:c r="AE891" s="16"/>
      <x:c r="AF891" s="16"/>
    </x:row>
    <x:row r="892">
      <x:c r="H892" s="107"/>
      <x:c r="I892" s="107"/>
      <x:c r="O892" s="107"/>
      <x:c r="P892" s="107"/>
      <x:c r="S892" s="107"/>
      <x:c r="W892" s="18" t="str">
        <x:f>IF(A892="","",IF(H892="","",IF(I892&lt;&gt;"",I892-H892+1,IF(S892&lt;&gt;"",S892-H892+1,""))))</x:f>
      </x:c>
      <x:c r="X892" s="16"/>
      <x:c r="Y892" s="16"/>
      <x:c r="Z892" s="16"/>
      <x:c r="AA892" s="16"/>
      <x:c r="AB892" s="109"/>
      <x:c r="AC892" s="109"/>
      <x:c r="AD892" s="16"/>
      <x:c r="AE892" s="16"/>
      <x:c r="AF892" s="16"/>
    </x:row>
    <x:row r="893">
      <x:c r="H893" s="107"/>
      <x:c r="I893" s="107"/>
      <x:c r="O893" s="107"/>
      <x:c r="P893" s="107"/>
      <x:c r="S893" s="107"/>
      <x:c r="W893" s="18" t="str">
        <x:f>IF(A893="","",IF(H893="","",IF(I893&lt;&gt;"",I893-H893+1,IF(S893&lt;&gt;"",S893-H893+1,""))))</x:f>
      </x:c>
      <x:c r="X893" s="16"/>
      <x:c r="Y893" s="16"/>
      <x:c r="Z893" s="16"/>
      <x:c r="AA893" s="16"/>
      <x:c r="AB893" s="109"/>
      <x:c r="AC893" s="109"/>
      <x:c r="AD893" s="16"/>
      <x:c r="AE893" s="16"/>
      <x:c r="AF893" s="16"/>
    </x:row>
    <x:row r="894">
      <x:c r="H894" s="107"/>
      <x:c r="I894" s="107"/>
      <x:c r="O894" s="107"/>
      <x:c r="P894" s="107"/>
      <x:c r="S894" s="107"/>
      <x:c r="W894" s="18" t="str">
        <x:f>IF(A894="","",IF(H894="","",IF(I894&lt;&gt;"",I894-H894+1,IF(S894&lt;&gt;"",S894-H894+1,""))))</x:f>
      </x:c>
      <x:c r="X894" s="16"/>
      <x:c r="Y894" s="16"/>
      <x:c r="Z894" s="16"/>
      <x:c r="AA894" s="16"/>
      <x:c r="AB894" s="109"/>
      <x:c r="AC894" s="109"/>
      <x:c r="AD894" s="16"/>
      <x:c r="AE894" s="16"/>
      <x:c r="AF894" s="16"/>
    </x:row>
    <x:row r="895">
      <x:c r="H895" s="107"/>
      <x:c r="I895" s="107"/>
      <x:c r="O895" s="107"/>
      <x:c r="P895" s="107"/>
      <x:c r="S895" s="107"/>
      <x:c r="W895" s="18" t="str">
        <x:f>IF(A895="","",IF(H895="","",IF(I895&lt;&gt;"",I895-H895+1,IF(S895&lt;&gt;"",S895-H895+1,""))))</x:f>
      </x:c>
      <x:c r="X895" s="16"/>
      <x:c r="Y895" s="16"/>
      <x:c r="Z895" s="16"/>
      <x:c r="AA895" s="16"/>
      <x:c r="AB895" s="109"/>
      <x:c r="AC895" s="109"/>
      <x:c r="AD895" s="16"/>
      <x:c r="AE895" s="16"/>
      <x:c r="AF895" s="16"/>
    </x:row>
    <x:row r="896">
      <x:c r="H896" s="107"/>
      <x:c r="I896" s="107"/>
      <x:c r="O896" s="107"/>
      <x:c r="P896" s="107"/>
      <x:c r="S896" s="107"/>
      <x:c r="W896" s="18" t="str">
        <x:f>IF(A896="","",IF(H896="","",IF(I896&lt;&gt;"",I896-H896+1,IF(S896&lt;&gt;"",S896-H896+1,""))))</x:f>
      </x:c>
      <x:c r="X896" s="16"/>
      <x:c r="Y896" s="16"/>
      <x:c r="Z896" s="16"/>
      <x:c r="AA896" s="16"/>
      <x:c r="AB896" s="109"/>
      <x:c r="AC896" s="109"/>
      <x:c r="AD896" s="16"/>
      <x:c r="AE896" s="16"/>
      <x:c r="AF896" s="16"/>
    </x:row>
    <x:row r="897">
      <x:c r="H897" s="107"/>
      <x:c r="I897" s="107"/>
      <x:c r="O897" s="107"/>
      <x:c r="P897" s="107"/>
      <x:c r="S897" s="107"/>
      <x:c r="W897" s="18" t="str">
        <x:f>IF(A897="","",IF(H897="","",IF(I897&lt;&gt;"",I897-H897+1,IF(S897&lt;&gt;"",S897-H897+1,""))))</x:f>
      </x:c>
      <x:c r="X897" s="16"/>
      <x:c r="Y897" s="16"/>
      <x:c r="Z897" s="16"/>
      <x:c r="AA897" s="16"/>
      <x:c r="AB897" s="109"/>
      <x:c r="AC897" s="109"/>
      <x:c r="AD897" s="16"/>
      <x:c r="AE897" s="16"/>
      <x:c r="AF897" s="16"/>
    </x:row>
    <x:row r="898">
      <x:c r="H898" s="107"/>
      <x:c r="I898" s="107"/>
      <x:c r="O898" s="107"/>
      <x:c r="P898" s="107"/>
      <x:c r="S898" s="107"/>
      <x:c r="W898" s="18" t="str">
        <x:f>IF(A898="","",IF(H898="","",IF(I898&lt;&gt;"",I898-H898+1,IF(S898&lt;&gt;"",S898-H898+1,""))))</x:f>
      </x:c>
      <x:c r="X898" s="16"/>
      <x:c r="Y898" s="16"/>
      <x:c r="Z898" s="16"/>
      <x:c r="AA898" s="16"/>
      <x:c r="AB898" s="109"/>
      <x:c r="AC898" s="109"/>
      <x:c r="AD898" s="16"/>
      <x:c r="AE898" s="16"/>
      <x:c r="AF898" s="16"/>
    </x:row>
    <x:row r="899">
      <x:c r="H899" s="107"/>
      <x:c r="I899" s="107"/>
      <x:c r="O899" s="107"/>
      <x:c r="P899" s="107"/>
      <x:c r="S899" s="107"/>
      <x:c r="W899" s="18" t="str">
        <x:f>IF(A899="","",IF(H899="","",IF(I899&lt;&gt;"",I899-H899+1,IF(S899&lt;&gt;"",S899-H899+1,""))))</x:f>
      </x:c>
      <x:c r="X899" s="16"/>
      <x:c r="Y899" s="16"/>
      <x:c r="Z899" s="16"/>
      <x:c r="AA899" s="16"/>
      <x:c r="AB899" s="109"/>
      <x:c r="AC899" s="109"/>
      <x:c r="AD899" s="16"/>
      <x:c r="AE899" s="16"/>
      <x:c r="AF899" s="16"/>
    </x:row>
    <x:row r="900">
      <x:c r="H900" s="107"/>
      <x:c r="I900" s="107"/>
      <x:c r="O900" s="107"/>
      <x:c r="P900" s="107"/>
      <x:c r="S900" s="107"/>
      <x:c r="W900" s="18" t="str">
        <x:f>IF(A900="","",IF(H900="","",IF(I900&lt;&gt;"",I900-H900+1,IF(S900&lt;&gt;"",S900-H900+1,""))))</x:f>
      </x:c>
      <x:c r="X900" s="16"/>
      <x:c r="Y900" s="16"/>
      <x:c r="Z900" s="16"/>
      <x:c r="AA900" s="16"/>
      <x:c r="AB900" s="109"/>
      <x:c r="AC900" s="109"/>
      <x:c r="AD900" s="16"/>
      <x:c r="AE900" s="16"/>
      <x:c r="AF900" s="16"/>
    </x:row>
    <x:row r="901">
      <x:c r="H901" s="107"/>
      <x:c r="I901" s="107"/>
      <x:c r="O901" s="107"/>
      <x:c r="P901" s="107"/>
      <x:c r="S901" s="107"/>
      <x:c r="W901" s="18" t="str">
        <x:f>IF(A901="","",IF(H901="","",IF(I901&lt;&gt;"",I901-H901+1,IF(S901&lt;&gt;"",S901-H901+1,""))))</x:f>
      </x:c>
      <x:c r="X901" s="16"/>
      <x:c r="Y901" s="16"/>
      <x:c r="Z901" s="16"/>
      <x:c r="AA901" s="16"/>
      <x:c r="AB901" s="109"/>
      <x:c r="AC901" s="109"/>
      <x:c r="AD901" s="16"/>
      <x:c r="AE901" s="16"/>
      <x:c r="AF901" s="16"/>
    </x:row>
    <x:row r="902">
      <x:c r="H902" s="107"/>
      <x:c r="I902" s="107"/>
      <x:c r="O902" s="107"/>
      <x:c r="P902" s="107"/>
      <x:c r="S902" s="107"/>
      <x:c r="W902" s="18" t="str">
        <x:f>IF(A902="","",IF(H902="","",IF(I902&lt;&gt;"",I902-H902+1,IF(S902&lt;&gt;"",S902-H902+1,""))))</x:f>
      </x:c>
      <x:c r="X902" s="16"/>
      <x:c r="Y902" s="16"/>
      <x:c r="Z902" s="16"/>
      <x:c r="AA902" s="16"/>
      <x:c r="AB902" s="109"/>
      <x:c r="AC902" s="109"/>
      <x:c r="AD902" s="16"/>
      <x:c r="AE902" s="16"/>
      <x:c r="AF902" s="16"/>
    </x:row>
    <x:row r="903">
      <x:c r="H903" s="107"/>
      <x:c r="I903" s="107"/>
      <x:c r="O903" s="107"/>
      <x:c r="P903" s="107"/>
      <x:c r="S903" s="107"/>
      <x:c r="W903" s="18" t="str">
        <x:f>IF(A903="","",IF(H903="","",IF(I903&lt;&gt;"",I903-H903+1,IF(S903&lt;&gt;"",S903-H903+1,""))))</x:f>
      </x:c>
      <x:c r="X903" s="16"/>
      <x:c r="Y903" s="16"/>
      <x:c r="Z903" s="16"/>
      <x:c r="AA903" s="16"/>
      <x:c r="AB903" s="109"/>
      <x:c r="AC903" s="109"/>
      <x:c r="AD903" s="16"/>
      <x:c r="AE903" s="16"/>
      <x:c r="AF903" s="16"/>
    </x:row>
    <x:row r="904">
      <x:c r="H904" s="107"/>
      <x:c r="I904" s="107"/>
      <x:c r="O904" s="107"/>
      <x:c r="P904" s="107"/>
      <x:c r="S904" s="107"/>
      <x:c r="W904" s="18" t="str">
        <x:f>IF(A904="","",IF(H904="","",IF(I904&lt;&gt;"",I904-H904+1,IF(S904&lt;&gt;"",S904-H904+1,""))))</x:f>
      </x:c>
      <x:c r="X904" s="16"/>
      <x:c r="Y904" s="16"/>
      <x:c r="Z904" s="16"/>
      <x:c r="AA904" s="16"/>
      <x:c r="AB904" s="109"/>
      <x:c r="AC904" s="109"/>
      <x:c r="AD904" s="16"/>
      <x:c r="AE904" s="16"/>
      <x:c r="AF904" s="16"/>
    </x:row>
    <x:row r="905">
      <x:c r="H905" s="107"/>
      <x:c r="I905" s="107"/>
      <x:c r="O905" s="107"/>
      <x:c r="P905" s="107"/>
      <x:c r="S905" s="107"/>
      <x:c r="W905" s="18" t="str">
        <x:f>IF(A905="","",IF(H905="","",IF(I905&lt;&gt;"",I905-H905+1,IF(S905&lt;&gt;"",S905-H905+1,""))))</x:f>
      </x:c>
      <x:c r="X905" s="16"/>
      <x:c r="Y905" s="16"/>
      <x:c r="Z905" s="16"/>
      <x:c r="AA905" s="16"/>
      <x:c r="AB905" s="109"/>
      <x:c r="AC905" s="109"/>
      <x:c r="AD905" s="16"/>
      <x:c r="AE905" s="16"/>
      <x:c r="AF905" s="16"/>
    </x:row>
    <x:row r="906">
      <x:c r="H906" s="107"/>
      <x:c r="I906" s="107"/>
      <x:c r="O906" s="107"/>
      <x:c r="P906" s="107"/>
      <x:c r="S906" s="107"/>
      <x:c r="W906" s="18" t="str">
        <x:f>IF(A906="","",IF(H906="","",IF(I906&lt;&gt;"",I906-H906+1,IF(S906&lt;&gt;"",S906-H906+1,""))))</x:f>
      </x:c>
      <x:c r="X906" s="16"/>
      <x:c r="Y906" s="16"/>
      <x:c r="Z906" s="16"/>
      <x:c r="AA906" s="16"/>
      <x:c r="AB906" s="109"/>
      <x:c r="AC906" s="109"/>
      <x:c r="AD906" s="16"/>
      <x:c r="AE906" s="16"/>
      <x:c r="AF906" s="16"/>
    </x:row>
    <x:row r="907">
      <x:c r="H907" s="107"/>
      <x:c r="I907" s="107"/>
      <x:c r="O907" s="107"/>
      <x:c r="P907" s="107"/>
      <x:c r="S907" s="107"/>
      <x:c r="W907" s="18" t="str">
        <x:f>IF(A907="","",IF(H907="","",IF(I907&lt;&gt;"",I907-H907+1,IF(S907&lt;&gt;"",S907-H907+1,""))))</x:f>
      </x:c>
      <x:c r="X907" s="16"/>
      <x:c r="Y907" s="16"/>
      <x:c r="Z907" s="16"/>
      <x:c r="AA907" s="16"/>
      <x:c r="AB907" s="109"/>
      <x:c r="AC907" s="109"/>
      <x:c r="AD907" s="16"/>
      <x:c r="AE907" s="16"/>
      <x:c r="AF907" s="16"/>
    </x:row>
    <x:row r="908">
      <x:c r="H908" s="107"/>
      <x:c r="I908" s="107"/>
      <x:c r="O908" s="107"/>
      <x:c r="P908" s="107"/>
      <x:c r="S908" s="107"/>
      <x:c r="W908" s="18" t="str">
        <x:f>IF(A908="","",IF(H908="","",IF(I908&lt;&gt;"",I908-H908+1,IF(S908&lt;&gt;"",S908-H908+1,""))))</x:f>
      </x:c>
      <x:c r="X908" s="16"/>
      <x:c r="Y908" s="16"/>
      <x:c r="Z908" s="16"/>
      <x:c r="AA908" s="16"/>
      <x:c r="AB908" s="109"/>
      <x:c r="AC908" s="109"/>
      <x:c r="AD908" s="16"/>
      <x:c r="AE908" s="16"/>
      <x:c r="AF908" s="16"/>
    </x:row>
    <x:row r="909">
      <x:c r="H909" s="107"/>
      <x:c r="I909" s="107"/>
      <x:c r="O909" s="107"/>
      <x:c r="P909" s="107"/>
      <x:c r="S909" s="107"/>
      <x:c r="W909" s="18" t="str">
        <x:f>IF(A909="","",IF(H909="","",IF(I909&lt;&gt;"",I909-H909+1,IF(S909&lt;&gt;"",S909-H909+1,""))))</x:f>
      </x:c>
      <x:c r="X909" s="16"/>
      <x:c r="Y909" s="16"/>
      <x:c r="Z909" s="16"/>
      <x:c r="AA909" s="16"/>
      <x:c r="AB909" s="109"/>
      <x:c r="AC909" s="109"/>
      <x:c r="AD909" s="16"/>
      <x:c r="AE909" s="16"/>
      <x:c r="AF909" s="16"/>
    </x:row>
    <x:row r="910">
      <x:c r="H910" s="107"/>
      <x:c r="I910" s="107"/>
      <x:c r="O910" s="107"/>
      <x:c r="P910" s="107"/>
      <x:c r="S910" s="107"/>
      <x:c r="W910" s="18" t="str">
        <x:f>IF(A910="","",IF(H910="","",IF(I910&lt;&gt;"",I910-H910+1,IF(S910&lt;&gt;"",S910-H910+1,""))))</x:f>
      </x:c>
      <x:c r="X910" s="16"/>
      <x:c r="Y910" s="16"/>
      <x:c r="Z910" s="16"/>
      <x:c r="AA910" s="16"/>
      <x:c r="AB910" s="109"/>
      <x:c r="AC910" s="109"/>
      <x:c r="AD910" s="16"/>
      <x:c r="AE910" s="16"/>
      <x:c r="AF910" s="16"/>
    </x:row>
    <x:row r="911">
      <x:c r="H911" s="107"/>
      <x:c r="I911" s="107"/>
      <x:c r="O911" s="107"/>
      <x:c r="P911" s="107"/>
      <x:c r="S911" s="107"/>
      <x:c r="W911" s="18" t="str">
        <x:f>IF(A911="","",IF(H911="","",IF(I911&lt;&gt;"",I911-H911+1,IF(S911&lt;&gt;"",S911-H911+1,""))))</x:f>
      </x:c>
      <x:c r="X911" s="16"/>
      <x:c r="Y911" s="16"/>
      <x:c r="Z911" s="16"/>
      <x:c r="AA911" s="16"/>
      <x:c r="AB911" s="109"/>
      <x:c r="AC911" s="109"/>
      <x:c r="AD911" s="16"/>
      <x:c r="AE911" s="16"/>
      <x:c r="AF911" s="16"/>
    </x:row>
    <x:row r="912">
      <x:c r="H912" s="107"/>
      <x:c r="I912" s="107"/>
      <x:c r="O912" s="107"/>
      <x:c r="P912" s="107"/>
      <x:c r="S912" s="107"/>
      <x:c r="W912" s="18" t="str">
        <x:f>IF(A912="","",IF(H912="","",IF(I912&lt;&gt;"",I912-H912+1,IF(S912&lt;&gt;"",S912-H912+1,""))))</x:f>
      </x:c>
      <x:c r="X912" s="16"/>
      <x:c r="Y912" s="16"/>
      <x:c r="Z912" s="16"/>
      <x:c r="AA912" s="16"/>
      <x:c r="AB912" s="109"/>
      <x:c r="AC912" s="109"/>
      <x:c r="AD912" s="16"/>
      <x:c r="AE912" s="16"/>
      <x:c r="AF912" s="16"/>
    </x:row>
    <x:row r="913">
      <x:c r="H913" s="107"/>
      <x:c r="I913" s="107"/>
      <x:c r="O913" s="107"/>
      <x:c r="P913" s="107"/>
      <x:c r="S913" s="107"/>
      <x:c r="W913" s="18" t="str">
        <x:f>IF(A913="","",IF(H913="","",IF(I913&lt;&gt;"",I913-H913+1,IF(S913&lt;&gt;"",S913-H913+1,""))))</x:f>
      </x:c>
      <x:c r="X913" s="16"/>
      <x:c r="Y913" s="16"/>
      <x:c r="Z913" s="16"/>
      <x:c r="AA913" s="16"/>
      <x:c r="AB913" s="109"/>
      <x:c r="AC913" s="109"/>
      <x:c r="AD913" s="16"/>
      <x:c r="AE913" s="16"/>
      <x:c r="AF913" s="16"/>
    </x:row>
    <x:row r="914">
      <x:c r="H914" s="107"/>
      <x:c r="I914" s="107"/>
      <x:c r="O914" s="107"/>
      <x:c r="P914" s="107"/>
      <x:c r="S914" s="107"/>
      <x:c r="W914" s="18" t="str">
        <x:f>IF(A914="","",IF(H914="","",IF(I914&lt;&gt;"",I914-H914+1,IF(S914&lt;&gt;"",S914-H914+1,""))))</x:f>
      </x:c>
      <x:c r="X914" s="16"/>
      <x:c r="Y914" s="16"/>
      <x:c r="Z914" s="16"/>
      <x:c r="AA914" s="16"/>
      <x:c r="AB914" s="109"/>
      <x:c r="AC914" s="109"/>
      <x:c r="AD914" s="16"/>
      <x:c r="AE914" s="16"/>
      <x:c r="AF914" s="16"/>
    </x:row>
    <x:row r="915">
      <x:c r="H915" s="107"/>
      <x:c r="I915" s="107"/>
      <x:c r="O915" s="107"/>
      <x:c r="P915" s="107"/>
      <x:c r="S915" s="107"/>
      <x:c r="W915" s="18" t="str">
        <x:f>IF(A915="","",IF(H915="","",IF(I915&lt;&gt;"",I915-H915+1,IF(S915&lt;&gt;"",S915-H915+1,""))))</x:f>
      </x:c>
      <x:c r="X915" s="16"/>
      <x:c r="Y915" s="16"/>
      <x:c r="Z915" s="16"/>
      <x:c r="AA915" s="16"/>
      <x:c r="AB915" s="109"/>
      <x:c r="AC915" s="109"/>
      <x:c r="AD915" s="16"/>
      <x:c r="AE915" s="16"/>
      <x:c r="AF915" s="16"/>
    </x:row>
    <x:row r="916">
      <x:c r="H916" s="107"/>
      <x:c r="I916" s="107"/>
      <x:c r="O916" s="107"/>
      <x:c r="P916" s="107"/>
      <x:c r="S916" s="107"/>
      <x:c r="W916" s="18" t="str">
        <x:f>IF(A916="","",IF(H916="","",IF(I916&lt;&gt;"",I916-H916+1,IF(S916&lt;&gt;"",S916-H916+1,""))))</x:f>
      </x:c>
      <x:c r="X916" s="16"/>
      <x:c r="Y916" s="16"/>
      <x:c r="Z916" s="16"/>
      <x:c r="AA916" s="16"/>
      <x:c r="AB916" s="109"/>
      <x:c r="AC916" s="109"/>
      <x:c r="AD916" s="16"/>
      <x:c r="AE916" s="16"/>
      <x:c r="AF916" s="16"/>
    </x:row>
    <x:row r="917">
      <x:c r="H917" s="107"/>
      <x:c r="I917" s="107"/>
      <x:c r="O917" s="107"/>
      <x:c r="P917" s="107"/>
      <x:c r="S917" s="107"/>
      <x:c r="W917" s="18" t="str">
        <x:f>IF(A917="","",IF(H917="","",IF(I917&lt;&gt;"",I917-H917+1,IF(S917&lt;&gt;"",S917-H917+1,""))))</x:f>
      </x:c>
      <x:c r="X917" s="16"/>
      <x:c r="Y917" s="16"/>
      <x:c r="Z917" s="16"/>
      <x:c r="AA917" s="16"/>
      <x:c r="AB917" s="109"/>
      <x:c r="AC917" s="109"/>
      <x:c r="AD917" s="16"/>
      <x:c r="AE917" s="16"/>
      <x:c r="AF917" s="16"/>
    </x:row>
    <x:row r="918">
      <x:c r="H918" s="107"/>
      <x:c r="I918" s="107"/>
      <x:c r="O918" s="107"/>
      <x:c r="P918" s="107"/>
      <x:c r="S918" s="107"/>
      <x:c r="W918" s="18" t="str">
        <x:f>IF(A918="","",IF(H918="","",IF(I918&lt;&gt;"",I918-H918+1,IF(S918&lt;&gt;"",S918-H918+1,""))))</x:f>
      </x:c>
      <x:c r="X918" s="16"/>
      <x:c r="Y918" s="16"/>
      <x:c r="Z918" s="16"/>
      <x:c r="AA918" s="16"/>
      <x:c r="AB918" s="109"/>
      <x:c r="AC918" s="109"/>
      <x:c r="AD918" s="16"/>
      <x:c r="AE918" s="16"/>
      <x:c r="AF918" s="16"/>
    </x:row>
    <x:row r="919">
      <x:c r="H919" s="107"/>
      <x:c r="I919" s="107"/>
      <x:c r="O919" s="107"/>
      <x:c r="P919" s="107"/>
      <x:c r="S919" s="107"/>
      <x:c r="W919" s="18" t="str">
        <x:f>IF(A919="","",IF(H919="","",IF(I919&lt;&gt;"",I919-H919+1,IF(S919&lt;&gt;"",S919-H919+1,""))))</x:f>
      </x:c>
      <x:c r="X919" s="16"/>
      <x:c r="Y919" s="16"/>
      <x:c r="Z919" s="16"/>
      <x:c r="AA919" s="16"/>
      <x:c r="AB919" s="109"/>
      <x:c r="AC919" s="109"/>
      <x:c r="AD919" s="16"/>
      <x:c r="AE919" s="16"/>
      <x:c r="AF919" s="16"/>
    </x:row>
    <x:row r="920">
      <x:c r="H920" s="107"/>
      <x:c r="I920" s="107"/>
      <x:c r="O920" s="107"/>
      <x:c r="P920" s="107"/>
      <x:c r="S920" s="107"/>
      <x:c r="W920" s="18" t="str">
        <x:f>IF(A920="","",IF(H920="","",IF(I920&lt;&gt;"",I920-H920+1,IF(S920&lt;&gt;"",S920-H920+1,""))))</x:f>
      </x:c>
      <x:c r="X920" s="16"/>
      <x:c r="Y920" s="16"/>
      <x:c r="Z920" s="16"/>
      <x:c r="AA920" s="16"/>
      <x:c r="AB920" s="109"/>
      <x:c r="AC920" s="109"/>
      <x:c r="AD920" s="16"/>
      <x:c r="AE920" s="16"/>
      <x:c r="AF920" s="16"/>
    </x:row>
    <x:row r="921">
      <x:c r="H921" s="107"/>
      <x:c r="I921" s="107"/>
      <x:c r="O921" s="107"/>
      <x:c r="P921" s="107"/>
      <x:c r="S921" s="107"/>
      <x:c r="W921" s="18" t="str">
        <x:f>IF(A921="","",IF(H921="","",IF(I921&lt;&gt;"",I921-H921+1,IF(S921&lt;&gt;"",S921-H921+1,""))))</x:f>
      </x:c>
      <x:c r="X921" s="16"/>
      <x:c r="Y921" s="16"/>
      <x:c r="Z921" s="16"/>
      <x:c r="AA921" s="16"/>
      <x:c r="AB921" s="109"/>
      <x:c r="AC921" s="109"/>
      <x:c r="AD921" s="16"/>
      <x:c r="AE921" s="16"/>
      <x:c r="AF921" s="16"/>
    </x:row>
    <x:row r="922">
      <x:c r="H922" s="107"/>
      <x:c r="I922" s="107"/>
      <x:c r="O922" s="107"/>
      <x:c r="P922" s="107"/>
      <x:c r="S922" s="107"/>
      <x:c r="W922" s="18" t="str">
        <x:f>IF(A922="","",IF(H922="","",IF(I922&lt;&gt;"",I922-H922+1,IF(S922&lt;&gt;"",S922-H922+1,""))))</x:f>
      </x:c>
      <x:c r="X922" s="16"/>
      <x:c r="Y922" s="16"/>
      <x:c r="Z922" s="16"/>
      <x:c r="AA922" s="16"/>
      <x:c r="AB922" s="109"/>
      <x:c r="AC922" s="109"/>
      <x:c r="AD922" s="16"/>
      <x:c r="AE922" s="16"/>
      <x:c r="AF922" s="16"/>
    </x:row>
    <x:row r="923">
      <x:c r="H923" s="107"/>
      <x:c r="I923" s="107"/>
      <x:c r="O923" s="107"/>
      <x:c r="P923" s="107"/>
      <x:c r="S923" s="107"/>
      <x:c r="W923" s="18" t="str">
        <x:f>IF(A923="","",IF(H923="","",IF(I923&lt;&gt;"",I923-H923+1,IF(S923&lt;&gt;"",S923-H923+1,""))))</x:f>
      </x:c>
      <x:c r="X923" s="16"/>
      <x:c r="Y923" s="16"/>
      <x:c r="Z923" s="16"/>
      <x:c r="AA923" s="16"/>
      <x:c r="AB923" s="109"/>
      <x:c r="AC923" s="109"/>
      <x:c r="AD923" s="16"/>
      <x:c r="AE923" s="16"/>
      <x:c r="AF923" s="16"/>
    </x:row>
    <x:row r="924">
      <x:c r="H924" s="107"/>
      <x:c r="I924" s="107"/>
      <x:c r="O924" s="107"/>
      <x:c r="P924" s="107"/>
      <x:c r="S924" s="107"/>
      <x:c r="W924" s="18" t="str">
        <x:f>IF(A924="","",IF(H924="","",IF(I924&lt;&gt;"",I924-H924+1,IF(S924&lt;&gt;"",S924-H924+1,""))))</x:f>
      </x:c>
      <x:c r="X924" s="16"/>
      <x:c r="Y924" s="16"/>
      <x:c r="Z924" s="16"/>
      <x:c r="AA924" s="16"/>
      <x:c r="AB924" s="109"/>
      <x:c r="AC924" s="109"/>
      <x:c r="AD924" s="16"/>
      <x:c r="AE924" s="16"/>
      <x:c r="AF924" s="16"/>
    </x:row>
    <x:row r="925">
      <x:c r="H925" s="107"/>
      <x:c r="I925" s="107"/>
      <x:c r="O925" s="107"/>
      <x:c r="P925" s="107"/>
      <x:c r="S925" s="107"/>
      <x:c r="W925" s="18" t="str">
        <x:f>IF(A925="","",IF(H925="","",IF(I925&lt;&gt;"",I925-H925+1,IF(S925&lt;&gt;"",S925-H925+1,""))))</x:f>
      </x:c>
      <x:c r="X925" s="16"/>
      <x:c r="Y925" s="16"/>
      <x:c r="Z925" s="16"/>
      <x:c r="AA925" s="16"/>
      <x:c r="AB925" s="109"/>
      <x:c r="AC925" s="109"/>
      <x:c r="AD925" s="16"/>
      <x:c r="AE925" s="16"/>
      <x:c r="AF925" s="16"/>
    </x:row>
    <x:row r="926">
      <x:c r="H926" s="107"/>
      <x:c r="I926" s="107"/>
      <x:c r="O926" s="107"/>
      <x:c r="P926" s="107"/>
      <x:c r="S926" s="107"/>
      <x:c r="W926" s="18" t="str">
        <x:f>IF(A926="","",IF(H926="","",IF(I926&lt;&gt;"",I926-H926+1,IF(S926&lt;&gt;"",S926-H926+1,""))))</x:f>
      </x:c>
      <x:c r="X926" s="16"/>
      <x:c r="Y926" s="16"/>
      <x:c r="Z926" s="16"/>
      <x:c r="AA926" s="16"/>
      <x:c r="AB926" s="109"/>
      <x:c r="AC926" s="109"/>
      <x:c r="AD926" s="16"/>
      <x:c r="AE926" s="16"/>
      <x:c r="AF926" s="16"/>
    </x:row>
    <x:row r="927">
      <x:c r="H927" s="107"/>
      <x:c r="I927" s="107"/>
      <x:c r="O927" s="107"/>
      <x:c r="P927" s="107"/>
      <x:c r="S927" s="107"/>
      <x:c r="W927" s="18" t="str">
        <x:f>IF(A927="","",IF(H927="","",IF(I927&lt;&gt;"",I927-H927+1,IF(S927&lt;&gt;"",S927-H927+1,""))))</x:f>
      </x:c>
      <x:c r="X927" s="16"/>
      <x:c r="Y927" s="16"/>
      <x:c r="Z927" s="16"/>
      <x:c r="AA927" s="16"/>
      <x:c r="AB927" s="109"/>
      <x:c r="AC927" s="109"/>
      <x:c r="AD927" s="16"/>
      <x:c r="AE927" s="16"/>
      <x:c r="AF927" s="16"/>
    </x:row>
    <x:row r="928">
      <x:c r="H928" s="107"/>
      <x:c r="I928" s="107"/>
      <x:c r="O928" s="107"/>
      <x:c r="P928" s="107"/>
      <x:c r="S928" s="107"/>
      <x:c r="W928" s="18" t="str">
        <x:f>IF(A928="","",IF(H928="","",IF(I928&lt;&gt;"",I928-H928+1,IF(S928&lt;&gt;"",S928-H928+1,""))))</x:f>
      </x:c>
      <x:c r="X928" s="16"/>
      <x:c r="Y928" s="16"/>
      <x:c r="Z928" s="16"/>
      <x:c r="AA928" s="16"/>
      <x:c r="AB928" s="109"/>
      <x:c r="AC928" s="109"/>
      <x:c r="AD928" s="16"/>
      <x:c r="AE928" s="16"/>
      <x:c r="AF928" s="16"/>
    </x:row>
    <x:row r="929">
      <x:c r="H929" s="107"/>
      <x:c r="I929" s="107"/>
      <x:c r="O929" s="107"/>
      <x:c r="P929" s="107"/>
      <x:c r="S929" s="107"/>
      <x:c r="W929" s="18" t="str">
        <x:f>IF(A929="","",IF(H929="","",IF(I929&lt;&gt;"",I929-H929+1,IF(S929&lt;&gt;"",S929-H929+1,""))))</x:f>
      </x:c>
      <x:c r="X929" s="16"/>
      <x:c r="Y929" s="16"/>
      <x:c r="Z929" s="16"/>
      <x:c r="AA929" s="16"/>
      <x:c r="AB929" s="109"/>
      <x:c r="AC929" s="109"/>
      <x:c r="AD929" s="16"/>
      <x:c r="AE929" s="16"/>
      <x:c r="AF929" s="16"/>
    </x:row>
    <x:row r="930">
      <x:c r="H930" s="107"/>
      <x:c r="I930" s="107"/>
      <x:c r="O930" s="107"/>
      <x:c r="P930" s="107"/>
      <x:c r="S930" s="107"/>
      <x:c r="W930" s="18" t="str">
        <x:f>IF(A930="","",IF(H930="","",IF(I930&lt;&gt;"",I930-H930+1,IF(S930&lt;&gt;"",S930-H930+1,""))))</x:f>
      </x:c>
      <x:c r="X930" s="16"/>
      <x:c r="Y930" s="16"/>
      <x:c r="Z930" s="16"/>
      <x:c r="AA930" s="16"/>
      <x:c r="AB930" s="109"/>
      <x:c r="AC930" s="109"/>
      <x:c r="AD930" s="16"/>
      <x:c r="AE930" s="16"/>
      <x:c r="AF930" s="16"/>
    </x:row>
    <x:row r="931">
      <x:c r="H931" s="107"/>
      <x:c r="I931" s="107"/>
      <x:c r="O931" s="107"/>
      <x:c r="P931" s="107"/>
      <x:c r="S931" s="107"/>
      <x:c r="W931" s="18" t="str">
        <x:f>IF(A931="","",IF(H931="","",IF(I931&lt;&gt;"",I931-H931+1,IF(S931&lt;&gt;"",S931-H931+1,""))))</x:f>
      </x:c>
      <x:c r="X931" s="16"/>
      <x:c r="Y931" s="16"/>
      <x:c r="Z931" s="16"/>
      <x:c r="AA931" s="16"/>
      <x:c r="AB931" s="109"/>
      <x:c r="AC931" s="109"/>
      <x:c r="AD931" s="16"/>
      <x:c r="AE931" s="16"/>
      <x:c r="AF931" s="16"/>
    </x:row>
    <x:row r="932">
      <x:c r="H932" s="107"/>
      <x:c r="I932" s="107"/>
      <x:c r="O932" s="107"/>
      <x:c r="P932" s="107"/>
      <x:c r="S932" s="107"/>
      <x:c r="W932" s="18" t="str">
        <x:f>IF(A932="","",IF(H932="","",IF(I932&lt;&gt;"",I932-H932+1,IF(S932&lt;&gt;"",S932-H932+1,""))))</x:f>
      </x:c>
      <x:c r="X932" s="16"/>
      <x:c r="Y932" s="16"/>
      <x:c r="Z932" s="16"/>
      <x:c r="AA932" s="16"/>
      <x:c r="AB932" s="109"/>
      <x:c r="AC932" s="109"/>
      <x:c r="AD932" s="16"/>
      <x:c r="AE932" s="16"/>
      <x:c r="AF932" s="16"/>
    </x:row>
    <x:row r="933">
      <x:c r="H933" s="107"/>
      <x:c r="I933" s="107"/>
      <x:c r="O933" s="107"/>
      <x:c r="P933" s="107"/>
      <x:c r="S933" s="107"/>
      <x:c r="W933" s="18" t="str">
        <x:f>IF(A933="","",IF(H933="","",IF(I933&lt;&gt;"",I933-H933+1,IF(S933&lt;&gt;"",S933-H933+1,""))))</x:f>
      </x:c>
      <x:c r="X933" s="16"/>
      <x:c r="Y933" s="16"/>
      <x:c r="Z933" s="16"/>
      <x:c r="AA933" s="16"/>
      <x:c r="AB933" s="109"/>
      <x:c r="AC933" s="109"/>
      <x:c r="AD933" s="16"/>
      <x:c r="AE933" s="16"/>
      <x:c r="AF933" s="16"/>
    </x:row>
    <x:row r="934">
      <x:c r="H934" s="107"/>
      <x:c r="I934" s="107"/>
      <x:c r="O934" s="107"/>
      <x:c r="P934" s="107"/>
      <x:c r="S934" s="107"/>
      <x:c r="W934" s="18" t="str">
        <x:f>IF(A934="","",IF(H934="","",IF(I934&lt;&gt;"",I934-H934+1,IF(S934&lt;&gt;"",S934-H934+1,""))))</x:f>
      </x:c>
      <x:c r="X934" s="16"/>
      <x:c r="Y934" s="16"/>
      <x:c r="Z934" s="16"/>
      <x:c r="AA934" s="16"/>
      <x:c r="AB934" s="109"/>
      <x:c r="AC934" s="109"/>
      <x:c r="AD934" s="16"/>
      <x:c r="AE934" s="16"/>
      <x:c r="AF934" s="16"/>
    </x:row>
    <x:row r="935">
      <x:c r="H935" s="107"/>
      <x:c r="I935" s="107"/>
      <x:c r="O935" s="107"/>
      <x:c r="P935" s="107"/>
      <x:c r="S935" s="107"/>
      <x:c r="W935" s="18" t="str">
        <x:f>IF(A935="","",IF(H935="","",IF(I935&lt;&gt;"",I935-H935+1,IF(S935&lt;&gt;"",S935-H935+1,""))))</x:f>
      </x:c>
      <x:c r="X935" s="16"/>
      <x:c r="Y935" s="16"/>
      <x:c r="Z935" s="16"/>
      <x:c r="AA935" s="16"/>
      <x:c r="AB935" s="109"/>
      <x:c r="AC935" s="109"/>
      <x:c r="AD935" s="16"/>
      <x:c r="AE935" s="16"/>
      <x:c r="AF935" s="16"/>
    </x:row>
    <x:row r="936">
      <x:c r="H936" s="107"/>
      <x:c r="I936" s="107"/>
      <x:c r="O936" s="107"/>
      <x:c r="P936" s="107"/>
      <x:c r="S936" s="107"/>
      <x:c r="W936" s="18" t="str">
        <x:f>IF(A936="","",IF(H936="","",IF(I936&lt;&gt;"",I936-H936+1,IF(S936&lt;&gt;"",S936-H936+1,""))))</x:f>
      </x:c>
      <x:c r="X936" s="16"/>
      <x:c r="Y936" s="16"/>
      <x:c r="Z936" s="16"/>
      <x:c r="AA936" s="16"/>
      <x:c r="AB936" s="109"/>
      <x:c r="AC936" s="109"/>
      <x:c r="AD936" s="16"/>
      <x:c r="AE936" s="16"/>
      <x:c r="AF936" s="16"/>
    </x:row>
    <x:row r="937">
      <x:c r="H937" s="107"/>
      <x:c r="I937" s="107"/>
      <x:c r="O937" s="107"/>
      <x:c r="P937" s="107"/>
      <x:c r="S937" s="107"/>
      <x:c r="W937" s="18" t="str">
        <x:f>IF(A937="","",IF(H937="","",IF(I937&lt;&gt;"",I937-H937+1,IF(S937&lt;&gt;"",S937-H937+1,""))))</x:f>
      </x:c>
      <x:c r="X937" s="16"/>
      <x:c r="Y937" s="16"/>
      <x:c r="Z937" s="16"/>
      <x:c r="AA937" s="16"/>
      <x:c r="AB937" s="109"/>
      <x:c r="AC937" s="109"/>
      <x:c r="AD937" s="16"/>
      <x:c r="AE937" s="16"/>
      <x:c r="AF937" s="16"/>
    </x:row>
    <x:row r="938">
      <x:c r="H938" s="107"/>
      <x:c r="I938" s="107"/>
      <x:c r="O938" s="107"/>
      <x:c r="P938" s="107"/>
      <x:c r="S938" s="107"/>
      <x:c r="W938" s="18" t="str">
        <x:f>IF(A938="","",IF(H938="","",IF(I938&lt;&gt;"",I938-H938+1,IF(S938&lt;&gt;"",S938-H938+1,""))))</x:f>
      </x:c>
      <x:c r="X938" s="16"/>
      <x:c r="Y938" s="16"/>
      <x:c r="Z938" s="16"/>
      <x:c r="AA938" s="16"/>
      <x:c r="AB938" s="109"/>
      <x:c r="AC938" s="109"/>
      <x:c r="AD938" s="16"/>
      <x:c r="AE938" s="16"/>
      <x:c r="AF938" s="16"/>
    </x:row>
    <x:row r="939">
      <x:c r="H939" s="107"/>
      <x:c r="I939" s="107"/>
      <x:c r="O939" s="107"/>
      <x:c r="P939" s="107"/>
      <x:c r="S939" s="107"/>
      <x:c r="W939" s="18" t="str">
        <x:f>IF(A939="","",IF(H939="","",IF(I939&lt;&gt;"",I939-H939+1,IF(S939&lt;&gt;"",S939-H939+1,""))))</x:f>
      </x:c>
      <x:c r="X939" s="16"/>
      <x:c r="Y939" s="16"/>
      <x:c r="Z939" s="16"/>
      <x:c r="AA939" s="16"/>
      <x:c r="AB939" s="109"/>
      <x:c r="AC939" s="109"/>
      <x:c r="AD939" s="16"/>
      <x:c r="AE939" s="16"/>
      <x:c r="AF939" s="16"/>
    </x:row>
    <x:row r="940">
      <x:c r="H940" s="107"/>
      <x:c r="I940" s="107"/>
      <x:c r="O940" s="107"/>
      <x:c r="P940" s="107"/>
      <x:c r="S940" s="107"/>
      <x:c r="W940" s="18" t="str">
        <x:f>IF(A940="","",IF(H940="","",IF(I940&lt;&gt;"",I940-H940+1,IF(S940&lt;&gt;"",S940-H940+1,""))))</x:f>
      </x:c>
      <x:c r="X940" s="16"/>
      <x:c r="Y940" s="16"/>
      <x:c r="Z940" s="16"/>
      <x:c r="AA940" s="16"/>
      <x:c r="AB940" s="109"/>
      <x:c r="AC940" s="109"/>
      <x:c r="AD940" s="16"/>
      <x:c r="AE940" s="16"/>
      <x:c r="AF940" s="16"/>
    </x:row>
    <x:row r="941">
      <x:c r="H941" s="107"/>
      <x:c r="I941" s="107"/>
      <x:c r="O941" s="107"/>
      <x:c r="P941" s="107"/>
      <x:c r="S941" s="107"/>
      <x:c r="W941" s="18" t="str">
        <x:f>IF(A941="","",IF(H941="","",IF(I941&lt;&gt;"",I941-H941+1,IF(S941&lt;&gt;"",S941-H941+1,""))))</x:f>
      </x:c>
      <x:c r="X941" s="16"/>
      <x:c r="Y941" s="16"/>
      <x:c r="Z941" s="16"/>
      <x:c r="AA941" s="16"/>
      <x:c r="AB941" s="109"/>
      <x:c r="AC941" s="109"/>
      <x:c r="AD941" s="16"/>
      <x:c r="AE941" s="16"/>
      <x:c r="AF941" s="16"/>
    </x:row>
    <x:row r="942">
      <x:c r="H942" s="107"/>
      <x:c r="I942" s="107"/>
      <x:c r="O942" s="107"/>
      <x:c r="P942" s="107"/>
      <x:c r="S942" s="107"/>
      <x:c r="W942" s="18" t="str">
        <x:f>IF(A942="","",IF(H942="","",IF(I942&lt;&gt;"",I942-H942+1,IF(S942&lt;&gt;"",S942-H942+1,""))))</x:f>
      </x:c>
      <x:c r="X942" s="16"/>
      <x:c r="Y942" s="16"/>
      <x:c r="Z942" s="16"/>
      <x:c r="AA942" s="16"/>
      <x:c r="AB942" s="109"/>
      <x:c r="AC942" s="109"/>
      <x:c r="AD942" s="16"/>
      <x:c r="AE942" s="16"/>
      <x:c r="AF942" s="16"/>
    </x:row>
    <x:row r="943">
      <x:c r="H943" s="107"/>
      <x:c r="I943" s="107"/>
      <x:c r="O943" s="107"/>
      <x:c r="P943" s="107"/>
      <x:c r="S943" s="107"/>
      <x:c r="W943" s="18" t="str">
        <x:f>IF(A943="","",IF(H943="","",IF(I943&lt;&gt;"",I943-H943+1,IF(S943&lt;&gt;"",S943-H943+1,""))))</x:f>
      </x:c>
      <x:c r="X943" s="16"/>
      <x:c r="Y943" s="16"/>
      <x:c r="Z943" s="16"/>
      <x:c r="AA943" s="16"/>
      <x:c r="AB943" s="109"/>
      <x:c r="AC943" s="109"/>
      <x:c r="AD943" s="16"/>
      <x:c r="AE943" s="16"/>
      <x:c r="AF943" s="16"/>
    </x:row>
    <x:row r="944">
      <x:c r="H944" s="107"/>
      <x:c r="I944" s="107"/>
      <x:c r="O944" s="107"/>
      <x:c r="P944" s="107"/>
      <x:c r="S944" s="107"/>
      <x:c r="W944" s="18" t="str">
        <x:f>IF(A944="","",IF(H944="","",IF(I944&lt;&gt;"",I944-H944+1,IF(S944&lt;&gt;"",S944-H944+1,""))))</x:f>
      </x:c>
      <x:c r="X944" s="16"/>
      <x:c r="Y944" s="16"/>
      <x:c r="Z944" s="16"/>
      <x:c r="AA944" s="16"/>
      <x:c r="AB944" s="109"/>
      <x:c r="AC944" s="109"/>
      <x:c r="AD944" s="16"/>
      <x:c r="AE944" s="16"/>
      <x:c r="AF944" s="16"/>
    </x:row>
    <x:row r="945">
      <x:c r="H945" s="107"/>
      <x:c r="I945" s="107"/>
      <x:c r="O945" s="107"/>
      <x:c r="P945" s="107"/>
      <x:c r="S945" s="107"/>
      <x:c r="W945" s="18" t="str">
        <x:f>IF(A945="","",IF(H945="","",IF(I945&lt;&gt;"",I945-H945+1,IF(S945&lt;&gt;"",S945-H945+1,""))))</x:f>
      </x:c>
      <x:c r="X945" s="16"/>
      <x:c r="Y945" s="16"/>
      <x:c r="Z945" s="16"/>
      <x:c r="AA945" s="16"/>
      <x:c r="AB945" s="109"/>
      <x:c r="AC945" s="109"/>
      <x:c r="AD945" s="16"/>
      <x:c r="AE945" s="16"/>
      <x:c r="AF945" s="16"/>
    </x:row>
    <x:row r="946">
      <x:c r="H946" s="107"/>
      <x:c r="I946" s="107"/>
      <x:c r="O946" s="107"/>
      <x:c r="P946" s="107"/>
      <x:c r="S946" s="107"/>
      <x:c r="W946" s="18" t="str">
        <x:f>IF(A946="","",IF(H946="","",IF(I946&lt;&gt;"",I946-H946+1,IF(S946&lt;&gt;"",S946-H946+1,""))))</x:f>
      </x:c>
      <x:c r="X946" s="16"/>
      <x:c r="Y946" s="16"/>
      <x:c r="Z946" s="16"/>
      <x:c r="AA946" s="16"/>
      <x:c r="AB946" s="109"/>
      <x:c r="AC946" s="109"/>
      <x:c r="AD946" s="16"/>
      <x:c r="AE946" s="16"/>
      <x:c r="AF946" s="16"/>
    </x:row>
    <x:row r="947">
      <x:c r="H947" s="107"/>
      <x:c r="I947" s="107"/>
      <x:c r="O947" s="107"/>
      <x:c r="P947" s="107"/>
      <x:c r="S947" s="107"/>
      <x:c r="W947" s="18" t="str">
        <x:f>IF(A947="","",IF(H947="","",IF(I947&lt;&gt;"",I947-H947+1,IF(S947&lt;&gt;"",S947-H947+1,""))))</x:f>
      </x:c>
      <x:c r="X947" s="16"/>
      <x:c r="Y947" s="16"/>
      <x:c r="Z947" s="16"/>
      <x:c r="AA947" s="16"/>
      <x:c r="AB947" s="109"/>
      <x:c r="AC947" s="109"/>
      <x:c r="AD947" s="16"/>
      <x:c r="AE947" s="16"/>
      <x:c r="AF947" s="16"/>
    </x:row>
    <x:row r="948">
      <x:c r="H948" s="107"/>
      <x:c r="I948" s="107"/>
      <x:c r="O948" s="107"/>
      <x:c r="P948" s="107"/>
      <x:c r="S948" s="107"/>
      <x:c r="W948" s="18" t="str">
        <x:f>IF(A948="","",IF(H948="","",IF(I948&lt;&gt;"",I948-H948+1,IF(S948&lt;&gt;"",S948-H948+1,""))))</x:f>
      </x:c>
      <x:c r="X948" s="16"/>
      <x:c r="Y948" s="16"/>
      <x:c r="Z948" s="16"/>
      <x:c r="AA948" s="16"/>
      <x:c r="AB948" s="109"/>
      <x:c r="AC948" s="109"/>
      <x:c r="AD948" s="16"/>
      <x:c r="AE948" s="16"/>
      <x:c r="AF948" s="16"/>
    </x:row>
    <x:row r="949">
      <x:c r="H949" s="107"/>
      <x:c r="I949" s="107"/>
      <x:c r="O949" s="107"/>
      <x:c r="P949" s="107"/>
      <x:c r="S949" s="107"/>
      <x:c r="W949" s="18" t="str">
        <x:f>IF(A949="","",IF(H949="","",IF(I949&lt;&gt;"",I949-H949+1,IF(S949&lt;&gt;"",S949-H949+1,""))))</x:f>
      </x:c>
      <x:c r="X949" s="16"/>
      <x:c r="Y949" s="16"/>
      <x:c r="Z949" s="16"/>
      <x:c r="AA949" s="16"/>
      <x:c r="AB949" s="109"/>
      <x:c r="AC949" s="109"/>
      <x:c r="AD949" s="16"/>
      <x:c r="AE949" s="16"/>
      <x:c r="AF949" s="16"/>
    </x:row>
    <x:row r="950">
      <x:c r="H950" s="107"/>
      <x:c r="I950" s="107"/>
      <x:c r="O950" s="107"/>
      <x:c r="P950" s="107"/>
      <x:c r="S950" s="107"/>
      <x:c r="W950" s="18" t="str">
        <x:f>IF(A950="","",IF(H950="","",IF(I950&lt;&gt;"",I950-H950+1,IF(S950&lt;&gt;"",S950-H950+1,""))))</x:f>
      </x:c>
      <x:c r="X950" s="16"/>
      <x:c r="Y950" s="16"/>
      <x:c r="Z950" s="16"/>
      <x:c r="AA950" s="16"/>
      <x:c r="AB950" s="109"/>
      <x:c r="AC950" s="109"/>
      <x:c r="AD950" s="16"/>
      <x:c r="AE950" s="16"/>
      <x:c r="AF950" s="16"/>
    </x:row>
    <x:row r="951">
      <x:c r="H951" s="107"/>
      <x:c r="I951" s="107"/>
      <x:c r="O951" s="107"/>
      <x:c r="P951" s="107"/>
      <x:c r="S951" s="107"/>
      <x:c r="W951" s="18" t="str">
        <x:f>IF(A951="","",IF(H951="","",IF(I951&lt;&gt;"",I951-H951+1,IF(S951&lt;&gt;"",S951-H951+1,""))))</x:f>
      </x:c>
      <x:c r="X951" s="16"/>
      <x:c r="Y951" s="16"/>
      <x:c r="Z951" s="16"/>
      <x:c r="AA951" s="16"/>
      <x:c r="AB951" s="109"/>
      <x:c r="AC951" s="109"/>
      <x:c r="AD951" s="16"/>
      <x:c r="AE951" s="16"/>
      <x:c r="AF951" s="16"/>
    </x:row>
    <x:row r="952">
      <x:c r="H952" s="107"/>
      <x:c r="I952" s="107"/>
      <x:c r="O952" s="107"/>
      <x:c r="P952" s="107"/>
      <x:c r="S952" s="107"/>
      <x:c r="W952" s="18" t="str">
        <x:f>IF(A952="","",IF(H952="","",IF(I952&lt;&gt;"",I952-H952+1,IF(S952&lt;&gt;"",S952-H952+1,""))))</x:f>
      </x:c>
      <x:c r="X952" s="16"/>
      <x:c r="Y952" s="16"/>
      <x:c r="Z952" s="16"/>
      <x:c r="AA952" s="16"/>
      <x:c r="AB952" s="109"/>
      <x:c r="AC952" s="109"/>
      <x:c r="AD952" s="16"/>
      <x:c r="AE952" s="16"/>
      <x:c r="AF952" s="16"/>
    </x:row>
    <x:row r="953">
      <x:c r="H953" s="107"/>
      <x:c r="I953" s="107"/>
      <x:c r="O953" s="107"/>
      <x:c r="P953" s="107"/>
      <x:c r="S953" s="107"/>
      <x:c r="W953" s="18" t="str">
        <x:f>IF(A953="","",IF(H953="","",IF(I953&lt;&gt;"",I953-H953+1,IF(S953&lt;&gt;"",S953-H953+1,""))))</x:f>
      </x:c>
      <x:c r="X953" s="16"/>
      <x:c r="Y953" s="16"/>
      <x:c r="Z953" s="16"/>
      <x:c r="AA953" s="16"/>
      <x:c r="AB953" s="109"/>
      <x:c r="AC953" s="109"/>
      <x:c r="AD953" s="16"/>
      <x:c r="AE953" s="16"/>
      <x:c r="AF953" s="16"/>
    </x:row>
    <x:row r="954">
      <x:c r="H954" s="107"/>
      <x:c r="I954" s="107"/>
      <x:c r="O954" s="107"/>
      <x:c r="P954" s="107"/>
      <x:c r="S954" s="107"/>
      <x:c r="W954" s="18" t="str">
        <x:f>IF(A954="","",IF(H954="","",IF(I954&lt;&gt;"",I954-H954+1,IF(S954&lt;&gt;"",S954-H954+1,""))))</x:f>
      </x:c>
      <x:c r="X954" s="16"/>
      <x:c r="Y954" s="16"/>
      <x:c r="Z954" s="16"/>
      <x:c r="AA954" s="16"/>
      <x:c r="AB954" s="109"/>
      <x:c r="AC954" s="109"/>
      <x:c r="AD954" s="16"/>
      <x:c r="AE954" s="16"/>
      <x:c r="AF954" s="16"/>
    </x:row>
    <x:row r="955">
      <x:c r="H955" s="107"/>
      <x:c r="I955" s="107"/>
      <x:c r="O955" s="107"/>
      <x:c r="P955" s="107"/>
      <x:c r="S955" s="107"/>
      <x:c r="W955" s="18" t="str">
        <x:f>IF(A955="","",IF(H955="","",IF(I955&lt;&gt;"",I955-H955+1,IF(S955&lt;&gt;"",S955-H955+1,""))))</x:f>
      </x:c>
      <x:c r="X955" s="16"/>
      <x:c r="Y955" s="16"/>
      <x:c r="Z955" s="16"/>
      <x:c r="AA955" s="16"/>
      <x:c r="AB955" s="109"/>
      <x:c r="AC955" s="109"/>
      <x:c r="AD955" s="16"/>
      <x:c r="AE955" s="16"/>
      <x:c r="AF955" s="16"/>
    </x:row>
    <x:row r="956">
      <x:c r="H956" s="107"/>
      <x:c r="I956" s="107"/>
      <x:c r="O956" s="107"/>
      <x:c r="P956" s="107"/>
      <x:c r="S956" s="107"/>
      <x:c r="W956" s="18" t="str">
        <x:f>IF(A956="","",IF(H956="","",IF(I956&lt;&gt;"",I956-H956+1,IF(S956&lt;&gt;"",S956-H956+1,""))))</x:f>
      </x:c>
      <x:c r="X956" s="16"/>
      <x:c r="Y956" s="16"/>
      <x:c r="Z956" s="16"/>
      <x:c r="AA956" s="16"/>
      <x:c r="AB956" s="109"/>
      <x:c r="AC956" s="109"/>
      <x:c r="AD956" s="16"/>
      <x:c r="AE956" s="16"/>
      <x:c r="AF956" s="16"/>
    </x:row>
    <x:row r="957">
      <x:c r="H957" s="107"/>
      <x:c r="I957" s="107"/>
      <x:c r="O957" s="107"/>
      <x:c r="P957" s="107"/>
      <x:c r="S957" s="107"/>
      <x:c r="W957" s="18" t="str">
        <x:f>IF(A957="","",IF(H957="","",IF(I957&lt;&gt;"",I957-H957+1,IF(S957&lt;&gt;"",S957-H957+1,""))))</x:f>
      </x:c>
      <x:c r="X957" s="16"/>
      <x:c r="Y957" s="16"/>
      <x:c r="Z957" s="16"/>
      <x:c r="AA957" s="16"/>
      <x:c r="AB957" s="109"/>
      <x:c r="AC957" s="109"/>
      <x:c r="AD957" s="16"/>
      <x:c r="AE957" s="16"/>
      <x:c r="AF957" s="16"/>
    </x:row>
    <x:row r="958">
      <x:c r="H958" s="107"/>
      <x:c r="I958" s="107"/>
      <x:c r="O958" s="107"/>
      <x:c r="P958" s="107"/>
      <x:c r="S958" s="107"/>
      <x:c r="W958" s="18" t="str">
        <x:f>IF(A958="","",IF(H958="","",IF(I958&lt;&gt;"",I958-H958+1,IF(S958&lt;&gt;"",S958-H958+1,""))))</x:f>
      </x:c>
      <x:c r="X958" s="16"/>
      <x:c r="Y958" s="16"/>
      <x:c r="Z958" s="16"/>
      <x:c r="AA958" s="16"/>
      <x:c r="AB958" s="109"/>
      <x:c r="AC958" s="109"/>
      <x:c r="AD958" s="16"/>
      <x:c r="AE958" s="16"/>
      <x:c r="AF958" s="16"/>
    </x:row>
    <x:row r="959">
      <x:c r="H959" s="107"/>
      <x:c r="I959" s="107"/>
      <x:c r="O959" s="107"/>
      <x:c r="P959" s="107"/>
      <x:c r="S959" s="107"/>
      <x:c r="W959" s="18" t="str">
        <x:f>IF(A959="","",IF(H959="","",IF(I959&lt;&gt;"",I959-H959+1,IF(S959&lt;&gt;"",S959-H959+1,""))))</x:f>
      </x:c>
      <x:c r="X959" s="16"/>
      <x:c r="Y959" s="16"/>
      <x:c r="Z959" s="16"/>
      <x:c r="AA959" s="16"/>
      <x:c r="AB959" s="109"/>
      <x:c r="AC959" s="109"/>
      <x:c r="AD959" s="16"/>
      <x:c r="AE959" s="16"/>
      <x:c r="AF959" s="16"/>
    </x:row>
    <x:row r="960">
      <x:c r="H960" s="107"/>
      <x:c r="I960" s="107"/>
      <x:c r="O960" s="107"/>
      <x:c r="P960" s="107"/>
      <x:c r="S960" s="107"/>
      <x:c r="W960" s="18" t="str">
        <x:f>IF(A960="","",IF(H960="","",IF(I960&lt;&gt;"",I960-H960+1,IF(S960&lt;&gt;"",S960-H960+1,""))))</x:f>
      </x:c>
      <x:c r="X960" s="16"/>
      <x:c r="Y960" s="16"/>
      <x:c r="Z960" s="16"/>
      <x:c r="AA960" s="16"/>
      <x:c r="AB960" s="109"/>
      <x:c r="AC960" s="109"/>
      <x:c r="AD960" s="16"/>
      <x:c r="AE960" s="16"/>
      <x:c r="AF960" s="16"/>
    </x:row>
    <x:row r="961">
      <x:c r="H961" s="107"/>
      <x:c r="I961" s="107"/>
      <x:c r="O961" s="107"/>
      <x:c r="P961" s="107"/>
      <x:c r="S961" s="107"/>
      <x:c r="W961" s="18" t="str">
        <x:f>IF(A961="","",IF(H961="","",IF(I961&lt;&gt;"",I961-H961+1,IF(S961&lt;&gt;"",S961-H961+1,""))))</x:f>
      </x:c>
      <x:c r="X961" s="16"/>
      <x:c r="Y961" s="16"/>
      <x:c r="Z961" s="16"/>
      <x:c r="AA961" s="16"/>
      <x:c r="AB961" s="109"/>
      <x:c r="AC961" s="109"/>
      <x:c r="AD961" s="16"/>
      <x:c r="AE961" s="16"/>
      <x:c r="AF961" s="16"/>
    </x:row>
    <x:row r="962">
      <x:c r="H962" s="107"/>
      <x:c r="I962" s="107"/>
      <x:c r="O962" s="107"/>
      <x:c r="P962" s="107"/>
      <x:c r="S962" s="107"/>
      <x:c r="W962" s="18" t="str">
        <x:f>IF(A962="","",IF(H962="","",IF(I962&lt;&gt;"",I962-H962+1,IF(S962&lt;&gt;"",S962-H962+1,""))))</x:f>
      </x:c>
      <x:c r="X962" s="16"/>
      <x:c r="Y962" s="16"/>
      <x:c r="Z962" s="16"/>
      <x:c r="AA962" s="16"/>
      <x:c r="AB962" s="109"/>
      <x:c r="AC962" s="109"/>
      <x:c r="AD962" s="16"/>
      <x:c r="AE962" s="16"/>
      <x:c r="AF962" s="16"/>
    </x:row>
    <x:row r="963">
      <x:c r="H963" s="107"/>
      <x:c r="I963" s="107"/>
      <x:c r="O963" s="107"/>
      <x:c r="P963" s="107"/>
      <x:c r="S963" s="107"/>
      <x:c r="W963" s="18" t="str">
        <x:f>IF(A963="","",IF(H963="","",IF(I963&lt;&gt;"",I963-H963+1,IF(S963&lt;&gt;"",S963-H963+1,""))))</x:f>
      </x:c>
      <x:c r="X963" s="16"/>
      <x:c r="Y963" s="16"/>
      <x:c r="Z963" s="16"/>
      <x:c r="AA963" s="16"/>
      <x:c r="AB963" s="109"/>
      <x:c r="AC963" s="109"/>
      <x:c r="AD963" s="16"/>
      <x:c r="AE963" s="16"/>
      <x:c r="AF963" s="16"/>
    </x:row>
    <x:row r="964">
      <x:c r="H964" s="107"/>
      <x:c r="I964" s="107"/>
      <x:c r="O964" s="107"/>
      <x:c r="P964" s="107"/>
      <x:c r="S964" s="107"/>
      <x:c r="W964" s="18" t="str">
        <x:f>IF(A964="","",IF(H964="","",IF(I964&lt;&gt;"",I964-H964+1,IF(S964&lt;&gt;"",S964-H964+1,""))))</x:f>
      </x:c>
      <x:c r="X964" s="16"/>
      <x:c r="Y964" s="16"/>
      <x:c r="Z964" s="16"/>
      <x:c r="AA964" s="16"/>
      <x:c r="AB964" s="109"/>
      <x:c r="AC964" s="109"/>
      <x:c r="AD964" s="16"/>
      <x:c r="AE964" s="16"/>
      <x:c r="AF964" s="16"/>
    </x:row>
    <x:row r="965">
      <x:c r="H965" s="107"/>
      <x:c r="I965" s="107"/>
      <x:c r="O965" s="107"/>
      <x:c r="P965" s="107"/>
      <x:c r="S965" s="107"/>
      <x:c r="W965" s="18" t="str">
        <x:f>IF(A965="","",IF(H965="","",IF(I965&lt;&gt;"",I965-H965+1,IF(S965&lt;&gt;"",S965-H965+1,""))))</x:f>
      </x:c>
      <x:c r="X965" s="16"/>
      <x:c r="Y965" s="16"/>
      <x:c r="Z965" s="16"/>
      <x:c r="AA965" s="16"/>
      <x:c r="AB965" s="109"/>
      <x:c r="AC965" s="109"/>
      <x:c r="AD965" s="16"/>
      <x:c r="AE965" s="16"/>
      <x:c r="AF965" s="16"/>
    </x:row>
    <x:row r="966">
      <x:c r="H966" s="107"/>
      <x:c r="I966" s="107"/>
      <x:c r="O966" s="107"/>
      <x:c r="P966" s="107"/>
      <x:c r="S966" s="107"/>
      <x:c r="W966" s="18" t="str">
        <x:f>IF(A966="","",IF(H966="","",IF(I966&lt;&gt;"",I966-H966+1,IF(S966&lt;&gt;"",S966-H966+1,""))))</x:f>
      </x:c>
      <x:c r="X966" s="16"/>
      <x:c r="Y966" s="16"/>
      <x:c r="Z966" s="16"/>
      <x:c r="AA966" s="16"/>
      <x:c r="AB966" s="109"/>
      <x:c r="AC966" s="109"/>
      <x:c r="AD966" s="16"/>
      <x:c r="AE966" s="16"/>
      <x:c r="AF966" s="16"/>
    </x:row>
    <x:row r="967">
      <x:c r="H967" s="107"/>
      <x:c r="I967" s="107"/>
      <x:c r="O967" s="107"/>
      <x:c r="P967" s="107"/>
      <x:c r="S967" s="107"/>
      <x:c r="W967" s="18" t="str">
        <x:f>IF(A967="","",IF(H967="","",IF(I967&lt;&gt;"",I967-H967+1,IF(S967&lt;&gt;"",S967-H967+1,""))))</x:f>
      </x:c>
      <x:c r="X967" s="16"/>
      <x:c r="Y967" s="16"/>
      <x:c r="Z967" s="16"/>
      <x:c r="AA967" s="16"/>
      <x:c r="AB967" s="109"/>
      <x:c r="AC967" s="109"/>
      <x:c r="AD967" s="16"/>
      <x:c r="AE967" s="16"/>
      <x:c r="AF967" s="16"/>
    </x:row>
    <x:row r="968">
      <x:c r="H968" s="107"/>
      <x:c r="I968" s="107"/>
      <x:c r="O968" s="107"/>
      <x:c r="P968" s="107"/>
      <x:c r="S968" s="107"/>
      <x:c r="W968" s="18" t="str">
        <x:f>IF(A968="","",IF(H968="","",IF(I968&lt;&gt;"",I968-H968+1,IF(S968&lt;&gt;"",S968-H968+1,""))))</x:f>
      </x:c>
      <x:c r="X968" s="16"/>
      <x:c r="Y968" s="16"/>
      <x:c r="Z968" s="16"/>
      <x:c r="AA968" s="16"/>
      <x:c r="AB968" s="109"/>
      <x:c r="AC968" s="109"/>
      <x:c r="AD968" s="16"/>
      <x:c r="AE968" s="16"/>
      <x:c r="AF968" s="16"/>
    </x:row>
    <x:row r="969">
      <x:c r="H969" s="107"/>
      <x:c r="I969" s="107"/>
      <x:c r="O969" s="107"/>
      <x:c r="P969" s="107"/>
      <x:c r="S969" s="107"/>
      <x:c r="W969" s="18" t="str">
        <x:f>IF(A969="","",IF(H969="","",IF(I969&lt;&gt;"",I969-H969+1,IF(S969&lt;&gt;"",S969-H969+1,""))))</x:f>
      </x:c>
      <x:c r="X969" s="16"/>
      <x:c r="Y969" s="16"/>
      <x:c r="Z969" s="16"/>
      <x:c r="AA969" s="16"/>
      <x:c r="AB969" s="109"/>
      <x:c r="AC969" s="109"/>
      <x:c r="AD969" s="16"/>
      <x:c r="AE969" s="16"/>
      <x:c r="AF969" s="16"/>
    </x:row>
    <x:row r="970">
      <x:c r="H970" s="107"/>
      <x:c r="I970" s="107"/>
      <x:c r="O970" s="107"/>
      <x:c r="P970" s="107"/>
      <x:c r="S970" s="107"/>
      <x:c r="W970" s="18" t="str">
        <x:f>IF(A970="","",IF(H970="","",IF(I970&lt;&gt;"",I970-H970+1,IF(S970&lt;&gt;"",S970-H970+1,""))))</x:f>
      </x:c>
      <x:c r="X970" s="16"/>
      <x:c r="Y970" s="16"/>
      <x:c r="Z970" s="16"/>
      <x:c r="AA970" s="16"/>
      <x:c r="AB970" s="109"/>
      <x:c r="AC970" s="109"/>
      <x:c r="AD970" s="16"/>
      <x:c r="AE970" s="16"/>
      <x:c r="AF970" s="16"/>
    </x:row>
    <x:row r="971">
      <x:c r="H971" s="107"/>
      <x:c r="I971" s="107"/>
      <x:c r="O971" s="107"/>
      <x:c r="P971" s="107"/>
      <x:c r="S971" s="107"/>
      <x:c r="W971" s="18" t="str">
        <x:f>IF(A971="","",IF(H971="","",IF(I971&lt;&gt;"",I971-H971+1,IF(S971&lt;&gt;"",S971-H971+1,""))))</x:f>
      </x:c>
      <x:c r="X971" s="16"/>
      <x:c r="Y971" s="16"/>
      <x:c r="Z971" s="16"/>
      <x:c r="AA971" s="16"/>
      <x:c r="AB971" s="109"/>
      <x:c r="AC971" s="109"/>
      <x:c r="AD971" s="16"/>
      <x:c r="AE971" s="16"/>
      <x:c r="AF971" s="16"/>
    </x:row>
    <x:row r="972">
      <x:c r="H972" s="107"/>
      <x:c r="I972" s="107"/>
      <x:c r="O972" s="107"/>
      <x:c r="P972" s="107"/>
      <x:c r="S972" s="107"/>
      <x:c r="W972" s="18" t="str">
        <x:f>IF(A972="","",IF(H972="","",IF(I972&lt;&gt;"",I972-H972+1,IF(S972&lt;&gt;"",S972-H972+1,""))))</x:f>
      </x:c>
      <x:c r="X972" s="16"/>
      <x:c r="Y972" s="16"/>
      <x:c r="Z972" s="16"/>
      <x:c r="AA972" s="16"/>
      <x:c r="AB972" s="109"/>
      <x:c r="AC972" s="109"/>
      <x:c r="AD972" s="16"/>
      <x:c r="AE972" s="16"/>
      <x:c r="AF972" s="16"/>
    </x:row>
    <x:row r="973">
      <x:c r="H973" s="107"/>
      <x:c r="I973" s="107"/>
      <x:c r="O973" s="107"/>
      <x:c r="P973" s="107"/>
      <x:c r="S973" s="107"/>
      <x:c r="W973" s="18" t="str">
        <x:f>IF(A973="","",IF(H973="","",IF(I973&lt;&gt;"",I973-H973+1,IF(S973&lt;&gt;"",S973-H973+1,""))))</x:f>
      </x:c>
      <x:c r="X973" s="16"/>
      <x:c r="Y973" s="16"/>
      <x:c r="Z973" s="16"/>
      <x:c r="AA973" s="16"/>
      <x:c r="AB973" s="109"/>
      <x:c r="AC973" s="109"/>
      <x:c r="AD973" s="16"/>
      <x:c r="AE973" s="16"/>
      <x:c r="AF973" s="16"/>
    </x:row>
    <x:row r="974">
      <x:c r="H974" s="107"/>
      <x:c r="I974" s="107"/>
      <x:c r="O974" s="107"/>
      <x:c r="P974" s="107"/>
      <x:c r="S974" s="107"/>
      <x:c r="W974" s="18" t="str">
        <x:f>IF(A974="","",IF(H974="","",IF(I974&lt;&gt;"",I974-H974+1,IF(S974&lt;&gt;"",S974-H974+1,""))))</x:f>
      </x:c>
      <x:c r="X974" s="16"/>
      <x:c r="Y974" s="16"/>
      <x:c r="Z974" s="16"/>
      <x:c r="AA974" s="16"/>
      <x:c r="AB974" s="109"/>
      <x:c r="AC974" s="109"/>
      <x:c r="AD974" s="16"/>
      <x:c r="AE974" s="16"/>
      <x:c r="AF974" s="16"/>
    </x:row>
    <x:row r="975">
      <x:c r="H975" s="107"/>
      <x:c r="I975" s="107"/>
      <x:c r="O975" s="107"/>
      <x:c r="P975" s="107"/>
      <x:c r="S975" s="107"/>
      <x:c r="W975" s="18" t="str">
        <x:f>IF(A975="","",IF(H975="","",IF(I975&lt;&gt;"",I975-H975+1,IF(S975&lt;&gt;"",S975-H975+1,""))))</x:f>
      </x:c>
      <x:c r="X975" s="16"/>
      <x:c r="Y975" s="16"/>
      <x:c r="Z975" s="16"/>
      <x:c r="AA975" s="16"/>
      <x:c r="AB975" s="109"/>
      <x:c r="AC975" s="109"/>
      <x:c r="AD975" s="16"/>
      <x:c r="AE975" s="16"/>
      <x:c r="AF975" s="16"/>
    </x:row>
    <x:row r="976">
      <x:c r="H976" s="107"/>
      <x:c r="I976" s="107"/>
      <x:c r="O976" s="107"/>
      <x:c r="P976" s="107"/>
      <x:c r="S976" s="107"/>
      <x:c r="W976" s="18" t="str">
        <x:f>IF(A976="","",IF(H976="","",IF(I976&lt;&gt;"",I976-H976+1,IF(S976&lt;&gt;"",S976-H976+1,""))))</x:f>
      </x:c>
      <x:c r="X976" s="16"/>
      <x:c r="Y976" s="16"/>
      <x:c r="Z976" s="16"/>
      <x:c r="AA976" s="16"/>
      <x:c r="AB976" s="109"/>
      <x:c r="AC976" s="109"/>
      <x:c r="AD976" s="16"/>
      <x:c r="AE976" s="16"/>
      <x:c r="AF976" s="16"/>
    </x:row>
    <x:row r="977">
      <x:c r="H977" s="107"/>
      <x:c r="I977" s="107"/>
      <x:c r="O977" s="107"/>
      <x:c r="P977" s="107"/>
      <x:c r="S977" s="107"/>
      <x:c r="W977" s="18" t="str">
        <x:f>IF(A977="","",IF(H977="","",IF(I977&lt;&gt;"",I977-H977+1,IF(S977&lt;&gt;"",S977-H977+1,""))))</x:f>
      </x:c>
      <x:c r="X977" s="16"/>
      <x:c r="Y977" s="16"/>
      <x:c r="Z977" s="16"/>
      <x:c r="AA977" s="16"/>
      <x:c r="AB977" s="109"/>
      <x:c r="AC977" s="109"/>
      <x:c r="AD977" s="16"/>
      <x:c r="AE977" s="16"/>
      <x:c r="AF977" s="16"/>
    </x:row>
    <x:row r="978">
      <x:c r="H978" s="107"/>
      <x:c r="I978" s="107"/>
      <x:c r="O978" s="107"/>
      <x:c r="P978" s="107"/>
      <x:c r="S978" s="107"/>
      <x:c r="W978" s="18" t="str">
        <x:f>IF(A978="","",IF(H978="","",IF(I978&lt;&gt;"",I978-H978+1,IF(S978&lt;&gt;"",S978-H978+1,""))))</x:f>
      </x:c>
      <x:c r="X978" s="16"/>
      <x:c r="Y978" s="16"/>
      <x:c r="Z978" s="16"/>
      <x:c r="AA978" s="16"/>
      <x:c r="AB978" s="109"/>
      <x:c r="AC978" s="109"/>
      <x:c r="AD978" s="16"/>
      <x:c r="AE978" s="16"/>
      <x:c r="AF978" s="16"/>
    </x:row>
    <x:row r="979">
      <x:c r="H979" s="107"/>
      <x:c r="I979" s="107"/>
      <x:c r="O979" s="107"/>
      <x:c r="P979" s="107"/>
      <x:c r="S979" s="107"/>
      <x:c r="W979" s="18" t="str">
        <x:f>IF(A979="","",IF(H979="","",IF(I979&lt;&gt;"",I979-H979+1,IF(S979&lt;&gt;"",S979-H979+1,""))))</x:f>
      </x:c>
      <x:c r="X979" s="16"/>
      <x:c r="Y979" s="16"/>
      <x:c r="Z979" s="16"/>
      <x:c r="AA979" s="16"/>
      <x:c r="AB979" s="109"/>
      <x:c r="AC979" s="109"/>
      <x:c r="AD979" s="16"/>
      <x:c r="AE979" s="16"/>
      <x:c r="AF979" s="16"/>
    </x:row>
    <x:row r="980">
      <x:c r="H980" s="107"/>
      <x:c r="I980" s="107"/>
      <x:c r="O980" s="107"/>
      <x:c r="P980" s="107"/>
      <x:c r="S980" s="107"/>
      <x:c r="W980" s="18" t="str">
        <x:f>IF(A980="","",IF(H980="","",IF(I980&lt;&gt;"",I980-H980+1,IF(S980&lt;&gt;"",S980-H980+1,""))))</x:f>
      </x:c>
      <x:c r="X980" s="16"/>
      <x:c r="Y980" s="16"/>
      <x:c r="Z980" s="16"/>
      <x:c r="AA980" s="16"/>
      <x:c r="AB980" s="109"/>
      <x:c r="AC980" s="109"/>
      <x:c r="AD980" s="16"/>
      <x:c r="AE980" s="16"/>
      <x:c r="AF980" s="16"/>
    </x:row>
    <x:row r="981">
      <x:c r="H981" s="107"/>
      <x:c r="I981" s="107"/>
      <x:c r="O981" s="107"/>
      <x:c r="P981" s="107"/>
      <x:c r="S981" s="107"/>
      <x:c r="W981" s="18" t="str">
        <x:f>IF(A981="","",IF(H981="","",IF(I981&lt;&gt;"",I981-H981+1,IF(S981&lt;&gt;"",S981-H981+1,""))))</x:f>
      </x:c>
      <x:c r="X981" s="16"/>
      <x:c r="Y981" s="16"/>
      <x:c r="Z981" s="16"/>
      <x:c r="AA981" s="16"/>
      <x:c r="AB981" s="109"/>
      <x:c r="AC981" s="109"/>
      <x:c r="AD981" s="16"/>
      <x:c r="AE981" s="16"/>
      <x:c r="AF981" s="16"/>
    </x:row>
    <x:row r="982">
      <x:c r="H982" s="107"/>
      <x:c r="I982" s="107"/>
      <x:c r="O982" s="107"/>
      <x:c r="P982" s="107"/>
      <x:c r="S982" s="107"/>
      <x:c r="W982" s="18" t="str">
        <x:f>IF(A982="","",IF(H982="","",IF(I982&lt;&gt;"",I982-H982+1,IF(S982&lt;&gt;"",S982-H982+1,""))))</x:f>
      </x:c>
      <x:c r="X982" s="16"/>
      <x:c r="Y982" s="16"/>
      <x:c r="Z982" s="16"/>
      <x:c r="AA982" s="16"/>
      <x:c r="AB982" s="109"/>
      <x:c r="AC982" s="109"/>
      <x:c r="AD982" s="16"/>
      <x:c r="AE982" s="16"/>
      <x:c r="AF982" s="16"/>
    </x:row>
    <x:row r="983">
      <x:c r="H983" s="107"/>
      <x:c r="I983" s="107"/>
      <x:c r="O983" s="107"/>
      <x:c r="P983" s="107"/>
      <x:c r="S983" s="107"/>
      <x:c r="W983" s="18" t="str">
        <x:f>IF(A983="","",IF(H983="","",IF(I983&lt;&gt;"",I983-H983+1,IF(S983&lt;&gt;"",S983-H983+1,""))))</x:f>
      </x:c>
      <x:c r="X983" s="16"/>
      <x:c r="Y983" s="16"/>
      <x:c r="Z983" s="16"/>
      <x:c r="AA983" s="16"/>
      <x:c r="AB983" s="109"/>
      <x:c r="AC983" s="109"/>
      <x:c r="AD983" s="16"/>
      <x:c r="AE983" s="16"/>
      <x:c r="AF983" s="16"/>
    </x:row>
    <x:row r="984">
      <x:c r="H984" s="107"/>
      <x:c r="I984" s="107"/>
      <x:c r="O984" s="107"/>
      <x:c r="P984" s="107"/>
      <x:c r="S984" s="107"/>
      <x:c r="W984" s="18" t="str">
        <x:f>IF(A984="","",IF(H984="","",IF(I984&lt;&gt;"",I984-H984+1,IF(S984&lt;&gt;"",S984-H984+1,""))))</x:f>
      </x:c>
      <x:c r="X984" s="16"/>
      <x:c r="Y984" s="16"/>
      <x:c r="Z984" s="16"/>
      <x:c r="AA984" s="16"/>
      <x:c r="AB984" s="109"/>
      <x:c r="AC984" s="109"/>
      <x:c r="AD984" s="16"/>
      <x:c r="AE984" s="16"/>
      <x:c r="AF984" s="16"/>
    </x:row>
    <x:row r="985">
      <x:c r="H985" s="107"/>
      <x:c r="I985" s="107"/>
      <x:c r="O985" s="107"/>
      <x:c r="P985" s="107"/>
      <x:c r="S985" s="107"/>
      <x:c r="W985" s="18" t="str">
        <x:f>IF(A985="","",IF(H985="","",IF(I985&lt;&gt;"",I985-H985+1,IF(S985&lt;&gt;"",S985-H985+1,""))))</x:f>
      </x:c>
      <x:c r="X985" s="16"/>
      <x:c r="Y985" s="16"/>
      <x:c r="Z985" s="16"/>
      <x:c r="AA985" s="16"/>
      <x:c r="AB985" s="109"/>
      <x:c r="AC985" s="109"/>
      <x:c r="AD985" s="16"/>
      <x:c r="AE985" s="16"/>
      <x:c r="AF985" s="16"/>
    </x:row>
    <x:row r="986">
      <x:c r="H986" s="107"/>
      <x:c r="I986" s="107"/>
      <x:c r="O986" s="107"/>
      <x:c r="P986" s="107"/>
      <x:c r="S986" s="107"/>
      <x:c r="W986" s="18" t="str">
        <x:f>IF(A986="","",IF(H986="","",IF(I986&lt;&gt;"",I986-H986+1,IF(S986&lt;&gt;"",S986-H986+1,""))))</x:f>
      </x:c>
      <x:c r="X986" s="16"/>
      <x:c r="Y986" s="16"/>
      <x:c r="Z986" s="16"/>
      <x:c r="AA986" s="16"/>
      <x:c r="AB986" s="109"/>
      <x:c r="AC986" s="109"/>
      <x:c r="AD986" s="16"/>
      <x:c r="AE986" s="16"/>
      <x:c r="AF986" s="16"/>
    </x:row>
    <x:row r="987">
      <x:c r="H987" s="107"/>
      <x:c r="I987" s="107"/>
      <x:c r="O987" s="107"/>
      <x:c r="P987" s="107"/>
      <x:c r="S987" s="107"/>
      <x:c r="W987" s="18" t="str">
        <x:f>IF(A987="","",IF(H987="","",IF(I987&lt;&gt;"",I987-H987+1,IF(S987&lt;&gt;"",S987-H987+1,""))))</x:f>
      </x:c>
      <x:c r="X987" s="16"/>
      <x:c r="Y987" s="16"/>
      <x:c r="Z987" s="16"/>
      <x:c r="AA987" s="16"/>
      <x:c r="AB987" s="109"/>
      <x:c r="AC987" s="109"/>
      <x:c r="AD987" s="16"/>
      <x:c r="AE987" s="16"/>
      <x:c r="AF987" s="16"/>
    </x:row>
    <x:row r="988">
      <x:c r="H988" s="107"/>
      <x:c r="I988" s="107"/>
      <x:c r="O988" s="107"/>
      <x:c r="P988" s="107"/>
      <x:c r="S988" s="107"/>
      <x:c r="W988" s="18" t="str">
        <x:f>IF(A988="","",IF(H988="","",IF(I988&lt;&gt;"",I988-H988+1,IF(S988&lt;&gt;"",S988-H988+1,""))))</x:f>
      </x:c>
      <x:c r="X988" s="16"/>
      <x:c r="Y988" s="16"/>
      <x:c r="Z988" s="16"/>
      <x:c r="AA988" s="16"/>
      <x:c r="AB988" s="109"/>
      <x:c r="AC988" s="109"/>
      <x:c r="AD988" s="16"/>
      <x:c r="AE988" s="16"/>
      <x:c r="AF988" s="16"/>
    </x:row>
    <x:row r="989">
      <x:c r="H989" s="107"/>
      <x:c r="I989" s="107"/>
      <x:c r="O989" s="107"/>
      <x:c r="P989" s="107"/>
      <x:c r="S989" s="107"/>
      <x:c r="W989" s="18" t="str">
        <x:f>IF(A989="","",IF(H989="","",IF(I989&lt;&gt;"",I989-H989+1,IF(S989&lt;&gt;"",S989-H989+1,""))))</x:f>
      </x:c>
      <x:c r="X989" s="16"/>
      <x:c r="Y989" s="16"/>
      <x:c r="Z989" s="16"/>
      <x:c r="AA989" s="16"/>
      <x:c r="AB989" s="109"/>
      <x:c r="AC989" s="109"/>
      <x:c r="AD989" s="16"/>
      <x:c r="AE989" s="16"/>
      <x:c r="AF989" s="16"/>
    </x:row>
    <x:row r="990">
      <x:c r="H990" s="107"/>
      <x:c r="I990" s="107"/>
      <x:c r="O990" s="107"/>
      <x:c r="P990" s="107"/>
      <x:c r="S990" s="107"/>
      <x:c r="W990" s="18" t="str">
        <x:f>IF(A990="","",IF(H990="","",IF(I990&lt;&gt;"",I990-H990+1,IF(S990&lt;&gt;"",S990-H990+1,""))))</x:f>
      </x:c>
      <x:c r="X990" s="16"/>
      <x:c r="Y990" s="16"/>
      <x:c r="Z990" s="16"/>
      <x:c r="AA990" s="16"/>
      <x:c r="AB990" s="109"/>
      <x:c r="AC990" s="109"/>
      <x:c r="AD990" s="16"/>
      <x:c r="AE990" s="16"/>
      <x:c r="AF990" s="16"/>
    </x:row>
    <x:row r="991">
      <x:c r="H991" s="107"/>
      <x:c r="I991" s="107"/>
      <x:c r="O991" s="107"/>
      <x:c r="P991" s="107"/>
      <x:c r="S991" s="107"/>
      <x:c r="W991" s="18" t="str">
        <x:f>IF(A991="","",IF(H991="","",IF(I991&lt;&gt;"",I991-H991+1,IF(S991&lt;&gt;"",S991-H991+1,""))))</x:f>
      </x:c>
      <x:c r="X991" s="16"/>
      <x:c r="Y991" s="16"/>
      <x:c r="Z991" s="16"/>
      <x:c r="AA991" s="16"/>
      <x:c r="AB991" s="109"/>
      <x:c r="AC991" s="109"/>
      <x:c r="AD991" s="16"/>
      <x:c r="AE991" s="16"/>
      <x:c r="AF991" s="16"/>
    </x:row>
    <x:row r="992">
      <x:c r="H992" s="107"/>
      <x:c r="I992" s="107"/>
      <x:c r="O992" s="107"/>
      <x:c r="P992" s="107"/>
      <x:c r="S992" s="107"/>
      <x:c r="W992" s="18" t="str">
        <x:f>IF(A992="","",IF(H992="","",IF(I992&lt;&gt;"",I992-H992+1,IF(S992&lt;&gt;"",S992-H992+1,""))))</x:f>
      </x:c>
      <x:c r="X992" s="16"/>
      <x:c r="Y992" s="16"/>
      <x:c r="Z992" s="16"/>
      <x:c r="AA992" s="16"/>
      <x:c r="AB992" s="109"/>
      <x:c r="AC992" s="109"/>
      <x:c r="AD992" s="16"/>
      <x:c r="AE992" s="16"/>
      <x:c r="AF992" s="16"/>
    </x:row>
    <x:row r="993">
      <x:c r="H993" s="107"/>
      <x:c r="I993" s="107"/>
      <x:c r="O993" s="107"/>
      <x:c r="P993" s="107"/>
      <x:c r="S993" s="107"/>
      <x:c r="W993" s="18" t="str">
        <x:f>IF(A993="","",IF(H993="","",IF(I993&lt;&gt;"",I993-H993+1,IF(S993&lt;&gt;"",S993-H993+1,""))))</x:f>
      </x:c>
      <x:c r="X993" s="16"/>
      <x:c r="Y993" s="16"/>
      <x:c r="Z993" s="16"/>
      <x:c r="AA993" s="16"/>
      <x:c r="AB993" s="109"/>
      <x:c r="AC993" s="109"/>
      <x:c r="AD993" s="16"/>
      <x:c r="AE993" s="16"/>
      <x:c r="AF993" s="16"/>
    </x:row>
    <x:row r="994">
      <x:c r="H994" s="107"/>
      <x:c r="I994" s="107"/>
      <x:c r="O994" s="107"/>
      <x:c r="P994" s="107"/>
      <x:c r="S994" s="107"/>
      <x:c r="W994" s="18" t="str">
        <x:f>IF(A994="","",IF(H994="","",IF(I994&lt;&gt;"",I994-H994+1,IF(S994&lt;&gt;"",S994-H994+1,""))))</x:f>
      </x:c>
      <x:c r="X994" s="16"/>
      <x:c r="Y994" s="16"/>
      <x:c r="Z994" s="16"/>
      <x:c r="AA994" s="16"/>
      <x:c r="AB994" s="109"/>
      <x:c r="AC994" s="109"/>
      <x:c r="AD994" s="16"/>
      <x:c r="AE994" s="16"/>
      <x:c r="AF994" s="16"/>
    </x:row>
    <x:row r="995">
      <x:c r="H995" s="107"/>
      <x:c r="I995" s="107"/>
      <x:c r="O995" s="107"/>
      <x:c r="P995" s="107"/>
      <x:c r="S995" s="107"/>
      <x:c r="W995" s="18" t="str">
        <x:f>IF(A995="","",IF(H995="","",IF(I995&lt;&gt;"",I995-H995+1,IF(S995&lt;&gt;"",S995-H995+1,""))))</x:f>
      </x:c>
      <x:c r="X995" s="16"/>
      <x:c r="Y995" s="16"/>
      <x:c r="Z995" s="16"/>
      <x:c r="AA995" s="16"/>
      <x:c r="AB995" s="109"/>
      <x:c r="AC995" s="109"/>
      <x:c r="AD995" s="16"/>
      <x:c r="AE995" s="16"/>
      <x:c r="AF995" s="16"/>
    </x:row>
    <x:row r="996">
      <x:c r="H996" s="107"/>
      <x:c r="I996" s="107"/>
      <x:c r="O996" s="107"/>
      <x:c r="P996" s="107"/>
      <x:c r="S996" s="107"/>
      <x:c r="W996" s="18" t="str">
        <x:f>IF(A996="","",IF(H996="","",IF(I996&lt;&gt;"",I996-H996+1,IF(S996&lt;&gt;"",S996-H996+1,""))))</x:f>
      </x:c>
      <x:c r="X996" s="16"/>
      <x:c r="Y996" s="16"/>
      <x:c r="Z996" s="16"/>
      <x:c r="AA996" s="16"/>
      <x:c r="AB996" s="109"/>
      <x:c r="AC996" s="109"/>
      <x:c r="AD996" s="16"/>
      <x:c r="AE996" s="16"/>
      <x:c r="AF996" s="16"/>
    </x:row>
    <x:row r="997">
      <x:c r="H997" s="107"/>
      <x:c r="I997" s="107"/>
      <x:c r="O997" s="107"/>
      <x:c r="P997" s="107"/>
      <x:c r="S997" s="107"/>
      <x:c r="W997" s="18" t="str">
        <x:f>IF(A997="","",IF(H997="","",IF(I997&lt;&gt;"",I997-H997+1,IF(S997&lt;&gt;"",S997-H997+1,""))))</x:f>
      </x:c>
      <x:c r="X997" s="16"/>
      <x:c r="Y997" s="16"/>
      <x:c r="Z997" s="16"/>
      <x:c r="AA997" s="16"/>
      <x:c r="AB997" s="109"/>
      <x:c r="AC997" s="109"/>
      <x:c r="AD997" s="16"/>
      <x:c r="AE997" s="16"/>
      <x:c r="AF997" s="16"/>
    </x:row>
    <x:row r="998">
      <x:c r="H998" s="107"/>
      <x:c r="I998" s="107"/>
      <x:c r="O998" s="107"/>
      <x:c r="P998" s="107"/>
      <x:c r="S998" s="107"/>
      <x:c r="W998" s="18" t="str">
        <x:f>IF(A998="","",IF(H998="","",IF(I998&lt;&gt;"",I998-H998+1,IF(S998&lt;&gt;"",S998-H998+1,""))))</x:f>
      </x:c>
      <x:c r="X998" s="16"/>
      <x:c r="Y998" s="16"/>
      <x:c r="Z998" s="16"/>
      <x:c r="AA998" s="16"/>
      <x:c r="AB998" s="109"/>
      <x:c r="AC998" s="109"/>
      <x:c r="AD998" s="16"/>
      <x:c r="AE998" s="16"/>
      <x:c r="AF998" s="16"/>
    </x:row>
    <x:row r="999">
      <x:c r="H999" s="107"/>
      <x:c r="I999" s="107"/>
      <x:c r="O999" s="107"/>
      <x:c r="P999" s="107"/>
      <x:c r="S999" s="107"/>
      <x:c r="W999" s="18" t="str">
        <x:f>IF(A999="","",IF(H999="","",IF(I999&lt;&gt;"",I999-H999+1,IF(S999&lt;&gt;"",S999-H999+1,""))))</x:f>
      </x:c>
      <x:c r="X999" s="16"/>
      <x:c r="Y999" s="16"/>
      <x:c r="Z999" s="16"/>
      <x:c r="AA999" s="16"/>
      <x:c r="AB999" s="109"/>
      <x:c r="AC999" s="109"/>
      <x:c r="AD999" s="16"/>
      <x:c r="AE999" s="16"/>
      <x:c r="AF999" s="16"/>
    </x:row>
    <x:row r="1000">
      <x:c r="H1000" s="107"/>
      <x:c r="I1000" s="107"/>
      <x:c r="O1000" s="107"/>
      <x:c r="P1000" s="107"/>
      <x:c r="S1000" s="107"/>
      <x:c r="W1000" s="18" t="str">
        <x:f>IF(A1000="","",IF(H1000="","",IF(I1000&lt;&gt;"",I1000-H1000+1,IF(S1000&lt;&gt;"",S1000-H1000+1,""))))</x:f>
      </x:c>
      <x:c r="X1000" s="16"/>
      <x:c r="Y1000" s="16"/>
      <x:c r="Z1000" s="16"/>
      <x:c r="AA1000" s="16"/>
      <x:c r="AB1000" s="109"/>
      <x:c r="AC1000" s="109"/>
      <x:c r="AD1000" s="16"/>
      <x:c r="AE1000" s="16"/>
      <x:c r="AF1000" s="16"/>
    </x:row>
  </x:sheetData>
  <x:mergeCells>
    <x:mergeCell ref="A1:AF1"/>
    <x:mergeCell ref="A2:AF2"/>
  </x:mergeCells>
  <x:conditionalFormatting sqref="J5:J500">
    <x:cfRule type="expression" dxfId="9" priority="1">
      <x:formula>J5="Ongoing"</x:formula>
    </x:cfRule>
  </x:conditionalFormatting>
  <x:conditionalFormatting sqref="N5:N500">
    <x:cfRule type="expression" dxfId="10" priority="2">
      <x:formula>LEFT(N5,19)="Occurrence verified"</x:formula>
    </x:cfRule>
  </x:conditionalFormatting>
  <x:conditionalFormatting sqref="Q5:Q500">
    <x:cfRule type="expression" dxfId="11" priority="3">
      <x:formula>Q5="Candidate"</x:formula>
    </x:cfRule>
  </x:conditionalFormatting>
  <x:conditionalFormatting sqref="R5:R500">
    <x:cfRule type="expression" dxfId="12" priority="4">
      <x:formula>R5="National methodology test — outside pilot"</x:formula>
    </x:cfRule>
  </x:conditionalFormatting>
  <x:dataValidations count="10">
    <x:dataValidation type="list" sqref="C5:C500">
      <x:formula1>"Demonstration,Strike,March,Sit-in / Dharna,Hunger strike,Jal Satyagraha,Symbolic protest,Multi-form civic protest,Civic campaign,Other"</x:formula1>
    </x:dataValidation>
    <x:dataValidation type="list" sqref="J5:J500">
      <x:formula1>"Announced,Ongoing,Paused,Concluded,Unresolved,Outcome pending,Unknown"</x:formula1>
    </x:dataValidation>
    <x:dataValidation type="list" sqref="N5:N500">
      <x:formula1>"Reported,Corroborated,Occurrence verified — disputed details remain,Attributed,Disputed,Unconfirmed,Corrected,Outcome documented"</x:formula1>
    </x:dataValidation>
    <x:dataValidation type="list" sqref="Q5:Q500">
      <x:formula1>"Candidate,Draft,Published,Unpublished,Archived"</x:formula1>
    </x:dataValidation>
    <x:dataValidation type="list" sqref="R5:R500">
      <x:formula1>"In Himachal pilot,National methodology test — outside pilot,Future scope,Excluded"</x:formula1>
    </x:dataValidation>
    <x:dataValidation type="list" sqref="X5:X1000">
      <x:formula1>Lists!$M$5:$M$9</x:formula1>
    </x:dataValidation>
    <x:dataValidation type="list" sqref="Y5:Y1000">
      <x:formula1>Lists!$N$5:$N$15</x:formula1>
    </x:dataValidation>
    <x:dataValidation type="list" sqref="Z5:Z1000">
      <x:formula1>Lists!$O$5:$O$15</x:formula1>
    </x:dataValidation>
    <x:dataValidation type="list" sqref="AD5:AD1000">
      <x:formula1>Lists!$P$5:$P$15</x:formula1>
    </x:dataValidation>
    <x:dataValidation type="list" sqref="AE5:AE1000">
      <x:formula1>Lists!$Q$5:$Q$12</x:formula1>
    </x:dataValidation>
  </x:dataValidations>
  <x:pageMargins left="0.7" right="0.7" top="0.75" bottom="0.75" header="0.3" footer="0.3"/>
  <x:tableParts count="1">
    <x:tablePart xmlns:r="http://schemas.openxmlformats.org/officeDocument/2006/relationships" r:id="R80ba3787efd4436a"/>
  </x:tableParts>
</x:worksheet>
</file>

<file path=xl/worksheets/sheet5.xml><?xml version="1.0" encoding="utf-8"?>
<x:worksheet xmlns:x="http://schemas.openxmlformats.org/spreadsheetml/2006/main">
  <x:sheetFormatPr defaultRowHeight="15"/>
  <x:cols>
    <x:col min="1" max="1" width="19" hidden="0" customWidth="1"/>
    <x:col min="2" max="2" width="19" hidden="0" customWidth="1"/>
    <x:col min="3" max="3" width="46" hidden="0" customWidth="1"/>
    <x:col min="4" max="4" width="22" hidden="0" customWidth="1"/>
    <x:col min="5" max="5" width="38" hidden="0" customWidth="1"/>
    <x:col min="6" max="6" width="34" hidden="0" customWidth="1"/>
    <x:col min="7" max="7" width="48" hidden="0" customWidth="1"/>
    <x:col min="8" max="8" width="32" hidden="0" customWidth="1"/>
    <x:col min="9" max="9" width="48" hidden="0" customWidth="1"/>
    <x:col min="10" max="10" width="24" hidden="0" customWidth="1"/>
  </x:cols>
  <x:sheetData>
    <x:row r="1" ht="30" customHeight="1">
      <x:c r="A1" s="88" t="str">
        <x:v>India Observed — Claim Register</x:v>
      </x:c>
      <x:c r="B1" s="88"/>
      <x:c r="C1" s="88"/>
      <x:c r="D1" s="88"/>
      <x:c r="E1" s="88"/>
      <x:c r="F1" s="88"/>
      <x:c r="G1" s="88"/>
      <x:c r="H1" s="88"/>
      <x:c r="I1" s="88"/>
      <x:c r="J1" s="88"/>
    </x:row>
    <x:row r="2" ht="34" customHeight="1">
      <x:c r="A2" s="93" t="str">
        <x:v>Each row contains one factual claim. Verification is assigned at claim level; a verified event can still contain disputed or unconfirmed details.</x:v>
      </x:c>
      <x:c r="B2" s="93"/>
      <x:c r="C2" s="93"/>
      <x:c r="D2" s="93"/>
      <x:c r="E2" s="93"/>
      <x:c r="F2" s="93"/>
      <x:c r="G2" s="93"/>
      <x:c r="H2" s="93"/>
      <x:c r="I2" s="93"/>
      <x:c r="J2" s="93"/>
    </x:row>
    <x:row r="4" ht="44" customHeight="1">
      <x:c r="A4" s="326" t="str">
        <x:v>Claim ID</x:v>
      </x:c>
      <x:c r="B4" s="326" t="str">
        <x:v>Event ID</x:v>
      </x:c>
      <x:c r="C4" s="326" t="str">
        <x:v>Claim text</x:v>
      </x:c>
      <x:c r="D4" s="326" t="str">
        <x:v>Claim category</x:v>
      </x:c>
      <x:c r="E4" s="326" t="str">
        <x:v>Person or organisation making the claim</x:v>
      </x:c>
      <x:c r="F4" s="326" t="str">
        <x:v>Claim status</x:v>
      </x:c>
      <x:c r="G4" s="326" t="str">
        <x:v>Verification notes</x:v>
      </x:c>
      <x:c r="H4" s="326" t="str">
        <x:v>Disputed by</x:v>
      </x:c>
      <x:c r="I4" s="326" t="str">
        <x:v>Public wording</x:v>
      </x:c>
      <x:c r="J4" s="326" t="str">
        <x:v>Publication readiness</x:v>
      </x:c>
    </x:row>
    <x:row r="5">
      <x:c r="A5" s="16" t="str">
        <x:v>IO-CLM-MP-0001</x:v>
      </x:c>
      <x:c r="B5" s="115" t="str">
        <x:v>IO-CM-MP-0001</x:v>
      </x:c>
      <x:c r="C5" s="115" t="str">
        <x:v>A protest involving project-affected communities resumed in early July 2026.</x:v>
      </x:c>
      <x:c r="D5" s="115" t="str">
        <x:v>Occurrence</x:v>
      </x:c>
      <x:c r="E5" s="115" t="str">
        <x:v>India Observed synthesis</x:v>
      </x:c>
      <x:c r="F5" s="115" t="str">
        <x:v>Corroborated</x:v>
      </x:c>
      <x:c r="G5" s="115" t="str">
        <x:v>Supported by Peek TV, Down To Earth and The Times of India. Peek TV cross-posts count as one underlying source.</x:v>
      </x:c>
      <x:c r="H5" s="115" t="str"/>
      <x:c r="I5" s="115" t="str">
        <x:v>Project-affected communities resumed a protest in early July 2026.</x:v>
      </x:c>
      <x:c r="J5" s="16" t="str">
        <x:v>Ready</x:v>
      </x:c>
    </x:row>
    <x:row r="6">
      <x:c r="A6" s="16" t="str">
        <x:v>IO-CLM-MP-0002</x:v>
      </x:c>
      <x:c r="B6" s="115" t="str">
        <x:v>IO-CM-MP-0001</x:v>
      </x:c>
      <x:c r="C6" s="115" t="str">
        <x:v>The current phase of the protest began around 4 July 2026.</x:v>
      </x:c>
      <x:c r="D6" s="115" t="str">
        <x:v>Start date / duration</x:v>
      </x:c>
      <x:c r="E6" s="115" t="str">
        <x:v>India Observed synthesis</x:v>
      </x:c>
      <x:c r="F6" s="115" t="str">
        <x:v>Corroborated</x:v>
      </x:c>
      <x:c r="G6" s="115" t="str">
        <x:v>Down To Earth published the resumption on 4 July; The Times of India described the protest as entering its sixth day on 9 July.</x:v>
      </x:c>
      <x:c r="H6" s="115" t="str"/>
      <x:c r="I6" s="115" t="str">
        <x:v>The current phase began around 4 July 2026.</x:v>
      </x:c>
      <x:c r="J6" s="16" t="str">
        <x:v>Ready</x:v>
      </x:c>
    </x:row>
    <x:row r="7">
      <x:c r="A7" s="16" t="str">
        <x:v>IO-CLM-MP-0003</x:v>
      </x:c>
      <x:c r="B7" s="115" t="str">
        <x:v>IO-CM-MP-0001</x:v>
      </x:c>
      <x:c r="C7" s="115" t="str">
        <x:v>Reported protest forms include Chita Andolan, Jal Satyagraha, hunger strike and Mitti Satyagraha.</x:v>
      </x:c>
      <x:c r="D7" s="115" t="str">
        <x:v>Protest method</x:v>
      </x:c>
      <x:c r="E7" s="115" t="str">
        <x:v>Participants / media reports</x:v>
      </x:c>
      <x:c r="F7" s="115" t="str">
        <x:v>Corroborated</x:v>
      </x:c>
      <x:c r="G7" s="115" t="str">
        <x:v>The forms are described across Down To Earth and The Times of India reporting.</x:v>
      </x:c>
      <x:c r="H7" s="115" t="str"/>
      <x:c r="I7" s="115" t="str">
        <x:v>Reported forms of protest include a symbolic Chita Andolan, Jal Satyagraha, hunger strike and Mitti Satyagraha.</x:v>
      </x:c>
      <x:c r="J7" s="16" t="str">
        <x:v>Ready</x:v>
      </x:c>
    </x:row>
    <x:row r="8">
      <x:c r="A8" s="16" t="str">
        <x:v>IO-CLM-MP-0004</x:v>
      </x:c>
      <x:c r="B8" s="115" t="str">
        <x:v>IO-CM-MP-0001</x:v>
      </x:c>
      <x:c r="C8" s="115" t="str">
        <x:v>Participants are demanding compensation, rehabilitation and resettlement support.</x:v>
      </x:c>
      <x:c r="D8" s="115" t="str">
        <x:v>Demand</x:v>
      </x:c>
      <x:c r="E8" s="115" t="str">
        <x:v>Project-affected participants and organisers</x:v>
      </x:c>
      <x:c r="F8" s="115" t="str">
        <x:v>Corroborated</x:v>
      </x:c>
      <x:c r="G8" s="115" t="str">
        <x:v>Consistently reported by Peek TV, Down To Earth and The Times of India.</x:v>
      </x:c>
      <x:c r="H8" s="115" t="str"/>
      <x:c r="I8" s="115" t="str">
        <x:v>Participants have publicly demanded compensation, rehabilitation and resettlement support.</x:v>
      </x:c>
      <x:c r="J8" s="16" t="str">
        <x:v>Ready</x:v>
      </x:c>
    </x:row>
    <x:row r="9">
      <x:c r="A9" s="16" t="str">
        <x:v>IO-CLM-MP-0005</x:v>
      </x:c>
      <x:c r="B9" s="115" t="str">
        <x:v>IO-CM-MP-0001</x:v>
      </x:c>
      <x:c r="C9" s="115" t="str">
        <x:v>The protest concerns the Ken–Betwa Link Project and people affected by other development and irrigation projects.</x:v>
      </x:c>
      <x:c r="D9" s="115" t="str">
        <x:v>Project connection</x:v>
      </x:c>
      <x:c r="E9" s="115" t="str">
        <x:v>Participants / media reports</x:v>
      </x:c>
      <x:c r="F9" s="115" t="str">
        <x:v>Corroborated</x:v>
      </x:c>
      <x:c r="G9" s="115" t="str">
        <x:v>Down To Earth and The Times of India identify Ken–Betwa as the principal project and mention additional projects.</x:v>
      </x:c>
      <x:c r="H9" s="115" t="str"/>
      <x:c r="I9" s="115" t="str">
        <x:v>The movement primarily concerns the Ken–Betwa Link Project and also includes people affected by other projects.</x:v>
      </x:c>
      <x:c r="J9" s="16" t="str">
        <x:v>Ready</x:v>
      </x:c>
    </x:row>
    <x:row r="10">
      <x:c r="A10" s="16" t="str">
        <x:v>IO-CLM-MP-0006</x:v>
      </x:c>
      <x:c r="B10" s="115" t="str">
        <x:v>IO-CM-MP-0001</x:v>
      </x:c>
      <x:c r="C10" s="115" t="str">
        <x:v>Residents allege that homes were demolished during the monsoon before adequate rehabilitation was completed.</x:v>
      </x:c>
      <x:c r="D10" s="115" t="str">
        <x:v>Displacement / demolition</x:v>
      </x:c>
      <x:c r="E10" s="115" t="str">
        <x:v>Affected residents and movement representatives</x:v>
      </x:c>
      <x:c r="F10" s="115" t="str">
        <x:v>Attributed allegation</x:v>
      </x:c>
      <x:c r="G10" s="115" t="str">
        <x:v>Down To Earth provides field reporting and photographs, but legal responsibility, notice and adequacy of rehabilitation require official records and response.</x:v>
      </x:c>
      <x:c r="H10" s="115" t="str">
        <x:v>District and project authorities</x:v>
      </x:c>
      <x:c r="I10" s="115" t="str">
        <x:v>Affected residents allege that some homes were demolished during the monsoon before adequate rehabilitation was completed.</x:v>
      </x:c>
      <x:c r="J10" s="16" t="str">
        <x:v>Ready with attribution</x:v>
      </x:c>
    </x:row>
    <x:row r="11">
      <x:c r="A11" s="16" t="str">
        <x:v>IO-CLM-MP-0007</x:v>
      </x:c>
      <x:c r="B11" s="115" t="str">
        <x:v>IO-CM-MP-0001</x:v>
      </x:c>
      <x:c r="C11" s="115" t="str">
        <x:v>Protesters allege that drinking-water access at the protest site was stopped and that some participants became ill.</x:v>
      </x:c>
      <x:c r="D11" s="115" t="str">
        <x:v>Public-service allegation</x:v>
      </x:c>
      <x:c r="E11" s="115" t="str">
        <x:v>Protest participants / organisers</x:v>
      </x:c>
      <x:c r="F11" s="115" t="str">
        <x:v>Unconfirmed allegation</x:v>
      </x:c>
      <x:c r="G11" s="115" t="str">
        <x:v>Reported by The Times of India; no independent official or second-source confirmation has been located.</x:v>
      </x:c>
      <x:c r="H11" s="115" t="str">
        <x:v>Chhatarpur district administration</x:v>
      </x:c>
      <x:c r="I11" s="115" t="str">
        <x:v>Protesters alleged that drinking-water access at the site was interrupted; India Observed has not independently confirmed this.</x:v>
      </x:c>
      <x:c r="J11" s="16" t="str">
        <x:v>Needs corroboration</x:v>
      </x:c>
    </x:row>
    <x:row r="12">
      <x:c r="A12" s="16" t="str">
        <x:v>IO-CLM-MP-0008</x:v>
      </x:c>
      <x:c r="B12" s="115" t="str">
        <x:v>IO-CM-MP-0001</x:v>
      </x:c>
      <x:c r="C12" s="115" t="str">
        <x:v>The Chhatarpur district collector stated that no demands remained pending and that the protesters were from Panna district.</x:v>
      </x:c>
      <x:c r="D12" s="115" t="str">
        <x:v>Official response</x:v>
      </x:c>
      <x:c r="E12" s="115" t="str">
        <x:v>Chhatarpur district collector, as reported by The Times of India</x:v>
      </x:c>
      <x:c r="F12" s="115" t="str">
        <x:v>Attributed official statement</x:v>
      </x:c>
      <x:c r="G12" s="115" t="str">
        <x:v>The statement is attributed through media reporting; obtain a direct district statement if available.</x:v>
      </x:c>
      <x:c r="H12" s="115" t="str">
        <x:v>Protest participants / organisers</x:v>
      </x:c>
      <x:c r="I12" s="115" t="str">
        <x:v>The Chhatarpur district collector told The Times of India that no demands remained pending and that the protesters were from Panna district.</x:v>
      </x:c>
      <x:c r="J12" s="16" t="str">
        <x:v>Ready with attribution</x:v>
      </x:c>
    </x:row>
    <x:row r="13">
      <x:c r="A13" s="16" t="str">
        <x:v>IO-CLM-MP-0009</x:v>
      </x:c>
      <x:c r="B13" s="115" t="str">
        <x:v>IO-CM-MP-0001</x:v>
      </x:c>
      <x:c r="C13" s="115" t="str">
        <x:v>An additional rehabilitation package of ₹202.5 crore was approved.</x:v>
      </x:c>
      <x:c r="D13" s="115" t="str">
        <x:v>Compensation / package</x:v>
      </x:c>
      <x:c r="E13" s="115" t="str">
        <x:v>Madhya Pradesh government, as reported by The Times of India</x:v>
      </x:c>
      <x:c r="F13" s="115" t="str">
        <x:v>Media reported — official document required</x:v>
      </x:c>
      <x:c r="G13" s="115" t="str">
        <x:v>The figure is reported by media. A cabinet decision, notification or project document should be added before presenting it as independently verified.</x:v>
      </x:c>
      <x:c r="H13" s="115" t="str"/>
      <x:c r="I13" s="115" t="str">
        <x:v>The Times of India reported that the state government had approved an additional ₹202.5 crore rehabilitation package.</x:v>
      </x:c>
      <x:c r="J13" s="16" t="str">
        <x:v>Needs official document</x:v>
      </x:c>
    </x:row>
    <x:row r="14">
      <x:c r="A14" s="16" t="str">
        <x:v>IO-CLM-MP-0010</x:v>
      </x:c>
      <x:c r="B14" s="115" t="str">
        <x:v>IO-CM-MP-0001</x:v>
      </x:c>
      <x:c r="C14" s="115" t="str">
        <x:v>Eligible families may receive a one-time rehabilitation grant of up to ₹12.5 lakh.</x:v>
      </x:c>
      <x:c r="D14" s="115" t="str">
        <x:v>Compensation / package</x:v>
      </x:c>
      <x:c r="E14" s="115" t="str">
        <x:v>Government representatives, as reported by The Times of India</x:v>
      </x:c>
      <x:c r="F14" s="115" t="str">
        <x:v>Media reported — official document required</x:v>
      </x:c>
      <x:c r="G14" s="115" t="str">
        <x:v>The eligibility criteria and amount require a direct government order or notification.</x:v>
      </x:c>
      <x:c r="H14" s="115" t="str"/>
      <x:c r="I14" s="115" t="str">
        <x:v>Media reports state that eligible families may receive a one-time rehabilitation grant of up to ₹12.5 lakh; the official eligibility document is still required.</x:v>
      </x:c>
      <x:c r="J14" s="16" t="str">
        <x:v>Needs official document</x:v>
      </x:c>
    </x:row>
    <x:row r="15">
      <x:c r="A15" s="16" t="str">
        <x:v>IO-CLM-MP-0011</x:v>
      </x:c>
      <x:c r="B15" s="16" t="str">
        <x:v>IO-CM-MP-0001</x:v>
      </x:c>
      <x:c r="C15" s="16" t="str">
        <x:v>The Ken–Betwa Link Project is officially intended to transfer water from the Ken basin to water-short areas of the Betwa basin and support irrigation and water supply.</x:v>
      </x:c>
      <x:c r="D15" s="16" t="str">
        <x:v>Project context</x:v>
      </x:c>
      <x:c r="E15" s="16" t="str">
        <x:v>National Water Development Agency</x:v>
      </x:c>
      <x:c r="F15" s="16" t="str">
        <x:v>Official source context</x:v>
      </x:c>
      <x:c r="G15" s="16" t="str">
        <x:v>Supported by the official NWDA project page; this verifies project context, not the protesters' allegations.</x:v>
      </x:c>
      <x:c r="H15" s="16" t="str"/>
      <x:c r="I15" s="16" t="str">
        <x:v>According to the National Water Development Agency, the project is intended to transfer water from the Ken basin to water-short areas of the Betwa basin and support irrigation and water supply.</x:v>
      </x:c>
      <x:c r="J15" s="16" t="str">
        <x:v>Ready</x:v>
      </x:c>
    </x:row>
    <x:row r="16">
      <x:c r="A16" s="16" t="str">
        <x:v>IO-CLM-DL-0001</x:v>
      </x:c>
      <x:c r="B16" s="16" t="str">
        <x:v>IO-CM-DL-0001</x:v>
      </x:c>
      <x:c r="C16" s="16" t="str">
        <x:v>A CJP-led sit-in was continuing at Jantar Mantar in New Delhi in July 2026.</x:v>
      </x:c>
      <x:c r="D16" s="16" t="str">
        <x:v>Occurrence</x:v>
      </x:c>
      <x:c r="E16" s="16" t="str">
        <x:v>India Observed synthesis</x:v>
      </x:c>
      <x:c r="F16" s="16" t="str">
        <x:v>Corroborated</x:v>
      </x:c>
      <x:c r="G16" s="16" t="str">
        <x:v>Supported by on-location Reuters reporting and independent NDTV and Hindustan Times coverage.</x:v>
      </x:c>
      <x:c r="H16" s="16"/>
      <x:c r="I16" s="16" t="str">
        <x:v>A CJP-led sit-in was continuing at Jantar Mantar in New Delhi in July 2026.</x:v>
      </x:c>
      <x:c r="J16" s="16" t="str">
        <x:v>Ready</x:v>
      </x:c>
    </x:row>
    <x:row r="17">
      <x:c r="A17" s="16" t="str">
        <x:v>IO-CLM-DL-0002</x:v>
      </x:c>
      <x:c r="B17" s="16" t="str">
        <x:v>IO-CM-DL-0001</x:v>
      </x:c>
      <x:c r="C17" s="16" t="str">
        <x:v>The current sit-in began around 20 June 2026.</x:v>
      </x:c>
      <x:c r="D17" s="16" t="str">
        <x:v>Start date / duration</x:v>
      </x:c>
      <x:c r="E17" s="16" t="str">
        <x:v>India Observed synthesis</x:v>
      </x:c>
      <x:c r="F17" s="16" t="str">
        <x:v>Corroborated</x:v>
      </x:c>
      <x:c r="G17" s="16" t="str">
        <x:v>Hindustan Times documented the second protest beginning on 20 June; later reporting described the protest as continuing for about 25 days by 15 July.</x:v>
      </x:c>
      <x:c r="H17" s="16"/>
      <x:c r="I17" s="16" t="str">
        <x:v>The current sit-in began around 20 June 2026.</x:v>
      </x:c>
      <x:c r="J17" s="16" t="str">
        <x:v>Ready</x:v>
      </x:c>
    </x:row>
    <x:row r="18">
      <x:c r="A18" s="16" t="str">
        <x:v>IO-CLM-DL-0003</x:v>
      </x:c>
      <x:c r="B18" s="16" t="str">
        <x:v>IO-CM-DL-0001</x:v>
      </x:c>
      <x:c r="C18" s="16" t="str">
        <x:v>Sonam Wangchuk joined the protest through an indefinite hunger strike from 28 June 2026.</x:v>
      </x:c>
      <x:c r="D18" s="16" t="str">
        <x:v>Protest method</x:v>
      </x:c>
      <x:c r="E18" s="16" t="str">
        <x:v>Sonam Wangchuk / protest organisers</x:v>
      </x:c>
      <x:c r="F18" s="16" t="str">
        <x:v>Corroborated</x:v>
      </x:c>
      <x:c r="G18" s="16" t="str">
        <x:v>Reuters, NDTV and Hindustan Times consistently report the start and duration of the fast.</x:v>
      </x:c>
      <x:c r="H18" s="16"/>
      <x:c r="I18" s="16" t="str">
        <x:v>Sonam Wangchuk joined the protest through an indefinite hunger strike from 28 June 2026.</x:v>
      </x:c>
      <x:c r="J18" s="16" t="str">
        <x:v>Ready</x:v>
      </x:c>
    </x:row>
    <x:row r="19">
      <x:c r="A19" s="16" t="str">
        <x:v>IO-CLM-DL-0004</x:v>
      </x:c>
      <x:c r="B19" s="16" t="str">
        <x:v>IO-CM-DL-0001</x:v>
      </x:c>
      <x:c r="C19" s="16" t="str">
        <x:v>The immediate stated demand is the resignation of Union Education Minister Dharmendra Pradhan over alleged examination paper leaks and irregularities.</x:v>
      </x:c>
      <x:c r="D19" s="16" t="str">
        <x:v>Demand</x:v>
      </x:c>
      <x:c r="E19" s="16" t="str">
        <x:v>Cockroach Janta Party and supporting protesters</x:v>
      </x:c>
      <x:c r="F19" s="16" t="str">
        <x:v>Corroborated</x:v>
      </x:c>
      <x:c r="G19" s="16" t="str">
        <x:v>The demand is consistently described by Reuters, NDTV and Hindustan Times. The underlying allegations remain subject to separate official and legal processes.</x:v>
      </x:c>
      <x:c r="H19" s="16"/>
      <x:c r="I19" s="16" t="str">
        <x:v>Protest organisers are demanding the resignation of Union Education Minister Dharmendra Pradhan over alleged examination paper leaks and irregularities.</x:v>
      </x:c>
      <x:c r="J19" s="16" t="str">
        <x:v>Ready with attribution</x:v>
      </x:c>
    </x:row>
    <x:row r="20">
      <x:c r="A20" s="16" t="str">
        <x:v>IO-CLM-DL-0005</x:v>
      </x:c>
      <x:c r="B20" s="16" t="str">
        <x:v>IO-CM-DL-0001</x:v>
      </x:c>
      <x:c r="C20" s="16" t="str">
        <x:v>Organisers reported that Wangchuk lost more than eight kilograms and experienced low blood sugar, weakness and muscle loss.</x:v>
      </x:c>
      <x:c r="D20" s="16" t="str">
        <x:v>Other</x:v>
      </x:c>
      <x:c r="E20" s="16" t="str">
        <x:v>Protest organisers / reported health bulletin</x:v>
      </x:c>
      <x:c r="F20" s="16" t="str">
        <x:v>Attributed allegation</x:v>
      </x:c>
      <x:c r="G20" s="16" t="str">
        <x:v>Reuters and NDTV report the organisers' health bulletin; India Observed has not reviewed independent clinical records.</x:v>
      </x:c>
      <x:c r="H20" s="16"/>
      <x:c r="I20" s="16" t="str">
        <x:v>Organisers reported substantial weight loss and worsening weakness during the hunger strike; India Observed has not independently verified the medical measurements.</x:v>
      </x:c>
      <x:c r="J20" s="16" t="str">
        <x:v>Ready with attribution</x:v>
      </x:c>
    </x:row>
    <x:row r="21">
      <x:c r="A21" s="16" t="str">
        <x:v>IO-CLM-DL-0006</x:v>
      </x:c>
      <x:c r="B21" s="16" t="str">
        <x:v>IO-CM-DL-0001</x:v>
      </x:c>
      <x:c r="C21" s="16" t="str">
        <x:v>Dharmendra Pradhan rejected calls to resign and criticised the protest movement in an NDTV interview.</x:v>
      </x:c>
      <x:c r="D21" s="16" t="str">
        <x:v>Official response</x:v>
      </x:c>
      <x:c r="E21" s="16" t="str">
        <x:v>Dharmendra Pradhan, as reported by NDTV</x:v>
      </x:c>
      <x:c r="F21" s="16" t="str">
        <x:v>Attributed official statement</x:v>
      </x:c>
      <x:c r="G21" s="16" t="str">
        <x:v>NDTV directly reports his response. Preserve attribution and avoid paraphrasing it as a general government position.</x:v>
      </x:c>
      <x:c r="H21" s="16"/>
      <x:c r="I21" s="16" t="str">
        <x:v>In an NDTV interview, Dharmendra Pradhan rejected calls to resign and criticised the protest movement.</x:v>
      </x:c>
      <x:c r="J21" s="16" t="str">
        <x:v>Ready with attribution</x:v>
      </x:c>
    </x:row>
    <x:row r="22">
      <x:c r="A22" s="16" t="str">
        <x:v>IO-CLM-DL-0007</x:v>
      </x:c>
      <x:c r="B22" s="16" t="str">
        <x:v>IO-CM-DL-0001</x:v>
      </x:c>
      <x:c r="C22" s="16" t="str">
        <x:v>Organisers announced a proposed march toward Parliament for 20 July 2026.</x:v>
      </x:c>
      <x:c r="D22" s="16" t="str">
        <x:v>Outcome</x:v>
      </x:c>
      <x:c r="E22" s="16" t="str">
        <x:v>Protest organisers</x:v>
      </x:c>
      <x:c r="F22" s="16" t="str">
        <x:v>Attributed allegation</x:v>
      </x:c>
      <x:c r="G22" s="16" t="str">
        <x:v>Reuters and other reports record the announcement. As of the review date, the proposed march had not yet occurred.</x:v>
      </x:c>
      <x:c r="H22" s="16"/>
      <x:c r="I22" s="16" t="str">
        <x:v>Organisers announced a proposed march for 20 July 2026; this is a future action, not a completed event.</x:v>
      </x:c>
      <x:c r="J22" s="16" t="str">
        <x:v>Ready with attribution</x:v>
      </x:c>
    </x:row>
    <x:row r="23">
      <x:c r="A23" s="16" t="str">
        <x:v>IO-CLM-KA-0001</x:v>
      </x:c>
      <x:c r="B23" s="16" t="str">
        <x:v>IO-CM-KA-0001</x:v>
      </x:c>
      <x:c r="C23" s="16" t="str">
        <x:v>Farmers protested in Mandya on 13 July 2026 over the delay in releasing irrigation water from KRS.</x:v>
      </x:c>
      <x:c r="D23" s="16" t="str">
        <x:v>Occurrence</x:v>
      </x:c>
      <x:c r="E23" s="16" t="str">
        <x:v>India Observed synthesis</x:v>
      </x:c>
      <x:c r="F23" s="16" t="str">
        <x:v>Corroborated</x:v>
      </x:c>
      <x:c r="G23" s="16" t="str">
        <x:v>Supported by independent reporting from The Times of India and The New Indian Express.</x:v>
      </x:c>
      <x:c r="H23" s="16"/>
      <x:c r="I23" s="16" t="str">
        <x:v>Farmers protested in Mandya on 13 July 2026 over the delay in releasing irrigation water from KRS.</x:v>
      </x:c>
      <x:c r="J23" s="16" t="str">
        <x:v>Ready</x:v>
      </x:c>
    </x:row>
    <x:row r="24">
      <x:c r="A24" s="16" t="str">
        <x:v>IO-CLM-KA-0002</x:v>
      </x:c>
      <x:c r="B24" s="16" t="str">
        <x:v>IO-CM-KA-0001</x:v>
      </x:c>
      <x:c r="C24" s="16" t="str">
        <x:v>The protesters demanded the immediate release of water into irrigation canals to protect standing crops.</x:v>
      </x:c>
      <x:c r="D24" s="16" t="str">
        <x:v>Demand</x:v>
      </x:c>
      <x:c r="E24" s="16" t="str">
        <x:v>Farmer organisations and participants</x:v>
      </x:c>
      <x:c r="F24" s="16" t="str">
        <x:v>Corroborated</x:v>
      </x:c>
      <x:c r="G24" s="16" t="str">
        <x:v>Both independent reports identify this as the principal demand.</x:v>
      </x:c>
      <x:c r="H24" s="16"/>
      <x:c r="I24" s="16" t="str">
        <x:v>The protesters demanded the immediate release of water into irrigation canals to protect standing crops.</x:v>
      </x:c>
      <x:c r="J24" s="16" t="str">
        <x:v>Ready</x:v>
      </x:c>
    </x:row>
    <x:row r="25">
      <x:c r="A25" s="16" t="str">
        <x:v>IO-CLM-KA-0003</x:v>
      </x:c>
      <x:c r="B25" s="16" t="str">
        <x:v>IO-CM-KA-0001</x:v>
      </x:c>
      <x:c r="C25" s="16" t="str">
        <x:v>Protesters said standing crops, particularly sugarcane, were drying because of the delay.</x:v>
      </x:c>
      <x:c r="D25" s="16" t="str">
        <x:v>Other</x:v>
      </x:c>
      <x:c r="E25" s="16" t="str">
        <x:v>Farmer organisations and participants</x:v>
      </x:c>
      <x:c r="F25" s="16" t="str">
        <x:v>Attributed allegation</x:v>
      </x:c>
      <x:c r="G25" s="16" t="str">
        <x:v>Reported by both outlets as the protesters' assessment; no independent crop-loss measurement was reviewed.</x:v>
      </x:c>
      <x:c r="H25" s="16"/>
      <x:c r="I25" s="16" t="str">
        <x:v>Protesters said standing crops, particularly sugarcane, were drying because of the delay.</x:v>
      </x:c>
      <x:c r="J25" s="16" t="str">
        <x:v>Ready with attribution</x:v>
      </x:c>
    </x:row>
    <x:row r="26">
      <x:c r="A26" s="16" t="str">
        <x:v>IO-CLM-KA-0004</x:v>
      </x:c>
      <x:c r="B26" s="16" t="str">
        <x:v>IO-CM-KA-0001</x:v>
      </x:c>
      <x:c r="C26" s="16" t="str">
        <x:v>Protest actions included gathering near the deputy commissioner’s office and blocking the old Mysuru–Bengaluru highway at Sanjay Circle.</x:v>
      </x:c>
      <x:c r="D26" s="16" t="str">
        <x:v>Protest method</x:v>
      </x:c>
      <x:c r="E26" s="16" t="str">
        <x:v>India Observed synthesis</x:v>
      </x:c>
      <x:c r="F26" s="16" t="str">
        <x:v>Corroborated</x:v>
      </x:c>
      <x:c r="G26" s="16" t="str">
        <x:v>The Times of India documents the deputy commissioner's office protest; The New Indian Express reports the highway blockade and attempted siege.</x:v>
      </x:c>
      <x:c r="H26" s="16"/>
      <x:c r="I26" s="16" t="str">
        <x:v>Protest actions included gathering near the deputy commissioner’s office and blocking the old Mysuru–Bengaluru highway at Sanjay Circle.</x:v>
      </x:c>
      <x:c r="J26" s="16" t="str">
        <x:v>Ready</x:v>
      </x:c>
    </x:row>
    <x:row r="27">
      <x:c r="A27" s="16" t="str">
        <x:v>IO-CLM-KA-0005</x:v>
      </x:c>
      <x:c r="B27" s="16" t="str">
        <x:v>IO-CM-KA-0001</x:v>
      </x:c>
      <x:c r="C27" s="16" t="str">
        <x:v>Protesters opposed additional Cauvery water use for a proposed drinking-water project while irrigation demands remained unmet.</x:v>
      </x:c>
      <x:c r="D27" s="16" t="str">
        <x:v>Demand</x:v>
      </x:c>
      <x:c r="E27" s="16" t="str">
        <x:v>Farmer organisations and participants</x:v>
      </x:c>
      <x:c r="F27" s="16" t="str">
        <x:v>Corroborated</x:v>
      </x:c>
      <x:c r="G27" s="16" t="str">
        <x:v>The Times of India and The New Indian Express report opposition to the proposed additional drinking-water diversion.</x:v>
      </x:c>
      <x:c r="H27" s="16"/>
      <x:c r="I27" s="16" t="str">
        <x:v>Protesters opposed additional Cauvery water use for a proposed drinking-water project while irrigation demands remained unmet.</x:v>
      </x:c>
      <x:c r="J27" s="16" t="str">
        <x:v>Ready with attribution</x:v>
      </x:c>
    </x:row>
    <x:row r="28">
      <x:c r="A28" s="16" t="str">
        <x:v>IO-CLM-KA-0006</x:v>
      </x:c>
      <x:c r="B28" s="16" t="str">
        <x:v>IO-CM-KA-0001</x:v>
      </x:c>
      <x:c r="C28" s="16" t="str">
        <x:v>Farmer leaders warned that the agitation would intensify if the government did not respond.</x:v>
      </x:c>
      <x:c r="D28" s="16" t="str">
        <x:v>Outcome</x:v>
      </x:c>
      <x:c r="E28" s="16" t="str">
        <x:v>Farmer leaders</x:v>
      </x:c>
      <x:c r="F28" s="16" t="str">
        <x:v>Attributed allegation</x:v>
      </x:c>
      <x:c r="G28" s="16" t="str">
        <x:v>Reported as an organiser warning, not a completed escalation.</x:v>
      </x:c>
      <x:c r="H28" s="16"/>
      <x:c r="I28" s="16" t="str">
        <x:v>Farmer leaders warned that the agitation would intensify if the government did not respond.</x:v>
      </x:c>
      <x:c r="J28" s="16" t="str">
        <x:v>Ready with attribution</x:v>
      </x:c>
    </x:row>
    <x:row r="29">
      <x:c r="A29" s="16" t="str">
        <x:v>IO-CLM-CH-0001</x:v>
      </x:c>
      <x:c r="B29" s="16" t="str">
        <x:v>IO-CM-CH-0001</x:v>
      </x:c>
      <x:c r="C29" s="16" t="str">
        <x:v>BKU-Rajewal held a motorcycle and vehicle rally from Mohali to Chandigarh on 13 July 2026.</x:v>
      </x:c>
      <x:c r="D29" s="16" t="str">
        <x:v>Occurrence</x:v>
      </x:c>
      <x:c r="E29" s="16" t="str">
        <x:v>India Observed synthesis</x:v>
      </x:c>
      <x:c r="F29" s="16" t="str">
        <x:v>Corroborated</x:v>
      </x:c>
      <x:c r="G29" s="16" t="str">
        <x:v>The Tribune and The Times of India independently document the date, route and gathering.</x:v>
      </x:c>
      <x:c r="H29" s="16"/>
      <x:c r="I29" s="16" t="str">
        <x:v>BKU-Rajewal held a motorcycle and vehicle rally from Mohali to Chandigarh on 13 July 2026.</x:v>
      </x:c>
      <x:c r="J29" s="16" t="str">
        <x:v>Ready</x:v>
      </x:c>
    </x:row>
    <x:row r="30">
      <x:c r="A30" s="16" t="str">
        <x:v>IO-CLM-CH-0002</x:v>
      </x:c>
      <x:c r="B30" s="16" t="str">
        <x:v>IO-CM-CH-0001</x:v>
      </x:c>
      <x:c r="C30" s="16" t="str">
        <x:v>The rally travelled from Phase 8 in Mohali to the Exhibition Ground in Sector 34, Chandigarh.</x:v>
      </x:c>
      <x:c r="D30" s="16" t="str">
        <x:v>Protest method</x:v>
      </x:c>
      <x:c r="E30" s="16" t="str">
        <x:v>India Observed synthesis</x:v>
      </x:c>
      <x:c r="F30" s="16" t="str">
        <x:v>Corroborated</x:v>
      </x:c>
      <x:c r="G30" s="16" t="str">
        <x:v>Both independent reports describe the route and destination.</x:v>
      </x:c>
      <x:c r="H30" s="16"/>
      <x:c r="I30" s="16" t="str">
        <x:v>The rally travelled from Phase 8 in Mohali to the Exhibition Ground in Sector 34, Chandigarh.</x:v>
      </x:c>
      <x:c r="J30" s="16" t="str">
        <x:v>Ready</x:v>
      </x:c>
    </x:row>
    <x:row r="31">
      <x:c r="A31" s="16" t="str">
        <x:v>IO-CLM-CH-0003</x:v>
      </x:c>
      <x:c r="B31" s="16" t="str">
        <x:v>IO-CM-CH-0001</x:v>
      </x:c>
      <x:c r="C31" s="16" t="str">
        <x:v>The principal demand was that the proposed India–US trade agreement be rejected or cancelled.</x:v>
      </x:c>
      <x:c r="D31" s="16" t="str">
        <x:v>Demand</x:v>
      </x:c>
      <x:c r="E31" s="16" t="str">
        <x:v>Bharatiya Kisan Union (Rajewal)</x:v>
      </x:c>
      <x:c r="F31" s="16" t="str">
        <x:v>Corroborated</x:v>
      </x:c>
      <x:c r="G31" s="16" t="str">
        <x:v>The demand is directly reported by The Tribune and The Times of India.</x:v>
      </x:c>
      <x:c r="H31" s="16"/>
      <x:c r="I31" s="16" t="str">
        <x:v>The organisers called for the proposed India–US trade agreement to be rejected.</x:v>
      </x:c>
      <x:c r="J31" s="16" t="str">
        <x:v>Ready with attribution</x:v>
      </x:c>
    </x:row>
    <x:row r="32">
      <x:c r="A32" s="16" t="str">
        <x:v>IO-CLM-CH-0004</x:v>
      </x:c>
      <x:c r="B32" s="16" t="str">
        <x:v>IO-CM-CH-0001</x:v>
      </x:c>
      <x:c r="C32" s="16" t="str">
        <x:v>Organisers argued that agricultural imports under the proposed agreement could disadvantage small farmers and allied sectors such as dairy and poultry.</x:v>
      </x:c>
      <x:c r="D32" s="16" t="str">
        <x:v>Other</x:v>
      </x:c>
      <x:c r="E32" s="16" t="str">
        <x:v>Bharatiya Kisan Union (Rajewal)</x:v>
      </x:c>
      <x:c r="F32" s="16" t="str">
        <x:v>Attributed allegation</x:v>
      </x:c>
      <x:c r="G32" s="16" t="str">
        <x:v>This is an economic prediction made by organisers; India Observed does not independently model the agreement's effect.</x:v>
      </x:c>
      <x:c r="H32" s="16"/>
      <x:c r="I32" s="16" t="str">
        <x:v>Organisers argued that agricultural imports under the proposed agreement could disadvantage small farmers and allied sectors.</x:v>
      </x:c>
      <x:c r="J32" s="16" t="str">
        <x:v>Ready with attribution</x:v>
      </x:c>
    </x:row>
    <x:row r="33">
      <x:c r="A33" s="16" t="str">
        <x:v>IO-CLM-CH-0005</x:v>
      </x:c>
      <x:c r="B33" s="16" t="str">
        <x:v>IO-CM-CH-0001</x:v>
      </x:c>
      <x:c r="C33" s="16" t="str">
        <x:v>Organisers also raised concerns about groundwater quality, land acquisition, climate pressures and natural resources in Punjab.</x:v>
      </x:c>
      <x:c r="D33" s="16" t="str">
        <x:v>Demand</x:v>
      </x:c>
      <x:c r="E33" s="16" t="str">
        <x:v>Bharatiya Kisan Union (Rajewal)</x:v>
      </x:c>
      <x:c r="F33" s="16" t="str">
        <x:v>Corroborated</x:v>
      </x:c>
      <x:c r="G33" s="16" t="str">
        <x:v>The concerns are reported across the two independent reports.</x:v>
      </x:c>
      <x:c r="H33" s="16"/>
      <x:c r="I33" s="16" t="str">
        <x:v>Organisers also raised Punjab-specific concerns about groundwater quality, land acquisition, climate pressures and natural resources.</x:v>
      </x:c>
      <x:c r="J33" s="16" t="str">
        <x:v>Ready with attribution</x:v>
      </x:c>
    </x:row>
    <x:row r="34">
      <x:c r="A34" s="16" t="str">
        <x:v>IO-CLM-CH-0006</x:v>
      </x:c>
      <x:c r="B34" s="16" t="str">
        <x:v>IO-CM-CH-0001</x:v>
      </x:c>
      <x:c r="C34" s="16" t="str">
        <x:v>BKU leaders submitted memorandums addressed to the Prime Minister through the Punjab governor and to the Punjab chief minister.</x:v>
      </x:c>
      <x:c r="D34" s="16" t="str">
        <x:v>Outcome</x:v>
      </x:c>
      <x:c r="E34" s="16" t="str">
        <x:v>Bharatiya Kisan Union (Rajewal)</x:v>
      </x:c>
      <x:c r="F34" s="16" t="str">
        <x:v>Corroborated</x:v>
      </x:c>
      <x:c r="G34" s="16" t="str">
        <x:v>The Times of India reports the two memorandums; The Tribune documents the rally and demands.</x:v>
      </x:c>
      <x:c r="H34" s="16"/>
      <x:c r="I34" s="16" t="str">
        <x:v>BKU leaders submitted memorandums addressed to the Prime Minister through the Punjab governor and to the Punjab chief minister.</x:v>
      </x:c>
      <x:c r="J34" s="16" t="str">
        <x:v>Ready</x:v>
      </x:c>
    </x:row>
    <x:row r="35">
      <x:c r="A35" s="16" t="str">
        <x:v>IO-CLM-CH-0007</x:v>
      </x:c>
      <x:c r="B35" s="16" t="str">
        <x:v>IO-CM-CH-0001</x:v>
      </x:c>
      <x:c r="C35" s="16" t="str">
        <x:v>Traffic restrictions and diversions were imposed and congestion was reported along the route.</x:v>
      </x:c>
      <x:c r="D35" s="16" t="str">
        <x:v>Official response</x:v>
      </x:c>
      <x:c r="E35" s="16" t="str">
        <x:v>Chandigarh Police / media reports</x:v>
      </x:c>
      <x:c r="F35" s="16" t="str">
        <x:v>Corroborated</x:v>
      </x:c>
      <x:c r="G35" s="16" t="str">
        <x:v>Both outlets report police restrictions and substantial traffic disruption.</x:v>
      </x:c>
      <x:c r="H35" s="16"/>
      <x:c r="I35" s="16" t="str">
        <x:v>Chandigarh Police imposed temporary restrictions and diversions, and congestion was reported along the rally route.</x:v>
      </x:c>
      <x:c r="J35" s="16" t="str">
        <x:v>Ready</x:v>
      </x:c>
    </x:row>
    <x:row r="36">
      <x:c r="A36" s="16" t="str">
        <x:v>IO-CLM-MH-0001</x:v>
      </x:c>
      <x:c r="B36" s="16" t="str">
        <x:v>IO-CM-MH-0001</x:v>
      </x:c>
      <x:c r="C36" s="16" t="str">
        <x:v>A Save SGNP protest and human chain took place in Thane on Sunday, 5 July 2026.</x:v>
      </x:c>
      <x:c r="D36" s="16" t="str">
        <x:v>Occurrence</x:v>
      </x:c>
      <x:c r="E36" s="16" t="str">
        <x:v>India Observed synthesis</x:v>
      </x:c>
      <x:c r="F36" s="16" t="str">
        <x:v>Corroborated</x:v>
      </x:c>
      <x:c r="G36" s="16" t="str">
        <x:v>The Times of India reports the Sunday gathering on 5 July. Free Press Journal independently describes the same protest but gives an inconsistent calendar date.</x:v>
      </x:c>
      <x:c r="H36" s="16"/>
      <x:c r="I36" s="16" t="str">
        <x:v>A Save SGNP protest and human chain took place in Thane on Sunday, 5 July 2026.</x:v>
      </x:c>
      <x:c r="J36" s="16" t="str">
        <x:v>Ready</x:v>
      </x:c>
    </x:row>
    <x:row r="37">
      <x:c r="A37" s="16" t="str">
        <x:v>IO-CLM-MH-0002</x:v>
      </x:c>
      <x:c r="B37" s="16" t="str">
        <x:v>IO-CM-MH-0001</x:v>
      </x:c>
      <x:c r="C37" s="16" t="str">
        <x:v>Participants gathered near the Chitalsar Manpada entry point and formed a human chain along part of the Tikuji-ni-Wadi–Khewra Chowk stretch.</x:v>
      </x:c>
      <x:c r="D37" s="16" t="str">
        <x:v>Protest method</x:v>
      </x:c>
      <x:c r="E37" s="16" t="str">
        <x:v>India Observed synthesis</x:v>
      </x:c>
      <x:c r="F37" s="16" t="str">
        <x:v>Corroborated</x:v>
      </x:c>
      <x:c r="G37" s="16" t="str">
        <x:v>The gathering point is reported by The Times of India; the human-chain stretch is described by Free Press Journal.</x:v>
      </x:c>
      <x:c r="H37" s="16"/>
      <x:c r="I37" s="16" t="str">
        <x:v>Participants gathered near the Chitalsar Manpada entry point and formed a human chain along part of the Tikuji-ni-Wadi–Khewra Chowk stretch.</x:v>
      </x:c>
      <x:c r="J37" s="16" t="str">
        <x:v>Ready</x:v>
      </x:c>
    </x:row>
    <x:row r="38">
      <x:c r="A38" s="16" t="str">
        <x:v>IO-CLM-MH-0003</x:v>
      </x:c>
      <x:c r="B38" s="16" t="str">
        <x:v>IO-CM-MH-0001</x:v>
      </x:c>
      <x:c r="C38" s="16" t="str">
        <x:v>The campaign opposed infrastructure and construction proposals that participants believed could damage forests near SGNP.</x:v>
      </x:c>
      <x:c r="D38" s="16" t="str">
        <x:v>Demand</x:v>
      </x:c>
      <x:c r="E38" s="16" t="str">
        <x:v>Mission Save SGNP participants</x:v>
      </x:c>
      <x:c r="F38" s="16" t="str">
        <x:v>Corroborated</x:v>
      </x:c>
      <x:c r="G38" s="16" t="str">
        <x:v>Both independent reports describe opposition to development proposals around the park.</x:v>
      </x:c>
      <x:c r="H38" s="16"/>
      <x:c r="I38" s="16" t="str">
        <x:v>The campaign opposed infrastructure and construction proposals that participants said could damage forests near SGNP.</x:v>
      </x:c>
      <x:c r="J38" s="16" t="str">
        <x:v>Ready with attribution</x:v>
      </x:c>
    </x:row>
    <x:row r="39">
      <x:c r="A39" s="16" t="str">
        <x:v>IO-CLM-MH-0004</x:v>
      </x:c>
      <x:c r="B39" s="16" t="str">
        <x:v>IO-CM-MH-0001</x:v>
      </x:c>
      <x:c r="C39" s="16" t="str">
        <x:v>One stated demand was to halt a Thane Municipal Corporation proposal for a man-made biodiversity park in an area protesters described as an existing natural ecosystem.</x:v>
      </x:c>
      <x:c r="D39" s="16" t="str">
        <x:v>Demand</x:v>
      </x:c>
      <x:c r="E39" s="16" t="str">
        <x:v>Mission Save SGNP participants</x:v>
      </x:c>
      <x:c r="F39" s="16" t="str">
        <x:v>Attributed allegation</x:v>
      </x:c>
      <x:c r="G39" s="16" t="str">
        <x:v>The Times of India reports the demand. Official project documents and land boundaries have not yet been added.</x:v>
      </x:c>
      <x:c r="H39" s="16"/>
      <x:c r="I39" s="16" t="str">
        <x:v>One stated demand was to halt a proposed man-made biodiversity park in an area protesters described as an existing natural ecosystem.</x:v>
      </x:c>
      <x:c r="J39" s="16" t="str">
        <x:v>Ready with attribution</x:v>
      </x:c>
    </x:row>
    <x:row r="40">
      <x:c r="A40" s="16" t="str">
        <x:v>IO-CLM-MH-0005</x:v>
      </x:c>
      <x:c r="B40" s="16" t="str">
        <x:v>IO-CM-MH-0001</x:v>
      </x:c>
      <x:c r="C40" s="16" t="str">
        <x:v>Campaign material seeks protection of approximately 193 acres of forest land near the park.</x:v>
      </x:c>
      <x:c r="D40" s="16" t="str">
        <x:v>Project context</x:v>
      </x:c>
      <x:c r="E40" s="16" t="str">
        <x:v>Mission Save SGNP campaign</x:v>
      </x:c>
      <x:c r="F40" s="16" t="str">
        <x:v>Attributed allegation</x:v>
      </x:c>
      <x:c r="G40" s="16" t="str">
        <x:v>The figure appears in the public campaign petition and campaign posts; official cadastral or forest records are required.</x:v>
      </x:c>
      <x:c r="H40" s="16"/>
      <x:c r="I40" s="16" t="str">
        <x:v>Campaign material seeks protection of approximately 193 acres of forest land near the park; official land records are still required.</x:v>
      </x:c>
      <x:c r="J40" s="16" t="str">
        <x:v>Needs official document</x:v>
      </x:c>
    </x:row>
    <x:row r="41">
      <x:c r="A41" s="16" t="str">
        <x:v>IO-CLM-MH-0006</x:v>
      </x:c>
      <x:c r="B41" s="16" t="str">
        <x:v>IO-CM-MH-0001</x:v>
      </x:c>
      <x:c r="C41" s="16" t="str">
        <x:v>The protest continued despite heavy rain.</x:v>
      </x:c>
      <x:c r="D41" s="16" t="str">
        <x:v>Other</x:v>
      </x:c>
      <x:c r="E41" s="16" t="str">
        <x:v>India Observed synthesis</x:v>
      </x:c>
      <x:c r="F41" s="16" t="str">
        <x:v>Corroborated</x:v>
      </x:c>
      <x:c r="G41" s="16" t="str">
        <x:v>Both independent reports mention heavy rainfall during the gathering.</x:v>
      </x:c>
      <x:c r="H41" s="16"/>
      <x:c r="I41" s="16" t="str">
        <x:v>The protest continued despite heavy rain.</x:v>
      </x:c>
      <x:c r="J41" s="16" t="str">
        <x:v>Ready</x:v>
      </x:c>
    </x:row>
    <x:row r="42">
      <x:c r="A42" s="16" t="str">
        <x:v>IO-CLM-MH-0007</x:v>
      </x:c>
      <x:c r="B42" s="16" t="str">
        <x:v>IO-CM-MH-0001</x:v>
      </x:c>
      <x:c r="C42" s="16" t="str">
        <x:v>Campaign posts stated that more than 1,000 people participated.</x:v>
      </x:c>
      <x:c r="D42" s="16" t="str">
        <x:v>Other</x:v>
      </x:c>
      <x:c r="E42" s="16" t="str">
        <x:v>Mission Save SGNP campaign posts</x:v>
      </x:c>
      <x:c r="F42" s="16" t="str">
        <x:v>Unconfirmed allegation</x:v>
      </x:c>
      <x:c r="G42" s="16" t="str">
        <x:v>Media described hundreds or a large gathering, while campaign posts claimed over 1,000. India Observed has not independently counted participants.</x:v>
      </x:c>
      <x:c r="H42" s="16"/>
      <x:c r="I42" s="16" t="str">
        <x:v>Campaign posts stated that more than 1,000 people participated; India Observed has not independently verified the attendance figure.</x:v>
      </x:c>
      <x:c r="J42" s="16" t="str">
        <x:v>Needs corroboration</x:v>
      </x:c>
    </x:row>
    <x:row r="43">
      <x:c r="A43" s="16" t="str">
        <x:v>IO-CLM-KA-0007</x:v>
      </x:c>
      <x:c r="B43" s="16" t="str">
        <x:v>IO-CM-KA-0002</x:v>
      </x:c>
      <x:c r="C43" s="16" t="str">
        <x:v>Farmers and agricultural communities in the Bidadi region have conducted a sustained movement opposing the township land acquisition.</x:v>
      </x:c>
      <x:c r="D43" s="16" t="str">
        <x:v>Occurrence</x:v>
      </x:c>
      <x:c r="E43" s="16" t="str">
        <x:v>India Observed synthesis</x:v>
      </x:c>
      <x:c r="F43" s="16" t="str">
        <x:v>Corroborated</x:v>
      </x:c>
      <x:c r="G43" s="16" t="str">
        <x:v>Supported by independent reporting from The News Minute, The New Indian Express and The Times of India.</x:v>
      </x:c>
      <x:c r="H43" s="16"/>
      <x:c r="I43" s="16" t="str">
        <x:v>Farmers and agricultural communities in the Bidadi region have conducted a sustained movement opposing the township land acquisition.</x:v>
      </x:c>
      <x:c r="J43" s="16" t="str">
        <x:v>Ready</x:v>
      </x:c>
    </x:row>
    <x:row r="44">
      <x:c r="A44" s="16" t="str">
        <x:v>IO-CLM-KA-0008</x:v>
      </x:c>
      <x:c r="B44" s="16" t="str">
        <x:v>IO-CM-KA-0002</x:v>
      </x:c>
      <x:c r="C44" s="16" t="str">
        <x:v>By 29 June 2026, farmers had been protesting for more than 450 days.</x:v>
      </x:c>
      <x:c r="D44" s="16" t="str">
        <x:v>Start date / duration</x:v>
      </x:c>
      <x:c r="E44" s="16" t="str">
        <x:v>The News Minute ground report</x:v>
      </x:c>
      <x:c r="F44" s="16" t="str">
        <x:v>Corroborated</x:v>
      </x:c>
      <x:c r="G44" s="16" t="str">
        <x:v>The News Minute's ground report and July survey coverage independently describe a movement lasting more than 450 days. The exact first day remains under verification.</x:v>
      </x:c>
      <x:c r="H44" s="16"/>
      <x:c r="I44" s="16" t="str">
        <x:v>Independent reporting described the movement as having continued for more than 450 days by late June 2026.</x:v>
      </x:c>
      <x:c r="J44" s="16" t="str">
        <x:v>Ready</x:v>
      </x:c>
    </x:row>
    <x:row r="45">
      <x:c r="A45" s="16" t="str">
        <x:v>IO-CLM-KA-0009</x:v>
      </x:c>
      <x:c r="B45" s="16" t="str">
        <x:v>IO-CM-KA-0002</x:v>
      </x:c>
      <x:c r="C45" s="16" t="str">
        <x:v>The Karnataka government issued a final notification in June 2026 for first-phase acquisition of approximately 518 acres across Kempayyanapalya, Mandalahalli and Vaderahalli.</x:v>
      </x:c>
      <x:c r="D45" s="16" t="str">
        <x:v>Project connection</x:v>
      </x:c>
      <x:c r="E45" s="16" t="str">
        <x:v>Karnataka Government, as documented by independent media</x:v>
      </x:c>
      <x:c r="F45" s="16" t="str">
        <x:v>Corroborated</x:v>
      </x:c>
      <x:c r="G45" s="16" t="str">
        <x:v>The News Minute and The New Indian Express independently report the final notification and the three villages. A direct gazette copy has not yet been added.</x:v>
      </x:c>
      <x:c r="H45" s="16"/>
      <x:c r="I45" s="16" t="str">
        <x:v>Independent reports state that the Karnataka government issued a final notification in June 2026 for approximately 518 acres across three villages in the first phase.</x:v>
      </x:c>
      <x:c r="J45" s="16" t="str">
        <x:v>Ready</x:v>
      </x:c>
    </x:row>
    <x:row r="46">
      <x:c r="A46" s="16" t="str">
        <x:v>IO-CLM-KA-0010</x:v>
      </x:c>
      <x:c r="B46" s="16" t="str">
        <x:v>IO-CM-KA-0002</x:v>
      </x:c>
      <x:c r="C46" s="16" t="str">
        <x:v>The movement's principal demand is that the government stop, withdraw or reconsider the land acquisition and protect affected farming livelihoods.</x:v>
      </x:c>
      <x:c r="D46" s="16" t="str">
        <x:v>Demand</x:v>
      </x:c>
      <x:c r="E46" s="16" t="str">
        <x:v>Raithara Bhoohitha Rakshana Sangha and affected farmers</x:v>
      </x:c>
      <x:c r="F46" s="16" t="str">
        <x:v>Corroborated</x:v>
      </x:c>
      <x:c r="G46" s="16" t="str">
        <x:v>This demand is consistently described in ground reports, the Appiko protest report and survey-resistance coverage.</x:v>
      </x:c>
      <x:c r="H46" s="16"/>
      <x:c r="I46" s="16" t="str">
        <x:v>Protesters are demanding that the government stop, withdraw or reconsider the land acquisition and protect affected farming livelihoods.</x:v>
      </x:c>
      <x:c r="J46" s="16" t="str">
        <x:v>Ready</x:v>
      </x:c>
    </x:row>
    <x:row r="47">
      <x:c r="A47" s="16" t="str">
        <x:v>IO-CLM-KA-0011</x:v>
      </x:c>
      <x:c r="B47" s="16" t="str">
        <x:v>IO-CM-KA-0002</x:v>
      </x:c>
      <x:c r="C47" s="16" t="str">
        <x:v>Farmers organised under the banner of the Raithara Bhoohitha Rakshana Sangha.</x:v>
      </x:c>
      <x:c r="D47" s="16" t="str">
        <x:v>Other</x:v>
      </x:c>
      <x:c r="E47" s="16" t="str">
        <x:v>The News Minute ground report</x:v>
      </x:c>
      <x:c r="F47" s="16" t="str">
        <x:v>Corroborated</x:v>
      </x:c>
      <x:c r="G47" s="16" t="str">
        <x:v>The organisation is named in The News Minute's ground reporting. Its formal registration and office-bearer details still require confirmation.</x:v>
      </x:c>
      <x:c r="H47" s="16"/>
      <x:c r="I47" s="16" t="str">
        <x:v>Farmers have organised under the banner of the Raithara Bhoohitha Rakshana Sangha.</x:v>
      </x:c>
      <x:c r="J47" s="16" t="str">
        <x:v>Ready</x:v>
      </x:c>
    </x:row>
    <x:row r="48">
      <x:c r="A48" s="16" t="str">
        <x:v>IO-CLM-KA-0012</x:v>
      </x:c>
      <x:c r="B48" s="16" t="str">
        <x:v>IO-CM-KA-0002</x:v>
      </x:c>
      <x:c r="C48" s="16" t="str">
        <x:v>The government describes the township as a project intended to decongest Bengaluru, support economic growth and create employment.</x:v>
      </x:c>
      <x:c r="D48" s="16" t="str">
        <x:v>Official response</x:v>
      </x:c>
      <x:c r="E48" s="16" t="str">
        <x:v>Karnataka Government, as reported by The News Minute and The New Indian Express</x:v>
      </x:c>
      <x:c r="F48" s="16" t="str">
        <x:v>Attributed official statement</x:v>
      </x:c>
      <x:c r="G48" s="16" t="str">
        <x:v>The stated objectives are reported consistently, but a complete official project plan has not yet been added.</x:v>
      </x:c>
      <x:c r="H48" s="16"/>
      <x:c r="I48" s="16" t="str">
        <x:v>The Karnataka government describes the township as a planned urban-development and employment project intended to support Bengaluru's growth.</x:v>
      </x:c>
      <x:c r="J48" s="16" t="str">
        <x:v>Ready with attribution</x:v>
      </x:c>
    </x:row>
    <x:row r="49">
      <x:c r="A49" s="16" t="str">
        <x:v>IO-CLM-KA-0013</x:v>
      </x:c>
      <x:c r="B49" s="16" t="str">
        <x:v>IO-CM-KA-0002</x:v>
      </x:c>
      <x:c r="C49" s="16" t="str">
        <x:v>The government has proposed cash compensation in the range of approximately ₹2.07 crore to ₹2.14 crore per acre and other compensation options.</x:v>
      </x:c>
      <x:c r="D49" s="16" t="str">
        <x:v>Compensation / package</x:v>
      </x:c>
      <x:c r="E49" s="16" t="str">
        <x:v>Karnataka Government, as reported by The News Minute</x:v>
      </x:c>
      <x:c r="F49" s="16" t="str">
        <x:v>Media reported — official document required</x:v>
      </x:c>
      <x:c r="G49" s="16" t="str">
        <x:v>The News Minute reports the compensation range and applications. The underlying compensation order and eligibility terms are still required.</x:v>
      </x:c>
      <x:c r="H49" s="16"/>
      <x:c r="I49" s="16" t="str">
        <x:v>Media reports state that the government proposed cash compensation of approximately ₹2.07 crore to ₹2.14 crore per acre; the official compensation order is still required.</x:v>
      </x:c>
      <x:c r="J49" s="16" t="str">
        <x:v>Needs official document</x:v>
      </x:c>
    </x:row>
    <x:row r="50">
      <x:c r="A50" s="16" t="str">
        <x:v>IO-CLM-KA-0014</x:v>
      </x:c>
      <x:c r="B50" s="16" t="str">
        <x:v>IO-CM-KA-0002</x:v>
      </x:c>
      <x:c r="C50" s="16" t="str">
        <x:v>Farmers staged an Appiko tree-hugging protest on 28 June 2026 to oppose the project and raise concerns about loss of green cover.</x:v>
      </x:c>
      <x:c r="D50" s="16" t="str">
        <x:v>Protest method</x:v>
      </x:c>
      <x:c r="E50" s="16" t="str">
        <x:v>Affected farmers</x:v>
      </x:c>
      <x:c r="F50" s="16" t="str">
        <x:v>Corroborated</x:v>
      </x:c>
      <x:c r="G50" s="16" t="str">
        <x:v>The Times of India documented the march and tree-hugging action with location and participant details.</x:v>
      </x:c>
      <x:c r="H50" s="16"/>
      <x:c r="I50" s="16" t="str">
        <x:v>Farmers staged an Appiko tree-hugging protest on 28 June 2026 to oppose the project and raise environmental concerns.</x:v>
      </x:c>
      <x:c r="J50" s="16" t="str">
        <x:v>Ready</x:v>
      </x:c>
    </x:row>
    <x:row r="51">
      <x:c r="A51" s="16" t="str">
        <x:v>IO-CLM-KA-0015</x:v>
      </x:c>
      <x:c r="B51" s="16" t="str">
        <x:v>IO-CM-KA-0002</x:v>
      </x:c>
      <x:c r="C51" s="16" t="str">
        <x:v>On 13 July 2026, farmers stopped or obstructed a government land-survey team in Mandalahalli and a confrontation occurred.</x:v>
      </x:c>
      <x:c r="D51" s="16" t="str">
        <x:v>Protest method</x:v>
      </x:c>
      <x:c r="E51" s="16" t="str">
        <x:v>India Observed synthesis</x:v>
      </x:c>
      <x:c r="F51" s="16" t="str">
        <x:v>Corroborated</x:v>
      </x:c>
      <x:c r="G51" s="16" t="str">
        <x:v>The News Minute, India Today and The New Indian Express independently document the survey obstruction and confrontation. Responsibility for injuries, stone throwing and vehicle damage is disputed.</x:v>
      </x:c>
      <x:c r="H51" s="16"/>
      <x:c r="I51" s="16" t="str">
        <x:v>On 13 July 2026, protesters stopped or obstructed a government land-survey team in Mandalahalli and a confrontation occurred.</x:v>
      </x:c>
      <x:c r="J51" s="16" t="str">
        <x:v>Ready</x:v>
      </x:c>
    </x:row>
    <x:row r="52">
      <x:c r="A52" s="16" t="str">
        <x:v>IO-CLM-KA-0016</x:v>
      </x:c>
      <x:c r="B52" s="16" t="str">
        <x:v>IO-CM-KA-0002</x:v>
      </x:c>
      <x:c r="C52" s="16" t="str">
        <x:v>Police registered two FIRs following the 13 July confrontation, alleging assault, obstruction and damage by protesters.</x:v>
      </x:c>
      <x:c r="D52" s="16" t="str">
        <x:v>Official response</x:v>
      </x:c>
      <x:c r="E52" s="16" t="str">
        <x:v>Karnataka Police, as reported by India Today and The New Indian Express</x:v>
      </x:c>
      <x:c r="F52" s="16" t="str">
        <x:v>Attributed official statement</x:v>
      </x:c>
      <x:c r="G52" s="16" t="str">
        <x:v>The allegations come from FIRs and police complaints. A farmer quoted by India Today denied that members of the farmers' association were responsible for the alleged violence.</x:v>
      </x:c>
      <x:c r="H52" s="16" t="str">
        <x:v>Protesting farmers / association members</x:v>
      </x:c>
      <x:c r="I52" s="16" t="str">
        <x:v>Police registered two FIRs following the confrontation, alleging assault, obstruction and damage; representatives of the movement disputed responsibility for the violence.</x:v>
      </x:c>
      <x:c r="J52" s="16" t="str">
        <x:v>Ready with attribution</x:v>
      </x:c>
    </x:row>
    <x:row r="53">
      <x:c r="A53" s="16" t="str">
        <x:v>IO-CLM-KA-0017</x:v>
      </x:c>
      <x:c r="B53" s="16" t="str">
        <x:v>IO-CM-KA-0002</x:v>
      </x:c>
      <x:c r="C53" s="16" t="str">
        <x:v>Farmers say the acquisition threatens productive agricultural land, farming livelihoods and local green cover.</x:v>
      </x:c>
      <x:c r="D53" s="16" t="str">
        <x:v>Other</x:v>
      </x:c>
      <x:c r="E53" s="16" t="str">
        <x:v>Affected farmers and farmer organisations</x:v>
      </x:c>
      <x:c r="F53" s="16" t="str">
        <x:v>Attributed allegation</x:v>
      </x:c>
      <x:c r="G53" s="16" t="str">
        <x:v>Ground reporting documents active cultivation and farmer testimony. Exact land-use classification, agricultural productivity and environmental loss require official land, horticulture and environmental records.</x:v>
      </x:c>
      <x:c r="H53" s="16"/>
      <x:c r="I53" s="16" t="str">
        <x:v>Farmers say the acquisition threatens agricultural livelihoods, productive land and local green cover; the exact scale remains under review.</x:v>
      </x:c>
      <x:c r="J53" s="16" t="str">
        <x:v>Ready with attribution</x:v>
      </x:c>
    </x:row>
    <x:row r="54">
      <x:c r="A54" s="16" t="str">
        <x:v>IO-CLM-KA-0018</x:v>
      </x:c>
      <x:c r="B54" s="16" t="str">
        <x:v>IO-CM-KA-0002</x:v>
      </x:c>
      <x:c r="C54" s="16" t="str">
        <x:v>Claims about the proportion of landowners who consented to acquisition are disputed.</x:v>
      </x:c>
      <x:c r="D54" s="16" t="str">
        <x:v>Other</x:v>
      </x:c>
      <x:c r="E54" s="16" t="str">
        <x:v>Government representatives and protesting farmers</x:v>
      </x:c>
      <x:c r="F54" s="16" t="str">
        <x:v>Disputed</x:v>
      </x:c>
      <x:c r="G54" s="16" t="str">
        <x:v>Government and protest participants have presented conflicting accounts about farmer acceptance and compensation applications. No complete consent register has been reviewed.</x:v>
      </x:c>
      <x:c r="H54" s="16"/>
      <x:c r="I54" s="16" t="str">
        <x:v>Government representatives and protesting farmers have presented conflicting accounts about consent and participation in the compensation process.</x:v>
      </x:c>
      <x:c r="J54" s="16" t="str">
        <x:v>Ready with attribution</x:v>
      </x:c>
    </x:row>
    <x:row r="55">
      <x:c r="A55" s="16" t="str">
        <x:v>IO-CLM-KA-0019</x:v>
      </x:c>
      <x:c r="B55" s="16" t="str">
        <x:v>IO-CM-KA-0002</x:v>
      </x:c>
      <x:c r="C55" s="16" t="str">
        <x:v>On 15 July 2026, the Karnataka government announced a committee to review the proposed township amid the continuing protests.</x:v>
      </x:c>
      <x:c r="D55" s="16" t="str">
        <x:v>Official response</x:v>
      </x:c>
      <x:c r="E55" s="16" t="str">
        <x:v>Karnataka Government, as reported by The Economic Times</x:v>
      </x:c>
      <x:c r="F55" s="16" t="str">
        <x:v>Media reported — official document required</x:v>
      </x:c>
      <x:c r="G55" s="16" t="str">
        <x:v>The announcement is reported by The Economic Times. A direct government notification naming the committee, members and mandate has not yet been located.</x:v>
      </x:c>
      <x:c r="H55" s="16"/>
      <x:c r="I55" s="16" t="str">
        <x:v>The Economic Times reported that the Karnataka government announced a committee to review the proposed township amid the protests.</x:v>
      </x:c>
      <x:c r="J55" s="16" t="str">
        <x:v>Needs official document</x:v>
      </x:c>
    </x:row>
    <x:row r="56">
      <x:c r="A56" s="16" t="str">
        <x:v>IO-CLM-GJ-0001</x:v>
      </x:c>
      <x:c r="B56" s="16" t="str">
        <x:v>IO-CM-GJ-0001</x:v>
      </x:c>
      <x:c r="C56" s="16" t="str">
        <x:v>Farmers centred in Jetpar village began a protest on 7 June 2026 over compensation for agricultural land affected by transmission infrastructure.</x:v>
      </x:c>
      <x:c r="D56" s="16" t="str">
        <x:v>Occurrence</x:v>
      </x:c>
      <x:c r="E56" s="16" t="str">
        <x:v>India Observed synthesis</x:v>
      </x:c>
      <x:c r="F56" s="16" t="str">
        <x:v>Corroborated</x:v>
      </x:c>
      <x:c r="G56" s="16" t="str">
        <x:v>Independent reports from The Indian Express, The Wire and The Telegraph document the movement and its chronology.</x:v>
      </x:c>
      <x:c r="H56" s="16"/>
      <x:c r="I56" s="16" t="str">
        <x:v>Farmers centred in Jetpar village began a protest on 7 June 2026 over compensation for land affected by transmission infrastructure.</x:v>
      </x:c>
      <x:c r="J56" s="16" t="str">
        <x:v>Ready</x:v>
      </x:c>
    </x:row>
    <x:row r="57">
      <x:c r="A57" s="16" t="str">
        <x:v>IO-CLM-GJ-0002</x:v>
      </x:c>
      <x:c r="B57" s="16" t="str">
        <x:v>IO-CM-GJ-0001</x:v>
      </x:c>
      <x:c r="C57" s="16" t="str">
        <x:v>A group of farmers began an indefinite hunger strike on 17 June 2026.</x:v>
      </x:c>
      <x:c r="D57" s="16" t="str">
        <x:v>Protest method</x:v>
      </x:c>
      <x:c r="E57" s="16" t="str">
        <x:v>Affected farmers</x:v>
      </x:c>
      <x:c r="F57" s="16" t="str">
        <x:v>Corroborated</x:v>
      </x:c>
      <x:c r="G57" s="16" t="str">
        <x:v>The start of the hunger strike is consistently reported by multiple independent publishers.</x:v>
      </x:c>
      <x:c r="H57" s="16"/>
      <x:c r="I57" s="16" t="str">
        <x:v>A group of farmers began an indefinite hunger strike on 17 June 2026.</x:v>
      </x:c>
      <x:c r="J57" s="16" t="str">
        <x:v>Ready</x:v>
      </x:c>
    </x:row>
    <x:row r="58">
      <x:c r="A58" s="16" t="str">
        <x:v>IO-CLM-GJ-0003</x:v>
      </x:c>
      <x:c r="B58" s="16" t="str">
        <x:v>IO-CM-GJ-0001</x:v>
      </x:c>
      <x:c r="C58" s="16" t="str">
        <x:v>Farmers demanded compensation based on four times the market value and changes to right-of-way compensation.</x:v>
      </x:c>
      <x:c r="D58" s="16" t="str">
        <x:v>Demand</x:v>
      </x:c>
      <x:c r="E58" s="16" t="str">
        <x:v>Affected farmers and farmer organisations</x:v>
      </x:c>
      <x:c r="F58" s="16" t="str">
        <x:v>Corroborated</x:v>
      </x:c>
      <x:c r="G58" s="16" t="str">
        <x:v>The demand is consistently described across the independent reporting; the legal entitlement remains a policy and valuation question.</x:v>
      </x:c>
      <x:c r="H58" s="16"/>
      <x:c r="I58" s="16" t="str">
        <x:v>Farmers demanded compensation based on four times the market value and changes to right-of-way compensation.</x:v>
      </x:c>
      <x:c r="J58" s="16" t="str">
        <x:v>Ready with attribution</x:v>
      </x:c>
    </x:row>
    <x:row r="59">
      <x:c r="A59" s="16" t="str">
        <x:v>IO-CLM-GJ-0004</x:v>
      </x:c>
      <x:c r="B59" s="16" t="str">
        <x:v>IO-CM-GJ-0001</x:v>
      </x:c>
      <x:c r="C59" s="16" t="str">
        <x:v>The transmission project is being implemented through Halvad Transmission Limited, associated with Adani Energy Solutions.</x:v>
      </x:c>
      <x:c r="D59" s="16" t="str">
        <x:v>Project connection</x:v>
      </x:c>
      <x:c r="E59" s="16" t="str">
        <x:v>Media reports and company/project references</x:v>
      </x:c>
      <x:c r="F59" s="16" t="str">
        <x:v>Corroborated</x:v>
      </x:c>
      <x:c r="G59" s="16" t="str">
        <x:v>The implementing entity is identified by multiple reports. The complete concession and route documents have not yet been added.</x:v>
      </x:c>
      <x:c r="H59" s="16"/>
      <x:c r="I59" s="16" t="str">
        <x:v>Independent reports identify Halvad Transmission Limited, associated with Adani Energy Solutions, as the project implementing entity.</x:v>
      </x:c>
      <x:c r="J59" s="16" t="str">
        <x:v>Ready</x:v>
      </x:c>
    </x:row>
    <x:row r="60">
      <x:c r="A60" s="16" t="str">
        <x:v>IO-CLM-GJ-0005</x:v>
      </x:c>
      <x:c r="B60" s="16" t="str">
        <x:v>IO-CM-GJ-0001</x:v>
      </x:c>
      <x:c r="C60" s="16" t="str">
        <x:v>On 4 July 2026, the Gujarat government issued revised compensation guidelines that included a higher land-valuation basis and a new valuation process.</x:v>
      </x:c>
      <x:c r="D60" s="16" t="str">
        <x:v>Official response</x:v>
      </x:c>
      <x:c r="E60" s="16" t="str">
        <x:v>Gujarat Government, as reported by independent media</x:v>
      </x:c>
      <x:c r="F60" s="16" t="str">
        <x:v>Media reported — official document required</x:v>
      </x:c>
      <x:c r="G60" s="16" t="str">
        <x:v>The revised resolution is described by The Indian Express, The Wire and The Telegraph. The original government resolution must still be added.</x:v>
      </x:c>
      <x:c r="H60" s="16"/>
      <x:c r="I60" s="16" t="str">
        <x:v>Independent reports state that the Gujarat government issued revised compensation guidelines on 4 July 2026; the original resolution is still required.</x:v>
      </x:c>
      <x:c r="J60" s="16" t="str">
        <x:v>Needs official document</x:v>
      </x:c>
    </x:row>
    <x:row r="61">
      <x:c r="A61" s="16" t="str">
        <x:v>IO-CLM-GJ-0006</x:v>
      </x:c>
      <x:c r="B61" s="16" t="str">
        <x:v>IO-CM-GJ-0001</x:v>
      </x:c>
      <x:c r="C61" s="16" t="str">
        <x:v>Farmers ended the hunger strike on 7 July but said the wider protest would continue as a satyagraha.</x:v>
      </x:c>
      <x:c r="D61" s="16" t="str">
        <x:v>Outcome</x:v>
      </x:c>
      <x:c r="E61" s="16" t="str">
        <x:v>Affected farmers and organisers</x:v>
      </x:c>
      <x:c r="F61" s="16" t="str">
        <x:v>Corroborated</x:v>
      </x:c>
      <x:c r="G61" s="16" t="str">
        <x:v>The change in protest form is independently reported after the government announcement.</x:v>
      </x:c>
      <x:c r="H61" s="16"/>
      <x:c r="I61" s="16" t="str">
        <x:v>Farmers ended the hunger strike on 7 July but said the wider protest would continue as a satyagraha.</x:v>
      </x:c>
      <x:c r="J61" s="16" t="str">
        <x:v>Ready</x:v>
      </x:c>
    </x:row>
    <x:row r="62">
      <x:c r="A62" s="16" t="str">
        <x:v>IO-CLM-GJ-0007</x:v>
      </x:c>
      <x:c r="B62" s="16" t="str">
        <x:v>IO-CM-GJ-0001</x:v>
      </x:c>
      <x:c r="C62" s="16" t="str">
        <x:v>Farmers allege that tower foundations and transmission corridors can make portions of their agricultural land difficult or impossible to cultivate.</x:v>
      </x:c>
      <x:c r="D62" s="16" t="str">
        <x:v>Other</x:v>
      </x:c>
      <x:c r="E62" s="16" t="str">
        <x:v>Affected farmers</x:v>
      </x:c>
      <x:c r="F62" s="16" t="str">
        <x:v>Attributed allegation</x:v>
      </x:c>
      <x:c r="G62" s="16" t="str">
        <x:v>The impact is described through farmer testimony. Parcel-level agricultural and engineering assessments have not been reviewed.</x:v>
      </x:c>
      <x:c r="H62" s="16"/>
      <x:c r="I62" s="16" t="str">
        <x:v>Farmers say tower foundations and transmission corridors reduce the cultivable use of affected land; the exact impact remains under review.</x:v>
      </x:c>
      <x:c r="J62" s="16" t="str">
        <x:v>Ready with attribution</x:v>
      </x:c>
    </x:row>
    <x:row r="63">
      <x:c r="A63" s="16" t="str">
        <x:v>IO-CLM-GJ-0008</x:v>
      </x:c>
      <x:c r="B63" s="16" t="str">
        <x:v>IO-CM-GJ-0001</x:v>
      </x:c>
      <x:c r="C63" s="16" t="str">
        <x:v>Sources provide differing technical figures for the project's voltage and route length.</x:v>
      </x:c>
      <x:c r="D63" s="16" t="str">
        <x:v>Project context</x:v>
      </x:c>
      <x:c r="E63" s="16" t="str">
        <x:v>Independent media reports</x:v>
      </x:c>
      <x:c r="F63" s="16" t="str">
        <x:v>Disputed</x:v>
      </x:c>
      <x:c r="G63" s="16" t="str">
        <x:v>Published reports use differing figures, including 756 kV versus 765 kV and different route-length descriptions. Official project documents are required.</x:v>
      </x:c>
      <x:c r="H63" s="16"/>
      <x:c r="I63" s="16" t="str">
        <x:v>Published reports provide differing technical descriptions of the transmission project; India Observed has not selected one figure pending official documents.</x:v>
      </x:c>
      <x:c r="J63" s="16" t="str">
        <x:v>Needs official document</x:v>
      </x:c>
    </x:row>
    <x:row r="64">
      <x:c r="A64" s="16" t="str">
        <x:v>IO-CLM-UP-0001</x:v>
      </x:c>
      <x:c r="B64" s="16" t="str">
        <x:v>IO-CM-UP-0001</x:v>
      </x:c>
      <x:c r="C64" s="16" t="str">
        <x:v>Residents of Dasiya and nearby villages were publicly opposing the proposed ethanol plant by at least 23 June 2026.</x:v>
      </x:c>
      <x:c r="D64" s="16" t="str">
        <x:v>Occurrence</x:v>
      </x:c>
      <x:c r="E64" s="16" t="str">
        <x:v>India Observed synthesis</x:v>
      </x:c>
      <x:c r="F64" s="16" t="str">
        <x:v>Corroborated</x:v>
      </x:c>
      <x:c r="G64" s="16" t="str">
        <x:v>Amar Ujala documented a memorandum and public opposition in June; later local reporting documented the July demonstration.</x:v>
      </x:c>
      <x:c r="H64" s="16"/>
      <x:c r="I64" s="16" t="str">
        <x:v>Residents of Dasiya and nearby villages were publicly opposing the proposed ethanol plant by at least 23 June 2026.</x:v>
      </x:c>
      <x:c r="J64" s="16" t="str">
        <x:v>Ready</x:v>
      </x:c>
    </x:row>
    <x:row r="65">
      <x:c r="A65" s="16" t="str">
        <x:v>IO-CLM-UP-0002</x:v>
      </x:c>
      <x:c r="B65" s="16" t="str">
        <x:v>IO-CM-UP-0001</x:v>
      </x:c>
      <x:c r="C65" s="16" t="str">
        <x:v>A larger demonstration against the plant took place on 14 July 2026 under substantial police deployment.</x:v>
      </x:c>
      <x:c r="D65" s="16" t="str">
        <x:v>Occurrence</x:v>
      </x:c>
      <x:c r="E65" s="16" t="str">
        <x:v>India Observed synthesis</x:v>
      </x:c>
      <x:c r="F65" s="16" t="str">
        <x:v>Corroborated</x:v>
      </x:c>
      <x:c r="G65" s="16" t="str">
        <x:v>The event is documented by Navbharat Times and public field video from the site.</x:v>
      </x:c>
      <x:c r="H65" s="16"/>
      <x:c r="I65" s="16" t="str">
        <x:v>A larger demonstration against the plant took place on 14 July 2026 under substantial police deployment.</x:v>
      </x:c>
      <x:c r="J65" s="16" t="str">
        <x:v>Ready</x:v>
      </x:c>
    </x:row>
    <x:row r="66">
      <x:c r="A66" s="16" t="str">
        <x:v>IO-CLM-UP-0003</x:v>
      </x:c>
      <x:c r="B66" s="16" t="str">
        <x:v>IO-CM-UP-0001</x:v>
      </x:c>
      <x:c r="C66" s="16" t="str">
        <x:v>The principal demand was that construction or operation of the ethanol plant be stopped.</x:v>
      </x:c>
      <x:c r="D66" s="16" t="str">
        <x:v>Demand</x:v>
      </x:c>
      <x:c r="E66" s="16" t="str">
        <x:v>Residents and supporting local organisations</x:v>
      </x:c>
      <x:c r="F66" s="16" t="str">
        <x:v>Corroborated</x:v>
      </x:c>
      <x:c r="G66" s="16" t="str">
        <x:v>The demand appears consistently in the memorandum reporting, demonstration coverage and field material.</x:v>
      </x:c>
      <x:c r="H66" s="16"/>
      <x:c r="I66" s="16" t="str">
        <x:v>Residents and supporting organisations called for the ethanol-plant project to be stopped.</x:v>
      </x:c>
      <x:c r="J66" s="16" t="str">
        <x:v>Ready with attribution</x:v>
      </x:c>
    </x:row>
    <x:row r="67">
      <x:c r="A67" s="16" t="str">
        <x:v>IO-CLM-UP-0004</x:v>
      </x:c>
      <x:c r="B67" s="16" t="str">
        <x:v>IO-CM-UP-0001</x:v>
      </x:c>
      <x:c r="C67" s="16" t="str">
        <x:v>Protesters raised concerns about groundwater use, pollution, public health and effects on nearby settlements and schools.</x:v>
      </x:c>
      <x:c r="D67" s="16" t="str">
        <x:v>Other</x:v>
      </x:c>
      <x:c r="E67" s="16" t="str">
        <x:v>Residents and organisers</x:v>
      </x:c>
      <x:c r="F67" s="16" t="str">
        <x:v>Attributed allegation</x:v>
      </x:c>
      <x:c r="G67" s="16" t="str">
        <x:v>These concerns are consistently reported as the protesters' stated reasons. No environmental-impact assessment or pollution-control consent has yet been added.</x:v>
      </x:c>
      <x:c r="H67" s="16"/>
      <x:c r="I67" s="16" t="str">
        <x:v>Protesters raised concerns about water use, pollution, health and effects on nearby settlements and schools.</x:v>
      </x:c>
      <x:c r="J67" s="16" t="str">
        <x:v>Ready with attribution</x:v>
      </x:c>
    </x:row>
    <x:row r="68">
      <x:c r="A68" s="16" t="str">
        <x:v>IO-CLM-UP-0005</x:v>
      </x:c>
      <x:c r="B68" s="16" t="str">
        <x:v>IO-CM-UP-0001</x:v>
      </x:c>
      <x:c r="C68" s="16" t="str">
        <x:v>Local reports state that approximately 14 to 15 villages and two government schools are located near the project area.</x:v>
      </x:c>
      <x:c r="D68" s="16" t="str">
        <x:v>Project context</x:v>
      </x:c>
      <x:c r="E68" s="16" t="str">
        <x:v>Residents and local media reports</x:v>
      </x:c>
      <x:c r="F68" s="16" t="str">
        <x:v>Media reported — official document required</x:v>
      </x:c>
      <x:c r="G68" s="16" t="str">
        <x:v>The figures require confirmation through maps, school records and project documents.</x:v>
      </x:c>
      <x:c r="H68" s="16"/>
      <x:c r="I68" s="16" t="str">
        <x:v>Local reports state that several villages and two government schools are near the project area; the exact number requires official verification.</x:v>
      </x:c>
      <x:c r="J68" s="16" t="str">
        <x:v>Needs official document</x:v>
      </x:c>
    </x:row>
    <x:row r="69">
      <x:c r="A69" s="16" t="str">
        <x:v>IO-CLM-UP-0006</x:v>
      </x:c>
      <x:c r="B69" s="16" t="str">
        <x:v>IO-CM-UP-0001</x:v>
      </x:c>
      <x:c r="C69" s="16" t="str">
        <x:v>Some residents allege that landholders were not initially told that an ethanol plant would be built.</x:v>
      </x:c>
      <x:c r="D69" s="16" t="str">
        <x:v>Other</x:v>
      </x:c>
      <x:c r="E69" s="16" t="str">
        <x:v>Affected residents</x:v>
      </x:c>
      <x:c r="F69" s="16" t="str">
        <x:v>Unconfirmed allegation</x:v>
      </x:c>
      <x:c r="G69" s="16" t="str">
        <x:v>The allegation appears in local reporting but has not been tested against sale deeds, consent records or project-disclosure documents.</x:v>
      </x:c>
      <x:c r="H69" s="16"/>
      <x:c r="I69" s="16" t="str">
        <x:v>Some residents allege that landholders were not initially told that the project would be an ethanol plant; India Observed has not independently confirmed this.</x:v>
      </x:c>
      <x:c r="J69" s="16" t="str">
        <x:v>Needs official document</x:v>
      </x:c>
    </x:row>
    <x:row r="70">
      <x:c r="A70" s="16" t="str">
        <x:v>IO-CLM-UP-0007</x:v>
      </x:c>
      <x:c r="B70" s="16" t="str">
        <x:v>IO-CM-UP-0001</x:v>
      </x:c>
      <x:c r="C70" s="16" t="str">
        <x:v>Police and district authorities restricted access near the factory site and prevented some political representatives from reaching the demonstration.</x:v>
      </x:c>
      <x:c r="D70" s="16" t="str">
        <x:v>Official response</x:v>
      </x:c>
      <x:c r="E70" s="16" t="str">
        <x:v>Police and district authorities, as documented by media</x:v>
      </x:c>
      <x:c r="F70" s="16" t="str">
        <x:v>Corroborated</x:v>
      </x:c>
      <x:c r="G70" s="16" t="str">
        <x:v>Navbharat Times and field reporting document heavy deployment and restrictions. The legal basis and exact orders have not been added.</x:v>
      </x:c>
      <x:c r="H70" s="16"/>
      <x:c r="I70" s="16" t="str">
        <x:v>Police and district authorities restricted access near the factory site and prevented some political representatives from reaching the demonstration.</x:v>
      </x:c>
      <x:c r="J70" s="16" t="str">
        <x:v>Ready</x:v>
      </x:c>
    </x:row>
    <x:row r="71">
      <x:c r="A71" s="16" t="str">
        <x:v>IO-CLM-UP-0008</x:v>
      </x:c>
      <x:c r="B71" s="16" t="str">
        <x:v>IO-CM-UP-0001</x:v>
      </x:c>
      <x:c r="C71" s="16" t="str">
        <x:v>Media reports describe the proposed investment as approximately ₹500 crore.</x:v>
      </x:c>
      <x:c r="D71" s="16" t="str">
        <x:v>Project context</x:v>
      </x:c>
      <x:c r="E71" s="16" t="str">
        <x:v>Local media reports</x:v>
      </x:c>
      <x:c r="F71" s="16" t="str">
        <x:v>Media reported — official document required</x:v>
      </x:c>
      <x:c r="G71" s="16" t="str">
        <x:v>The amount is reported in media but requires a company filing, industrial approval or government investment document.</x:v>
      </x:c>
      <x:c r="H71" s="16"/>
      <x:c r="I71" s="16" t="str">
        <x:v>Media reports describe the proposed investment as approximately ₹500 crore; an official project document is still required.</x:v>
      </x:c>
      <x:c r="J71" s="16" t="str">
        <x:v>Needs official document</x:v>
      </x:c>
    </x:row>
    <x:row r="72">
      <x:c r="A72" s="16" t="str">
        <x:v>IO-CLM-AS-0001</x:v>
      </x:c>
      <x:c r="B72" s="16" t="str">
        <x:v>IO-CM-AS-0001</x:v>
      </x:c>
      <x:c r="C72" s="16" t="str">
        <x:v>Hundreds of Bodo residents gathered at Malgaon on 12 July 2026 to protest a proposed land allotment and resettlement plan.</x:v>
      </x:c>
      <x:c r="D72" s="16" t="str">
        <x:v>Occurrence</x:v>
      </x:c>
      <x:c r="E72" s="16" t="str">
        <x:v>India Observed synthesis</x:v>
      </x:c>
      <x:c r="F72" s="16" t="str">
        <x:v>Corroborated</x:v>
      </x:c>
      <x:c r="G72" s="16" t="str">
        <x:v>India Today North East video reporting and local community coverage document the gathering and its purpose.</x:v>
      </x:c>
      <x:c r="H72" s="16"/>
      <x:c r="I72" s="16" t="str">
        <x:v>Hundreds of Bodo residents gathered at Malgaon on 12 July 2026 to protest a proposed land allotment and resettlement plan.</x:v>
      </x:c>
      <x:c r="J72" s="16" t="str">
        <x:v>Ready</x:v>
      </x:c>
    </x:row>
    <x:row r="73">
      <x:c r="A73" s="16" t="str">
        <x:v>IO-CLM-AS-0002</x:v>
      </x:c>
      <x:c r="B73" s="16" t="str">
        <x:v>IO-CM-AS-0001</x:v>
      </x:c>
      <x:c r="C73" s="16" t="str">
        <x:v>The protesters opposed proposed allotment of land to Assam Power Distribution Company Limited.</x:v>
      </x:c>
      <x:c r="D73" s="16" t="str">
        <x:v>Demand</x:v>
      </x:c>
      <x:c r="E73" s="16" t="str">
        <x:v>Greater Malgaon residents</x:v>
      </x:c>
      <x:c r="F73" s="16" t="str">
        <x:v>Corroborated</x:v>
      </x:c>
      <x:c r="G73" s="16" t="str">
        <x:v>The demand is consistently described in regional and community reporting.</x:v>
      </x:c>
      <x:c r="H73" s="16"/>
      <x:c r="I73" s="16" t="str">
        <x:v>Protesters opposed the proposed allotment of land to Assam Power Distribution Company Limited.</x:v>
      </x:c>
      <x:c r="J73" s="16" t="str">
        <x:v>Ready with attribution</x:v>
      </x:c>
    </x:row>
    <x:row r="74">
      <x:c r="A74" s="16" t="str">
        <x:v>IO-CLM-AS-0003</x:v>
      </x:c>
      <x:c r="B74" s="16" t="str">
        <x:v>IO-CM-AS-0001</x:v>
      </x:c>
      <x:c r="C74" s="16" t="str">
        <x:v>The protesters also opposed a proposal to rehabilitate 93 families evicted from Kaimari on the same or nearby land.</x:v>
      </x:c>
      <x:c r="D74" s="16" t="str">
        <x:v>Demand</x:v>
      </x:c>
      <x:c r="E74" s="16" t="str">
        <x:v>Greater Malgaon residents</x:v>
      </x:c>
      <x:c r="F74" s="16" t="str">
        <x:v>Corroborated</x:v>
      </x:c>
      <x:c r="G74" s="16" t="str">
        <x:v>The number and proposal are consistently reported, but the formal rehabilitation order has not been located.</x:v>
      </x:c>
      <x:c r="H74" s="16"/>
      <x:c r="I74" s="16" t="str">
        <x:v>Protesters also opposed a proposal to rehabilitate 93 families evicted from Kaimari on the land in question.</x:v>
      </x:c>
      <x:c r="J74" s="16" t="str">
        <x:v>Ready with attribution</x:v>
      </x:c>
    </x:row>
    <x:row r="75">
      <x:c r="A75" s="16" t="str">
        <x:v>IO-CLM-AS-0004</x:v>
      </x:c>
      <x:c r="B75" s="16" t="str">
        <x:v>IO-CM-AS-0001</x:v>
      </x:c>
      <x:c r="C75" s="16" t="str">
        <x:v>Protesters demanded withdrawal of the proposals and protection of land they described as part of a Tribal Belt and Block.</x:v>
      </x:c>
      <x:c r="D75" s="16" t="str">
        <x:v>Demand</x:v>
      </x:c>
      <x:c r="E75" s="16" t="str">
        <x:v>Greater Malgaon residents</x:v>
      </x:c>
      <x:c r="F75" s="16" t="str">
        <x:v>Corroborated</x:v>
      </x:c>
      <x:c r="G75" s="16" t="str">
        <x:v>This is the central stated demand across the reviewed sources.</x:v>
      </x:c>
      <x:c r="H75" s="16"/>
      <x:c r="I75" s="16" t="str">
        <x:v>Protesters demanded withdrawal of the proposals and protection of land they described as part of a Tribal Belt and Block.</x:v>
      </x:c>
      <x:c r="J75" s="16" t="str">
        <x:v>Ready with attribution</x:v>
      </x:c>
    </x:row>
    <x:row r="76">
      <x:c r="A76" s="16" t="str">
        <x:v>IO-CLM-AS-0005</x:v>
      </x:c>
      <x:c r="B76" s="16" t="str">
        <x:v>IO-CM-AS-0001</x:v>
      </x:c>
      <x:c r="C76" s="16" t="str">
        <x:v>Community representatives said the land had protected Tribal Belt and Block status since 1984.</x:v>
      </x:c>
      <x:c r="D76" s="16" t="str">
        <x:v>Project context</x:v>
      </x:c>
      <x:c r="E76" s="16" t="str">
        <x:v>Community representatives</x:v>
      </x:c>
      <x:c r="F76" s="16" t="str">
        <x:v>Media reported — official document required</x:v>
      </x:c>
      <x:c r="G76" s="16" t="str">
        <x:v>The legal status and date require revenue notifications, cadastral records or other official land documents.</x:v>
      </x:c>
      <x:c r="H76" s="16"/>
      <x:c r="I76" s="16" t="str">
        <x:v>Community representatives said the land has had protected Tribal Belt and Block status since 1984; official land records are still required.</x:v>
      </x:c>
      <x:c r="J76" s="16" t="str">
        <x:v>Needs official document</x:v>
      </x:c>
    </x:row>
    <x:row r="77">
      <x:c r="A77" s="16" t="str">
        <x:v>IO-CLM-AS-0006</x:v>
      </x:c>
      <x:c r="B77" s="16" t="str">
        <x:v>IO-CM-AS-0001</x:v>
      </x:c>
      <x:c r="C77" s="16" t="str">
        <x:v>Protesters alleged that the proposals were made without adequate consultation and would weaken legal protections for tribal land.</x:v>
      </x:c>
      <x:c r="D77" s="16" t="str">
        <x:v>Other</x:v>
      </x:c>
      <x:c r="E77" s="16" t="str">
        <x:v>Community representatives</x:v>
      </x:c>
      <x:c r="F77" s="16" t="str">
        <x:v>Attributed allegation</x:v>
      </x:c>
      <x:c r="G77" s="16" t="str">
        <x:v>The consultation process and legal effect require government files and land-law analysis.</x:v>
      </x:c>
      <x:c r="H77" s="16"/>
      <x:c r="I77" s="16" t="str">
        <x:v>Protesters alleged that the proposals were made without adequate consultation and would weaken protections for tribal land.</x:v>
      </x:c>
      <x:c r="J77" s="16" t="str">
        <x:v>Ready with attribution</x:v>
      </x:c>
    </x:row>
    <x:row r="78">
      <x:c r="A78" s="16" t="str">
        <x:v>IO-CLM-AS-0007</x:v>
      </x:c>
      <x:c r="B78" s="16" t="str">
        <x:v>IO-CM-AS-0001</x:v>
      </x:c>
      <x:c r="C78" s="16" t="str">
        <x:v>No direct response from the Assam government, Bodoland Territorial Council or APDCL had been located by the review date.</x:v>
      </x:c>
      <x:c r="D78" s="16" t="str">
        <x:v>Official response</x:v>
      </x:c>
      <x:c r="E78" s="16" t="str">
        <x:v>India Observed review</x:v>
      </x:c>
      <x:c r="F78" s="16" t="str">
        <x:v>Unconfirmed allegation</x:v>
      </x:c>
      <x:c r="G78" s="16" t="str">
        <x:v>This records the limits of the reviewed source set, not proof that no response exists.</x:v>
      </x:c>
      <x:c r="H78" s="16"/>
      <x:c r="I78" s="16" t="str">
        <x:v>India Observed had not located a direct government, BTC or APDCL response by 15 July 2026.</x:v>
      </x:c>
      <x:c r="J78" s="16" t="str">
        <x:v>Ready with attribution</x:v>
      </x:c>
    </x:row>
    <x:row r="79">
      <x:c r="A79" s="16" t="str">
        <x:v>IO-CLM-MN-0001</x:v>
      </x:c>
      <x:c r="B79" s="16" t="str">
        <x:v>IO-CM-MN-0001</x:v>
      </x:c>
      <x:c r="C79" s="16" t="str">
        <x:v>The Manipur Government Services Federation launched an indefinite cease-work strike on 1 July 2026.</x:v>
      </x:c>
      <x:c r="D79" s="16" t="str">
        <x:v>Occurrence</x:v>
      </x:c>
      <x:c r="E79" s="16" t="str">
        <x:v>India Observed synthesis</x:v>
      </x:c>
      <x:c r="F79" s="16" t="str">
        <x:v>Corroborated</x:v>
      </x:c>
      <x:c r="G79" s="16" t="str">
        <x:v>The launch date and federation are consistently reported by The Sangai Express and later regional reporting.</x:v>
      </x:c>
      <x:c r="H79" s="16"/>
      <x:c r="I79" s="16" t="str">
        <x:v>The Manipur Government Services Federation launched an indefinite cease-work strike on 1 July 2026.</x:v>
      </x:c>
      <x:c r="J79" s="16" t="str">
        <x:v>Ready</x:v>
      </x:c>
    </x:row>
    <x:row r="80">
      <x:c r="A80" s="16" t="str">
        <x:v>IO-CLM-MN-0002</x:v>
      </x:c>
      <x:c r="B80" s="16" t="str">
        <x:v>IO-CM-MN-0001</x:v>
      </x:c>
      <x:c r="C80" s="16" t="str">
        <x:v>The strike continued through at least 15 July 2026.</x:v>
      </x:c>
      <x:c r="D80" s="16" t="str">
        <x:v>Start date / duration</x:v>
      </x:c>
      <x:c r="E80" s="16" t="str">
        <x:v>India Observed synthesis</x:v>
      </x:c>
      <x:c r="F80" s="16" t="str">
        <x:v>Corroborated</x:v>
      </x:c>
      <x:c r="G80" s="16" t="str">
        <x:v>Regional reporting documents the strike's ninth day and subsequent continuation after a partial government response.</x:v>
      </x:c>
      <x:c r="H80" s="16"/>
      <x:c r="I80" s="16" t="str">
        <x:v>The strike continued through at least 15 July 2026.</x:v>
      </x:c>
      <x:c r="J80" s="16" t="str">
        <x:v>Ready</x:v>
      </x:c>
    </x:row>
    <x:row r="81">
      <x:c r="A81" s="16" t="str">
        <x:v>IO-CLM-MN-0003</x:v>
      </x:c>
      <x:c r="B81" s="16" t="str">
        <x:v>IO-CM-MN-0001</x:v>
      </x:c>
      <x:c r="C81" s="16" t="str">
        <x:v>The federation's demands included dearness-allowance parity, restoration of the old pension scheme, a higher retirement age, regularisation of contractual employees and restoration of Saturday holidays.</x:v>
      </x:c>
      <x:c r="D81" s="16" t="str">
        <x:v>Demand</x:v>
      </x:c>
      <x:c r="E81" s="16" t="str">
        <x:v>Manipur Government Services Federation</x:v>
      </x:c>
      <x:c r="F81" s="16" t="str">
        <x:v>Corroborated</x:v>
      </x:c>
      <x:c r="G81" s="16" t="str">
        <x:v>The principal charter is reported consistently across launch and follow-up coverage.</x:v>
      </x:c>
      <x:c r="H81" s="16"/>
      <x:c r="I81" s="16" t="str">
        <x:v>The federation's demands included dearness-allowance parity, pension changes, retirement-age revision, regularisation and restoration of Saturday holidays.</x:v>
      </x:c>
      <x:c r="J81" s="16" t="str">
        <x:v>Ready with attribution</x:v>
      </x:c>
    </x:row>
    <x:row r="82">
      <x:c r="A82" s="16" t="str">
        <x:v>IO-CLM-MN-0004</x:v>
      </x:c>
      <x:c r="B82" s="16" t="str">
        <x:v>IO-CM-MN-0001</x:v>
      </x:c>
      <x:c r="C82" s="16" t="str">
        <x:v>The cease-work action significantly disrupted routine work in government offices.</x:v>
      </x:c>
      <x:c r="D82" s="16" t="str">
        <x:v>Other</x:v>
      </x:c>
      <x:c r="E82" s="16" t="str">
        <x:v>Independent regional media reports</x:v>
      </x:c>
      <x:c r="F82" s="16" t="str">
        <x:v>Corroborated</x:v>
      </x:c>
      <x:c r="G82" s="16" t="str">
        <x:v>Multiple reports describe widespread administrative disruption; exact office-by-office participation is not available.</x:v>
      </x:c>
      <x:c r="H82" s="16"/>
      <x:c r="I82" s="16" t="str">
        <x:v>The cease-work action significantly disrupted routine work in government offices.</x:v>
      </x:c>
      <x:c r="J82" s="16" t="str">
        <x:v>Ready</x:v>
      </x:c>
    </x:row>
    <x:row r="83">
      <x:c r="A83" s="16" t="str">
        <x:v>IO-CLM-MN-0005</x:v>
      </x:c>
      <x:c r="B83" s="16" t="str">
        <x:v>IO-CM-MN-0001</x:v>
      </x:c>
      <x:c r="C83" s="16" t="str">
        <x:v>The Manipur government restored Saturday as a holiday and introduced a five-day working week for government offices.</x:v>
      </x:c>
      <x:c r="D83" s="16" t="str">
        <x:v>Official response</x:v>
      </x:c>
      <x:c r="E83" s="16" t="str">
        <x:v>Manipur Government</x:v>
      </x:c>
      <x:c r="F83" s="16" t="str">
        <x:v>Corroborated</x:v>
      </x:c>
      <x:c r="G83" s="16" t="str">
        <x:v>The decision is consistently reported as a government response and was followed by continuation of the strike.</x:v>
      </x:c>
      <x:c r="H83" s="16"/>
      <x:c r="I83" s="16" t="str">
        <x:v>The Manipur government restored Saturday as a holiday and introduced a five-day working week for government offices.</x:v>
      </x:c>
      <x:c r="J83" s="16" t="str">
        <x:v>Ready</x:v>
      </x:c>
    </x:row>
    <x:row r="84">
      <x:c r="A84" s="16" t="str">
        <x:v>IO-CLM-MN-0006</x:v>
      </x:c>
      <x:c r="B84" s="16" t="str">
        <x:v>IO-CM-MN-0001</x:v>
      </x:c>
      <x:c r="C84" s="16" t="str">
        <x:v>The federation said the strike would continue because its other demands remained unresolved.</x:v>
      </x:c>
      <x:c r="D84" s="16" t="str">
        <x:v>Outcome</x:v>
      </x:c>
      <x:c r="E84" s="16" t="str">
        <x:v>Manipur Government Services Federation</x:v>
      </x:c>
      <x:c r="F84" s="16" t="str">
        <x:v>Corroborated</x:v>
      </x:c>
      <x:c r="G84" s="16" t="str">
        <x:v>Regional reporting documents continuation after the Saturday-holiday decision.</x:v>
      </x:c>
      <x:c r="H84" s="16"/>
      <x:c r="I84" s="16" t="str">
        <x:v>The federation said the strike would continue because its other demands remained unresolved.</x:v>
      </x:c>
      <x:c r="J84" s="16" t="str">
        <x:v>Ready with attribution</x:v>
      </x:c>
    </x:row>
    <x:row r="85">
      <x:c r="A85" s="16" t="str">
        <x:v>IO-CLM-MN-0007</x:v>
      </x:c>
      <x:c r="B85" s="16" t="str">
        <x:v>IO-CM-MN-0001</x:v>
      </x:c>
      <x:c r="C85" s="16" t="str">
        <x:v>A reported estimate placed the state's financial loss during the first nine days at ₹13.28 crore.</x:v>
      </x:c>
      <x:c r="D85" s="16" t="str">
        <x:v>Other</x:v>
      </x:c>
      <x:c r="E85" s="16" t="str">
        <x:v>Reported administrative estimate</x:v>
      </x:c>
      <x:c r="F85" s="16" t="str">
        <x:v>Media reported — official document required</x:v>
      </x:c>
      <x:c r="G85" s="16" t="str">
        <x:v>The figure is carried by media and should not be treated as an independently audited loss.</x:v>
      </x:c>
      <x:c r="H85" s="16"/>
      <x:c r="I85" s="16" t="str">
        <x:v>Media reports cited an estimated loss of ₹13.28 crore during the first nine days; India Observed has not independently audited the figure.</x:v>
      </x:c>
      <x:c r="J85" s="16" t="str">
        <x:v>Needs official document</x:v>
      </x:c>
    </x:row>
    <x:row r="86">
      <x:c r="A86" s="16" t="str">
        <x:v>IO-CLM-MN-0008</x:v>
      </x:c>
      <x:c r="B86" s="16" t="str">
        <x:v>IO-CM-MN-0001</x:v>
      </x:c>
      <x:c r="C86" s="16" t="str">
        <x:v>The MGSF strike is distinct from separate July cease-work actions organised by other employee federations or joint committees.</x:v>
      </x:c>
      <x:c r="D86" s="16" t="str">
        <x:v>Project context</x:v>
      </x:c>
      <x:c r="E86" s="16" t="str">
        <x:v>India Observed editorial distinction</x:v>
      </x:c>
      <x:c r="F86" s="16" t="str">
        <x:v>Corroborated</x:v>
      </x:c>
      <x:c r="G86" s="16" t="str">
        <x:v>Reviewed reports name different organising bodies and demand charters. They should not be merged without evidence of coordination.</x:v>
      </x:c>
      <x:c r="H86" s="16"/>
      <x:c r="I86" s="16" t="str">
        <x:v>The MGSF-led strike is recorded separately from other employee cease-work actions unless coordination is independently confirmed.</x:v>
      </x:c>
      <x:c r="J86" s="16" t="str">
        <x:v>Ready</x:v>
      </x:c>
    </x:row>
    <x:row r="87">
      <x:c r="A87" s="16" t="str">
        <x:v>IO-CLM-OD-0001</x:v>
      </x:c>
      <x:c r="B87" s="16" t="str">
        <x:v>IO-CM-OD-0001</x:v>
      </x:c>
      <x:c r="C87" s="16" t="str">
        <x:v>Students locked the gate of Dharmasala Baneepeetha High School and staged a dharna on 10 July 2026.</x:v>
      </x:c>
      <x:c r="D87" s="16" t="str">
        <x:v>Occurrence</x:v>
      </x:c>
      <x:c r="E87" s="16" t="str">
        <x:v>India Observed synthesis</x:v>
      </x:c>
      <x:c r="F87" s="16" t="str">
        <x:v>Corroborated</x:v>
      </x:c>
      <x:c r="G87" s="16" t="str">
        <x:v>The New Indian Express and The Times of India independently report the date, location and action.</x:v>
      </x:c>
      <x:c r="H87" s="16"/>
      <x:c r="I87" s="16" t="str">
        <x:v>Students locked the school gate and staged a dharna on 10 July 2026.</x:v>
      </x:c>
      <x:c r="J87" s="16" t="str">
        <x:v>Ready</x:v>
      </x:c>
    </x:row>
    <x:row r="88">
      <x:c r="A88" s="16" t="str">
        <x:v>IO-CLM-OD-0002</x:v>
      </x:c>
      <x:c r="B88" s="16" t="str">
        <x:v>IO-CM-OD-0001</x:v>
      </x:c>
      <x:c r="C88" s="16" t="str">
        <x:v>The students demanded immediate appointment or deputation of teachers to fill vacancies.</x:v>
      </x:c>
      <x:c r="D88" s="16" t="str">
        <x:v>Demand</x:v>
      </x:c>
      <x:c r="E88" s="16" t="str">
        <x:v>Students and guardians</x:v>
      </x:c>
      <x:c r="F88" s="16" t="str">
        <x:v>Corroborated</x:v>
      </x:c>
      <x:c r="G88" s="16" t="str">
        <x:v>Both independent reports identify teacher vacancies as the central demand.</x:v>
      </x:c>
      <x:c r="H88" s="16"/>
      <x:c r="I88" s="16" t="str">
        <x:v>Students demanded immediate appointment or deputation of teachers to address vacancies.</x:v>
      </x:c>
      <x:c r="J88" s="16" t="str">
        <x:v>Ready</x:v>
      </x:c>
    </x:row>
    <x:row r="89">
      <x:c r="A89" s="16" t="str">
        <x:v>IO-CLM-OD-0003</x:v>
      </x:c>
      <x:c r="B89" s="16" t="str">
        <x:v>IO-CM-OD-0001</x:v>
      </x:c>
      <x:c r="C89" s="16" t="str">
        <x:v>The school's sanctioned teacher strength was reported as 16.</x:v>
      </x:c>
      <x:c r="D89" s="16" t="str">
        <x:v>Project context</x:v>
      </x:c>
      <x:c r="E89" s="16" t="str">
        <x:v>School and education-office records as reported by media</x:v>
      </x:c>
      <x:c r="F89" s="16" t="str">
        <x:v>Corroborated</x:v>
      </x:c>
      <x:c r="G89" s="16" t="str">
        <x:v>Both reports use a sanctioned strength of 16 teachers.</x:v>
      </x:c>
      <x:c r="H89" s="16"/>
      <x:c r="I89" s="16" t="str">
        <x:v>Independent reports state that the school had a sanctioned strength of 16 teachers.</x:v>
      </x:c>
      <x:c r="J89" s="16" t="str">
        <x:v>Ready</x:v>
      </x:c>
    </x:row>
    <x:row r="90">
      <x:c r="A90" s="16" t="str">
        <x:v>IO-CLM-OD-0004</x:v>
      </x:c>
      <x:c r="B90" s="16" t="str">
        <x:v>IO-CM-OD-0001</x:v>
      </x:c>
      <x:c r="C90" s="16" t="str">
        <x:v>Reports differed on whether 10 or 11 teachers were in position at the time of the protest.</x:v>
      </x:c>
      <x:c r="D90" s="16" t="str">
        <x:v>Other</x:v>
      </x:c>
      <x:c r="E90" s="16" t="str">
        <x:v>Independent media reports</x:v>
      </x:c>
      <x:c r="F90" s="16" t="str">
        <x:v>Disputed</x:v>
      </x:c>
      <x:c r="G90" s="16" t="str">
        <x:v>The Times of India reported 10 teachers; The New Indian Express reported 11. The difference may reflect timing or counting method.</x:v>
      </x:c>
      <x:c r="H90" s="16"/>
      <x:c r="I90" s="16" t="str">
        <x:v>Independent reports differed on whether 10 or 11 teachers were in position; India Observed has not resolved the discrepancy.</x:v>
      </x:c>
      <x:c r="J90" s="16" t="str">
        <x:v>Ready with attribution</x:v>
      </x:c>
    </x:row>
    <x:row r="91">
      <x:c r="A91" s="16" t="str">
        <x:v>IO-CLM-OD-0005</x:v>
      </x:c>
      <x:c r="B91" s="16" t="str">
        <x:v>IO-CM-OD-0001</x:v>
      </x:c>
      <x:c r="C91" s="16" t="str">
        <x:v>Reports also differed on whether the school served more than 400 or 508 students and on the class levels counted.</x:v>
      </x:c>
      <x:c r="D91" s="16" t="str">
        <x:v>Other</x:v>
      </x:c>
      <x:c r="E91" s="16" t="str">
        <x:v>Independent media reports</x:v>
      </x:c>
      <x:c r="F91" s="16" t="str">
        <x:v>Disputed</x:v>
      </x:c>
      <x:c r="G91" s="16" t="str">
        <x:v>The reports appear to count different class groupings. School enrolment records are needed.</x:v>
      </x:c>
      <x:c r="H91" s="16"/>
      <x:c r="I91" s="16" t="str">
        <x:v>Reports differed on the number of students and class levels counted; official enrolment data is still required.</x:v>
      </x:c>
      <x:c r="J91" s="16" t="str">
        <x:v>Needs official document</x:v>
      </x:c>
    </x:row>
    <x:row r="92">
      <x:c r="A92" s="16" t="str">
        <x:v>IO-CLM-OD-0006</x:v>
      </x:c>
      <x:c r="B92" s="16" t="str">
        <x:v>IO-CM-OD-0001</x:v>
      </x:c>
      <x:c r="C92" s="16" t="str">
        <x:v>District education officials deputed two teachers to the school on the day of the protest.</x:v>
      </x:c>
      <x:c r="D92" s="16" t="str">
        <x:v>Official response</x:v>
      </x:c>
      <x:c r="E92" s="16" t="str">
        <x:v>Jajpur District Education Office</x:v>
      </x:c>
      <x:c r="F92" s="16" t="str">
        <x:v>Corroborated</x:v>
      </x:c>
      <x:c r="G92" s="16" t="str">
        <x:v>Both reports describe the immediate deputation of two teachers.</x:v>
      </x:c>
      <x:c r="H92" s="16"/>
      <x:c r="I92" s="16" t="str">
        <x:v>District education officials deputed two teachers to the school on the day of the protest.</x:v>
      </x:c>
      <x:c r="J92" s="16" t="str">
        <x:v>Ready</x:v>
      </x:c>
    </x:row>
    <x:row r="93">
      <x:c r="A93" s="16" t="str">
        <x:v>IO-CLM-OD-0007</x:v>
      </x:c>
      <x:c r="B93" s="16" t="str">
        <x:v>IO-CM-OD-0001</x:v>
      </x:c>
      <x:c r="C93" s="16" t="str">
        <x:v>Students withdrew the dharna after the deputation of two teachers.</x:v>
      </x:c>
      <x:c r="D93" s="16" t="str">
        <x:v>Outcome</x:v>
      </x:c>
      <x:c r="E93" s="16" t="str">
        <x:v>Students and school authorities</x:v>
      </x:c>
      <x:c r="F93" s="16" t="str">
        <x:v>Corroborated</x:v>
      </x:c>
      <x:c r="G93" s="16" t="str">
        <x:v>The withdrawal is reported by both independent outlets.</x:v>
      </x:c>
      <x:c r="H93" s="16"/>
      <x:c r="I93" s="16" t="str">
        <x:v>Students withdrew the dharna after two teachers were deputed.</x:v>
      </x:c>
      <x:c r="J93" s="16" t="str">
        <x:v>Ready</x:v>
      </x:c>
    </x:row>
    <x:row r="94">
      <x:c r="A94" s="16"/>
      <x:c r="B94" s="16"/>
      <x:c r="C94" s="16"/>
      <x:c r="D94" s="16"/>
      <x:c r="E94" s="16"/>
      <x:c r="F94" s="16"/>
      <x:c r="G94" s="16"/>
      <x:c r="H94" s="16"/>
      <x:c r="I94" s="16"/>
      <x:c r="J94" s="16"/>
    </x:row>
    <x:row r="95">
      <x:c r="A95" s="16"/>
      <x:c r="B95" s="16"/>
      <x:c r="C95" s="16"/>
      <x:c r="D95" s="16"/>
      <x:c r="E95" s="16"/>
      <x:c r="F95" s="16"/>
      <x:c r="G95" s="16"/>
      <x:c r="H95" s="16"/>
      <x:c r="I95" s="16"/>
      <x:c r="J95" s="16"/>
    </x:row>
    <x:row r="96">
      <x:c r="A96" s="16"/>
      <x:c r="B96" s="16"/>
      <x:c r="C96" s="16"/>
      <x:c r="D96" s="16"/>
      <x:c r="E96" s="16"/>
      <x:c r="F96" s="16"/>
      <x:c r="G96" s="16"/>
      <x:c r="H96" s="16"/>
      <x:c r="I96" s="16"/>
      <x:c r="J96" s="16"/>
    </x:row>
    <x:row r="97">
      <x:c r="A97" s="16"/>
      <x:c r="B97" s="16"/>
      <x:c r="C97" s="16"/>
      <x:c r="D97" s="16"/>
      <x:c r="E97" s="16"/>
      <x:c r="F97" s="16"/>
      <x:c r="G97" s="16"/>
      <x:c r="H97" s="16"/>
      <x:c r="I97" s="16"/>
      <x:c r="J97" s="16"/>
    </x:row>
    <x:row r="98">
      <x:c r="A98" s="16"/>
      <x:c r="B98" s="16"/>
      <x:c r="C98" s="16"/>
      <x:c r="D98" s="16"/>
      <x:c r="E98" s="16"/>
      <x:c r="F98" s="16"/>
      <x:c r="G98" s="16"/>
      <x:c r="H98" s="16"/>
      <x:c r="I98" s="16"/>
      <x:c r="J98" s="16"/>
    </x:row>
    <x:row r="99">
      <x:c r="A99" s="16"/>
      <x:c r="B99" s="16"/>
      <x:c r="C99" s="16"/>
      <x:c r="D99" s="16"/>
      <x:c r="E99" s="16"/>
      <x:c r="F99" s="16"/>
      <x:c r="G99" s="16"/>
      <x:c r="H99" s="16"/>
      <x:c r="I99" s="16"/>
      <x:c r="J99" s="16"/>
    </x:row>
    <x:row r="100">
      <x:c r="A100" s="16"/>
      <x:c r="B100" s="16"/>
      <x:c r="C100" s="16"/>
      <x:c r="D100" s="16"/>
      <x:c r="E100" s="16"/>
      <x:c r="F100" s="16"/>
      <x:c r="G100" s="16"/>
      <x:c r="H100" s="16"/>
      <x:c r="I100" s="16"/>
      <x:c r="J100" s="16"/>
    </x:row>
    <x:row r="101">
      <x:c r="A101" s="16"/>
      <x:c r="B101" s="16"/>
      <x:c r="C101" s="16"/>
      <x:c r="D101" s="16"/>
      <x:c r="E101" s="16"/>
      <x:c r="F101" s="16"/>
      <x:c r="G101" s="16"/>
      <x:c r="H101" s="16"/>
      <x:c r="I101" s="16"/>
      <x:c r="J101" s="16"/>
    </x:row>
    <x:row r="102">
      <x:c r="A102" s="16"/>
      <x:c r="B102" s="16"/>
      <x:c r="C102" s="16"/>
      <x:c r="D102" s="16"/>
      <x:c r="E102" s="16"/>
      <x:c r="F102" s="16"/>
      <x:c r="G102" s="16"/>
      <x:c r="H102" s="16"/>
      <x:c r="I102" s="16"/>
      <x:c r="J102" s="16"/>
    </x:row>
    <x:row r="103">
      <x:c r="A103" s="16"/>
      <x:c r="B103" s="16"/>
      <x:c r="C103" s="16"/>
      <x:c r="D103" s="16"/>
      <x:c r="E103" s="16"/>
      <x:c r="F103" s="16"/>
      <x:c r="G103" s="16"/>
      <x:c r="H103" s="16"/>
      <x:c r="I103" s="16"/>
      <x:c r="J103" s="16"/>
    </x:row>
    <x:row r="104">
      <x:c r="A104" s="16"/>
      <x:c r="B104" s="16"/>
      <x:c r="C104" s="16"/>
      <x:c r="D104" s="16"/>
      <x:c r="E104" s="16"/>
      <x:c r="F104" s="16"/>
      <x:c r="G104" s="16"/>
      <x:c r="H104" s="16"/>
      <x:c r="I104" s="16"/>
      <x:c r="J104" s="16"/>
    </x:row>
    <x:row r="105">
      <x:c r="A105" s="16"/>
      <x:c r="B105" s="16"/>
      <x:c r="C105" s="16"/>
      <x:c r="D105" s="16"/>
      <x:c r="E105" s="16"/>
      <x:c r="F105" s="16"/>
      <x:c r="G105" s="16"/>
      <x:c r="H105" s="16"/>
      <x:c r="I105" s="16"/>
      <x:c r="J105" s="16"/>
    </x:row>
    <x:row r="106">
      <x:c r="A106" s="16"/>
      <x:c r="B106" s="16"/>
      <x:c r="C106" s="16"/>
      <x:c r="D106" s="16"/>
      <x:c r="E106" s="16"/>
      <x:c r="F106" s="16"/>
      <x:c r="G106" s="16"/>
      <x:c r="H106" s="16"/>
      <x:c r="I106" s="16"/>
      <x:c r="J106" s="16"/>
    </x:row>
    <x:row r="107">
      <x:c r="A107" s="16"/>
      <x:c r="B107" s="16"/>
      <x:c r="C107" s="16"/>
      <x:c r="D107" s="16"/>
      <x:c r="E107" s="16"/>
      <x:c r="F107" s="16"/>
      <x:c r="G107" s="16"/>
      <x:c r="H107" s="16"/>
      <x:c r="I107" s="16"/>
      <x:c r="J107" s="16"/>
    </x:row>
    <x:row r="108">
      <x:c r="A108" s="16"/>
      <x:c r="B108" s="16"/>
      <x:c r="C108" s="16"/>
      <x:c r="D108" s="16"/>
      <x:c r="E108" s="16"/>
      <x:c r="F108" s="16"/>
      <x:c r="G108" s="16"/>
      <x:c r="H108" s="16"/>
      <x:c r="I108" s="16"/>
      <x:c r="J108" s="16"/>
    </x:row>
    <x:row r="109">
      <x:c r="A109" s="16"/>
      <x:c r="B109" s="16"/>
      <x:c r="C109" s="16"/>
      <x:c r="D109" s="16"/>
      <x:c r="E109" s="16"/>
      <x:c r="F109" s="16"/>
      <x:c r="G109" s="16"/>
      <x:c r="H109" s="16"/>
      <x:c r="I109" s="16"/>
      <x:c r="J109" s="16"/>
    </x:row>
    <x:row r="110">
      <x:c r="A110" s="16"/>
      <x:c r="B110" s="16"/>
      <x:c r="C110" s="16"/>
      <x:c r="D110" s="16"/>
      <x:c r="E110" s="16"/>
      <x:c r="F110" s="16"/>
      <x:c r="G110" s="16"/>
      <x:c r="H110" s="16"/>
      <x:c r="I110" s="16"/>
      <x:c r="J110" s="16"/>
    </x:row>
    <x:row r="111">
      <x:c r="A111" s="16"/>
      <x:c r="B111" s="16"/>
      <x:c r="C111" s="16"/>
      <x:c r="D111" s="16"/>
      <x:c r="E111" s="16"/>
      <x:c r="F111" s="16"/>
      <x:c r="G111" s="16"/>
      <x:c r="H111" s="16"/>
      <x:c r="I111" s="16"/>
      <x:c r="J111" s="16"/>
    </x:row>
    <x:row r="112">
      <x:c r="A112" s="16"/>
      <x:c r="B112" s="16"/>
      <x:c r="C112" s="16"/>
      <x:c r="D112" s="16"/>
      <x:c r="E112" s="16"/>
      <x:c r="F112" s="16"/>
      <x:c r="G112" s="16"/>
      <x:c r="H112" s="16"/>
      <x:c r="I112" s="16"/>
      <x:c r="J112" s="16"/>
    </x:row>
    <x:row r="113">
      <x:c r="A113" s="16"/>
      <x:c r="B113" s="16"/>
      <x:c r="C113" s="16"/>
      <x:c r="D113" s="16"/>
      <x:c r="E113" s="16"/>
      <x:c r="F113" s="16"/>
      <x:c r="G113" s="16"/>
      <x:c r="H113" s="16"/>
      <x:c r="I113" s="16"/>
      <x:c r="J113" s="16"/>
    </x:row>
    <x:row r="114">
      <x:c r="A114" s="16"/>
      <x:c r="B114" s="16"/>
      <x:c r="C114" s="16"/>
      <x:c r="D114" s="16"/>
      <x:c r="E114" s="16"/>
      <x:c r="F114" s="16"/>
      <x:c r="G114" s="16"/>
      <x:c r="H114" s="16"/>
      <x:c r="I114" s="16"/>
      <x:c r="J114" s="16"/>
    </x:row>
    <x:row r="115">
      <x:c r="A115" s="16"/>
      <x:c r="B115" s="16"/>
      <x:c r="C115" s="16"/>
      <x:c r="D115" s="16"/>
      <x:c r="E115" s="16"/>
      <x:c r="F115" s="16"/>
      <x:c r="G115" s="16"/>
      <x:c r="H115" s="16"/>
      <x:c r="I115" s="16"/>
      <x:c r="J115" s="16"/>
    </x:row>
    <x:row r="116">
      <x:c r="A116" s="16"/>
      <x:c r="B116" s="16"/>
      <x:c r="C116" s="16"/>
      <x:c r="D116" s="16"/>
      <x:c r="E116" s="16"/>
      <x:c r="F116" s="16"/>
      <x:c r="G116" s="16"/>
      <x:c r="H116" s="16"/>
      <x:c r="I116" s="16"/>
      <x:c r="J116" s="16"/>
    </x:row>
    <x:row r="117">
      <x:c r="A117" s="16"/>
      <x:c r="B117" s="16"/>
      <x:c r="C117" s="16"/>
      <x:c r="D117" s="16"/>
      <x:c r="E117" s="16"/>
      <x:c r="F117" s="16"/>
      <x:c r="G117" s="16"/>
      <x:c r="H117" s="16"/>
      <x:c r="I117" s="16"/>
      <x:c r="J117" s="16"/>
    </x:row>
    <x:row r="118">
      <x:c r="A118" s="16"/>
      <x:c r="B118" s="16"/>
      <x:c r="C118" s="16"/>
      <x:c r="D118" s="16"/>
      <x:c r="E118" s="16"/>
      <x:c r="F118" s="16"/>
      <x:c r="G118" s="16"/>
      <x:c r="H118" s="16"/>
      <x:c r="I118" s="16"/>
      <x:c r="J118" s="16"/>
    </x:row>
    <x:row r="119">
      <x:c r="A119" s="16"/>
      <x:c r="B119" s="16"/>
      <x:c r="C119" s="16"/>
      <x:c r="D119" s="16"/>
      <x:c r="E119" s="16"/>
      <x:c r="F119" s="16"/>
      <x:c r="G119" s="16"/>
      <x:c r="H119" s="16"/>
      <x:c r="I119" s="16"/>
      <x:c r="J119" s="16"/>
    </x:row>
    <x:row r="120">
      <x:c r="A120" s="16"/>
      <x:c r="B120" s="16"/>
      <x:c r="C120" s="16"/>
      <x:c r="D120" s="16"/>
      <x:c r="E120" s="16"/>
      <x:c r="F120" s="16"/>
      <x:c r="G120" s="16"/>
      <x:c r="H120" s="16"/>
      <x:c r="I120" s="16"/>
      <x:c r="J120" s="16"/>
    </x:row>
    <x:row r="121">
      <x:c r="A121" s="16"/>
      <x:c r="B121" s="16"/>
      <x:c r="C121" s="16"/>
      <x:c r="D121" s="16"/>
      <x:c r="E121" s="16"/>
      <x:c r="F121" s="16"/>
      <x:c r="G121" s="16"/>
      <x:c r="H121" s="16"/>
      <x:c r="I121" s="16"/>
      <x:c r="J121" s="16"/>
    </x:row>
    <x:row r="122">
      <x:c r="A122" s="16"/>
      <x:c r="B122" s="16"/>
      <x:c r="C122" s="16"/>
      <x:c r="D122" s="16"/>
      <x:c r="E122" s="16"/>
      <x:c r="F122" s="16"/>
      <x:c r="G122" s="16"/>
      <x:c r="H122" s="16"/>
      <x:c r="I122" s="16"/>
      <x:c r="J122" s="16"/>
    </x:row>
    <x:row r="123">
      <x:c r="A123" s="16"/>
      <x:c r="B123" s="16"/>
      <x:c r="C123" s="16"/>
      <x:c r="D123" s="16"/>
      <x:c r="E123" s="16"/>
      <x:c r="F123" s="16"/>
      <x:c r="G123" s="16"/>
      <x:c r="H123" s="16"/>
      <x:c r="I123" s="16"/>
      <x:c r="J123" s="16"/>
    </x:row>
    <x:row r="124">
      <x:c r="A124" s="16"/>
      <x:c r="B124" s="16"/>
      <x:c r="C124" s="16"/>
      <x:c r="D124" s="16"/>
      <x:c r="E124" s="16"/>
      <x:c r="F124" s="16"/>
      <x:c r="G124" s="16"/>
      <x:c r="H124" s="16"/>
      <x:c r="I124" s="16"/>
      <x:c r="J124" s="16"/>
    </x:row>
    <x:row r="125">
      <x:c r="A125" s="16"/>
      <x:c r="B125" s="16"/>
      <x:c r="C125" s="16"/>
      <x:c r="D125" s="16"/>
      <x:c r="E125" s="16"/>
      <x:c r="F125" s="16"/>
      <x:c r="G125" s="16"/>
      <x:c r="H125" s="16"/>
      <x:c r="I125" s="16"/>
      <x:c r="J125" s="16"/>
    </x:row>
    <x:row r="126">
      <x:c r="A126" s="16"/>
      <x:c r="B126" s="16"/>
      <x:c r="C126" s="16"/>
      <x:c r="D126" s="16"/>
      <x:c r="E126" s="16"/>
      <x:c r="F126" s="16"/>
      <x:c r="G126" s="16"/>
      <x:c r="H126" s="16"/>
      <x:c r="I126" s="16"/>
      <x:c r="J126" s="16"/>
    </x:row>
    <x:row r="127">
      <x:c r="A127" s="16"/>
      <x:c r="B127" s="16"/>
      <x:c r="C127" s="16"/>
      <x:c r="D127" s="16"/>
      <x:c r="E127" s="16"/>
      <x:c r="F127" s="16"/>
      <x:c r="G127" s="16"/>
      <x:c r="H127" s="16"/>
      <x:c r="I127" s="16"/>
      <x:c r="J127" s="16"/>
    </x:row>
    <x:row r="128">
      <x:c r="A128" s="16"/>
      <x:c r="B128" s="16"/>
      <x:c r="C128" s="16"/>
      <x:c r="D128" s="16"/>
      <x:c r="E128" s="16"/>
      <x:c r="F128" s="16"/>
      <x:c r="G128" s="16"/>
      <x:c r="H128" s="16"/>
      <x:c r="I128" s="16"/>
      <x:c r="J128" s="16"/>
    </x:row>
    <x:row r="129">
      <x:c r="A129" s="16"/>
      <x:c r="B129" s="16"/>
      <x:c r="C129" s="16"/>
      <x:c r="D129" s="16"/>
      <x:c r="E129" s="16"/>
      <x:c r="F129" s="16"/>
      <x:c r="G129" s="16"/>
      <x:c r="H129" s="16"/>
      <x:c r="I129" s="16"/>
      <x:c r="J129" s="16"/>
    </x:row>
    <x:row r="130">
      <x:c r="A130" s="16"/>
      <x:c r="B130" s="16"/>
      <x:c r="C130" s="16"/>
      <x:c r="D130" s="16"/>
      <x:c r="E130" s="16"/>
      <x:c r="F130" s="16"/>
      <x:c r="G130" s="16"/>
      <x:c r="H130" s="16"/>
      <x:c r="I130" s="16"/>
      <x:c r="J130" s="16"/>
    </x:row>
    <x:row r="131">
      <x:c r="A131" s="16"/>
      <x:c r="B131" s="16"/>
      <x:c r="C131" s="16"/>
      <x:c r="D131" s="16"/>
      <x:c r="E131" s="16"/>
      <x:c r="F131" s="16"/>
      <x:c r="G131" s="16"/>
      <x:c r="H131" s="16"/>
      <x:c r="I131" s="16"/>
      <x:c r="J131" s="16"/>
    </x:row>
    <x:row r="132">
      <x:c r="A132" s="16"/>
      <x:c r="B132" s="16"/>
      <x:c r="C132" s="16"/>
      <x:c r="D132" s="16"/>
      <x:c r="E132" s="16"/>
      <x:c r="F132" s="16"/>
      <x:c r="G132" s="16"/>
      <x:c r="H132" s="16"/>
      <x:c r="I132" s="16"/>
      <x:c r="J132" s="16"/>
    </x:row>
    <x:row r="133">
      <x:c r="A133" s="16"/>
      <x:c r="B133" s="16"/>
      <x:c r="C133" s="16"/>
      <x:c r="D133" s="16"/>
      <x:c r="E133" s="16"/>
      <x:c r="F133" s="16"/>
      <x:c r="G133" s="16"/>
      <x:c r="H133" s="16"/>
      <x:c r="I133" s="16"/>
      <x:c r="J133" s="16"/>
    </x:row>
    <x:row r="134">
      <x:c r="A134" s="16"/>
      <x:c r="B134" s="16"/>
      <x:c r="C134" s="16"/>
      <x:c r="D134" s="16"/>
      <x:c r="E134" s="16"/>
      <x:c r="F134" s="16"/>
      <x:c r="G134" s="16"/>
      <x:c r="H134" s="16"/>
      <x:c r="I134" s="16"/>
      <x:c r="J134" s="16"/>
    </x:row>
    <x:row r="135">
      <x:c r="A135" s="16"/>
      <x:c r="B135" s="16"/>
      <x:c r="C135" s="16"/>
      <x:c r="D135" s="16"/>
      <x:c r="E135" s="16"/>
      <x:c r="F135" s="16"/>
      <x:c r="G135" s="16"/>
      <x:c r="H135" s="16"/>
      <x:c r="I135" s="16"/>
      <x:c r="J135" s="16"/>
    </x:row>
    <x:row r="136">
      <x:c r="A136" s="16"/>
      <x:c r="B136" s="16"/>
      <x:c r="C136" s="16"/>
      <x:c r="D136" s="16"/>
      <x:c r="E136" s="16"/>
      <x:c r="F136" s="16"/>
      <x:c r="G136" s="16"/>
      <x:c r="H136" s="16"/>
      <x:c r="I136" s="16"/>
      <x:c r="J136" s="16"/>
    </x:row>
    <x:row r="137">
      <x:c r="A137" s="16"/>
      <x:c r="B137" s="16"/>
      <x:c r="C137" s="16"/>
      <x:c r="D137" s="16"/>
      <x:c r="E137" s="16"/>
      <x:c r="F137" s="16"/>
      <x:c r="G137" s="16"/>
      <x:c r="H137" s="16"/>
      <x:c r="I137" s="16"/>
      <x:c r="J137" s="16"/>
    </x:row>
    <x:row r="138">
      <x:c r="A138" s="16"/>
      <x:c r="B138" s="16"/>
      <x:c r="C138" s="16"/>
      <x:c r="D138" s="16"/>
      <x:c r="E138" s="16"/>
      <x:c r="F138" s="16"/>
      <x:c r="G138" s="16"/>
      <x:c r="H138" s="16"/>
      <x:c r="I138" s="16"/>
      <x:c r="J138" s="16"/>
    </x:row>
    <x:row r="139">
      <x:c r="A139" s="16"/>
      <x:c r="B139" s="16"/>
      <x:c r="C139" s="16"/>
      <x:c r="D139" s="16"/>
      <x:c r="E139" s="16"/>
      <x:c r="F139" s="16"/>
      <x:c r="G139" s="16"/>
      <x:c r="H139" s="16"/>
      <x:c r="I139" s="16"/>
      <x:c r="J139" s="16"/>
    </x:row>
    <x:row r="140">
      <x:c r="A140" s="16"/>
      <x:c r="B140" s="16"/>
      <x:c r="C140" s="16"/>
      <x:c r="D140" s="16"/>
      <x:c r="E140" s="16"/>
      <x:c r="F140" s="16"/>
      <x:c r="G140" s="16"/>
      <x:c r="H140" s="16"/>
      <x:c r="I140" s="16"/>
      <x:c r="J140" s="16"/>
    </x:row>
    <x:row r="141">
      <x:c r="A141" s="16"/>
      <x:c r="B141" s="16"/>
      <x:c r="C141" s="16"/>
      <x:c r="D141" s="16"/>
      <x:c r="E141" s="16"/>
      <x:c r="F141" s="16"/>
      <x:c r="G141" s="16"/>
      <x:c r="H141" s="16"/>
      <x:c r="I141" s="16"/>
      <x:c r="J141" s="16"/>
    </x:row>
    <x:row r="142">
      <x:c r="A142" s="16"/>
      <x:c r="B142" s="16"/>
      <x:c r="C142" s="16"/>
      <x:c r="D142" s="16"/>
      <x:c r="E142" s="16"/>
      <x:c r="F142" s="16"/>
      <x:c r="G142" s="16"/>
      <x:c r="H142" s="16"/>
      <x:c r="I142" s="16"/>
      <x:c r="J142" s="16"/>
    </x:row>
    <x:row r="143">
      <x:c r="A143" s="16"/>
      <x:c r="B143" s="16"/>
      <x:c r="C143" s="16"/>
      <x:c r="D143" s="16"/>
      <x:c r="E143" s="16"/>
      <x:c r="F143" s="16"/>
      <x:c r="G143" s="16"/>
      <x:c r="H143" s="16"/>
      <x:c r="I143" s="16"/>
      <x:c r="J143" s="16"/>
    </x:row>
    <x:row r="144">
      <x:c r="A144" s="16"/>
      <x:c r="B144" s="16"/>
      <x:c r="C144" s="16"/>
      <x:c r="D144" s="16"/>
      <x:c r="E144" s="16"/>
      <x:c r="F144" s="16"/>
      <x:c r="G144" s="16"/>
      <x:c r="H144" s="16"/>
      <x:c r="I144" s="16"/>
      <x:c r="J144" s="16"/>
    </x:row>
    <x:row r="145">
      <x:c r="A145" s="16"/>
      <x:c r="B145" s="16"/>
      <x:c r="C145" s="16"/>
      <x:c r="D145" s="16"/>
      <x:c r="E145" s="16"/>
      <x:c r="F145" s="16"/>
      <x:c r="G145" s="16"/>
      <x:c r="H145" s="16"/>
      <x:c r="I145" s="16"/>
      <x:c r="J145" s="16"/>
    </x:row>
    <x:row r="146">
      <x:c r="A146" s="16"/>
      <x:c r="B146" s="16"/>
      <x:c r="C146" s="16"/>
      <x:c r="D146" s="16"/>
      <x:c r="E146" s="16"/>
      <x:c r="F146" s="16"/>
      <x:c r="G146" s="16"/>
      <x:c r="H146" s="16"/>
      <x:c r="I146" s="16"/>
      <x:c r="J146" s="16"/>
    </x:row>
    <x:row r="147">
      <x:c r="A147" s="16"/>
      <x:c r="B147" s="16"/>
      <x:c r="C147" s="16"/>
      <x:c r="D147" s="16"/>
      <x:c r="E147" s="16"/>
      <x:c r="F147" s="16"/>
      <x:c r="G147" s="16"/>
      <x:c r="H147" s="16"/>
      <x:c r="I147" s="16"/>
      <x:c r="J147" s="16"/>
    </x:row>
    <x:row r="148">
      <x:c r="A148" s="16"/>
      <x:c r="B148" s="16"/>
      <x:c r="C148" s="16"/>
      <x:c r="D148" s="16"/>
      <x:c r="E148" s="16"/>
      <x:c r="F148" s="16"/>
      <x:c r="G148" s="16"/>
      <x:c r="H148" s="16"/>
      <x:c r="I148" s="16"/>
      <x:c r="J148" s="16"/>
    </x:row>
    <x:row r="149">
      <x:c r="A149" s="16"/>
      <x:c r="B149" s="16"/>
      <x:c r="C149" s="16"/>
      <x:c r="D149" s="16"/>
      <x:c r="E149" s="16"/>
      <x:c r="F149" s="16"/>
      <x:c r="G149" s="16"/>
      <x:c r="H149" s="16"/>
      <x:c r="I149" s="16"/>
      <x:c r="J149" s="16"/>
    </x:row>
    <x:row r="150">
      <x:c r="A150" s="16"/>
      <x:c r="B150" s="16"/>
      <x:c r="C150" s="16"/>
      <x:c r="D150" s="16"/>
      <x:c r="E150" s="16"/>
      <x:c r="F150" s="16"/>
      <x:c r="G150" s="16"/>
      <x:c r="H150" s="16"/>
      <x:c r="I150" s="16"/>
      <x:c r="J150" s="16"/>
    </x:row>
    <x:row r="151">
      <x:c r="A151" s="16"/>
      <x:c r="B151" s="16"/>
      <x:c r="C151" s="16"/>
      <x:c r="D151" s="16"/>
      <x:c r="E151" s="16"/>
      <x:c r="F151" s="16"/>
      <x:c r="G151" s="16"/>
      <x:c r="H151" s="16"/>
      <x:c r="I151" s="16"/>
      <x:c r="J151" s="16"/>
    </x:row>
    <x:row r="152">
      <x:c r="A152" s="16"/>
      <x:c r="B152" s="16"/>
      <x:c r="C152" s="16"/>
      <x:c r="D152" s="16"/>
      <x:c r="E152" s="16"/>
      <x:c r="F152" s="16"/>
      <x:c r="G152" s="16"/>
      <x:c r="H152" s="16"/>
      <x:c r="I152" s="16"/>
      <x:c r="J152" s="16"/>
    </x:row>
    <x:row r="153">
      <x:c r="A153" s="16"/>
      <x:c r="B153" s="16"/>
      <x:c r="C153" s="16"/>
      <x:c r="D153" s="16"/>
      <x:c r="E153" s="16"/>
      <x:c r="F153" s="16"/>
      <x:c r="G153" s="16"/>
      <x:c r="H153" s="16"/>
      <x:c r="I153" s="16"/>
      <x:c r="J153" s="16"/>
    </x:row>
    <x:row r="154">
      <x:c r="A154" s="16"/>
      <x:c r="B154" s="16"/>
      <x:c r="C154" s="16"/>
      <x:c r="D154" s="16"/>
      <x:c r="E154" s="16"/>
      <x:c r="F154" s="16"/>
      <x:c r="G154" s="16"/>
      <x:c r="H154" s="16"/>
      <x:c r="I154" s="16"/>
      <x:c r="J154" s="16"/>
    </x:row>
    <x:row r="155">
      <x:c r="A155" s="16"/>
      <x:c r="B155" s="16"/>
      <x:c r="C155" s="16"/>
      <x:c r="D155" s="16"/>
      <x:c r="E155" s="16"/>
      <x:c r="F155" s="16"/>
      <x:c r="G155" s="16"/>
      <x:c r="H155" s="16"/>
      <x:c r="I155" s="16"/>
      <x:c r="J155" s="16"/>
    </x:row>
    <x:row r="156">
      <x:c r="A156" s="16"/>
      <x:c r="B156" s="16"/>
      <x:c r="C156" s="16"/>
      <x:c r="D156" s="16"/>
      <x:c r="E156" s="16"/>
      <x:c r="F156" s="16"/>
      <x:c r="G156" s="16"/>
      <x:c r="H156" s="16"/>
      <x:c r="I156" s="16"/>
      <x:c r="J156" s="16"/>
    </x:row>
    <x:row r="157">
      <x:c r="A157" s="16"/>
      <x:c r="B157" s="16"/>
      <x:c r="C157" s="16"/>
      <x:c r="D157" s="16"/>
      <x:c r="E157" s="16"/>
      <x:c r="F157" s="16"/>
      <x:c r="G157" s="16"/>
      <x:c r="H157" s="16"/>
      <x:c r="I157" s="16"/>
      <x:c r="J157" s="16"/>
    </x:row>
    <x:row r="158">
      <x:c r="A158" s="16"/>
      <x:c r="B158" s="16"/>
      <x:c r="C158" s="16"/>
      <x:c r="D158" s="16"/>
      <x:c r="E158" s="16"/>
      <x:c r="F158" s="16"/>
      <x:c r="G158" s="16"/>
      <x:c r="H158" s="16"/>
      <x:c r="I158" s="16"/>
      <x:c r="J158" s="16"/>
    </x:row>
    <x:row r="159">
      <x:c r="A159" s="16"/>
      <x:c r="B159" s="16"/>
      <x:c r="C159" s="16"/>
      <x:c r="D159" s="16"/>
      <x:c r="E159" s="16"/>
      <x:c r="F159" s="16"/>
      <x:c r="G159" s="16"/>
      <x:c r="H159" s="16"/>
      <x:c r="I159" s="16"/>
      <x:c r="J159" s="16"/>
    </x:row>
    <x:row r="160">
      <x:c r="A160" s="16"/>
      <x:c r="B160" s="16"/>
      <x:c r="C160" s="16"/>
      <x:c r="D160" s="16"/>
      <x:c r="E160" s="16"/>
      <x:c r="F160" s="16"/>
      <x:c r="G160" s="16"/>
      <x:c r="H160" s="16"/>
      <x:c r="I160" s="16"/>
      <x:c r="J160" s="16"/>
    </x:row>
    <x:row r="161">
      <x:c r="A161" s="16"/>
      <x:c r="B161" s="16"/>
      <x:c r="C161" s="16"/>
      <x:c r="D161" s="16"/>
      <x:c r="E161" s="16"/>
      <x:c r="F161" s="16"/>
      <x:c r="G161" s="16"/>
      <x:c r="H161" s="16"/>
      <x:c r="I161" s="16"/>
      <x:c r="J161" s="16"/>
    </x:row>
    <x:row r="162">
      <x:c r="A162" s="16"/>
      <x:c r="B162" s="16"/>
      <x:c r="C162" s="16"/>
      <x:c r="D162" s="16"/>
      <x:c r="E162" s="16"/>
      <x:c r="F162" s="16"/>
      <x:c r="G162" s="16"/>
      <x:c r="H162" s="16"/>
      <x:c r="I162" s="16"/>
      <x:c r="J162" s="16"/>
    </x:row>
    <x:row r="163">
      <x:c r="A163" s="16"/>
      <x:c r="B163" s="16"/>
      <x:c r="C163" s="16"/>
      <x:c r="D163" s="16"/>
      <x:c r="E163" s="16"/>
      <x:c r="F163" s="16"/>
      <x:c r="G163" s="16"/>
      <x:c r="H163" s="16"/>
      <x:c r="I163" s="16"/>
      <x:c r="J163" s="16"/>
    </x:row>
    <x:row r="164">
      <x:c r="A164" s="16"/>
      <x:c r="B164" s="16"/>
      <x:c r="C164" s="16"/>
      <x:c r="D164" s="16"/>
      <x:c r="E164" s="16"/>
      <x:c r="F164" s="16"/>
      <x:c r="G164" s="16"/>
      <x:c r="H164" s="16"/>
      <x:c r="I164" s="16"/>
      <x:c r="J164" s="16"/>
    </x:row>
    <x:row r="165">
      <x:c r="A165" s="16"/>
      <x:c r="B165" s="16"/>
      <x:c r="C165" s="16"/>
      <x:c r="D165" s="16"/>
      <x:c r="E165" s="16"/>
      <x:c r="F165" s="16"/>
      <x:c r="G165" s="16"/>
      <x:c r="H165" s="16"/>
      <x:c r="I165" s="16"/>
      <x:c r="J165" s="16"/>
    </x:row>
    <x:row r="166">
      <x:c r="A166" s="16"/>
      <x:c r="B166" s="16"/>
      <x:c r="C166" s="16"/>
      <x:c r="D166" s="16"/>
      <x:c r="E166" s="16"/>
      <x:c r="F166" s="16"/>
      <x:c r="G166" s="16"/>
      <x:c r="H166" s="16"/>
      <x:c r="I166" s="16"/>
      <x:c r="J166" s="16"/>
    </x:row>
    <x:row r="167">
      <x:c r="A167" s="16"/>
      <x:c r="B167" s="16"/>
      <x:c r="C167" s="16"/>
      <x:c r="D167" s="16"/>
      <x:c r="E167" s="16"/>
      <x:c r="F167" s="16"/>
      <x:c r="G167" s="16"/>
      <x:c r="H167" s="16"/>
      <x:c r="I167" s="16"/>
      <x:c r="J167" s="16"/>
    </x:row>
    <x:row r="168">
      <x:c r="A168" s="16"/>
      <x:c r="B168" s="16"/>
      <x:c r="C168" s="16"/>
      <x:c r="D168" s="16"/>
      <x:c r="E168" s="16"/>
      <x:c r="F168" s="16"/>
      <x:c r="G168" s="16"/>
      <x:c r="H168" s="16"/>
      <x:c r="I168" s="16"/>
      <x:c r="J168" s="16"/>
    </x:row>
    <x:row r="169">
      <x:c r="A169" s="16"/>
      <x:c r="B169" s="16"/>
      <x:c r="C169" s="16"/>
      <x:c r="D169" s="16"/>
      <x:c r="E169" s="16"/>
      <x:c r="F169" s="16"/>
      <x:c r="G169" s="16"/>
      <x:c r="H169" s="16"/>
      <x:c r="I169" s="16"/>
      <x:c r="J169" s="16"/>
    </x:row>
    <x:row r="170">
      <x:c r="A170" s="16"/>
      <x:c r="B170" s="16"/>
      <x:c r="C170" s="16"/>
      <x:c r="D170" s="16"/>
      <x:c r="E170" s="16"/>
      <x:c r="F170" s="16"/>
      <x:c r="G170" s="16"/>
      <x:c r="H170" s="16"/>
      <x:c r="I170" s="16"/>
      <x:c r="J170" s="16"/>
    </x:row>
    <x:row r="171">
      <x:c r="A171" s="16"/>
      <x:c r="B171" s="16"/>
      <x:c r="C171" s="16"/>
      <x:c r="D171" s="16"/>
      <x:c r="E171" s="16"/>
      <x:c r="F171" s="16"/>
      <x:c r="G171" s="16"/>
      <x:c r="H171" s="16"/>
      <x:c r="I171" s="16"/>
      <x:c r="J171" s="16"/>
    </x:row>
    <x:row r="172">
      <x:c r="A172" s="16"/>
      <x:c r="B172" s="16"/>
      <x:c r="C172" s="16"/>
      <x:c r="D172" s="16"/>
      <x:c r="E172" s="16"/>
      <x:c r="F172" s="16"/>
      <x:c r="G172" s="16"/>
      <x:c r="H172" s="16"/>
      <x:c r="I172" s="16"/>
      <x:c r="J172" s="16"/>
    </x:row>
    <x:row r="173">
      <x:c r="A173" s="16"/>
      <x:c r="B173" s="16"/>
      <x:c r="C173" s="16"/>
      <x:c r="D173" s="16"/>
      <x:c r="E173" s="16"/>
      <x:c r="F173" s="16"/>
      <x:c r="G173" s="16"/>
      <x:c r="H173" s="16"/>
      <x:c r="I173" s="16"/>
      <x:c r="J173" s="16"/>
    </x:row>
    <x:row r="174">
      <x:c r="A174" s="16"/>
      <x:c r="B174" s="16"/>
      <x:c r="C174" s="16"/>
      <x:c r="D174" s="16"/>
      <x:c r="E174" s="16"/>
      <x:c r="F174" s="16"/>
      <x:c r="G174" s="16"/>
      <x:c r="H174" s="16"/>
      <x:c r="I174" s="16"/>
      <x:c r="J174" s="16"/>
    </x:row>
    <x:row r="175">
      <x:c r="A175" s="16"/>
      <x:c r="B175" s="16"/>
      <x:c r="C175" s="16"/>
      <x:c r="D175" s="16"/>
      <x:c r="E175" s="16"/>
      <x:c r="F175" s="16"/>
      <x:c r="G175" s="16"/>
      <x:c r="H175" s="16"/>
      <x:c r="I175" s="16"/>
      <x:c r="J175" s="16"/>
    </x:row>
    <x:row r="176">
      <x:c r="A176" s="16"/>
      <x:c r="B176" s="16"/>
      <x:c r="C176" s="16"/>
      <x:c r="D176" s="16"/>
      <x:c r="E176" s="16"/>
      <x:c r="F176" s="16"/>
      <x:c r="G176" s="16"/>
      <x:c r="H176" s="16"/>
      <x:c r="I176" s="16"/>
      <x:c r="J176" s="16"/>
    </x:row>
    <x:row r="177">
      <x:c r="A177" s="16"/>
      <x:c r="B177" s="16"/>
      <x:c r="C177" s="16"/>
      <x:c r="D177" s="16"/>
      <x:c r="E177" s="16"/>
      <x:c r="F177" s="16"/>
      <x:c r="G177" s="16"/>
      <x:c r="H177" s="16"/>
      <x:c r="I177" s="16"/>
      <x:c r="J177" s="16"/>
    </x:row>
    <x:row r="178">
      <x:c r="A178" s="16"/>
      <x:c r="B178" s="16"/>
      <x:c r="C178" s="16"/>
      <x:c r="D178" s="16"/>
      <x:c r="E178" s="16"/>
      <x:c r="F178" s="16"/>
      <x:c r="G178" s="16"/>
      <x:c r="H178" s="16"/>
      <x:c r="I178" s="16"/>
      <x:c r="J178" s="16"/>
    </x:row>
    <x:row r="179">
      <x:c r="A179" s="16"/>
      <x:c r="B179" s="16"/>
      <x:c r="C179" s="16"/>
      <x:c r="D179" s="16"/>
      <x:c r="E179" s="16"/>
      <x:c r="F179" s="16"/>
      <x:c r="G179" s="16"/>
      <x:c r="H179" s="16"/>
      <x:c r="I179" s="16"/>
      <x:c r="J179" s="16"/>
    </x:row>
    <x:row r="180">
      <x:c r="A180" s="16"/>
      <x:c r="B180" s="16"/>
      <x:c r="C180" s="16"/>
      <x:c r="D180" s="16"/>
      <x:c r="E180" s="16"/>
      <x:c r="F180" s="16"/>
      <x:c r="G180" s="16"/>
      <x:c r="H180" s="16"/>
      <x:c r="I180" s="16"/>
      <x:c r="J180" s="16"/>
    </x:row>
    <x:row r="181">
      <x:c r="A181" s="16"/>
      <x:c r="B181" s="16"/>
      <x:c r="C181" s="16"/>
      <x:c r="D181" s="16"/>
      <x:c r="E181" s="16"/>
      <x:c r="F181" s="16"/>
      <x:c r="G181" s="16"/>
      <x:c r="H181" s="16"/>
      <x:c r="I181" s="16"/>
      <x:c r="J181" s="16"/>
    </x:row>
    <x:row r="182">
      <x:c r="A182" s="16"/>
      <x:c r="B182" s="16"/>
      <x:c r="C182" s="16"/>
      <x:c r="D182" s="16"/>
      <x:c r="E182" s="16"/>
      <x:c r="F182" s="16"/>
      <x:c r="G182" s="16"/>
      <x:c r="H182" s="16"/>
      <x:c r="I182" s="16"/>
      <x:c r="J182" s="16"/>
    </x:row>
    <x:row r="183">
      <x:c r="A183" s="16"/>
      <x:c r="B183" s="16"/>
      <x:c r="C183" s="16"/>
      <x:c r="D183" s="16"/>
      <x:c r="E183" s="16"/>
      <x:c r="F183" s="16"/>
      <x:c r="G183" s="16"/>
      <x:c r="H183" s="16"/>
      <x:c r="I183" s="16"/>
      <x:c r="J183" s="16"/>
    </x:row>
    <x:row r="184">
      <x:c r="A184" s="16"/>
      <x:c r="B184" s="16"/>
      <x:c r="C184" s="16"/>
      <x:c r="D184" s="16"/>
      <x:c r="E184" s="16"/>
      <x:c r="F184" s="16"/>
      <x:c r="G184" s="16"/>
      <x:c r="H184" s="16"/>
      <x:c r="I184" s="16"/>
      <x:c r="J184" s="16"/>
    </x:row>
    <x:row r="185">
      <x:c r="A185" s="16"/>
      <x:c r="B185" s="16"/>
      <x:c r="C185" s="16"/>
      <x:c r="D185" s="16"/>
      <x:c r="E185" s="16"/>
      <x:c r="F185" s="16"/>
      <x:c r="G185" s="16"/>
      <x:c r="H185" s="16"/>
      <x:c r="I185" s="16"/>
      <x:c r="J185" s="16"/>
    </x:row>
    <x:row r="186">
      <x:c r="A186" s="16"/>
      <x:c r="B186" s="16"/>
      <x:c r="C186" s="16"/>
      <x:c r="D186" s="16"/>
      <x:c r="E186" s="16"/>
      <x:c r="F186" s="16"/>
      <x:c r="G186" s="16"/>
      <x:c r="H186" s="16"/>
      <x:c r="I186" s="16"/>
      <x:c r="J186" s="16"/>
    </x:row>
    <x:row r="187">
      <x:c r="A187" s="16"/>
      <x:c r="B187" s="16"/>
      <x:c r="C187" s="16"/>
      <x:c r="D187" s="16"/>
      <x:c r="E187" s="16"/>
      <x:c r="F187" s="16"/>
      <x:c r="G187" s="16"/>
      <x:c r="H187" s="16"/>
      <x:c r="I187" s="16"/>
      <x:c r="J187" s="16"/>
    </x:row>
    <x:row r="188">
      <x:c r="A188" s="16"/>
      <x:c r="B188" s="16"/>
      <x:c r="C188" s="16"/>
      <x:c r="D188" s="16"/>
      <x:c r="E188" s="16"/>
      <x:c r="F188" s="16"/>
      <x:c r="G188" s="16"/>
      <x:c r="H188" s="16"/>
      <x:c r="I188" s="16"/>
      <x:c r="J188" s="16"/>
    </x:row>
    <x:row r="189">
      <x:c r="A189" s="16"/>
      <x:c r="B189" s="16"/>
      <x:c r="C189" s="16"/>
      <x:c r="D189" s="16"/>
      <x:c r="E189" s="16"/>
      <x:c r="F189" s="16"/>
      <x:c r="G189" s="16"/>
      <x:c r="H189" s="16"/>
      <x:c r="I189" s="16"/>
      <x:c r="J189" s="16"/>
    </x:row>
    <x:row r="190">
      <x:c r="A190" s="16"/>
      <x:c r="B190" s="16"/>
      <x:c r="C190" s="16"/>
      <x:c r="D190" s="16"/>
      <x:c r="E190" s="16"/>
      <x:c r="F190" s="16"/>
      <x:c r="G190" s="16"/>
      <x:c r="H190" s="16"/>
      <x:c r="I190" s="16"/>
      <x:c r="J190" s="16"/>
    </x:row>
    <x:row r="191">
      <x:c r="A191" s="16"/>
      <x:c r="B191" s="16"/>
      <x:c r="C191" s="16"/>
      <x:c r="D191" s="16"/>
      <x:c r="E191" s="16"/>
      <x:c r="F191" s="16"/>
      <x:c r="G191" s="16"/>
      <x:c r="H191" s="16"/>
      <x:c r="I191" s="16"/>
      <x:c r="J191" s="16"/>
    </x:row>
    <x:row r="192">
      <x:c r="A192" s="16"/>
      <x:c r="B192" s="16"/>
      <x:c r="C192" s="16"/>
      <x:c r="D192" s="16"/>
      <x:c r="E192" s="16"/>
      <x:c r="F192" s="16"/>
      <x:c r="G192" s="16"/>
      <x:c r="H192" s="16"/>
      <x:c r="I192" s="16"/>
      <x:c r="J192" s="16"/>
    </x:row>
    <x:row r="193">
      <x:c r="A193" s="16"/>
      <x:c r="B193" s="16"/>
      <x:c r="C193" s="16"/>
      <x:c r="D193" s="16"/>
      <x:c r="E193" s="16"/>
      <x:c r="F193" s="16"/>
      <x:c r="G193" s="16"/>
      <x:c r="H193" s="16"/>
      <x:c r="I193" s="16"/>
      <x:c r="J193" s="16"/>
    </x:row>
    <x:row r="194">
      <x:c r="A194" s="16"/>
      <x:c r="B194" s="16"/>
      <x:c r="C194" s="16"/>
      <x:c r="D194" s="16"/>
      <x:c r="E194" s="16"/>
      <x:c r="F194" s="16"/>
      <x:c r="G194" s="16"/>
      <x:c r="H194" s="16"/>
      <x:c r="I194" s="16"/>
      <x:c r="J194" s="16"/>
    </x:row>
    <x:row r="195">
      <x:c r="A195" s="16"/>
      <x:c r="B195" s="16"/>
      <x:c r="C195" s="16"/>
      <x:c r="D195" s="16"/>
      <x:c r="E195" s="16"/>
      <x:c r="F195" s="16"/>
      <x:c r="G195" s="16"/>
      <x:c r="H195" s="16"/>
      <x:c r="I195" s="16"/>
      <x:c r="J195" s="16"/>
    </x:row>
    <x:row r="196">
      <x:c r="A196" s="16"/>
      <x:c r="B196" s="16"/>
      <x:c r="C196" s="16"/>
      <x:c r="D196" s="16"/>
      <x:c r="E196" s="16"/>
      <x:c r="F196" s="16"/>
      <x:c r="G196" s="16"/>
      <x:c r="H196" s="16"/>
      <x:c r="I196" s="16"/>
      <x:c r="J196" s="16"/>
    </x:row>
    <x:row r="197">
      <x:c r="A197" s="16"/>
      <x:c r="B197" s="16"/>
      <x:c r="C197" s="16"/>
      <x:c r="D197" s="16"/>
      <x:c r="E197" s="16"/>
      <x:c r="F197" s="16"/>
      <x:c r="G197" s="16"/>
      <x:c r="H197" s="16"/>
      <x:c r="I197" s="16"/>
      <x:c r="J197" s="16"/>
    </x:row>
    <x:row r="198">
      <x:c r="A198" s="16"/>
      <x:c r="B198" s="16"/>
      <x:c r="C198" s="16"/>
      <x:c r="D198" s="16"/>
      <x:c r="E198" s="16"/>
      <x:c r="F198" s="16"/>
      <x:c r="G198" s="16"/>
      <x:c r="H198" s="16"/>
      <x:c r="I198" s="16"/>
      <x:c r="J198" s="16"/>
    </x:row>
    <x:row r="199">
      <x:c r="A199" s="16"/>
      <x:c r="B199" s="16"/>
      <x:c r="C199" s="16"/>
      <x:c r="D199" s="16"/>
      <x:c r="E199" s="16"/>
      <x:c r="F199" s="16"/>
      <x:c r="G199" s="16"/>
      <x:c r="H199" s="16"/>
      <x:c r="I199" s="16"/>
      <x:c r="J199" s="16"/>
    </x:row>
    <x:row r="200">
      <x:c r="A200" s="16"/>
      <x:c r="B200" s="16"/>
      <x:c r="C200" s="16"/>
      <x:c r="D200" s="16"/>
      <x:c r="E200" s="16"/>
      <x:c r="F200" s="16"/>
      <x:c r="G200" s="16"/>
      <x:c r="H200" s="16"/>
      <x:c r="I200" s="16"/>
      <x:c r="J200" s="16"/>
    </x:row>
    <x:row r="201">
      <x:c r="A201" s="16"/>
      <x:c r="B201" s="16"/>
      <x:c r="C201" s="16"/>
      <x:c r="D201" s="16"/>
      <x:c r="E201" s="16"/>
      <x:c r="F201" s="16"/>
      <x:c r="G201" s="16"/>
      <x:c r="H201" s="16"/>
      <x:c r="I201" s="16"/>
      <x:c r="J201" s="16"/>
    </x:row>
    <x:row r="202">
      <x:c r="A202" s="16"/>
      <x:c r="B202" s="16"/>
      <x:c r="C202" s="16"/>
      <x:c r="D202" s="16"/>
      <x:c r="E202" s="16"/>
      <x:c r="F202" s="16"/>
      <x:c r="G202" s="16"/>
      <x:c r="H202" s="16"/>
      <x:c r="I202" s="16"/>
      <x:c r="J202" s="16"/>
    </x:row>
    <x:row r="203">
      <x:c r="A203" s="16"/>
      <x:c r="B203" s="16"/>
      <x:c r="C203" s="16"/>
      <x:c r="D203" s="16"/>
      <x:c r="E203" s="16"/>
      <x:c r="F203" s="16"/>
      <x:c r="G203" s="16"/>
      <x:c r="H203" s="16"/>
      <x:c r="I203" s="16"/>
      <x:c r="J203" s="16"/>
    </x:row>
    <x:row r="204">
      <x:c r="A204" s="16"/>
      <x:c r="B204" s="16"/>
      <x:c r="C204" s="16"/>
      <x:c r="D204" s="16"/>
      <x:c r="E204" s="16"/>
      <x:c r="F204" s="16"/>
      <x:c r="G204" s="16"/>
      <x:c r="H204" s="16"/>
      <x:c r="I204" s="16"/>
      <x:c r="J204" s="16"/>
    </x:row>
    <x:row r="205">
      <x:c r="A205" s="16"/>
      <x:c r="B205" s="16"/>
      <x:c r="C205" s="16"/>
      <x:c r="D205" s="16"/>
      <x:c r="E205" s="16"/>
      <x:c r="F205" s="16"/>
      <x:c r="G205" s="16"/>
      <x:c r="H205" s="16"/>
      <x:c r="I205" s="16"/>
      <x:c r="J205" s="16"/>
    </x:row>
    <x:row r="206">
      <x:c r="A206" s="16"/>
      <x:c r="B206" s="16"/>
      <x:c r="C206" s="16"/>
      <x:c r="D206" s="16"/>
      <x:c r="E206" s="16"/>
      <x:c r="F206" s="16"/>
      <x:c r="G206" s="16"/>
      <x:c r="H206" s="16"/>
      <x:c r="I206" s="16"/>
      <x:c r="J206" s="16"/>
    </x:row>
    <x:row r="207">
      <x:c r="A207" s="16"/>
      <x:c r="B207" s="16"/>
      <x:c r="C207" s="16"/>
      <x:c r="D207" s="16"/>
      <x:c r="E207" s="16"/>
      <x:c r="F207" s="16"/>
      <x:c r="G207" s="16"/>
      <x:c r="H207" s="16"/>
      <x:c r="I207" s="16"/>
      <x:c r="J207" s="16"/>
    </x:row>
    <x:row r="208">
      <x:c r="A208" s="16"/>
      <x:c r="B208" s="16"/>
      <x:c r="C208" s="16"/>
      <x:c r="D208" s="16"/>
      <x:c r="E208" s="16"/>
      <x:c r="F208" s="16"/>
      <x:c r="G208" s="16"/>
      <x:c r="H208" s="16"/>
      <x:c r="I208" s="16"/>
      <x:c r="J208" s="16"/>
    </x:row>
    <x:row r="209">
      <x:c r="A209" s="16"/>
      <x:c r="B209" s="16"/>
      <x:c r="C209" s="16"/>
      <x:c r="D209" s="16"/>
      <x:c r="E209" s="16"/>
      <x:c r="F209" s="16"/>
      <x:c r="G209" s="16"/>
      <x:c r="H209" s="16"/>
      <x:c r="I209" s="16"/>
      <x:c r="J209" s="16"/>
    </x:row>
    <x:row r="210">
      <x:c r="A210" s="16"/>
      <x:c r="B210" s="16"/>
      <x:c r="C210" s="16"/>
      <x:c r="D210" s="16"/>
      <x:c r="E210" s="16"/>
      <x:c r="F210" s="16"/>
      <x:c r="G210" s="16"/>
      <x:c r="H210" s="16"/>
      <x:c r="I210" s="16"/>
      <x:c r="J210" s="16"/>
    </x:row>
    <x:row r="211">
      <x:c r="A211" s="16"/>
      <x:c r="B211" s="16"/>
      <x:c r="C211" s="16"/>
      <x:c r="D211" s="16"/>
      <x:c r="E211" s="16"/>
      <x:c r="F211" s="16"/>
      <x:c r="G211" s="16"/>
      <x:c r="H211" s="16"/>
      <x:c r="I211" s="16"/>
      <x:c r="J211" s="16"/>
    </x:row>
    <x:row r="212">
      <x:c r="A212" s="16"/>
      <x:c r="B212" s="16"/>
      <x:c r="C212" s="16"/>
      <x:c r="D212" s="16"/>
      <x:c r="E212" s="16"/>
      <x:c r="F212" s="16"/>
      <x:c r="G212" s="16"/>
      <x:c r="H212" s="16"/>
      <x:c r="I212" s="16"/>
      <x:c r="J212" s="16"/>
    </x:row>
    <x:row r="213">
      <x:c r="A213" s="16"/>
      <x:c r="B213" s="16"/>
      <x:c r="C213" s="16"/>
      <x:c r="D213" s="16"/>
      <x:c r="E213" s="16"/>
      <x:c r="F213" s="16"/>
      <x:c r="G213" s="16"/>
      <x:c r="H213" s="16"/>
      <x:c r="I213" s="16"/>
      <x:c r="J213" s="16"/>
    </x:row>
    <x:row r="214">
      <x:c r="A214" s="16"/>
      <x:c r="B214" s="16"/>
      <x:c r="C214" s="16"/>
      <x:c r="D214" s="16"/>
      <x:c r="E214" s="16"/>
      <x:c r="F214" s="16"/>
      <x:c r="G214" s="16"/>
      <x:c r="H214" s="16"/>
      <x:c r="I214" s="16"/>
      <x:c r="J214" s="16"/>
    </x:row>
    <x:row r="215">
      <x:c r="A215" s="16"/>
      <x:c r="B215" s="16"/>
      <x:c r="C215" s="16"/>
      <x:c r="D215" s="16"/>
      <x:c r="E215" s="16"/>
      <x:c r="F215" s="16"/>
      <x:c r="G215" s="16"/>
      <x:c r="H215" s="16"/>
      <x:c r="I215" s="16"/>
      <x:c r="J215" s="16"/>
    </x:row>
    <x:row r="216">
      <x:c r="A216" s="16"/>
      <x:c r="B216" s="16"/>
      <x:c r="C216" s="16"/>
      <x:c r="D216" s="16"/>
      <x:c r="E216" s="16"/>
      <x:c r="F216" s="16"/>
      <x:c r="G216" s="16"/>
      <x:c r="H216" s="16"/>
      <x:c r="I216" s="16"/>
      <x:c r="J216" s="16"/>
    </x:row>
    <x:row r="217">
      <x:c r="A217" s="16"/>
      <x:c r="B217" s="16"/>
      <x:c r="C217" s="16"/>
      <x:c r="D217" s="16"/>
      <x:c r="E217" s="16"/>
      <x:c r="F217" s="16"/>
      <x:c r="G217" s="16"/>
      <x:c r="H217" s="16"/>
      <x:c r="I217" s="16"/>
      <x:c r="J217" s="16"/>
    </x:row>
    <x:row r="218">
      <x:c r="A218" s="16"/>
      <x:c r="B218" s="16"/>
      <x:c r="C218" s="16"/>
      <x:c r="D218" s="16"/>
      <x:c r="E218" s="16"/>
      <x:c r="F218" s="16"/>
      <x:c r="G218" s="16"/>
      <x:c r="H218" s="16"/>
      <x:c r="I218" s="16"/>
      <x:c r="J218" s="16"/>
    </x:row>
    <x:row r="219">
      <x:c r="A219" s="16"/>
      <x:c r="B219" s="16"/>
      <x:c r="C219" s="16"/>
      <x:c r="D219" s="16"/>
      <x:c r="E219" s="16"/>
      <x:c r="F219" s="16"/>
      <x:c r="G219" s="16"/>
      <x:c r="H219" s="16"/>
      <x:c r="I219" s="16"/>
      <x:c r="J219" s="16"/>
    </x:row>
    <x:row r="220">
      <x:c r="A220" s="16"/>
      <x:c r="B220" s="16"/>
      <x:c r="C220" s="16"/>
      <x:c r="D220" s="16"/>
      <x:c r="E220" s="16"/>
      <x:c r="F220" s="16"/>
      <x:c r="G220" s="16"/>
      <x:c r="H220" s="16"/>
      <x:c r="I220" s="16"/>
      <x:c r="J220" s="16"/>
    </x:row>
    <x:row r="221">
      <x:c r="A221" s="16"/>
      <x:c r="B221" s="16"/>
      <x:c r="C221" s="16"/>
      <x:c r="D221" s="16"/>
      <x:c r="E221" s="16"/>
      <x:c r="F221" s="16"/>
      <x:c r="G221" s="16"/>
      <x:c r="H221" s="16"/>
      <x:c r="I221" s="16"/>
      <x:c r="J221" s="16"/>
    </x:row>
    <x:row r="222">
      <x:c r="A222" s="16"/>
      <x:c r="B222" s="16"/>
      <x:c r="C222" s="16"/>
      <x:c r="D222" s="16"/>
      <x:c r="E222" s="16"/>
      <x:c r="F222" s="16"/>
      <x:c r="G222" s="16"/>
      <x:c r="H222" s="16"/>
      <x:c r="I222" s="16"/>
      <x:c r="J222" s="16"/>
    </x:row>
    <x:row r="223">
      <x:c r="A223" s="16"/>
      <x:c r="B223" s="16"/>
      <x:c r="C223" s="16"/>
      <x:c r="D223" s="16"/>
      <x:c r="E223" s="16"/>
      <x:c r="F223" s="16"/>
      <x:c r="G223" s="16"/>
      <x:c r="H223" s="16"/>
      <x:c r="I223" s="16"/>
      <x:c r="J223" s="16"/>
    </x:row>
    <x:row r="224">
      <x:c r="A224" s="16"/>
      <x:c r="B224" s="16"/>
      <x:c r="C224" s="16"/>
      <x:c r="D224" s="16"/>
      <x:c r="E224" s="16"/>
      <x:c r="F224" s="16"/>
      <x:c r="G224" s="16"/>
      <x:c r="H224" s="16"/>
      <x:c r="I224" s="16"/>
      <x:c r="J224" s="16"/>
    </x:row>
    <x:row r="225">
      <x:c r="A225" s="16"/>
      <x:c r="B225" s="16"/>
      <x:c r="C225" s="16"/>
      <x:c r="D225" s="16"/>
      <x:c r="E225" s="16"/>
      <x:c r="F225" s="16"/>
      <x:c r="G225" s="16"/>
      <x:c r="H225" s="16"/>
      <x:c r="I225" s="16"/>
      <x:c r="J225" s="16"/>
    </x:row>
    <x:row r="226">
      <x:c r="A226" s="16"/>
      <x:c r="B226" s="16"/>
      <x:c r="C226" s="16"/>
      <x:c r="D226" s="16"/>
      <x:c r="E226" s="16"/>
      <x:c r="F226" s="16"/>
      <x:c r="G226" s="16"/>
      <x:c r="H226" s="16"/>
      <x:c r="I226" s="16"/>
      <x:c r="J226" s="16"/>
    </x:row>
    <x:row r="227">
      <x:c r="A227" s="16"/>
      <x:c r="B227" s="16"/>
      <x:c r="C227" s="16"/>
      <x:c r="D227" s="16"/>
      <x:c r="E227" s="16"/>
      <x:c r="F227" s="16"/>
      <x:c r="G227" s="16"/>
      <x:c r="H227" s="16"/>
      <x:c r="I227" s="16"/>
      <x:c r="J227" s="16"/>
    </x:row>
    <x:row r="228">
      <x:c r="A228" s="16"/>
      <x:c r="B228" s="16"/>
      <x:c r="C228" s="16"/>
      <x:c r="D228" s="16"/>
      <x:c r="E228" s="16"/>
      <x:c r="F228" s="16"/>
      <x:c r="G228" s="16"/>
      <x:c r="H228" s="16"/>
      <x:c r="I228" s="16"/>
      <x:c r="J228" s="16"/>
    </x:row>
    <x:row r="229">
      <x:c r="A229" s="16"/>
      <x:c r="B229" s="16"/>
      <x:c r="C229" s="16"/>
      <x:c r="D229" s="16"/>
      <x:c r="E229" s="16"/>
      <x:c r="F229" s="16"/>
      <x:c r="G229" s="16"/>
      <x:c r="H229" s="16"/>
      <x:c r="I229" s="16"/>
      <x:c r="J229" s="16"/>
    </x:row>
    <x:row r="230">
      <x:c r="A230" s="16"/>
      <x:c r="B230" s="16"/>
      <x:c r="C230" s="16"/>
      <x:c r="D230" s="16"/>
      <x:c r="E230" s="16"/>
      <x:c r="F230" s="16"/>
      <x:c r="G230" s="16"/>
      <x:c r="H230" s="16"/>
      <x:c r="I230" s="16"/>
      <x:c r="J230" s="16"/>
    </x:row>
    <x:row r="231">
      <x:c r="A231" s="16"/>
      <x:c r="B231" s="16"/>
      <x:c r="C231" s="16"/>
      <x:c r="D231" s="16"/>
      <x:c r="E231" s="16"/>
      <x:c r="F231" s="16"/>
      <x:c r="G231" s="16"/>
      <x:c r="H231" s="16"/>
      <x:c r="I231" s="16"/>
      <x:c r="J231" s="16"/>
    </x:row>
    <x:row r="232">
      <x:c r="A232" s="16"/>
      <x:c r="B232" s="16"/>
      <x:c r="C232" s="16"/>
      <x:c r="D232" s="16"/>
      <x:c r="E232" s="16"/>
      <x:c r="F232" s="16"/>
      <x:c r="G232" s="16"/>
      <x:c r="H232" s="16"/>
      <x:c r="I232" s="16"/>
      <x:c r="J232" s="16"/>
    </x:row>
    <x:row r="233">
      <x:c r="A233" s="16"/>
      <x:c r="B233" s="16"/>
      <x:c r="C233" s="16"/>
      <x:c r="D233" s="16"/>
      <x:c r="E233" s="16"/>
      <x:c r="F233" s="16"/>
      <x:c r="G233" s="16"/>
      <x:c r="H233" s="16"/>
      <x:c r="I233" s="16"/>
      <x:c r="J233" s="16"/>
    </x:row>
    <x:row r="234">
      <x:c r="A234" s="16"/>
      <x:c r="B234" s="16"/>
      <x:c r="C234" s="16"/>
      <x:c r="D234" s="16"/>
      <x:c r="E234" s="16"/>
      <x:c r="F234" s="16"/>
      <x:c r="G234" s="16"/>
      <x:c r="H234" s="16"/>
      <x:c r="I234" s="16"/>
      <x:c r="J234" s="16"/>
    </x:row>
    <x:row r="235">
      <x:c r="A235" s="16"/>
      <x:c r="B235" s="16"/>
      <x:c r="C235" s="16"/>
      <x:c r="D235" s="16"/>
      <x:c r="E235" s="16"/>
      <x:c r="F235" s="16"/>
      <x:c r="G235" s="16"/>
      <x:c r="H235" s="16"/>
      <x:c r="I235" s="16"/>
      <x:c r="J235" s="16"/>
    </x:row>
    <x:row r="236">
      <x:c r="A236" s="16"/>
      <x:c r="B236" s="16"/>
      <x:c r="C236" s="16"/>
      <x:c r="D236" s="16"/>
      <x:c r="E236" s="16"/>
      <x:c r="F236" s="16"/>
      <x:c r="G236" s="16"/>
      <x:c r="H236" s="16"/>
      <x:c r="I236" s="16"/>
      <x:c r="J236" s="16"/>
    </x:row>
    <x:row r="237">
      <x:c r="A237" s="16"/>
      <x:c r="B237" s="16"/>
      <x:c r="C237" s="16"/>
      <x:c r="D237" s="16"/>
      <x:c r="E237" s="16"/>
      <x:c r="F237" s="16"/>
      <x:c r="G237" s="16"/>
      <x:c r="H237" s="16"/>
      <x:c r="I237" s="16"/>
      <x:c r="J237" s="16"/>
    </x:row>
    <x:row r="238">
      <x:c r="A238" s="16"/>
      <x:c r="B238" s="16"/>
      <x:c r="C238" s="16"/>
      <x:c r="D238" s="16"/>
      <x:c r="E238" s="16"/>
      <x:c r="F238" s="16"/>
      <x:c r="G238" s="16"/>
      <x:c r="H238" s="16"/>
      <x:c r="I238" s="16"/>
      <x:c r="J238" s="16"/>
    </x:row>
    <x:row r="239">
      <x:c r="A239" s="16"/>
      <x:c r="B239" s="16"/>
      <x:c r="C239" s="16"/>
      <x:c r="D239" s="16"/>
      <x:c r="E239" s="16"/>
      <x:c r="F239" s="16"/>
      <x:c r="G239" s="16"/>
      <x:c r="H239" s="16"/>
      <x:c r="I239" s="16"/>
      <x:c r="J239" s="16"/>
    </x:row>
    <x:row r="240">
      <x:c r="A240" s="16"/>
      <x:c r="B240" s="16"/>
      <x:c r="C240" s="16"/>
      <x:c r="D240" s="16"/>
      <x:c r="E240" s="16"/>
      <x:c r="F240" s="16"/>
      <x:c r="G240" s="16"/>
      <x:c r="H240" s="16"/>
      <x:c r="I240" s="16"/>
      <x:c r="J240" s="16"/>
    </x:row>
    <x:row r="241">
      <x:c r="A241" s="16"/>
      <x:c r="B241" s="16"/>
      <x:c r="C241" s="16"/>
      <x:c r="D241" s="16"/>
      <x:c r="E241" s="16"/>
      <x:c r="F241" s="16"/>
      <x:c r="G241" s="16"/>
      <x:c r="H241" s="16"/>
      <x:c r="I241" s="16"/>
      <x:c r="J241" s="16"/>
    </x:row>
    <x:row r="242">
      <x:c r="A242" s="16"/>
      <x:c r="B242" s="16"/>
      <x:c r="C242" s="16"/>
      <x:c r="D242" s="16"/>
      <x:c r="E242" s="16"/>
      <x:c r="F242" s="16"/>
      <x:c r="G242" s="16"/>
      <x:c r="H242" s="16"/>
      <x:c r="I242" s="16"/>
      <x:c r="J242" s="16"/>
    </x:row>
    <x:row r="243">
      <x:c r="A243" s="16"/>
      <x:c r="B243" s="16"/>
      <x:c r="C243" s="16"/>
      <x:c r="D243" s="16"/>
      <x:c r="E243" s="16"/>
      <x:c r="F243" s="16"/>
      <x:c r="G243" s="16"/>
      <x:c r="H243" s="16"/>
      <x:c r="I243" s="16"/>
      <x:c r="J243" s="16"/>
    </x:row>
    <x:row r="244">
      <x:c r="A244" s="16"/>
      <x:c r="B244" s="16"/>
      <x:c r="C244" s="16"/>
      <x:c r="D244" s="16"/>
      <x:c r="E244" s="16"/>
      <x:c r="F244" s="16"/>
      <x:c r="G244" s="16"/>
      <x:c r="H244" s="16"/>
      <x:c r="I244" s="16"/>
      <x:c r="J244" s="16"/>
    </x:row>
    <x:row r="245">
      <x:c r="A245" s="16"/>
      <x:c r="B245" s="16"/>
      <x:c r="C245" s="16"/>
      <x:c r="D245" s="16"/>
      <x:c r="E245" s="16"/>
      <x:c r="F245" s="16"/>
      <x:c r="G245" s="16"/>
      <x:c r="H245" s="16"/>
      <x:c r="I245" s="16"/>
      <x:c r="J245" s="16"/>
    </x:row>
    <x:row r="246">
      <x:c r="A246" s="16"/>
      <x:c r="B246" s="16"/>
      <x:c r="C246" s="16"/>
      <x:c r="D246" s="16"/>
      <x:c r="E246" s="16"/>
      <x:c r="F246" s="16"/>
      <x:c r="G246" s="16"/>
      <x:c r="H246" s="16"/>
      <x:c r="I246" s="16"/>
      <x:c r="J246" s="16"/>
    </x:row>
    <x:row r="247">
      <x:c r="A247" s="16"/>
      <x:c r="B247" s="16"/>
      <x:c r="C247" s="16"/>
      <x:c r="D247" s="16"/>
      <x:c r="E247" s="16"/>
      <x:c r="F247" s="16"/>
      <x:c r="G247" s="16"/>
      <x:c r="H247" s="16"/>
      <x:c r="I247" s="16"/>
      <x:c r="J247" s="16"/>
    </x:row>
    <x:row r="248">
      <x:c r="A248" s="16"/>
      <x:c r="B248" s="16"/>
      <x:c r="C248" s="16"/>
      <x:c r="D248" s="16"/>
      <x:c r="E248" s="16"/>
      <x:c r="F248" s="16"/>
      <x:c r="G248" s="16"/>
      <x:c r="H248" s="16"/>
      <x:c r="I248" s="16"/>
      <x:c r="J248" s="16"/>
    </x:row>
    <x:row r="249">
      <x:c r="A249" s="16"/>
      <x:c r="B249" s="16"/>
      <x:c r="C249" s="16"/>
      <x:c r="D249" s="16"/>
      <x:c r="E249" s="16"/>
      <x:c r="F249" s="16"/>
      <x:c r="G249" s="16"/>
      <x:c r="H249" s="16"/>
      <x:c r="I249" s="16"/>
      <x:c r="J249" s="16"/>
    </x:row>
    <x:row r="250">
      <x:c r="A250" s="16"/>
      <x:c r="B250" s="16"/>
      <x:c r="C250" s="16"/>
      <x:c r="D250" s="16"/>
      <x:c r="E250" s="16"/>
      <x:c r="F250" s="16"/>
      <x:c r="G250" s="16"/>
      <x:c r="H250" s="16"/>
      <x:c r="I250" s="16"/>
      <x:c r="J250" s="16"/>
    </x:row>
    <x:row r="251">
      <x:c r="A251" s="16"/>
      <x:c r="B251" s="16"/>
      <x:c r="C251" s="16"/>
      <x:c r="D251" s="16"/>
      <x:c r="E251" s="16"/>
      <x:c r="F251" s="16"/>
      <x:c r="G251" s="16"/>
      <x:c r="H251" s="16"/>
      <x:c r="I251" s="16"/>
      <x:c r="J251" s="16"/>
    </x:row>
    <x:row r="252">
      <x:c r="A252" s="16"/>
      <x:c r="B252" s="16"/>
      <x:c r="C252" s="16"/>
      <x:c r="D252" s="16"/>
      <x:c r="E252" s="16"/>
      <x:c r="F252" s="16"/>
      <x:c r="G252" s="16"/>
      <x:c r="H252" s="16"/>
      <x:c r="I252" s="16"/>
      <x:c r="J252" s="16"/>
    </x:row>
    <x:row r="253">
      <x:c r="A253" s="16"/>
      <x:c r="B253" s="16"/>
      <x:c r="C253" s="16"/>
      <x:c r="D253" s="16"/>
      <x:c r="E253" s="16"/>
      <x:c r="F253" s="16"/>
      <x:c r="G253" s="16"/>
      <x:c r="H253" s="16"/>
      <x:c r="I253" s="16"/>
      <x:c r="J253" s="16"/>
    </x:row>
    <x:row r="254">
      <x:c r="A254" s="16"/>
      <x:c r="B254" s="16"/>
      <x:c r="C254" s="16"/>
      <x:c r="D254" s="16"/>
      <x:c r="E254" s="16"/>
      <x:c r="F254" s="16"/>
      <x:c r="G254" s="16"/>
      <x:c r="H254" s="16"/>
      <x:c r="I254" s="16"/>
      <x:c r="J254" s="16"/>
    </x:row>
    <x:row r="255">
      <x:c r="A255" s="16"/>
      <x:c r="B255" s="16"/>
      <x:c r="C255" s="16"/>
      <x:c r="D255" s="16"/>
      <x:c r="E255" s="16"/>
      <x:c r="F255" s="16"/>
      <x:c r="G255" s="16"/>
      <x:c r="H255" s="16"/>
      <x:c r="I255" s="16"/>
      <x:c r="J255" s="16"/>
    </x:row>
    <x:row r="256">
      <x:c r="A256" s="16"/>
      <x:c r="B256" s="16"/>
      <x:c r="C256" s="16"/>
      <x:c r="D256" s="16"/>
      <x:c r="E256" s="16"/>
      <x:c r="F256" s="16"/>
      <x:c r="G256" s="16"/>
      <x:c r="H256" s="16"/>
      <x:c r="I256" s="16"/>
      <x:c r="J256" s="16"/>
    </x:row>
    <x:row r="257">
      <x:c r="A257" s="16"/>
      <x:c r="B257" s="16"/>
      <x:c r="C257" s="16"/>
      <x:c r="D257" s="16"/>
      <x:c r="E257" s="16"/>
      <x:c r="F257" s="16"/>
      <x:c r="G257" s="16"/>
      <x:c r="H257" s="16"/>
      <x:c r="I257" s="16"/>
      <x:c r="J257" s="16"/>
    </x:row>
    <x:row r="258">
      <x:c r="A258" s="16"/>
      <x:c r="B258" s="16"/>
      <x:c r="C258" s="16"/>
      <x:c r="D258" s="16"/>
      <x:c r="E258" s="16"/>
      <x:c r="F258" s="16"/>
      <x:c r="G258" s="16"/>
      <x:c r="H258" s="16"/>
      <x:c r="I258" s="16"/>
      <x:c r="J258" s="16"/>
    </x:row>
    <x:row r="259">
      <x:c r="A259" s="16"/>
      <x:c r="B259" s="16"/>
      <x:c r="C259" s="16"/>
      <x:c r="D259" s="16"/>
      <x:c r="E259" s="16"/>
      <x:c r="F259" s="16"/>
      <x:c r="G259" s="16"/>
      <x:c r="H259" s="16"/>
      <x:c r="I259" s="16"/>
      <x:c r="J259" s="16"/>
    </x:row>
    <x:row r="260">
      <x:c r="A260" s="16"/>
      <x:c r="B260" s="16"/>
      <x:c r="C260" s="16"/>
      <x:c r="D260" s="16"/>
      <x:c r="E260" s="16"/>
      <x:c r="F260" s="16"/>
      <x:c r="G260" s="16"/>
      <x:c r="H260" s="16"/>
      <x:c r="I260" s="16"/>
      <x:c r="J260" s="16"/>
    </x:row>
    <x:row r="261">
      <x:c r="A261" s="16"/>
      <x:c r="B261" s="16"/>
      <x:c r="C261" s="16"/>
      <x:c r="D261" s="16"/>
      <x:c r="E261" s="16"/>
      <x:c r="F261" s="16"/>
      <x:c r="G261" s="16"/>
      <x:c r="H261" s="16"/>
      <x:c r="I261" s="16"/>
      <x:c r="J261" s="16"/>
    </x:row>
    <x:row r="262">
      <x:c r="A262" s="16"/>
      <x:c r="B262" s="16"/>
      <x:c r="C262" s="16"/>
      <x:c r="D262" s="16"/>
      <x:c r="E262" s="16"/>
      <x:c r="F262" s="16"/>
      <x:c r="G262" s="16"/>
      <x:c r="H262" s="16"/>
      <x:c r="I262" s="16"/>
      <x:c r="J262" s="16"/>
    </x:row>
    <x:row r="263">
      <x:c r="A263" s="16"/>
      <x:c r="B263" s="16"/>
      <x:c r="C263" s="16"/>
      <x:c r="D263" s="16"/>
      <x:c r="E263" s="16"/>
      <x:c r="F263" s="16"/>
      <x:c r="G263" s="16"/>
      <x:c r="H263" s="16"/>
      <x:c r="I263" s="16"/>
      <x:c r="J263" s="16"/>
    </x:row>
    <x:row r="264">
      <x:c r="A264" s="16"/>
      <x:c r="B264" s="16"/>
      <x:c r="C264" s="16"/>
      <x:c r="D264" s="16"/>
      <x:c r="E264" s="16"/>
      <x:c r="F264" s="16"/>
      <x:c r="G264" s="16"/>
      <x:c r="H264" s="16"/>
      <x:c r="I264" s="16"/>
      <x:c r="J264" s="16"/>
    </x:row>
    <x:row r="265">
      <x:c r="A265" s="16"/>
      <x:c r="B265" s="16"/>
      <x:c r="C265" s="16"/>
      <x:c r="D265" s="16"/>
      <x:c r="E265" s="16"/>
      <x:c r="F265" s="16"/>
      <x:c r="G265" s="16"/>
      <x:c r="H265" s="16"/>
      <x:c r="I265" s="16"/>
      <x:c r="J265" s="16"/>
    </x:row>
    <x:row r="266">
      <x:c r="A266" s="16"/>
      <x:c r="B266" s="16"/>
      <x:c r="C266" s="16"/>
      <x:c r="D266" s="16"/>
      <x:c r="E266" s="16"/>
      <x:c r="F266" s="16"/>
      <x:c r="G266" s="16"/>
      <x:c r="H266" s="16"/>
      <x:c r="I266" s="16"/>
      <x:c r="J266" s="16"/>
    </x:row>
    <x:row r="267">
      <x:c r="A267" s="16"/>
      <x:c r="B267" s="16"/>
      <x:c r="C267" s="16"/>
      <x:c r="D267" s="16"/>
      <x:c r="E267" s="16"/>
      <x:c r="F267" s="16"/>
      <x:c r="G267" s="16"/>
      <x:c r="H267" s="16"/>
      <x:c r="I267" s="16"/>
      <x:c r="J267" s="16"/>
    </x:row>
    <x:row r="268">
      <x:c r="A268" s="16"/>
      <x:c r="B268" s="16"/>
      <x:c r="C268" s="16"/>
      <x:c r="D268" s="16"/>
      <x:c r="E268" s="16"/>
      <x:c r="F268" s="16"/>
      <x:c r="G268" s="16"/>
      <x:c r="H268" s="16"/>
      <x:c r="I268" s="16"/>
      <x:c r="J268" s="16"/>
    </x:row>
    <x:row r="269">
      <x:c r="A269" s="16"/>
      <x:c r="B269" s="16"/>
      <x:c r="C269" s="16"/>
      <x:c r="D269" s="16"/>
      <x:c r="E269" s="16"/>
      <x:c r="F269" s="16"/>
      <x:c r="G269" s="16"/>
      <x:c r="H269" s="16"/>
      <x:c r="I269" s="16"/>
      <x:c r="J269" s="16"/>
    </x:row>
    <x:row r="270">
      <x:c r="A270" s="16"/>
      <x:c r="B270" s="16"/>
      <x:c r="C270" s="16"/>
      <x:c r="D270" s="16"/>
      <x:c r="E270" s="16"/>
      <x:c r="F270" s="16"/>
      <x:c r="G270" s="16"/>
      <x:c r="H270" s="16"/>
      <x:c r="I270" s="16"/>
      <x:c r="J270" s="16"/>
    </x:row>
    <x:row r="271">
      <x:c r="A271" s="16"/>
      <x:c r="B271" s="16"/>
      <x:c r="C271" s="16"/>
      <x:c r="D271" s="16"/>
      <x:c r="E271" s="16"/>
      <x:c r="F271" s="16"/>
      <x:c r="G271" s="16"/>
      <x:c r="H271" s="16"/>
      <x:c r="I271" s="16"/>
      <x:c r="J271" s="16"/>
    </x:row>
    <x:row r="272">
      <x:c r="A272" s="16"/>
      <x:c r="B272" s="16"/>
      <x:c r="C272" s="16"/>
      <x:c r="D272" s="16"/>
      <x:c r="E272" s="16"/>
      <x:c r="F272" s="16"/>
      <x:c r="G272" s="16"/>
      <x:c r="H272" s="16"/>
      <x:c r="I272" s="16"/>
      <x:c r="J272" s="16"/>
    </x:row>
    <x:row r="273">
      <x:c r="A273" s="16"/>
      <x:c r="B273" s="16"/>
      <x:c r="C273" s="16"/>
      <x:c r="D273" s="16"/>
      <x:c r="E273" s="16"/>
      <x:c r="F273" s="16"/>
      <x:c r="G273" s="16"/>
      <x:c r="H273" s="16"/>
      <x:c r="I273" s="16"/>
      <x:c r="J273" s="16"/>
    </x:row>
    <x:row r="274">
      <x:c r="A274" s="16"/>
      <x:c r="B274" s="16"/>
      <x:c r="C274" s="16"/>
      <x:c r="D274" s="16"/>
      <x:c r="E274" s="16"/>
      <x:c r="F274" s="16"/>
      <x:c r="G274" s="16"/>
      <x:c r="H274" s="16"/>
      <x:c r="I274" s="16"/>
      <x:c r="J274" s="16"/>
    </x:row>
    <x:row r="275">
      <x:c r="A275" s="16"/>
      <x:c r="B275" s="16"/>
      <x:c r="C275" s="16"/>
      <x:c r="D275" s="16"/>
      <x:c r="E275" s="16"/>
      <x:c r="F275" s="16"/>
      <x:c r="G275" s="16"/>
      <x:c r="H275" s="16"/>
      <x:c r="I275" s="16"/>
      <x:c r="J275" s="16"/>
    </x:row>
    <x:row r="276">
      <x:c r="A276" s="16"/>
      <x:c r="B276" s="16"/>
      <x:c r="C276" s="16"/>
      <x:c r="D276" s="16"/>
      <x:c r="E276" s="16"/>
      <x:c r="F276" s="16"/>
      <x:c r="G276" s="16"/>
      <x:c r="H276" s="16"/>
      <x:c r="I276" s="16"/>
      <x:c r="J276" s="16"/>
    </x:row>
    <x:row r="277">
      <x:c r="A277" s="16"/>
      <x:c r="B277" s="16"/>
      <x:c r="C277" s="16"/>
      <x:c r="D277" s="16"/>
      <x:c r="E277" s="16"/>
      <x:c r="F277" s="16"/>
      <x:c r="G277" s="16"/>
      <x:c r="H277" s="16"/>
      <x:c r="I277" s="16"/>
      <x:c r="J277" s="16"/>
    </x:row>
    <x:row r="278">
      <x:c r="A278" s="16"/>
      <x:c r="B278" s="16"/>
      <x:c r="C278" s="16"/>
      <x:c r="D278" s="16"/>
      <x:c r="E278" s="16"/>
      <x:c r="F278" s="16"/>
      <x:c r="G278" s="16"/>
      <x:c r="H278" s="16"/>
      <x:c r="I278" s="16"/>
      <x:c r="J278" s="16"/>
    </x:row>
    <x:row r="279">
      <x:c r="A279" s="16"/>
      <x:c r="B279" s="16"/>
      <x:c r="C279" s="16"/>
      <x:c r="D279" s="16"/>
      <x:c r="E279" s="16"/>
      <x:c r="F279" s="16"/>
      <x:c r="G279" s="16"/>
      <x:c r="H279" s="16"/>
      <x:c r="I279" s="16"/>
      <x:c r="J279" s="16"/>
    </x:row>
    <x:row r="280">
      <x:c r="A280" s="16"/>
      <x:c r="B280" s="16"/>
      <x:c r="C280" s="16"/>
      <x:c r="D280" s="16"/>
      <x:c r="E280" s="16"/>
      <x:c r="F280" s="16"/>
      <x:c r="G280" s="16"/>
      <x:c r="H280" s="16"/>
      <x:c r="I280" s="16"/>
      <x:c r="J280" s="16"/>
    </x:row>
    <x:row r="281">
      <x:c r="A281" s="16"/>
      <x:c r="B281" s="16"/>
      <x:c r="C281" s="16"/>
      <x:c r="D281" s="16"/>
      <x:c r="E281" s="16"/>
      <x:c r="F281" s="16"/>
      <x:c r="G281" s="16"/>
      <x:c r="H281" s="16"/>
      <x:c r="I281" s="16"/>
      <x:c r="J281" s="16"/>
    </x:row>
    <x:row r="282">
      <x:c r="A282" s="16"/>
      <x:c r="B282" s="16"/>
      <x:c r="C282" s="16"/>
      <x:c r="D282" s="16"/>
      <x:c r="E282" s="16"/>
      <x:c r="F282" s="16"/>
      <x:c r="G282" s="16"/>
      <x:c r="H282" s="16"/>
      <x:c r="I282" s="16"/>
      <x:c r="J282" s="16"/>
    </x:row>
    <x:row r="283">
      <x:c r="A283" s="16"/>
      <x:c r="B283" s="16"/>
      <x:c r="C283" s="16"/>
      <x:c r="D283" s="16"/>
      <x:c r="E283" s="16"/>
      <x:c r="F283" s="16"/>
      <x:c r="G283" s="16"/>
      <x:c r="H283" s="16"/>
      <x:c r="I283" s="16"/>
      <x:c r="J283" s="16"/>
    </x:row>
    <x:row r="284">
      <x:c r="A284" s="16"/>
      <x:c r="B284" s="16"/>
      <x:c r="C284" s="16"/>
      <x:c r="D284" s="16"/>
      <x:c r="E284" s="16"/>
      <x:c r="F284" s="16"/>
      <x:c r="G284" s="16"/>
      <x:c r="H284" s="16"/>
      <x:c r="I284" s="16"/>
      <x:c r="J284" s="16"/>
    </x:row>
    <x:row r="285">
      <x:c r="A285" s="16"/>
      <x:c r="B285" s="16"/>
      <x:c r="C285" s="16"/>
      <x:c r="D285" s="16"/>
      <x:c r="E285" s="16"/>
      <x:c r="F285" s="16"/>
      <x:c r="G285" s="16"/>
      <x:c r="H285" s="16"/>
      <x:c r="I285" s="16"/>
      <x:c r="J285" s="16"/>
    </x:row>
    <x:row r="286">
      <x:c r="A286" s="16"/>
      <x:c r="B286" s="16"/>
      <x:c r="C286" s="16"/>
      <x:c r="D286" s="16"/>
      <x:c r="E286" s="16"/>
      <x:c r="F286" s="16"/>
      <x:c r="G286" s="16"/>
      <x:c r="H286" s="16"/>
      <x:c r="I286" s="16"/>
      <x:c r="J286" s="16"/>
    </x:row>
    <x:row r="287">
      <x:c r="A287" s="16"/>
      <x:c r="B287" s="16"/>
      <x:c r="C287" s="16"/>
      <x:c r="D287" s="16"/>
      <x:c r="E287" s="16"/>
      <x:c r="F287" s="16"/>
      <x:c r="G287" s="16"/>
      <x:c r="H287" s="16"/>
      <x:c r="I287" s="16"/>
      <x:c r="J287" s="16"/>
    </x:row>
    <x:row r="288">
      <x:c r="A288" s="16"/>
      <x:c r="B288" s="16"/>
      <x:c r="C288" s="16"/>
      <x:c r="D288" s="16"/>
      <x:c r="E288" s="16"/>
      <x:c r="F288" s="16"/>
      <x:c r="G288" s="16"/>
      <x:c r="H288" s="16"/>
      <x:c r="I288" s="16"/>
      <x:c r="J288" s="16"/>
    </x:row>
    <x:row r="289">
      <x:c r="A289" s="16"/>
      <x:c r="B289" s="16"/>
      <x:c r="C289" s="16"/>
      <x:c r="D289" s="16"/>
      <x:c r="E289" s="16"/>
      <x:c r="F289" s="16"/>
      <x:c r="G289" s="16"/>
      <x:c r="H289" s="16"/>
      <x:c r="I289" s="16"/>
      <x:c r="J289" s="16"/>
    </x:row>
    <x:row r="290">
      <x:c r="A290" s="16"/>
      <x:c r="B290" s="16"/>
      <x:c r="C290" s="16"/>
      <x:c r="D290" s="16"/>
      <x:c r="E290" s="16"/>
      <x:c r="F290" s="16"/>
      <x:c r="G290" s="16"/>
      <x:c r="H290" s="16"/>
      <x:c r="I290" s="16"/>
      <x:c r="J290" s="16"/>
    </x:row>
    <x:row r="291">
      <x:c r="A291" s="16"/>
      <x:c r="B291" s="16"/>
      <x:c r="C291" s="16"/>
      <x:c r="D291" s="16"/>
      <x:c r="E291" s="16"/>
      <x:c r="F291" s="16"/>
      <x:c r="G291" s="16"/>
      <x:c r="H291" s="16"/>
      <x:c r="I291" s="16"/>
      <x:c r="J291" s="16"/>
    </x:row>
    <x:row r="292">
      <x:c r="A292" s="16"/>
      <x:c r="B292" s="16"/>
      <x:c r="C292" s="16"/>
      <x:c r="D292" s="16"/>
      <x:c r="E292" s="16"/>
      <x:c r="F292" s="16"/>
      <x:c r="G292" s="16"/>
      <x:c r="H292" s="16"/>
      <x:c r="I292" s="16"/>
      <x:c r="J292" s="16"/>
    </x:row>
    <x:row r="293">
      <x:c r="A293" s="16"/>
      <x:c r="B293" s="16"/>
      <x:c r="C293" s="16"/>
      <x:c r="D293" s="16"/>
      <x:c r="E293" s="16"/>
      <x:c r="F293" s="16"/>
      <x:c r="G293" s="16"/>
      <x:c r="H293" s="16"/>
      <x:c r="I293" s="16"/>
      <x:c r="J293" s="16"/>
    </x:row>
    <x:row r="294">
      <x:c r="A294" s="16"/>
      <x:c r="B294" s="16"/>
      <x:c r="C294" s="16"/>
      <x:c r="D294" s="16"/>
      <x:c r="E294" s="16"/>
      <x:c r="F294" s="16"/>
      <x:c r="G294" s="16"/>
      <x:c r="H294" s="16"/>
      <x:c r="I294" s="16"/>
      <x:c r="J294" s="16"/>
    </x:row>
    <x:row r="295">
      <x:c r="A295" s="16"/>
      <x:c r="B295" s="16"/>
      <x:c r="C295" s="16"/>
      <x:c r="D295" s="16"/>
      <x:c r="E295" s="16"/>
      <x:c r="F295" s="16"/>
      <x:c r="G295" s="16"/>
      <x:c r="H295" s="16"/>
      <x:c r="I295" s="16"/>
      <x:c r="J295" s="16"/>
    </x:row>
    <x:row r="296">
      <x:c r="A296" s="16"/>
      <x:c r="B296" s="16"/>
      <x:c r="C296" s="16"/>
      <x:c r="D296" s="16"/>
      <x:c r="E296" s="16"/>
      <x:c r="F296" s="16"/>
      <x:c r="G296" s="16"/>
      <x:c r="H296" s="16"/>
      <x:c r="I296" s="16"/>
      <x:c r="J296" s="16"/>
    </x:row>
    <x:row r="297">
      <x:c r="A297" s="16"/>
      <x:c r="B297" s="16"/>
      <x:c r="C297" s="16"/>
      <x:c r="D297" s="16"/>
      <x:c r="E297" s="16"/>
      <x:c r="F297" s="16"/>
      <x:c r="G297" s="16"/>
      <x:c r="H297" s="16"/>
      <x:c r="I297" s="16"/>
      <x:c r="J297" s="16"/>
    </x:row>
    <x:row r="298">
      <x:c r="A298" s="16"/>
      <x:c r="B298" s="16"/>
      <x:c r="C298" s="16"/>
      <x:c r="D298" s="16"/>
      <x:c r="E298" s="16"/>
      <x:c r="F298" s="16"/>
      <x:c r="G298" s="16"/>
      <x:c r="H298" s="16"/>
      <x:c r="I298" s="16"/>
      <x:c r="J298" s="16"/>
    </x:row>
    <x:row r="299">
      <x:c r="A299" s="16"/>
      <x:c r="B299" s="16"/>
      <x:c r="C299" s="16"/>
      <x:c r="D299" s="16"/>
      <x:c r="E299" s="16"/>
      <x:c r="F299" s="16"/>
      <x:c r="G299" s="16"/>
      <x:c r="H299" s="16"/>
      <x:c r="I299" s="16"/>
      <x:c r="J299" s="16"/>
    </x:row>
    <x:row r="300">
      <x:c r="A300" s="16"/>
      <x:c r="B300" s="16"/>
      <x:c r="C300" s="16"/>
      <x:c r="D300" s="16"/>
      <x:c r="E300" s="16"/>
      <x:c r="F300" s="16"/>
      <x:c r="G300" s="16"/>
      <x:c r="H300" s="16"/>
      <x:c r="I300" s="16"/>
      <x:c r="J300" s="16"/>
    </x:row>
    <x:row r="301">
      <x:c r="A301" s="16"/>
      <x:c r="B301" s="16"/>
      <x:c r="C301" s="16"/>
      <x:c r="D301" s="16"/>
      <x:c r="E301" s="16"/>
      <x:c r="F301" s="16"/>
      <x:c r="G301" s="16"/>
      <x:c r="H301" s="16"/>
      <x:c r="I301" s="16"/>
      <x:c r="J301" s="16"/>
    </x:row>
    <x:row r="302">
      <x:c r="A302" s="16"/>
      <x:c r="B302" s="16"/>
      <x:c r="C302" s="16"/>
      <x:c r="D302" s="16"/>
      <x:c r="E302" s="16"/>
      <x:c r="F302" s="16"/>
      <x:c r="G302" s="16"/>
      <x:c r="H302" s="16"/>
      <x:c r="I302" s="16"/>
      <x:c r="J302" s="16"/>
    </x:row>
    <x:row r="303">
      <x:c r="A303" s="16"/>
      <x:c r="B303" s="16"/>
      <x:c r="C303" s="16"/>
      <x:c r="D303" s="16"/>
      <x:c r="E303" s="16"/>
      <x:c r="F303" s="16"/>
      <x:c r="G303" s="16"/>
      <x:c r="H303" s="16"/>
      <x:c r="I303" s="16"/>
      <x:c r="J303" s="16"/>
    </x:row>
    <x:row r="304">
      <x:c r="A304" s="16"/>
      <x:c r="B304" s="16"/>
      <x:c r="C304" s="16"/>
      <x:c r="D304" s="16"/>
      <x:c r="E304" s="16"/>
      <x:c r="F304" s="16"/>
      <x:c r="G304" s="16"/>
      <x:c r="H304" s="16"/>
      <x:c r="I304" s="16"/>
      <x:c r="J304" s="16"/>
    </x:row>
    <x:row r="305">
      <x:c r="A305" s="16"/>
      <x:c r="B305" s="16"/>
      <x:c r="C305" s="16"/>
      <x:c r="D305" s="16"/>
      <x:c r="E305" s="16"/>
      <x:c r="F305" s="16"/>
      <x:c r="G305" s="16"/>
      <x:c r="H305" s="16"/>
      <x:c r="I305" s="16"/>
      <x:c r="J305" s="16"/>
    </x:row>
    <x:row r="306">
      <x:c r="A306" s="16"/>
      <x:c r="B306" s="16"/>
      <x:c r="C306" s="16"/>
      <x:c r="D306" s="16"/>
      <x:c r="E306" s="16"/>
      <x:c r="F306" s="16"/>
      <x:c r="G306" s="16"/>
      <x:c r="H306" s="16"/>
      <x:c r="I306" s="16"/>
      <x:c r="J306" s="16"/>
    </x:row>
    <x:row r="307">
      <x:c r="A307" s="16"/>
      <x:c r="B307" s="16"/>
      <x:c r="C307" s="16"/>
      <x:c r="D307" s="16"/>
      <x:c r="E307" s="16"/>
      <x:c r="F307" s="16"/>
      <x:c r="G307" s="16"/>
      <x:c r="H307" s="16"/>
      <x:c r="I307" s="16"/>
      <x:c r="J307" s="16"/>
    </x:row>
    <x:row r="308">
      <x:c r="A308" s="16"/>
      <x:c r="B308" s="16"/>
      <x:c r="C308" s="16"/>
      <x:c r="D308" s="16"/>
      <x:c r="E308" s="16"/>
      <x:c r="F308" s="16"/>
      <x:c r="G308" s="16"/>
      <x:c r="H308" s="16"/>
      <x:c r="I308" s="16"/>
      <x:c r="J308" s="16"/>
    </x:row>
    <x:row r="309">
      <x:c r="A309" s="16"/>
      <x:c r="B309" s="16"/>
      <x:c r="C309" s="16"/>
      <x:c r="D309" s="16"/>
      <x:c r="E309" s="16"/>
      <x:c r="F309" s="16"/>
      <x:c r="G309" s="16"/>
      <x:c r="H309" s="16"/>
      <x:c r="I309" s="16"/>
      <x:c r="J309" s="16"/>
    </x:row>
    <x:row r="310">
      <x:c r="A310" s="16"/>
      <x:c r="B310" s="16"/>
      <x:c r="C310" s="16"/>
      <x:c r="D310" s="16"/>
      <x:c r="E310" s="16"/>
      <x:c r="F310" s="16"/>
      <x:c r="G310" s="16"/>
      <x:c r="H310" s="16"/>
      <x:c r="I310" s="16"/>
      <x:c r="J310" s="16"/>
    </x:row>
    <x:row r="311">
      <x:c r="A311" s="16"/>
      <x:c r="B311" s="16"/>
      <x:c r="C311" s="16"/>
      <x:c r="D311" s="16"/>
      <x:c r="E311" s="16"/>
      <x:c r="F311" s="16"/>
      <x:c r="G311" s="16"/>
      <x:c r="H311" s="16"/>
      <x:c r="I311" s="16"/>
      <x:c r="J311" s="16"/>
    </x:row>
    <x:row r="312">
      <x:c r="A312" s="16"/>
      <x:c r="B312" s="16"/>
      <x:c r="C312" s="16"/>
      <x:c r="D312" s="16"/>
      <x:c r="E312" s="16"/>
      <x:c r="F312" s="16"/>
      <x:c r="G312" s="16"/>
      <x:c r="H312" s="16"/>
      <x:c r="I312" s="16"/>
      <x:c r="J312" s="16"/>
    </x:row>
    <x:row r="313">
      <x:c r="A313" s="16"/>
      <x:c r="B313" s="16"/>
      <x:c r="C313" s="16"/>
      <x:c r="D313" s="16"/>
      <x:c r="E313" s="16"/>
      <x:c r="F313" s="16"/>
      <x:c r="G313" s="16"/>
      <x:c r="H313" s="16"/>
      <x:c r="I313" s="16"/>
      <x:c r="J313" s="16"/>
    </x:row>
    <x:row r="314">
      <x:c r="A314" s="16"/>
      <x:c r="B314" s="16"/>
      <x:c r="C314" s="16"/>
      <x:c r="D314" s="16"/>
      <x:c r="E314" s="16"/>
      <x:c r="F314" s="16"/>
      <x:c r="G314" s="16"/>
      <x:c r="H314" s="16"/>
      <x:c r="I314" s="16"/>
      <x:c r="J314" s="16"/>
    </x:row>
    <x:row r="315">
      <x:c r="A315" s="16"/>
      <x:c r="B315" s="16"/>
      <x:c r="C315" s="16"/>
      <x:c r="D315" s="16"/>
      <x:c r="E315" s="16"/>
      <x:c r="F315" s="16"/>
      <x:c r="G315" s="16"/>
      <x:c r="H315" s="16"/>
      <x:c r="I315" s="16"/>
      <x:c r="J315" s="16"/>
    </x:row>
    <x:row r="316">
      <x:c r="A316" s="16"/>
      <x:c r="B316" s="16"/>
      <x:c r="C316" s="16"/>
      <x:c r="D316" s="16"/>
      <x:c r="E316" s="16"/>
      <x:c r="F316" s="16"/>
      <x:c r="G316" s="16"/>
      <x:c r="H316" s="16"/>
      <x:c r="I316" s="16"/>
      <x:c r="J316" s="16"/>
    </x:row>
    <x:row r="317">
      <x:c r="A317" s="16"/>
      <x:c r="B317" s="16"/>
      <x:c r="C317" s="16"/>
      <x:c r="D317" s="16"/>
      <x:c r="E317" s="16"/>
      <x:c r="F317" s="16"/>
      <x:c r="G317" s="16"/>
      <x:c r="H317" s="16"/>
      <x:c r="I317" s="16"/>
      <x:c r="J317" s="16"/>
    </x:row>
    <x:row r="318">
      <x:c r="A318" s="16"/>
      <x:c r="B318" s="16"/>
      <x:c r="C318" s="16"/>
      <x:c r="D318" s="16"/>
      <x:c r="E318" s="16"/>
      <x:c r="F318" s="16"/>
      <x:c r="G318" s="16"/>
      <x:c r="H318" s="16"/>
      <x:c r="I318" s="16"/>
      <x:c r="J318" s="16"/>
    </x:row>
    <x:row r="319">
      <x:c r="A319" s="16"/>
      <x:c r="B319" s="16"/>
      <x:c r="C319" s="16"/>
      <x:c r="D319" s="16"/>
      <x:c r="E319" s="16"/>
      <x:c r="F319" s="16"/>
      <x:c r="G319" s="16"/>
      <x:c r="H319" s="16"/>
      <x:c r="I319" s="16"/>
      <x:c r="J319" s="16"/>
    </x:row>
    <x:row r="320">
      <x:c r="A320" s="16"/>
      <x:c r="B320" s="16"/>
      <x:c r="C320" s="16"/>
      <x:c r="D320" s="16"/>
      <x:c r="E320" s="16"/>
      <x:c r="F320" s="16"/>
      <x:c r="G320" s="16"/>
      <x:c r="H320" s="16"/>
      <x:c r="I320" s="16"/>
      <x:c r="J320" s="16"/>
    </x:row>
    <x:row r="321">
      <x:c r="A321" s="16"/>
      <x:c r="B321" s="16"/>
      <x:c r="C321" s="16"/>
      <x:c r="D321" s="16"/>
      <x:c r="E321" s="16"/>
      <x:c r="F321" s="16"/>
      <x:c r="G321" s="16"/>
      <x:c r="H321" s="16"/>
      <x:c r="I321" s="16"/>
      <x:c r="J321" s="16"/>
    </x:row>
    <x:row r="322">
      <x:c r="A322" s="16"/>
      <x:c r="B322" s="16"/>
      <x:c r="C322" s="16"/>
      <x:c r="D322" s="16"/>
      <x:c r="E322" s="16"/>
      <x:c r="F322" s="16"/>
      <x:c r="G322" s="16"/>
      <x:c r="H322" s="16"/>
      <x:c r="I322" s="16"/>
      <x:c r="J322" s="16"/>
    </x:row>
    <x:row r="323">
      <x:c r="A323" s="16"/>
      <x:c r="B323" s="16"/>
      <x:c r="C323" s="16"/>
      <x:c r="D323" s="16"/>
      <x:c r="E323" s="16"/>
      <x:c r="F323" s="16"/>
      <x:c r="G323" s="16"/>
      <x:c r="H323" s="16"/>
      <x:c r="I323" s="16"/>
      <x:c r="J323" s="16"/>
    </x:row>
    <x:row r="324">
      <x:c r="A324" s="16"/>
      <x:c r="B324" s="16"/>
      <x:c r="C324" s="16"/>
      <x:c r="D324" s="16"/>
      <x:c r="E324" s="16"/>
      <x:c r="F324" s="16"/>
      <x:c r="G324" s="16"/>
      <x:c r="H324" s="16"/>
      <x:c r="I324" s="16"/>
      <x:c r="J324" s="16"/>
    </x:row>
    <x:row r="325">
      <x:c r="A325" s="16"/>
      <x:c r="B325" s="16"/>
      <x:c r="C325" s="16"/>
      <x:c r="D325" s="16"/>
      <x:c r="E325" s="16"/>
      <x:c r="F325" s="16"/>
      <x:c r="G325" s="16"/>
      <x:c r="H325" s="16"/>
      <x:c r="I325" s="16"/>
      <x:c r="J325" s="16"/>
    </x:row>
    <x:row r="326">
      <x:c r="A326" s="16"/>
      <x:c r="B326" s="16"/>
      <x:c r="C326" s="16"/>
      <x:c r="D326" s="16"/>
      <x:c r="E326" s="16"/>
      <x:c r="F326" s="16"/>
      <x:c r="G326" s="16"/>
      <x:c r="H326" s="16"/>
      <x:c r="I326" s="16"/>
      <x:c r="J326" s="16"/>
    </x:row>
    <x:row r="327">
      <x:c r="A327" s="16"/>
      <x:c r="B327" s="16"/>
      <x:c r="C327" s="16"/>
      <x:c r="D327" s="16"/>
      <x:c r="E327" s="16"/>
      <x:c r="F327" s="16"/>
      <x:c r="G327" s="16"/>
      <x:c r="H327" s="16"/>
      <x:c r="I327" s="16"/>
      <x:c r="J327" s="16"/>
    </x:row>
    <x:row r="328">
      <x:c r="A328" s="16"/>
      <x:c r="B328" s="16"/>
      <x:c r="C328" s="16"/>
      <x:c r="D328" s="16"/>
      <x:c r="E328" s="16"/>
      <x:c r="F328" s="16"/>
      <x:c r="G328" s="16"/>
      <x:c r="H328" s="16"/>
      <x:c r="I328" s="16"/>
      <x:c r="J328" s="16"/>
    </x:row>
    <x:row r="329">
      <x:c r="A329" s="16"/>
      <x:c r="B329" s="16"/>
      <x:c r="C329" s="16"/>
      <x:c r="D329" s="16"/>
      <x:c r="E329" s="16"/>
      <x:c r="F329" s="16"/>
      <x:c r="G329" s="16"/>
      <x:c r="H329" s="16"/>
      <x:c r="I329" s="16"/>
      <x:c r="J329" s="16"/>
    </x:row>
    <x:row r="330">
      <x:c r="A330" s="16"/>
      <x:c r="B330" s="16"/>
      <x:c r="C330" s="16"/>
      <x:c r="D330" s="16"/>
      <x:c r="E330" s="16"/>
      <x:c r="F330" s="16"/>
      <x:c r="G330" s="16"/>
      <x:c r="H330" s="16"/>
      <x:c r="I330" s="16"/>
      <x:c r="J330" s="16"/>
    </x:row>
    <x:row r="331">
      <x:c r="A331" s="16"/>
      <x:c r="B331" s="16"/>
      <x:c r="C331" s="16"/>
      <x:c r="D331" s="16"/>
      <x:c r="E331" s="16"/>
      <x:c r="F331" s="16"/>
      <x:c r="G331" s="16"/>
      <x:c r="H331" s="16"/>
      <x:c r="I331" s="16"/>
      <x:c r="J331" s="16"/>
    </x:row>
    <x:row r="332">
      <x:c r="A332" s="16"/>
      <x:c r="B332" s="16"/>
      <x:c r="C332" s="16"/>
      <x:c r="D332" s="16"/>
      <x:c r="E332" s="16"/>
      <x:c r="F332" s="16"/>
      <x:c r="G332" s="16"/>
      <x:c r="H332" s="16"/>
      <x:c r="I332" s="16"/>
      <x:c r="J332" s="16"/>
    </x:row>
    <x:row r="333">
      <x:c r="A333" s="16"/>
      <x:c r="B333" s="16"/>
      <x:c r="C333" s="16"/>
      <x:c r="D333" s="16"/>
      <x:c r="E333" s="16"/>
      <x:c r="F333" s="16"/>
      <x:c r="G333" s="16"/>
      <x:c r="H333" s="16"/>
      <x:c r="I333" s="16"/>
      <x:c r="J333" s="16"/>
    </x:row>
    <x:row r="334">
      <x:c r="A334" s="16"/>
      <x:c r="B334" s="16"/>
      <x:c r="C334" s="16"/>
      <x:c r="D334" s="16"/>
      <x:c r="E334" s="16"/>
      <x:c r="F334" s="16"/>
      <x:c r="G334" s="16"/>
      <x:c r="H334" s="16"/>
      <x:c r="I334" s="16"/>
      <x:c r="J334" s="16"/>
    </x:row>
    <x:row r="335">
      <x:c r="A335" s="16"/>
      <x:c r="B335" s="16"/>
      <x:c r="C335" s="16"/>
      <x:c r="D335" s="16"/>
      <x:c r="E335" s="16"/>
      <x:c r="F335" s="16"/>
      <x:c r="G335" s="16"/>
      <x:c r="H335" s="16"/>
      <x:c r="I335" s="16"/>
      <x:c r="J335" s="16"/>
    </x:row>
    <x:row r="336">
      <x:c r="A336" s="16"/>
      <x:c r="B336" s="16"/>
      <x:c r="C336" s="16"/>
      <x:c r="D336" s="16"/>
      <x:c r="E336" s="16"/>
      <x:c r="F336" s="16"/>
      <x:c r="G336" s="16"/>
      <x:c r="H336" s="16"/>
      <x:c r="I336" s="16"/>
      <x:c r="J336" s="16"/>
    </x:row>
    <x:row r="337">
      <x:c r="A337" s="16"/>
      <x:c r="B337" s="16"/>
      <x:c r="C337" s="16"/>
      <x:c r="D337" s="16"/>
      <x:c r="E337" s="16"/>
      <x:c r="F337" s="16"/>
      <x:c r="G337" s="16"/>
      <x:c r="H337" s="16"/>
      <x:c r="I337" s="16"/>
      <x:c r="J337" s="16"/>
    </x:row>
    <x:row r="338">
      <x:c r="A338" s="16"/>
      <x:c r="B338" s="16"/>
      <x:c r="C338" s="16"/>
      <x:c r="D338" s="16"/>
      <x:c r="E338" s="16"/>
      <x:c r="F338" s="16"/>
      <x:c r="G338" s="16"/>
      <x:c r="H338" s="16"/>
      <x:c r="I338" s="16"/>
      <x:c r="J338" s="16"/>
    </x:row>
    <x:row r="339">
      <x:c r="A339" s="16"/>
      <x:c r="B339" s="16"/>
      <x:c r="C339" s="16"/>
      <x:c r="D339" s="16"/>
      <x:c r="E339" s="16"/>
      <x:c r="F339" s="16"/>
      <x:c r="G339" s="16"/>
      <x:c r="H339" s="16"/>
      <x:c r="I339" s="16"/>
      <x:c r="J339" s="16"/>
    </x:row>
    <x:row r="340">
      <x:c r="A340" s="16"/>
      <x:c r="B340" s="16"/>
      <x:c r="C340" s="16"/>
      <x:c r="D340" s="16"/>
      <x:c r="E340" s="16"/>
      <x:c r="F340" s="16"/>
      <x:c r="G340" s="16"/>
      <x:c r="H340" s="16"/>
      <x:c r="I340" s="16"/>
      <x:c r="J340" s="16"/>
    </x:row>
    <x:row r="341">
      <x:c r="A341" s="16"/>
      <x:c r="B341" s="16"/>
      <x:c r="C341" s="16"/>
      <x:c r="D341" s="16"/>
      <x:c r="E341" s="16"/>
      <x:c r="F341" s="16"/>
      <x:c r="G341" s="16"/>
      <x:c r="H341" s="16"/>
      <x:c r="I341" s="16"/>
      <x:c r="J341" s="16"/>
    </x:row>
    <x:row r="342">
      <x:c r="A342" s="16"/>
      <x:c r="B342" s="16"/>
      <x:c r="C342" s="16"/>
      <x:c r="D342" s="16"/>
      <x:c r="E342" s="16"/>
      <x:c r="F342" s="16"/>
      <x:c r="G342" s="16"/>
      <x:c r="H342" s="16"/>
      <x:c r="I342" s="16"/>
      <x:c r="J342" s="16"/>
    </x:row>
    <x:row r="343">
      <x:c r="A343" s="16"/>
      <x:c r="B343" s="16"/>
      <x:c r="C343" s="16"/>
      <x:c r="D343" s="16"/>
      <x:c r="E343" s="16"/>
      <x:c r="F343" s="16"/>
      <x:c r="G343" s="16"/>
      <x:c r="H343" s="16"/>
      <x:c r="I343" s="16"/>
      <x:c r="J343" s="16"/>
    </x:row>
    <x:row r="344">
      <x:c r="A344" s="16"/>
      <x:c r="B344" s="16"/>
      <x:c r="C344" s="16"/>
      <x:c r="D344" s="16"/>
      <x:c r="E344" s="16"/>
      <x:c r="F344" s="16"/>
      <x:c r="G344" s="16"/>
      <x:c r="H344" s="16"/>
      <x:c r="I344" s="16"/>
      <x:c r="J344" s="16"/>
    </x:row>
    <x:row r="345">
      <x:c r="A345" s="16"/>
      <x:c r="B345" s="16"/>
      <x:c r="C345" s="16"/>
      <x:c r="D345" s="16"/>
      <x:c r="E345" s="16"/>
      <x:c r="F345" s="16"/>
      <x:c r="G345" s="16"/>
      <x:c r="H345" s="16"/>
      <x:c r="I345" s="16"/>
      <x:c r="J345" s="16"/>
    </x:row>
    <x:row r="346">
      <x:c r="A346" s="16"/>
      <x:c r="B346" s="16"/>
      <x:c r="C346" s="16"/>
      <x:c r="D346" s="16"/>
      <x:c r="E346" s="16"/>
      <x:c r="F346" s="16"/>
      <x:c r="G346" s="16"/>
      <x:c r="H346" s="16"/>
      <x:c r="I346" s="16"/>
      <x:c r="J346" s="16"/>
    </x:row>
    <x:row r="347">
      <x:c r="A347" s="16"/>
      <x:c r="B347" s="16"/>
      <x:c r="C347" s="16"/>
      <x:c r="D347" s="16"/>
      <x:c r="E347" s="16"/>
      <x:c r="F347" s="16"/>
      <x:c r="G347" s="16"/>
      <x:c r="H347" s="16"/>
      <x:c r="I347" s="16"/>
      <x:c r="J347" s="16"/>
    </x:row>
    <x:row r="348">
      <x:c r="A348" s="16"/>
      <x:c r="B348" s="16"/>
      <x:c r="C348" s="16"/>
      <x:c r="D348" s="16"/>
      <x:c r="E348" s="16"/>
      <x:c r="F348" s="16"/>
      <x:c r="G348" s="16"/>
      <x:c r="H348" s="16"/>
      <x:c r="I348" s="16"/>
      <x:c r="J348" s="16"/>
    </x:row>
    <x:row r="349">
      <x:c r="A349" s="16"/>
      <x:c r="B349" s="16"/>
      <x:c r="C349" s="16"/>
      <x:c r="D349" s="16"/>
      <x:c r="E349" s="16"/>
      <x:c r="F349" s="16"/>
      <x:c r="G349" s="16"/>
      <x:c r="H349" s="16"/>
      <x:c r="I349" s="16"/>
      <x:c r="J349" s="16"/>
    </x:row>
    <x:row r="350">
      <x:c r="A350" s="16"/>
      <x:c r="B350" s="16"/>
      <x:c r="C350" s="16"/>
      <x:c r="D350" s="16"/>
      <x:c r="E350" s="16"/>
      <x:c r="F350" s="16"/>
      <x:c r="G350" s="16"/>
      <x:c r="H350" s="16"/>
      <x:c r="I350" s="16"/>
      <x:c r="J350" s="16"/>
    </x:row>
    <x:row r="351">
      <x:c r="A351" s="16"/>
      <x:c r="B351" s="16"/>
      <x:c r="C351" s="16"/>
      <x:c r="D351" s="16"/>
      <x:c r="E351" s="16"/>
      <x:c r="F351" s="16"/>
      <x:c r="G351" s="16"/>
      <x:c r="H351" s="16"/>
      <x:c r="I351" s="16"/>
      <x:c r="J351" s="16"/>
    </x:row>
    <x:row r="352">
      <x:c r="A352" s="16"/>
      <x:c r="B352" s="16"/>
      <x:c r="C352" s="16"/>
      <x:c r="D352" s="16"/>
      <x:c r="E352" s="16"/>
      <x:c r="F352" s="16"/>
      <x:c r="G352" s="16"/>
      <x:c r="H352" s="16"/>
      <x:c r="I352" s="16"/>
      <x:c r="J352" s="16"/>
    </x:row>
    <x:row r="353">
      <x:c r="A353" s="16"/>
      <x:c r="B353" s="16"/>
      <x:c r="C353" s="16"/>
      <x:c r="D353" s="16"/>
      <x:c r="E353" s="16"/>
      <x:c r="F353" s="16"/>
      <x:c r="G353" s="16"/>
      <x:c r="H353" s="16"/>
      <x:c r="I353" s="16"/>
      <x:c r="J353" s="16"/>
    </x:row>
    <x:row r="354">
      <x:c r="A354" s="16"/>
      <x:c r="B354" s="16"/>
      <x:c r="C354" s="16"/>
      <x:c r="D354" s="16"/>
      <x:c r="E354" s="16"/>
      <x:c r="F354" s="16"/>
      <x:c r="G354" s="16"/>
      <x:c r="H354" s="16"/>
      <x:c r="I354" s="16"/>
      <x:c r="J354" s="16"/>
    </x:row>
    <x:row r="355">
      <x:c r="A355" s="16"/>
      <x:c r="B355" s="16"/>
      <x:c r="C355" s="16"/>
      <x:c r="D355" s="16"/>
      <x:c r="E355" s="16"/>
      <x:c r="F355" s="16"/>
      <x:c r="G355" s="16"/>
      <x:c r="H355" s="16"/>
      <x:c r="I355" s="16"/>
      <x:c r="J355" s="16"/>
    </x:row>
    <x:row r="356">
      <x:c r="A356" s="16"/>
      <x:c r="B356" s="16"/>
      <x:c r="C356" s="16"/>
      <x:c r="D356" s="16"/>
      <x:c r="E356" s="16"/>
      <x:c r="F356" s="16"/>
      <x:c r="G356" s="16"/>
      <x:c r="H356" s="16"/>
      <x:c r="I356" s="16"/>
      <x:c r="J356" s="16"/>
    </x:row>
    <x:row r="357">
      <x:c r="A357" s="16"/>
      <x:c r="B357" s="16"/>
      <x:c r="C357" s="16"/>
      <x:c r="D357" s="16"/>
      <x:c r="E357" s="16"/>
      <x:c r="F357" s="16"/>
      <x:c r="G357" s="16"/>
      <x:c r="H357" s="16"/>
      <x:c r="I357" s="16"/>
      <x:c r="J357" s="16"/>
    </x:row>
    <x:row r="358">
      <x:c r="A358" s="16"/>
      <x:c r="B358" s="16"/>
      <x:c r="C358" s="16"/>
      <x:c r="D358" s="16"/>
      <x:c r="E358" s="16"/>
      <x:c r="F358" s="16"/>
      <x:c r="G358" s="16"/>
      <x:c r="H358" s="16"/>
      <x:c r="I358" s="16"/>
      <x:c r="J358" s="16"/>
    </x:row>
    <x:row r="359">
      <x:c r="A359" s="16"/>
      <x:c r="B359" s="16"/>
      <x:c r="C359" s="16"/>
      <x:c r="D359" s="16"/>
      <x:c r="E359" s="16"/>
      <x:c r="F359" s="16"/>
      <x:c r="G359" s="16"/>
      <x:c r="H359" s="16"/>
      <x:c r="I359" s="16"/>
      <x:c r="J359" s="16"/>
    </x:row>
    <x:row r="360">
      <x:c r="A360" s="16"/>
      <x:c r="B360" s="16"/>
      <x:c r="C360" s="16"/>
      <x:c r="D360" s="16"/>
      <x:c r="E360" s="16"/>
      <x:c r="F360" s="16"/>
      <x:c r="G360" s="16"/>
      <x:c r="H360" s="16"/>
      <x:c r="I360" s="16"/>
      <x:c r="J360" s="16"/>
    </x:row>
    <x:row r="361">
      <x:c r="A361" s="16"/>
      <x:c r="B361" s="16"/>
      <x:c r="C361" s="16"/>
      <x:c r="D361" s="16"/>
      <x:c r="E361" s="16"/>
      <x:c r="F361" s="16"/>
      <x:c r="G361" s="16"/>
      <x:c r="H361" s="16"/>
      <x:c r="I361" s="16"/>
      <x:c r="J361" s="16"/>
    </x:row>
    <x:row r="362">
      <x:c r="A362" s="16"/>
      <x:c r="B362" s="16"/>
      <x:c r="C362" s="16"/>
      <x:c r="D362" s="16"/>
      <x:c r="E362" s="16"/>
      <x:c r="F362" s="16"/>
      <x:c r="G362" s="16"/>
      <x:c r="H362" s="16"/>
      <x:c r="I362" s="16"/>
      <x:c r="J362" s="16"/>
    </x:row>
    <x:row r="363">
      <x:c r="A363" s="16"/>
      <x:c r="B363" s="16"/>
      <x:c r="C363" s="16"/>
      <x:c r="D363" s="16"/>
      <x:c r="E363" s="16"/>
      <x:c r="F363" s="16"/>
      <x:c r="G363" s="16"/>
      <x:c r="H363" s="16"/>
      <x:c r="I363" s="16"/>
      <x:c r="J363" s="16"/>
    </x:row>
    <x:row r="364">
      <x:c r="A364" s="16"/>
      <x:c r="B364" s="16"/>
      <x:c r="C364" s="16"/>
      <x:c r="D364" s="16"/>
      <x:c r="E364" s="16"/>
      <x:c r="F364" s="16"/>
      <x:c r="G364" s="16"/>
      <x:c r="H364" s="16"/>
      <x:c r="I364" s="16"/>
      <x:c r="J364" s="16"/>
    </x:row>
    <x:row r="365">
      <x:c r="A365" s="16"/>
      <x:c r="B365" s="16"/>
      <x:c r="C365" s="16"/>
      <x:c r="D365" s="16"/>
      <x:c r="E365" s="16"/>
      <x:c r="F365" s="16"/>
      <x:c r="G365" s="16"/>
      <x:c r="H365" s="16"/>
      <x:c r="I365" s="16"/>
      <x:c r="J365" s="16"/>
    </x:row>
    <x:row r="366">
      <x:c r="A366" s="16"/>
      <x:c r="B366" s="16"/>
      <x:c r="C366" s="16"/>
      <x:c r="D366" s="16"/>
      <x:c r="E366" s="16"/>
      <x:c r="F366" s="16"/>
      <x:c r="G366" s="16"/>
      <x:c r="H366" s="16"/>
      <x:c r="I366" s="16"/>
      <x:c r="J366" s="16"/>
    </x:row>
    <x:row r="367">
      <x:c r="A367" s="16"/>
      <x:c r="B367" s="16"/>
      <x:c r="C367" s="16"/>
      <x:c r="D367" s="16"/>
      <x:c r="E367" s="16"/>
      <x:c r="F367" s="16"/>
      <x:c r="G367" s="16"/>
      <x:c r="H367" s="16"/>
      <x:c r="I367" s="16"/>
      <x:c r="J367" s="16"/>
    </x:row>
    <x:row r="368">
      <x:c r="A368" s="16"/>
      <x:c r="B368" s="16"/>
      <x:c r="C368" s="16"/>
      <x:c r="D368" s="16"/>
      <x:c r="E368" s="16"/>
      <x:c r="F368" s="16"/>
      <x:c r="G368" s="16"/>
      <x:c r="H368" s="16"/>
      <x:c r="I368" s="16"/>
      <x:c r="J368" s="16"/>
    </x:row>
    <x:row r="369">
      <x:c r="A369" s="16"/>
      <x:c r="B369" s="16"/>
      <x:c r="C369" s="16"/>
      <x:c r="D369" s="16"/>
      <x:c r="E369" s="16"/>
      <x:c r="F369" s="16"/>
      <x:c r="G369" s="16"/>
      <x:c r="H369" s="16"/>
      <x:c r="I369" s="16"/>
      <x:c r="J369" s="16"/>
    </x:row>
    <x:row r="370">
      <x:c r="A370" s="16"/>
      <x:c r="B370" s="16"/>
      <x:c r="C370" s="16"/>
      <x:c r="D370" s="16"/>
      <x:c r="E370" s="16"/>
      <x:c r="F370" s="16"/>
      <x:c r="G370" s="16"/>
      <x:c r="H370" s="16"/>
      <x:c r="I370" s="16"/>
      <x:c r="J370" s="16"/>
    </x:row>
    <x:row r="371">
      <x:c r="A371" s="16"/>
      <x:c r="B371" s="16"/>
      <x:c r="C371" s="16"/>
      <x:c r="D371" s="16"/>
      <x:c r="E371" s="16"/>
      <x:c r="F371" s="16"/>
      <x:c r="G371" s="16"/>
      <x:c r="H371" s="16"/>
      <x:c r="I371" s="16"/>
      <x:c r="J371" s="16"/>
    </x:row>
    <x:row r="372">
      <x:c r="A372" s="16"/>
      <x:c r="B372" s="16"/>
      <x:c r="C372" s="16"/>
      <x:c r="D372" s="16"/>
      <x:c r="E372" s="16"/>
      <x:c r="F372" s="16"/>
      <x:c r="G372" s="16"/>
      <x:c r="H372" s="16"/>
      <x:c r="I372" s="16"/>
      <x:c r="J372" s="16"/>
    </x:row>
    <x:row r="373">
      <x:c r="A373" s="16"/>
      <x:c r="B373" s="16"/>
      <x:c r="C373" s="16"/>
      <x:c r="D373" s="16"/>
      <x:c r="E373" s="16"/>
      <x:c r="F373" s="16"/>
      <x:c r="G373" s="16"/>
      <x:c r="H373" s="16"/>
      <x:c r="I373" s="16"/>
      <x:c r="J373" s="16"/>
    </x:row>
    <x:row r="374">
      <x:c r="A374" s="16"/>
      <x:c r="B374" s="16"/>
      <x:c r="C374" s="16"/>
      <x:c r="D374" s="16"/>
      <x:c r="E374" s="16"/>
      <x:c r="F374" s="16"/>
      <x:c r="G374" s="16"/>
      <x:c r="H374" s="16"/>
      <x:c r="I374" s="16"/>
      <x:c r="J374" s="16"/>
    </x:row>
    <x:row r="375">
      <x:c r="A375" s="16"/>
      <x:c r="B375" s="16"/>
      <x:c r="C375" s="16"/>
      <x:c r="D375" s="16"/>
      <x:c r="E375" s="16"/>
      <x:c r="F375" s="16"/>
      <x:c r="G375" s="16"/>
      <x:c r="H375" s="16"/>
      <x:c r="I375" s="16"/>
      <x:c r="J375" s="16"/>
    </x:row>
    <x:row r="376">
      <x:c r="A376" s="16"/>
      <x:c r="B376" s="16"/>
      <x:c r="C376" s="16"/>
      <x:c r="D376" s="16"/>
      <x:c r="E376" s="16"/>
      <x:c r="F376" s="16"/>
      <x:c r="G376" s="16"/>
      <x:c r="H376" s="16"/>
      <x:c r="I376" s="16"/>
      <x:c r="J376" s="16"/>
    </x:row>
    <x:row r="377">
      <x:c r="A377" s="16"/>
      <x:c r="B377" s="16"/>
      <x:c r="C377" s="16"/>
      <x:c r="D377" s="16"/>
      <x:c r="E377" s="16"/>
      <x:c r="F377" s="16"/>
      <x:c r="G377" s="16"/>
      <x:c r="H377" s="16"/>
      <x:c r="I377" s="16"/>
      <x:c r="J377" s="16"/>
    </x:row>
    <x:row r="378">
      <x:c r="A378" s="16"/>
      <x:c r="B378" s="16"/>
      <x:c r="C378" s="16"/>
      <x:c r="D378" s="16"/>
      <x:c r="E378" s="16"/>
      <x:c r="F378" s="16"/>
      <x:c r="G378" s="16"/>
      <x:c r="H378" s="16"/>
      <x:c r="I378" s="16"/>
      <x:c r="J378" s="16"/>
    </x:row>
    <x:row r="379">
      <x:c r="A379" s="16"/>
      <x:c r="B379" s="16"/>
      <x:c r="C379" s="16"/>
      <x:c r="D379" s="16"/>
      <x:c r="E379" s="16"/>
      <x:c r="F379" s="16"/>
      <x:c r="G379" s="16"/>
      <x:c r="H379" s="16"/>
      <x:c r="I379" s="16"/>
      <x:c r="J379" s="16"/>
    </x:row>
    <x:row r="380">
      <x:c r="A380" s="16"/>
      <x:c r="B380" s="16"/>
      <x:c r="C380" s="16"/>
      <x:c r="D380" s="16"/>
      <x:c r="E380" s="16"/>
      <x:c r="F380" s="16"/>
      <x:c r="G380" s="16"/>
      <x:c r="H380" s="16"/>
      <x:c r="I380" s="16"/>
      <x:c r="J380" s="16"/>
    </x:row>
    <x:row r="381">
      <x:c r="A381" s="16"/>
      <x:c r="B381" s="16"/>
      <x:c r="C381" s="16"/>
      <x:c r="D381" s="16"/>
      <x:c r="E381" s="16"/>
      <x:c r="F381" s="16"/>
      <x:c r="G381" s="16"/>
      <x:c r="H381" s="16"/>
      <x:c r="I381" s="16"/>
      <x:c r="J381" s="16"/>
    </x:row>
    <x:row r="382">
      <x:c r="A382" s="16"/>
      <x:c r="B382" s="16"/>
      <x:c r="C382" s="16"/>
      <x:c r="D382" s="16"/>
      <x:c r="E382" s="16"/>
      <x:c r="F382" s="16"/>
      <x:c r="G382" s="16"/>
      <x:c r="H382" s="16"/>
      <x:c r="I382" s="16"/>
      <x:c r="J382" s="16"/>
    </x:row>
    <x:row r="383">
      <x:c r="A383" s="16"/>
      <x:c r="B383" s="16"/>
      <x:c r="C383" s="16"/>
      <x:c r="D383" s="16"/>
      <x:c r="E383" s="16"/>
      <x:c r="F383" s="16"/>
      <x:c r="G383" s="16"/>
      <x:c r="H383" s="16"/>
      <x:c r="I383" s="16"/>
      <x:c r="J383" s="16"/>
    </x:row>
    <x:row r="384">
      <x:c r="A384" s="16"/>
      <x:c r="B384" s="16"/>
      <x:c r="C384" s="16"/>
      <x:c r="D384" s="16"/>
      <x:c r="E384" s="16"/>
      <x:c r="F384" s="16"/>
      <x:c r="G384" s="16"/>
      <x:c r="H384" s="16"/>
      <x:c r="I384" s="16"/>
      <x:c r="J384" s="16"/>
    </x:row>
    <x:row r="385">
      <x:c r="A385" s="16"/>
      <x:c r="B385" s="16"/>
      <x:c r="C385" s="16"/>
      <x:c r="D385" s="16"/>
      <x:c r="E385" s="16"/>
      <x:c r="F385" s="16"/>
      <x:c r="G385" s="16"/>
      <x:c r="H385" s="16"/>
      <x:c r="I385" s="16"/>
      <x:c r="J385" s="16"/>
    </x:row>
    <x:row r="386">
      <x:c r="A386" s="16"/>
      <x:c r="B386" s="16"/>
      <x:c r="C386" s="16"/>
      <x:c r="D386" s="16"/>
      <x:c r="E386" s="16"/>
      <x:c r="F386" s="16"/>
      <x:c r="G386" s="16"/>
      <x:c r="H386" s="16"/>
      <x:c r="I386" s="16"/>
      <x:c r="J386" s="16"/>
    </x:row>
    <x:row r="387">
      <x:c r="A387" s="16"/>
      <x:c r="B387" s="16"/>
      <x:c r="C387" s="16"/>
      <x:c r="D387" s="16"/>
      <x:c r="E387" s="16"/>
      <x:c r="F387" s="16"/>
      <x:c r="G387" s="16"/>
      <x:c r="H387" s="16"/>
      <x:c r="I387" s="16"/>
      <x:c r="J387" s="16"/>
    </x:row>
    <x:row r="388">
      <x:c r="A388" s="16"/>
      <x:c r="B388" s="16"/>
      <x:c r="C388" s="16"/>
      <x:c r="D388" s="16"/>
      <x:c r="E388" s="16"/>
      <x:c r="F388" s="16"/>
      <x:c r="G388" s="16"/>
      <x:c r="H388" s="16"/>
      <x:c r="I388" s="16"/>
      <x:c r="J388" s="16"/>
    </x:row>
    <x:row r="389">
      <x:c r="A389" s="16"/>
      <x:c r="B389" s="16"/>
      <x:c r="C389" s="16"/>
      <x:c r="D389" s="16"/>
      <x:c r="E389" s="16"/>
      <x:c r="F389" s="16"/>
      <x:c r="G389" s="16"/>
      <x:c r="H389" s="16"/>
      <x:c r="I389" s="16"/>
      <x:c r="J389" s="16"/>
    </x:row>
    <x:row r="390">
      <x:c r="A390" s="16"/>
      <x:c r="B390" s="16"/>
      <x:c r="C390" s="16"/>
      <x:c r="D390" s="16"/>
      <x:c r="E390" s="16"/>
      <x:c r="F390" s="16"/>
      <x:c r="G390" s="16"/>
      <x:c r="H390" s="16"/>
      <x:c r="I390" s="16"/>
      <x:c r="J390" s="16"/>
    </x:row>
    <x:row r="391">
      <x:c r="A391" s="16"/>
      <x:c r="B391" s="16"/>
      <x:c r="C391" s="16"/>
      <x:c r="D391" s="16"/>
      <x:c r="E391" s="16"/>
      <x:c r="F391" s="16"/>
      <x:c r="G391" s="16"/>
      <x:c r="H391" s="16"/>
      <x:c r="I391" s="16"/>
      <x:c r="J391" s="16"/>
    </x:row>
    <x:row r="392">
      <x:c r="A392" s="16"/>
      <x:c r="B392" s="16"/>
      <x:c r="C392" s="16"/>
      <x:c r="D392" s="16"/>
      <x:c r="E392" s="16"/>
      <x:c r="F392" s="16"/>
      <x:c r="G392" s="16"/>
      <x:c r="H392" s="16"/>
      <x:c r="I392" s="16"/>
      <x:c r="J392" s="16"/>
    </x:row>
    <x:row r="393">
      <x:c r="A393" s="16"/>
      <x:c r="B393" s="16"/>
      <x:c r="C393" s="16"/>
      <x:c r="D393" s="16"/>
      <x:c r="E393" s="16"/>
      <x:c r="F393" s="16"/>
      <x:c r="G393" s="16"/>
      <x:c r="H393" s="16"/>
      <x:c r="I393" s="16"/>
      <x:c r="J393" s="16"/>
    </x:row>
    <x:row r="394">
      <x:c r="A394" s="16"/>
      <x:c r="B394" s="16"/>
      <x:c r="C394" s="16"/>
      <x:c r="D394" s="16"/>
      <x:c r="E394" s="16"/>
      <x:c r="F394" s="16"/>
      <x:c r="G394" s="16"/>
      <x:c r="H394" s="16"/>
      <x:c r="I394" s="16"/>
      <x:c r="J394" s="16"/>
    </x:row>
    <x:row r="395">
      <x:c r="A395" s="16"/>
      <x:c r="B395" s="16"/>
      <x:c r="C395" s="16"/>
      <x:c r="D395" s="16"/>
      <x:c r="E395" s="16"/>
      <x:c r="F395" s="16"/>
      <x:c r="G395" s="16"/>
      <x:c r="H395" s="16"/>
      <x:c r="I395" s="16"/>
      <x:c r="J395" s="16"/>
    </x:row>
    <x:row r="396">
      <x:c r="A396" s="16"/>
      <x:c r="B396" s="16"/>
      <x:c r="C396" s="16"/>
      <x:c r="D396" s="16"/>
      <x:c r="E396" s="16"/>
      <x:c r="F396" s="16"/>
      <x:c r="G396" s="16"/>
      <x:c r="H396" s="16"/>
      <x:c r="I396" s="16"/>
      <x:c r="J396" s="16"/>
    </x:row>
    <x:row r="397">
      <x:c r="A397" s="16"/>
      <x:c r="B397" s="16"/>
      <x:c r="C397" s="16"/>
      <x:c r="D397" s="16"/>
      <x:c r="E397" s="16"/>
      <x:c r="F397" s="16"/>
      <x:c r="G397" s="16"/>
      <x:c r="H397" s="16"/>
      <x:c r="I397" s="16"/>
      <x:c r="J397" s="16"/>
    </x:row>
    <x:row r="398">
      <x:c r="A398" s="16"/>
      <x:c r="B398" s="16"/>
      <x:c r="C398" s="16"/>
      <x:c r="D398" s="16"/>
      <x:c r="E398" s="16"/>
      <x:c r="F398" s="16"/>
      <x:c r="G398" s="16"/>
      <x:c r="H398" s="16"/>
      <x:c r="I398" s="16"/>
      <x:c r="J398" s="16"/>
    </x:row>
    <x:row r="399">
      <x:c r="A399" s="16"/>
      <x:c r="B399" s="16"/>
      <x:c r="C399" s="16"/>
      <x:c r="D399" s="16"/>
      <x:c r="E399" s="16"/>
      <x:c r="F399" s="16"/>
      <x:c r="G399" s="16"/>
      <x:c r="H399" s="16"/>
      <x:c r="I399" s="16"/>
      <x:c r="J399" s="16"/>
    </x:row>
    <x:row r="400">
      <x:c r="A400" s="16"/>
      <x:c r="B400" s="16"/>
      <x:c r="C400" s="16"/>
      <x:c r="D400" s="16"/>
      <x:c r="E400" s="16"/>
      <x:c r="F400" s="16"/>
      <x:c r="G400" s="16"/>
      <x:c r="H400" s="16"/>
      <x:c r="I400" s="16"/>
      <x:c r="J400" s="16"/>
    </x:row>
    <x:row r="401">
      <x:c r="A401" s="16"/>
      <x:c r="B401" s="16"/>
      <x:c r="C401" s="16"/>
      <x:c r="D401" s="16"/>
      <x:c r="E401" s="16"/>
      <x:c r="F401" s="16"/>
      <x:c r="G401" s="16"/>
      <x:c r="H401" s="16"/>
      <x:c r="I401" s="16"/>
      <x:c r="J401" s="16"/>
    </x:row>
    <x:row r="402">
      <x:c r="A402" s="16"/>
      <x:c r="B402" s="16"/>
      <x:c r="C402" s="16"/>
      <x:c r="D402" s="16"/>
      <x:c r="E402" s="16"/>
      <x:c r="F402" s="16"/>
      <x:c r="G402" s="16"/>
      <x:c r="H402" s="16"/>
      <x:c r="I402" s="16"/>
      <x:c r="J402" s="16"/>
    </x:row>
    <x:row r="403">
      <x:c r="A403" s="16"/>
      <x:c r="B403" s="16"/>
      <x:c r="C403" s="16"/>
      <x:c r="D403" s="16"/>
      <x:c r="E403" s="16"/>
      <x:c r="F403" s="16"/>
      <x:c r="G403" s="16"/>
      <x:c r="H403" s="16"/>
      <x:c r="I403" s="16"/>
      <x:c r="J403" s="16"/>
    </x:row>
    <x:row r="404">
      <x:c r="A404" s="16"/>
      <x:c r="B404" s="16"/>
      <x:c r="C404" s="16"/>
      <x:c r="D404" s="16"/>
      <x:c r="E404" s="16"/>
      <x:c r="F404" s="16"/>
      <x:c r="G404" s="16"/>
      <x:c r="H404" s="16"/>
      <x:c r="I404" s="16"/>
      <x:c r="J404" s="16"/>
    </x:row>
    <x:row r="405">
      <x:c r="A405" s="16"/>
      <x:c r="B405" s="16"/>
      <x:c r="C405" s="16"/>
      <x:c r="D405" s="16"/>
      <x:c r="E405" s="16"/>
      <x:c r="F405" s="16"/>
      <x:c r="G405" s="16"/>
      <x:c r="H405" s="16"/>
      <x:c r="I405" s="16"/>
      <x:c r="J405" s="16"/>
    </x:row>
    <x:row r="406">
      <x:c r="A406" s="16"/>
      <x:c r="B406" s="16"/>
      <x:c r="C406" s="16"/>
      <x:c r="D406" s="16"/>
      <x:c r="E406" s="16"/>
      <x:c r="F406" s="16"/>
      <x:c r="G406" s="16"/>
      <x:c r="H406" s="16"/>
      <x:c r="I406" s="16"/>
      <x:c r="J406" s="16"/>
    </x:row>
    <x:row r="407">
      <x:c r="A407" s="16"/>
      <x:c r="B407" s="16"/>
      <x:c r="C407" s="16"/>
      <x:c r="D407" s="16"/>
      <x:c r="E407" s="16"/>
      <x:c r="F407" s="16"/>
      <x:c r="G407" s="16"/>
      <x:c r="H407" s="16"/>
      <x:c r="I407" s="16"/>
      <x:c r="J407" s="16"/>
    </x:row>
    <x:row r="408">
      <x:c r="A408" s="16"/>
      <x:c r="B408" s="16"/>
      <x:c r="C408" s="16"/>
      <x:c r="D408" s="16"/>
      <x:c r="E408" s="16"/>
      <x:c r="F408" s="16"/>
      <x:c r="G408" s="16"/>
      <x:c r="H408" s="16"/>
      <x:c r="I408" s="16"/>
      <x:c r="J408" s="16"/>
    </x:row>
    <x:row r="409">
      <x:c r="A409" s="16"/>
      <x:c r="B409" s="16"/>
      <x:c r="C409" s="16"/>
      <x:c r="D409" s="16"/>
      <x:c r="E409" s="16"/>
      <x:c r="F409" s="16"/>
      <x:c r="G409" s="16"/>
      <x:c r="H409" s="16"/>
      <x:c r="I409" s="16"/>
      <x:c r="J409" s="16"/>
    </x:row>
    <x:row r="410">
      <x:c r="A410" s="16"/>
      <x:c r="B410" s="16"/>
      <x:c r="C410" s="16"/>
      <x:c r="D410" s="16"/>
      <x:c r="E410" s="16"/>
      <x:c r="F410" s="16"/>
      <x:c r="G410" s="16"/>
      <x:c r="H410" s="16"/>
      <x:c r="I410" s="16"/>
      <x:c r="J410" s="16"/>
    </x:row>
    <x:row r="411">
      <x:c r="A411" s="16"/>
      <x:c r="B411" s="16"/>
      <x:c r="C411" s="16"/>
      <x:c r="D411" s="16"/>
      <x:c r="E411" s="16"/>
      <x:c r="F411" s="16"/>
      <x:c r="G411" s="16"/>
      <x:c r="H411" s="16"/>
      <x:c r="I411" s="16"/>
      <x:c r="J411" s="16"/>
    </x:row>
    <x:row r="412">
      <x:c r="A412" s="16"/>
      <x:c r="B412" s="16"/>
      <x:c r="C412" s="16"/>
      <x:c r="D412" s="16"/>
      <x:c r="E412" s="16"/>
      <x:c r="F412" s="16"/>
      <x:c r="G412" s="16"/>
      <x:c r="H412" s="16"/>
      <x:c r="I412" s="16"/>
      <x:c r="J412" s="16"/>
    </x:row>
    <x:row r="413">
      <x:c r="A413" s="16"/>
      <x:c r="B413" s="16"/>
      <x:c r="C413" s="16"/>
      <x:c r="D413" s="16"/>
      <x:c r="E413" s="16"/>
      <x:c r="F413" s="16"/>
      <x:c r="G413" s="16"/>
      <x:c r="H413" s="16"/>
      <x:c r="I413" s="16"/>
      <x:c r="J413" s="16"/>
    </x:row>
    <x:row r="414">
      <x:c r="A414" s="16"/>
      <x:c r="B414" s="16"/>
      <x:c r="C414" s="16"/>
      <x:c r="D414" s="16"/>
      <x:c r="E414" s="16"/>
      <x:c r="F414" s="16"/>
      <x:c r="G414" s="16"/>
      <x:c r="H414" s="16"/>
      <x:c r="I414" s="16"/>
      <x:c r="J414" s="16"/>
    </x:row>
    <x:row r="415">
      <x:c r="A415" s="16"/>
      <x:c r="B415" s="16"/>
      <x:c r="C415" s="16"/>
      <x:c r="D415" s="16"/>
      <x:c r="E415" s="16"/>
      <x:c r="F415" s="16"/>
      <x:c r="G415" s="16"/>
      <x:c r="H415" s="16"/>
      <x:c r="I415" s="16"/>
      <x:c r="J415" s="16"/>
    </x:row>
    <x:row r="416">
      <x:c r="A416" s="16"/>
      <x:c r="B416" s="16"/>
      <x:c r="C416" s="16"/>
      <x:c r="D416" s="16"/>
      <x:c r="E416" s="16"/>
      <x:c r="F416" s="16"/>
      <x:c r="G416" s="16"/>
      <x:c r="H416" s="16"/>
      <x:c r="I416" s="16"/>
      <x:c r="J416" s="16"/>
    </x:row>
    <x:row r="417">
      <x:c r="A417" s="16"/>
      <x:c r="B417" s="16"/>
      <x:c r="C417" s="16"/>
      <x:c r="D417" s="16"/>
      <x:c r="E417" s="16"/>
      <x:c r="F417" s="16"/>
      <x:c r="G417" s="16"/>
      <x:c r="H417" s="16"/>
      <x:c r="I417" s="16"/>
      <x:c r="J417" s="16"/>
    </x:row>
    <x:row r="418">
      <x:c r="A418" s="16"/>
      <x:c r="B418" s="16"/>
      <x:c r="C418" s="16"/>
      <x:c r="D418" s="16"/>
      <x:c r="E418" s="16"/>
      <x:c r="F418" s="16"/>
      <x:c r="G418" s="16"/>
      <x:c r="H418" s="16"/>
      <x:c r="I418" s="16"/>
      <x:c r="J418" s="16"/>
    </x:row>
    <x:row r="419">
      <x:c r="A419" s="16"/>
      <x:c r="B419" s="16"/>
      <x:c r="C419" s="16"/>
      <x:c r="D419" s="16"/>
      <x:c r="E419" s="16"/>
      <x:c r="F419" s="16"/>
      <x:c r="G419" s="16"/>
      <x:c r="H419" s="16"/>
      <x:c r="I419" s="16"/>
      <x:c r="J419" s="16"/>
    </x:row>
    <x:row r="420">
      <x:c r="A420" s="16"/>
      <x:c r="B420" s="16"/>
      <x:c r="C420" s="16"/>
      <x:c r="D420" s="16"/>
      <x:c r="E420" s="16"/>
      <x:c r="F420" s="16"/>
      <x:c r="G420" s="16"/>
      <x:c r="H420" s="16"/>
      <x:c r="I420" s="16"/>
      <x:c r="J420" s="16"/>
    </x:row>
    <x:row r="421">
      <x:c r="A421" s="16"/>
      <x:c r="B421" s="16"/>
      <x:c r="C421" s="16"/>
      <x:c r="D421" s="16"/>
      <x:c r="E421" s="16"/>
      <x:c r="F421" s="16"/>
      <x:c r="G421" s="16"/>
      <x:c r="H421" s="16"/>
      <x:c r="I421" s="16"/>
      <x:c r="J421" s="16"/>
    </x:row>
    <x:row r="422">
      <x:c r="A422" s="16"/>
      <x:c r="B422" s="16"/>
      <x:c r="C422" s="16"/>
      <x:c r="D422" s="16"/>
      <x:c r="E422" s="16"/>
      <x:c r="F422" s="16"/>
      <x:c r="G422" s="16"/>
      <x:c r="H422" s="16"/>
      <x:c r="I422" s="16"/>
      <x:c r="J422" s="16"/>
    </x:row>
    <x:row r="423">
      <x:c r="A423" s="16"/>
      <x:c r="B423" s="16"/>
      <x:c r="C423" s="16"/>
      <x:c r="D423" s="16"/>
      <x:c r="E423" s="16"/>
      <x:c r="F423" s="16"/>
      <x:c r="G423" s="16"/>
      <x:c r="H423" s="16"/>
      <x:c r="I423" s="16"/>
      <x:c r="J423" s="16"/>
    </x:row>
    <x:row r="424">
      <x:c r="A424" s="16"/>
      <x:c r="B424" s="16"/>
      <x:c r="C424" s="16"/>
      <x:c r="D424" s="16"/>
      <x:c r="E424" s="16"/>
      <x:c r="F424" s="16"/>
      <x:c r="G424" s="16"/>
      <x:c r="H424" s="16"/>
      <x:c r="I424" s="16"/>
      <x:c r="J424" s="16"/>
    </x:row>
    <x:row r="425">
      <x:c r="A425" s="16"/>
      <x:c r="B425" s="16"/>
      <x:c r="C425" s="16"/>
      <x:c r="D425" s="16"/>
      <x:c r="E425" s="16"/>
      <x:c r="F425" s="16"/>
      <x:c r="G425" s="16"/>
      <x:c r="H425" s="16"/>
      <x:c r="I425" s="16"/>
      <x:c r="J425" s="16"/>
    </x:row>
    <x:row r="426">
      <x:c r="A426" s="16"/>
      <x:c r="B426" s="16"/>
      <x:c r="C426" s="16"/>
      <x:c r="D426" s="16"/>
      <x:c r="E426" s="16"/>
      <x:c r="F426" s="16"/>
      <x:c r="G426" s="16"/>
      <x:c r="H426" s="16"/>
      <x:c r="I426" s="16"/>
      <x:c r="J426" s="16"/>
    </x:row>
    <x:row r="427">
      <x:c r="A427" s="16"/>
      <x:c r="B427" s="16"/>
      <x:c r="C427" s="16"/>
      <x:c r="D427" s="16"/>
      <x:c r="E427" s="16"/>
      <x:c r="F427" s="16"/>
      <x:c r="G427" s="16"/>
      <x:c r="H427" s="16"/>
      <x:c r="I427" s="16"/>
      <x:c r="J427" s="16"/>
    </x:row>
    <x:row r="428">
      <x:c r="A428" s="16"/>
      <x:c r="B428" s="16"/>
      <x:c r="C428" s="16"/>
      <x:c r="D428" s="16"/>
      <x:c r="E428" s="16"/>
      <x:c r="F428" s="16"/>
      <x:c r="G428" s="16"/>
      <x:c r="H428" s="16"/>
      <x:c r="I428" s="16"/>
      <x:c r="J428" s="16"/>
    </x:row>
    <x:row r="429">
      <x:c r="A429" s="16"/>
      <x:c r="B429" s="16"/>
      <x:c r="C429" s="16"/>
      <x:c r="D429" s="16"/>
      <x:c r="E429" s="16"/>
      <x:c r="F429" s="16"/>
      <x:c r="G429" s="16"/>
      <x:c r="H429" s="16"/>
      <x:c r="I429" s="16"/>
      <x:c r="J429" s="16"/>
    </x:row>
    <x:row r="430">
      <x:c r="A430" s="16"/>
      <x:c r="B430" s="16"/>
      <x:c r="C430" s="16"/>
      <x:c r="D430" s="16"/>
      <x:c r="E430" s="16"/>
      <x:c r="F430" s="16"/>
      <x:c r="G430" s="16"/>
      <x:c r="H430" s="16"/>
      <x:c r="I430" s="16"/>
      <x:c r="J430" s="16"/>
    </x:row>
    <x:row r="431">
      <x:c r="A431" s="16"/>
      <x:c r="B431" s="16"/>
      <x:c r="C431" s="16"/>
      <x:c r="D431" s="16"/>
      <x:c r="E431" s="16"/>
      <x:c r="F431" s="16"/>
      <x:c r="G431" s="16"/>
      <x:c r="H431" s="16"/>
      <x:c r="I431" s="16"/>
      <x:c r="J431" s="16"/>
    </x:row>
    <x:row r="432">
      <x:c r="A432" s="16"/>
      <x:c r="B432" s="16"/>
      <x:c r="C432" s="16"/>
      <x:c r="D432" s="16"/>
      <x:c r="E432" s="16"/>
      <x:c r="F432" s="16"/>
      <x:c r="G432" s="16"/>
      <x:c r="H432" s="16"/>
      <x:c r="I432" s="16"/>
      <x:c r="J432" s="16"/>
    </x:row>
    <x:row r="433">
      <x:c r="A433" s="16"/>
      <x:c r="B433" s="16"/>
      <x:c r="C433" s="16"/>
      <x:c r="D433" s="16"/>
      <x:c r="E433" s="16"/>
      <x:c r="F433" s="16"/>
      <x:c r="G433" s="16"/>
      <x:c r="H433" s="16"/>
      <x:c r="I433" s="16"/>
      <x:c r="J433" s="16"/>
    </x:row>
    <x:row r="434">
      <x:c r="A434" s="16"/>
      <x:c r="B434" s="16"/>
      <x:c r="C434" s="16"/>
      <x:c r="D434" s="16"/>
      <x:c r="E434" s="16"/>
      <x:c r="F434" s="16"/>
      <x:c r="G434" s="16"/>
      <x:c r="H434" s="16"/>
      <x:c r="I434" s="16"/>
      <x:c r="J434" s="16"/>
    </x:row>
    <x:row r="435">
      <x:c r="A435" s="16"/>
      <x:c r="B435" s="16"/>
      <x:c r="C435" s="16"/>
      <x:c r="D435" s="16"/>
      <x:c r="E435" s="16"/>
      <x:c r="F435" s="16"/>
      <x:c r="G435" s="16"/>
      <x:c r="H435" s="16"/>
      <x:c r="I435" s="16"/>
      <x:c r="J435" s="16"/>
    </x:row>
    <x:row r="436">
      <x:c r="A436" s="16"/>
      <x:c r="B436" s="16"/>
      <x:c r="C436" s="16"/>
      <x:c r="D436" s="16"/>
      <x:c r="E436" s="16"/>
      <x:c r="F436" s="16"/>
      <x:c r="G436" s="16"/>
      <x:c r="H436" s="16"/>
      <x:c r="I436" s="16"/>
      <x:c r="J436" s="16"/>
    </x:row>
    <x:row r="437">
      <x:c r="A437" s="16"/>
      <x:c r="B437" s="16"/>
      <x:c r="C437" s="16"/>
      <x:c r="D437" s="16"/>
      <x:c r="E437" s="16"/>
      <x:c r="F437" s="16"/>
      <x:c r="G437" s="16"/>
      <x:c r="H437" s="16"/>
      <x:c r="I437" s="16"/>
      <x:c r="J437" s="16"/>
    </x:row>
    <x:row r="438">
      <x:c r="A438" s="16"/>
      <x:c r="B438" s="16"/>
      <x:c r="C438" s="16"/>
      <x:c r="D438" s="16"/>
      <x:c r="E438" s="16"/>
      <x:c r="F438" s="16"/>
      <x:c r="G438" s="16"/>
      <x:c r="H438" s="16"/>
      <x:c r="I438" s="16"/>
      <x:c r="J438" s="16"/>
    </x:row>
    <x:row r="439">
      <x:c r="A439" s="16"/>
      <x:c r="B439" s="16"/>
      <x:c r="C439" s="16"/>
      <x:c r="D439" s="16"/>
      <x:c r="E439" s="16"/>
      <x:c r="F439" s="16"/>
      <x:c r="G439" s="16"/>
      <x:c r="H439" s="16"/>
      <x:c r="I439" s="16"/>
      <x:c r="J439" s="16"/>
    </x:row>
    <x:row r="440">
      <x:c r="A440" s="16"/>
      <x:c r="B440" s="16"/>
      <x:c r="C440" s="16"/>
      <x:c r="D440" s="16"/>
      <x:c r="E440" s="16"/>
      <x:c r="F440" s="16"/>
      <x:c r="G440" s="16"/>
      <x:c r="H440" s="16"/>
      <x:c r="I440" s="16"/>
      <x:c r="J440" s="16"/>
    </x:row>
    <x:row r="441">
      <x:c r="A441" s="16"/>
      <x:c r="B441" s="16"/>
      <x:c r="C441" s="16"/>
      <x:c r="D441" s="16"/>
      <x:c r="E441" s="16"/>
      <x:c r="F441" s="16"/>
      <x:c r="G441" s="16"/>
      <x:c r="H441" s="16"/>
      <x:c r="I441" s="16"/>
      <x:c r="J441" s="16"/>
    </x:row>
    <x:row r="442">
      <x:c r="A442" s="16"/>
      <x:c r="B442" s="16"/>
      <x:c r="C442" s="16"/>
      <x:c r="D442" s="16"/>
      <x:c r="E442" s="16"/>
      <x:c r="F442" s="16"/>
      <x:c r="G442" s="16"/>
      <x:c r="H442" s="16"/>
      <x:c r="I442" s="16"/>
      <x:c r="J442" s="16"/>
    </x:row>
    <x:row r="443">
      <x:c r="A443" s="16"/>
      <x:c r="B443" s="16"/>
      <x:c r="C443" s="16"/>
      <x:c r="D443" s="16"/>
      <x:c r="E443" s="16"/>
      <x:c r="F443" s="16"/>
      <x:c r="G443" s="16"/>
      <x:c r="H443" s="16"/>
      <x:c r="I443" s="16"/>
      <x:c r="J443" s="16"/>
    </x:row>
    <x:row r="444">
      <x:c r="A444" s="16"/>
      <x:c r="B444" s="16"/>
      <x:c r="C444" s="16"/>
      <x:c r="D444" s="16"/>
      <x:c r="E444" s="16"/>
      <x:c r="F444" s="16"/>
      <x:c r="G444" s="16"/>
      <x:c r="H444" s="16"/>
      <x:c r="I444" s="16"/>
      <x:c r="J444" s="16"/>
    </x:row>
    <x:row r="445">
      <x:c r="A445" s="16"/>
      <x:c r="B445" s="16"/>
      <x:c r="C445" s="16"/>
      <x:c r="D445" s="16"/>
      <x:c r="E445" s="16"/>
      <x:c r="F445" s="16"/>
      <x:c r="G445" s="16"/>
      <x:c r="H445" s="16"/>
      <x:c r="I445" s="16"/>
      <x:c r="J445" s="16"/>
    </x:row>
    <x:row r="446">
      <x:c r="A446" s="16"/>
      <x:c r="B446" s="16"/>
      <x:c r="C446" s="16"/>
      <x:c r="D446" s="16"/>
      <x:c r="E446" s="16"/>
      <x:c r="F446" s="16"/>
      <x:c r="G446" s="16"/>
      <x:c r="H446" s="16"/>
      <x:c r="I446" s="16"/>
      <x:c r="J446" s="16"/>
    </x:row>
    <x:row r="447">
      <x:c r="A447" s="16"/>
      <x:c r="B447" s="16"/>
      <x:c r="C447" s="16"/>
      <x:c r="D447" s="16"/>
      <x:c r="E447" s="16"/>
      <x:c r="F447" s="16"/>
      <x:c r="G447" s="16"/>
      <x:c r="H447" s="16"/>
      <x:c r="I447" s="16"/>
      <x:c r="J447" s="16"/>
    </x:row>
    <x:row r="448">
      <x:c r="A448" s="16"/>
      <x:c r="B448" s="16"/>
      <x:c r="C448" s="16"/>
      <x:c r="D448" s="16"/>
      <x:c r="E448" s="16"/>
      <x:c r="F448" s="16"/>
      <x:c r="G448" s="16"/>
      <x:c r="H448" s="16"/>
      <x:c r="I448" s="16"/>
      <x:c r="J448" s="16"/>
    </x:row>
    <x:row r="449">
      <x:c r="A449" s="16"/>
      <x:c r="B449" s="16"/>
      <x:c r="C449" s="16"/>
      <x:c r="D449" s="16"/>
      <x:c r="E449" s="16"/>
      <x:c r="F449" s="16"/>
      <x:c r="G449" s="16"/>
      <x:c r="H449" s="16"/>
      <x:c r="I449" s="16"/>
      <x:c r="J449" s="16"/>
    </x:row>
    <x:row r="450">
      <x:c r="A450" s="16"/>
      <x:c r="B450" s="16"/>
      <x:c r="C450" s="16"/>
      <x:c r="D450" s="16"/>
      <x:c r="E450" s="16"/>
      <x:c r="F450" s="16"/>
      <x:c r="G450" s="16"/>
      <x:c r="H450" s="16"/>
      <x:c r="I450" s="16"/>
      <x:c r="J450" s="16"/>
    </x:row>
    <x:row r="451">
      <x:c r="A451" s="16"/>
      <x:c r="B451" s="16"/>
      <x:c r="C451" s="16"/>
      <x:c r="D451" s="16"/>
      <x:c r="E451" s="16"/>
      <x:c r="F451" s="16"/>
      <x:c r="G451" s="16"/>
      <x:c r="H451" s="16"/>
      <x:c r="I451" s="16"/>
      <x:c r="J451" s="16"/>
    </x:row>
    <x:row r="452">
      <x:c r="A452" s="16"/>
      <x:c r="B452" s="16"/>
      <x:c r="C452" s="16"/>
      <x:c r="D452" s="16"/>
      <x:c r="E452" s="16"/>
      <x:c r="F452" s="16"/>
      <x:c r="G452" s="16"/>
      <x:c r="H452" s="16"/>
      <x:c r="I452" s="16"/>
      <x:c r="J452" s="16"/>
    </x:row>
    <x:row r="453">
      <x:c r="A453" s="16"/>
      <x:c r="B453" s="16"/>
      <x:c r="C453" s="16"/>
      <x:c r="D453" s="16"/>
      <x:c r="E453" s="16"/>
      <x:c r="F453" s="16"/>
      <x:c r="G453" s="16"/>
      <x:c r="H453" s="16"/>
      <x:c r="I453" s="16"/>
      <x:c r="J453" s="16"/>
    </x:row>
    <x:row r="454">
      <x:c r="A454" s="16"/>
      <x:c r="B454" s="16"/>
      <x:c r="C454" s="16"/>
      <x:c r="D454" s="16"/>
      <x:c r="E454" s="16"/>
      <x:c r="F454" s="16"/>
      <x:c r="G454" s="16"/>
      <x:c r="H454" s="16"/>
      <x:c r="I454" s="16"/>
      <x:c r="J454" s="16"/>
    </x:row>
    <x:row r="455">
      <x:c r="A455" s="16"/>
      <x:c r="B455" s="16"/>
      <x:c r="C455" s="16"/>
      <x:c r="D455" s="16"/>
      <x:c r="E455" s="16"/>
      <x:c r="F455" s="16"/>
      <x:c r="G455" s="16"/>
      <x:c r="H455" s="16"/>
      <x:c r="I455" s="16"/>
      <x:c r="J455" s="16"/>
    </x:row>
    <x:row r="456">
      <x:c r="A456" s="16"/>
      <x:c r="B456" s="16"/>
      <x:c r="C456" s="16"/>
      <x:c r="D456" s="16"/>
      <x:c r="E456" s="16"/>
      <x:c r="F456" s="16"/>
      <x:c r="G456" s="16"/>
      <x:c r="H456" s="16"/>
      <x:c r="I456" s="16"/>
      <x:c r="J456" s="16"/>
    </x:row>
    <x:row r="457">
      <x:c r="A457" s="16"/>
      <x:c r="B457" s="16"/>
      <x:c r="C457" s="16"/>
      <x:c r="D457" s="16"/>
      <x:c r="E457" s="16"/>
      <x:c r="F457" s="16"/>
      <x:c r="G457" s="16"/>
      <x:c r="H457" s="16"/>
      <x:c r="I457" s="16"/>
      <x:c r="J457" s="16"/>
    </x:row>
    <x:row r="458">
      <x:c r="A458" s="16"/>
      <x:c r="B458" s="16"/>
      <x:c r="C458" s="16"/>
      <x:c r="D458" s="16"/>
      <x:c r="E458" s="16"/>
      <x:c r="F458" s="16"/>
      <x:c r="G458" s="16"/>
      <x:c r="H458" s="16"/>
      <x:c r="I458" s="16"/>
      <x:c r="J458" s="16"/>
    </x:row>
    <x:row r="459">
      <x:c r="A459" s="16"/>
      <x:c r="B459" s="16"/>
      <x:c r="C459" s="16"/>
      <x:c r="D459" s="16"/>
      <x:c r="E459" s="16"/>
      <x:c r="F459" s="16"/>
      <x:c r="G459" s="16"/>
      <x:c r="H459" s="16"/>
      <x:c r="I459" s="16"/>
      <x:c r="J459" s="16"/>
    </x:row>
    <x:row r="460">
      <x:c r="A460" s="16"/>
      <x:c r="B460" s="16"/>
      <x:c r="C460" s="16"/>
      <x:c r="D460" s="16"/>
      <x:c r="E460" s="16"/>
      <x:c r="F460" s="16"/>
      <x:c r="G460" s="16"/>
      <x:c r="H460" s="16"/>
      <x:c r="I460" s="16"/>
      <x:c r="J460" s="16"/>
    </x:row>
    <x:row r="461">
      <x:c r="A461" s="16"/>
      <x:c r="B461" s="16"/>
      <x:c r="C461" s="16"/>
      <x:c r="D461" s="16"/>
      <x:c r="E461" s="16"/>
      <x:c r="F461" s="16"/>
      <x:c r="G461" s="16"/>
      <x:c r="H461" s="16"/>
      <x:c r="I461" s="16"/>
      <x:c r="J461" s="16"/>
    </x:row>
    <x:row r="462">
      <x:c r="A462" s="16"/>
      <x:c r="B462" s="16"/>
      <x:c r="C462" s="16"/>
      <x:c r="D462" s="16"/>
      <x:c r="E462" s="16"/>
      <x:c r="F462" s="16"/>
      <x:c r="G462" s="16"/>
      <x:c r="H462" s="16"/>
      <x:c r="I462" s="16"/>
      <x:c r="J462" s="16"/>
    </x:row>
    <x:row r="463">
      <x:c r="A463" s="16"/>
      <x:c r="B463" s="16"/>
      <x:c r="C463" s="16"/>
      <x:c r="D463" s="16"/>
      <x:c r="E463" s="16"/>
      <x:c r="F463" s="16"/>
      <x:c r="G463" s="16"/>
      <x:c r="H463" s="16"/>
      <x:c r="I463" s="16"/>
      <x:c r="J463" s="16"/>
    </x:row>
    <x:row r="464">
      <x:c r="A464" s="16"/>
      <x:c r="B464" s="16"/>
      <x:c r="C464" s="16"/>
      <x:c r="D464" s="16"/>
      <x:c r="E464" s="16"/>
      <x:c r="F464" s="16"/>
      <x:c r="G464" s="16"/>
      <x:c r="H464" s="16"/>
      <x:c r="I464" s="16"/>
      <x:c r="J464" s="16"/>
    </x:row>
    <x:row r="465">
      <x:c r="A465" s="16"/>
      <x:c r="B465" s="16"/>
      <x:c r="C465" s="16"/>
      <x:c r="D465" s="16"/>
      <x:c r="E465" s="16"/>
      <x:c r="F465" s="16"/>
      <x:c r="G465" s="16"/>
      <x:c r="H465" s="16"/>
      <x:c r="I465" s="16"/>
      <x:c r="J465" s="16"/>
    </x:row>
    <x:row r="466">
      <x:c r="A466" s="16"/>
      <x:c r="B466" s="16"/>
      <x:c r="C466" s="16"/>
      <x:c r="D466" s="16"/>
      <x:c r="E466" s="16"/>
      <x:c r="F466" s="16"/>
      <x:c r="G466" s="16"/>
      <x:c r="H466" s="16"/>
      <x:c r="I466" s="16"/>
      <x:c r="J466" s="16"/>
    </x:row>
    <x:row r="467">
      <x:c r="A467" s="16"/>
      <x:c r="B467" s="16"/>
      <x:c r="C467" s="16"/>
      <x:c r="D467" s="16"/>
      <x:c r="E467" s="16"/>
      <x:c r="F467" s="16"/>
      <x:c r="G467" s="16"/>
      <x:c r="H467" s="16"/>
      <x:c r="I467" s="16"/>
      <x:c r="J467" s="16"/>
    </x:row>
    <x:row r="468">
      <x:c r="A468" s="16"/>
      <x:c r="B468" s="16"/>
      <x:c r="C468" s="16"/>
      <x:c r="D468" s="16"/>
      <x:c r="E468" s="16"/>
      <x:c r="F468" s="16"/>
      <x:c r="G468" s="16"/>
      <x:c r="H468" s="16"/>
      <x:c r="I468" s="16"/>
      <x:c r="J468" s="16"/>
    </x:row>
    <x:row r="469">
      <x:c r="A469" s="16"/>
      <x:c r="B469" s="16"/>
      <x:c r="C469" s="16"/>
      <x:c r="D469" s="16"/>
      <x:c r="E469" s="16"/>
      <x:c r="F469" s="16"/>
      <x:c r="G469" s="16"/>
      <x:c r="H469" s="16"/>
      <x:c r="I469" s="16"/>
      <x:c r="J469" s="16"/>
    </x:row>
    <x:row r="470">
      <x:c r="A470" s="16"/>
      <x:c r="B470" s="16"/>
      <x:c r="C470" s="16"/>
      <x:c r="D470" s="16"/>
      <x:c r="E470" s="16"/>
      <x:c r="F470" s="16"/>
      <x:c r="G470" s="16"/>
      <x:c r="H470" s="16"/>
      <x:c r="I470" s="16"/>
      <x:c r="J470" s="16"/>
    </x:row>
    <x:row r="471">
      <x:c r="A471" s="16"/>
      <x:c r="B471" s="16"/>
      <x:c r="C471" s="16"/>
      <x:c r="D471" s="16"/>
      <x:c r="E471" s="16"/>
      <x:c r="F471" s="16"/>
      <x:c r="G471" s="16"/>
      <x:c r="H471" s="16"/>
      <x:c r="I471" s="16"/>
      <x:c r="J471" s="16"/>
    </x:row>
    <x:row r="472">
      <x:c r="A472" s="16"/>
      <x:c r="B472" s="16"/>
      <x:c r="C472" s="16"/>
      <x:c r="D472" s="16"/>
      <x:c r="E472" s="16"/>
      <x:c r="F472" s="16"/>
      <x:c r="G472" s="16"/>
      <x:c r="H472" s="16"/>
      <x:c r="I472" s="16"/>
      <x:c r="J472" s="16"/>
    </x:row>
    <x:row r="473">
      <x:c r="A473" s="16"/>
      <x:c r="B473" s="16"/>
      <x:c r="C473" s="16"/>
      <x:c r="D473" s="16"/>
      <x:c r="E473" s="16"/>
      <x:c r="F473" s="16"/>
      <x:c r="G473" s="16"/>
      <x:c r="H473" s="16"/>
      <x:c r="I473" s="16"/>
      <x:c r="J473" s="16"/>
    </x:row>
    <x:row r="474">
      <x:c r="A474" s="16"/>
      <x:c r="B474" s="16"/>
      <x:c r="C474" s="16"/>
      <x:c r="D474" s="16"/>
      <x:c r="E474" s="16"/>
      <x:c r="F474" s="16"/>
      <x:c r="G474" s="16"/>
      <x:c r="H474" s="16"/>
      <x:c r="I474" s="16"/>
      <x:c r="J474" s="16"/>
    </x:row>
    <x:row r="475">
      <x:c r="A475" s="16"/>
      <x:c r="B475" s="16"/>
      <x:c r="C475" s="16"/>
      <x:c r="D475" s="16"/>
      <x:c r="E475" s="16"/>
      <x:c r="F475" s="16"/>
      <x:c r="G475" s="16"/>
      <x:c r="H475" s="16"/>
      <x:c r="I475" s="16"/>
      <x:c r="J475" s="16"/>
    </x:row>
    <x:row r="476">
      <x:c r="A476" s="16"/>
      <x:c r="B476" s="16"/>
      <x:c r="C476" s="16"/>
      <x:c r="D476" s="16"/>
      <x:c r="E476" s="16"/>
      <x:c r="F476" s="16"/>
      <x:c r="G476" s="16"/>
      <x:c r="H476" s="16"/>
      <x:c r="I476" s="16"/>
      <x:c r="J476" s="16"/>
    </x:row>
    <x:row r="477">
      <x:c r="A477" s="16"/>
      <x:c r="B477" s="16"/>
      <x:c r="C477" s="16"/>
      <x:c r="D477" s="16"/>
      <x:c r="E477" s="16"/>
      <x:c r="F477" s="16"/>
      <x:c r="G477" s="16"/>
      <x:c r="H477" s="16"/>
      <x:c r="I477" s="16"/>
      <x:c r="J477" s="16"/>
    </x:row>
    <x:row r="478">
      <x:c r="A478" s="16"/>
      <x:c r="B478" s="16"/>
      <x:c r="C478" s="16"/>
      <x:c r="D478" s="16"/>
      <x:c r="E478" s="16"/>
      <x:c r="F478" s="16"/>
      <x:c r="G478" s="16"/>
      <x:c r="H478" s="16"/>
      <x:c r="I478" s="16"/>
      <x:c r="J478" s="16"/>
    </x:row>
    <x:row r="479">
      <x:c r="A479" s="16"/>
      <x:c r="B479" s="16"/>
      <x:c r="C479" s="16"/>
      <x:c r="D479" s="16"/>
      <x:c r="E479" s="16"/>
      <x:c r="F479" s="16"/>
      <x:c r="G479" s="16"/>
      <x:c r="H479" s="16"/>
      <x:c r="I479" s="16"/>
      <x:c r="J479" s="16"/>
    </x:row>
    <x:row r="480">
      <x:c r="A480" s="16"/>
      <x:c r="B480" s="16"/>
      <x:c r="C480" s="16"/>
      <x:c r="D480" s="16"/>
      <x:c r="E480" s="16"/>
      <x:c r="F480" s="16"/>
      <x:c r="G480" s="16"/>
      <x:c r="H480" s="16"/>
      <x:c r="I480" s="16"/>
      <x:c r="J480" s="16"/>
    </x:row>
    <x:row r="481">
      <x:c r="A481" s="16"/>
      <x:c r="B481" s="16"/>
      <x:c r="C481" s="16"/>
      <x:c r="D481" s="16"/>
      <x:c r="E481" s="16"/>
      <x:c r="F481" s="16"/>
      <x:c r="G481" s="16"/>
      <x:c r="H481" s="16"/>
      <x:c r="I481" s="16"/>
      <x:c r="J481" s="16"/>
    </x:row>
    <x:row r="482">
      <x:c r="A482" s="16"/>
      <x:c r="B482" s="16"/>
      <x:c r="C482" s="16"/>
      <x:c r="D482" s="16"/>
      <x:c r="E482" s="16"/>
      <x:c r="F482" s="16"/>
      <x:c r="G482" s="16"/>
      <x:c r="H482" s="16"/>
      <x:c r="I482" s="16"/>
      <x:c r="J482" s="16"/>
    </x:row>
    <x:row r="483">
      <x:c r="A483" s="16"/>
      <x:c r="B483" s="16"/>
      <x:c r="C483" s="16"/>
      <x:c r="D483" s="16"/>
      <x:c r="E483" s="16"/>
      <x:c r="F483" s="16"/>
      <x:c r="G483" s="16"/>
      <x:c r="H483" s="16"/>
      <x:c r="I483" s="16"/>
      <x:c r="J483" s="16"/>
    </x:row>
    <x:row r="484">
      <x:c r="A484" s="16"/>
      <x:c r="B484" s="16"/>
      <x:c r="C484" s="16"/>
      <x:c r="D484" s="16"/>
      <x:c r="E484" s="16"/>
      <x:c r="F484" s="16"/>
      <x:c r="G484" s="16"/>
      <x:c r="H484" s="16"/>
      <x:c r="I484" s="16"/>
      <x:c r="J484" s="16"/>
    </x:row>
    <x:row r="485">
      <x:c r="A485" s="16"/>
      <x:c r="B485" s="16"/>
      <x:c r="C485" s="16"/>
      <x:c r="D485" s="16"/>
      <x:c r="E485" s="16"/>
      <x:c r="F485" s="16"/>
      <x:c r="G485" s="16"/>
      <x:c r="H485" s="16"/>
      <x:c r="I485" s="16"/>
      <x:c r="J485" s="16"/>
    </x:row>
    <x:row r="486">
      <x:c r="A486" s="16"/>
      <x:c r="B486" s="16"/>
      <x:c r="C486" s="16"/>
      <x:c r="D486" s="16"/>
      <x:c r="E486" s="16"/>
      <x:c r="F486" s="16"/>
      <x:c r="G486" s="16"/>
      <x:c r="H486" s="16"/>
      <x:c r="I486" s="16"/>
      <x:c r="J486" s="16"/>
    </x:row>
    <x:row r="487">
      <x:c r="A487" s="16"/>
      <x:c r="B487" s="16"/>
      <x:c r="C487" s="16"/>
      <x:c r="D487" s="16"/>
      <x:c r="E487" s="16"/>
      <x:c r="F487" s="16"/>
      <x:c r="G487" s="16"/>
      <x:c r="H487" s="16"/>
      <x:c r="I487" s="16"/>
      <x:c r="J487" s="16"/>
    </x:row>
    <x:row r="488">
      <x:c r="A488" s="16"/>
      <x:c r="B488" s="16"/>
      <x:c r="C488" s="16"/>
      <x:c r="D488" s="16"/>
      <x:c r="E488" s="16"/>
      <x:c r="F488" s="16"/>
      <x:c r="G488" s="16"/>
      <x:c r="H488" s="16"/>
      <x:c r="I488" s="16"/>
      <x:c r="J488" s="16"/>
    </x:row>
    <x:row r="489">
      <x:c r="A489" s="16"/>
      <x:c r="B489" s="16"/>
      <x:c r="C489" s="16"/>
      <x:c r="D489" s="16"/>
      <x:c r="E489" s="16"/>
      <x:c r="F489" s="16"/>
      <x:c r="G489" s="16"/>
      <x:c r="H489" s="16"/>
      <x:c r="I489" s="16"/>
      <x:c r="J489" s="16"/>
    </x:row>
    <x:row r="490">
      <x:c r="A490" s="16"/>
      <x:c r="B490" s="16"/>
      <x:c r="C490" s="16"/>
      <x:c r="D490" s="16"/>
      <x:c r="E490" s="16"/>
      <x:c r="F490" s="16"/>
      <x:c r="G490" s="16"/>
      <x:c r="H490" s="16"/>
      <x:c r="I490" s="16"/>
      <x:c r="J490" s="16"/>
    </x:row>
    <x:row r="491">
      <x:c r="A491" s="16"/>
      <x:c r="B491" s="16"/>
      <x:c r="C491" s="16"/>
      <x:c r="D491" s="16"/>
      <x:c r="E491" s="16"/>
      <x:c r="F491" s="16"/>
      <x:c r="G491" s="16"/>
      <x:c r="H491" s="16"/>
      <x:c r="I491" s="16"/>
      <x:c r="J491" s="16"/>
    </x:row>
    <x:row r="492">
      <x:c r="A492" s="16"/>
      <x:c r="B492" s="16"/>
      <x:c r="C492" s="16"/>
      <x:c r="D492" s="16"/>
      <x:c r="E492" s="16"/>
      <x:c r="F492" s="16"/>
      <x:c r="G492" s="16"/>
      <x:c r="H492" s="16"/>
      <x:c r="I492" s="16"/>
      <x:c r="J492" s="16"/>
    </x:row>
    <x:row r="493">
      <x:c r="A493" s="16"/>
      <x:c r="B493" s="16"/>
      <x:c r="C493" s="16"/>
      <x:c r="D493" s="16"/>
      <x:c r="E493" s="16"/>
      <x:c r="F493" s="16"/>
      <x:c r="G493" s="16"/>
      <x:c r="H493" s="16"/>
      <x:c r="I493" s="16"/>
      <x:c r="J493" s="16"/>
    </x:row>
    <x:row r="494">
      <x:c r="A494" s="16"/>
      <x:c r="B494" s="16"/>
      <x:c r="C494" s="16"/>
      <x:c r="D494" s="16"/>
      <x:c r="E494" s="16"/>
      <x:c r="F494" s="16"/>
      <x:c r="G494" s="16"/>
      <x:c r="H494" s="16"/>
      <x:c r="I494" s="16"/>
      <x:c r="J494" s="16"/>
    </x:row>
    <x:row r="495">
      <x:c r="A495" s="16"/>
      <x:c r="B495" s="16"/>
      <x:c r="C495" s="16"/>
      <x:c r="D495" s="16"/>
      <x:c r="E495" s="16"/>
      <x:c r="F495" s="16"/>
      <x:c r="G495" s="16"/>
      <x:c r="H495" s="16"/>
      <x:c r="I495" s="16"/>
      <x:c r="J495" s="16"/>
    </x:row>
    <x:row r="496">
      <x:c r="A496" s="16"/>
      <x:c r="B496" s="16"/>
      <x:c r="C496" s="16"/>
      <x:c r="D496" s="16"/>
      <x:c r="E496" s="16"/>
      <x:c r="F496" s="16"/>
      <x:c r="G496" s="16"/>
      <x:c r="H496" s="16"/>
      <x:c r="I496" s="16"/>
      <x:c r="J496" s="16"/>
    </x:row>
    <x:row r="497">
      <x:c r="A497" s="16"/>
      <x:c r="B497" s="16"/>
      <x:c r="C497" s="16"/>
      <x:c r="D497" s="16"/>
      <x:c r="E497" s="16"/>
      <x:c r="F497" s="16"/>
      <x:c r="G497" s="16"/>
      <x:c r="H497" s="16"/>
      <x:c r="I497" s="16"/>
      <x:c r="J497" s="16"/>
    </x:row>
    <x:row r="498">
      <x:c r="A498" s="16"/>
      <x:c r="B498" s="16"/>
      <x:c r="C498" s="16"/>
      <x:c r="D498" s="16"/>
      <x:c r="E498" s="16"/>
      <x:c r="F498" s="16"/>
      <x:c r="G498" s="16"/>
      <x:c r="H498" s="16"/>
      <x:c r="I498" s="16"/>
      <x:c r="J498" s="16"/>
    </x:row>
    <x:row r="499">
      <x:c r="A499" s="16"/>
      <x:c r="B499" s="16"/>
      <x:c r="C499" s="16"/>
      <x:c r="D499" s="16"/>
      <x:c r="E499" s="16"/>
      <x:c r="F499" s="16"/>
      <x:c r="G499" s="16"/>
      <x:c r="H499" s="16"/>
      <x:c r="I499" s="16"/>
      <x:c r="J499" s="16"/>
    </x:row>
    <x:row r="500">
      <x:c r="A500" s="16"/>
      <x:c r="B500" s="16"/>
      <x:c r="C500" s="16"/>
      <x:c r="D500" s="16"/>
      <x:c r="E500" s="16"/>
      <x:c r="F500" s="16"/>
      <x:c r="G500" s="16"/>
      <x:c r="H500" s="16"/>
      <x:c r="I500" s="16"/>
      <x:c r="J500" s="16"/>
    </x:row>
  </x:sheetData>
  <x:mergeCells>
    <x:mergeCell ref="A1:J1"/>
    <x:mergeCell ref="A2:J2"/>
  </x:mergeCells>
  <x:conditionalFormatting sqref="F5:F500">
    <x:cfRule type="expression" dxfId="13" priority="1">
      <x:formula>F5="Corroborated"</x:formula>
    </x:cfRule>
    <x:cfRule type="expression" dxfId="14" priority="2">
      <x:formula>OR(F5="Unconfirmed allegation",F5="Media reported — official document required")</x:formula>
    </x:cfRule>
  </x:conditionalFormatting>
  <x:conditionalFormatting sqref="J5:J500">
    <x:cfRule type="expression" dxfId="15" priority="3">
      <x:formula>J5="Do not publish"</x:formula>
    </x:cfRule>
  </x:conditionalFormatting>
  <x:dataValidations count="3">
    <x:dataValidation type="list" sqref="D5:D500">
      <x:formula1>"Occurrence,Start date / duration,Protest method,Demand,Project connection,Displacement / demolition,Public-service allegation,Official response,Compensation / package,Project context,Outcome,Other"</x:formula1>
    </x:dataValidation>
    <x:dataValidation type="list" sqref="F5:F500">
      <x:formula1>"Corroborated,Attributed allegation,Attributed official statement,Unconfirmed allegation,Media reported — official document required,Official source context,Disputed,Corrected"</x:formula1>
    </x:dataValidation>
    <x:dataValidation type="list" sqref="J5:J500">
      <x:formula1>"Ready,Ready with attribution,Needs corroboration,Needs official document,Do not publish"</x:formula1>
    </x:dataValidation>
  </x:dataValidations>
  <x:pageMargins left="0.7" right="0.7" top="0.75" bottom="0.75" header="0.3" footer="0.3"/>
  <x:tableParts count="1">
    <x:tablePart xmlns:r="http://schemas.openxmlformats.org/officeDocument/2006/relationships" r:id="R16281247ade04363"/>
  </x:tableParts>
</x:worksheet>
</file>

<file path=xl/worksheets/sheet6.xml><?xml version="1.0" encoding="utf-8"?>
<x:worksheet xmlns:x="http://schemas.openxmlformats.org/spreadsheetml/2006/main">
  <x:sheetFormatPr defaultRowHeight="15"/>
  <x:cols>
    <x:col min="1" max="1" width="19" hidden="0" customWidth="1"/>
    <x:col min="2" max="2" width="19" hidden="0" customWidth="1"/>
    <x:col min="3" max="3" width="25" hidden="0" customWidth="1"/>
    <x:col min="4" max="4" width="50" hidden="0" customWidth="1"/>
    <x:col min="5" max="5" width="24" hidden="0" customWidth="1"/>
    <x:col min="6" max="6" width="42" hidden="0" customWidth="1"/>
    <x:col min="7" max="7" width="14" hidden="0" customWidth="1"/>
    <x:col min="8" max="8" width="27" hidden="0" customWidth="1"/>
    <x:col min="9" max="9" width="31" hidden="0" customWidth="1"/>
    <x:col min="10" max="10" width="52" hidden="0" customWidth="1"/>
    <x:col min="11" max="11" width="68" hidden="0" customWidth="1"/>
    <x:col min="12" max="12" width="14" hidden="0" customWidth="1"/>
    <x:col min="13" max="13" width="26" hidden="0" customWidth="1"/>
    <x:col min="14" max="14" width="20" hidden="0" customWidth="1"/>
    <x:col min="15" max="15" width="18" hidden="0" customWidth="1"/>
  </x:cols>
  <x:sheetData>
    <x:row r="1" ht="30" customHeight="1">
      <x:c r="A1" s="88" t="str">
        <x:v>India Observed — Source Register</x:v>
      </x:c>
      <x:c r="B1" s="88"/>
      <x:c r="C1" s="88"/>
      <x:c r="D1" s="88"/>
      <x:c r="E1" s="88"/>
      <x:c r="F1" s="88"/>
      <x:c r="G1" s="88"/>
      <x:c r="H1" s="88"/>
      <x:c r="I1" s="88"/>
      <x:c r="J1" s="88"/>
      <x:c r="K1" s="88"/>
      <x:c r="L1" s="88"/>
      <x:c r="M1" s="88"/>
      <x:c r="N1" s="88"/>
      <x:c r="O1" s="88"/>
    </x:row>
    <x:row r="2" ht="34" customHeight="1">
      <x:c r="A2" s="93" t="str">
        <x:v>Store the original URL and identify the underlying source. Multiple social cross-posts or copied agency reports do not count as independent corroboration.</x:v>
      </x:c>
      <x:c r="B2" s="93"/>
      <x:c r="C2" s="93"/>
      <x:c r="D2" s="93"/>
      <x:c r="E2" s="93"/>
      <x:c r="F2" s="93"/>
      <x:c r="G2" s="93"/>
      <x:c r="H2" s="93"/>
      <x:c r="I2" s="93"/>
      <x:c r="J2" s="93"/>
      <x:c r="K2" s="93"/>
      <x:c r="L2" s="93"/>
      <x:c r="M2" s="93"/>
      <x:c r="N2" s="93"/>
      <x:c r="O2" s="93"/>
    </x:row>
    <x:row r="4" ht="44" customHeight="1">
      <x:c r="A4" s="326" t="str">
        <x:v>Source ID</x:v>
      </x:c>
      <x:c r="B4" s="326" t="str">
        <x:v>Event ID</x:v>
      </x:c>
      <x:c r="C4" s="326" t="str">
        <x:v>Publisher</x:v>
      </x:c>
      <x:c r="D4" s="326" t="str">
        <x:v>Headline</x:v>
      </x:c>
      <x:c r="E4" s="326" t="str">
        <x:v>Reporter</x:v>
      </x:c>
      <x:c r="F4" s="326" t="str">
        <x:v>Source URL</x:v>
      </x:c>
      <x:c r="G4" s="326" t="str">
        <x:v>Publication date</x:v>
      </x:c>
      <x:c r="H4" s="326" t="str">
        <x:v>Source type</x:v>
      </x:c>
      <x:c r="I4" s="326" t="str">
        <x:v>Original or syndicated</x:v>
      </x:c>
      <x:c r="J4" s="326" t="str">
        <x:v>Claims supported</x:v>
      </x:c>
      <x:c r="K4" s="326" t="str">
        <x:v>Reliability notes</x:v>
      </x:c>
      <x:c r="L4" s="326" t="str">
        <x:v>Date accessed</x:v>
      </x:c>
      <x:c r="M4" s="326" t="str">
        <x:v>Corrected or updated</x:v>
      </x:c>
      <x:c r="N4" s="326" t="str">
        <x:v>Archived reference</x:v>
      </x:c>
      <x:c r="O4" s="326" t="str">
        <x:v>Source role</x:v>
      </x:c>
    </x:row>
    <x:row r="5">
      <x:c r="A5" s="16" t="str">
        <x:v>IO-SRC-MP-0001</x:v>
      </x:c>
      <x:c r="B5" s="115" t="str">
        <x:v>IO-CM-MP-0001</x:v>
      </x:c>
      <x:c r="C5" s="115" t="str">
        <x:v>Peek TV</x:v>
      </x:c>
      <x:c r="D5" s="115" t="str">
        <x:v>PeekOnGround video documenting Ken–Betwa project-affected tribal communities</x:v>
      </x:c>
      <x:c r="E5" s="115" t="str"/>
      <x:c r="F5" s="115" t="str">
        <x:v>https://x.com/PeekTV_in/status/2077307986998071627</x:v>
      </x:c>
      <x:c r="G5" s="117" t="n">
        <x:v>46218</x:v>
      </x:c>
      <x:c r="H5" s="115" t="str">
        <x:v>Digital news video</x:v>
      </x:c>
      <x:c r="I5" s="115" t="str">
        <x:v>Original / independent</x:v>
      </x:c>
      <x:c r="J5" s="115" t="str">
        <x:v>IO-CLM-MP-0001, IO-CLM-MP-0004</x:v>
      </x:c>
      <x:c r="K5" s="115" t="str">
        <x:v>User-provided lead. X did not expose the full caption to automated retrieval. Same-publisher Instagram and Facebook versions should be treated as the same underlying source. The publication date is based on the X status timestamp; confirm the visible time manually if needed.</x:v>
      </x:c>
      <x:c r="L5" s="117" t="n">
        <x:v>46218</x:v>
      </x:c>
      <x:c r="M5" s="115" t="str">
        <x:v>No correction identified</x:v>
      </x:c>
      <x:c r="N5" s="115" t="str"/>
      <x:c r="O5" s="16" t="str">
        <x:v>Lead</x:v>
      </x:c>
    </x:row>
    <x:row r="6">
      <x:c r="A6" s="16" t="str">
        <x:v>IO-SRC-MP-0002</x:v>
      </x:c>
      <x:c r="B6" s="115" t="str">
        <x:v>IO-CM-MP-0001</x:v>
      </x:c>
      <x:c r="C6" s="115" t="str">
        <x:v>Peek TV</x:v>
      </x:c>
      <x:c r="D6" s="115" t="str">
        <x:v>The Ken–Betwa River Linking Project is being projected as one of India's major development projects</x:v>
      </x:c>
      <x:c r="E6" s="115" t="str"/>
      <x:c r="F6" s="115" t="str">
        <x:v>https://www.instagram.com/reel/DazWNL3BYFb/</x:v>
      </x:c>
      <x:c r="G6" s="117" t="n">
        <x:v>46217</x:v>
      </x:c>
      <x:c r="H6" s="115" t="str">
        <x:v>Digital news video</x:v>
      </x:c>
      <x:c r="I6" s="115" t="str">
        <x:v>Cross-post / same underlying source</x:v>
      </x:c>
      <x:c r="J6" s="115" t="str">
        <x:v>IO-CLM-MP-0001, IO-CLM-MP-0004</x:v>
      </x:c>
      <x:c r="K6" s="115" t="str">
        <x:v>Alternate accessible cross-post. It is not an independent confirmation of the X post because it comes from the same publisher.</x:v>
      </x:c>
      <x:c r="L6" s="117" t="n">
        <x:v>46218</x:v>
      </x:c>
      <x:c r="M6" s="115" t="str">
        <x:v>No correction identified</x:v>
      </x:c>
      <x:c r="N6" s="115" t="str"/>
      <x:c r="O6" s="16" t="str">
        <x:v>Alternate access</x:v>
      </x:c>
    </x:row>
    <x:row r="7">
      <x:c r="A7" s="16" t="str">
        <x:v>IO-SRC-MP-0003</x:v>
      </x:c>
      <x:c r="B7" s="115" t="str">
        <x:v>IO-CM-MP-0001</x:v>
      </x:c>
      <x:c r="C7" s="115" t="str">
        <x:v>Down To Earth</x:v>
      </x:c>
      <x:c r="D7" s="115" t="str">
        <x:v>‘Pyre protest’ against Ken-Betwa Link Project resumes in Madhya Pradesh</x:v>
      </x:c>
      <x:c r="E7" s="115" t="str">
        <x:v>Bhagirath</x:v>
      </x:c>
      <x:c r="F7" s="115" t="str">
        <x:v>https://www.downtoearth.org.in/rivers/pyre-protest-against-ken-betwa-link-project-resumes-in-madhya-pradesh</x:v>
      </x:c>
      <x:c r="G7" s="117" t="n">
        <x:v>46207</x:v>
      </x:c>
      <x:c r="H7" s="115" t="str">
        <x:v>Original media reporting</x:v>
      </x:c>
      <x:c r="I7" s="115" t="str">
        <x:v>Original / independent</x:v>
      </x:c>
      <x:c r="J7" s="115" t="str">
        <x:v>IO-CLM-MP-0001, IO-CLM-MP-0002, IO-CLM-MP-0003, IO-CLM-MP-0004, IO-CLM-MP-0005, IO-CLM-MP-0006</x:v>
      </x:c>
      <x:c r="K7" s="115" t="str">
        <x:v>Named reporting with photographs and participant statements. Serious allegations remain attributed. The article describes Kupi as being in Panna district, while later reporting describes Kupi in Chhatarpur; use broader location wording pending confirmation.</x:v>
      </x:c>
      <x:c r="L7" s="117" t="n">
        <x:v>46218</x:v>
      </x:c>
      <x:c r="M7" s="115" t="str">
        <x:v>No correction identified</x:v>
      </x:c>
      <x:c r="N7" s="115" t="str"/>
      <x:c r="O7" s="16" t="str">
        <x:v>Corroboration</x:v>
      </x:c>
    </x:row>
    <x:row r="8">
      <x:c r="A8" s="16" t="str">
        <x:v>IO-SRC-MP-0004</x:v>
      </x:c>
      <x:c r="B8" s="115" t="str">
        <x:v>IO-CM-MP-0001</x:v>
      </x:c>
      <x:c r="C8" s="115" t="str">
        <x:v>Down To Earth</x:v>
      </x:c>
      <x:c r="D8" s="115" t="str">
        <x:v>Ken-Betwa link leaves tribal families fighting for fair compensation</x:v>
      </x:c>
      <x:c r="E8" s="115" t="str">
        <x:v>Dhruval Parekh; Bhagirath</x:v>
      </x:c>
      <x:c r="F8" s="115" t="str">
        <x:v>https://www.downtoearth.org.in/environment/ken-betwa-link-leaves-tribal-families-fighting-for-fair-compensation</x:v>
      </x:c>
      <x:c r="G8" s="117" t="n">
        <x:v>46211</x:v>
      </x:c>
      <x:c r="H8" s="115" t="str">
        <x:v>Follow-up media reporting</x:v>
      </x:c>
      <x:c r="I8" s="115" t="str">
        <x:v>Same publisher follow-up</x:v>
      </x:c>
      <x:c r="J8" s="115" t="str">
        <x:v>IO-CLM-MP-0003, IO-CLM-MP-0004, IO-CLM-MP-0006</x:v>
      </x:c>
      <x:c r="K8" s="115" t="str">
        <x:v>Field follow-up with photographs of protest and demolition activity. It strengthens documentation but is not a second independent publisher from the 4 July Down To Earth report.</x:v>
      </x:c>
      <x:c r="L8" s="117" t="n">
        <x:v>46218</x:v>
      </x:c>
      <x:c r="M8" s="115" t="str">
        <x:v>No correction identified</x:v>
      </x:c>
      <x:c r="N8" s="115" t="str"/>
      <x:c r="O8" s="16" t="str">
        <x:v>Follow-up</x:v>
      </x:c>
    </x:row>
    <x:row r="9">
      <x:c r="A9" s="16" t="str">
        <x:v>IO-SRC-MP-0005</x:v>
      </x:c>
      <x:c r="B9" s="115" t="str">
        <x:v>IO-CM-MP-0001</x:v>
      </x:c>
      <x:c r="C9" s="115" t="str">
        <x:v>The Times of India</x:v>
      </x:c>
      <x:c r="D9" s="115" t="str">
        <x:v>Protest against Ken-Betwa project: Tribals allege their water supply stopped</x:v>
      </x:c>
      <x:c r="E9" s="115" t="str"/>
      <x:c r="F9" s="115" t="str">
        <x:v>https://timesofindia.indiatimes.com/city/bhopal/protest-against-ken-betwa-project-tribals-allege-their-water-supply-stopped/articleshow/132297638.cms</x:v>
      </x:c>
      <x:c r="G9" s="117" t="n">
        <x:v>46213</x:v>
      </x:c>
      <x:c r="H9" s="115" t="str">
        <x:v>Original media reporting</x:v>
      </x:c>
      <x:c r="I9" s="115" t="str">
        <x:v>Original / independent</x:v>
      </x:c>
      <x:c r="J9" s="115" t="str">
        <x:v>IO-CLM-MP-0001, IO-CLM-MP-0002, IO-CLM-MP-0003, IO-CLM-MP-0004, IO-CLM-MP-0005, IO-CLM-MP-0007, IO-CLM-MP-0008, IO-CLM-MP-0009, IO-CLM-MP-0010</x:v>
      </x:c>
      <x:c r="K9" s="115" t="str">
        <x:v>Independent publisher that records both protester allegations and the district collector's response. Package figures need direct official documents.</x:v>
      </x:c>
      <x:c r="L9" s="117" t="n">
        <x:v>46218</x:v>
      </x:c>
      <x:c r="M9" s="115" t="str">
        <x:v>No correction identified</x:v>
      </x:c>
      <x:c r="N9" s="115" t="str"/>
      <x:c r="O9" s="16" t="str">
        <x:v>Corroboration</x:v>
      </x:c>
    </x:row>
    <x:row r="10">
      <x:c r="A10" s="16" t="str">
        <x:v>IO-SRC-MP-0006</x:v>
      </x:c>
      <x:c r="B10" s="115" t="str">
        <x:v>IO-CM-MP-0001</x:v>
      </x:c>
      <x:c r="C10" s="115" t="str">
        <x:v>National Water Development Agency</x:v>
      </x:c>
      <x:c r="D10" s="115" t="str">
        <x:v>Ken Betwa Link Project</x:v>
      </x:c>
      <x:c r="E10" s="115" t="str"/>
      <x:c r="F10" s="115" t="str">
        <x:v>https://nwda.gov.in/content/innerpage/ken-betwa-link-project.php</x:v>
      </x:c>
      <x:c r="G10" s="117"/>
      <x:c r="H10" s="115" t="str">
        <x:v>Official government source</x:v>
      </x:c>
      <x:c r="I10" s="115" t="str">
        <x:v>Official primary source</x:v>
      </x:c>
      <x:c r="J10" s="115" t="str">
        <x:v>IO-CLM-MP-0011</x:v>
      </x:c>
      <x:c r="K10" s="115" t="str">
        <x:v>Official project background only. It does not verify that the protest occurred and does not resolve the disputed rehabilitation claims.</x:v>
      </x:c>
      <x:c r="L10" s="117" t="n">
        <x:v>46218</x:v>
      </x:c>
      <x:c r="M10" s="115" t="str">
        <x:v>Page publication date not displayed</x:v>
      </x:c>
      <x:c r="N10" s="115" t="str"/>
      <x:c r="O10" s="16" t="str">
        <x:v>Official context</x:v>
      </x:c>
    </x:row>
    <x:row r="11">
      <x:c r="A11" s="16" t="str">
        <x:v>IO-SRC-MP-0007</x:v>
      </x:c>
      <x:c r="B11" s="16" t="str">
        <x:v>IO-CM-MP-0001</x:v>
      </x:c>
      <x:c r="C11" s="16" t="str">
        <x:v>Down To Earth</x:v>
      </x:c>
      <x:c r="D11" s="16" t="str">
        <x:v>People affected by Ken-Betwa river linking project postpone protest after administration’s assurance</x:v>
      </x:c>
      <x:c r="E11" s="16" t="str">
        <x:v>Bhagirath</x:v>
      </x:c>
      <x:c r="F11" s="16" t="str">
        <x:v>https://www.downtoearth.org.in/rivers/people-affected-by-ken-betwa-river-linking-project-postpone-protest-after-administrations-assurance</x:v>
      </x:c>
      <x:c r="G11" s="109" t="n">
        <x:v>46129</x:v>
      </x:c>
      <x:c r="H11" s="16" t="str">
        <x:v>Original media reporting</x:v>
      </x:c>
      <x:c r="I11" s="16" t="str">
        <x:v>Same publisher follow-up</x:v>
      </x:c>
      <x:c r="J11" s="16" t="str">
        <x:v>IO-CLM-MP-0002, IO-CLM-MP-0003, IO-CLM-MP-0004</x:v>
      </x:c>
      <x:c r="K11" s="16" t="str">
        <x:v>Provides the history of the April protest, its temporary suspension and reported administrative assurances. Historical context, not independent confirmation of every July detail.</x:v>
      </x:c>
      <x:c r="L11" s="109" t="n">
        <x:v>46218</x:v>
      </x:c>
      <x:c r="M11" s="16" t="str">
        <x:v>No correction identified</x:v>
      </x:c>
      <x:c r="N11" s="16" t="str"/>
      <x:c r="O11" s="16" t="str">
        <x:v>Historical context</x:v>
      </x:c>
    </x:row>
    <x:row r="12">
      <x:c r="A12" s="16" t="str">
        <x:v>IO-SRC-DL-0001</x:v>
      </x:c>
      <x:c r="B12" s="16" t="str">
        <x:v>IO-CM-DL-0001</x:v>
      </x:c>
      <x:c r="C12" s="16" t="str">
        <x:v>Reuters</x:v>
      </x:c>
      <x:c r="D12" s="16" t="str">
        <x:v>Indian activist urged to give up hunger strike over exam leaks</x:v>
      </x:c>
      <x:c r="E12" s="16" t="str">
        <x:v>Saurabh Sharma; Krishna N. Das</x:v>
      </x:c>
      <x:c r="F12" s="16" t="str">
        <x:v>https://www.reuters.com/world/india/indian-activist-urged-give-up-hunger-strike-over-exam-leaks-2026-07-14/</x:v>
      </x:c>
      <x:c r="G12" s="109" t="n">
        <x:v>46217</x:v>
      </x:c>
      <x:c r="H12" s="16" t="str">
        <x:v>Original media reporting</x:v>
      </x:c>
      <x:c r="I12" s="16" t="str">
        <x:v>Original / independent</x:v>
      </x:c>
      <x:c r="J12" s="16" t="str">
        <x:v>IO-CLM-DL-0001, IO-CLM-DL-0003, IO-CLM-DL-0004, IO-CLM-DL-0005, IO-CLM-DL-0007</x:v>
      </x:c>
      <x:c r="K12" s="16" t="str">
        <x:v>On-location reporting with original photographs and requests for government comment. Medical figures are attributed to CJP, not independently certified.</x:v>
      </x:c>
      <x:c r="L12" s="109" t="n">
        <x:v>46218</x:v>
      </x:c>
      <x:c r="M12" s="16" t="str">
        <x:v>No correction identified</x:v>
      </x:c>
      <x:c r="N12" s="16"/>
      <x:c r="O12" s="16" t="str">
        <x:v>Corroboration</x:v>
      </x:c>
    </x:row>
    <x:row r="13">
      <x:c r="A13" s="16" t="str">
        <x:v>IO-SRC-DL-0002</x:v>
      </x:c>
      <x:c r="B13" s="16" t="str">
        <x:v>IO-CM-DL-0001</x:v>
      </x:c>
      <x:c r="C13" s="16" t="str">
        <x:v>NDTV</x:v>
      </x:c>
      <x:c r="D13" s="16" t="str">
        <x:v>“Weak Outside, Strong Inside”: Sonam Wangchuk On Hunger Strike For 17 Days</x:v>
      </x:c>
      <x:c r="E13" s="16" t="str">
        <x:v>NDTV News Desk</x:v>
      </x:c>
      <x:c r="F13" s="16" t="str">
        <x:v>https://www.ndtv.com/india-news/cjp-protest-at-jantar-mantar-weak-outside-strong-inside-sonam-wangchuk-on-hunger-strike-for-17-days-11768325</x:v>
      </x:c>
      <x:c r="G13" s="109" t="n">
        <x:v>46217</x:v>
      </x:c>
      <x:c r="H13" s="16" t="str">
        <x:v>Original media reporting</x:v>
      </x:c>
      <x:c r="I13" s="16" t="str">
        <x:v>Original / independent</x:v>
      </x:c>
      <x:c r="J13" s="16" t="str">
        <x:v>IO-CLM-DL-0001, IO-CLM-DL-0003, IO-CLM-DL-0004, IO-CLM-DL-0005, IO-CLM-DL-0006</x:v>
      </x:c>
      <x:c r="K13" s="16" t="str">
        <x:v>Independent report that includes the organisers' health claims and the education minister's reported response. Preserve attribution for both.</x:v>
      </x:c>
      <x:c r="L13" s="109" t="n">
        <x:v>46218</x:v>
      </x:c>
      <x:c r="M13" s="16" t="str">
        <x:v>No correction identified</x:v>
      </x:c>
      <x:c r="N13" s="16"/>
      <x:c r="O13" s="16" t="str">
        <x:v>Corroboration</x:v>
      </x:c>
    </x:row>
    <x:row r="14">
      <x:c r="A14" s="16" t="str">
        <x:v>IO-SRC-DL-0003</x:v>
      </x:c>
      <x:c r="B14" s="16" t="str">
        <x:v>IO-CM-DL-0001</x:v>
      </x:c>
      <x:c r="C14" s="16" t="str">
        <x:v>Hindustan Times</x:v>
      </x:c>
      <x:c r="D14" s="16" t="str">
        <x:v>Sonam Wangchuk hunger strike live updates</x:v>
      </x:c>
      <x:c r="E14" s="16" t="str">
        <x:v>HT News Desk</x:v>
      </x:c>
      <x:c r="F14" s="16" t="str">
        <x:v>https://www.hindustantimes.com/india-news/sonam-wangchuk-hunger-strike-live-updates-cjp-cockroach-janta-party-protest-abhijeet-dipke-rahul-gandhi-modi-delhi-101784084569584.html</x:v>
      </x:c>
      <x:c r="G14" s="109" t="n">
        <x:v>46218</x:v>
      </x:c>
      <x:c r="H14" s="16" t="str">
        <x:v>Follow-up media reporting</x:v>
      </x:c>
      <x:c r="I14" s="16" t="str">
        <x:v>Original / independent</x:v>
      </x:c>
      <x:c r="J14" s="16" t="str">
        <x:v>IO-CLM-DL-0001, IO-CLM-DL-0002, IO-CLM-DL-0003, IO-CLM-DL-0004, IO-CLM-DL-0005</x:v>
      </x:c>
      <x:c r="K14" s="16" t="str">
        <x:v>Continuing live report. Health details remain attributed to organisers. It supports duration and current-status checks.</x:v>
      </x:c>
      <x:c r="L14" s="109" t="n">
        <x:v>46218</x:v>
      </x:c>
      <x:c r="M14" s="16" t="str">
        <x:v>Live page may continue updating</x:v>
      </x:c>
      <x:c r="N14" s="16"/>
      <x:c r="O14" s="16" t="str">
        <x:v>Follow-up</x:v>
      </x:c>
    </x:row>
    <x:row r="15">
      <x:c r="A15" s="16" t="str">
        <x:v>IO-SRC-DL-0004</x:v>
      </x:c>
      <x:c r="B15" s="16" t="str">
        <x:v>IO-CM-DL-0001</x:v>
      </x:c>
      <x:c r="C15" s="16" t="str">
        <x:v>Hindustan Times</x:v>
      </x:c>
      <x:c r="D15" s="16" t="str">
        <x:v>CJP Protest in Delhi highlights: ‘Go Pradhan Go,’ chants take over Jantar Mantar</x:v>
      </x:c>
      <x:c r="E15" s="16" t="str">
        <x:v>HT News Desk</x:v>
      </x:c>
      <x:c r="F15" s="16" t="str">
        <x:v>https://www.hindustantimes.com/india-news/cjp-protest-delhi-live-updates-cockroach-janta-party-jantar-mantar-today-abhijeet-dipke-dharmendra-pradhan-re-neet-ug-101782010668315.html</x:v>
      </x:c>
      <x:c r="G15" s="109" t="n">
        <x:v>46194</x:v>
      </x:c>
      <x:c r="H15" s="16" t="str">
        <x:v>Original media reporting</x:v>
      </x:c>
      <x:c r="I15" s="16" t="str">
        <x:v>Same publisher follow-up</x:v>
      </x:c>
      <x:c r="J15" s="16" t="str">
        <x:v>IO-CLM-DL-0002, IO-CLM-DL-0004</x:v>
      </x:c>
      <x:c r="K15" s="16" t="str">
        <x:v>Documents the start of the current indefinite sit-in around 20 June. Same publisher as the later HT live page, so these do not count as separate independent sources from one another.</x:v>
      </x:c>
      <x:c r="L15" s="109" t="n">
        <x:v>46218</x:v>
      </x:c>
      <x:c r="M15" s="16" t="str">
        <x:v>No correction identified</x:v>
      </x:c>
      <x:c r="N15" s="16"/>
      <x:c r="O15" s="16" t="str">
        <x:v>Historical context</x:v>
      </x:c>
    </x:row>
    <x:row r="16">
      <x:c r="A16" s="16" t="str">
        <x:v>IO-SRC-KA-0001</x:v>
      </x:c>
      <x:c r="B16" s="16" t="str">
        <x:v>IO-CM-KA-0001</x:v>
      </x:c>
      <x:c r="C16" s="16" t="str">
        <x:v>The Times of India</x:v>
      </x:c>
      <x:c r="D16" s="16" t="str">
        <x:v>Mandya farmers protest seeking KRS dam water</x:v>
      </x:c>
      <x:c r="E16" s="16"/>
      <x:c r="F16" s="16" t="str">
        <x:v>https://timesofindia.indiatimes.com/city/mysuru/mandya-farmers-protest-seeking-krs-dam-water/articleshow/132368324.cms</x:v>
      </x:c>
      <x:c r="G16" s="109" t="n">
        <x:v>46216</x:v>
      </x:c>
      <x:c r="H16" s="16" t="str">
        <x:v>Original media reporting</x:v>
      </x:c>
      <x:c r="I16" s="16" t="str">
        <x:v>Original / independent</x:v>
      </x:c>
      <x:c r="J16" s="16" t="str">
        <x:v>IO-CLM-KA-0001, IO-CLM-KA-0002, IO-CLM-KA-0003, IO-CLM-KA-0004, IO-CLM-KA-0005, IO-CLM-KA-0006</x:v>
      </x:c>
      <x:c r="K16" s="16" t="str">
        <x:v>Local report naming the organising committee, protest location and demands. Crop impacts are participant claims.</x:v>
      </x:c>
      <x:c r="L16" s="109" t="n">
        <x:v>46218</x:v>
      </x:c>
      <x:c r="M16" s="16" t="str">
        <x:v>No correction identified</x:v>
      </x:c>
      <x:c r="N16" s="16"/>
      <x:c r="O16" s="16" t="str">
        <x:v>Lead</x:v>
      </x:c>
    </x:row>
    <x:row r="17">
      <x:c r="A17" s="16" t="str">
        <x:v>IO-SRC-KA-0002</x:v>
      </x:c>
      <x:c r="B17" s="16" t="str">
        <x:v>IO-CM-KA-0001</x:v>
      </x:c>
      <x:c r="C17" s="16" t="str">
        <x:v>The New Indian Express</x:v>
      </x:c>
      <x:c r="D17" s="16" t="str">
        <x:v>Agitation over delay in releasing KRS water intensifies in Mandya</x:v>
      </x:c>
      <x:c r="E17" s="16" t="str">
        <x:v>Express News Service</x:v>
      </x:c>
      <x:c r="F17" s="16" t="str">
        <x:v>https://www.newindianexpress.com/states/karnataka/2026/Jul/14/agitation-over-delay-in-releasing-krs-water-intensifies-in-mandya</x:v>
      </x:c>
      <x:c r="G17" s="109" t="n">
        <x:v>46217</x:v>
      </x:c>
      <x:c r="H17" s="16" t="str">
        <x:v>Original media reporting</x:v>
      </x:c>
      <x:c r="I17" s="16" t="str">
        <x:v>Original / independent</x:v>
      </x:c>
      <x:c r="J17" s="16" t="str">
        <x:v>IO-CLM-KA-0001, IO-CLM-KA-0002, IO-CLM-KA-0003, IO-CLM-KA-0004, IO-CLM-KA-0005</x:v>
      </x:c>
      <x:c r="K17" s="16" t="str">
        <x:v>Independent field report with an original photograph and details of the highway blockade and attempted siege.</x:v>
      </x:c>
      <x:c r="L17" s="109" t="n">
        <x:v>46218</x:v>
      </x:c>
      <x:c r="M17" s="16" t="str">
        <x:v>No correction identified</x:v>
      </x:c>
      <x:c r="N17" s="16"/>
      <x:c r="O17" s="16" t="str">
        <x:v>Corroboration</x:v>
      </x:c>
    </x:row>
    <x:row r="18">
      <x:c r="A18" s="16" t="str">
        <x:v>IO-SRC-KA-0003</x:v>
      </x:c>
      <x:c r="B18" s="16" t="str">
        <x:v>IO-CM-KA-0001</x:v>
      </x:c>
      <x:c r="C18" s="16" t="str">
        <x:v>The Times of India</x:v>
      </x:c>
      <x:c r="D18" s="16" t="str">
        <x:v>Mandya farmers await KRS water as government eyes CWMA verdict</x:v>
      </x:c>
      <x:c r="E18" s="16"/>
      <x:c r="F18" s="16" t="str">
        <x:v>https://timesofindia.indiatimes.com/city/mysuru/mandya-farmers-await-krs-water-as-govt-eyes-cwma-verdict/articleshow/132397492.cms</x:v>
      </x:c>
      <x:c r="G18" s="109" t="n">
        <x:v>46218</x:v>
      </x:c>
      <x:c r="H18" s="16" t="str">
        <x:v>Follow-up media reporting</x:v>
      </x:c>
      <x:c r="I18" s="16" t="str">
        <x:v>Same publisher follow-up</x:v>
      </x:c>
      <x:c r="J18" s="16" t="str">
        <x:v>IO-CLM-KA-0002, IO-CLM-KA-0006</x:v>
      </x:c>
      <x:c r="K18" s="16" t="str">
        <x:v>Provides follow-up context on the government's stated wait for the Cauvery Water Management Authority position. It is not a second independent publisher.</x:v>
      </x:c>
      <x:c r="L18" s="109" t="n">
        <x:v>46218</x:v>
      </x:c>
      <x:c r="M18" s="16" t="str">
        <x:v>No correction identified</x:v>
      </x:c>
      <x:c r="N18" s="16"/>
      <x:c r="O18" s="16" t="str">
        <x:v>Follow-up</x:v>
      </x:c>
    </x:row>
    <x:row r="19">
      <x:c r="A19" s="16" t="str">
        <x:v>IO-SRC-CH-0001</x:v>
      </x:c>
      <x:c r="B19" s="16" t="str">
        <x:v>IO-CM-CH-0001</x:v>
      </x:c>
      <x:c r="C19" s="16" t="str">
        <x:v>The Tribune</x:v>
      </x:c>
      <x:c r="D19" s="16" t="str">
        <x:v>Farmers take out motorcycle rally in Chandigarh; slam Centre over proposed Indo-US trade deal</x:v>
      </x:c>
      <x:c r="E19" s="16" t="str">
        <x:v>Tribune News Service</x:v>
      </x:c>
      <x:c r="F19" s="16" t="str">
        <x:v>https://www.tribuneindia.com/live-blog/chandigarh/farmers-protest-in-chandigarh-live-traffic-halted-at-multiple-points-as-bku-rajewal-members-enter-city/</x:v>
      </x:c>
      <x:c r="G19" s="109" t="n">
        <x:v>46216</x:v>
      </x:c>
      <x:c r="H19" s="16" t="str">
        <x:v>Original media reporting</x:v>
      </x:c>
      <x:c r="I19" s="16" t="str">
        <x:v>Original / independent</x:v>
      </x:c>
      <x:c r="J19" s="16" t="str">
        <x:v>IO-CLM-CH-0001, IO-CLM-CH-0002, IO-CLM-CH-0003, IO-CLM-CH-0004, IO-CLM-CH-0005, IO-CLM-CH-0007</x:v>
      </x:c>
      <x:c r="K19" s="16" t="str">
        <x:v>Original local reporting with photographs, route details, demands and police traffic advisory information.</x:v>
      </x:c>
      <x:c r="L19" s="109" t="n">
        <x:v>46218</x:v>
      </x:c>
      <x:c r="M19" s="16" t="str">
        <x:v>No correction identified</x:v>
      </x:c>
      <x:c r="N19" s="16"/>
      <x:c r="O19" s="16" t="str">
        <x:v>Lead</x:v>
      </x:c>
    </x:row>
    <x:row r="20">
      <x:c r="A20" s="16" t="str">
        <x:v>IO-SRC-CH-0002</x:v>
      </x:c>
      <x:c r="B20" s="16" t="str">
        <x:v>IO-CM-CH-0001</x:v>
      </x:c>
      <x:c r="C20" s="16" t="str">
        <x:v>The Times of India</x:v>
      </x:c>
      <x:c r="D20" s="16" t="str">
        <x:v>Farmers’ rally chokes city and Mohali again</x:v>
      </x:c>
      <x:c r="E20" s="16"/>
      <x:c r="F20" s="16" t="str">
        <x:v>https://timesofindia.indiatimes.com/city/chandigarh/farmers-rally-chokes-city-and-mohali-again/articleshow/132375468.cms</x:v>
      </x:c>
      <x:c r="G20" s="109" t="n">
        <x:v>46217</x:v>
      </x:c>
      <x:c r="H20" s="16" t="str">
        <x:v>Original media reporting</x:v>
      </x:c>
      <x:c r="I20" s="16" t="str">
        <x:v>Original / independent</x:v>
      </x:c>
      <x:c r="J20" s="16" t="str">
        <x:v>IO-CLM-CH-0001, IO-CLM-CH-0002, IO-CLM-CH-0003, IO-CLM-CH-0004, IO-CLM-CH-0005, IO-CLM-CH-0006, IO-CLM-CH-0007</x:v>
      </x:c>
      <x:c r="K20" s="16" t="str">
        <x:v>Independent local report with route, mobilisation, police diversions, speeches and memorandum details.</x:v>
      </x:c>
      <x:c r="L20" s="109" t="n">
        <x:v>46218</x:v>
      </x:c>
      <x:c r="M20" s="16" t="str">
        <x:v>No correction identified</x:v>
      </x:c>
      <x:c r="N20" s="16"/>
      <x:c r="O20" s="16" t="str">
        <x:v>Corroboration</x:v>
      </x:c>
    </x:row>
    <x:row r="21">
      <x:c r="A21" s="16" t="str">
        <x:v>IO-SRC-MH-0001</x:v>
      </x:c>
      <x:c r="B21" s="16" t="str">
        <x:v>IO-CM-MH-0001</x:v>
      </x:c>
      <x:c r="C21" s="16" t="str">
        <x:v>The Times of India</x:v>
      </x:c>
      <x:c r="D21" s="16" t="str">
        <x:v>Hundreds join ‘Save SGNP’ protest in Thane, oppose projects near forest</x:v>
      </x:c>
      <x:c r="E21" s="16"/>
      <x:c r="F21" s="16" t="str">
        <x:v>https://timesofindia.indiatimes.com/city/thane/hundreds-join-save-sgnp-protest-in-thane-oppose-projects-near-forest/articleshow/132199148.cms</x:v>
      </x:c>
      <x:c r="G21" s="109" t="n">
        <x:v>46208</x:v>
      </x:c>
      <x:c r="H21" s="16" t="str">
        <x:v>Original media reporting</x:v>
      </x:c>
      <x:c r="I21" s="16" t="str">
        <x:v>Original / independent</x:v>
      </x:c>
      <x:c r="J21" s="16" t="str">
        <x:v>IO-CLM-MH-0001, IO-CLM-MH-0002, IO-CLM-MH-0003, IO-CLM-MH-0004, IO-CLM-MH-0006</x:v>
      </x:c>
      <x:c r="K21" s="16" t="str">
        <x:v>Original local reporting. It supports the Sunday 5 July date and records a stated demand concerning the biodiversity-park proposal.</x:v>
      </x:c>
      <x:c r="L21" s="109" t="n">
        <x:v>46218</x:v>
      </x:c>
      <x:c r="M21" s="16" t="str">
        <x:v>No correction identified</x:v>
      </x:c>
      <x:c r="N21" s="16"/>
      <x:c r="O21" s="16" t="str">
        <x:v>Lead</x:v>
      </x:c>
    </x:row>
    <x:row r="22">
      <x:c r="A22" s="16" t="str">
        <x:v>IO-SRC-MH-0002</x:v>
      </x:c>
      <x:c r="B22" s="16" t="str">
        <x:v>IO-CM-MH-0001</x:v>
      </x:c>
      <x:c r="C22" s="16" t="str">
        <x:v>Free Press Journal</x:v>
      </x:c>
      <x:c r="D22" s="16" t="str">
        <x:v>What Is The ‘Save SGNP’ Movement? Understanding The Protest Against Development Near Mumbai’s Sanjay Gandhi National Park</x:v>
      </x:c>
      <x:c r="E22" s="16" t="str">
        <x:v>Sunanda Singh</x:v>
      </x:c>
      <x:c r="F22" s="16" t="str">
        <x:v>https://www.freepressjournal.in/lifestyle/what-is-the-save-sgnp-movement-understanding-the-protest-against-development-near-sanjay-gandhi-national-park-2</x:v>
      </x:c>
      <x:c r="G22" s="109" t="n">
        <x:v>46209</x:v>
      </x:c>
      <x:c r="H22" s="16" t="str">
        <x:v>Original media reporting</x:v>
      </x:c>
      <x:c r="I22" s="16" t="str">
        <x:v>Original / independent</x:v>
      </x:c>
      <x:c r="J22" s="16" t="str">
        <x:v>IO-CLM-MH-0001, IO-CLM-MH-0002, IO-CLM-MH-0003, IO-CLM-MH-0006</x:v>
      </x:c>
      <x:c r="K22" s="16" t="str">
        <x:v>Independent publisher describing the gathering and human chain. The story says Sunday, 6 July 2026, but 6 July was Monday; use the Times of India date and record the discrepancy.</x:v>
      </x:c>
      <x:c r="L22" s="109" t="n">
        <x:v>46218</x:v>
      </x:c>
      <x:c r="M22" s="16" t="str">
        <x:v>Event-date inconsistency identified</x:v>
      </x:c>
      <x:c r="N22" s="16"/>
      <x:c r="O22" s="16" t="str">
        <x:v>Corroboration</x:v>
      </x:c>
    </x:row>
    <x:row r="23">
      <x:c r="A23" s="16" t="str">
        <x:v>IO-SRC-MH-0003</x:v>
      </x:c>
      <x:c r="B23" s="16" t="str">
        <x:v>IO-CM-MH-0001</x:v>
      </x:c>
      <x:c r="C23" s="16" t="str">
        <x:v>Mission Save SGNP campaign</x:v>
      </x:c>
      <x:c r="D23" s="16" t="str">
        <x:v>Save SGNP Manpada (Thane) petition</x:v>
      </x:c>
      <x:c r="E23" s="16"/>
      <x:c r="F23" s="16" t="str">
        <x:v>https://www.change.org/p/save-sgnp-manpada-thane</x:v>
      </x:c>
      <x:c r="G23" s="109" t="n">
        <x:v>46172</x:v>
      </x:c>
      <x:c r="H23" s="16" t="str">
        <x:v>Organiser statement</x:v>
      </x:c>
      <x:c r="I23" s="16" t="str">
        <x:v>Official primary source</x:v>
      </x:c>
      <x:c r="J23" s="16" t="str">
        <x:v>IO-CLM-MH-0003, IO-CLM-MH-0005</x:v>
      </x:c>
      <x:c r="K23" s="16" t="str">
        <x:v>Primary campaign document for stated concerns and the 193-acre figure. It does not independently verify protest attendance or official land classification.</x:v>
      </x:c>
      <x:c r="L23" s="109" t="n">
        <x:v>46218</x:v>
      </x:c>
      <x:c r="M23" s="16" t="str">
        <x:v>Petition may continue updating</x:v>
      </x:c>
      <x:c r="N23" s="16"/>
      <x:c r="O23" s="16" t="str">
        <x:v>Official context</x:v>
      </x:c>
    </x:row>
    <x:row r="24">
      <x:c r="A24" s="16" t="str">
        <x:v>IO-SRC-MH-0004</x:v>
      </x:c>
      <x:c r="B24" s="16" t="str">
        <x:v>IO-CM-MH-0001</x:v>
      </x:c>
      <x:c r="C24" s="16" t="str">
        <x:v>ScienceKriti</x:v>
      </x:c>
      <x:c r="D24" s="16" t="str">
        <x:v>Field video from Save SGNP human-chain protest</x:v>
      </x:c>
      <x:c r="E24" s="16"/>
      <x:c r="F24" s="16" t="str">
        <x:v>https://www.instagram.com/reel/DacYWWktqjL/</x:v>
      </x:c>
      <x:c r="G24" s="109"/>
      <x:c r="H24" s="16" t="str">
        <x:v>Social media lead</x:v>
      </x:c>
      <x:c r="I24" s="16" t="str">
        <x:v>Original / independent</x:v>
      </x:c>
      <x:c r="J24" s="16" t="str">
        <x:v>IO-CLM-MH-0001, IO-CLM-MH-0002, IO-CLM-MH-0006, IO-CLM-MH-0007</x:v>
      </x:c>
      <x:c r="K24" s="16" t="str">
        <x:v>Apparent original field footage and campaign caption. It supports visual occurrence but crowd-size claims remain attributed and the exact capture time should be confirmed manually.</x:v>
      </x:c>
      <x:c r="L24" s="109" t="n">
        <x:v>46218</x:v>
      </x:c>
      <x:c r="M24" s="16" t="str">
        <x:v>No correction identified</x:v>
      </x:c>
      <x:c r="N24" s="16"/>
      <x:c r="O24" s="16" t="str">
        <x:v>Alternate access</x:v>
      </x:c>
    </x:row>
    <x:row r="25">
      <x:c r="A25" s="16" t="str">
        <x:v>IO-SRC-KA-0004</x:v>
      </x:c>
      <x:c r="B25" s="16" t="str">
        <x:v>IO-CM-KA-0002</x:v>
      </x:c>
      <x:c r="C25" s="16" t="str">
        <x:v>The News Minute</x:v>
      </x:c>
      <x:c r="D25" s="16" t="str">
        <x:v>Ground Report: Bidadi farmers resist AI city land acquisition after years under red zone</x:v>
      </x:c>
      <x:c r="E25" s="16" t="str">
        <x:v>Shivani Kava</x:v>
      </x:c>
      <x:c r="F25" s="16" t="str">
        <x:v>https://www.thenewsminute.com/karnataka/ground-report-bidadi-farmers-resist-ai-city-land-acquisition-after-years-under-red-zone</x:v>
      </x:c>
      <x:c r="G25" s="109" t="n">
        <x:v>46202</x:v>
      </x:c>
      <x:c r="H25" s="16" t="str">
        <x:v>Original media reporting</x:v>
      </x:c>
      <x:c r="I25" s="16" t="str">
        <x:v>Original / independent</x:v>
      </x:c>
      <x:c r="J25" s="16" t="str">
        <x:v>IO-CLM-KA-0007, IO-CLM-KA-0008, IO-CLM-KA-0009, IO-CLM-KA-0010, IO-CLM-KA-0011, IO-CLM-KA-0012, IO-CLM-KA-0013, IO-CLM-KA-0017, IO-CLM-KA-0018</x:v>
      </x:c>
      <x:c r="K25" s="16" t="str">
        <x:v>Detailed named ground reporting with interviews, project history, government position and farmer accounts. Claims about agriculture, trees, consent and compensation remain attributable to their stated sources.</x:v>
      </x:c>
      <x:c r="L25" s="109" t="n">
        <x:v>46218</x:v>
      </x:c>
      <x:c r="M25" s="16" t="str">
        <x:v>No correction identified</x:v>
      </x:c>
      <x:c r="N25" s="16"/>
      <x:c r="O25" s="16" t="str">
        <x:v>Lead</x:v>
      </x:c>
    </x:row>
    <x:row r="26">
      <x:c r="A26" s="16" t="str">
        <x:v>IO-SRC-KA-0005</x:v>
      </x:c>
      <x:c r="B26" s="16" t="str">
        <x:v>IO-CM-KA-0002</x:v>
      </x:c>
      <x:c r="C26" s="16" t="str">
        <x:v>The News Minute</x:v>
      </x:c>
      <x:c r="D26" s="16" t="str">
        <x:v>Bidadi Township: What the project is, who opposes it and why</x:v>
      </x:c>
      <x:c r="E26" s="16" t="str">
        <x:v>Shivani Kava</x:v>
      </x:c>
      <x:c r="F26" s="16" t="str">
        <x:v>https://www.thenewsminute.com/karnataka/bidadi-township-what-the-project-is-who-opposes-it-and-why</x:v>
      </x:c>
      <x:c r="G26" s="109" t="n">
        <x:v>46190</x:v>
      </x:c>
      <x:c r="H26" s="16" t="str">
        <x:v>Follow-up media reporting</x:v>
      </x:c>
      <x:c r="I26" s="16" t="str">
        <x:v>Same publisher follow-up</x:v>
      </x:c>
      <x:c r="J26" s="16" t="str">
        <x:v>IO-CLM-KA-0007, IO-CLM-KA-0009, IO-CLM-KA-0012, IO-CLM-KA-0013, IO-CLM-KA-0017, IO-CLM-KA-0018</x:v>
      </x:c>
      <x:c r="K26" s="16" t="str">
        <x:v>Useful project explainer and chronology, but not an independent publisher from the later News Minute ground report. Figures derived from RTI or government records should be checked against the underlying documents.</x:v>
      </x:c>
      <x:c r="L26" s="109" t="n">
        <x:v>46218</x:v>
      </x:c>
      <x:c r="M26" s="16" t="str">
        <x:v>No correction identified</x:v>
      </x:c>
      <x:c r="N26" s="16"/>
      <x:c r="O26" s="16" t="str">
        <x:v>Historical context</x:v>
      </x:c>
    </x:row>
    <x:row r="27">
      <x:c r="A27" s="16" t="str">
        <x:v>IO-SRC-KA-0006</x:v>
      </x:c>
      <x:c r="B27" s="16" t="str">
        <x:v>IO-CM-KA-0002</x:v>
      </x:c>
      <x:c r="C27" s="16" t="str">
        <x:v>The New Indian Express</x:v>
      </x:c>
      <x:c r="D27" s="16" t="str">
        <x:v>Karnataka govt set to acquire 500 acres for Bidadi township project</x:v>
      </x:c>
      <x:c r="E27" s="16" t="str">
        <x:v>Express News Service</x:v>
      </x:c>
      <x:c r="F27" s="16" t="str">
        <x:v>https://www.newindianexpress.com/cities/bengaluru/2026/Jun/13/karnataka-govt-set-to-acquire-500-acres-for-bidadi-township-project</x:v>
      </x:c>
      <x:c r="G27" s="109" t="n">
        <x:v>46186</x:v>
      </x:c>
      <x:c r="H27" s="16" t="str">
        <x:v>Original media reporting</x:v>
      </x:c>
      <x:c r="I27" s="16" t="str">
        <x:v>Original / independent</x:v>
      </x:c>
      <x:c r="J27" s="16" t="str">
        <x:v>IO-CLM-KA-0007, IO-CLM-KA-0009, IO-CLM-KA-0010, IO-CLM-KA-0012</x:v>
      </x:c>
      <x:c r="K27" s="16" t="str">
        <x:v>Independent report confirming the final notification, first-phase acreage, affected villages and farmer opposition. Some quoted claims about land quality and ownership are not independently verified.</x:v>
      </x:c>
      <x:c r="L27" s="109" t="n">
        <x:v>46218</x:v>
      </x:c>
      <x:c r="M27" s="16" t="str">
        <x:v>No correction identified</x:v>
      </x:c>
      <x:c r="N27" s="16"/>
      <x:c r="O27" s="16" t="str">
        <x:v>Corroboration</x:v>
      </x:c>
    </x:row>
    <x:row r="28">
      <x:c r="A28" s="16" t="str">
        <x:v>IO-SRC-KA-0007</x:v>
      </x:c>
      <x:c r="B28" s="16" t="str">
        <x:v>IO-CM-KA-0002</x:v>
      </x:c>
      <x:c r="C28" s="16" t="str">
        <x:v>The Times of India</x:v>
      </x:c>
      <x:c r="D28" s="16" t="str">
        <x:v>Farmers take out ‘Appiko’ protest in Bidadi</x:v>
      </x:c>
      <x:c r="E28" s="16" t="str">
        <x:v>Santosh Kumar B</x:v>
      </x:c>
      <x:c r="F28" s="16" t="str">
        <x:v>https://timesofindia.indiatimes.com/city/bengaluru/farmers-take-out-appiko-protest-in-bidadi/articleshow/132056408.cms</x:v>
      </x:c>
      <x:c r="G28" s="109" t="n">
        <x:v>46201</x:v>
      </x:c>
      <x:c r="H28" s="16" t="str">
        <x:v>Original media reporting</x:v>
      </x:c>
      <x:c r="I28" s="16" t="str">
        <x:v>Original / independent</x:v>
      </x:c>
      <x:c r="J28" s="16" t="str">
        <x:v>IO-CLM-KA-0007, IO-CLM-KA-0010, IO-CLM-KA-0014, IO-CLM-KA-0017, IO-CLM-KA-0018</x:v>
      </x:c>
      <x:c r="K28" s="16" t="str">
        <x:v>Original local report documenting the tree-hugging protest. The claim that more than 15 lakh trees are threatened is a protester claim and is not treated as verified.</x:v>
      </x:c>
      <x:c r="L28" s="109" t="n">
        <x:v>46218</x:v>
      </x:c>
      <x:c r="M28" s="16" t="str">
        <x:v>No correction identified</x:v>
      </x:c>
      <x:c r="N28" s="16"/>
      <x:c r="O28" s="16" t="str">
        <x:v>Corroboration</x:v>
      </x:c>
    </x:row>
    <x:row r="29">
      <x:c r="A29" s="16" t="str">
        <x:v>IO-SRC-KA-0008</x:v>
      </x:c>
      <x:c r="B29" s="16" t="str">
        <x:v>IO-CM-KA-0002</x:v>
      </x:c>
      <x:c r="C29" s="16" t="str">
        <x:v>The News Minute</x:v>
      </x:c>
      <x:c r="D29" s="16" t="str">
        <x:v>Bidadi township: Women farmers wield brooms to stop land survey, accuse govt of betraying farmers</x:v>
      </x:c>
      <x:c r="E29" s="16" t="str">
        <x:v>Shivani Kava</x:v>
      </x:c>
      <x:c r="F29" s="16" t="str">
        <x:v>https://www.thenewsminute.com/karnataka/bidadi-township-women-farmers-wield-brooms-to-stop-land-survey-accuse-govt-of-betraying-farmers</x:v>
      </x:c>
      <x:c r="G29" s="109" t="n">
        <x:v>46216</x:v>
      </x:c>
      <x:c r="H29" s="16" t="str">
        <x:v>Original media reporting</x:v>
      </x:c>
      <x:c r="I29" s="16" t="str">
        <x:v>Same publisher follow-up</x:v>
      </x:c>
      <x:c r="J29" s="16" t="str">
        <x:v>IO-CLM-KA-0007, IO-CLM-KA-0010, IO-CLM-KA-0015, IO-CLM-KA-0017</x:v>
      </x:c>
      <x:c r="K29" s="16" t="str">
        <x:v>Field reporting and visuals document the survey resistance. Allegations of police assault, lack of authorisation and responsibility for damage remain attributed.</x:v>
      </x:c>
      <x:c r="L29" s="109" t="n">
        <x:v>46218</x:v>
      </x:c>
      <x:c r="M29" s="16" t="str">
        <x:v>No correction identified</x:v>
      </x:c>
      <x:c r="N29" s="16"/>
      <x:c r="O29" s="16" t="str">
        <x:v>Follow-up</x:v>
      </x:c>
    </x:row>
    <x:row r="30">
      <x:c r="A30" s="16" t="str">
        <x:v>IO-SRC-KA-0009</x:v>
      </x:c>
      <x:c r="B30" s="16" t="str">
        <x:v>IO-CM-KA-0002</x:v>
      </x:c>
      <x:c r="C30" s="16" t="str">
        <x:v>India Today</x:v>
      </x:c>
      <x:c r="D30" s="16" t="str">
        <x:v>Two FIRs filed after violence erupts during township survey near Bengaluru</x:v>
      </x:c>
      <x:c r="E30" s="16" t="str">
        <x:v>Sagay Raj</x:v>
      </x:c>
      <x:c r="F30" s="16" t="str">
        <x:v>https://www.indiatoday.in/amp/india/karnataka/story/bidadi-ai-township-protest-second-fir-over-attack-on-officials-during-ramanagara-land-survey-2947469-2026-07-14</x:v>
      </x:c>
      <x:c r="G30" s="109" t="n">
        <x:v>46217</x:v>
      </x:c>
      <x:c r="H30" s="16" t="str">
        <x:v>Original media reporting</x:v>
      </x:c>
      <x:c r="I30" s="16" t="str">
        <x:v>Original / independent</x:v>
      </x:c>
      <x:c r="J30" s="16" t="str">
        <x:v>IO-CLM-KA-0015, IO-CLM-KA-0016</x:v>
      </x:c>
      <x:c r="K30" s="16" t="str">
        <x:v>Detailed account of police complaints and FIR allegations, alongside a farmer's denial of the association's responsibility. It verifies that FIRs exist, not that every allegation in them is proven.</x:v>
      </x:c>
      <x:c r="L30" s="109" t="n">
        <x:v>46218</x:v>
      </x:c>
      <x:c r="M30" s="16" t="str">
        <x:v>No correction identified</x:v>
      </x:c>
      <x:c r="N30" s="16"/>
      <x:c r="O30" s="16" t="str">
        <x:v>Corroboration</x:v>
      </x:c>
    </x:row>
    <x:row r="31">
      <x:c r="A31" s="16" t="str">
        <x:v>IO-SRC-KA-0010</x:v>
      </x:c>
      <x:c r="B31" s="16" t="str">
        <x:v>IO-CM-KA-0002</x:v>
      </x:c>
      <x:c r="C31" s="16" t="str">
        <x:v>The New Indian Express</x:v>
      </x:c>
      <x:c r="D31" s="16" t="str">
        <x:v>Attempt to murder case filed after farmers clash with officials during GBIT land survey in Karnataka</x:v>
      </x:c>
      <x:c r="E31" s="16" t="str">
        <x:v>Express News Service</x:v>
      </x:c>
      <x:c r="F31" s="16" t="str">
        <x:v>https://www.newindianexpress.com/states/karnataka/2026/Jul/15/attempt-to-murder-case-filed-after-farmers-clash-with-officials-during-gbit-land-survey-in-karnataka</x:v>
      </x:c>
      <x:c r="G31" s="109" t="n">
        <x:v>46218</x:v>
      </x:c>
      <x:c r="H31" s="16" t="str">
        <x:v>Follow-up media reporting</x:v>
      </x:c>
      <x:c r="I31" s="16" t="str">
        <x:v>Original / independent</x:v>
      </x:c>
      <x:c r="J31" s="16" t="str">
        <x:v>IO-CLM-KA-0015, IO-CLM-KA-0016</x:v>
      </x:c>
      <x:c r="K31" s="16" t="str">
        <x:v>Independent report on the FIR allegations. The criminal allegations remain unproven and must be attributed to the complaints.</x:v>
      </x:c>
      <x:c r="L31" s="109" t="n">
        <x:v>46218</x:v>
      </x:c>
      <x:c r="M31" s="16" t="str">
        <x:v>No correction identified</x:v>
      </x:c>
      <x:c r="N31" s="16"/>
      <x:c r="O31" s="16" t="str">
        <x:v>Corroboration</x:v>
      </x:c>
    </x:row>
    <x:row r="32">
      <x:c r="A32" s="16" t="str">
        <x:v>IO-SRC-KA-0011</x:v>
      </x:c>
      <x:c r="B32" s="16" t="str">
        <x:v>IO-CM-KA-0002</x:v>
      </x:c>
      <x:c r="C32" s="16" t="str">
        <x:v>The Economic Times</x:v>
      </x:c>
      <x:c r="D32" s="16" t="str">
        <x:v>Karnataka CM announces review of AI township project as farmer protests grow</x:v>
      </x:c>
      <x:c r="E32" s="16"/>
      <x:c r="F32" s="16" t="str">
        <x:v>https://m.economictimes.com/news/politics-and-nation/karnataka-cm-responds-to-farmer-protests-review-of-controversial-ai-township-project-announced/articleshow/132412974.cms</x:v>
      </x:c>
      <x:c r="G32" s="109" t="n">
        <x:v>46218</x:v>
      </x:c>
      <x:c r="H32" s="16" t="str">
        <x:v>Original media reporting</x:v>
      </x:c>
      <x:c r="I32" s="16" t="str">
        <x:v>Original / independent</x:v>
      </x:c>
      <x:c r="J32" s="16" t="str">
        <x:v>IO-CLM-KA-0019</x:v>
      </x:c>
      <x:c r="K32" s="16" t="str">
        <x:v>Reports the announcement of a review committee. A direct government order or committee notification is still required before classifying the committee details as officially verified.</x:v>
      </x:c>
      <x:c r="L32" s="109" t="n">
        <x:v>46218</x:v>
      </x:c>
      <x:c r="M32" s="16" t="str">
        <x:v>No correction identified</x:v>
      </x:c>
      <x:c r="N32" s="16"/>
      <x:c r="O32" s="16" t="str">
        <x:v>Official response</x:v>
      </x:c>
    </x:row>
    <x:row r="33">
      <x:c r="A33" s="16" t="str">
        <x:v>IO-SRC-GJ-0001</x:v>
      </x:c>
      <x:c r="B33" s="16" t="str">
        <x:v>IO-CM-GJ-0001</x:v>
      </x:c>
      <x:c r="C33" s="16" t="str">
        <x:v>The Indian Express</x:v>
      </x:c>
      <x:c r="D33" s="16" t="str">
        <x:v>Gujarat farmers protest Adani transmission line compensation in Morbi</x:v>
      </x:c>
      <x:c r="E33" s="16"/>
      <x:c r="F33" s="16" t="str">
        <x:v>https://indianexpress.com/article/cities/ahmedabad/gujarat-farmers-protest-adani-transmission-line-compensation-morbi-10775737/</x:v>
      </x:c>
      <x:c r="G33" s="109" t="n">
        <x:v>46211</x:v>
      </x:c>
      <x:c r="H33" s="16" t="str">
        <x:v>Original media reporting</x:v>
      </x:c>
      <x:c r="I33" s="16" t="str">
        <x:v>Original / independent</x:v>
      </x:c>
      <x:c r="J33" s="16" t="str">
        <x:v>IO-CLM-GJ-0001, IO-CLM-GJ-0002, IO-CLM-GJ-0003, IO-CLM-GJ-0004, IO-CLM-GJ-0005, IO-CLM-GJ-0006, IO-CLM-GJ-0007, IO-CLM-GJ-0008</x:v>
      </x:c>
      <x:c r="K33" s="16" t="str">
        <x:v>Detailed independent report on chronology, compensation demands, government resolution and continuation of the movement. Technical project figures conflict with some other reports.</x:v>
      </x:c>
      <x:c r="L33" s="109" t="n">
        <x:v>46218</x:v>
      </x:c>
      <x:c r="M33" s="16" t="str">
        <x:v>No correction identified</x:v>
      </x:c>
      <x:c r="N33" s="16"/>
      <x:c r="O33" s="16" t="str">
        <x:v>Corroboration</x:v>
      </x:c>
    </x:row>
    <x:row r="34">
      <x:c r="A34" s="16" t="str">
        <x:v>IO-SRC-GJ-0002</x:v>
      </x:c>
      <x:c r="B34" s="16" t="str">
        <x:v>IO-CM-GJ-0001</x:v>
      </x:c>
      <x:c r="C34" s="16" t="str">
        <x:v>The Wire</x:v>
      </x:c>
      <x:c r="D34" s="16" t="str">
        <x:v>Nothing short of dictatorship: Gujarat farmers fast against Adani project despite compensation hike</x:v>
      </x:c>
      <x:c r="E34" s="16"/>
      <x:c r="F34" s="16" t="str">
        <x:v>https://m.thewire.in/article/rights/nothing-short-of-dictatorship-despite-compensation-hike-gujarat-farmers-fast-against-adani-project-on/amp</x:v>
      </x:c>
      <x:c r="G34" s="109" t="n">
        <x:v>46208</x:v>
      </x:c>
      <x:c r="H34" s="16" t="str">
        <x:v>Original media reporting</x:v>
      </x:c>
      <x:c r="I34" s="16" t="str">
        <x:v>Original / independent</x:v>
      </x:c>
      <x:c r="J34" s="16" t="str">
        <x:v>IO-CLM-GJ-0001, IO-CLM-GJ-0002, IO-CLM-GJ-0003, IO-CLM-GJ-0004, IO-CLM-GJ-0005, IO-CLM-GJ-0007, IO-CLM-GJ-0008</x:v>
      </x:c>
      <x:c r="K34" s="16" t="str">
        <x:v>Independent reporting with farmer testimony and compensation details. Strongly worded quotations and impact claims remain attributed.</x:v>
      </x:c>
      <x:c r="L34" s="109" t="n">
        <x:v>46218</x:v>
      </x:c>
      <x:c r="M34" s="16" t="str">
        <x:v>No correction identified</x:v>
      </x:c>
      <x:c r="N34" s="16"/>
      <x:c r="O34" s="16" t="str">
        <x:v>Corroboration</x:v>
      </x:c>
    </x:row>
    <x:row r="35">
      <x:c r="A35" s="16" t="str">
        <x:v>IO-SRC-GJ-0003</x:v>
      </x:c>
      <x:c r="B35" s="16" t="str">
        <x:v>IO-CM-GJ-0001</x:v>
      </x:c>
      <x:c r="C35" s="16" t="str">
        <x:v>The Telegraph</x:v>
      </x:c>
      <x:c r="D35" s="16" t="str">
        <x:v>Gujarat revises compensation after farmers protest over Adani transmission project</x:v>
      </x:c>
      <x:c r="E35" s="16"/>
      <x:c r="F35" s="16" t="str">
        <x:v>https://www.telegraphindia.com/india/gujarat-buckles-under-farmers-protest-over-land-compensation-for-adani-project-prnt/cid/2168777</x:v>
      </x:c>
      <x:c r="G35" s="109" t="n">
        <x:v>46209</x:v>
      </x:c>
      <x:c r="H35" s="16" t="str">
        <x:v>Original media reporting</x:v>
      </x:c>
      <x:c r="I35" s="16" t="str">
        <x:v>Original / independent</x:v>
      </x:c>
      <x:c r="J35" s="16" t="str">
        <x:v>IO-CLM-GJ-0001, IO-CLM-GJ-0002, IO-CLM-GJ-0003, IO-CLM-GJ-0005, IO-CLM-GJ-0006</x:v>
      </x:c>
      <x:c r="K35" s="16" t="str">
        <x:v>Independent account of the government compensation revision and the farmer movement.</x:v>
      </x:c>
      <x:c r="L35" s="109" t="n">
        <x:v>46218</x:v>
      </x:c>
      <x:c r="M35" s="16" t="str">
        <x:v>No correction identified</x:v>
      </x:c>
      <x:c r="N35" s="16"/>
      <x:c r="O35" s="16" t="str">
        <x:v>Corroboration</x:v>
      </x:c>
    </x:row>
    <x:row r="36">
      <x:c r="A36" s="16" t="str">
        <x:v>IO-SRC-GJ-0004</x:v>
      </x:c>
      <x:c r="B36" s="16" t="str">
        <x:v>IO-CM-GJ-0001</x:v>
      </x:c>
      <x:c r="C36" s="16" t="str">
        <x:v>Community social-media account</x:v>
      </x:c>
      <x:c r="D36" s="16" t="str">
        <x:v>Field post from the Morbi farmers' compensation protest</x:v>
      </x:c>
      <x:c r="E36" s="16"/>
      <x:c r="F36" s="16" t="str">
        <x:v>https://www.instagram.com/p/DadCC4NFo-C/</x:v>
      </x:c>
      <x:c r="G36" s="109"/>
      <x:c r="H36" s="16" t="str">
        <x:v>Social media lead</x:v>
      </x:c>
      <x:c r="I36" s="16" t="str">
        <x:v>Unknown</x:v>
      </x:c>
      <x:c r="J36" s="16" t="str">
        <x:v>IO-CLM-GJ-0001, IO-CLM-GJ-0002</x:v>
      </x:c>
      <x:c r="K36" s="16" t="str">
        <x:v>Used as an early discovery lead and visual indication of the movement. It does not count as independent verification without confirmation of account ownership, date and original capture.</x:v>
      </x:c>
      <x:c r="L36" s="109" t="n">
        <x:v>46218</x:v>
      </x:c>
      <x:c r="M36" s="16" t="str">
        <x:v>Capture date not independently confirmed</x:v>
      </x:c>
      <x:c r="N36" s="16"/>
      <x:c r="O36" s="16" t="str">
        <x:v>Lead</x:v>
      </x:c>
    </x:row>
    <x:row r="37">
      <x:c r="A37" s="16" t="str">
        <x:v>IO-SRC-UP-0001</x:v>
      </x:c>
      <x:c r="B37" s="16" t="str">
        <x:v>IO-CM-UP-0001</x:v>
      </x:c>
      <x:c r="C37" s="16" t="str">
        <x:v>Navbharat Times</x:v>
      </x:c>
      <x:c r="D37" s="16" t="str">
        <x:v>Basti residents protest ethanol factory under construction in Dasiya</x:v>
      </x:c>
      <x:c r="E37" s="16"/>
      <x:c r="F37" s="16" t="str">
        <x:v>https://navbharattimes.indiatimes.com/state/uttar-pradesh/basti/e20-petrol-buzz-across-country-protest-ethanol-factory-being-built-in-dasiya-basti/articleshow/132390066.cms</x:v>
      </x:c>
      <x:c r="G37" s="109" t="n">
        <x:v>46217</x:v>
      </x:c>
      <x:c r="H37" s="16" t="str">
        <x:v>Original media reporting</x:v>
      </x:c>
      <x:c r="I37" s="16" t="str">
        <x:v>Original / independent</x:v>
      </x:c>
      <x:c r="J37" s="16" t="str">
        <x:v>IO-CLM-UP-0002, IO-CLM-UP-0003, IO-CLM-UP-0004, IO-CLM-UP-0005, IO-CLM-UP-0006, IO-CLM-UP-0007, IO-CLM-UP-0008</x:v>
      </x:c>
      <x:c r="K37" s="16" t="str">
        <x:v>Local-language report documenting the July protest, police deployment and the protesters' stated concerns. Environmental and land-disclosure allegations remain attributed.</x:v>
      </x:c>
      <x:c r="L37" s="109" t="n">
        <x:v>46218</x:v>
      </x:c>
      <x:c r="M37" s="16" t="str">
        <x:v>No correction identified</x:v>
      </x:c>
      <x:c r="N37" s="16"/>
      <x:c r="O37" s="16" t="str">
        <x:v>Corroboration</x:v>
      </x:c>
    </x:row>
    <x:row r="38">
      <x:c r="A38" s="16" t="str">
        <x:v>IO-SRC-UP-0002</x:v>
      </x:c>
      <x:c r="B38" s="16" t="str">
        <x:v>IO-CM-UP-0001</x:v>
      </x:c>
      <x:c r="C38" s="16" t="str">
        <x:v>Amar Ujala</x:v>
      </x:c>
      <x:c r="D38" s="16" t="str">
        <x:v>Opposition to proposed ethanol factory in Dasiya, Basti</x:v>
      </x:c>
      <x:c r="E38" s="16"/>
      <x:c r="F38" s="16" t="str">
        <x:v>https://www.amarujala.com/uttar-pradesh/basti/opposition-to-the-proposed-ethanol-factory-basti-news-c-207-1-bst1006-161009-2026-06-23</x:v>
      </x:c>
      <x:c r="G38" s="109" t="n">
        <x:v>46196</x:v>
      </x:c>
      <x:c r="H38" s="16" t="str">
        <x:v>Original media reporting</x:v>
      </x:c>
      <x:c r="I38" s="16" t="str">
        <x:v>Original / independent</x:v>
      </x:c>
      <x:c r="J38" s="16" t="str">
        <x:v>IO-CLM-UP-0001, IO-CLM-UP-0003, IO-CLM-UP-0004, IO-CLM-UP-0005, IO-CLM-UP-0006</x:v>
      </x:c>
      <x:c r="K38" s="16" t="str">
        <x:v>Documents the earlier memorandum and village-level opposition, providing chronology independent of the July report.</x:v>
      </x:c>
      <x:c r="L38" s="109" t="n">
        <x:v>46218</x:v>
      </x:c>
      <x:c r="M38" s="16" t="str">
        <x:v>No correction identified</x:v>
      </x:c>
      <x:c r="N38" s="16"/>
      <x:c r="O38" s="16" t="str">
        <x:v>Historical context</x:v>
      </x:c>
    </x:row>
    <x:row r="39">
      <x:c r="A39" s="16" t="str">
        <x:v>IO-SRC-UP-0003</x:v>
      </x:c>
      <x:c r="B39" s="16" t="str">
        <x:v>IO-CM-UP-0001</x:v>
      </x:c>
      <x:c r="C39" s="16" t="str">
        <x:v>Amar Ujala</x:v>
      </x:c>
      <x:c r="D39" s="16" t="str">
        <x:v>Issue of ethanol factory under construction intensifies in Basti</x:v>
      </x:c>
      <x:c r="E39" s="16"/>
      <x:c r="F39" s="16" t="str">
        <x:v>https://www.amarujala.com/uttar-pradesh/basti/issue-of-ethanol-factory-under-construction-heats-up-basti-news-c-207-1-bst1006-161441-2026-06-30</x:v>
      </x:c>
      <x:c r="G39" s="109" t="n">
        <x:v>46203</x:v>
      </x:c>
      <x:c r="H39" s="16" t="str">
        <x:v>Follow-up media reporting</x:v>
      </x:c>
      <x:c r="I39" s="16" t="str">
        <x:v>Same publisher follow-up</x:v>
      </x:c>
      <x:c r="J39" s="16" t="str">
        <x:v>IO-CLM-UP-0001, IO-CLM-UP-0003, IO-CLM-UP-0004</x:v>
      </x:c>
      <x:c r="K39" s="16" t="str">
        <x:v>Follow-up on the planned agitation. It is not independent from the earlier Amar Ujala report.</x:v>
      </x:c>
      <x:c r="L39" s="109" t="n">
        <x:v>46218</x:v>
      </x:c>
      <x:c r="M39" s="16" t="str">
        <x:v>No correction identified</x:v>
      </x:c>
      <x:c r="N39" s="16"/>
      <x:c r="O39" s="16" t="str">
        <x:v>Follow-up</x:v>
      </x:c>
    </x:row>
    <x:row r="40">
      <x:c r="A40" s="16" t="str">
        <x:v>IO-SRC-UP-0004</x:v>
      </x:c>
      <x:c r="B40" s="16" t="str">
        <x:v>IO-CM-UP-0001</x:v>
      </x:c>
      <x:c r="C40" s="16" t="str">
        <x:v>LiveTimes News Channel</x:v>
      </x:c>
      <x:c r="D40" s="16" t="str">
        <x:v>Field video from public movement against the Dasiya ethanol factory</x:v>
      </x:c>
      <x:c r="E40" s="16"/>
      <x:c r="F40" s="16" t="str">
        <x:v>https://www.facebook.com/LiveTimesNewsChannel/videos/uttarpradesh-%E0%A4%AC%E0%A4%B8%E0%A5%8D%E0%A4%A4%E0%A5%80-%E0%A4%AE%E0%A5%87%E0%A4%82-%E0%A4%8F%E0%A4%A5%E0%A5%87%E0%A4%A8%E0%A5%89%E0%A4%B2-%E0%A4%AB%E0%A5%88%E0%A4%95%E0%A5%8D%E0%A4%9F%E0%A5%8D%E0%A4%B0%E0%A5%80-%E0%A4%95%E0%A5%87-%E0%A4%96%E0%A4%BF%E0%A4%B2%E0%A4%BE%E0%A4%AB-%E0%A4%9C%E0%A4%A8-%E0%A4%86%E0%A4%82%E0%A4%A6%E0%A5%8B%E0%A4%B2%E0%A4%A8-%E0%A4%B9%E0%A4%9C%E0%A4%BE%E0%A4%B0%E0%A5%8B%E0%A4%82-%E0%A4%97%E0%A5%8D%E0%A4%B0%E0%A4%BE%E0%A4%AE%E0%A5%80%E0%A4%A3%E0%A5%8B%E0%A4%82-%E0%A4%A8%E0%A5%87-%E0%A4%95%E0%A4%BF/2065530604339052/</x:v>
      </x:c>
      <x:c r="G40" s="109"/>
      <x:c r="H40" s="16" t="str">
        <x:v>Digital news video</x:v>
      </x:c>
      <x:c r="I40" s="16" t="str">
        <x:v>Original / independent</x:v>
      </x:c>
      <x:c r="J40" s="16" t="str">
        <x:v>IO-CLM-UP-0002, IO-CLM-UP-0003, IO-CLM-UP-0007</x:v>
      </x:c>
      <x:c r="K40" s="16" t="str">
        <x:v>Apparent field video that helped confirm visual occurrence and public participation. Exact filming time, crowd figure and full context require manual preservation and review.</x:v>
      </x:c>
      <x:c r="L40" s="109" t="n">
        <x:v>46218</x:v>
      </x:c>
      <x:c r="M40" s="16" t="str">
        <x:v>Exact capture time not independently confirmed</x:v>
      </x:c>
      <x:c r="N40" s="16"/>
      <x:c r="O40" s="16" t="str">
        <x:v>Alternate access</x:v>
      </x:c>
    </x:row>
    <x:row r="41">
      <x:c r="A41" s="16" t="str">
        <x:v>IO-SRC-AS-0001</x:v>
      </x:c>
      <x:c r="B41" s="16" t="str">
        <x:v>IO-CM-AS-0001</x:v>
      </x:c>
      <x:c r="C41" s="16" t="str">
        <x:v>India Today North East</x:v>
      </x:c>
      <x:c r="D41" s="16" t="str">
        <x:v>Bodo community protests land allotment to APDCL and proposed rehabilitation in Kokrajhar</x:v>
      </x:c>
      <x:c r="E41" s="16"/>
      <x:c r="F41" s="16" t="str">
        <x:v>https://www.indiatodayne.in/assam/video/bodo-community-protests-land-allotment-to-apdcl-opposes-rehabilitation-of-evicted-families-in-assams-kokrajhar-1423007-2026-07-12</x:v>
      </x:c>
      <x:c r="G41" s="109" t="n">
        <x:v>46215</x:v>
      </x:c>
      <x:c r="H41" s="16" t="str">
        <x:v>Digital news video</x:v>
      </x:c>
      <x:c r="I41" s="16" t="str">
        <x:v>Original / independent</x:v>
      </x:c>
      <x:c r="J41" s="16" t="str">
        <x:v>IO-CLM-AS-0001, IO-CLM-AS-0002, IO-CLM-AS-0003, IO-CLM-AS-0004, IO-CLM-AS-0005, IO-CLM-AS-0006</x:v>
      </x:c>
      <x:c r="K41" s="16" t="str">
        <x:v>Regional video report documenting the gathering and stated demands. Legal land status and government files remain to be verified.</x:v>
      </x:c>
      <x:c r="L41" s="109" t="n">
        <x:v>46218</x:v>
      </x:c>
      <x:c r="M41" s="16" t="str">
        <x:v>No correction identified</x:v>
      </x:c>
      <x:c r="N41" s="16"/>
      <x:c r="O41" s="16" t="str">
        <x:v>Corroboration</x:v>
      </x:c>
    </x:row>
    <x:row r="42">
      <x:c r="A42" s="16" t="str">
        <x:v>IO-SRC-AS-0002</x:v>
      </x:c>
      <x:c r="B42" s="16" t="str">
        <x:v>IO-CM-AS-0001</x:v>
      </x:c>
      <x:c r="C42" s="16" t="str">
        <x:v>Kokrajhar News</x:v>
      </x:c>
      <x:c r="D42" s="16" t="str">
        <x:v>Local report on Malgaon opposition to APDCL land allotment and resettlement</x:v>
      </x:c>
      <x:c r="E42" s="16"/>
      <x:c r="F42" s="16" t="str">
        <x:v>https://www.facebook.com/kokrajharnews/posts/malgaon-villagers-protest-against-proposed-apdcl-project-and-minority-resettleme/1516794640464697/</x:v>
      </x:c>
      <x:c r="G42" s="109" t="n">
        <x:v>46215</x:v>
      </x:c>
      <x:c r="H42" s="16" t="str">
        <x:v>Social media lead</x:v>
      </x:c>
      <x:c r="I42" s="16" t="str">
        <x:v>Original / independent</x:v>
      </x:c>
      <x:c r="J42" s="16" t="str">
        <x:v>IO-CLM-AS-0001, IO-CLM-AS-0002, IO-CLM-AS-0003, IO-CLM-AS-0004</x:v>
      </x:c>
      <x:c r="K42" s="16" t="str">
        <x:v>Local community reporting useful for discovery and event detail. It requires independent corroboration for legal claims and should not be used to stigmatise proposed resettlement beneficiaries.</x:v>
      </x:c>
      <x:c r="L42" s="109" t="n">
        <x:v>46218</x:v>
      </x:c>
      <x:c r="M42" s="16" t="str">
        <x:v>No correction identified</x:v>
      </x:c>
      <x:c r="N42" s="16"/>
      <x:c r="O42" s="16" t="str">
        <x:v>Lead</x:v>
      </x:c>
    </x:row>
    <x:row r="43">
      <x:c r="A43" s="16" t="str">
        <x:v>IO-SRC-AS-0003</x:v>
      </x:c>
      <x:c r="B43" s="16" t="str">
        <x:v>IO-CM-AS-0001</x:v>
      </x:c>
      <x:c r="C43" s="16" t="str">
        <x:v>Northeast Publish</x:v>
      </x:c>
      <x:c r="D43" s="16" t="str">
        <x:v>Bodo community protests APDCL land allotment in Kokrajhar</x:v>
      </x:c>
      <x:c r="E43" s="16"/>
      <x:c r="F43" s="16" t="str">
        <x:v>https://www.facebook.com/northeastpublish/posts/bodo-community-protests-apdcl-land-allotment-in-kokrajharhundreds-of-bodo-reside/1482971287180960/</x:v>
      </x:c>
      <x:c r="G43" s="109" t="n">
        <x:v>46215</x:v>
      </x:c>
      <x:c r="H43" s="16" t="str">
        <x:v>Social media lead</x:v>
      </x:c>
      <x:c r="I43" s="16" t="str">
        <x:v>Unknown</x:v>
      </x:c>
      <x:c r="J43" s="16" t="str">
        <x:v>IO-CLM-AS-0001, IO-CLM-AS-0002, IO-CLM-AS-0004</x:v>
      </x:c>
      <x:c r="K43" s="16" t="str">
        <x:v>Additional regional coverage. It may rely on the same underlying local reporting, so it is not counted as a fully independent third confirmation.</x:v>
      </x:c>
      <x:c r="L43" s="109" t="n">
        <x:v>46218</x:v>
      </x:c>
      <x:c r="M43" s="16" t="str">
        <x:v>Underlying source relationship unclear</x:v>
      </x:c>
      <x:c r="N43" s="16"/>
      <x:c r="O43" s="16" t="str">
        <x:v>Alternate access</x:v>
      </x:c>
    </x:row>
    <x:row r="44">
      <x:c r="A44" s="16" t="str">
        <x:v>IO-SRC-MN-0001</x:v>
      </x:c>
      <x:c r="B44" s="16" t="str">
        <x:v>IO-CM-MN-0001</x:v>
      </x:c>
      <x:c r="C44" s="16" t="str">
        <x:v>The Economic Times</x:v>
      </x:c>
      <x:c r="D44" s="16" t="str">
        <x:v>Manipur government employees' strike enters ninth day; reported loss estimate</x:v>
      </x:c>
      <x:c r="E44" s="16"/>
      <x:c r="F44" s="16" t="str">
        <x:v>https://economictimes.indiatimes.com/news/india/manipur-govt-employees-strike-enters-ninth-day-rs-13-28-crore-loss-reported/articleshow/132297673.cms</x:v>
      </x:c>
      <x:c r="G44" s="109" t="n">
        <x:v>46212</x:v>
      </x:c>
      <x:c r="H44" s="16" t="str">
        <x:v>Original media reporting</x:v>
      </x:c>
      <x:c r="I44" s="16" t="str">
        <x:v>Original / independent</x:v>
      </x:c>
      <x:c r="J44" s="16" t="str">
        <x:v>IO-CLM-MN-0001, IO-CLM-MN-0002, IO-CLM-MN-0003, IO-CLM-MN-0004, IO-CLM-MN-0007</x:v>
      </x:c>
      <x:c r="K44" s="16" t="str">
        <x:v>Independent report documenting duration, demands, disruption and the reported financial-loss estimate. The loss figure remains attributed.</x:v>
      </x:c>
      <x:c r="L44" s="109" t="n">
        <x:v>46218</x:v>
      </x:c>
      <x:c r="M44" s="16" t="str">
        <x:v>No correction identified</x:v>
      </x:c>
      <x:c r="N44" s="16"/>
      <x:c r="O44" s="16" t="str">
        <x:v>Corroboration</x:v>
      </x:c>
    </x:row>
    <x:row r="45">
      <x:c r="A45" s="16" t="str">
        <x:v>IO-SRC-MN-0002</x:v>
      </x:c>
      <x:c r="B45" s="16" t="str">
        <x:v>IO-CM-MN-0001</x:v>
      </x:c>
      <x:c r="C45" s="16" t="str">
        <x:v>Northeast Now</x:v>
      </x:c>
      <x:c r="D45" s="16" t="str">
        <x:v>Manipur government announces five-day work week; employees continue cease-work strike</x:v>
      </x:c>
      <x:c r="E45" s="16"/>
      <x:c r="F45" s="16" t="str">
        <x:v>https://nenow.in/north-east-news/manipur/manipur-govt-announces-five-day-work-week-employees-continue-cease-work-strike.html</x:v>
      </x:c>
      <x:c r="G45" s="109" t="n">
        <x:v>46214</x:v>
      </x:c>
      <x:c r="H45" s="16" t="str">
        <x:v>Original media reporting</x:v>
      </x:c>
      <x:c r="I45" s="16" t="str">
        <x:v>Original / independent</x:v>
      </x:c>
      <x:c r="J45" s="16" t="str">
        <x:v>IO-CLM-MN-0002, IO-CLM-MN-0003, IO-CLM-MN-0005, IO-CLM-MN-0006</x:v>
      </x:c>
      <x:c r="K45" s="16" t="str">
        <x:v>Regional report confirming the partial government response and continuation of the strike.</x:v>
      </x:c>
      <x:c r="L45" s="109" t="n">
        <x:v>46218</x:v>
      </x:c>
      <x:c r="M45" s="16" t="str">
        <x:v>No correction identified</x:v>
      </x:c>
      <x:c r="N45" s="16"/>
      <x:c r="O45" s="16" t="str">
        <x:v>Corroboration</x:v>
      </x:c>
    </x:row>
    <x:row r="46">
      <x:c r="A46" s="16" t="str">
        <x:v>IO-SRC-MN-0003</x:v>
      </x:c>
      <x:c r="B46" s="16" t="str">
        <x:v>IO-CM-MN-0001</x:v>
      </x:c>
      <x:c r="C46" s="16" t="str">
        <x:v>The Sangai Express</x:v>
      </x:c>
      <x:c r="D46" s="16" t="str">
        <x:v>MGSF threatens to intensify cease-work strike in Manipur</x:v>
      </x:c>
      <x:c r="E46" s="16"/>
      <x:c r="F46" s="16" t="str">
        <x:v>https://www.thesangaiexpress.com/Encyc/2026/7/10/waari-singbul-network-imphal-jul-9-the-manipur-government-services-federation-mgsf-has-threatened-to-intensify.html</x:v>
      </x:c>
      <x:c r="G46" s="109" t="n">
        <x:v>46213</x:v>
      </x:c>
      <x:c r="H46" s="16" t="str">
        <x:v>Original media reporting</x:v>
      </x:c>
      <x:c r="I46" s="16" t="str">
        <x:v>Original / independent</x:v>
      </x:c>
      <x:c r="J46" s="16" t="str">
        <x:v>IO-CLM-MN-0001, IO-CLM-MN-0002, IO-CLM-MN-0003, IO-CLM-MN-0004</x:v>
      </x:c>
      <x:c r="K46" s="16" t="str">
        <x:v>Local reporting naming the federation and its continuing demands.</x:v>
      </x:c>
      <x:c r="L46" s="109" t="n">
        <x:v>46218</x:v>
      </x:c>
      <x:c r="M46" s="16" t="str">
        <x:v>No correction identified</x:v>
      </x:c>
      <x:c r="N46" s="16"/>
      <x:c r="O46" s="16" t="str">
        <x:v>Lead</x:v>
      </x:c>
    </x:row>
    <x:row r="47">
      <x:c r="A47" s="16" t="str">
        <x:v>IO-SRC-MN-0004</x:v>
      </x:c>
      <x:c r="B47" s="16" t="str">
        <x:v>IO-CM-MN-0001</x:v>
      </x:c>
      <x:c r="C47" s="16" t="str">
        <x:v>The Sangai Express</x:v>
      </x:c>
      <x:c r="D47" s="16" t="str">
        <x:v>MGSF strike continues after Saturday holiday restored</x:v>
      </x:c>
      <x:c r="E47" s="16"/>
      <x:c r="F47" s="16" t="str">
        <x:v>https://www.thesangaiexpress.com/Encyc/2026/7/11/by-our-staff-reporter-imphal-jul-10-even-as-the-saturday-holiday-for-government-employees-has-been-restored-th.html</x:v>
      </x:c>
      <x:c r="G47" s="109" t="n">
        <x:v>46214</x:v>
      </x:c>
      <x:c r="H47" s="16" t="str">
        <x:v>Follow-up media reporting</x:v>
      </x:c>
      <x:c r="I47" s="16" t="str">
        <x:v>Same publisher follow-up</x:v>
      </x:c>
      <x:c r="J47" s="16" t="str">
        <x:v>IO-CLM-MN-0002, IO-CLM-MN-0005, IO-CLM-MN-0006</x:v>
      </x:c>
      <x:c r="K47" s="16" t="str">
        <x:v>Same-publisher follow-up confirming continuation after the partial response.</x:v>
      </x:c>
      <x:c r="L47" s="109" t="n">
        <x:v>46218</x:v>
      </x:c>
      <x:c r="M47" s="16" t="str">
        <x:v>No correction identified</x:v>
      </x:c>
      <x:c r="N47" s="16"/>
      <x:c r="O47" s="16" t="str">
        <x:v>Follow-up</x:v>
      </x:c>
    </x:row>
    <x:row r="48">
      <x:c r="A48" s="16" t="str">
        <x:v>IO-SRC-MN-0005</x:v>
      </x:c>
      <x:c r="B48" s="16" t="str">
        <x:v>IO-CM-MN-0001</x:v>
      </x:c>
      <x:c r="C48" s="16" t="str">
        <x:v>The Sangai Express</x:v>
      </x:c>
      <x:c r="D48" s="16" t="str">
        <x:v>Manipur employees set to begin cease-work strike from 1 July</x:v>
      </x:c>
      <x:c r="E48" s="16"/>
      <x:c r="F48" s="16" t="str">
        <x:v>https://www.thesangaiexpress.com/Encyc/2026/7/1/imphal-jun-30-employees-of-the-state-government-are-all-set-to-launch-a-ceasework-strike-from-wednesday-until-.html</x:v>
      </x:c>
      <x:c r="G48" s="109" t="n">
        <x:v>46204</x:v>
      </x:c>
      <x:c r="H48" s="16" t="str">
        <x:v>Original media reporting</x:v>
      </x:c>
      <x:c r="I48" s="16" t="str">
        <x:v>Same publisher follow-up</x:v>
      </x:c>
      <x:c r="J48" s="16" t="str">
        <x:v>IO-CLM-MN-0001, IO-CLM-MN-0003, IO-CLM-MN-0008</x:v>
      </x:c>
      <x:c r="K48" s="16" t="str">
        <x:v>Provides launch chronology and the organising body's demand charter. It does not by itself verify later participation levels.</x:v>
      </x:c>
      <x:c r="L48" s="109" t="n">
        <x:v>46218</x:v>
      </x:c>
      <x:c r="M48" s="16" t="str">
        <x:v>No correction identified</x:v>
      </x:c>
      <x:c r="N48" s="16"/>
      <x:c r="O48" s="16" t="str">
        <x:v>Historical context</x:v>
      </x:c>
    </x:row>
    <x:row r="49">
      <x:c r="A49" s="16" t="str">
        <x:v>IO-SRC-OD-0001</x:v>
      </x:c>
      <x:c r="B49" s="16" t="str">
        <x:v>IO-CM-OD-0001</x:v>
      </x:c>
      <x:c r="C49" s="16" t="str">
        <x:v>The New Indian Express</x:v>
      </x:c>
      <x:c r="D49" s="16" t="str">
        <x:v>Dharmasala high-school students stage protest over teacher shortage</x:v>
      </x:c>
      <x:c r="E49" s="16"/>
      <x:c r="F49" s="16" t="str">
        <x:v>https://www.newindianexpress.com/states/odisha/2026/Jul/11/dharmasala-high-school-students-stage-protest-over-teacher-shortage</x:v>
      </x:c>
      <x:c r="G49" s="109" t="n">
        <x:v>46214</x:v>
      </x:c>
      <x:c r="H49" s="16" t="str">
        <x:v>Original media reporting</x:v>
      </x:c>
      <x:c r="I49" s="16" t="str">
        <x:v>Original / independent</x:v>
      </x:c>
      <x:c r="J49" s="16" t="str">
        <x:v>IO-CLM-OD-0001, IO-CLM-OD-0002, IO-CLM-OD-0003, IO-CLM-OD-0004, IO-CLM-OD-0005, IO-CLM-OD-0006, IO-CLM-OD-0007</x:v>
      </x:c>
      <x:c r="K49" s="16" t="str">
        <x:v>Independent local report documenting the protest and response. Teacher and student figures differ from The Times of India and remain visible as a discrepancy.</x:v>
      </x:c>
      <x:c r="L49" s="109" t="n">
        <x:v>46218</x:v>
      </x:c>
      <x:c r="M49" s="16" t="str">
        <x:v>No correction identified</x:v>
      </x:c>
      <x:c r="N49" s="16"/>
      <x:c r="O49" s="16" t="str">
        <x:v>Corroboration</x:v>
      </x:c>
    </x:row>
    <x:row r="50">
      <x:c r="A50" s="16" t="str">
        <x:v>IO-SRC-OD-0002</x:v>
      </x:c>
      <x:c r="B50" s="16" t="str">
        <x:v>IO-CM-OD-0001</x:v>
      </x:c>
      <x:c r="C50" s="16" t="str">
        <x:v>The Times of India</x:v>
      </x:c>
      <x:c r="D50" s="16" t="str">
        <x:v>School students lock gate, stage dharna over teacher shortage</x:v>
      </x:c>
      <x:c r="E50" s="16"/>
      <x:c r="F50" s="16" t="str">
        <x:v>https://timesofindia.indiatimes.com/city/bhubaneswar/school-students-lock-gate-stage-dharna-over-teacher-shortage/articleshow/132310990.cms</x:v>
      </x:c>
      <x:c r="G50" s="109" t="n">
        <x:v>46214</x:v>
      </x:c>
      <x:c r="H50" s="16" t="str">
        <x:v>Original media reporting</x:v>
      </x:c>
      <x:c r="I50" s="16" t="str">
        <x:v>Original / independent</x:v>
      </x:c>
      <x:c r="J50" s="16" t="str">
        <x:v>IO-CLM-OD-0001, IO-CLM-OD-0002, IO-CLM-OD-0003, IO-CLM-OD-0004, IO-CLM-OD-0005, IO-CLM-OD-0006, IO-CLM-OD-0007</x:v>
      </x:c>
      <x:c r="K50" s="16" t="str">
        <x:v>Independent corroboration of the event and outcome. It reports different current-teacher and student totals, which require official school records.</x:v>
      </x:c>
      <x:c r="L50" s="109" t="n">
        <x:v>46218</x:v>
      </x:c>
      <x:c r="M50" s="16" t="str">
        <x:v>No correction identified</x:v>
      </x:c>
      <x:c r="N50" s="16"/>
      <x:c r="O50" s="16" t="str">
        <x:v>Corroboration</x:v>
      </x:c>
    </x:row>
    <x:row r="51">
      <x:c r="A51" s="16"/>
      <x:c r="B51" s="16"/>
      <x:c r="C51" s="16"/>
      <x:c r="D51" s="16"/>
      <x:c r="E51" s="16"/>
      <x:c r="F51" s="16"/>
      <x:c r="G51" s="109"/>
      <x:c r="H51" s="16"/>
      <x:c r="I51" s="16"/>
      <x:c r="J51" s="16"/>
      <x:c r="K51" s="16"/>
      <x:c r="L51" s="109"/>
      <x:c r="M51" s="16"/>
      <x:c r="N51" s="16"/>
      <x:c r="O51" s="16"/>
    </x:row>
    <x:row r="52">
      <x:c r="A52" s="16"/>
      <x:c r="B52" s="16"/>
      <x:c r="C52" s="16"/>
      <x:c r="D52" s="16"/>
      <x:c r="E52" s="16"/>
      <x:c r="F52" s="16"/>
      <x:c r="G52" s="109"/>
      <x:c r="H52" s="16"/>
      <x:c r="I52" s="16"/>
      <x:c r="J52" s="16"/>
      <x:c r="K52" s="16"/>
      <x:c r="L52" s="109"/>
      <x:c r="M52" s="16"/>
      <x:c r="N52" s="16"/>
      <x:c r="O52" s="16"/>
    </x:row>
    <x:row r="53">
      <x:c r="A53" s="16"/>
      <x:c r="B53" s="16"/>
      <x:c r="C53" s="16"/>
      <x:c r="D53" s="16"/>
      <x:c r="E53" s="16"/>
      <x:c r="F53" s="16"/>
      <x:c r="G53" s="109"/>
      <x:c r="H53" s="16"/>
      <x:c r="I53" s="16"/>
      <x:c r="J53" s="16"/>
      <x:c r="K53" s="16"/>
      <x:c r="L53" s="109"/>
      <x:c r="M53" s="16"/>
      <x:c r="N53" s="16"/>
      <x:c r="O53" s="16"/>
    </x:row>
    <x:row r="54">
      <x:c r="A54" s="16"/>
      <x:c r="B54" s="16"/>
      <x:c r="C54" s="16"/>
      <x:c r="D54" s="16"/>
      <x:c r="E54" s="16"/>
      <x:c r="F54" s="16"/>
      <x:c r="G54" s="109"/>
      <x:c r="H54" s="16"/>
      <x:c r="I54" s="16"/>
      <x:c r="J54" s="16"/>
      <x:c r="K54" s="16"/>
      <x:c r="L54" s="109"/>
      <x:c r="M54" s="16"/>
      <x:c r="N54" s="16"/>
      <x:c r="O54" s="16"/>
    </x:row>
    <x:row r="55">
      <x:c r="A55" s="16"/>
      <x:c r="B55" s="16"/>
      <x:c r="C55" s="16"/>
      <x:c r="D55" s="16"/>
      <x:c r="E55" s="16"/>
      <x:c r="F55" s="16"/>
      <x:c r="G55" s="109"/>
      <x:c r="H55" s="16"/>
      <x:c r="I55" s="16"/>
      <x:c r="J55" s="16"/>
      <x:c r="K55" s="16"/>
      <x:c r="L55" s="109"/>
      <x:c r="M55" s="16"/>
      <x:c r="N55" s="16"/>
      <x:c r="O55" s="16"/>
    </x:row>
    <x:row r="56">
      <x:c r="A56" s="16"/>
      <x:c r="B56" s="16"/>
      <x:c r="C56" s="16"/>
      <x:c r="D56" s="16"/>
      <x:c r="E56" s="16"/>
      <x:c r="F56" s="16"/>
      <x:c r="G56" s="109"/>
      <x:c r="H56" s="16"/>
      <x:c r="I56" s="16"/>
      <x:c r="J56" s="16"/>
      <x:c r="K56" s="16"/>
      <x:c r="L56" s="109"/>
      <x:c r="M56" s="16"/>
      <x:c r="N56" s="16"/>
      <x:c r="O56" s="16"/>
    </x:row>
    <x:row r="57">
      <x:c r="A57" s="16"/>
      <x:c r="B57" s="16"/>
      <x:c r="C57" s="16"/>
      <x:c r="D57" s="16"/>
      <x:c r="E57" s="16"/>
      <x:c r="F57" s="16"/>
      <x:c r="G57" s="109"/>
      <x:c r="H57" s="16"/>
      <x:c r="I57" s="16"/>
      <x:c r="J57" s="16"/>
      <x:c r="K57" s="16"/>
      <x:c r="L57" s="109"/>
      <x:c r="M57" s="16"/>
      <x:c r="N57" s="16"/>
      <x:c r="O57" s="16"/>
    </x:row>
    <x:row r="58">
      <x:c r="A58" s="16"/>
      <x:c r="B58" s="16"/>
      <x:c r="C58" s="16"/>
      <x:c r="D58" s="16"/>
      <x:c r="E58" s="16"/>
      <x:c r="F58" s="16"/>
      <x:c r="G58" s="109"/>
      <x:c r="H58" s="16"/>
      <x:c r="I58" s="16"/>
      <x:c r="J58" s="16"/>
      <x:c r="K58" s="16"/>
      <x:c r="L58" s="109"/>
      <x:c r="M58" s="16"/>
      <x:c r="N58" s="16"/>
      <x:c r="O58" s="16"/>
    </x:row>
    <x:row r="59">
      <x:c r="A59" s="16"/>
      <x:c r="B59" s="16"/>
      <x:c r="C59" s="16"/>
      <x:c r="D59" s="16"/>
      <x:c r="E59" s="16"/>
      <x:c r="F59" s="16"/>
      <x:c r="G59" s="109"/>
      <x:c r="H59" s="16"/>
      <x:c r="I59" s="16"/>
      <x:c r="J59" s="16"/>
      <x:c r="K59" s="16"/>
      <x:c r="L59" s="109"/>
      <x:c r="M59" s="16"/>
      <x:c r="N59" s="16"/>
      <x:c r="O59" s="16"/>
    </x:row>
    <x:row r="60">
      <x:c r="A60" s="16"/>
      <x:c r="B60" s="16"/>
      <x:c r="C60" s="16"/>
      <x:c r="D60" s="16"/>
      <x:c r="E60" s="16"/>
      <x:c r="F60" s="16"/>
      <x:c r="G60" s="109"/>
      <x:c r="H60" s="16"/>
      <x:c r="I60" s="16"/>
      <x:c r="J60" s="16"/>
      <x:c r="K60" s="16"/>
      <x:c r="L60" s="109"/>
      <x:c r="M60" s="16"/>
      <x:c r="N60" s="16"/>
      <x:c r="O60" s="16"/>
    </x:row>
    <x:row r="61">
      <x:c r="A61" s="16"/>
      <x:c r="B61" s="16"/>
      <x:c r="C61" s="16"/>
      <x:c r="D61" s="16"/>
      <x:c r="E61" s="16"/>
      <x:c r="F61" s="16"/>
      <x:c r="G61" s="109"/>
      <x:c r="H61" s="16"/>
      <x:c r="I61" s="16"/>
      <x:c r="J61" s="16"/>
      <x:c r="K61" s="16"/>
      <x:c r="L61" s="109"/>
      <x:c r="M61" s="16"/>
      <x:c r="N61" s="16"/>
      <x:c r="O61" s="16"/>
    </x:row>
    <x:row r="62">
      <x:c r="A62" s="16"/>
      <x:c r="B62" s="16"/>
      <x:c r="C62" s="16"/>
      <x:c r="D62" s="16"/>
      <x:c r="E62" s="16"/>
      <x:c r="F62" s="16"/>
      <x:c r="G62" s="109"/>
      <x:c r="H62" s="16"/>
      <x:c r="I62" s="16"/>
      <x:c r="J62" s="16"/>
      <x:c r="K62" s="16"/>
      <x:c r="L62" s="109"/>
      <x:c r="M62" s="16"/>
      <x:c r="N62" s="16"/>
      <x:c r="O62" s="16"/>
    </x:row>
    <x:row r="63">
      <x:c r="A63" s="16"/>
      <x:c r="B63" s="16"/>
      <x:c r="C63" s="16"/>
      <x:c r="D63" s="16"/>
      <x:c r="E63" s="16"/>
      <x:c r="F63" s="16"/>
      <x:c r="G63" s="109"/>
      <x:c r="H63" s="16"/>
      <x:c r="I63" s="16"/>
      <x:c r="J63" s="16"/>
      <x:c r="K63" s="16"/>
      <x:c r="L63" s="109"/>
      <x:c r="M63" s="16"/>
      <x:c r="N63" s="16"/>
      <x:c r="O63" s="16"/>
    </x:row>
    <x:row r="64">
      <x:c r="A64" s="16"/>
      <x:c r="B64" s="16"/>
      <x:c r="C64" s="16"/>
      <x:c r="D64" s="16"/>
      <x:c r="E64" s="16"/>
      <x:c r="F64" s="16"/>
      <x:c r="G64" s="109"/>
      <x:c r="H64" s="16"/>
      <x:c r="I64" s="16"/>
      <x:c r="J64" s="16"/>
      <x:c r="K64" s="16"/>
      <x:c r="L64" s="109"/>
      <x:c r="M64" s="16"/>
      <x:c r="N64" s="16"/>
      <x:c r="O64" s="16"/>
    </x:row>
    <x:row r="65">
      <x:c r="A65" s="16"/>
      <x:c r="B65" s="16"/>
      <x:c r="C65" s="16"/>
      <x:c r="D65" s="16"/>
      <x:c r="E65" s="16"/>
      <x:c r="F65" s="16"/>
      <x:c r="G65" s="109"/>
      <x:c r="H65" s="16"/>
      <x:c r="I65" s="16"/>
      <x:c r="J65" s="16"/>
      <x:c r="K65" s="16"/>
      <x:c r="L65" s="109"/>
      <x:c r="M65" s="16"/>
      <x:c r="N65" s="16"/>
      <x:c r="O65" s="16"/>
    </x:row>
    <x:row r="66">
      <x:c r="A66" s="16"/>
      <x:c r="B66" s="16"/>
      <x:c r="C66" s="16"/>
      <x:c r="D66" s="16"/>
      <x:c r="E66" s="16"/>
      <x:c r="F66" s="16"/>
      <x:c r="G66" s="109"/>
      <x:c r="H66" s="16"/>
      <x:c r="I66" s="16"/>
      <x:c r="J66" s="16"/>
      <x:c r="K66" s="16"/>
      <x:c r="L66" s="109"/>
      <x:c r="M66" s="16"/>
      <x:c r="N66" s="16"/>
      <x:c r="O66" s="16"/>
    </x:row>
    <x:row r="67">
      <x:c r="A67" s="16"/>
      <x:c r="B67" s="16"/>
      <x:c r="C67" s="16"/>
      <x:c r="D67" s="16"/>
      <x:c r="E67" s="16"/>
      <x:c r="F67" s="16"/>
      <x:c r="G67" s="109"/>
      <x:c r="H67" s="16"/>
      <x:c r="I67" s="16"/>
      <x:c r="J67" s="16"/>
      <x:c r="K67" s="16"/>
      <x:c r="L67" s="109"/>
      <x:c r="M67" s="16"/>
      <x:c r="N67" s="16"/>
      <x:c r="O67" s="16"/>
    </x:row>
    <x:row r="68">
      <x:c r="A68" s="16"/>
      <x:c r="B68" s="16"/>
      <x:c r="C68" s="16"/>
      <x:c r="D68" s="16"/>
      <x:c r="E68" s="16"/>
      <x:c r="F68" s="16"/>
      <x:c r="G68" s="109"/>
      <x:c r="H68" s="16"/>
      <x:c r="I68" s="16"/>
      <x:c r="J68" s="16"/>
      <x:c r="K68" s="16"/>
      <x:c r="L68" s="109"/>
      <x:c r="M68" s="16"/>
      <x:c r="N68" s="16"/>
      <x:c r="O68" s="16"/>
    </x:row>
    <x:row r="69">
      <x:c r="A69" s="16"/>
      <x:c r="B69" s="16"/>
      <x:c r="C69" s="16"/>
      <x:c r="D69" s="16"/>
      <x:c r="E69" s="16"/>
      <x:c r="F69" s="16"/>
      <x:c r="G69" s="109"/>
      <x:c r="H69" s="16"/>
      <x:c r="I69" s="16"/>
      <x:c r="J69" s="16"/>
      <x:c r="K69" s="16"/>
      <x:c r="L69" s="109"/>
      <x:c r="M69" s="16"/>
      <x:c r="N69" s="16"/>
      <x:c r="O69" s="16"/>
    </x:row>
    <x:row r="70">
      <x:c r="A70" s="16"/>
      <x:c r="B70" s="16"/>
      <x:c r="C70" s="16"/>
      <x:c r="D70" s="16"/>
      <x:c r="E70" s="16"/>
      <x:c r="F70" s="16"/>
      <x:c r="G70" s="109"/>
      <x:c r="H70" s="16"/>
      <x:c r="I70" s="16"/>
      <x:c r="J70" s="16"/>
      <x:c r="K70" s="16"/>
      <x:c r="L70" s="109"/>
      <x:c r="M70" s="16"/>
      <x:c r="N70" s="16"/>
      <x:c r="O70" s="16"/>
    </x:row>
    <x:row r="71">
      <x:c r="A71" s="16"/>
      <x:c r="B71" s="16"/>
      <x:c r="C71" s="16"/>
      <x:c r="D71" s="16"/>
      <x:c r="E71" s="16"/>
      <x:c r="F71" s="16"/>
      <x:c r="G71" s="109"/>
      <x:c r="H71" s="16"/>
      <x:c r="I71" s="16"/>
      <x:c r="J71" s="16"/>
      <x:c r="K71" s="16"/>
      <x:c r="L71" s="109"/>
      <x:c r="M71" s="16"/>
      <x:c r="N71" s="16"/>
      <x:c r="O71" s="16"/>
    </x:row>
    <x:row r="72">
      <x:c r="A72" s="16"/>
      <x:c r="B72" s="16"/>
      <x:c r="C72" s="16"/>
      <x:c r="D72" s="16"/>
      <x:c r="E72" s="16"/>
      <x:c r="F72" s="16"/>
      <x:c r="G72" s="109"/>
      <x:c r="H72" s="16"/>
      <x:c r="I72" s="16"/>
      <x:c r="J72" s="16"/>
      <x:c r="K72" s="16"/>
      <x:c r="L72" s="109"/>
      <x:c r="M72" s="16"/>
      <x:c r="N72" s="16"/>
      <x:c r="O72" s="16"/>
    </x:row>
    <x:row r="73">
      <x:c r="A73" s="16"/>
      <x:c r="B73" s="16"/>
      <x:c r="C73" s="16"/>
      <x:c r="D73" s="16"/>
      <x:c r="E73" s="16"/>
      <x:c r="F73" s="16"/>
      <x:c r="G73" s="109"/>
      <x:c r="H73" s="16"/>
      <x:c r="I73" s="16"/>
      <x:c r="J73" s="16"/>
      <x:c r="K73" s="16"/>
      <x:c r="L73" s="109"/>
      <x:c r="M73" s="16"/>
      <x:c r="N73" s="16"/>
      <x:c r="O73" s="16"/>
    </x:row>
    <x:row r="74">
      <x:c r="A74" s="16"/>
      <x:c r="B74" s="16"/>
      <x:c r="C74" s="16"/>
      <x:c r="D74" s="16"/>
      <x:c r="E74" s="16"/>
      <x:c r="F74" s="16"/>
      <x:c r="G74" s="109"/>
      <x:c r="H74" s="16"/>
      <x:c r="I74" s="16"/>
      <x:c r="J74" s="16"/>
      <x:c r="K74" s="16"/>
      <x:c r="L74" s="109"/>
      <x:c r="M74" s="16"/>
      <x:c r="N74" s="16"/>
      <x:c r="O74" s="16"/>
    </x:row>
    <x:row r="75">
      <x:c r="A75" s="16"/>
      <x:c r="B75" s="16"/>
      <x:c r="C75" s="16"/>
      <x:c r="D75" s="16"/>
      <x:c r="E75" s="16"/>
      <x:c r="F75" s="16"/>
      <x:c r="G75" s="109"/>
      <x:c r="H75" s="16"/>
      <x:c r="I75" s="16"/>
      <x:c r="J75" s="16"/>
      <x:c r="K75" s="16"/>
      <x:c r="L75" s="109"/>
      <x:c r="M75" s="16"/>
      <x:c r="N75" s="16"/>
      <x:c r="O75" s="16"/>
    </x:row>
    <x:row r="76">
      <x:c r="A76" s="16"/>
      <x:c r="B76" s="16"/>
      <x:c r="C76" s="16"/>
      <x:c r="D76" s="16"/>
      <x:c r="E76" s="16"/>
      <x:c r="F76" s="16"/>
      <x:c r="G76" s="109"/>
      <x:c r="H76" s="16"/>
      <x:c r="I76" s="16"/>
      <x:c r="J76" s="16"/>
      <x:c r="K76" s="16"/>
      <x:c r="L76" s="109"/>
      <x:c r="M76" s="16"/>
      <x:c r="N76" s="16"/>
      <x:c r="O76" s="16"/>
    </x:row>
    <x:row r="77">
      <x:c r="A77" s="16"/>
      <x:c r="B77" s="16"/>
      <x:c r="C77" s="16"/>
      <x:c r="D77" s="16"/>
      <x:c r="E77" s="16"/>
      <x:c r="F77" s="16"/>
      <x:c r="G77" s="109"/>
      <x:c r="H77" s="16"/>
      <x:c r="I77" s="16"/>
      <x:c r="J77" s="16"/>
      <x:c r="K77" s="16"/>
      <x:c r="L77" s="109"/>
      <x:c r="M77" s="16"/>
      <x:c r="N77" s="16"/>
      <x:c r="O77" s="16"/>
    </x:row>
    <x:row r="78">
      <x:c r="A78" s="16"/>
      <x:c r="B78" s="16"/>
      <x:c r="C78" s="16"/>
      <x:c r="D78" s="16"/>
      <x:c r="E78" s="16"/>
      <x:c r="F78" s="16"/>
      <x:c r="G78" s="109"/>
      <x:c r="H78" s="16"/>
      <x:c r="I78" s="16"/>
      <x:c r="J78" s="16"/>
      <x:c r="K78" s="16"/>
      <x:c r="L78" s="109"/>
      <x:c r="M78" s="16"/>
      <x:c r="N78" s="16"/>
      <x:c r="O78" s="16"/>
    </x:row>
    <x:row r="79">
      <x:c r="A79" s="16"/>
      <x:c r="B79" s="16"/>
      <x:c r="C79" s="16"/>
      <x:c r="D79" s="16"/>
      <x:c r="E79" s="16"/>
      <x:c r="F79" s="16"/>
      <x:c r="G79" s="109"/>
      <x:c r="H79" s="16"/>
      <x:c r="I79" s="16"/>
      <x:c r="J79" s="16"/>
      <x:c r="K79" s="16"/>
      <x:c r="L79" s="109"/>
      <x:c r="M79" s="16"/>
      <x:c r="N79" s="16"/>
      <x:c r="O79" s="16"/>
    </x:row>
    <x:row r="80">
      <x:c r="A80" s="16"/>
      <x:c r="B80" s="16"/>
      <x:c r="C80" s="16"/>
      <x:c r="D80" s="16"/>
      <x:c r="E80" s="16"/>
      <x:c r="F80" s="16"/>
      <x:c r="G80" s="109"/>
      <x:c r="H80" s="16"/>
      <x:c r="I80" s="16"/>
      <x:c r="J80" s="16"/>
      <x:c r="K80" s="16"/>
      <x:c r="L80" s="109"/>
      <x:c r="M80" s="16"/>
      <x:c r="N80" s="16"/>
      <x:c r="O80" s="16"/>
    </x:row>
    <x:row r="81">
      <x:c r="A81" s="16"/>
      <x:c r="B81" s="16"/>
      <x:c r="C81" s="16"/>
      <x:c r="D81" s="16"/>
      <x:c r="E81" s="16"/>
      <x:c r="F81" s="16"/>
      <x:c r="G81" s="109"/>
      <x:c r="H81" s="16"/>
      <x:c r="I81" s="16"/>
      <x:c r="J81" s="16"/>
      <x:c r="K81" s="16"/>
      <x:c r="L81" s="109"/>
      <x:c r="M81" s="16"/>
      <x:c r="N81" s="16"/>
      <x:c r="O81" s="16"/>
    </x:row>
    <x:row r="82">
      <x:c r="A82" s="16"/>
      <x:c r="B82" s="16"/>
      <x:c r="C82" s="16"/>
      <x:c r="D82" s="16"/>
      <x:c r="E82" s="16"/>
      <x:c r="F82" s="16"/>
      <x:c r="G82" s="109"/>
      <x:c r="H82" s="16"/>
      <x:c r="I82" s="16"/>
      <x:c r="J82" s="16"/>
      <x:c r="K82" s="16"/>
      <x:c r="L82" s="109"/>
      <x:c r="M82" s="16"/>
      <x:c r="N82" s="16"/>
      <x:c r="O82" s="16"/>
    </x:row>
    <x:row r="83">
      <x:c r="A83" s="16"/>
      <x:c r="B83" s="16"/>
      <x:c r="C83" s="16"/>
      <x:c r="D83" s="16"/>
      <x:c r="E83" s="16"/>
      <x:c r="F83" s="16"/>
      <x:c r="G83" s="109"/>
      <x:c r="H83" s="16"/>
      <x:c r="I83" s="16"/>
      <x:c r="J83" s="16"/>
      <x:c r="K83" s="16"/>
      <x:c r="L83" s="109"/>
      <x:c r="M83" s="16"/>
      <x:c r="N83" s="16"/>
      <x:c r="O83" s="16"/>
    </x:row>
    <x:row r="84">
      <x:c r="A84" s="16"/>
      <x:c r="B84" s="16"/>
      <x:c r="C84" s="16"/>
      <x:c r="D84" s="16"/>
      <x:c r="E84" s="16"/>
      <x:c r="F84" s="16"/>
      <x:c r="G84" s="109"/>
      <x:c r="H84" s="16"/>
      <x:c r="I84" s="16"/>
      <x:c r="J84" s="16"/>
      <x:c r="K84" s="16"/>
      <x:c r="L84" s="109"/>
      <x:c r="M84" s="16"/>
      <x:c r="N84" s="16"/>
      <x:c r="O84" s="16"/>
    </x:row>
    <x:row r="85">
      <x:c r="A85" s="16"/>
      <x:c r="B85" s="16"/>
      <x:c r="C85" s="16"/>
      <x:c r="D85" s="16"/>
      <x:c r="E85" s="16"/>
      <x:c r="F85" s="16"/>
      <x:c r="G85" s="109"/>
      <x:c r="H85" s="16"/>
      <x:c r="I85" s="16"/>
      <x:c r="J85" s="16"/>
      <x:c r="K85" s="16"/>
      <x:c r="L85" s="109"/>
      <x:c r="M85" s="16"/>
      <x:c r="N85" s="16"/>
      <x:c r="O85" s="16"/>
    </x:row>
    <x:row r="86">
      <x:c r="A86" s="16"/>
      <x:c r="B86" s="16"/>
      <x:c r="C86" s="16"/>
      <x:c r="D86" s="16"/>
      <x:c r="E86" s="16"/>
      <x:c r="F86" s="16"/>
      <x:c r="G86" s="109"/>
      <x:c r="H86" s="16"/>
      <x:c r="I86" s="16"/>
      <x:c r="J86" s="16"/>
      <x:c r="K86" s="16"/>
      <x:c r="L86" s="109"/>
      <x:c r="M86" s="16"/>
      <x:c r="N86" s="16"/>
      <x:c r="O86" s="16"/>
    </x:row>
    <x:row r="87">
      <x:c r="A87" s="16"/>
      <x:c r="B87" s="16"/>
      <x:c r="C87" s="16"/>
      <x:c r="D87" s="16"/>
      <x:c r="E87" s="16"/>
      <x:c r="F87" s="16"/>
      <x:c r="G87" s="109"/>
      <x:c r="H87" s="16"/>
      <x:c r="I87" s="16"/>
      <x:c r="J87" s="16"/>
      <x:c r="K87" s="16"/>
      <x:c r="L87" s="109"/>
      <x:c r="M87" s="16"/>
      <x:c r="N87" s="16"/>
      <x:c r="O87" s="16"/>
    </x:row>
    <x:row r="88">
      <x:c r="A88" s="16"/>
      <x:c r="B88" s="16"/>
      <x:c r="C88" s="16"/>
      <x:c r="D88" s="16"/>
      <x:c r="E88" s="16"/>
      <x:c r="F88" s="16"/>
      <x:c r="G88" s="109"/>
      <x:c r="H88" s="16"/>
      <x:c r="I88" s="16"/>
      <x:c r="J88" s="16"/>
      <x:c r="K88" s="16"/>
      <x:c r="L88" s="109"/>
      <x:c r="M88" s="16"/>
      <x:c r="N88" s="16"/>
      <x:c r="O88" s="16"/>
    </x:row>
    <x:row r="89">
      <x:c r="A89" s="16"/>
      <x:c r="B89" s="16"/>
      <x:c r="C89" s="16"/>
      <x:c r="D89" s="16"/>
      <x:c r="E89" s="16"/>
      <x:c r="F89" s="16"/>
      <x:c r="G89" s="109"/>
      <x:c r="H89" s="16"/>
      <x:c r="I89" s="16"/>
      <x:c r="J89" s="16"/>
      <x:c r="K89" s="16"/>
      <x:c r="L89" s="109"/>
      <x:c r="M89" s="16"/>
      <x:c r="N89" s="16"/>
      <x:c r="O89" s="16"/>
    </x:row>
    <x:row r="90">
      <x:c r="A90" s="16"/>
      <x:c r="B90" s="16"/>
      <x:c r="C90" s="16"/>
      <x:c r="D90" s="16"/>
      <x:c r="E90" s="16"/>
      <x:c r="F90" s="16"/>
      <x:c r="G90" s="109"/>
      <x:c r="H90" s="16"/>
      <x:c r="I90" s="16"/>
      <x:c r="J90" s="16"/>
      <x:c r="K90" s="16"/>
      <x:c r="L90" s="109"/>
      <x:c r="M90" s="16"/>
      <x:c r="N90" s="16"/>
      <x:c r="O90" s="16"/>
    </x:row>
    <x:row r="91">
      <x:c r="A91" s="16"/>
      <x:c r="B91" s="16"/>
      <x:c r="C91" s="16"/>
      <x:c r="D91" s="16"/>
      <x:c r="E91" s="16"/>
      <x:c r="F91" s="16"/>
      <x:c r="G91" s="109"/>
      <x:c r="H91" s="16"/>
      <x:c r="I91" s="16"/>
      <x:c r="J91" s="16"/>
      <x:c r="K91" s="16"/>
      <x:c r="L91" s="109"/>
      <x:c r="M91" s="16"/>
      <x:c r="N91" s="16"/>
      <x:c r="O91" s="16"/>
    </x:row>
    <x:row r="92">
      <x:c r="A92" s="16"/>
      <x:c r="B92" s="16"/>
      <x:c r="C92" s="16"/>
      <x:c r="D92" s="16"/>
      <x:c r="E92" s="16"/>
      <x:c r="F92" s="16"/>
      <x:c r="G92" s="109"/>
      <x:c r="H92" s="16"/>
      <x:c r="I92" s="16"/>
      <x:c r="J92" s="16"/>
      <x:c r="K92" s="16"/>
      <x:c r="L92" s="109"/>
      <x:c r="M92" s="16"/>
      <x:c r="N92" s="16"/>
      <x:c r="O92" s="16"/>
    </x:row>
    <x:row r="93">
      <x:c r="A93" s="16"/>
      <x:c r="B93" s="16"/>
      <x:c r="C93" s="16"/>
      <x:c r="D93" s="16"/>
      <x:c r="E93" s="16"/>
      <x:c r="F93" s="16"/>
      <x:c r="G93" s="109"/>
      <x:c r="H93" s="16"/>
      <x:c r="I93" s="16"/>
      <x:c r="J93" s="16"/>
      <x:c r="K93" s="16"/>
      <x:c r="L93" s="109"/>
      <x:c r="M93" s="16"/>
      <x:c r="N93" s="16"/>
      <x:c r="O93" s="16"/>
    </x:row>
    <x:row r="94">
      <x:c r="A94" s="16"/>
      <x:c r="B94" s="16"/>
      <x:c r="C94" s="16"/>
      <x:c r="D94" s="16"/>
      <x:c r="E94" s="16"/>
      <x:c r="F94" s="16"/>
      <x:c r="G94" s="109"/>
      <x:c r="H94" s="16"/>
      <x:c r="I94" s="16"/>
      <x:c r="J94" s="16"/>
      <x:c r="K94" s="16"/>
      <x:c r="L94" s="109"/>
      <x:c r="M94" s="16"/>
      <x:c r="N94" s="16"/>
      <x:c r="O94" s="16"/>
    </x:row>
    <x:row r="95">
      <x:c r="A95" s="16"/>
      <x:c r="B95" s="16"/>
      <x:c r="C95" s="16"/>
      <x:c r="D95" s="16"/>
      <x:c r="E95" s="16"/>
      <x:c r="F95" s="16"/>
      <x:c r="G95" s="109"/>
      <x:c r="H95" s="16"/>
      <x:c r="I95" s="16"/>
      <x:c r="J95" s="16"/>
      <x:c r="K95" s="16"/>
      <x:c r="L95" s="109"/>
      <x:c r="M95" s="16"/>
      <x:c r="N95" s="16"/>
      <x:c r="O95" s="16"/>
    </x:row>
    <x:row r="96">
      <x:c r="A96" s="16"/>
      <x:c r="B96" s="16"/>
      <x:c r="C96" s="16"/>
      <x:c r="D96" s="16"/>
      <x:c r="E96" s="16"/>
      <x:c r="F96" s="16"/>
      <x:c r="G96" s="109"/>
      <x:c r="H96" s="16"/>
      <x:c r="I96" s="16"/>
      <x:c r="J96" s="16"/>
      <x:c r="K96" s="16"/>
      <x:c r="L96" s="109"/>
      <x:c r="M96" s="16"/>
      <x:c r="N96" s="16"/>
      <x:c r="O96" s="16"/>
    </x:row>
    <x:row r="97">
      <x:c r="A97" s="16"/>
      <x:c r="B97" s="16"/>
      <x:c r="C97" s="16"/>
      <x:c r="D97" s="16"/>
      <x:c r="E97" s="16"/>
      <x:c r="F97" s="16"/>
      <x:c r="G97" s="109"/>
      <x:c r="H97" s="16"/>
      <x:c r="I97" s="16"/>
      <x:c r="J97" s="16"/>
      <x:c r="K97" s="16"/>
      <x:c r="L97" s="109"/>
      <x:c r="M97" s="16"/>
      <x:c r="N97" s="16"/>
      <x:c r="O97" s="16"/>
    </x:row>
    <x:row r="98">
      <x:c r="A98" s="16"/>
      <x:c r="B98" s="16"/>
      <x:c r="C98" s="16"/>
      <x:c r="D98" s="16"/>
      <x:c r="E98" s="16"/>
      <x:c r="F98" s="16"/>
      <x:c r="G98" s="109"/>
      <x:c r="H98" s="16"/>
      <x:c r="I98" s="16"/>
      <x:c r="J98" s="16"/>
      <x:c r="K98" s="16"/>
      <x:c r="L98" s="109"/>
      <x:c r="M98" s="16"/>
      <x:c r="N98" s="16"/>
      <x:c r="O98" s="16"/>
    </x:row>
    <x:row r="99">
      <x:c r="A99" s="16"/>
      <x:c r="B99" s="16"/>
      <x:c r="C99" s="16"/>
      <x:c r="D99" s="16"/>
      <x:c r="E99" s="16"/>
      <x:c r="F99" s="16"/>
      <x:c r="G99" s="109"/>
      <x:c r="H99" s="16"/>
      <x:c r="I99" s="16"/>
      <x:c r="J99" s="16"/>
      <x:c r="K99" s="16"/>
      <x:c r="L99" s="109"/>
      <x:c r="M99" s="16"/>
      <x:c r="N99" s="16"/>
      <x:c r="O99" s="16"/>
    </x:row>
    <x:row r="100">
      <x:c r="A100" s="16"/>
      <x:c r="B100" s="16"/>
      <x:c r="C100" s="16"/>
      <x:c r="D100" s="16"/>
      <x:c r="E100" s="16"/>
      <x:c r="F100" s="16"/>
      <x:c r="G100" s="109"/>
      <x:c r="H100" s="16"/>
      <x:c r="I100" s="16"/>
      <x:c r="J100" s="16"/>
      <x:c r="K100" s="16"/>
      <x:c r="L100" s="109"/>
      <x:c r="M100" s="16"/>
      <x:c r="N100" s="16"/>
      <x:c r="O100" s="16"/>
    </x:row>
    <x:row r="101">
      <x:c r="A101" s="16"/>
      <x:c r="B101" s="16"/>
      <x:c r="C101" s="16"/>
      <x:c r="D101" s="16"/>
      <x:c r="E101" s="16"/>
      <x:c r="F101" s="16"/>
      <x:c r="G101" s="109"/>
      <x:c r="H101" s="16"/>
      <x:c r="I101" s="16"/>
      <x:c r="J101" s="16"/>
      <x:c r="K101" s="16"/>
      <x:c r="L101" s="109"/>
      <x:c r="M101" s="16"/>
      <x:c r="N101" s="16"/>
      <x:c r="O101" s="16"/>
    </x:row>
    <x:row r="102">
      <x:c r="A102" s="16"/>
      <x:c r="B102" s="16"/>
      <x:c r="C102" s="16"/>
      <x:c r="D102" s="16"/>
      <x:c r="E102" s="16"/>
      <x:c r="F102" s="16"/>
      <x:c r="G102" s="109"/>
      <x:c r="H102" s="16"/>
      <x:c r="I102" s="16"/>
      <x:c r="J102" s="16"/>
      <x:c r="K102" s="16"/>
      <x:c r="L102" s="109"/>
      <x:c r="M102" s="16"/>
      <x:c r="N102" s="16"/>
      <x:c r="O102" s="16"/>
    </x:row>
    <x:row r="103">
      <x:c r="A103" s="16"/>
      <x:c r="B103" s="16"/>
      <x:c r="C103" s="16"/>
      <x:c r="D103" s="16"/>
      <x:c r="E103" s="16"/>
      <x:c r="F103" s="16"/>
      <x:c r="G103" s="109"/>
      <x:c r="H103" s="16"/>
      <x:c r="I103" s="16"/>
      <x:c r="J103" s="16"/>
      <x:c r="K103" s="16"/>
      <x:c r="L103" s="109"/>
      <x:c r="M103" s="16"/>
      <x:c r="N103" s="16"/>
      <x:c r="O103" s="16"/>
    </x:row>
    <x:row r="104">
      <x:c r="A104" s="16"/>
      <x:c r="B104" s="16"/>
      <x:c r="C104" s="16"/>
      <x:c r="D104" s="16"/>
      <x:c r="E104" s="16"/>
      <x:c r="F104" s="16"/>
      <x:c r="G104" s="109"/>
      <x:c r="H104" s="16"/>
      <x:c r="I104" s="16"/>
      <x:c r="J104" s="16"/>
      <x:c r="K104" s="16"/>
      <x:c r="L104" s="109"/>
      <x:c r="M104" s="16"/>
      <x:c r="N104" s="16"/>
      <x:c r="O104" s="16"/>
    </x:row>
    <x:row r="105">
      <x:c r="A105" s="16"/>
      <x:c r="B105" s="16"/>
      <x:c r="C105" s="16"/>
      <x:c r="D105" s="16"/>
      <x:c r="E105" s="16"/>
      <x:c r="F105" s="16"/>
      <x:c r="G105" s="109"/>
      <x:c r="H105" s="16"/>
      <x:c r="I105" s="16"/>
      <x:c r="J105" s="16"/>
      <x:c r="K105" s="16"/>
      <x:c r="L105" s="109"/>
      <x:c r="M105" s="16"/>
      <x:c r="N105" s="16"/>
      <x:c r="O105" s="16"/>
    </x:row>
    <x:row r="106">
      <x:c r="A106" s="16"/>
      <x:c r="B106" s="16"/>
      <x:c r="C106" s="16"/>
      <x:c r="D106" s="16"/>
      <x:c r="E106" s="16"/>
      <x:c r="F106" s="16"/>
      <x:c r="G106" s="109"/>
      <x:c r="H106" s="16"/>
      <x:c r="I106" s="16"/>
      <x:c r="J106" s="16"/>
      <x:c r="K106" s="16"/>
      <x:c r="L106" s="109"/>
      <x:c r="M106" s="16"/>
      <x:c r="N106" s="16"/>
      <x:c r="O106" s="16"/>
    </x:row>
    <x:row r="107">
      <x:c r="A107" s="16"/>
      <x:c r="B107" s="16"/>
      <x:c r="C107" s="16"/>
      <x:c r="D107" s="16"/>
      <x:c r="E107" s="16"/>
      <x:c r="F107" s="16"/>
      <x:c r="G107" s="109"/>
      <x:c r="H107" s="16"/>
      <x:c r="I107" s="16"/>
      <x:c r="J107" s="16"/>
      <x:c r="K107" s="16"/>
      <x:c r="L107" s="109"/>
      <x:c r="M107" s="16"/>
      <x:c r="N107" s="16"/>
      <x:c r="O107" s="16"/>
    </x:row>
    <x:row r="108">
      <x:c r="A108" s="16"/>
      <x:c r="B108" s="16"/>
      <x:c r="C108" s="16"/>
      <x:c r="D108" s="16"/>
      <x:c r="E108" s="16"/>
      <x:c r="F108" s="16"/>
      <x:c r="G108" s="109"/>
      <x:c r="H108" s="16"/>
      <x:c r="I108" s="16"/>
      <x:c r="J108" s="16"/>
      <x:c r="K108" s="16"/>
      <x:c r="L108" s="109"/>
      <x:c r="M108" s="16"/>
      <x:c r="N108" s="16"/>
      <x:c r="O108" s="16"/>
    </x:row>
    <x:row r="109">
      <x:c r="A109" s="16"/>
      <x:c r="B109" s="16"/>
      <x:c r="C109" s="16"/>
      <x:c r="D109" s="16"/>
      <x:c r="E109" s="16"/>
      <x:c r="F109" s="16"/>
      <x:c r="G109" s="109"/>
      <x:c r="H109" s="16"/>
      <x:c r="I109" s="16"/>
      <x:c r="J109" s="16"/>
      <x:c r="K109" s="16"/>
      <x:c r="L109" s="109"/>
      <x:c r="M109" s="16"/>
      <x:c r="N109" s="16"/>
      <x:c r="O109" s="16"/>
    </x:row>
    <x:row r="110">
      <x:c r="A110" s="16"/>
      <x:c r="B110" s="16"/>
      <x:c r="C110" s="16"/>
      <x:c r="D110" s="16"/>
      <x:c r="E110" s="16"/>
      <x:c r="F110" s="16"/>
      <x:c r="G110" s="109"/>
      <x:c r="H110" s="16"/>
      <x:c r="I110" s="16"/>
      <x:c r="J110" s="16"/>
      <x:c r="K110" s="16"/>
      <x:c r="L110" s="109"/>
      <x:c r="M110" s="16"/>
      <x:c r="N110" s="16"/>
      <x:c r="O110" s="16"/>
    </x:row>
    <x:row r="111">
      <x:c r="A111" s="16"/>
      <x:c r="B111" s="16"/>
      <x:c r="C111" s="16"/>
      <x:c r="D111" s="16"/>
      <x:c r="E111" s="16"/>
      <x:c r="F111" s="16"/>
      <x:c r="G111" s="109"/>
      <x:c r="H111" s="16"/>
      <x:c r="I111" s="16"/>
      <x:c r="J111" s="16"/>
      <x:c r="K111" s="16"/>
      <x:c r="L111" s="109"/>
      <x:c r="M111" s="16"/>
      <x:c r="N111" s="16"/>
      <x:c r="O111" s="16"/>
    </x:row>
    <x:row r="112">
      <x:c r="A112" s="16"/>
      <x:c r="B112" s="16"/>
      <x:c r="C112" s="16"/>
      <x:c r="D112" s="16"/>
      <x:c r="E112" s="16"/>
      <x:c r="F112" s="16"/>
      <x:c r="G112" s="109"/>
      <x:c r="H112" s="16"/>
      <x:c r="I112" s="16"/>
      <x:c r="J112" s="16"/>
      <x:c r="K112" s="16"/>
      <x:c r="L112" s="109"/>
      <x:c r="M112" s="16"/>
      <x:c r="N112" s="16"/>
      <x:c r="O112" s="16"/>
    </x:row>
    <x:row r="113">
      <x:c r="A113" s="16"/>
      <x:c r="B113" s="16"/>
      <x:c r="C113" s="16"/>
      <x:c r="D113" s="16"/>
      <x:c r="E113" s="16"/>
      <x:c r="F113" s="16"/>
      <x:c r="G113" s="109"/>
      <x:c r="H113" s="16"/>
      <x:c r="I113" s="16"/>
      <x:c r="J113" s="16"/>
      <x:c r="K113" s="16"/>
      <x:c r="L113" s="109"/>
      <x:c r="M113" s="16"/>
      <x:c r="N113" s="16"/>
      <x:c r="O113" s="16"/>
    </x:row>
    <x:row r="114">
      <x:c r="A114" s="16"/>
      <x:c r="B114" s="16"/>
      <x:c r="C114" s="16"/>
      <x:c r="D114" s="16"/>
      <x:c r="E114" s="16"/>
      <x:c r="F114" s="16"/>
      <x:c r="G114" s="109"/>
      <x:c r="H114" s="16"/>
      <x:c r="I114" s="16"/>
      <x:c r="J114" s="16"/>
      <x:c r="K114" s="16"/>
      <x:c r="L114" s="109"/>
      <x:c r="M114" s="16"/>
      <x:c r="N114" s="16"/>
      <x:c r="O114" s="16"/>
    </x:row>
    <x:row r="115">
      <x:c r="A115" s="16"/>
      <x:c r="B115" s="16"/>
      <x:c r="C115" s="16"/>
      <x:c r="D115" s="16"/>
      <x:c r="E115" s="16"/>
      <x:c r="F115" s="16"/>
      <x:c r="G115" s="109"/>
      <x:c r="H115" s="16"/>
      <x:c r="I115" s="16"/>
      <x:c r="J115" s="16"/>
      <x:c r="K115" s="16"/>
      <x:c r="L115" s="109"/>
      <x:c r="M115" s="16"/>
      <x:c r="N115" s="16"/>
      <x:c r="O115" s="16"/>
    </x:row>
    <x:row r="116">
      <x:c r="A116" s="16"/>
      <x:c r="B116" s="16"/>
      <x:c r="C116" s="16"/>
      <x:c r="D116" s="16"/>
      <x:c r="E116" s="16"/>
      <x:c r="F116" s="16"/>
      <x:c r="G116" s="109"/>
      <x:c r="H116" s="16"/>
      <x:c r="I116" s="16"/>
      <x:c r="J116" s="16"/>
      <x:c r="K116" s="16"/>
      <x:c r="L116" s="109"/>
      <x:c r="M116" s="16"/>
      <x:c r="N116" s="16"/>
      <x:c r="O116" s="16"/>
    </x:row>
    <x:row r="117">
      <x:c r="A117" s="16"/>
      <x:c r="B117" s="16"/>
      <x:c r="C117" s="16"/>
      <x:c r="D117" s="16"/>
      <x:c r="E117" s="16"/>
      <x:c r="F117" s="16"/>
      <x:c r="G117" s="109"/>
      <x:c r="H117" s="16"/>
      <x:c r="I117" s="16"/>
      <x:c r="J117" s="16"/>
      <x:c r="K117" s="16"/>
      <x:c r="L117" s="109"/>
      <x:c r="M117" s="16"/>
      <x:c r="N117" s="16"/>
      <x:c r="O117" s="16"/>
    </x:row>
    <x:row r="118">
      <x:c r="A118" s="16"/>
      <x:c r="B118" s="16"/>
      <x:c r="C118" s="16"/>
      <x:c r="D118" s="16"/>
      <x:c r="E118" s="16"/>
      <x:c r="F118" s="16"/>
      <x:c r="G118" s="109"/>
      <x:c r="H118" s="16"/>
      <x:c r="I118" s="16"/>
      <x:c r="J118" s="16"/>
      <x:c r="K118" s="16"/>
      <x:c r="L118" s="109"/>
      <x:c r="M118" s="16"/>
      <x:c r="N118" s="16"/>
      <x:c r="O118" s="16"/>
    </x:row>
    <x:row r="119">
      <x:c r="A119" s="16"/>
      <x:c r="B119" s="16"/>
      <x:c r="C119" s="16"/>
      <x:c r="D119" s="16"/>
      <x:c r="E119" s="16"/>
      <x:c r="F119" s="16"/>
      <x:c r="G119" s="109"/>
      <x:c r="H119" s="16"/>
      <x:c r="I119" s="16"/>
      <x:c r="J119" s="16"/>
      <x:c r="K119" s="16"/>
      <x:c r="L119" s="109"/>
      <x:c r="M119" s="16"/>
      <x:c r="N119" s="16"/>
      <x:c r="O119" s="16"/>
    </x:row>
    <x:row r="120">
      <x:c r="A120" s="16"/>
      <x:c r="B120" s="16"/>
      <x:c r="C120" s="16"/>
      <x:c r="D120" s="16"/>
      <x:c r="E120" s="16"/>
      <x:c r="F120" s="16"/>
      <x:c r="G120" s="109"/>
      <x:c r="H120" s="16"/>
      <x:c r="I120" s="16"/>
      <x:c r="J120" s="16"/>
      <x:c r="K120" s="16"/>
      <x:c r="L120" s="109"/>
      <x:c r="M120" s="16"/>
      <x:c r="N120" s="16"/>
      <x:c r="O120" s="16"/>
    </x:row>
    <x:row r="121">
      <x:c r="A121" s="16"/>
      <x:c r="B121" s="16"/>
      <x:c r="C121" s="16"/>
      <x:c r="D121" s="16"/>
      <x:c r="E121" s="16"/>
      <x:c r="F121" s="16"/>
      <x:c r="G121" s="109"/>
      <x:c r="H121" s="16"/>
      <x:c r="I121" s="16"/>
      <x:c r="J121" s="16"/>
      <x:c r="K121" s="16"/>
      <x:c r="L121" s="109"/>
      <x:c r="M121" s="16"/>
      <x:c r="N121" s="16"/>
      <x:c r="O121" s="16"/>
    </x:row>
    <x:row r="122">
      <x:c r="A122" s="16"/>
      <x:c r="B122" s="16"/>
      <x:c r="C122" s="16"/>
      <x:c r="D122" s="16"/>
      <x:c r="E122" s="16"/>
      <x:c r="F122" s="16"/>
      <x:c r="G122" s="109"/>
      <x:c r="H122" s="16"/>
      <x:c r="I122" s="16"/>
      <x:c r="J122" s="16"/>
      <x:c r="K122" s="16"/>
      <x:c r="L122" s="109"/>
      <x:c r="M122" s="16"/>
      <x:c r="N122" s="16"/>
      <x:c r="O122" s="16"/>
    </x:row>
    <x:row r="123">
      <x:c r="A123" s="16"/>
      <x:c r="B123" s="16"/>
      <x:c r="C123" s="16"/>
      <x:c r="D123" s="16"/>
      <x:c r="E123" s="16"/>
      <x:c r="F123" s="16"/>
      <x:c r="G123" s="109"/>
      <x:c r="H123" s="16"/>
      <x:c r="I123" s="16"/>
      <x:c r="J123" s="16"/>
      <x:c r="K123" s="16"/>
      <x:c r="L123" s="109"/>
      <x:c r="M123" s="16"/>
      <x:c r="N123" s="16"/>
      <x:c r="O123" s="16"/>
    </x:row>
    <x:row r="124">
      <x:c r="A124" s="16"/>
      <x:c r="B124" s="16"/>
      <x:c r="C124" s="16"/>
      <x:c r="D124" s="16"/>
      <x:c r="E124" s="16"/>
      <x:c r="F124" s="16"/>
      <x:c r="G124" s="109"/>
      <x:c r="H124" s="16"/>
      <x:c r="I124" s="16"/>
      <x:c r="J124" s="16"/>
      <x:c r="K124" s="16"/>
      <x:c r="L124" s="109"/>
      <x:c r="M124" s="16"/>
      <x:c r="N124" s="16"/>
      <x:c r="O124" s="16"/>
    </x:row>
    <x:row r="125">
      <x:c r="A125" s="16"/>
      <x:c r="B125" s="16"/>
      <x:c r="C125" s="16"/>
      <x:c r="D125" s="16"/>
      <x:c r="E125" s="16"/>
      <x:c r="F125" s="16"/>
      <x:c r="G125" s="109"/>
      <x:c r="H125" s="16"/>
      <x:c r="I125" s="16"/>
      <x:c r="J125" s="16"/>
      <x:c r="K125" s="16"/>
      <x:c r="L125" s="109"/>
      <x:c r="M125" s="16"/>
      <x:c r="N125" s="16"/>
      <x:c r="O125" s="16"/>
    </x:row>
    <x:row r="126">
      <x:c r="A126" s="16"/>
      <x:c r="B126" s="16"/>
      <x:c r="C126" s="16"/>
      <x:c r="D126" s="16"/>
      <x:c r="E126" s="16"/>
      <x:c r="F126" s="16"/>
      <x:c r="G126" s="109"/>
      <x:c r="H126" s="16"/>
      <x:c r="I126" s="16"/>
      <x:c r="J126" s="16"/>
      <x:c r="K126" s="16"/>
      <x:c r="L126" s="109"/>
      <x:c r="M126" s="16"/>
      <x:c r="N126" s="16"/>
      <x:c r="O126" s="16"/>
    </x:row>
    <x:row r="127">
      <x:c r="A127" s="16"/>
      <x:c r="B127" s="16"/>
      <x:c r="C127" s="16"/>
      <x:c r="D127" s="16"/>
      <x:c r="E127" s="16"/>
      <x:c r="F127" s="16"/>
      <x:c r="G127" s="109"/>
      <x:c r="H127" s="16"/>
      <x:c r="I127" s="16"/>
      <x:c r="J127" s="16"/>
      <x:c r="K127" s="16"/>
      <x:c r="L127" s="109"/>
      <x:c r="M127" s="16"/>
      <x:c r="N127" s="16"/>
      <x:c r="O127" s="16"/>
    </x:row>
    <x:row r="128">
      <x:c r="A128" s="16"/>
      <x:c r="B128" s="16"/>
      <x:c r="C128" s="16"/>
      <x:c r="D128" s="16"/>
      <x:c r="E128" s="16"/>
      <x:c r="F128" s="16"/>
      <x:c r="G128" s="109"/>
      <x:c r="H128" s="16"/>
      <x:c r="I128" s="16"/>
      <x:c r="J128" s="16"/>
      <x:c r="K128" s="16"/>
      <x:c r="L128" s="109"/>
      <x:c r="M128" s="16"/>
      <x:c r="N128" s="16"/>
      <x:c r="O128" s="16"/>
    </x:row>
    <x:row r="129">
      <x:c r="A129" s="16"/>
      <x:c r="B129" s="16"/>
      <x:c r="C129" s="16"/>
      <x:c r="D129" s="16"/>
      <x:c r="E129" s="16"/>
      <x:c r="F129" s="16"/>
      <x:c r="G129" s="109"/>
      <x:c r="H129" s="16"/>
      <x:c r="I129" s="16"/>
      <x:c r="J129" s="16"/>
      <x:c r="K129" s="16"/>
      <x:c r="L129" s="109"/>
      <x:c r="M129" s="16"/>
      <x:c r="N129" s="16"/>
      <x:c r="O129" s="16"/>
    </x:row>
    <x:row r="130">
      <x:c r="A130" s="16"/>
      <x:c r="B130" s="16"/>
      <x:c r="C130" s="16"/>
      <x:c r="D130" s="16"/>
      <x:c r="E130" s="16"/>
      <x:c r="F130" s="16"/>
      <x:c r="G130" s="109"/>
      <x:c r="H130" s="16"/>
      <x:c r="I130" s="16"/>
      <x:c r="J130" s="16"/>
      <x:c r="K130" s="16"/>
      <x:c r="L130" s="109"/>
      <x:c r="M130" s="16"/>
      <x:c r="N130" s="16"/>
      <x:c r="O130" s="16"/>
    </x:row>
    <x:row r="131">
      <x:c r="A131" s="16"/>
      <x:c r="B131" s="16"/>
      <x:c r="C131" s="16"/>
      <x:c r="D131" s="16"/>
      <x:c r="E131" s="16"/>
      <x:c r="F131" s="16"/>
      <x:c r="G131" s="109"/>
      <x:c r="H131" s="16"/>
      <x:c r="I131" s="16"/>
      <x:c r="J131" s="16"/>
      <x:c r="K131" s="16"/>
      <x:c r="L131" s="109"/>
      <x:c r="M131" s="16"/>
      <x:c r="N131" s="16"/>
      <x:c r="O131" s="16"/>
    </x:row>
    <x:row r="132">
      <x:c r="A132" s="16"/>
      <x:c r="B132" s="16"/>
      <x:c r="C132" s="16"/>
      <x:c r="D132" s="16"/>
      <x:c r="E132" s="16"/>
      <x:c r="F132" s="16"/>
      <x:c r="G132" s="109"/>
      <x:c r="H132" s="16"/>
      <x:c r="I132" s="16"/>
      <x:c r="J132" s="16"/>
      <x:c r="K132" s="16"/>
      <x:c r="L132" s="109"/>
      <x:c r="M132" s="16"/>
      <x:c r="N132" s="16"/>
      <x:c r="O132" s="16"/>
    </x:row>
    <x:row r="133">
      <x:c r="A133" s="16"/>
      <x:c r="B133" s="16"/>
      <x:c r="C133" s="16"/>
      <x:c r="D133" s="16"/>
      <x:c r="E133" s="16"/>
      <x:c r="F133" s="16"/>
      <x:c r="G133" s="109"/>
      <x:c r="H133" s="16"/>
      <x:c r="I133" s="16"/>
      <x:c r="J133" s="16"/>
      <x:c r="K133" s="16"/>
      <x:c r="L133" s="109"/>
      <x:c r="M133" s="16"/>
      <x:c r="N133" s="16"/>
      <x:c r="O133" s="16"/>
    </x:row>
    <x:row r="134">
      <x:c r="A134" s="16"/>
      <x:c r="B134" s="16"/>
      <x:c r="C134" s="16"/>
      <x:c r="D134" s="16"/>
      <x:c r="E134" s="16"/>
      <x:c r="F134" s="16"/>
      <x:c r="G134" s="109"/>
      <x:c r="H134" s="16"/>
      <x:c r="I134" s="16"/>
      <x:c r="J134" s="16"/>
      <x:c r="K134" s="16"/>
      <x:c r="L134" s="109"/>
      <x:c r="M134" s="16"/>
      <x:c r="N134" s="16"/>
      <x:c r="O134" s="16"/>
    </x:row>
    <x:row r="135">
      <x:c r="A135" s="16"/>
      <x:c r="B135" s="16"/>
      <x:c r="C135" s="16"/>
      <x:c r="D135" s="16"/>
      <x:c r="E135" s="16"/>
      <x:c r="F135" s="16"/>
      <x:c r="G135" s="109"/>
      <x:c r="H135" s="16"/>
      <x:c r="I135" s="16"/>
      <x:c r="J135" s="16"/>
      <x:c r="K135" s="16"/>
      <x:c r="L135" s="109"/>
      <x:c r="M135" s="16"/>
      <x:c r="N135" s="16"/>
      <x:c r="O135" s="16"/>
    </x:row>
    <x:row r="136">
      <x:c r="A136" s="16"/>
      <x:c r="B136" s="16"/>
      <x:c r="C136" s="16"/>
      <x:c r="D136" s="16"/>
      <x:c r="E136" s="16"/>
      <x:c r="F136" s="16"/>
      <x:c r="G136" s="109"/>
      <x:c r="H136" s="16"/>
      <x:c r="I136" s="16"/>
      <x:c r="J136" s="16"/>
      <x:c r="K136" s="16"/>
      <x:c r="L136" s="109"/>
      <x:c r="M136" s="16"/>
      <x:c r="N136" s="16"/>
      <x:c r="O136" s="16"/>
    </x:row>
    <x:row r="137">
      <x:c r="A137" s="16"/>
      <x:c r="B137" s="16"/>
      <x:c r="C137" s="16"/>
      <x:c r="D137" s="16"/>
      <x:c r="E137" s="16"/>
      <x:c r="F137" s="16"/>
      <x:c r="G137" s="109"/>
      <x:c r="H137" s="16"/>
      <x:c r="I137" s="16"/>
      <x:c r="J137" s="16"/>
      <x:c r="K137" s="16"/>
      <x:c r="L137" s="109"/>
      <x:c r="M137" s="16"/>
      <x:c r="N137" s="16"/>
      <x:c r="O137" s="16"/>
    </x:row>
    <x:row r="138">
      <x:c r="A138" s="16"/>
      <x:c r="B138" s="16"/>
      <x:c r="C138" s="16"/>
      <x:c r="D138" s="16"/>
      <x:c r="E138" s="16"/>
      <x:c r="F138" s="16"/>
      <x:c r="G138" s="109"/>
      <x:c r="H138" s="16"/>
      <x:c r="I138" s="16"/>
      <x:c r="J138" s="16"/>
      <x:c r="K138" s="16"/>
      <x:c r="L138" s="109"/>
      <x:c r="M138" s="16"/>
      <x:c r="N138" s="16"/>
      <x:c r="O138" s="16"/>
    </x:row>
    <x:row r="139">
      <x:c r="A139" s="16"/>
      <x:c r="B139" s="16"/>
      <x:c r="C139" s="16"/>
      <x:c r="D139" s="16"/>
      <x:c r="E139" s="16"/>
      <x:c r="F139" s="16"/>
      <x:c r="G139" s="109"/>
      <x:c r="H139" s="16"/>
      <x:c r="I139" s="16"/>
      <x:c r="J139" s="16"/>
      <x:c r="K139" s="16"/>
      <x:c r="L139" s="109"/>
      <x:c r="M139" s="16"/>
      <x:c r="N139" s="16"/>
      <x:c r="O139" s="16"/>
    </x:row>
    <x:row r="140">
      <x:c r="A140" s="16"/>
      <x:c r="B140" s="16"/>
      <x:c r="C140" s="16"/>
      <x:c r="D140" s="16"/>
      <x:c r="E140" s="16"/>
      <x:c r="F140" s="16"/>
      <x:c r="G140" s="109"/>
      <x:c r="H140" s="16"/>
      <x:c r="I140" s="16"/>
      <x:c r="J140" s="16"/>
      <x:c r="K140" s="16"/>
      <x:c r="L140" s="109"/>
      <x:c r="M140" s="16"/>
      <x:c r="N140" s="16"/>
      <x:c r="O140" s="16"/>
    </x:row>
    <x:row r="141">
      <x:c r="A141" s="16"/>
      <x:c r="B141" s="16"/>
      <x:c r="C141" s="16"/>
      <x:c r="D141" s="16"/>
      <x:c r="E141" s="16"/>
      <x:c r="F141" s="16"/>
      <x:c r="G141" s="109"/>
      <x:c r="H141" s="16"/>
      <x:c r="I141" s="16"/>
      <x:c r="J141" s="16"/>
      <x:c r="K141" s="16"/>
      <x:c r="L141" s="109"/>
      <x:c r="M141" s="16"/>
      <x:c r="N141" s="16"/>
      <x:c r="O141" s="16"/>
    </x:row>
    <x:row r="142">
      <x:c r="A142" s="16"/>
      <x:c r="B142" s="16"/>
      <x:c r="C142" s="16"/>
      <x:c r="D142" s="16"/>
      <x:c r="E142" s="16"/>
      <x:c r="F142" s="16"/>
      <x:c r="G142" s="109"/>
      <x:c r="H142" s="16"/>
      <x:c r="I142" s="16"/>
      <x:c r="J142" s="16"/>
      <x:c r="K142" s="16"/>
      <x:c r="L142" s="109"/>
      <x:c r="M142" s="16"/>
      <x:c r="N142" s="16"/>
      <x:c r="O142" s="16"/>
    </x:row>
    <x:row r="143">
      <x:c r="A143" s="16"/>
      <x:c r="B143" s="16"/>
      <x:c r="C143" s="16"/>
      <x:c r="D143" s="16"/>
      <x:c r="E143" s="16"/>
      <x:c r="F143" s="16"/>
      <x:c r="G143" s="109"/>
      <x:c r="H143" s="16"/>
      <x:c r="I143" s="16"/>
      <x:c r="J143" s="16"/>
      <x:c r="K143" s="16"/>
      <x:c r="L143" s="109"/>
      <x:c r="M143" s="16"/>
      <x:c r="N143" s="16"/>
      <x:c r="O143" s="16"/>
    </x:row>
    <x:row r="144">
      <x:c r="A144" s="16"/>
      <x:c r="B144" s="16"/>
      <x:c r="C144" s="16"/>
      <x:c r="D144" s="16"/>
      <x:c r="E144" s="16"/>
      <x:c r="F144" s="16"/>
      <x:c r="G144" s="109"/>
      <x:c r="H144" s="16"/>
      <x:c r="I144" s="16"/>
      <x:c r="J144" s="16"/>
      <x:c r="K144" s="16"/>
      <x:c r="L144" s="109"/>
      <x:c r="M144" s="16"/>
      <x:c r="N144" s="16"/>
      <x:c r="O144" s="16"/>
    </x:row>
    <x:row r="145">
      <x:c r="A145" s="16"/>
      <x:c r="B145" s="16"/>
      <x:c r="C145" s="16"/>
      <x:c r="D145" s="16"/>
      <x:c r="E145" s="16"/>
      <x:c r="F145" s="16"/>
      <x:c r="G145" s="109"/>
      <x:c r="H145" s="16"/>
      <x:c r="I145" s="16"/>
      <x:c r="J145" s="16"/>
      <x:c r="K145" s="16"/>
      <x:c r="L145" s="109"/>
      <x:c r="M145" s="16"/>
      <x:c r="N145" s="16"/>
      <x:c r="O145" s="16"/>
    </x:row>
    <x:row r="146">
      <x:c r="A146" s="16"/>
      <x:c r="B146" s="16"/>
      <x:c r="C146" s="16"/>
      <x:c r="D146" s="16"/>
      <x:c r="E146" s="16"/>
      <x:c r="F146" s="16"/>
      <x:c r="G146" s="109"/>
      <x:c r="H146" s="16"/>
      <x:c r="I146" s="16"/>
      <x:c r="J146" s="16"/>
      <x:c r="K146" s="16"/>
      <x:c r="L146" s="109"/>
      <x:c r="M146" s="16"/>
      <x:c r="N146" s="16"/>
      <x:c r="O146" s="16"/>
    </x:row>
    <x:row r="147">
      <x:c r="A147" s="16"/>
      <x:c r="B147" s="16"/>
      <x:c r="C147" s="16"/>
      <x:c r="D147" s="16"/>
      <x:c r="E147" s="16"/>
      <x:c r="F147" s="16"/>
      <x:c r="G147" s="109"/>
      <x:c r="H147" s="16"/>
      <x:c r="I147" s="16"/>
      <x:c r="J147" s="16"/>
      <x:c r="K147" s="16"/>
      <x:c r="L147" s="109"/>
      <x:c r="M147" s="16"/>
      <x:c r="N147" s="16"/>
      <x:c r="O147" s="16"/>
    </x:row>
    <x:row r="148">
      <x:c r="A148" s="16"/>
      <x:c r="B148" s="16"/>
      <x:c r="C148" s="16"/>
      <x:c r="D148" s="16"/>
      <x:c r="E148" s="16"/>
      <x:c r="F148" s="16"/>
      <x:c r="G148" s="109"/>
      <x:c r="H148" s="16"/>
      <x:c r="I148" s="16"/>
      <x:c r="J148" s="16"/>
      <x:c r="K148" s="16"/>
      <x:c r="L148" s="109"/>
      <x:c r="M148" s="16"/>
      <x:c r="N148" s="16"/>
      <x:c r="O148" s="16"/>
    </x:row>
    <x:row r="149">
      <x:c r="A149" s="16"/>
      <x:c r="B149" s="16"/>
      <x:c r="C149" s="16"/>
      <x:c r="D149" s="16"/>
      <x:c r="E149" s="16"/>
      <x:c r="F149" s="16"/>
      <x:c r="G149" s="109"/>
      <x:c r="H149" s="16"/>
      <x:c r="I149" s="16"/>
      <x:c r="J149" s="16"/>
      <x:c r="K149" s="16"/>
      <x:c r="L149" s="109"/>
      <x:c r="M149" s="16"/>
      <x:c r="N149" s="16"/>
      <x:c r="O149" s="16"/>
    </x:row>
    <x:row r="150">
      <x:c r="A150" s="16"/>
      <x:c r="B150" s="16"/>
      <x:c r="C150" s="16"/>
      <x:c r="D150" s="16"/>
      <x:c r="E150" s="16"/>
      <x:c r="F150" s="16"/>
      <x:c r="G150" s="109"/>
      <x:c r="H150" s="16"/>
      <x:c r="I150" s="16"/>
      <x:c r="J150" s="16"/>
      <x:c r="K150" s="16"/>
      <x:c r="L150" s="109"/>
      <x:c r="M150" s="16"/>
      <x:c r="N150" s="16"/>
      <x:c r="O150" s="16"/>
    </x:row>
    <x:row r="151">
      <x:c r="A151" s="16"/>
      <x:c r="B151" s="16"/>
      <x:c r="C151" s="16"/>
      <x:c r="D151" s="16"/>
      <x:c r="E151" s="16"/>
      <x:c r="F151" s="16"/>
      <x:c r="G151" s="109"/>
      <x:c r="H151" s="16"/>
      <x:c r="I151" s="16"/>
      <x:c r="J151" s="16"/>
      <x:c r="K151" s="16"/>
      <x:c r="L151" s="109"/>
      <x:c r="M151" s="16"/>
      <x:c r="N151" s="16"/>
      <x:c r="O151" s="16"/>
    </x:row>
    <x:row r="152">
      <x:c r="A152" s="16"/>
      <x:c r="B152" s="16"/>
      <x:c r="C152" s="16"/>
      <x:c r="D152" s="16"/>
      <x:c r="E152" s="16"/>
      <x:c r="F152" s="16"/>
      <x:c r="G152" s="109"/>
      <x:c r="H152" s="16"/>
      <x:c r="I152" s="16"/>
      <x:c r="J152" s="16"/>
      <x:c r="K152" s="16"/>
      <x:c r="L152" s="109"/>
      <x:c r="M152" s="16"/>
      <x:c r="N152" s="16"/>
      <x:c r="O152" s="16"/>
    </x:row>
    <x:row r="153">
      <x:c r="A153" s="16"/>
      <x:c r="B153" s="16"/>
      <x:c r="C153" s="16"/>
      <x:c r="D153" s="16"/>
      <x:c r="E153" s="16"/>
      <x:c r="F153" s="16"/>
      <x:c r="G153" s="109"/>
      <x:c r="H153" s="16"/>
      <x:c r="I153" s="16"/>
      <x:c r="J153" s="16"/>
      <x:c r="K153" s="16"/>
      <x:c r="L153" s="109"/>
      <x:c r="M153" s="16"/>
      <x:c r="N153" s="16"/>
      <x:c r="O153" s="16"/>
    </x:row>
    <x:row r="154">
      <x:c r="A154" s="16"/>
      <x:c r="B154" s="16"/>
      <x:c r="C154" s="16"/>
      <x:c r="D154" s="16"/>
      <x:c r="E154" s="16"/>
      <x:c r="F154" s="16"/>
      <x:c r="G154" s="109"/>
      <x:c r="H154" s="16"/>
      <x:c r="I154" s="16"/>
      <x:c r="J154" s="16"/>
      <x:c r="K154" s="16"/>
      <x:c r="L154" s="109"/>
      <x:c r="M154" s="16"/>
      <x:c r="N154" s="16"/>
      <x:c r="O154" s="16"/>
    </x:row>
    <x:row r="155">
      <x:c r="A155" s="16"/>
      <x:c r="B155" s="16"/>
      <x:c r="C155" s="16"/>
      <x:c r="D155" s="16"/>
      <x:c r="E155" s="16"/>
      <x:c r="F155" s="16"/>
      <x:c r="G155" s="109"/>
      <x:c r="H155" s="16"/>
      <x:c r="I155" s="16"/>
      <x:c r="J155" s="16"/>
      <x:c r="K155" s="16"/>
      <x:c r="L155" s="109"/>
      <x:c r="M155" s="16"/>
      <x:c r="N155" s="16"/>
      <x:c r="O155" s="16"/>
    </x:row>
    <x:row r="156">
      <x:c r="A156" s="16"/>
      <x:c r="B156" s="16"/>
      <x:c r="C156" s="16"/>
      <x:c r="D156" s="16"/>
      <x:c r="E156" s="16"/>
      <x:c r="F156" s="16"/>
      <x:c r="G156" s="109"/>
      <x:c r="H156" s="16"/>
      <x:c r="I156" s="16"/>
      <x:c r="J156" s="16"/>
      <x:c r="K156" s="16"/>
      <x:c r="L156" s="109"/>
      <x:c r="M156" s="16"/>
      <x:c r="N156" s="16"/>
      <x:c r="O156" s="16"/>
    </x:row>
    <x:row r="157">
      <x:c r="A157" s="16"/>
      <x:c r="B157" s="16"/>
      <x:c r="C157" s="16"/>
      <x:c r="D157" s="16"/>
      <x:c r="E157" s="16"/>
      <x:c r="F157" s="16"/>
      <x:c r="G157" s="109"/>
      <x:c r="H157" s="16"/>
      <x:c r="I157" s="16"/>
      <x:c r="J157" s="16"/>
      <x:c r="K157" s="16"/>
      <x:c r="L157" s="109"/>
      <x:c r="M157" s="16"/>
      <x:c r="N157" s="16"/>
      <x:c r="O157" s="16"/>
    </x:row>
    <x:row r="158">
      <x:c r="A158" s="16"/>
      <x:c r="B158" s="16"/>
      <x:c r="C158" s="16"/>
      <x:c r="D158" s="16"/>
      <x:c r="E158" s="16"/>
      <x:c r="F158" s="16"/>
      <x:c r="G158" s="109"/>
      <x:c r="H158" s="16"/>
      <x:c r="I158" s="16"/>
      <x:c r="J158" s="16"/>
      <x:c r="K158" s="16"/>
      <x:c r="L158" s="109"/>
      <x:c r="M158" s="16"/>
      <x:c r="N158" s="16"/>
      <x:c r="O158" s="16"/>
    </x:row>
    <x:row r="159">
      <x:c r="A159" s="16"/>
      <x:c r="B159" s="16"/>
      <x:c r="C159" s="16"/>
      <x:c r="D159" s="16"/>
      <x:c r="E159" s="16"/>
      <x:c r="F159" s="16"/>
      <x:c r="G159" s="109"/>
      <x:c r="H159" s="16"/>
      <x:c r="I159" s="16"/>
      <x:c r="J159" s="16"/>
      <x:c r="K159" s="16"/>
      <x:c r="L159" s="109"/>
      <x:c r="M159" s="16"/>
      <x:c r="N159" s="16"/>
      <x:c r="O159" s="16"/>
    </x:row>
    <x:row r="160">
      <x:c r="A160" s="16"/>
      <x:c r="B160" s="16"/>
      <x:c r="C160" s="16"/>
      <x:c r="D160" s="16"/>
      <x:c r="E160" s="16"/>
      <x:c r="F160" s="16"/>
      <x:c r="G160" s="109"/>
      <x:c r="H160" s="16"/>
      <x:c r="I160" s="16"/>
      <x:c r="J160" s="16"/>
      <x:c r="K160" s="16"/>
      <x:c r="L160" s="109"/>
      <x:c r="M160" s="16"/>
      <x:c r="N160" s="16"/>
      <x:c r="O160" s="16"/>
    </x:row>
    <x:row r="161">
      <x:c r="A161" s="16"/>
      <x:c r="B161" s="16"/>
      <x:c r="C161" s="16"/>
      <x:c r="D161" s="16"/>
      <x:c r="E161" s="16"/>
      <x:c r="F161" s="16"/>
      <x:c r="G161" s="109"/>
      <x:c r="H161" s="16"/>
      <x:c r="I161" s="16"/>
      <x:c r="J161" s="16"/>
      <x:c r="K161" s="16"/>
      <x:c r="L161" s="109"/>
      <x:c r="M161" s="16"/>
      <x:c r="N161" s="16"/>
      <x:c r="O161" s="16"/>
    </x:row>
    <x:row r="162">
      <x:c r="A162" s="16"/>
      <x:c r="B162" s="16"/>
      <x:c r="C162" s="16"/>
      <x:c r="D162" s="16"/>
      <x:c r="E162" s="16"/>
      <x:c r="F162" s="16"/>
      <x:c r="G162" s="109"/>
      <x:c r="H162" s="16"/>
      <x:c r="I162" s="16"/>
      <x:c r="J162" s="16"/>
      <x:c r="K162" s="16"/>
      <x:c r="L162" s="109"/>
      <x:c r="M162" s="16"/>
      <x:c r="N162" s="16"/>
      <x:c r="O162" s="16"/>
    </x:row>
    <x:row r="163">
      <x:c r="A163" s="16"/>
      <x:c r="B163" s="16"/>
      <x:c r="C163" s="16"/>
      <x:c r="D163" s="16"/>
      <x:c r="E163" s="16"/>
      <x:c r="F163" s="16"/>
      <x:c r="G163" s="109"/>
      <x:c r="H163" s="16"/>
      <x:c r="I163" s="16"/>
      <x:c r="J163" s="16"/>
      <x:c r="K163" s="16"/>
      <x:c r="L163" s="109"/>
      <x:c r="M163" s="16"/>
      <x:c r="N163" s="16"/>
      <x:c r="O163" s="16"/>
    </x:row>
    <x:row r="164">
      <x:c r="A164" s="16"/>
      <x:c r="B164" s="16"/>
      <x:c r="C164" s="16"/>
      <x:c r="D164" s="16"/>
      <x:c r="E164" s="16"/>
      <x:c r="F164" s="16"/>
      <x:c r="G164" s="109"/>
      <x:c r="H164" s="16"/>
      <x:c r="I164" s="16"/>
      <x:c r="J164" s="16"/>
      <x:c r="K164" s="16"/>
      <x:c r="L164" s="109"/>
      <x:c r="M164" s="16"/>
      <x:c r="N164" s="16"/>
      <x:c r="O164" s="16"/>
    </x:row>
    <x:row r="165">
      <x:c r="A165" s="16"/>
      <x:c r="B165" s="16"/>
      <x:c r="C165" s="16"/>
      <x:c r="D165" s="16"/>
      <x:c r="E165" s="16"/>
      <x:c r="F165" s="16"/>
      <x:c r="G165" s="109"/>
      <x:c r="H165" s="16"/>
      <x:c r="I165" s="16"/>
      <x:c r="J165" s="16"/>
      <x:c r="K165" s="16"/>
      <x:c r="L165" s="109"/>
      <x:c r="M165" s="16"/>
      <x:c r="N165" s="16"/>
      <x:c r="O165" s="16"/>
    </x:row>
    <x:row r="166">
      <x:c r="A166" s="16"/>
      <x:c r="B166" s="16"/>
      <x:c r="C166" s="16"/>
      <x:c r="D166" s="16"/>
      <x:c r="E166" s="16"/>
      <x:c r="F166" s="16"/>
      <x:c r="G166" s="109"/>
      <x:c r="H166" s="16"/>
      <x:c r="I166" s="16"/>
      <x:c r="J166" s="16"/>
      <x:c r="K166" s="16"/>
      <x:c r="L166" s="109"/>
      <x:c r="M166" s="16"/>
      <x:c r="N166" s="16"/>
      <x:c r="O166" s="16"/>
    </x:row>
    <x:row r="167">
      <x:c r="A167" s="16"/>
      <x:c r="B167" s="16"/>
      <x:c r="C167" s="16"/>
      <x:c r="D167" s="16"/>
      <x:c r="E167" s="16"/>
      <x:c r="F167" s="16"/>
      <x:c r="G167" s="109"/>
      <x:c r="H167" s="16"/>
      <x:c r="I167" s="16"/>
      <x:c r="J167" s="16"/>
      <x:c r="K167" s="16"/>
      <x:c r="L167" s="109"/>
      <x:c r="M167" s="16"/>
      <x:c r="N167" s="16"/>
      <x:c r="O167" s="16"/>
    </x:row>
    <x:row r="168">
      <x:c r="A168" s="16"/>
      <x:c r="B168" s="16"/>
      <x:c r="C168" s="16"/>
      <x:c r="D168" s="16"/>
      <x:c r="E168" s="16"/>
      <x:c r="F168" s="16"/>
      <x:c r="G168" s="109"/>
      <x:c r="H168" s="16"/>
      <x:c r="I168" s="16"/>
      <x:c r="J168" s="16"/>
      <x:c r="K168" s="16"/>
      <x:c r="L168" s="109"/>
      <x:c r="M168" s="16"/>
      <x:c r="N168" s="16"/>
      <x:c r="O168" s="16"/>
    </x:row>
    <x:row r="169">
      <x:c r="A169" s="16"/>
      <x:c r="B169" s="16"/>
      <x:c r="C169" s="16"/>
      <x:c r="D169" s="16"/>
      <x:c r="E169" s="16"/>
      <x:c r="F169" s="16"/>
      <x:c r="G169" s="109"/>
      <x:c r="H169" s="16"/>
      <x:c r="I169" s="16"/>
      <x:c r="J169" s="16"/>
      <x:c r="K169" s="16"/>
      <x:c r="L169" s="109"/>
      <x:c r="M169" s="16"/>
      <x:c r="N169" s="16"/>
      <x:c r="O169" s="16"/>
    </x:row>
    <x:row r="170">
      <x:c r="A170" s="16"/>
      <x:c r="B170" s="16"/>
      <x:c r="C170" s="16"/>
      <x:c r="D170" s="16"/>
      <x:c r="E170" s="16"/>
      <x:c r="F170" s="16"/>
      <x:c r="G170" s="109"/>
      <x:c r="H170" s="16"/>
      <x:c r="I170" s="16"/>
      <x:c r="J170" s="16"/>
      <x:c r="K170" s="16"/>
      <x:c r="L170" s="109"/>
      <x:c r="M170" s="16"/>
      <x:c r="N170" s="16"/>
      <x:c r="O170" s="16"/>
    </x:row>
    <x:row r="171">
      <x:c r="A171" s="16"/>
      <x:c r="B171" s="16"/>
      <x:c r="C171" s="16"/>
      <x:c r="D171" s="16"/>
      <x:c r="E171" s="16"/>
      <x:c r="F171" s="16"/>
      <x:c r="G171" s="109"/>
      <x:c r="H171" s="16"/>
      <x:c r="I171" s="16"/>
      <x:c r="J171" s="16"/>
      <x:c r="K171" s="16"/>
      <x:c r="L171" s="109"/>
      <x:c r="M171" s="16"/>
      <x:c r="N171" s="16"/>
      <x:c r="O171" s="16"/>
    </x:row>
    <x:row r="172">
      <x:c r="A172" s="16"/>
      <x:c r="B172" s="16"/>
      <x:c r="C172" s="16"/>
      <x:c r="D172" s="16"/>
      <x:c r="E172" s="16"/>
      <x:c r="F172" s="16"/>
      <x:c r="G172" s="109"/>
      <x:c r="H172" s="16"/>
      <x:c r="I172" s="16"/>
      <x:c r="J172" s="16"/>
      <x:c r="K172" s="16"/>
      <x:c r="L172" s="109"/>
      <x:c r="M172" s="16"/>
      <x:c r="N172" s="16"/>
      <x:c r="O172" s="16"/>
    </x:row>
    <x:row r="173">
      <x:c r="A173" s="16"/>
      <x:c r="B173" s="16"/>
      <x:c r="C173" s="16"/>
      <x:c r="D173" s="16"/>
      <x:c r="E173" s="16"/>
      <x:c r="F173" s="16"/>
      <x:c r="G173" s="109"/>
      <x:c r="H173" s="16"/>
      <x:c r="I173" s="16"/>
      <x:c r="J173" s="16"/>
      <x:c r="K173" s="16"/>
      <x:c r="L173" s="109"/>
      <x:c r="M173" s="16"/>
      <x:c r="N173" s="16"/>
      <x:c r="O173" s="16"/>
    </x:row>
    <x:row r="174">
      <x:c r="A174" s="16"/>
      <x:c r="B174" s="16"/>
      <x:c r="C174" s="16"/>
      <x:c r="D174" s="16"/>
      <x:c r="E174" s="16"/>
      <x:c r="F174" s="16"/>
      <x:c r="G174" s="109"/>
      <x:c r="H174" s="16"/>
      <x:c r="I174" s="16"/>
      <x:c r="J174" s="16"/>
      <x:c r="K174" s="16"/>
      <x:c r="L174" s="109"/>
      <x:c r="M174" s="16"/>
      <x:c r="N174" s="16"/>
      <x:c r="O174" s="16"/>
    </x:row>
    <x:row r="175">
      <x:c r="A175" s="16"/>
      <x:c r="B175" s="16"/>
      <x:c r="C175" s="16"/>
      <x:c r="D175" s="16"/>
      <x:c r="E175" s="16"/>
      <x:c r="F175" s="16"/>
      <x:c r="G175" s="109"/>
      <x:c r="H175" s="16"/>
      <x:c r="I175" s="16"/>
      <x:c r="J175" s="16"/>
      <x:c r="K175" s="16"/>
      <x:c r="L175" s="109"/>
      <x:c r="M175" s="16"/>
      <x:c r="N175" s="16"/>
      <x:c r="O175" s="16"/>
    </x:row>
    <x:row r="176">
      <x:c r="A176" s="16"/>
      <x:c r="B176" s="16"/>
      <x:c r="C176" s="16"/>
      <x:c r="D176" s="16"/>
      <x:c r="E176" s="16"/>
      <x:c r="F176" s="16"/>
      <x:c r="G176" s="109"/>
      <x:c r="H176" s="16"/>
      <x:c r="I176" s="16"/>
      <x:c r="J176" s="16"/>
      <x:c r="K176" s="16"/>
      <x:c r="L176" s="109"/>
      <x:c r="M176" s="16"/>
      <x:c r="N176" s="16"/>
      <x:c r="O176" s="16"/>
    </x:row>
    <x:row r="177">
      <x:c r="A177" s="16"/>
      <x:c r="B177" s="16"/>
      <x:c r="C177" s="16"/>
      <x:c r="D177" s="16"/>
      <x:c r="E177" s="16"/>
      <x:c r="F177" s="16"/>
      <x:c r="G177" s="109"/>
      <x:c r="H177" s="16"/>
      <x:c r="I177" s="16"/>
      <x:c r="J177" s="16"/>
      <x:c r="K177" s="16"/>
      <x:c r="L177" s="109"/>
      <x:c r="M177" s="16"/>
      <x:c r="N177" s="16"/>
      <x:c r="O177" s="16"/>
    </x:row>
    <x:row r="178">
      <x:c r="A178" s="16"/>
      <x:c r="B178" s="16"/>
      <x:c r="C178" s="16"/>
      <x:c r="D178" s="16"/>
      <x:c r="E178" s="16"/>
      <x:c r="F178" s="16"/>
      <x:c r="G178" s="109"/>
      <x:c r="H178" s="16"/>
      <x:c r="I178" s="16"/>
      <x:c r="J178" s="16"/>
      <x:c r="K178" s="16"/>
      <x:c r="L178" s="109"/>
      <x:c r="M178" s="16"/>
      <x:c r="N178" s="16"/>
      <x:c r="O178" s="16"/>
    </x:row>
    <x:row r="179">
      <x:c r="A179" s="16"/>
      <x:c r="B179" s="16"/>
      <x:c r="C179" s="16"/>
      <x:c r="D179" s="16"/>
      <x:c r="E179" s="16"/>
      <x:c r="F179" s="16"/>
      <x:c r="G179" s="109"/>
      <x:c r="H179" s="16"/>
      <x:c r="I179" s="16"/>
      <x:c r="J179" s="16"/>
      <x:c r="K179" s="16"/>
      <x:c r="L179" s="109"/>
      <x:c r="M179" s="16"/>
      <x:c r="N179" s="16"/>
      <x:c r="O179" s="16"/>
    </x:row>
    <x:row r="180">
      <x:c r="A180" s="16"/>
      <x:c r="B180" s="16"/>
      <x:c r="C180" s="16"/>
      <x:c r="D180" s="16"/>
      <x:c r="E180" s="16"/>
      <x:c r="F180" s="16"/>
      <x:c r="G180" s="109"/>
      <x:c r="H180" s="16"/>
      <x:c r="I180" s="16"/>
      <x:c r="J180" s="16"/>
      <x:c r="K180" s="16"/>
      <x:c r="L180" s="109"/>
      <x:c r="M180" s="16"/>
      <x:c r="N180" s="16"/>
      <x:c r="O180" s="16"/>
    </x:row>
    <x:row r="181">
      <x:c r="A181" s="16"/>
      <x:c r="B181" s="16"/>
      <x:c r="C181" s="16"/>
      <x:c r="D181" s="16"/>
      <x:c r="E181" s="16"/>
      <x:c r="F181" s="16"/>
      <x:c r="G181" s="109"/>
      <x:c r="H181" s="16"/>
      <x:c r="I181" s="16"/>
      <x:c r="J181" s="16"/>
      <x:c r="K181" s="16"/>
      <x:c r="L181" s="109"/>
      <x:c r="M181" s="16"/>
      <x:c r="N181" s="16"/>
      <x:c r="O181" s="16"/>
    </x:row>
    <x:row r="182">
      <x:c r="A182" s="16"/>
      <x:c r="B182" s="16"/>
      <x:c r="C182" s="16"/>
      <x:c r="D182" s="16"/>
      <x:c r="E182" s="16"/>
      <x:c r="F182" s="16"/>
      <x:c r="G182" s="109"/>
      <x:c r="H182" s="16"/>
      <x:c r="I182" s="16"/>
      <x:c r="J182" s="16"/>
      <x:c r="K182" s="16"/>
      <x:c r="L182" s="109"/>
      <x:c r="M182" s="16"/>
      <x:c r="N182" s="16"/>
      <x:c r="O182" s="16"/>
    </x:row>
    <x:row r="183">
      <x:c r="A183" s="16"/>
      <x:c r="B183" s="16"/>
      <x:c r="C183" s="16"/>
      <x:c r="D183" s="16"/>
      <x:c r="E183" s="16"/>
      <x:c r="F183" s="16"/>
      <x:c r="G183" s="109"/>
      <x:c r="H183" s="16"/>
      <x:c r="I183" s="16"/>
      <x:c r="J183" s="16"/>
      <x:c r="K183" s="16"/>
      <x:c r="L183" s="109"/>
      <x:c r="M183" s="16"/>
      <x:c r="N183" s="16"/>
      <x:c r="O183" s="16"/>
    </x:row>
    <x:row r="184">
      <x:c r="A184" s="16"/>
      <x:c r="B184" s="16"/>
      <x:c r="C184" s="16"/>
      <x:c r="D184" s="16"/>
      <x:c r="E184" s="16"/>
      <x:c r="F184" s="16"/>
      <x:c r="G184" s="109"/>
      <x:c r="H184" s="16"/>
      <x:c r="I184" s="16"/>
      <x:c r="J184" s="16"/>
      <x:c r="K184" s="16"/>
      <x:c r="L184" s="109"/>
      <x:c r="M184" s="16"/>
      <x:c r="N184" s="16"/>
      <x:c r="O184" s="16"/>
    </x:row>
    <x:row r="185">
      <x:c r="A185" s="16"/>
      <x:c r="B185" s="16"/>
      <x:c r="C185" s="16"/>
      <x:c r="D185" s="16"/>
      <x:c r="E185" s="16"/>
      <x:c r="F185" s="16"/>
      <x:c r="G185" s="109"/>
      <x:c r="H185" s="16"/>
      <x:c r="I185" s="16"/>
      <x:c r="J185" s="16"/>
      <x:c r="K185" s="16"/>
      <x:c r="L185" s="109"/>
      <x:c r="M185" s="16"/>
      <x:c r="N185" s="16"/>
      <x:c r="O185" s="16"/>
    </x:row>
    <x:row r="186">
      <x:c r="A186" s="16"/>
      <x:c r="B186" s="16"/>
      <x:c r="C186" s="16"/>
      <x:c r="D186" s="16"/>
      <x:c r="E186" s="16"/>
      <x:c r="F186" s="16"/>
      <x:c r="G186" s="109"/>
      <x:c r="H186" s="16"/>
      <x:c r="I186" s="16"/>
      <x:c r="J186" s="16"/>
      <x:c r="K186" s="16"/>
      <x:c r="L186" s="109"/>
      <x:c r="M186" s="16"/>
      <x:c r="N186" s="16"/>
      <x:c r="O186" s="16"/>
    </x:row>
    <x:row r="187">
      <x:c r="A187" s="16"/>
      <x:c r="B187" s="16"/>
      <x:c r="C187" s="16"/>
      <x:c r="D187" s="16"/>
      <x:c r="E187" s="16"/>
      <x:c r="F187" s="16"/>
      <x:c r="G187" s="109"/>
      <x:c r="H187" s="16"/>
      <x:c r="I187" s="16"/>
      <x:c r="J187" s="16"/>
      <x:c r="K187" s="16"/>
      <x:c r="L187" s="109"/>
      <x:c r="M187" s="16"/>
      <x:c r="N187" s="16"/>
      <x:c r="O187" s="16"/>
    </x:row>
    <x:row r="188">
      <x:c r="A188" s="16"/>
      <x:c r="B188" s="16"/>
      <x:c r="C188" s="16"/>
      <x:c r="D188" s="16"/>
      <x:c r="E188" s="16"/>
      <x:c r="F188" s="16"/>
      <x:c r="G188" s="109"/>
      <x:c r="H188" s="16"/>
      <x:c r="I188" s="16"/>
      <x:c r="J188" s="16"/>
      <x:c r="K188" s="16"/>
      <x:c r="L188" s="109"/>
      <x:c r="M188" s="16"/>
      <x:c r="N188" s="16"/>
      <x:c r="O188" s="16"/>
    </x:row>
    <x:row r="189">
      <x:c r="A189" s="16"/>
      <x:c r="B189" s="16"/>
      <x:c r="C189" s="16"/>
      <x:c r="D189" s="16"/>
      <x:c r="E189" s="16"/>
      <x:c r="F189" s="16"/>
      <x:c r="G189" s="109"/>
      <x:c r="H189" s="16"/>
      <x:c r="I189" s="16"/>
      <x:c r="J189" s="16"/>
      <x:c r="K189" s="16"/>
      <x:c r="L189" s="109"/>
      <x:c r="M189" s="16"/>
      <x:c r="N189" s="16"/>
      <x:c r="O189" s="16"/>
    </x:row>
    <x:row r="190">
      <x:c r="A190" s="16"/>
      <x:c r="B190" s="16"/>
      <x:c r="C190" s="16"/>
      <x:c r="D190" s="16"/>
      <x:c r="E190" s="16"/>
      <x:c r="F190" s="16"/>
      <x:c r="G190" s="109"/>
      <x:c r="H190" s="16"/>
      <x:c r="I190" s="16"/>
      <x:c r="J190" s="16"/>
      <x:c r="K190" s="16"/>
      <x:c r="L190" s="109"/>
      <x:c r="M190" s="16"/>
      <x:c r="N190" s="16"/>
      <x:c r="O190" s="16"/>
    </x:row>
    <x:row r="191">
      <x:c r="A191" s="16"/>
      <x:c r="B191" s="16"/>
      <x:c r="C191" s="16"/>
      <x:c r="D191" s="16"/>
      <x:c r="E191" s="16"/>
      <x:c r="F191" s="16"/>
      <x:c r="G191" s="109"/>
      <x:c r="H191" s="16"/>
      <x:c r="I191" s="16"/>
      <x:c r="J191" s="16"/>
      <x:c r="K191" s="16"/>
      <x:c r="L191" s="109"/>
      <x:c r="M191" s="16"/>
      <x:c r="N191" s="16"/>
      <x:c r="O191" s="16"/>
    </x:row>
    <x:row r="192">
      <x:c r="A192" s="16"/>
      <x:c r="B192" s="16"/>
      <x:c r="C192" s="16"/>
      <x:c r="D192" s="16"/>
      <x:c r="E192" s="16"/>
      <x:c r="F192" s="16"/>
      <x:c r="G192" s="109"/>
      <x:c r="H192" s="16"/>
      <x:c r="I192" s="16"/>
      <x:c r="J192" s="16"/>
      <x:c r="K192" s="16"/>
      <x:c r="L192" s="109"/>
      <x:c r="M192" s="16"/>
      <x:c r="N192" s="16"/>
      <x:c r="O192" s="16"/>
    </x:row>
    <x:row r="193">
      <x:c r="A193" s="16"/>
      <x:c r="B193" s="16"/>
      <x:c r="C193" s="16"/>
      <x:c r="D193" s="16"/>
      <x:c r="E193" s="16"/>
      <x:c r="F193" s="16"/>
      <x:c r="G193" s="109"/>
      <x:c r="H193" s="16"/>
      <x:c r="I193" s="16"/>
      <x:c r="J193" s="16"/>
      <x:c r="K193" s="16"/>
      <x:c r="L193" s="109"/>
      <x:c r="M193" s="16"/>
      <x:c r="N193" s="16"/>
      <x:c r="O193" s="16"/>
    </x:row>
    <x:row r="194">
      <x:c r="A194" s="16"/>
      <x:c r="B194" s="16"/>
      <x:c r="C194" s="16"/>
      <x:c r="D194" s="16"/>
      <x:c r="E194" s="16"/>
      <x:c r="F194" s="16"/>
      <x:c r="G194" s="109"/>
      <x:c r="H194" s="16"/>
      <x:c r="I194" s="16"/>
      <x:c r="J194" s="16"/>
      <x:c r="K194" s="16"/>
      <x:c r="L194" s="109"/>
      <x:c r="M194" s="16"/>
      <x:c r="N194" s="16"/>
      <x:c r="O194" s="16"/>
    </x:row>
    <x:row r="195">
      <x:c r="A195" s="16"/>
      <x:c r="B195" s="16"/>
      <x:c r="C195" s="16"/>
      <x:c r="D195" s="16"/>
      <x:c r="E195" s="16"/>
      <x:c r="F195" s="16"/>
      <x:c r="G195" s="109"/>
      <x:c r="H195" s="16"/>
      <x:c r="I195" s="16"/>
      <x:c r="J195" s="16"/>
      <x:c r="K195" s="16"/>
      <x:c r="L195" s="109"/>
      <x:c r="M195" s="16"/>
      <x:c r="N195" s="16"/>
      <x:c r="O195" s="16"/>
    </x:row>
    <x:row r="196">
      <x:c r="A196" s="16"/>
      <x:c r="B196" s="16"/>
      <x:c r="C196" s="16"/>
      <x:c r="D196" s="16"/>
      <x:c r="E196" s="16"/>
      <x:c r="F196" s="16"/>
      <x:c r="G196" s="109"/>
      <x:c r="H196" s="16"/>
      <x:c r="I196" s="16"/>
      <x:c r="J196" s="16"/>
      <x:c r="K196" s="16"/>
      <x:c r="L196" s="109"/>
      <x:c r="M196" s="16"/>
      <x:c r="N196" s="16"/>
      <x:c r="O196" s="16"/>
    </x:row>
    <x:row r="197">
      <x:c r="A197" s="16"/>
      <x:c r="B197" s="16"/>
      <x:c r="C197" s="16"/>
      <x:c r="D197" s="16"/>
      <x:c r="E197" s="16"/>
      <x:c r="F197" s="16"/>
      <x:c r="G197" s="109"/>
      <x:c r="H197" s="16"/>
      <x:c r="I197" s="16"/>
      <x:c r="J197" s="16"/>
      <x:c r="K197" s="16"/>
      <x:c r="L197" s="109"/>
      <x:c r="M197" s="16"/>
      <x:c r="N197" s="16"/>
      <x:c r="O197" s="16"/>
    </x:row>
    <x:row r="198">
      <x:c r="A198" s="16"/>
      <x:c r="B198" s="16"/>
      <x:c r="C198" s="16"/>
      <x:c r="D198" s="16"/>
      <x:c r="E198" s="16"/>
      <x:c r="F198" s="16"/>
      <x:c r="G198" s="109"/>
      <x:c r="H198" s="16"/>
      <x:c r="I198" s="16"/>
      <x:c r="J198" s="16"/>
      <x:c r="K198" s="16"/>
      <x:c r="L198" s="109"/>
      <x:c r="M198" s="16"/>
      <x:c r="N198" s="16"/>
      <x:c r="O198" s="16"/>
    </x:row>
    <x:row r="199">
      <x:c r="A199" s="16"/>
      <x:c r="B199" s="16"/>
      <x:c r="C199" s="16"/>
      <x:c r="D199" s="16"/>
      <x:c r="E199" s="16"/>
      <x:c r="F199" s="16"/>
      <x:c r="G199" s="109"/>
      <x:c r="H199" s="16"/>
      <x:c r="I199" s="16"/>
      <x:c r="J199" s="16"/>
      <x:c r="K199" s="16"/>
      <x:c r="L199" s="109"/>
      <x:c r="M199" s="16"/>
      <x:c r="N199" s="16"/>
      <x:c r="O199" s="16"/>
    </x:row>
    <x:row r="200">
      <x:c r="A200" s="16"/>
      <x:c r="B200" s="16"/>
      <x:c r="C200" s="16"/>
      <x:c r="D200" s="16"/>
      <x:c r="E200" s="16"/>
      <x:c r="F200" s="16"/>
      <x:c r="G200" s="109"/>
      <x:c r="H200" s="16"/>
      <x:c r="I200" s="16"/>
      <x:c r="J200" s="16"/>
      <x:c r="K200" s="16"/>
      <x:c r="L200" s="109"/>
      <x:c r="M200" s="16"/>
      <x:c r="N200" s="16"/>
      <x:c r="O200" s="16"/>
    </x:row>
    <x:row r="201">
      <x:c r="A201" s="16"/>
      <x:c r="B201" s="16"/>
      <x:c r="C201" s="16"/>
      <x:c r="D201" s="16"/>
      <x:c r="E201" s="16"/>
      <x:c r="F201" s="16"/>
      <x:c r="G201" s="109"/>
      <x:c r="H201" s="16"/>
      <x:c r="I201" s="16"/>
      <x:c r="J201" s="16"/>
      <x:c r="K201" s="16"/>
      <x:c r="L201" s="109"/>
      <x:c r="M201" s="16"/>
      <x:c r="N201" s="16"/>
      <x:c r="O201" s="16"/>
    </x:row>
    <x:row r="202">
      <x:c r="A202" s="16"/>
      <x:c r="B202" s="16"/>
      <x:c r="C202" s="16"/>
      <x:c r="D202" s="16"/>
      <x:c r="E202" s="16"/>
      <x:c r="F202" s="16"/>
      <x:c r="G202" s="109"/>
      <x:c r="H202" s="16"/>
      <x:c r="I202" s="16"/>
      <x:c r="J202" s="16"/>
      <x:c r="K202" s="16"/>
      <x:c r="L202" s="109"/>
      <x:c r="M202" s="16"/>
      <x:c r="N202" s="16"/>
      <x:c r="O202" s="16"/>
    </x:row>
    <x:row r="203">
      <x:c r="A203" s="16"/>
      <x:c r="B203" s="16"/>
      <x:c r="C203" s="16"/>
      <x:c r="D203" s="16"/>
      <x:c r="E203" s="16"/>
      <x:c r="F203" s="16"/>
      <x:c r="G203" s="109"/>
      <x:c r="H203" s="16"/>
      <x:c r="I203" s="16"/>
      <x:c r="J203" s="16"/>
      <x:c r="K203" s="16"/>
      <x:c r="L203" s="109"/>
      <x:c r="M203" s="16"/>
      <x:c r="N203" s="16"/>
      <x:c r="O203" s="16"/>
    </x:row>
    <x:row r="204">
      <x:c r="A204" s="16"/>
      <x:c r="B204" s="16"/>
      <x:c r="C204" s="16"/>
      <x:c r="D204" s="16"/>
      <x:c r="E204" s="16"/>
      <x:c r="F204" s="16"/>
      <x:c r="G204" s="109"/>
      <x:c r="H204" s="16"/>
      <x:c r="I204" s="16"/>
      <x:c r="J204" s="16"/>
      <x:c r="K204" s="16"/>
      <x:c r="L204" s="109"/>
      <x:c r="M204" s="16"/>
      <x:c r="N204" s="16"/>
      <x:c r="O204" s="16"/>
    </x:row>
    <x:row r="205">
      <x:c r="A205" s="16"/>
      <x:c r="B205" s="16"/>
      <x:c r="C205" s="16"/>
      <x:c r="D205" s="16"/>
      <x:c r="E205" s="16"/>
      <x:c r="F205" s="16"/>
      <x:c r="G205" s="109"/>
      <x:c r="H205" s="16"/>
      <x:c r="I205" s="16"/>
      <x:c r="J205" s="16"/>
      <x:c r="K205" s="16"/>
      <x:c r="L205" s="109"/>
      <x:c r="M205" s="16"/>
      <x:c r="N205" s="16"/>
      <x:c r="O205" s="16"/>
    </x:row>
    <x:row r="206">
      <x:c r="A206" s="16"/>
      <x:c r="B206" s="16"/>
      <x:c r="C206" s="16"/>
      <x:c r="D206" s="16"/>
      <x:c r="E206" s="16"/>
      <x:c r="F206" s="16"/>
      <x:c r="G206" s="109"/>
      <x:c r="H206" s="16"/>
      <x:c r="I206" s="16"/>
      <x:c r="J206" s="16"/>
      <x:c r="K206" s="16"/>
      <x:c r="L206" s="109"/>
      <x:c r="M206" s="16"/>
      <x:c r="N206" s="16"/>
      <x:c r="O206" s="16"/>
    </x:row>
    <x:row r="207">
      <x:c r="A207" s="16"/>
      <x:c r="B207" s="16"/>
      <x:c r="C207" s="16"/>
      <x:c r="D207" s="16"/>
      <x:c r="E207" s="16"/>
      <x:c r="F207" s="16"/>
      <x:c r="G207" s="109"/>
      <x:c r="H207" s="16"/>
      <x:c r="I207" s="16"/>
      <x:c r="J207" s="16"/>
      <x:c r="K207" s="16"/>
      <x:c r="L207" s="109"/>
      <x:c r="M207" s="16"/>
      <x:c r="N207" s="16"/>
      <x:c r="O207" s="16"/>
    </x:row>
    <x:row r="208">
      <x:c r="A208" s="16"/>
      <x:c r="B208" s="16"/>
      <x:c r="C208" s="16"/>
      <x:c r="D208" s="16"/>
      <x:c r="E208" s="16"/>
      <x:c r="F208" s="16"/>
      <x:c r="G208" s="109"/>
      <x:c r="H208" s="16"/>
      <x:c r="I208" s="16"/>
      <x:c r="J208" s="16"/>
      <x:c r="K208" s="16"/>
      <x:c r="L208" s="109"/>
      <x:c r="M208" s="16"/>
      <x:c r="N208" s="16"/>
      <x:c r="O208" s="16"/>
    </x:row>
    <x:row r="209">
      <x:c r="A209" s="16"/>
      <x:c r="B209" s="16"/>
      <x:c r="C209" s="16"/>
      <x:c r="D209" s="16"/>
      <x:c r="E209" s="16"/>
      <x:c r="F209" s="16"/>
      <x:c r="G209" s="109"/>
      <x:c r="H209" s="16"/>
      <x:c r="I209" s="16"/>
      <x:c r="J209" s="16"/>
      <x:c r="K209" s="16"/>
      <x:c r="L209" s="109"/>
      <x:c r="M209" s="16"/>
      <x:c r="N209" s="16"/>
      <x:c r="O209" s="16"/>
    </x:row>
    <x:row r="210">
      <x:c r="A210" s="16"/>
      <x:c r="B210" s="16"/>
      <x:c r="C210" s="16"/>
      <x:c r="D210" s="16"/>
      <x:c r="E210" s="16"/>
      <x:c r="F210" s="16"/>
      <x:c r="G210" s="109"/>
      <x:c r="H210" s="16"/>
      <x:c r="I210" s="16"/>
      <x:c r="J210" s="16"/>
      <x:c r="K210" s="16"/>
      <x:c r="L210" s="109"/>
      <x:c r="M210" s="16"/>
      <x:c r="N210" s="16"/>
      <x:c r="O210" s="16"/>
    </x:row>
    <x:row r="211">
      <x:c r="A211" s="16"/>
      <x:c r="B211" s="16"/>
      <x:c r="C211" s="16"/>
      <x:c r="D211" s="16"/>
      <x:c r="E211" s="16"/>
      <x:c r="F211" s="16"/>
      <x:c r="G211" s="109"/>
      <x:c r="H211" s="16"/>
      <x:c r="I211" s="16"/>
      <x:c r="J211" s="16"/>
      <x:c r="K211" s="16"/>
      <x:c r="L211" s="109"/>
      <x:c r="M211" s="16"/>
      <x:c r="N211" s="16"/>
      <x:c r="O211" s="16"/>
    </x:row>
    <x:row r="212">
      <x:c r="A212" s="16"/>
      <x:c r="B212" s="16"/>
      <x:c r="C212" s="16"/>
      <x:c r="D212" s="16"/>
      <x:c r="E212" s="16"/>
      <x:c r="F212" s="16"/>
      <x:c r="G212" s="109"/>
      <x:c r="H212" s="16"/>
      <x:c r="I212" s="16"/>
      <x:c r="J212" s="16"/>
      <x:c r="K212" s="16"/>
      <x:c r="L212" s="109"/>
      <x:c r="M212" s="16"/>
      <x:c r="N212" s="16"/>
      <x:c r="O212" s="16"/>
    </x:row>
    <x:row r="213">
      <x:c r="A213" s="16"/>
      <x:c r="B213" s="16"/>
      <x:c r="C213" s="16"/>
      <x:c r="D213" s="16"/>
      <x:c r="E213" s="16"/>
      <x:c r="F213" s="16"/>
      <x:c r="G213" s="109"/>
      <x:c r="H213" s="16"/>
      <x:c r="I213" s="16"/>
      <x:c r="J213" s="16"/>
      <x:c r="K213" s="16"/>
      <x:c r="L213" s="109"/>
      <x:c r="M213" s="16"/>
      <x:c r="N213" s="16"/>
      <x:c r="O213" s="16"/>
    </x:row>
    <x:row r="214">
      <x:c r="A214" s="16"/>
      <x:c r="B214" s="16"/>
      <x:c r="C214" s="16"/>
      <x:c r="D214" s="16"/>
      <x:c r="E214" s="16"/>
      <x:c r="F214" s="16"/>
      <x:c r="G214" s="109"/>
      <x:c r="H214" s="16"/>
      <x:c r="I214" s="16"/>
      <x:c r="J214" s="16"/>
      <x:c r="K214" s="16"/>
      <x:c r="L214" s="109"/>
      <x:c r="M214" s="16"/>
      <x:c r="N214" s="16"/>
      <x:c r="O214" s="16"/>
    </x:row>
    <x:row r="215">
      <x:c r="A215" s="16"/>
      <x:c r="B215" s="16"/>
      <x:c r="C215" s="16"/>
      <x:c r="D215" s="16"/>
      <x:c r="E215" s="16"/>
      <x:c r="F215" s="16"/>
      <x:c r="G215" s="109"/>
      <x:c r="H215" s="16"/>
      <x:c r="I215" s="16"/>
      <x:c r="J215" s="16"/>
      <x:c r="K215" s="16"/>
      <x:c r="L215" s="109"/>
      <x:c r="M215" s="16"/>
      <x:c r="N215" s="16"/>
      <x:c r="O215" s="16"/>
    </x:row>
    <x:row r="216">
      <x:c r="A216" s="16"/>
      <x:c r="B216" s="16"/>
      <x:c r="C216" s="16"/>
      <x:c r="D216" s="16"/>
      <x:c r="E216" s="16"/>
      <x:c r="F216" s="16"/>
      <x:c r="G216" s="109"/>
      <x:c r="H216" s="16"/>
      <x:c r="I216" s="16"/>
      <x:c r="J216" s="16"/>
      <x:c r="K216" s="16"/>
      <x:c r="L216" s="109"/>
      <x:c r="M216" s="16"/>
      <x:c r="N216" s="16"/>
      <x:c r="O216" s="16"/>
    </x:row>
    <x:row r="217">
      <x:c r="A217" s="16"/>
      <x:c r="B217" s="16"/>
      <x:c r="C217" s="16"/>
      <x:c r="D217" s="16"/>
      <x:c r="E217" s="16"/>
      <x:c r="F217" s="16"/>
      <x:c r="G217" s="109"/>
      <x:c r="H217" s="16"/>
      <x:c r="I217" s="16"/>
      <x:c r="J217" s="16"/>
      <x:c r="K217" s="16"/>
      <x:c r="L217" s="109"/>
      <x:c r="M217" s="16"/>
      <x:c r="N217" s="16"/>
      <x:c r="O217" s="16"/>
    </x:row>
    <x:row r="218">
      <x:c r="A218" s="16"/>
      <x:c r="B218" s="16"/>
      <x:c r="C218" s="16"/>
      <x:c r="D218" s="16"/>
      <x:c r="E218" s="16"/>
      <x:c r="F218" s="16"/>
      <x:c r="G218" s="109"/>
      <x:c r="H218" s="16"/>
      <x:c r="I218" s="16"/>
      <x:c r="J218" s="16"/>
      <x:c r="K218" s="16"/>
      <x:c r="L218" s="109"/>
      <x:c r="M218" s="16"/>
      <x:c r="N218" s="16"/>
      <x:c r="O218" s="16"/>
    </x:row>
    <x:row r="219">
      <x:c r="A219" s="16"/>
      <x:c r="B219" s="16"/>
      <x:c r="C219" s="16"/>
      <x:c r="D219" s="16"/>
      <x:c r="E219" s="16"/>
      <x:c r="F219" s="16"/>
      <x:c r="G219" s="109"/>
      <x:c r="H219" s="16"/>
      <x:c r="I219" s="16"/>
      <x:c r="J219" s="16"/>
      <x:c r="K219" s="16"/>
      <x:c r="L219" s="109"/>
      <x:c r="M219" s="16"/>
      <x:c r="N219" s="16"/>
      <x:c r="O219" s="16"/>
    </x:row>
    <x:row r="220">
      <x:c r="A220" s="16"/>
      <x:c r="B220" s="16"/>
      <x:c r="C220" s="16"/>
      <x:c r="D220" s="16"/>
      <x:c r="E220" s="16"/>
      <x:c r="F220" s="16"/>
      <x:c r="G220" s="109"/>
      <x:c r="H220" s="16"/>
      <x:c r="I220" s="16"/>
      <x:c r="J220" s="16"/>
      <x:c r="K220" s="16"/>
      <x:c r="L220" s="109"/>
      <x:c r="M220" s="16"/>
      <x:c r="N220" s="16"/>
      <x:c r="O220" s="16"/>
    </x:row>
    <x:row r="221">
      <x:c r="A221" s="16"/>
      <x:c r="B221" s="16"/>
      <x:c r="C221" s="16"/>
      <x:c r="D221" s="16"/>
      <x:c r="E221" s="16"/>
      <x:c r="F221" s="16"/>
      <x:c r="G221" s="109"/>
      <x:c r="H221" s="16"/>
      <x:c r="I221" s="16"/>
      <x:c r="J221" s="16"/>
      <x:c r="K221" s="16"/>
      <x:c r="L221" s="109"/>
      <x:c r="M221" s="16"/>
      <x:c r="N221" s="16"/>
      <x:c r="O221" s="16"/>
    </x:row>
    <x:row r="222">
      <x:c r="A222" s="16"/>
      <x:c r="B222" s="16"/>
      <x:c r="C222" s="16"/>
      <x:c r="D222" s="16"/>
      <x:c r="E222" s="16"/>
      <x:c r="F222" s="16"/>
      <x:c r="G222" s="109"/>
      <x:c r="H222" s="16"/>
      <x:c r="I222" s="16"/>
      <x:c r="J222" s="16"/>
      <x:c r="K222" s="16"/>
      <x:c r="L222" s="109"/>
      <x:c r="M222" s="16"/>
      <x:c r="N222" s="16"/>
      <x:c r="O222" s="16"/>
    </x:row>
    <x:row r="223">
      <x:c r="A223" s="16"/>
      <x:c r="B223" s="16"/>
      <x:c r="C223" s="16"/>
      <x:c r="D223" s="16"/>
      <x:c r="E223" s="16"/>
      <x:c r="F223" s="16"/>
      <x:c r="G223" s="109"/>
      <x:c r="H223" s="16"/>
      <x:c r="I223" s="16"/>
      <x:c r="J223" s="16"/>
      <x:c r="K223" s="16"/>
      <x:c r="L223" s="109"/>
      <x:c r="M223" s="16"/>
      <x:c r="N223" s="16"/>
      <x:c r="O223" s="16"/>
    </x:row>
    <x:row r="224">
      <x:c r="A224" s="16"/>
      <x:c r="B224" s="16"/>
      <x:c r="C224" s="16"/>
      <x:c r="D224" s="16"/>
      <x:c r="E224" s="16"/>
      <x:c r="F224" s="16"/>
      <x:c r="G224" s="109"/>
      <x:c r="H224" s="16"/>
      <x:c r="I224" s="16"/>
      <x:c r="J224" s="16"/>
      <x:c r="K224" s="16"/>
      <x:c r="L224" s="109"/>
      <x:c r="M224" s="16"/>
      <x:c r="N224" s="16"/>
      <x:c r="O224" s="16"/>
    </x:row>
    <x:row r="225">
      <x:c r="A225" s="16"/>
      <x:c r="B225" s="16"/>
      <x:c r="C225" s="16"/>
      <x:c r="D225" s="16"/>
      <x:c r="E225" s="16"/>
      <x:c r="F225" s="16"/>
      <x:c r="G225" s="109"/>
      <x:c r="H225" s="16"/>
      <x:c r="I225" s="16"/>
      <x:c r="J225" s="16"/>
      <x:c r="K225" s="16"/>
      <x:c r="L225" s="109"/>
      <x:c r="M225" s="16"/>
      <x:c r="N225" s="16"/>
      <x:c r="O225" s="16"/>
    </x:row>
    <x:row r="226">
      <x:c r="A226" s="16"/>
      <x:c r="B226" s="16"/>
      <x:c r="C226" s="16"/>
      <x:c r="D226" s="16"/>
      <x:c r="E226" s="16"/>
      <x:c r="F226" s="16"/>
      <x:c r="G226" s="109"/>
      <x:c r="H226" s="16"/>
      <x:c r="I226" s="16"/>
      <x:c r="J226" s="16"/>
      <x:c r="K226" s="16"/>
      <x:c r="L226" s="109"/>
      <x:c r="M226" s="16"/>
      <x:c r="N226" s="16"/>
      <x:c r="O226" s="16"/>
    </x:row>
    <x:row r="227">
      <x:c r="A227" s="16"/>
      <x:c r="B227" s="16"/>
      <x:c r="C227" s="16"/>
      <x:c r="D227" s="16"/>
      <x:c r="E227" s="16"/>
      <x:c r="F227" s="16"/>
      <x:c r="G227" s="109"/>
      <x:c r="H227" s="16"/>
      <x:c r="I227" s="16"/>
      <x:c r="J227" s="16"/>
      <x:c r="K227" s="16"/>
      <x:c r="L227" s="109"/>
      <x:c r="M227" s="16"/>
      <x:c r="N227" s="16"/>
      <x:c r="O227" s="16"/>
    </x:row>
    <x:row r="228">
      <x:c r="A228" s="16"/>
      <x:c r="B228" s="16"/>
      <x:c r="C228" s="16"/>
      <x:c r="D228" s="16"/>
      <x:c r="E228" s="16"/>
      <x:c r="F228" s="16"/>
      <x:c r="G228" s="109"/>
      <x:c r="H228" s="16"/>
      <x:c r="I228" s="16"/>
      <x:c r="J228" s="16"/>
      <x:c r="K228" s="16"/>
      <x:c r="L228" s="109"/>
      <x:c r="M228" s="16"/>
      <x:c r="N228" s="16"/>
      <x:c r="O228" s="16"/>
    </x:row>
    <x:row r="229">
      <x:c r="A229" s="16"/>
      <x:c r="B229" s="16"/>
      <x:c r="C229" s="16"/>
      <x:c r="D229" s="16"/>
      <x:c r="E229" s="16"/>
      <x:c r="F229" s="16"/>
      <x:c r="G229" s="109"/>
      <x:c r="H229" s="16"/>
      <x:c r="I229" s="16"/>
      <x:c r="J229" s="16"/>
      <x:c r="K229" s="16"/>
      <x:c r="L229" s="109"/>
      <x:c r="M229" s="16"/>
      <x:c r="N229" s="16"/>
      <x:c r="O229" s="16"/>
    </x:row>
    <x:row r="230">
      <x:c r="A230" s="16"/>
      <x:c r="B230" s="16"/>
      <x:c r="C230" s="16"/>
      <x:c r="D230" s="16"/>
      <x:c r="E230" s="16"/>
      <x:c r="F230" s="16"/>
      <x:c r="G230" s="109"/>
      <x:c r="H230" s="16"/>
      <x:c r="I230" s="16"/>
      <x:c r="J230" s="16"/>
      <x:c r="K230" s="16"/>
      <x:c r="L230" s="109"/>
      <x:c r="M230" s="16"/>
      <x:c r="N230" s="16"/>
      <x:c r="O230" s="16"/>
    </x:row>
    <x:row r="231">
      <x:c r="A231" s="16"/>
      <x:c r="B231" s="16"/>
      <x:c r="C231" s="16"/>
      <x:c r="D231" s="16"/>
      <x:c r="E231" s="16"/>
      <x:c r="F231" s="16"/>
      <x:c r="G231" s="109"/>
      <x:c r="H231" s="16"/>
      <x:c r="I231" s="16"/>
      <x:c r="J231" s="16"/>
      <x:c r="K231" s="16"/>
      <x:c r="L231" s="109"/>
      <x:c r="M231" s="16"/>
      <x:c r="N231" s="16"/>
      <x:c r="O231" s="16"/>
    </x:row>
    <x:row r="232">
      <x:c r="A232" s="16"/>
      <x:c r="B232" s="16"/>
      <x:c r="C232" s="16"/>
      <x:c r="D232" s="16"/>
      <x:c r="E232" s="16"/>
      <x:c r="F232" s="16"/>
      <x:c r="G232" s="109"/>
      <x:c r="H232" s="16"/>
      <x:c r="I232" s="16"/>
      <x:c r="J232" s="16"/>
      <x:c r="K232" s="16"/>
      <x:c r="L232" s="109"/>
      <x:c r="M232" s="16"/>
      <x:c r="N232" s="16"/>
      <x:c r="O232" s="16"/>
    </x:row>
    <x:row r="233">
      <x:c r="A233" s="16"/>
      <x:c r="B233" s="16"/>
      <x:c r="C233" s="16"/>
      <x:c r="D233" s="16"/>
      <x:c r="E233" s="16"/>
      <x:c r="F233" s="16"/>
      <x:c r="G233" s="109"/>
      <x:c r="H233" s="16"/>
      <x:c r="I233" s="16"/>
      <x:c r="J233" s="16"/>
      <x:c r="K233" s="16"/>
      <x:c r="L233" s="109"/>
      <x:c r="M233" s="16"/>
      <x:c r="N233" s="16"/>
      <x:c r="O233" s="16"/>
    </x:row>
    <x:row r="234">
      <x:c r="A234" s="16"/>
      <x:c r="B234" s="16"/>
      <x:c r="C234" s="16"/>
      <x:c r="D234" s="16"/>
      <x:c r="E234" s="16"/>
      <x:c r="F234" s="16"/>
      <x:c r="G234" s="109"/>
      <x:c r="H234" s="16"/>
      <x:c r="I234" s="16"/>
      <x:c r="J234" s="16"/>
      <x:c r="K234" s="16"/>
      <x:c r="L234" s="109"/>
      <x:c r="M234" s="16"/>
      <x:c r="N234" s="16"/>
      <x:c r="O234" s="16"/>
    </x:row>
    <x:row r="235">
      <x:c r="A235" s="16"/>
      <x:c r="B235" s="16"/>
      <x:c r="C235" s="16"/>
      <x:c r="D235" s="16"/>
      <x:c r="E235" s="16"/>
      <x:c r="F235" s="16"/>
      <x:c r="G235" s="109"/>
      <x:c r="H235" s="16"/>
      <x:c r="I235" s="16"/>
      <x:c r="J235" s="16"/>
      <x:c r="K235" s="16"/>
      <x:c r="L235" s="109"/>
      <x:c r="M235" s="16"/>
      <x:c r="N235" s="16"/>
      <x:c r="O235" s="16"/>
    </x:row>
    <x:row r="236">
      <x:c r="A236" s="16"/>
      <x:c r="B236" s="16"/>
      <x:c r="C236" s="16"/>
      <x:c r="D236" s="16"/>
      <x:c r="E236" s="16"/>
      <x:c r="F236" s="16"/>
      <x:c r="G236" s="109"/>
      <x:c r="H236" s="16"/>
      <x:c r="I236" s="16"/>
      <x:c r="J236" s="16"/>
      <x:c r="K236" s="16"/>
      <x:c r="L236" s="109"/>
      <x:c r="M236" s="16"/>
      <x:c r="N236" s="16"/>
      <x:c r="O236" s="16"/>
    </x:row>
    <x:row r="237">
      <x:c r="A237" s="16"/>
      <x:c r="B237" s="16"/>
      <x:c r="C237" s="16"/>
      <x:c r="D237" s="16"/>
      <x:c r="E237" s="16"/>
      <x:c r="F237" s="16"/>
      <x:c r="G237" s="109"/>
      <x:c r="H237" s="16"/>
      <x:c r="I237" s="16"/>
      <x:c r="J237" s="16"/>
      <x:c r="K237" s="16"/>
      <x:c r="L237" s="109"/>
      <x:c r="M237" s="16"/>
      <x:c r="N237" s="16"/>
      <x:c r="O237" s="16"/>
    </x:row>
    <x:row r="238">
      <x:c r="A238" s="16"/>
      <x:c r="B238" s="16"/>
      <x:c r="C238" s="16"/>
      <x:c r="D238" s="16"/>
      <x:c r="E238" s="16"/>
      <x:c r="F238" s="16"/>
      <x:c r="G238" s="109"/>
      <x:c r="H238" s="16"/>
      <x:c r="I238" s="16"/>
      <x:c r="J238" s="16"/>
      <x:c r="K238" s="16"/>
      <x:c r="L238" s="109"/>
      <x:c r="M238" s="16"/>
      <x:c r="N238" s="16"/>
      <x:c r="O238" s="16"/>
    </x:row>
    <x:row r="239">
      <x:c r="A239" s="16"/>
      <x:c r="B239" s="16"/>
      <x:c r="C239" s="16"/>
      <x:c r="D239" s="16"/>
      <x:c r="E239" s="16"/>
      <x:c r="F239" s="16"/>
      <x:c r="G239" s="109"/>
      <x:c r="H239" s="16"/>
      <x:c r="I239" s="16"/>
      <x:c r="J239" s="16"/>
      <x:c r="K239" s="16"/>
      <x:c r="L239" s="109"/>
      <x:c r="M239" s="16"/>
      <x:c r="N239" s="16"/>
      <x:c r="O239" s="16"/>
    </x:row>
    <x:row r="240">
      <x:c r="A240" s="16"/>
      <x:c r="B240" s="16"/>
      <x:c r="C240" s="16"/>
      <x:c r="D240" s="16"/>
      <x:c r="E240" s="16"/>
      <x:c r="F240" s="16"/>
      <x:c r="G240" s="109"/>
      <x:c r="H240" s="16"/>
      <x:c r="I240" s="16"/>
      <x:c r="J240" s="16"/>
      <x:c r="K240" s="16"/>
      <x:c r="L240" s="109"/>
      <x:c r="M240" s="16"/>
      <x:c r="N240" s="16"/>
      <x:c r="O240" s="16"/>
    </x:row>
    <x:row r="241">
      <x:c r="A241" s="16"/>
      <x:c r="B241" s="16"/>
      <x:c r="C241" s="16"/>
      <x:c r="D241" s="16"/>
      <x:c r="E241" s="16"/>
      <x:c r="F241" s="16"/>
      <x:c r="G241" s="109"/>
      <x:c r="H241" s="16"/>
      <x:c r="I241" s="16"/>
      <x:c r="J241" s="16"/>
      <x:c r="K241" s="16"/>
      <x:c r="L241" s="109"/>
      <x:c r="M241" s="16"/>
      <x:c r="N241" s="16"/>
      <x:c r="O241" s="16"/>
    </x:row>
    <x:row r="242">
      <x:c r="A242" s="16"/>
      <x:c r="B242" s="16"/>
      <x:c r="C242" s="16"/>
      <x:c r="D242" s="16"/>
      <x:c r="E242" s="16"/>
      <x:c r="F242" s="16"/>
      <x:c r="G242" s="109"/>
      <x:c r="H242" s="16"/>
      <x:c r="I242" s="16"/>
      <x:c r="J242" s="16"/>
      <x:c r="K242" s="16"/>
      <x:c r="L242" s="109"/>
      <x:c r="M242" s="16"/>
      <x:c r="N242" s="16"/>
      <x:c r="O242" s="16"/>
    </x:row>
    <x:row r="243">
      <x:c r="A243" s="16"/>
      <x:c r="B243" s="16"/>
      <x:c r="C243" s="16"/>
      <x:c r="D243" s="16"/>
      <x:c r="E243" s="16"/>
      <x:c r="F243" s="16"/>
      <x:c r="G243" s="109"/>
      <x:c r="H243" s="16"/>
      <x:c r="I243" s="16"/>
      <x:c r="J243" s="16"/>
      <x:c r="K243" s="16"/>
      <x:c r="L243" s="109"/>
      <x:c r="M243" s="16"/>
      <x:c r="N243" s="16"/>
      <x:c r="O243" s="16"/>
    </x:row>
    <x:row r="244">
      <x:c r="A244" s="16"/>
      <x:c r="B244" s="16"/>
      <x:c r="C244" s="16"/>
      <x:c r="D244" s="16"/>
      <x:c r="E244" s="16"/>
      <x:c r="F244" s="16"/>
      <x:c r="G244" s="109"/>
      <x:c r="H244" s="16"/>
      <x:c r="I244" s="16"/>
      <x:c r="J244" s="16"/>
      <x:c r="K244" s="16"/>
      <x:c r="L244" s="109"/>
      <x:c r="M244" s="16"/>
      <x:c r="N244" s="16"/>
      <x:c r="O244" s="16"/>
    </x:row>
    <x:row r="245">
      <x:c r="A245" s="16"/>
      <x:c r="B245" s="16"/>
      <x:c r="C245" s="16"/>
      <x:c r="D245" s="16"/>
      <x:c r="E245" s="16"/>
      <x:c r="F245" s="16"/>
      <x:c r="G245" s="109"/>
      <x:c r="H245" s="16"/>
      <x:c r="I245" s="16"/>
      <x:c r="J245" s="16"/>
      <x:c r="K245" s="16"/>
      <x:c r="L245" s="109"/>
      <x:c r="M245" s="16"/>
      <x:c r="N245" s="16"/>
      <x:c r="O245" s="16"/>
    </x:row>
    <x:row r="246">
      <x:c r="A246" s="16"/>
      <x:c r="B246" s="16"/>
      <x:c r="C246" s="16"/>
      <x:c r="D246" s="16"/>
      <x:c r="E246" s="16"/>
      <x:c r="F246" s="16"/>
      <x:c r="G246" s="109"/>
      <x:c r="H246" s="16"/>
      <x:c r="I246" s="16"/>
      <x:c r="J246" s="16"/>
      <x:c r="K246" s="16"/>
      <x:c r="L246" s="109"/>
      <x:c r="M246" s="16"/>
      <x:c r="N246" s="16"/>
      <x:c r="O246" s="16"/>
    </x:row>
    <x:row r="247">
      <x:c r="A247" s="16"/>
      <x:c r="B247" s="16"/>
      <x:c r="C247" s="16"/>
      <x:c r="D247" s="16"/>
      <x:c r="E247" s="16"/>
      <x:c r="F247" s="16"/>
      <x:c r="G247" s="109"/>
      <x:c r="H247" s="16"/>
      <x:c r="I247" s="16"/>
      <x:c r="J247" s="16"/>
      <x:c r="K247" s="16"/>
      <x:c r="L247" s="109"/>
      <x:c r="M247" s="16"/>
      <x:c r="N247" s="16"/>
      <x:c r="O247" s="16"/>
    </x:row>
    <x:row r="248">
      <x:c r="A248" s="16"/>
      <x:c r="B248" s="16"/>
      <x:c r="C248" s="16"/>
      <x:c r="D248" s="16"/>
      <x:c r="E248" s="16"/>
      <x:c r="F248" s="16"/>
      <x:c r="G248" s="109"/>
      <x:c r="H248" s="16"/>
      <x:c r="I248" s="16"/>
      <x:c r="J248" s="16"/>
      <x:c r="K248" s="16"/>
      <x:c r="L248" s="109"/>
      <x:c r="M248" s="16"/>
      <x:c r="N248" s="16"/>
      <x:c r="O248" s="16"/>
    </x:row>
    <x:row r="249">
      <x:c r="A249" s="16"/>
      <x:c r="B249" s="16"/>
      <x:c r="C249" s="16"/>
      <x:c r="D249" s="16"/>
      <x:c r="E249" s="16"/>
      <x:c r="F249" s="16"/>
      <x:c r="G249" s="109"/>
      <x:c r="H249" s="16"/>
      <x:c r="I249" s="16"/>
      <x:c r="J249" s="16"/>
      <x:c r="K249" s="16"/>
      <x:c r="L249" s="109"/>
      <x:c r="M249" s="16"/>
      <x:c r="N249" s="16"/>
      <x:c r="O249" s="16"/>
    </x:row>
    <x:row r="250">
      <x:c r="A250" s="16"/>
      <x:c r="B250" s="16"/>
      <x:c r="C250" s="16"/>
      <x:c r="D250" s="16"/>
      <x:c r="E250" s="16"/>
      <x:c r="F250" s="16"/>
      <x:c r="G250" s="109"/>
      <x:c r="H250" s="16"/>
      <x:c r="I250" s="16"/>
      <x:c r="J250" s="16"/>
      <x:c r="K250" s="16"/>
      <x:c r="L250" s="109"/>
      <x:c r="M250" s="16"/>
      <x:c r="N250" s="16"/>
      <x:c r="O250" s="16"/>
    </x:row>
    <x:row r="251">
      <x:c r="A251" s="16"/>
      <x:c r="B251" s="16"/>
      <x:c r="C251" s="16"/>
      <x:c r="D251" s="16"/>
      <x:c r="E251" s="16"/>
      <x:c r="F251" s="16"/>
      <x:c r="G251" s="109"/>
      <x:c r="H251" s="16"/>
      <x:c r="I251" s="16"/>
      <x:c r="J251" s="16"/>
      <x:c r="K251" s="16"/>
      <x:c r="L251" s="109"/>
      <x:c r="M251" s="16"/>
      <x:c r="N251" s="16"/>
      <x:c r="O251" s="16"/>
    </x:row>
    <x:row r="252">
      <x:c r="A252" s="16"/>
      <x:c r="B252" s="16"/>
      <x:c r="C252" s="16"/>
      <x:c r="D252" s="16"/>
      <x:c r="E252" s="16"/>
      <x:c r="F252" s="16"/>
      <x:c r="G252" s="109"/>
      <x:c r="H252" s="16"/>
      <x:c r="I252" s="16"/>
      <x:c r="J252" s="16"/>
      <x:c r="K252" s="16"/>
      <x:c r="L252" s="109"/>
      <x:c r="M252" s="16"/>
      <x:c r="N252" s="16"/>
      <x:c r="O252" s="16"/>
    </x:row>
    <x:row r="253">
      <x:c r="A253" s="16"/>
      <x:c r="B253" s="16"/>
      <x:c r="C253" s="16"/>
      <x:c r="D253" s="16"/>
      <x:c r="E253" s="16"/>
      <x:c r="F253" s="16"/>
      <x:c r="G253" s="109"/>
      <x:c r="H253" s="16"/>
      <x:c r="I253" s="16"/>
      <x:c r="J253" s="16"/>
      <x:c r="K253" s="16"/>
      <x:c r="L253" s="109"/>
      <x:c r="M253" s="16"/>
      <x:c r="N253" s="16"/>
      <x:c r="O253" s="16"/>
    </x:row>
    <x:row r="254">
      <x:c r="A254" s="16"/>
      <x:c r="B254" s="16"/>
      <x:c r="C254" s="16"/>
      <x:c r="D254" s="16"/>
      <x:c r="E254" s="16"/>
      <x:c r="F254" s="16"/>
      <x:c r="G254" s="109"/>
      <x:c r="H254" s="16"/>
      <x:c r="I254" s="16"/>
      <x:c r="J254" s="16"/>
      <x:c r="K254" s="16"/>
      <x:c r="L254" s="109"/>
      <x:c r="M254" s="16"/>
      <x:c r="N254" s="16"/>
      <x:c r="O254" s="16"/>
    </x:row>
    <x:row r="255">
      <x:c r="A255" s="16"/>
      <x:c r="B255" s="16"/>
      <x:c r="C255" s="16"/>
      <x:c r="D255" s="16"/>
      <x:c r="E255" s="16"/>
      <x:c r="F255" s="16"/>
      <x:c r="G255" s="109"/>
      <x:c r="H255" s="16"/>
      <x:c r="I255" s="16"/>
      <x:c r="J255" s="16"/>
      <x:c r="K255" s="16"/>
      <x:c r="L255" s="109"/>
      <x:c r="M255" s="16"/>
      <x:c r="N255" s="16"/>
      <x:c r="O255" s="16"/>
    </x:row>
    <x:row r="256">
      <x:c r="A256" s="16"/>
      <x:c r="B256" s="16"/>
      <x:c r="C256" s="16"/>
      <x:c r="D256" s="16"/>
      <x:c r="E256" s="16"/>
      <x:c r="F256" s="16"/>
      <x:c r="G256" s="109"/>
      <x:c r="H256" s="16"/>
      <x:c r="I256" s="16"/>
      <x:c r="J256" s="16"/>
      <x:c r="K256" s="16"/>
      <x:c r="L256" s="109"/>
      <x:c r="M256" s="16"/>
      <x:c r="N256" s="16"/>
      <x:c r="O256" s="16"/>
    </x:row>
    <x:row r="257">
      <x:c r="A257" s="16"/>
      <x:c r="B257" s="16"/>
      <x:c r="C257" s="16"/>
      <x:c r="D257" s="16"/>
      <x:c r="E257" s="16"/>
      <x:c r="F257" s="16"/>
      <x:c r="G257" s="109"/>
      <x:c r="H257" s="16"/>
      <x:c r="I257" s="16"/>
      <x:c r="J257" s="16"/>
      <x:c r="K257" s="16"/>
      <x:c r="L257" s="109"/>
      <x:c r="M257" s="16"/>
      <x:c r="N257" s="16"/>
      <x:c r="O257" s="16"/>
    </x:row>
    <x:row r="258">
      <x:c r="A258" s="16"/>
      <x:c r="B258" s="16"/>
      <x:c r="C258" s="16"/>
      <x:c r="D258" s="16"/>
      <x:c r="E258" s="16"/>
      <x:c r="F258" s="16"/>
      <x:c r="G258" s="109"/>
      <x:c r="H258" s="16"/>
      <x:c r="I258" s="16"/>
      <x:c r="J258" s="16"/>
      <x:c r="K258" s="16"/>
      <x:c r="L258" s="109"/>
      <x:c r="M258" s="16"/>
      <x:c r="N258" s="16"/>
      <x:c r="O258" s="16"/>
    </x:row>
    <x:row r="259">
      <x:c r="A259" s="16"/>
      <x:c r="B259" s="16"/>
      <x:c r="C259" s="16"/>
      <x:c r="D259" s="16"/>
      <x:c r="E259" s="16"/>
      <x:c r="F259" s="16"/>
      <x:c r="G259" s="109"/>
      <x:c r="H259" s="16"/>
      <x:c r="I259" s="16"/>
      <x:c r="J259" s="16"/>
      <x:c r="K259" s="16"/>
      <x:c r="L259" s="109"/>
      <x:c r="M259" s="16"/>
      <x:c r="N259" s="16"/>
      <x:c r="O259" s="16"/>
    </x:row>
    <x:row r="260">
      <x:c r="A260" s="16"/>
      <x:c r="B260" s="16"/>
      <x:c r="C260" s="16"/>
      <x:c r="D260" s="16"/>
      <x:c r="E260" s="16"/>
      <x:c r="F260" s="16"/>
      <x:c r="G260" s="109"/>
      <x:c r="H260" s="16"/>
      <x:c r="I260" s="16"/>
      <x:c r="J260" s="16"/>
      <x:c r="K260" s="16"/>
      <x:c r="L260" s="109"/>
      <x:c r="M260" s="16"/>
      <x:c r="N260" s="16"/>
      <x:c r="O260" s="16"/>
    </x:row>
    <x:row r="261">
      <x:c r="A261" s="16"/>
      <x:c r="B261" s="16"/>
      <x:c r="C261" s="16"/>
      <x:c r="D261" s="16"/>
      <x:c r="E261" s="16"/>
      <x:c r="F261" s="16"/>
      <x:c r="G261" s="109"/>
      <x:c r="H261" s="16"/>
      <x:c r="I261" s="16"/>
      <x:c r="J261" s="16"/>
      <x:c r="K261" s="16"/>
      <x:c r="L261" s="109"/>
      <x:c r="M261" s="16"/>
      <x:c r="N261" s="16"/>
      <x:c r="O261" s="16"/>
    </x:row>
    <x:row r="262">
      <x:c r="A262" s="16"/>
      <x:c r="B262" s="16"/>
      <x:c r="C262" s="16"/>
      <x:c r="D262" s="16"/>
      <x:c r="E262" s="16"/>
      <x:c r="F262" s="16"/>
      <x:c r="G262" s="109"/>
      <x:c r="H262" s="16"/>
      <x:c r="I262" s="16"/>
      <x:c r="J262" s="16"/>
      <x:c r="K262" s="16"/>
      <x:c r="L262" s="109"/>
      <x:c r="M262" s="16"/>
      <x:c r="N262" s="16"/>
      <x:c r="O262" s="16"/>
    </x:row>
    <x:row r="263">
      <x:c r="A263" s="16"/>
      <x:c r="B263" s="16"/>
      <x:c r="C263" s="16"/>
      <x:c r="D263" s="16"/>
      <x:c r="E263" s="16"/>
      <x:c r="F263" s="16"/>
      <x:c r="G263" s="109"/>
      <x:c r="H263" s="16"/>
      <x:c r="I263" s="16"/>
      <x:c r="J263" s="16"/>
      <x:c r="K263" s="16"/>
      <x:c r="L263" s="109"/>
      <x:c r="M263" s="16"/>
      <x:c r="N263" s="16"/>
      <x:c r="O263" s="16"/>
    </x:row>
    <x:row r="264">
      <x:c r="A264" s="16"/>
      <x:c r="B264" s="16"/>
      <x:c r="C264" s="16"/>
      <x:c r="D264" s="16"/>
      <x:c r="E264" s="16"/>
      <x:c r="F264" s="16"/>
      <x:c r="G264" s="109"/>
      <x:c r="H264" s="16"/>
      <x:c r="I264" s="16"/>
      <x:c r="J264" s="16"/>
      <x:c r="K264" s="16"/>
      <x:c r="L264" s="109"/>
      <x:c r="M264" s="16"/>
      <x:c r="N264" s="16"/>
      <x:c r="O264" s="16"/>
    </x:row>
    <x:row r="265">
      <x:c r="A265" s="16"/>
      <x:c r="B265" s="16"/>
      <x:c r="C265" s="16"/>
      <x:c r="D265" s="16"/>
      <x:c r="E265" s="16"/>
      <x:c r="F265" s="16"/>
      <x:c r="G265" s="109"/>
      <x:c r="H265" s="16"/>
      <x:c r="I265" s="16"/>
      <x:c r="J265" s="16"/>
      <x:c r="K265" s="16"/>
      <x:c r="L265" s="109"/>
      <x:c r="M265" s="16"/>
      <x:c r="N265" s="16"/>
      <x:c r="O265" s="16"/>
    </x:row>
    <x:row r="266">
      <x:c r="A266" s="16"/>
      <x:c r="B266" s="16"/>
      <x:c r="C266" s="16"/>
      <x:c r="D266" s="16"/>
      <x:c r="E266" s="16"/>
      <x:c r="F266" s="16"/>
      <x:c r="G266" s="109"/>
      <x:c r="H266" s="16"/>
      <x:c r="I266" s="16"/>
      <x:c r="J266" s="16"/>
      <x:c r="K266" s="16"/>
      <x:c r="L266" s="109"/>
      <x:c r="M266" s="16"/>
      <x:c r="N266" s="16"/>
      <x:c r="O266" s="16"/>
    </x:row>
    <x:row r="267">
      <x:c r="A267" s="16"/>
      <x:c r="B267" s="16"/>
      <x:c r="C267" s="16"/>
      <x:c r="D267" s="16"/>
      <x:c r="E267" s="16"/>
      <x:c r="F267" s="16"/>
      <x:c r="G267" s="109"/>
      <x:c r="H267" s="16"/>
      <x:c r="I267" s="16"/>
      <x:c r="J267" s="16"/>
      <x:c r="K267" s="16"/>
      <x:c r="L267" s="109"/>
      <x:c r="M267" s="16"/>
      <x:c r="N267" s="16"/>
      <x:c r="O267" s="16"/>
    </x:row>
    <x:row r="268">
      <x:c r="A268" s="16"/>
      <x:c r="B268" s="16"/>
      <x:c r="C268" s="16"/>
      <x:c r="D268" s="16"/>
      <x:c r="E268" s="16"/>
      <x:c r="F268" s="16"/>
      <x:c r="G268" s="109"/>
      <x:c r="H268" s="16"/>
      <x:c r="I268" s="16"/>
      <x:c r="J268" s="16"/>
      <x:c r="K268" s="16"/>
      <x:c r="L268" s="109"/>
      <x:c r="M268" s="16"/>
      <x:c r="N268" s="16"/>
      <x:c r="O268" s="16"/>
    </x:row>
    <x:row r="269">
      <x:c r="A269" s="16"/>
      <x:c r="B269" s="16"/>
      <x:c r="C269" s="16"/>
      <x:c r="D269" s="16"/>
      <x:c r="E269" s="16"/>
      <x:c r="F269" s="16"/>
      <x:c r="G269" s="109"/>
      <x:c r="H269" s="16"/>
      <x:c r="I269" s="16"/>
      <x:c r="J269" s="16"/>
      <x:c r="K269" s="16"/>
      <x:c r="L269" s="109"/>
      <x:c r="M269" s="16"/>
      <x:c r="N269" s="16"/>
      <x:c r="O269" s="16"/>
    </x:row>
    <x:row r="270">
      <x:c r="A270" s="16"/>
      <x:c r="B270" s="16"/>
      <x:c r="C270" s="16"/>
      <x:c r="D270" s="16"/>
      <x:c r="E270" s="16"/>
      <x:c r="F270" s="16"/>
      <x:c r="G270" s="109"/>
      <x:c r="H270" s="16"/>
      <x:c r="I270" s="16"/>
      <x:c r="J270" s="16"/>
      <x:c r="K270" s="16"/>
      <x:c r="L270" s="109"/>
      <x:c r="M270" s="16"/>
      <x:c r="N270" s="16"/>
      <x:c r="O270" s="16"/>
    </x:row>
    <x:row r="271">
      <x:c r="A271" s="16"/>
      <x:c r="B271" s="16"/>
      <x:c r="C271" s="16"/>
      <x:c r="D271" s="16"/>
      <x:c r="E271" s="16"/>
      <x:c r="F271" s="16"/>
      <x:c r="G271" s="109"/>
      <x:c r="H271" s="16"/>
      <x:c r="I271" s="16"/>
      <x:c r="J271" s="16"/>
      <x:c r="K271" s="16"/>
      <x:c r="L271" s="109"/>
      <x:c r="M271" s="16"/>
      <x:c r="N271" s="16"/>
      <x:c r="O271" s="16"/>
    </x:row>
    <x:row r="272">
      <x:c r="A272" s="16"/>
      <x:c r="B272" s="16"/>
      <x:c r="C272" s="16"/>
      <x:c r="D272" s="16"/>
      <x:c r="E272" s="16"/>
      <x:c r="F272" s="16"/>
      <x:c r="G272" s="109"/>
      <x:c r="H272" s="16"/>
      <x:c r="I272" s="16"/>
      <x:c r="J272" s="16"/>
      <x:c r="K272" s="16"/>
      <x:c r="L272" s="109"/>
      <x:c r="M272" s="16"/>
      <x:c r="N272" s="16"/>
      <x:c r="O272" s="16"/>
    </x:row>
    <x:row r="273">
      <x:c r="A273" s="16"/>
      <x:c r="B273" s="16"/>
      <x:c r="C273" s="16"/>
      <x:c r="D273" s="16"/>
      <x:c r="E273" s="16"/>
      <x:c r="F273" s="16"/>
      <x:c r="G273" s="109"/>
      <x:c r="H273" s="16"/>
      <x:c r="I273" s="16"/>
      <x:c r="J273" s="16"/>
      <x:c r="K273" s="16"/>
      <x:c r="L273" s="109"/>
      <x:c r="M273" s="16"/>
      <x:c r="N273" s="16"/>
      <x:c r="O273" s="16"/>
    </x:row>
    <x:row r="274">
      <x:c r="A274" s="16"/>
      <x:c r="B274" s="16"/>
      <x:c r="C274" s="16"/>
      <x:c r="D274" s="16"/>
      <x:c r="E274" s="16"/>
      <x:c r="F274" s="16"/>
      <x:c r="G274" s="109"/>
      <x:c r="H274" s="16"/>
      <x:c r="I274" s="16"/>
      <x:c r="J274" s="16"/>
      <x:c r="K274" s="16"/>
      <x:c r="L274" s="109"/>
      <x:c r="M274" s="16"/>
      <x:c r="N274" s="16"/>
      <x:c r="O274" s="16"/>
    </x:row>
    <x:row r="275">
      <x:c r="A275" s="16"/>
      <x:c r="B275" s="16"/>
      <x:c r="C275" s="16"/>
      <x:c r="D275" s="16"/>
      <x:c r="E275" s="16"/>
      <x:c r="F275" s="16"/>
      <x:c r="G275" s="109"/>
      <x:c r="H275" s="16"/>
      <x:c r="I275" s="16"/>
      <x:c r="J275" s="16"/>
      <x:c r="K275" s="16"/>
      <x:c r="L275" s="109"/>
      <x:c r="M275" s="16"/>
      <x:c r="N275" s="16"/>
      <x:c r="O275" s="16"/>
    </x:row>
    <x:row r="276">
      <x:c r="A276" s="16"/>
      <x:c r="B276" s="16"/>
      <x:c r="C276" s="16"/>
      <x:c r="D276" s="16"/>
      <x:c r="E276" s="16"/>
      <x:c r="F276" s="16"/>
      <x:c r="G276" s="109"/>
      <x:c r="H276" s="16"/>
      <x:c r="I276" s="16"/>
      <x:c r="J276" s="16"/>
      <x:c r="K276" s="16"/>
      <x:c r="L276" s="109"/>
      <x:c r="M276" s="16"/>
      <x:c r="N276" s="16"/>
      <x:c r="O276" s="16"/>
    </x:row>
    <x:row r="277">
      <x:c r="A277" s="16"/>
      <x:c r="B277" s="16"/>
      <x:c r="C277" s="16"/>
      <x:c r="D277" s="16"/>
      <x:c r="E277" s="16"/>
      <x:c r="F277" s="16"/>
      <x:c r="G277" s="109"/>
      <x:c r="H277" s="16"/>
      <x:c r="I277" s="16"/>
      <x:c r="J277" s="16"/>
      <x:c r="K277" s="16"/>
      <x:c r="L277" s="109"/>
      <x:c r="M277" s="16"/>
      <x:c r="N277" s="16"/>
      <x:c r="O277" s="16"/>
    </x:row>
    <x:row r="278">
      <x:c r="A278" s="16"/>
      <x:c r="B278" s="16"/>
      <x:c r="C278" s="16"/>
      <x:c r="D278" s="16"/>
      <x:c r="E278" s="16"/>
      <x:c r="F278" s="16"/>
      <x:c r="G278" s="109"/>
      <x:c r="H278" s="16"/>
      <x:c r="I278" s="16"/>
      <x:c r="J278" s="16"/>
      <x:c r="K278" s="16"/>
      <x:c r="L278" s="109"/>
      <x:c r="M278" s="16"/>
      <x:c r="N278" s="16"/>
      <x:c r="O278" s="16"/>
    </x:row>
    <x:row r="279">
      <x:c r="A279" s="16"/>
      <x:c r="B279" s="16"/>
      <x:c r="C279" s="16"/>
      <x:c r="D279" s="16"/>
      <x:c r="E279" s="16"/>
      <x:c r="F279" s="16"/>
      <x:c r="G279" s="109"/>
      <x:c r="H279" s="16"/>
      <x:c r="I279" s="16"/>
      <x:c r="J279" s="16"/>
      <x:c r="K279" s="16"/>
      <x:c r="L279" s="109"/>
      <x:c r="M279" s="16"/>
      <x:c r="N279" s="16"/>
      <x:c r="O279" s="16"/>
    </x:row>
    <x:row r="280">
      <x:c r="A280" s="16"/>
      <x:c r="B280" s="16"/>
      <x:c r="C280" s="16"/>
      <x:c r="D280" s="16"/>
      <x:c r="E280" s="16"/>
      <x:c r="F280" s="16"/>
      <x:c r="G280" s="109"/>
      <x:c r="H280" s="16"/>
      <x:c r="I280" s="16"/>
      <x:c r="J280" s="16"/>
      <x:c r="K280" s="16"/>
      <x:c r="L280" s="109"/>
      <x:c r="M280" s="16"/>
      <x:c r="N280" s="16"/>
      <x:c r="O280" s="16"/>
    </x:row>
    <x:row r="281">
      <x:c r="A281" s="16"/>
      <x:c r="B281" s="16"/>
      <x:c r="C281" s="16"/>
      <x:c r="D281" s="16"/>
      <x:c r="E281" s="16"/>
      <x:c r="F281" s="16"/>
      <x:c r="G281" s="109"/>
      <x:c r="H281" s="16"/>
      <x:c r="I281" s="16"/>
      <x:c r="J281" s="16"/>
      <x:c r="K281" s="16"/>
      <x:c r="L281" s="109"/>
      <x:c r="M281" s="16"/>
      <x:c r="N281" s="16"/>
      <x:c r="O281" s="16"/>
    </x:row>
    <x:row r="282">
      <x:c r="A282" s="16"/>
      <x:c r="B282" s="16"/>
      <x:c r="C282" s="16"/>
      <x:c r="D282" s="16"/>
      <x:c r="E282" s="16"/>
      <x:c r="F282" s="16"/>
      <x:c r="G282" s="109"/>
      <x:c r="H282" s="16"/>
      <x:c r="I282" s="16"/>
      <x:c r="J282" s="16"/>
      <x:c r="K282" s="16"/>
      <x:c r="L282" s="109"/>
      <x:c r="M282" s="16"/>
      <x:c r="N282" s="16"/>
      <x:c r="O282" s="16"/>
    </x:row>
    <x:row r="283">
      <x:c r="A283" s="16"/>
      <x:c r="B283" s="16"/>
      <x:c r="C283" s="16"/>
      <x:c r="D283" s="16"/>
      <x:c r="E283" s="16"/>
      <x:c r="F283" s="16"/>
      <x:c r="G283" s="109"/>
      <x:c r="H283" s="16"/>
      <x:c r="I283" s="16"/>
      <x:c r="J283" s="16"/>
      <x:c r="K283" s="16"/>
      <x:c r="L283" s="109"/>
      <x:c r="M283" s="16"/>
      <x:c r="N283" s="16"/>
      <x:c r="O283" s="16"/>
    </x:row>
    <x:row r="284">
      <x:c r="A284" s="16"/>
      <x:c r="B284" s="16"/>
      <x:c r="C284" s="16"/>
      <x:c r="D284" s="16"/>
      <x:c r="E284" s="16"/>
      <x:c r="F284" s="16"/>
      <x:c r="G284" s="109"/>
      <x:c r="H284" s="16"/>
      <x:c r="I284" s="16"/>
      <x:c r="J284" s="16"/>
      <x:c r="K284" s="16"/>
      <x:c r="L284" s="109"/>
      <x:c r="M284" s="16"/>
      <x:c r="N284" s="16"/>
      <x:c r="O284" s="16"/>
    </x:row>
    <x:row r="285">
      <x:c r="A285" s="16"/>
      <x:c r="B285" s="16"/>
      <x:c r="C285" s="16"/>
      <x:c r="D285" s="16"/>
      <x:c r="E285" s="16"/>
      <x:c r="F285" s="16"/>
      <x:c r="G285" s="109"/>
      <x:c r="H285" s="16"/>
      <x:c r="I285" s="16"/>
      <x:c r="J285" s="16"/>
      <x:c r="K285" s="16"/>
      <x:c r="L285" s="109"/>
      <x:c r="M285" s="16"/>
      <x:c r="N285" s="16"/>
      <x:c r="O285" s="16"/>
    </x:row>
    <x:row r="286">
      <x:c r="A286" s="16"/>
      <x:c r="B286" s="16"/>
      <x:c r="C286" s="16"/>
      <x:c r="D286" s="16"/>
      <x:c r="E286" s="16"/>
      <x:c r="F286" s="16"/>
      <x:c r="G286" s="109"/>
      <x:c r="H286" s="16"/>
      <x:c r="I286" s="16"/>
      <x:c r="J286" s="16"/>
      <x:c r="K286" s="16"/>
      <x:c r="L286" s="109"/>
      <x:c r="M286" s="16"/>
      <x:c r="N286" s="16"/>
      <x:c r="O286" s="16"/>
    </x:row>
    <x:row r="287">
      <x:c r="A287" s="16"/>
      <x:c r="B287" s="16"/>
      <x:c r="C287" s="16"/>
      <x:c r="D287" s="16"/>
      <x:c r="E287" s="16"/>
      <x:c r="F287" s="16"/>
      <x:c r="G287" s="109"/>
      <x:c r="H287" s="16"/>
      <x:c r="I287" s="16"/>
      <x:c r="J287" s="16"/>
      <x:c r="K287" s="16"/>
      <x:c r="L287" s="109"/>
      <x:c r="M287" s="16"/>
      <x:c r="N287" s="16"/>
      <x:c r="O287" s="16"/>
    </x:row>
    <x:row r="288">
      <x:c r="A288" s="16"/>
      <x:c r="B288" s="16"/>
      <x:c r="C288" s="16"/>
      <x:c r="D288" s="16"/>
      <x:c r="E288" s="16"/>
      <x:c r="F288" s="16"/>
      <x:c r="G288" s="109"/>
      <x:c r="H288" s="16"/>
      <x:c r="I288" s="16"/>
      <x:c r="J288" s="16"/>
      <x:c r="K288" s="16"/>
      <x:c r="L288" s="109"/>
      <x:c r="M288" s="16"/>
      <x:c r="N288" s="16"/>
      <x:c r="O288" s="16"/>
    </x:row>
    <x:row r="289">
      <x:c r="A289" s="16"/>
      <x:c r="B289" s="16"/>
      <x:c r="C289" s="16"/>
      <x:c r="D289" s="16"/>
      <x:c r="E289" s="16"/>
      <x:c r="F289" s="16"/>
      <x:c r="G289" s="109"/>
      <x:c r="H289" s="16"/>
      <x:c r="I289" s="16"/>
      <x:c r="J289" s="16"/>
      <x:c r="K289" s="16"/>
      <x:c r="L289" s="109"/>
      <x:c r="M289" s="16"/>
      <x:c r="N289" s="16"/>
      <x:c r="O289" s="16"/>
    </x:row>
    <x:row r="290">
      <x:c r="A290" s="16"/>
      <x:c r="B290" s="16"/>
      <x:c r="C290" s="16"/>
      <x:c r="D290" s="16"/>
      <x:c r="E290" s="16"/>
      <x:c r="F290" s="16"/>
      <x:c r="G290" s="109"/>
      <x:c r="H290" s="16"/>
      <x:c r="I290" s="16"/>
      <x:c r="J290" s="16"/>
      <x:c r="K290" s="16"/>
      <x:c r="L290" s="109"/>
      <x:c r="M290" s="16"/>
      <x:c r="N290" s="16"/>
      <x:c r="O290" s="16"/>
    </x:row>
    <x:row r="291">
      <x:c r="A291" s="16"/>
      <x:c r="B291" s="16"/>
      <x:c r="C291" s="16"/>
      <x:c r="D291" s="16"/>
      <x:c r="E291" s="16"/>
      <x:c r="F291" s="16"/>
      <x:c r="G291" s="109"/>
      <x:c r="H291" s="16"/>
      <x:c r="I291" s="16"/>
      <x:c r="J291" s="16"/>
      <x:c r="K291" s="16"/>
      <x:c r="L291" s="109"/>
      <x:c r="M291" s="16"/>
      <x:c r="N291" s="16"/>
      <x:c r="O291" s="16"/>
    </x:row>
    <x:row r="292">
      <x:c r="A292" s="16"/>
      <x:c r="B292" s="16"/>
      <x:c r="C292" s="16"/>
      <x:c r="D292" s="16"/>
      <x:c r="E292" s="16"/>
      <x:c r="F292" s="16"/>
      <x:c r="G292" s="109"/>
      <x:c r="H292" s="16"/>
      <x:c r="I292" s="16"/>
      <x:c r="J292" s="16"/>
      <x:c r="K292" s="16"/>
      <x:c r="L292" s="109"/>
      <x:c r="M292" s="16"/>
      <x:c r="N292" s="16"/>
      <x:c r="O292" s="16"/>
    </x:row>
    <x:row r="293">
      <x:c r="A293" s="16"/>
      <x:c r="B293" s="16"/>
      <x:c r="C293" s="16"/>
      <x:c r="D293" s="16"/>
      <x:c r="E293" s="16"/>
      <x:c r="F293" s="16"/>
      <x:c r="G293" s="109"/>
      <x:c r="H293" s="16"/>
      <x:c r="I293" s="16"/>
      <x:c r="J293" s="16"/>
      <x:c r="K293" s="16"/>
      <x:c r="L293" s="109"/>
      <x:c r="M293" s="16"/>
      <x:c r="N293" s="16"/>
      <x:c r="O293" s="16"/>
    </x:row>
    <x:row r="294">
      <x:c r="A294" s="16"/>
      <x:c r="B294" s="16"/>
      <x:c r="C294" s="16"/>
      <x:c r="D294" s="16"/>
      <x:c r="E294" s="16"/>
      <x:c r="F294" s="16"/>
      <x:c r="G294" s="109"/>
      <x:c r="H294" s="16"/>
      <x:c r="I294" s="16"/>
      <x:c r="J294" s="16"/>
      <x:c r="K294" s="16"/>
      <x:c r="L294" s="109"/>
      <x:c r="M294" s="16"/>
      <x:c r="N294" s="16"/>
      <x:c r="O294" s="16"/>
    </x:row>
    <x:row r="295">
      <x:c r="A295" s="16"/>
      <x:c r="B295" s="16"/>
      <x:c r="C295" s="16"/>
      <x:c r="D295" s="16"/>
      <x:c r="E295" s="16"/>
      <x:c r="F295" s="16"/>
      <x:c r="G295" s="109"/>
      <x:c r="H295" s="16"/>
      <x:c r="I295" s="16"/>
      <x:c r="J295" s="16"/>
      <x:c r="K295" s="16"/>
      <x:c r="L295" s="109"/>
      <x:c r="M295" s="16"/>
      <x:c r="N295" s="16"/>
      <x:c r="O295" s="16"/>
    </x:row>
    <x:row r="296">
      <x:c r="A296" s="16"/>
      <x:c r="B296" s="16"/>
      <x:c r="C296" s="16"/>
      <x:c r="D296" s="16"/>
      <x:c r="E296" s="16"/>
      <x:c r="F296" s="16"/>
      <x:c r="G296" s="109"/>
      <x:c r="H296" s="16"/>
      <x:c r="I296" s="16"/>
      <x:c r="J296" s="16"/>
      <x:c r="K296" s="16"/>
      <x:c r="L296" s="109"/>
      <x:c r="M296" s="16"/>
      <x:c r="N296" s="16"/>
      <x:c r="O296" s="16"/>
    </x:row>
    <x:row r="297">
      <x:c r="A297" s="16"/>
      <x:c r="B297" s="16"/>
      <x:c r="C297" s="16"/>
      <x:c r="D297" s="16"/>
      <x:c r="E297" s="16"/>
      <x:c r="F297" s="16"/>
      <x:c r="G297" s="109"/>
      <x:c r="H297" s="16"/>
      <x:c r="I297" s="16"/>
      <x:c r="J297" s="16"/>
      <x:c r="K297" s="16"/>
      <x:c r="L297" s="109"/>
      <x:c r="M297" s="16"/>
      <x:c r="N297" s="16"/>
      <x:c r="O297" s="16"/>
    </x:row>
    <x:row r="298">
      <x:c r="A298" s="16"/>
      <x:c r="B298" s="16"/>
      <x:c r="C298" s="16"/>
      <x:c r="D298" s="16"/>
      <x:c r="E298" s="16"/>
      <x:c r="F298" s="16"/>
      <x:c r="G298" s="109"/>
      <x:c r="H298" s="16"/>
      <x:c r="I298" s="16"/>
      <x:c r="J298" s="16"/>
      <x:c r="K298" s="16"/>
      <x:c r="L298" s="109"/>
      <x:c r="M298" s="16"/>
      <x:c r="N298" s="16"/>
      <x:c r="O298" s="16"/>
    </x:row>
    <x:row r="299">
      <x:c r="A299" s="16"/>
      <x:c r="B299" s="16"/>
      <x:c r="C299" s="16"/>
      <x:c r="D299" s="16"/>
      <x:c r="E299" s="16"/>
      <x:c r="F299" s="16"/>
      <x:c r="G299" s="109"/>
      <x:c r="H299" s="16"/>
      <x:c r="I299" s="16"/>
      <x:c r="J299" s="16"/>
      <x:c r="K299" s="16"/>
      <x:c r="L299" s="109"/>
      <x:c r="M299" s="16"/>
      <x:c r="N299" s="16"/>
      <x:c r="O299" s="16"/>
    </x:row>
    <x:row r="300">
      <x:c r="A300" s="16"/>
      <x:c r="B300" s="16"/>
      <x:c r="C300" s="16"/>
      <x:c r="D300" s="16"/>
      <x:c r="E300" s="16"/>
      <x:c r="F300" s="16"/>
      <x:c r="G300" s="109"/>
      <x:c r="H300" s="16"/>
      <x:c r="I300" s="16"/>
      <x:c r="J300" s="16"/>
      <x:c r="K300" s="16"/>
      <x:c r="L300" s="109"/>
      <x:c r="M300" s="16"/>
      <x:c r="N300" s="16"/>
      <x:c r="O300" s="16"/>
    </x:row>
    <x:row r="301">
      <x:c r="A301" s="16"/>
      <x:c r="B301" s="16"/>
      <x:c r="C301" s="16"/>
      <x:c r="D301" s="16"/>
      <x:c r="E301" s="16"/>
      <x:c r="F301" s="16"/>
      <x:c r="G301" s="109"/>
      <x:c r="H301" s="16"/>
      <x:c r="I301" s="16"/>
      <x:c r="J301" s="16"/>
      <x:c r="K301" s="16"/>
      <x:c r="L301" s="109"/>
      <x:c r="M301" s="16"/>
      <x:c r="N301" s="16"/>
      <x:c r="O301" s="16"/>
    </x:row>
    <x:row r="302">
      <x:c r="A302" s="16"/>
      <x:c r="B302" s="16"/>
      <x:c r="C302" s="16"/>
      <x:c r="D302" s="16"/>
      <x:c r="E302" s="16"/>
      <x:c r="F302" s="16"/>
      <x:c r="G302" s="109"/>
      <x:c r="H302" s="16"/>
      <x:c r="I302" s="16"/>
      <x:c r="J302" s="16"/>
      <x:c r="K302" s="16"/>
      <x:c r="L302" s="109"/>
      <x:c r="M302" s="16"/>
      <x:c r="N302" s="16"/>
      <x:c r="O302" s="16"/>
    </x:row>
    <x:row r="303">
      <x:c r="A303" s="16"/>
      <x:c r="B303" s="16"/>
      <x:c r="C303" s="16"/>
      <x:c r="D303" s="16"/>
      <x:c r="E303" s="16"/>
      <x:c r="F303" s="16"/>
      <x:c r="G303" s="109"/>
      <x:c r="H303" s="16"/>
      <x:c r="I303" s="16"/>
      <x:c r="J303" s="16"/>
      <x:c r="K303" s="16"/>
      <x:c r="L303" s="109"/>
      <x:c r="M303" s="16"/>
      <x:c r="N303" s="16"/>
      <x:c r="O303" s="16"/>
    </x:row>
    <x:row r="304">
      <x:c r="A304" s="16"/>
      <x:c r="B304" s="16"/>
      <x:c r="C304" s="16"/>
      <x:c r="D304" s="16"/>
      <x:c r="E304" s="16"/>
      <x:c r="F304" s="16"/>
      <x:c r="G304" s="109"/>
      <x:c r="H304" s="16"/>
      <x:c r="I304" s="16"/>
      <x:c r="J304" s="16"/>
      <x:c r="K304" s="16"/>
      <x:c r="L304" s="109"/>
      <x:c r="M304" s="16"/>
      <x:c r="N304" s="16"/>
      <x:c r="O304" s="16"/>
    </x:row>
    <x:row r="305">
      <x:c r="A305" s="16"/>
      <x:c r="B305" s="16"/>
      <x:c r="C305" s="16"/>
      <x:c r="D305" s="16"/>
      <x:c r="E305" s="16"/>
      <x:c r="F305" s="16"/>
      <x:c r="G305" s="109"/>
      <x:c r="H305" s="16"/>
      <x:c r="I305" s="16"/>
      <x:c r="J305" s="16"/>
      <x:c r="K305" s="16"/>
      <x:c r="L305" s="109"/>
      <x:c r="M305" s="16"/>
      <x:c r="N305" s="16"/>
      <x:c r="O305" s="16"/>
    </x:row>
    <x:row r="306">
      <x:c r="A306" s="16"/>
      <x:c r="B306" s="16"/>
      <x:c r="C306" s="16"/>
      <x:c r="D306" s="16"/>
      <x:c r="E306" s="16"/>
      <x:c r="F306" s="16"/>
      <x:c r="G306" s="109"/>
      <x:c r="H306" s="16"/>
      <x:c r="I306" s="16"/>
      <x:c r="J306" s="16"/>
      <x:c r="K306" s="16"/>
      <x:c r="L306" s="109"/>
      <x:c r="M306" s="16"/>
      <x:c r="N306" s="16"/>
      <x:c r="O306" s="16"/>
    </x:row>
    <x:row r="307">
      <x:c r="A307" s="16"/>
      <x:c r="B307" s="16"/>
      <x:c r="C307" s="16"/>
      <x:c r="D307" s="16"/>
      <x:c r="E307" s="16"/>
      <x:c r="F307" s="16"/>
      <x:c r="G307" s="109"/>
      <x:c r="H307" s="16"/>
      <x:c r="I307" s="16"/>
      <x:c r="J307" s="16"/>
      <x:c r="K307" s="16"/>
      <x:c r="L307" s="109"/>
      <x:c r="M307" s="16"/>
      <x:c r="N307" s="16"/>
      <x:c r="O307" s="16"/>
    </x:row>
    <x:row r="308">
      <x:c r="A308" s="16"/>
      <x:c r="B308" s="16"/>
      <x:c r="C308" s="16"/>
      <x:c r="D308" s="16"/>
      <x:c r="E308" s="16"/>
      <x:c r="F308" s="16"/>
      <x:c r="G308" s="109"/>
      <x:c r="H308" s="16"/>
      <x:c r="I308" s="16"/>
      <x:c r="J308" s="16"/>
      <x:c r="K308" s="16"/>
      <x:c r="L308" s="109"/>
      <x:c r="M308" s="16"/>
      <x:c r="N308" s="16"/>
      <x:c r="O308" s="16"/>
    </x:row>
    <x:row r="309">
      <x:c r="A309" s="16"/>
      <x:c r="B309" s="16"/>
      <x:c r="C309" s="16"/>
      <x:c r="D309" s="16"/>
      <x:c r="E309" s="16"/>
      <x:c r="F309" s="16"/>
      <x:c r="G309" s="109"/>
      <x:c r="H309" s="16"/>
      <x:c r="I309" s="16"/>
      <x:c r="J309" s="16"/>
      <x:c r="K309" s="16"/>
      <x:c r="L309" s="109"/>
      <x:c r="M309" s="16"/>
      <x:c r="N309" s="16"/>
      <x:c r="O309" s="16"/>
    </x:row>
    <x:row r="310">
      <x:c r="A310" s="16"/>
      <x:c r="B310" s="16"/>
      <x:c r="C310" s="16"/>
      <x:c r="D310" s="16"/>
      <x:c r="E310" s="16"/>
      <x:c r="F310" s="16"/>
      <x:c r="G310" s="109"/>
      <x:c r="H310" s="16"/>
      <x:c r="I310" s="16"/>
      <x:c r="J310" s="16"/>
      <x:c r="K310" s="16"/>
      <x:c r="L310" s="109"/>
      <x:c r="M310" s="16"/>
      <x:c r="N310" s="16"/>
      <x:c r="O310" s="16"/>
    </x:row>
    <x:row r="311">
      <x:c r="A311" s="16"/>
      <x:c r="B311" s="16"/>
      <x:c r="C311" s="16"/>
      <x:c r="D311" s="16"/>
      <x:c r="E311" s="16"/>
      <x:c r="F311" s="16"/>
      <x:c r="G311" s="109"/>
      <x:c r="H311" s="16"/>
      <x:c r="I311" s="16"/>
      <x:c r="J311" s="16"/>
      <x:c r="K311" s="16"/>
      <x:c r="L311" s="109"/>
      <x:c r="M311" s="16"/>
      <x:c r="N311" s="16"/>
      <x:c r="O311" s="16"/>
    </x:row>
    <x:row r="312">
      <x:c r="A312" s="16"/>
      <x:c r="B312" s="16"/>
      <x:c r="C312" s="16"/>
      <x:c r="D312" s="16"/>
      <x:c r="E312" s="16"/>
      <x:c r="F312" s="16"/>
      <x:c r="G312" s="109"/>
      <x:c r="H312" s="16"/>
      <x:c r="I312" s="16"/>
      <x:c r="J312" s="16"/>
      <x:c r="K312" s="16"/>
      <x:c r="L312" s="109"/>
      <x:c r="M312" s="16"/>
      <x:c r="N312" s="16"/>
      <x:c r="O312" s="16"/>
    </x:row>
    <x:row r="313">
      <x:c r="A313" s="16"/>
      <x:c r="B313" s="16"/>
      <x:c r="C313" s="16"/>
      <x:c r="D313" s="16"/>
      <x:c r="E313" s="16"/>
      <x:c r="F313" s="16"/>
      <x:c r="G313" s="109"/>
      <x:c r="H313" s="16"/>
      <x:c r="I313" s="16"/>
      <x:c r="J313" s="16"/>
      <x:c r="K313" s="16"/>
      <x:c r="L313" s="109"/>
      <x:c r="M313" s="16"/>
      <x:c r="N313" s="16"/>
      <x:c r="O313" s="16"/>
    </x:row>
    <x:row r="314">
      <x:c r="A314" s="16"/>
      <x:c r="B314" s="16"/>
      <x:c r="C314" s="16"/>
      <x:c r="D314" s="16"/>
      <x:c r="E314" s="16"/>
      <x:c r="F314" s="16"/>
      <x:c r="G314" s="109"/>
      <x:c r="H314" s="16"/>
      <x:c r="I314" s="16"/>
      <x:c r="J314" s="16"/>
      <x:c r="K314" s="16"/>
      <x:c r="L314" s="109"/>
      <x:c r="M314" s="16"/>
      <x:c r="N314" s="16"/>
      <x:c r="O314" s="16"/>
    </x:row>
    <x:row r="315">
      <x:c r="A315" s="16"/>
      <x:c r="B315" s="16"/>
      <x:c r="C315" s="16"/>
      <x:c r="D315" s="16"/>
      <x:c r="E315" s="16"/>
      <x:c r="F315" s="16"/>
      <x:c r="G315" s="109"/>
      <x:c r="H315" s="16"/>
      <x:c r="I315" s="16"/>
      <x:c r="J315" s="16"/>
      <x:c r="K315" s="16"/>
      <x:c r="L315" s="109"/>
      <x:c r="M315" s="16"/>
      <x:c r="N315" s="16"/>
      <x:c r="O315" s="16"/>
    </x:row>
    <x:row r="316">
      <x:c r="A316" s="16"/>
      <x:c r="B316" s="16"/>
      <x:c r="C316" s="16"/>
      <x:c r="D316" s="16"/>
      <x:c r="E316" s="16"/>
      <x:c r="F316" s="16"/>
      <x:c r="G316" s="109"/>
      <x:c r="H316" s="16"/>
      <x:c r="I316" s="16"/>
      <x:c r="J316" s="16"/>
      <x:c r="K316" s="16"/>
      <x:c r="L316" s="109"/>
      <x:c r="M316" s="16"/>
      <x:c r="N316" s="16"/>
      <x:c r="O316" s="16"/>
    </x:row>
    <x:row r="317">
      <x:c r="A317" s="16"/>
      <x:c r="B317" s="16"/>
      <x:c r="C317" s="16"/>
      <x:c r="D317" s="16"/>
      <x:c r="E317" s="16"/>
      <x:c r="F317" s="16"/>
      <x:c r="G317" s="109"/>
      <x:c r="H317" s="16"/>
      <x:c r="I317" s="16"/>
      <x:c r="J317" s="16"/>
      <x:c r="K317" s="16"/>
      <x:c r="L317" s="109"/>
      <x:c r="M317" s="16"/>
      <x:c r="N317" s="16"/>
      <x:c r="O317" s="16"/>
    </x:row>
    <x:row r="318">
      <x:c r="A318" s="16"/>
      <x:c r="B318" s="16"/>
      <x:c r="C318" s="16"/>
      <x:c r="D318" s="16"/>
      <x:c r="E318" s="16"/>
      <x:c r="F318" s="16"/>
      <x:c r="G318" s="109"/>
      <x:c r="H318" s="16"/>
      <x:c r="I318" s="16"/>
      <x:c r="J318" s="16"/>
      <x:c r="K318" s="16"/>
      <x:c r="L318" s="109"/>
      <x:c r="M318" s="16"/>
      <x:c r="N318" s="16"/>
      <x:c r="O318" s="16"/>
    </x:row>
    <x:row r="319">
      <x:c r="A319" s="16"/>
      <x:c r="B319" s="16"/>
      <x:c r="C319" s="16"/>
      <x:c r="D319" s="16"/>
      <x:c r="E319" s="16"/>
      <x:c r="F319" s="16"/>
      <x:c r="G319" s="109"/>
      <x:c r="H319" s="16"/>
      <x:c r="I319" s="16"/>
      <x:c r="J319" s="16"/>
      <x:c r="K319" s="16"/>
      <x:c r="L319" s="109"/>
      <x:c r="M319" s="16"/>
      <x:c r="N319" s="16"/>
      <x:c r="O319" s="16"/>
    </x:row>
    <x:row r="320">
      <x:c r="A320" s="16"/>
      <x:c r="B320" s="16"/>
      <x:c r="C320" s="16"/>
      <x:c r="D320" s="16"/>
      <x:c r="E320" s="16"/>
      <x:c r="F320" s="16"/>
      <x:c r="G320" s="109"/>
      <x:c r="H320" s="16"/>
      <x:c r="I320" s="16"/>
      <x:c r="J320" s="16"/>
      <x:c r="K320" s="16"/>
      <x:c r="L320" s="109"/>
      <x:c r="M320" s="16"/>
      <x:c r="N320" s="16"/>
      <x:c r="O320" s="16"/>
    </x:row>
    <x:row r="321">
      <x:c r="A321" s="16"/>
      <x:c r="B321" s="16"/>
      <x:c r="C321" s="16"/>
      <x:c r="D321" s="16"/>
      <x:c r="E321" s="16"/>
      <x:c r="F321" s="16"/>
      <x:c r="G321" s="109"/>
      <x:c r="H321" s="16"/>
      <x:c r="I321" s="16"/>
      <x:c r="J321" s="16"/>
      <x:c r="K321" s="16"/>
      <x:c r="L321" s="109"/>
      <x:c r="M321" s="16"/>
      <x:c r="N321" s="16"/>
      <x:c r="O321" s="16"/>
    </x:row>
    <x:row r="322">
      <x:c r="A322" s="16"/>
      <x:c r="B322" s="16"/>
      <x:c r="C322" s="16"/>
      <x:c r="D322" s="16"/>
      <x:c r="E322" s="16"/>
      <x:c r="F322" s="16"/>
      <x:c r="G322" s="109"/>
      <x:c r="H322" s="16"/>
      <x:c r="I322" s="16"/>
      <x:c r="J322" s="16"/>
      <x:c r="K322" s="16"/>
      <x:c r="L322" s="109"/>
      <x:c r="M322" s="16"/>
      <x:c r="N322" s="16"/>
      <x:c r="O322" s="16"/>
    </x:row>
    <x:row r="323">
      <x:c r="A323" s="16"/>
      <x:c r="B323" s="16"/>
      <x:c r="C323" s="16"/>
      <x:c r="D323" s="16"/>
      <x:c r="E323" s="16"/>
      <x:c r="F323" s="16"/>
      <x:c r="G323" s="109"/>
      <x:c r="H323" s="16"/>
      <x:c r="I323" s="16"/>
      <x:c r="J323" s="16"/>
      <x:c r="K323" s="16"/>
      <x:c r="L323" s="109"/>
      <x:c r="M323" s="16"/>
      <x:c r="N323" s="16"/>
      <x:c r="O323" s="16"/>
    </x:row>
    <x:row r="324">
      <x:c r="A324" s="16"/>
      <x:c r="B324" s="16"/>
      <x:c r="C324" s="16"/>
      <x:c r="D324" s="16"/>
      <x:c r="E324" s="16"/>
      <x:c r="F324" s="16"/>
      <x:c r="G324" s="109"/>
      <x:c r="H324" s="16"/>
      <x:c r="I324" s="16"/>
      <x:c r="J324" s="16"/>
      <x:c r="K324" s="16"/>
      <x:c r="L324" s="109"/>
      <x:c r="M324" s="16"/>
      <x:c r="N324" s="16"/>
      <x:c r="O324" s="16"/>
    </x:row>
    <x:row r="325">
      <x:c r="A325" s="16"/>
      <x:c r="B325" s="16"/>
      <x:c r="C325" s="16"/>
      <x:c r="D325" s="16"/>
      <x:c r="E325" s="16"/>
      <x:c r="F325" s="16"/>
      <x:c r="G325" s="109"/>
      <x:c r="H325" s="16"/>
      <x:c r="I325" s="16"/>
      <x:c r="J325" s="16"/>
      <x:c r="K325" s="16"/>
      <x:c r="L325" s="109"/>
      <x:c r="M325" s="16"/>
      <x:c r="N325" s="16"/>
      <x:c r="O325" s="16"/>
    </x:row>
    <x:row r="326">
      <x:c r="A326" s="16"/>
      <x:c r="B326" s="16"/>
      <x:c r="C326" s="16"/>
      <x:c r="D326" s="16"/>
      <x:c r="E326" s="16"/>
      <x:c r="F326" s="16"/>
      <x:c r="G326" s="109"/>
      <x:c r="H326" s="16"/>
      <x:c r="I326" s="16"/>
      <x:c r="J326" s="16"/>
      <x:c r="K326" s="16"/>
      <x:c r="L326" s="109"/>
      <x:c r="M326" s="16"/>
      <x:c r="N326" s="16"/>
      <x:c r="O326" s="16"/>
    </x:row>
    <x:row r="327">
      <x:c r="A327" s="16"/>
      <x:c r="B327" s="16"/>
      <x:c r="C327" s="16"/>
      <x:c r="D327" s="16"/>
      <x:c r="E327" s="16"/>
      <x:c r="F327" s="16"/>
      <x:c r="G327" s="109"/>
      <x:c r="H327" s="16"/>
      <x:c r="I327" s="16"/>
      <x:c r="J327" s="16"/>
      <x:c r="K327" s="16"/>
      <x:c r="L327" s="109"/>
      <x:c r="M327" s="16"/>
      <x:c r="N327" s="16"/>
      <x:c r="O327" s="16"/>
    </x:row>
    <x:row r="328">
      <x:c r="A328" s="16"/>
      <x:c r="B328" s="16"/>
      <x:c r="C328" s="16"/>
      <x:c r="D328" s="16"/>
      <x:c r="E328" s="16"/>
      <x:c r="F328" s="16"/>
      <x:c r="G328" s="109"/>
      <x:c r="H328" s="16"/>
      <x:c r="I328" s="16"/>
      <x:c r="J328" s="16"/>
      <x:c r="K328" s="16"/>
      <x:c r="L328" s="109"/>
      <x:c r="M328" s="16"/>
      <x:c r="N328" s="16"/>
      <x:c r="O328" s="16"/>
    </x:row>
    <x:row r="329">
      <x:c r="A329" s="16"/>
      <x:c r="B329" s="16"/>
      <x:c r="C329" s="16"/>
      <x:c r="D329" s="16"/>
      <x:c r="E329" s="16"/>
      <x:c r="F329" s="16"/>
      <x:c r="G329" s="109"/>
      <x:c r="H329" s="16"/>
      <x:c r="I329" s="16"/>
      <x:c r="J329" s="16"/>
      <x:c r="K329" s="16"/>
      <x:c r="L329" s="109"/>
      <x:c r="M329" s="16"/>
      <x:c r="N329" s="16"/>
      <x:c r="O329" s="16"/>
    </x:row>
    <x:row r="330">
      <x:c r="A330" s="16"/>
      <x:c r="B330" s="16"/>
      <x:c r="C330" s="16"/>
      <x:c r="D330" s="16"/>
      <x:c r="E330" s="16"/>
      <x:c r="F330" s="16"/>
      <x:c r="G330" s="109"/>
      <x:c r="H330" s="16"/>
      <x:c r="I330" s="16"/>
      <x:c r="J330" s="16"/>
      <x:c r="K330" s="16"/>
      <x:c r="L330" s="109"/>
      <x:c r="M330" s="16"/>
      <x:c r="N330" s="16"/>
      <x:c r="O330" s="16"/>
    </x:row>
    <x:row r="331">
      <x:c r="A331" s="16"/>
      <x:c r="B331" s="16"/>
      <x:c r="C331" s="16"/>
      <x:c r="D331" s="16"/>
      <x:c r="E331" s="16"/>
      <x:c r="F331" s="16"/>
      <x:c r="G331" s="109"/>
      <x:c r="H331" s="16"/>
      <x:c r="I331" s="16"/>
      <x:c r="J331" s="16"/>
      <x:c r="K331" s="16"/>
      <x:c r="L331" s="109"/>
      <x:c r="M331" s="16"/>
      <x:c r="N331" s="16"/>
      <x:c r="O331" s="16"/>
    </x:row>
    <x:row r="332">
      <x:c r="A332" s="16"/>
      <x:c r="B332" s="16"/>
      <x:c r="C332" s="16"/>
      <x:c r="D332" s="16"/>
      <x:c r="E332" s="16"/>
      <x:c r="F332" s="16"/>
      <x:c r="G332" s="109"/>
      <x:c r="H332" s="16"/>
      <x:c r="I332" s="16"/>
      <x:c r="J332" s="16"/>
      <x:c r="K332" s="16"/>
      <x:c r="L332" s="109"/>
      <x:c r="M332" s="16"/>
      <x:c r="N332" s="16"/>
      <x:c r="O332" s="16"/>
    </x:row>
    <x:row r="333">
      <x:c r="A333" s="16"/>
      <x:c r="B333" s="16"/>
      <x:c r="C333" s="16"/>
      <x:c r="D333" s="16"/>
      <x:c r="E333" s="16"/>
      <x:c r="F333" s="16"/>
      <x:c r="G333" s="109"/>
      <x:c r="H333" s="16"/>
      <x:c r="I333" s="16"/>
      <x:c r="J333" s="16"/>
      <x:c r="K333" s="16"/>
      <x:c r="L333" s="109"/>
      <x:c r="M333" s="16"/>
      <x:c r="N333" s="16"/>
      <x:c r="O333" s="16"/>
    </x:row>
    <x:row r="334">
      <x:c r="A334" s="16"/>
      <x:c r="B334" s="16"/>
      <x:c r="C334" s="16"/>
      <x:c r="D334" s="16"/>
      <x:c r="E334" s="16"/>
      <x:c r="F334" s="16"/>
      <x:c r="G334" s="109"/>
      <x:c r="H334" s="16"/>
      <x:c r="I334" s="16"/>
      <x:c r="J334" s="16"/>
      <x:c r="K334" s="16"/>
      <x:c r="L334" s="109"/>
      <x:c r="M334" s="16"/>
      <x:c r="N334" s="16"/>
      <x:c r="O334" s="16"/>
    </x:row>
    <x:row r="335">
      <x:c r="A335" s="16"/>
      <x:c r="B335" s="16"/>
      <x:c r="C335" s="16"/>
      <x:c r="D335" s="16"/>
      <x:c r="E335" s="16"/>
      <x:c r="F335" s="16"/>
      <x:c r="G335" s="109"/>
      <x:c r="H335" s="16"/>
      <x:c r="I335" s="16"/>
      <x:c r="J335" s="16"/>
      <x:c r="K335" s="16"/>
      <x:c r="L335" s="109"/>
      <x:c r="M335" s="16"/>
      <x:c r="N335" s="16"/>
      <x:c r="O335" s="16"/>
    </x:row>
    <x:row r="336">
      <x:c r="A336" s="16"/>
      <x:c r="B336" s="16"/>
      <x:c r="C336" s="16"/>
      <x:c r="D336" s="16"/>
      <x:c r="E336" s="16"/>
      <x:c r="F336" s="16"/>
      <x:c r="G336" s="109"/>
      <x:c r="H336" s="16"/>
      <x:c r="I336" s="16"/>
      <x:c r="J336" s="16"/>
      <x:c r="K336" s="16"/>
      <x:c r="L336" s="109"/>
      <x:c r="M336" s="16"/>
      <x:c r="N336" s="16"/>
      <x:c r="O336" s="16"/>
    </x:row>
    <x:row r="337">
      <x:c r="A337" s="16"/>
      <x:c r="B337" s="16"/>
      <x:c r="C337" s="16"/>
      <x:c r="D337" s="16"/>
      <x:c r="E337" s="16"/>
      <x:c r="F337" s="16"/>
      <x:c r="G337" s="109"/>
      <x:c r="H337" s="16"/>
      <x:c r="I337" s="16"/>
      <x:c r="J337" s="16"/>
      <x:c r="K337" s="16"/>
      <x:c r="L337" s="109"/>
      <x:c r="M337" s="16"/>
      <x:c r="N337" s="16"/>
      <x:c r="O337" s="16"/>
    </x:row>
    <x:row r="338">
      <x:c r="A338" s="16"/>
      <x:c r="B338" s="16"/>
      <x:c r="C338" s="16"/>
      <x:c r="D338" s="16"/>
      <x:c r="E338" s="16"/>
      <x:c r="F338" s="16"/>
      <x:c r="G338" s="109"/>
      <x:c r="H338" s="16"/>
      <x:c r="I338" s="16"/>
      <x:c r="J338" s="16"/>
      <x:c r="K338" s="16"/>
      <x:c r="L338" s="109"/>
      <x:c r="M338" s="16"/>
      <x:c r="N338" s="16"/>
      <x:c r="O338" s="16"/>
    </x:row>
    <x:row r="339">
      <x:c r="A339" s="16"/>
      <x:c r="B339" s="16"/>
      <x:c r="C339" s="16"/>
      <x:c r="D339" s="16"/>
      <x:c r="E339" s="16"/>
      <x:c r="F339" s="16"/>
      <x:c r="G339" s="109"/>
      <x:c r="H339" s="16"/>
      <x:c r="I339" s="16"/>
      <x:c r="J339" s="16"/>
      <x:c r="K339" s="16"/>
      <x:c r="L339" s="109"/>
      <x:c r="M339" s="16"/>
      <x:c r="N339" s="16"/>
      <x:c r="O339" s="16"/>
    </x:row>
    <x:row r="340">
      <x:c r="A340" s="16"/>
      <x:c r="B340" s="16"/>
      <x:c r="C340" s="16"/>
      <x:c r="D340" s="16"/>
      <x:c r="E340" s="16"/>
      <x:c r="F340" s="16"/>
      <x:c r="G340" s="109"/>
      <x:c r="H340" s="16"/>
      <x:c r="I340" s="16"/>
      <x:c r="J340" s="16"/>
      <x:c r="K340" s="16"/>
      <x:c r="L340" s="109"/>
      <x:c r="M340" s="16"/>
      <x:c r="N340" s="16"/>
      <x:c r="O340" s="16"/>
    </x:row>
    <x:row r="341">
      <x:c r="A341" s="16"/>
      <x:c r="B341" s="16"/>
      <x:c r="C341" s="16"/>
      <x:c r="D341" s="16"/>
      <x:c r="E341" s="16"/>
      <x:c r="F341" s="16"/>
      <x:c r="G341" s="109"/>
      <x:c r="H341" s="16"/>
      <x:c r="I341" s="16"/>
      <x:c r="J341" s="16"/>
      <x:c r="K341" s="16"/>
      <x:c r="L341" s="109"/>
      <x:c r="M341" s="16"/>
      <x:c r="N341" s="16"/>
      <x:c r="O341" s="16"/>
    </x:row>
    <x:row r="342">
      <x:c r="A342" s="16"/>
      <x:c r="B342" s="16"/>
      <x:c r="C342" s="16"/>
      <x:c r="D342" s="16"/>
      <x:c r="E342" s="16"/>
      <x:c r="F342" s="16"/>
      <x:c r="G342" s="109"/>
      <x:c r="H342" s="16"/>
      <x:c r="I342" s="16"/>
      <x:c r="J342" s="16"/>
      <x:c r="K342" s="16"/>
      <x:c r="L342" s="109"/>
      <x:c r="M342" s="16"/>
      <x:c r="N342" s="16"/>
      <x:c r="O342" s="16"/>
    </x:row>
    <x:row r="343">
      <x:c r="A343" s="16"/>
      <x:c r="B343" s="16"/>
      <x:c r="C343" s="16"/>
      <x:c r="D343" s="16"/>
      <x:c r="E343" s="16"/>
      <x:c r="F343" s="16"/>
      <x:c r="G343" s="109"/>
      <x:c r="H343" s="16"/>
      <x:c r="I343" s="16"/>
      <x:c r="J343" s="16"/>
      <x:c r="K343" s="16"/>
      <x:c r="L343" s="109"/>
      <x:c r="M343" s="16"/>
      <x:c r="N343" s="16"/>
      <x:c r="O343" s="16"/>
    </x:row>
    <x:row r="344">
      <x:c r="A344" s="16"/>
      <x:c r="B344" s="16"/>
      <x:c r="C344" s="16"/>
      <x:c r="D344" s="16"/>
      <x:c r="E344" s="16"/>
      <x:c r="F344" s="16"/>
      <x:c r="G344" s="109"/>
      <x:c r="H344" s="16"/>
      <x:c r="I344" s="16"/>
      <x:c r="J344" s="16"/>
      <x:c r="K344" s="16"/>
      <x:c r="L344" s="109"/>
      <x:c r="M344" s="16"/>
      <x:c r="N344" s="16"/>
      <x:c r="O344" s="16"/>
    </x:row>
    <x:row r="345">
      <x:c r="A345" s="16"/>
      <x:c r="B345" s="16"/>
      <x:c r="C345" s="16"/>
      <x:c r="D345" s="16"/>
      <x:c r="E345" s="16"/>
      <x:c r="F345" s="16"/>
      <x:c r="G345" s="109"/>
      <x:c r="H345" s="16"/>
      <x:c r="I345" s="16"/>
      <x:c r="J345" s="16"/>
      <x:c r="K345" s="16"/>
      <x:c r="L345" s="109"/>
      <x:c r="M345" s="16"/>
      <x:c r="N345" s="16"/>
      <x:c r="O345" s="16"/>
    </x:row>
    <x:row r="346">
      <x:c r="A346" s="16"/>
      <x:c r="B346" s="16"/>
      <x:c r="C346" s="16"/>
      <x:c r="D346" s="16"/>
      <x:c r="E346" s="16"/>
      <x:c r="F346" s="16"/>
      <x:c r="G346" s="109"/>
      <x:c r="H346" s="16"/>
      <x:c r="I346" s="16"/>
      <x:c r="J346" s="16"/>
      <x:c r="K346" s="16"/>
      <x:c r="L346" s="109"/>
      <x:c r="M346" s="16"/>
      <x:c r="N346" s="16"/>
      <x:c r="O346" s="16"/>
    </x:row>
    <x:row r="347">
      <x:c r="A347" s="16"/>
      <x:c r="B347" s="16"/>
      <x:c r="C347" s="16"/>
      <x:c r="D347" s="16"/>
      <x:c r="E347" s="16"/>
      <x:c r="F347" s="16"/>
      <x:c r="G347" s="109"/>
      <x:c r="H347" s="16"/>
      <x:c r="I347" s="16"/>
      <x:c r="J347" s="16"/>
      <x:c r="K347" s="16"/>
      <x:c r="L347" s="109"/>
      <x:c r="M347" s="16"/>
      <x:c r="N347" s="16"/>
      <x:c r="O347" s="16"/>
    </x:row>
    <x:row r="348">
      <x:c r="A348" s="16"/>
      <x:c r="B348" s="16"/>
      <x:c r="C348" s="16"/>
      <x:c r="D348" s="16"/>
      <x:c r="E348" s="16"/>
      <x:c r="F348" s="16"/>
      <x:c r="G348" s="109"/>
      <x:c r="H348" s="16"/>
      <x:c r="I348" s="16"/>
      <x:c r="J348" s="16"/>
      <x:c r="K348" s="16"/>
      <x:c r="L348" s="109"/>
      <x:c r="M348" s="16"/>
      <x:c r="N348" s="16"/>
      <x:c r="O348" s="16"/>
    </x:row>
    <x:row r="349">
      <x:c r="A349" s="16"/>
      <x:c r="B349" s="16"/>
      <x:c r="C349" s="16"/>
      <x:c r="D349" s="16"/>
      <x:c r="E349" s="16"/>
      <x:c r="F349" s="16"/>
      <x:c r="G349" s="109"/>
      <x:c r="H349" s="16"/>
      <x:c r="I349" s="16"/>
      <x:c r="J349" s="16"/>
      <x:c r="K349" s="16"/>
      <x:c r="L349" s="109"/>
      <x:c r="M349" s="16"/>
      <x:c r="N349" s="16"/>
      <x:c r="O349" s="16"/>
    </x:row>
    <x:row r="350">
      <x:c r="A350" s="16"/>
      <x:c r="B350" s="16"/>
      <x:c r="C350" s="16"/>
      <x:c r="D350" s="16"/>
      <x:c r="E350" s="16"/>
      <x:c r="F350" s="16"/>
      <x:c r="G350" s="109"/>
      <x:c r="H350" s="16"/>
      <x:c r="I350" s="16"/>
      <x:c r="J350" s="16"/>
      <x:c r="K350" s="16"/>
      <x:c r="L350" s="109"/>
      <x:c r="M350" s="16"/>
      <x:c r="N350" s="16"/>
      <x:c r="O350" s="16"/>
    </x:row>
    <x:row r="351">
      <x:c r="A351" s="16"/>
      <x:c r="B351" s="16"/>
      <x:c r="C351" s="16"/>
      <x:c r="D351" s="16"/>
      <x:c r="E351" s="16"/>
      <x:c r="F351" s="16"/>
      <x:c r="G351" s="109"/>
      <x:c r="H351" s="16"/>
      <x:c r="I351" s="16"/>
      <x:c r="J351" s="16"/>
      <x:c r="K351" s="16"/>
      <x:c r="L351" s="109"/>
      <x:c r="M351" s="16"/>
      <x:c r="N351" s="16"/>
      <x:c r="O351" s="16"/>
    </x:row>
    <x:row r="352">
      <x:c r="A352" s="16"/>
      <x:c r="B352" s="16"/>
      <x:c r="C352" s="16"/>
      <x:c r="D352" s="16"/>
      <x:c r="E352" s="16"/>
      <x:c r="F352" s="16"/>
      <x:c r="G352" s="109"/>
      <x:c r="H352" s="16"/>
      <x:c r="I352" s="16"/>
      <x:c r="J352" s="16"/>
      <x:c r="K352" s="16"/>
      <x:c r="L352" s="109"/>
      <x:c r="M352" s="16"/>
      <x:c r="N352" s="16"/>
      <x:c r="O352" s="16"/>
    </x:row>
    <x:row r="353">
      <x:c r="A353" s="16"/>
      <x:c r="B353" s="16"/>
      <x:c r="C353" s="16"/>
      <x:c r="D353" s="16"/>
      <x:c r="E353" s="16"/>
      <x:c r="F353" s="16"/>
      <x:c r="G353" s="109"/>
      <x:c r="H353" s="16"/>
      <x:c r="I353" s="16"/>
      <x:c r="J353" s="16"/>
      <x:c r="K353" s="16"/>
      <x:c r="L353" s="109"/>
      <x:c r="M353" s="16"/>
      <x:c r="N353" s="16"/>
      <x:c r="O353" s="16"/>
    </x:row>
    <x:row r="354">
      <x:c r="A354" s="16"/>
      <x:c r="B354" s="16"/>
      <x:c r="C354" s="16"/>
      <x:c r="D354" s="16"/>
      <x:c r="E354" s="16"/>
      <x:c r="F354" s="16"/>
      <x:c r="G354" s="109"/>
      <x:c r="H354" s="16"/>
      <x:c r="I354" s="16"/>
      <x:c r="J354" s="16"/>
      <x:c r="K354" s="16"/>
      <x:c r="L354" s="109"/>
      <x:c r="M354" s="16"/>
      <x:c r="N354" s="16"/>
      <x:c r="O354" s="16"/>
    </x:row>
    <x:row r="355">
      <x:c r="A355" s="16"/>
      <x:c r="B355" s="16"/>
      <x:c r="C355" s="16"/>
      <x:c r="D355" s="16"/>
      <x:c r="E355" s="16"/>
      <x:c r="F355" s="16"/>
      <x:c r="G355" s="109"/>
      <x:c r="H355" s="16"/>
      <x:c r="I355" s="16"/>
      <x:c r="J355" s="16"/>
      <x:c r="K355" s="16"/>
      <x:c r="L355" s="109"/>
      <x:c r="M355" s="16"/>
      <x:c r="N355" s="16"/>
      <x:c r="O355" s="16"/>
    </x:row>
    <x:row r="356">
      <x:c r="A356" s="16"/>
      <x:c r="B356" s="16"/>
      <x:c r="C356" s="16"/>
      <x:c r="D356" s="16"/>
      <x:c r="E356" s="16"/>
      <x:c r="F356" s="16"/>
      <x:c r="G356" s="109"/>
      <x:c r="H356" s="16"/>
      <x:c r="I356" s="16"/>
      <x:c r="J356" s="16"/>
      <x:c r="K356" s="16"/>
      <x:c r="L356" s="109"/>
      <x:c r="M356" s="16"/>
      <x:c r="N356" s="16"/>
      <x:c r="O356" s="16"/>
    </x:row>
    <x:row r="357">
      <x:c r="A357" s="16"/>
      <x:c r="B357" s="16"/>
      <x:c r="C357" s="16"/>
      <x:c r="D357" s="16"/>
      <x:c r="E357" s="16"/>
      <x:c r="F357" s="16"/>
      <x:c r="G357" s="109"/>
      <x:c r="H357" s="16"/>
      <x:c r="I357" s="16"/>
      <x:c r="J357" s="16"/>
      <x:c r="K357" s="16"/>
      <x:c r="L357" s="109"/>
      <x:c r="M357" s="16"/>
      <x:c r="N357" s="16"/>
      <x:c r="O357" s="16"/>
    </x:row>
    <x:row r="358">
      <x:c r="A358" s="16"/>
      <x:c r="B358" s="16"/>
      <x:c r="C358" s="16"/>
      <x:c r="D358" s="16"/>
      <x:c r="E358" s="16"/>
      <x:c r="F358" s="16"/>
      <x:c r="G358" s="109"/>
      <x:c r="H358" s="16"/>
      <x:c r="I358" s="16"/>
      <x:c r="J358" s="16"/>
      <x:c r="K358" s="16"/>
      <x:c r="L358" s="109"/>
      <x:c r="M358" s="16"/>
      <x:c r="N358" s="16"/>
      <x:c r="O358" s="16"/>
    </x:row>
    <x:row r="359">
      <x:c r="A359" s="16"/>
      <x:c r="B359" s="16"/>
      <x:c r="C359" s="16"/>
      <x:c r="D359" s="16"/>
      <x:c r="E359" s="16"/>
      <x:c r="F359" s="16"/>
      <x:c r="G359" s="109"/>
      <x:c r="H359" s="16"/>
      <x:c r="I359" s="16"/>
      <x:c r="J359" s="16"/>
      <x:c r="K359" s="16"/>
      <x:c r="L359" s="109"/>
      <x:c r="M359" s="16"/>
      <x:c r="N359" s="16"/>
      <x:c r="O359" s="16"/>
    </x:row>
    <x:row r="360">
      <x:c r="A360" s="16"/>
      <x:c r="B360" s="16"/>
      <x:c r="C360" s="16"/>
      <x:c r="D360" s="16"/>
      <x:c r="E360" s="16"/>
      <x:c r="F360" s="16"/>
      <x:c r="G360" s="109"/>
      <x:c r="H360" s="16"/>
      <x:c r="I360" s="16"/>
      <x:c r="J360" s="16"/>
      <x:c r="K360" s="16"/>
      <x:c r="L360" s="109"/>
      <x:c r="M360" s="16"/>
      <x:c r="N360" s="16"/>
      <x:c r="O360" s="16"/>
    </x:row>
    <x:row r="361">
      <x:c r="A361" s="16"/>
      <x:c r="B361" s="16"/>
      <x:c r="C361" s="16"/>
      <x:c r="D361" s="16"/>
      <x:c r="E361" s="16"/>
      <x:c r="F361" s="16"/>
      <x:c r="G361" s="109"/>
      <x:c r="H361" s="16"/>
      <x:c r="I361" s="16"/>
      <x:c r="J361" s="16"/>
      <x:c r="K361" s="16"/>
      <x:c r="L361" s="109"/>
      <x:c r="M361" s="16"/>
      <x:c r="N361" s="16"/>
      <x:c r="O361" s="16"/>
    </x:row>
    <x:row r="362">
      <x:c r="A362" s="16"/>
      <x:c r="B362" s="16"/>
      <x:c r="C362" s="16"/>
      <x:c r="D362" s="16"/>
      <x:c r="E362" s="16"/>
      <x:c r="F362" s="16"/>
      <x:c r="G362" s="109"/>
      <x:c r="H362" s="16"/>
      <x:c r="I362" s="16"/>
      <x:c r="J362" s="16"/>
      <x:c r="K362" s="16"/>
      <x:c r="L362" s="109"/>
      <x:c r="M362" s="16"/>
      <x:c r="N362" s="16"/>
      <x:c r="O362" s="16"/>
    </x:row>
    <x:row r="363">
      <x:c r="A363" s="16"/>
      <x:c r="B363" s="16"/>
      <x:c r="C363" s="16"/>
      <x:c r="D363" s="16"/>
      <x:c r="E363" s="16"/>
      <x:c r="F363" s="16"/>
      <x:c r="G363" s="109"/>
      <x:c r="H363" s="16"/>
      <x:c r="I363" s="16"/>
      <x:c r="J363" s="16"/>
      <x:c r="K363" s="16"/>
      <x:c r="L363" s="109"/>
      <x:c r="M363" s="16"/>
      <x:c r="N363" s="16"/>
      <x:c r="O363" s="16"/>
    </x:row>
    <x:row r="364">
      <x:c r="A364" s="16"/>
      <x:c r="B364" s="16"/>
      <x:c r="C364" s="16"/>
      <x:c r="D364" s="16"/>
      <x:c r="E364" s="16"/>
      <x:c r="F364" s="16"/>
      <x:c r="G364" s="109"/>
      <x:c r="H364" s="16"/>
      <x:c r="I364" s="16"/>
      <x:c r="J364" s="16"/>
      <x:c r="K364" s="16"/>
      <x:c r="L364" s="109"/>
      <x:c r="M364" s="16"/>
      <x:c r="N364" s="16"/>
      <x:c r="O364" s="16"/>
    </x:row>
    <x:row r="365">
      <x:c r="A365" s="16"/>
      <x:c r="B365" s="16"/>
      <x:c r="C365" s="16"/>
      <x:c r="D365" s="16"/>
      <x:c r="E365" s="16"/>
      <x:c r="F365" s="16"/>
      <x:c r="G365" s="109"/>
      <x:c r="H365" s="16"/>
      <x:c r="I365" s="16"/>
      <x:c r="J365" s="16"/>
      <x:c r="K365" s="16"/>
      <x:c r="L365" s="109"/>
      <x:c r="M365" s="16"/>
      <x:c r="N365" s="16"/>
      <x:c r="O365" s="16"/>
    </x:row>
    <x:row r="366">
      <x:c r="A366" s="16"/>
      <x:c r="B366" s="16"/>
      <x:c r="C366" s="16"/>
      <x:c r="D366" s="16"/>
      <x:c r="E366" s="16"/>
      <x:c r="F366" s="16"/>
      <x:c r="G366" s="109"/>
      <x:c r="H366" s="16"/>
      <x:c r="I366" s="16"/>
      <x:c r="J366" s="16"/>
      <x:c r="K366" s="16"/>
      <x:c r="L366" s="109"/>
      <x:c r="M366" s="16"/>
      <x:c r="N366" s="16"/>
      <x:c r="O366" s="16"/>
    </x:row>
    <x:row r="367">
      <x:c r="A367" s="16"/>
      <x:c r="B367" s="16"/>
      <x:c r="C367" s="16"/>
      <x:c r="D367" s="16"/>
      <x:c r="E367" s="16"/>
      <x:c r="F367" s="16"/>
      <x:c r="G367" s="109"/>
      <x:c r="H367" s="16"/>
      <x:c r="I367" s="16"/>
      <x:c r="J367" s="16"/>
      <x:c r="K367" s="16"/>
      <x:c r="L367" s="109"/>
      <x:c r="M367" s="16"/>
      <x:c r="N367" s="16"/>
      <x:c r="O367" s="16"/>
    </x:row>
    <x:row r="368">
      <x:c r="A368" s="16"/>
      <x:c r="B368" s="16"/>
      <x:c r="C368" s="16"/>
      <x:c r="D368" s="16"/>
      <x:c r="E368" s="16"/>
      <x:c r="F368" s="16"/>
      <x:c r="G368" s="109"/>
      <x:c r="H368" s="16"/>
      <x:c r="I368" s="16"/>
      <x:c r="J368" s="16"/>
      <x:c r="K368" s="16"/>
      <x:c r="L368" s="109"/>
      <x:c r="M368" s="16"/>
      <x:c r="N368" s="16"/>
      <x:c r="O368" s="16"/>
    </x:row>
    <x:row r="369">
      <x:c r="A369" s="16"/>
      <x:c r="B369" s="16"/>
      <x:c r="C369" s="16"/>
      <x:c r="D369" s="16"/>
      <x:c r="E369" s="16"/>
      <x:c r="F369" s="16"/>
      <x:c r="G369" s="109"/>
      <x:c r="H369" s="16"/>
      <x:c r="I369" s="16"/>
      <x:c r="J369" s="16"/>
      <x:c r="K369" s="16"/>
      <x:c r="L369" s="109"/>
      <x:c r="M369" s="16"/>
      <x:c r="N369" s="16"/>
      <x:c r="O369" s="16"/>
    </x:row>
    <x:row r="370">
      <x:c r="A370" s="16"/>
      <x:c r="B370" s="16"/>
      <x:c r="C370" s="16"/>
      <x:c r="D370" s="16"/>
      <x:c r="E370" s="16"/>
      <x:c r="F370" s="16"/>
      <x:c r="G370" s="109"/>
      <x:c r="H370" s="16"/>
      <x:c r="I370" s="16"/>
      <x:c r="J370" s="16"/>
      <x:c r="K370" s="16"/>
      <x:c r="L370" s="109"/>
      <x:c r="M370" s="16"/>
      <x:c r="N370" s="16"/>
      <x:c r="O370" s="16"/>
    </x:row>
    <x:row r="371">
      <x:c r="A371" s="16"/>
      <x:c r="B371" s="16"/>
      <x:c r="C371" s="16"/>
      <x:c r="D371" s="16"/>
      <x:c r="E371" s="16"/>
      <x:c r="F371" s="16"/>
      <x:c r="G371" s="109"/>
      <x:c r="H371" s="16"/>
      <x:c r="I371" s="16"/>
      <x:c r="J371" s="16"/>
      <x:c r="K371" s="16"/>
      <x:c r="L371" s="109"/>
      <x:c r="M371" s="16"/>
      <x:c r="N371" s="16"/>
      <x:c r="O371" s="16"/>
    </x:row>
    <x:row r="372">
      <x:c r="A372" s="16"/>
      <x:c r="B372" s="16"/>
      <x:c r="C372" s="16"/>
      <x:c r="D372" s="16"/>
      <x:c r="E372" s="16"/>
      <x:c r="F372" s="16"/>
      <x:c r="G372" s="109"/>
      <x:c r="H372" s="16"/>
      <x:c r="I372" s="16"/>
      <x:c r="J372" s="16"/>
      <x:c r="K372" s="16"/>
      <x:c r="L372" s="109"/>
      <x:c r="M372" s="16"/>
      <x:c r="N372" s="16"/>
      <x:c r="O372" s="16"/>
    </x:row>
    <x:row r="373">
      <x:c r="A373" s="16"/>
      <x:c r="B373" s="16"/>
      <x:c r="C373" s="16"/>
      <x:c r="D373" s="16"/>
      <x:c r="E373" s="16"/>
      <x:c r="F373" s="16"/>
      <x:c r="G373" s="109"/>
      <x:c r="H373" s="16"/>
      <x:c r="I373" s="16"/>
      <x:c r="J373" s="16"/>
      <x:c r="K373" s="16"/>
      <x:c r="L373" s="109"/>
      <x:c r="M373" s="16"/>
      <x:c r="N373" s="16"/>
      <x:c r="O373" s="16"/>
    </x:row>
    <x:row r="374">
      <x:c r="A374" s="16"/>
      <x:c r="B374" s="16"/>
      <x:c r="C374" s="16"/>
      <x:c r="D374" s="16"/>
      <x:c r="E374" s="16"/>
      <x:c r="F374" s="16"/>
      <x:c r="G374" s="109"/>
      <x:c r="H374" s="16"/>
      <x:c r="I374" s="16"/>
      <x:c r="J374" s="16"/>
      <x:c r="K374" s="16"/>
      <x:c r="L374" s="109"/>
      <x:c r="M374" s="16"/>
      <x:c r="N374" s="16"/>
      <x:c r="O374" s="16"/>
    </x:row>
    <x:row r="375">
      <x:c r="A375" s="16"/>
      <x:c r="B375" s="16"/>
      <x:c r="C375" s="16"/>
      <x:c r="D375" s="16"/>
      <x:c r="E375" s="16"/>
      <x:c r="F375" s="16"/>
      <x:c r="G375" s="109"/>
      <x:c r="H375" s="16"/>
      <x:c r="I375" s="16"/>
      <x:c r="J375" s="16"/>
      <x:c r="K375" s="16"/>
      <x:c r="L375" s="109"/>
      <x:c r="M375" s="16"/>
      <x:c r="N375" s="16"/>
      <x:c r="O375" s="16"/>
    </x:row>
    <x:row r="376">
      <x:c r="A376" s="16"/>
      <x:c r="B376" s="16"/>
      <x:c r="C376" s="16"/>
      <x:c r="D376" s="16"/>
      <x:c r="E376" s="16"/>
      <x:c r="F376" s="16"/>
      <x:c r="G376" s="109"/>
      <x:c r="H376" s="16"/>
      <x:c r="I376" s="16"/>
      <x:c r="J376" s="16"/>
      <x:c r="K376" s="16"/>
      <x:c r="L376" s="109"/>
      <x:c r="M376" s="16"/>
      <x:c r="N376" s="16"/>
      <x:c r="O376" s="16"/>
    </x:row>
    <x:row r="377">
      <x:c r="A377" s="16"/>
      <x:c r="B377" s="16"/>
      <x:c r="C377" s="16"/>
      <x:c r="D377" s="16"/>
      <x:c r="E377" s="16"/>
      <x:c r="F377" s="16"/>
      <x:c r="G377" s="109"/>
      <x:c r="H377" s="16"/>
      <x:c r="I377" s="16"/>
      <x:c r="J377" s="16"/>
      <x:c r="K377" s="16"/>
      <x:c r="L377" s="109"/>
      <x:c r="M377" s="16"/>
      <x:c r="N377" s="16"/>
      <x:c r="O377" s="16"/>
    </x:row>
    <x:row r="378">
      <x:c r="A378" s="16"/>
      <x:c r="B378" s="16"/>
      <x:c r="C378" s="16"/>
      <x:c r="D378" s="16"/>
      <x:c r="E378" s="16"/>
      <x:c r="F378" s="16"/>
      <x:c r="G378" s="109"/>
      <x:c r="H378" s="16"/>
      <x:c r="I378" s="16"/>
      <x:c r="J378" s="16"/>
      <x:c r="K378" s="16"/>
      <x:c r="L378" s="109"/>
      <x:c r="M378" s="16"/>
      <x:c r="N378" s="16"/>
      <x:c r="O378" s="16"/>
    </x:row>
    <x:row r="379">
      <x:c r="A379" s="16"/>
      <x:c r="B379" s="16"/>
      <x:c r="C379" s="16"/>
      <x:c r="D379" s="16"/>
      <x:c r="E379" s="16"/>
      <x:c r="F379" s="16"/>
      <x:c r="G379" s="109"/>
      <x:c r="H379" s="16"/>
      <x:c r="I379" s="16"/>
      <x:c r="J379" s="16"/>
      <x:c r="K379" s="16"/>
      <x:c r="L379" s="109"/>
      <x:c r="M379" s="16"/>
      <x:c r="N379" s="16"/>
      <x:c r="O379" s="16"/>
    </x:row>
    <x:row r="380">
      <x:c r="A380" s="16"/>
      <x:c r="B380" s="16"/>
      <x:c r="C380" s="16"/>
      <x:c r="D380" s="16"/>
      <x:c r="E380" s="16"/>
      <x:c r="F380" s="16"/>
      <x:c r="G380" s="109"/>
      <x:c r="H380" s="16"/>
      <x:c r="I380" s="16"/>
      <x:c r="J380" s="16"/>
      <x:c r="K380" s="16"/>
      <x:c r="L380" s="109"/>
      <x:c r="M380" s="16"/>
      <x:c r="N380" s="16"/>
      <x:c r="O380" s="16"/>
    </x:row>
    <x:row r="381">
      <x:c r="A381" s="16"/>
      <x:c r="B381" s="16"/>
      <x:c r="C381" s="16"/>
      <x:c r="D381" s="16"/>
      <x:c r="E381" s="16"/>
      <x:c r="F381" s="16"/>
      <x:c r="G381" s="109"/>
      <x:c r="H381" s="16"/>
      <x:c r="I381" s="16"/>
      <x:c r="J381" s="16"/>
      <x:c r="K381" s="16"/>
      <x:c r="L381" s="109"/>
      <x:c r="M381" s="16"/>
      <x:c r="N381" s="16"/>
      <x:c r="O381" s="16"/>
    </x:row>
    <x:row r="382">
      <x:c r="A382" s="16"/>
      <x:c r="B382" s="16"/>
      <x:c r="C382" s="16"/>
      <x:c r="D382" s="16"/>
      <x:c r="E382" s="16"/>
      <x:c r="F382" s="16"/>
      <x:c r="G382" s="109"/>
      <x:c r="H382" s="16"/>
      <x:c r="I382" s="16"/>
      <x:c r="J382" s="16"/>
      <x:c r="K382" s="16"/>
      <x:c r="L382" s="109"/>
      <x:c r="M382" s="16"/>
      <x:c r="N382" s="16"/>
      <x:c r="O382" s="16"/>
    </x:row>
    <x:row r="383">
      <x:c r="A383" s="16"/>
      <x:c r="B383" s="16"/>
      <x:c r="C383" s="16"/>
      <x:c r="D383" s="16"/>
      <x:c r="E383" s="16"/>
      <x:c r="F383" s="16"/>
      <x:c r="G383" s="109"/>
      <x:c r="H383" s="16"/>
      <x:c r="I383" s="16"/>
      <x:c r="J383" s="16"/>
      <x:c r="K383" s="16"/>
      <x:c r="L383" s="109"/>
      <x:c r="M383" s="16"/>
      <x:c r="N383" s="16"/>
      <x:c r="O383" s="16"/>
    </x:row>
    <x:row r="384">
      <x:c r="A384" s="16"/>
      <x:c r="B384" s="16"/>
      <x:c r="C384" s="16"/>
      <x:c r="D384" s="16"/>
      <x:c r="E384" s="16"/>
      <x:c r="F384" s="16"/>
      <x:c r="G384" s="109"/>
      <x:c r="H384" s="16"/>
      <x:c r="I384" s="16"/>
      <x:c r="J384" s="16"/>
      <x:c r="K384" s="16"/>
      <x:c r="L384" s="109"/>
      <x:c r="M384" s="16"/>
      <x:c r="N384" s="16"/>
      <x:c r="O384" s="16"/>
    </x:row>
    <x:row r="385">
      <x:c r="A385" s="16"/>
      <x:c r="B385" s="16"/>
      <x:c r="C385" s="16"/>
      <x:c r="D385" s="16"/>
      <x:c r="E385" s="16"/>
      <x:c r="F385" s="16"/>
      <x:c r="G385" s="109"/>
      <x:c r="H385" s="16"/>
      <x:c r="I385" s="16"/>
      <x:c r="J385" s="16"/>
      <x:c r="K385" s="16"/>
      <x:c r="L385" s="109"/>
      <x:c r="M385" s="16"/>
      <x:c r="N385" s="16"/>
      <x:c r="O385" s="16"/>
    </x:row>
    <x:row r="386">
      <x:c r="A386" s="16"/>
      <x:c r="B386" s="16"/>
      <x:c r="C386" s="16"/>
      <x:c r="D386" s="16"/>
      <x:c r="E386" s="16"/>
      <x:c r="F386" s="16"/>
      <x:c r="G386" s="109"/>
      <x:c r="H386" s="16"/>
      <x:c r="I386" s="16"/>
      <x:c r="J386" s="16"/>
      <x:c r="K386" s="16"/>
      <x:c r="L386" s="109"/>
      <x:c r="M386" s="16"/>
      <x:c r="N386" s="16"/>
      <x:c r="O386" s="16"/>
    </x:row>
    <x:row r="387">
      <x:c r="A387" s="16"/>
      <x:c r="B387" s="16"/>
      <x:c r="C387" s="16"/>
      <x:c r="D387" s="16"/>
      <x:c r="E387" s="16"/>
      <x:c r="F387" s="16"/>
      <x:c r="G387" s="109"/>
      <x:c r="H387" s="16"/>
      <x:c r="I387" s="16"/>
      <x:c r="J387" s="16"/>
      <x:c r="K387" s="16"/>
      <x:c r="L387" s="109"/>
      <x:c r="M387" s="16"/>
      <x:c r="N387" s="16"/>
      <x:c r="O387" s="16"/>
    </x:row>
    <x:row r="388">
      <x:c r="A388" s="16"/>
      <x:c r="B388" s="16"/>
      <x:c r="C388" s="16"/>
      <x:c r="D388" s="16"/>
      <x:c r="E388" s="16"/>
      <x:c r="F388" s="16"/>
      <x:c r="G388" s="109"/>
      <x:c r="H388" s="16"/>
      <x:c r="I388" s="16"/>
      <x:c r="J388" s="16"/>
      <x:c r="K388" s="16"/>
      <x:c r="L388" s="109"/>
      <x:c r="M388" s="16"/>
      <x:c r="N388" s="16"/>
      <x:c r="O388" s="16"/>
    </x:row>
    <x:row r="389">
      <x:c r="A389" s="16"/>
      <x:c r="B389" s="16"/>
      <x:c r="C389" s="16"/>
      <x:c r="D389" s="16"/>
      <x:c r="E389" s="16"/>
      <x:c r="F389" s="16"/>
      <x:c r="G389" s="109"/>
      <x:c r="H389" s="16"/>
      <x:c r="I389" s="16"/>
      <x:c r="J389" s="16"/>
      <x:c r="K389" s="16"/>
      <x:c r="L389" s="109"/>
      <x:c r="M389" s="16"/>
      <x:c r="N389" s="16"/>
      <x:c r="O389" s="16"/>
    </x:row>
    <x:row r="390">
      <x:c r="A390" s="16"/>
      <x:c r="B390" s="16"/>
      <x:c r="C390" s="16"/>
      <x:c r="D390" s="16"/>
      <x:c r="E390" s="16"/>
      <x:c r="F390" s="16"/>
      <x:c r="G390" s="109"/>
      <x:c r="H390" s="16"/>
      <x:c r="I390" s="16"/>
      <x:c r="J390" s="16"/>
      <x:c r="K390" s="16"/>
      <x:c r="L390" s="109"/>
      <x:c r="M390" s="16"/>
      <x:c r="N390" s="16"/>
      <x:c r="O390" s="16"/>
    </x:row>
    <x:row r="391">
      <x:c r="A391" s="16"/>
      <x:c r="B391" s="16"/>
      <x:c r="C391" s="16"/>
      <x:c r="D391" s="16"/>
      <x:c r="E391" s="16"/>
      <x:c r="F391" s="16"/>
      <x:c r="G391" s="109"/>
      <x:c r="H391" s="16"/>
      <x:c r="I391" s="16"/>
      <x:c r="J391" s="16"/>
      <x:c r="K391" s="16"/>
      <x:c r="L391" s="109"/>
      <x:c r="M391" s="16"/>
      <x:c r="N391" s="16"/>
      <x:c r="O391" s="16"/>
    </x:row>
    <x:row r="392">
      <x:c r="A392" s="16"/>
      <x:c r="B392" s="16"/>
      <x:c r="C392" s="16"/>
      <x:c r="D392" s="16"/>
      <x:c r="E392" s="16"/>
      <x:c r="F392" s="16"/>
      <x:c r="G392" s="109"/>
      <x:c r="H392" s="16"/>
      <x:c r="I392" s="16"/>
      <x:c r="J392" s="16"/>
      <x:c r="K392" s="16"/>
      <x:c r="L392" s="109"/>
      <x:c r="M392" s="16"/>
      <x:c r="N392" s="16"/>
      <x:c r="O392" s="16"/>
    </x:row>
    <x:row r="393">
      <x:c r="A393" s="16"/>
      <x:c r="B393" s="16"/>
      <x:c r="C393" s="16"/>
      <x:c r="D393" s="16"/>
      <x:c r="E393" s="16"/>
      <x:c r="F393" s="16"/>
      <x:c r="G393" s="109"/>
      <x:c r="H393" s="16"/>
      <x:c r="I393" s="16"/>
      <x:c r="J393" s="16"/>
      <x:c r="K393" s="16"/>
      <x:c r="L393" s="109"/>
      <x:c r="M393" s="16"/>
      <x:c r="N393" s="16"/>
      <x:c r="O393" s="16"/>
    </x:row>
    <x:row r="394">
      <x:c r="A394" s="16"/>
      <x:c r="B394" s="16"/>
      <x:c r="C394" s="16"/>
      <x:c r="D394" s="16"/>
      <x:c r="E394" s="16"/>
      <x:c r="F394" s="16"/>
      <x:c r="G394" s="109"/>
      <x:c r="H394" s="16"/>
      <x:c r="I394" s="16"/>
      <x:c r="J394" s="16"/>
      <x:c r="K394" s="16"/>
      <x:c r="L394" s="109"/>
      <x:c r="M394" s="16"/>
      <x:c r="N394" s="16"/>
      <x:c r="O394" s="16"/>
    </x:row>
    <x:row r="395">
      <x:c r="A395" s="16"/>
      <x:c r="B395" s="16"/>
      <x:c r="C395" s="16"/>
      <x:c r="D395" s="16"/>
      <x:c r="E395" s="16"/>
      <x:c r="F395" s="16"/>
      <x:c r="G395" s="109"/>
      <x:c r="H395" s="16"/>
      <x:c r="I395" s="16"/>
      <x:c r="J395" s="16"/>
      <x:c r="K395" s="16"/>
      <x:c r="L395" s="109"/>
      <x:c r="M395" s="16"/>
      <x:c r="N395" s="16"/>
      <x:c r="O395" s="16"/>
    </x:row>
    <x:row r="396">
      <x:c r="A396" s="16"/>
      <x:c r="B396" s="16"/>
      <x:c r="C396" s="16"/>
      <x:c r="D396" s="16"/>
      <x:c r="E396" s="16"/>
      <x:c r="F396" s="16"/>
      <x:c r="G396" s="109"/>
      <x:c r="H396" s="16"/>
      <x:c r="I396" s="16"/>
      <x:c r="J396" s="16"/>
      <x:c r="K396" s="16"/>
      <x:c r="L396" s="109"/>
      <x:c r="M396" s="16"/>
      <x:c r="N396" s="16"/>
      <x:c r="O396" s="16"/>
    </x:row>
    <x:row r="397">
      <x:c r="A397" s="16"/>
      <x:c r="B397" s="16"/>
      <x:c r="C397" s="16"/>
      <x:c r="D397" s="16"/>
      <x:c r="E397" s="16"/>
      <x:c r="F397" s="16"/>
      <x:c r="G397" s="109"/>
      <x:c r="H397" s="16"/>
      <x:c r="I397" s="16"/>
      <x:c r="J397" s="16"/>
      <x:c r="K397" s="16"/>
      <x:c r="L397" s="109"/>
      <x:c r="M397" s="16"/>
      <x:c r="N397" s="16"/>
      <x:c r="O397" s="16"/>
    </x:row>
    <x:row r="398">
      <x:c r="A398" s="16"/>
      <x:c r="B398" s="16"/>
      <x:c r="C398" s="16"/>
      <x:c r="D398" s="16"/>
      <x:c r="E398" s="16"/>
      <x:c r="F398" s="16"/>
      <x:c r="G398" s="109"/>
      <x:c r="H398" s="16"/>
      <x:c r="I398" s="16"/>
      <x:c r="J398" s="16"/>
      <x:c r="K398" s="16"/>
      <x:c r="L398" s="109"/>
      <x:c r="M398" s="16"/>
      <x:c r="N398" s="16"/>
      <x:c r="O398" s="16"/>
    </x:row>
    <x:row r="399">
      <x:c r="A399" s="16"/>
      <x:c r="B399" s="16"/>
      <x:c r="C399" s="16"/>
      <x:c r="D399" s="16"/>
      <x:c r="E399" s="16"/>
      <x:c r="F399" s="16"/>
      <x:c r="G399" s="109"/>
      <x:c r="H399" s="16"/>
      <x:c r="I399" s="16"/>
      <x:c r="J399" s="16"/>
      <x:c r="K399" s="16"/>
      <x:c r="L399" s="109"/>
      <x:c r="M399" s="16"/>
      <x:c r="N399" s="16"/>
      <x:c r="O399" s="16"/>
    </x:row>
    <x:row r="400">
      <x:c r="A400" s="16"/>
      <x:c r="B400" s="16"/>
      <x:c r="C400" s="16"/>
      <x:c r="D400" s="16"/>
      <x:c r="E400" s="16"/>
      <x:c r="F400" s="16"/>
      <x:c r="G400" s="109"/>
      <x:c r="H400" s="16"/>
      <x:c r="I400" s="16"/>
      <x:c r="J400" s="16"/>
      <x:c r="K400" s="16"/>
      <x:c r="L400" s="109"/>
      <x:c r="M400" s="16"/>
      <x:c r="N400" s="16"/>
      <x:c r="O400" s="16"/>
    </x:row>
    <x:row r="401">
      <x:c r="A401" s="16"/>
      <x:c r="B401" s="16"/>
      <x:c r="C401" s="16"/>
      <x:c r="D401" s="16"/>
      <x:c r="E401" s="16"/>
      <x:c r="F401" s="16"/>
      <x:c r="G401" s="109"/>
      <x:c r="H401" s="16"/>
      <x:c r="I401" s="16"/>
      <x:c r="J401" s="16"/>
      <x:c r="K401" s="16"/>
      <x:c r="L401" s="109"/>
      <x:c r="M401" s="16"/>
      <x:c r="N401" s="16"/>
      <x:c r="O401" s="16"/>
    </x:row>
    <x:row r="402">
      <x:c r="A402" s="16"/>
      <x:c r="B402" s="16"/>
      <x:c r="C402" s="16"/>
      <x:c r="D402" s="16"/>
      <x:c r="E402" s="16"/>
      <x:c r="F402" s="16"/>
      <x:c r="G402" s="109"/>
      <x:c r="H402" s="16"/>
      <x:c r="I402" s="16"/>
      <x:c r="J402" s="16"/>
      <x:c r="K402" s="16"/>
      <x:c r="L402" s="109"/>
      <x:c r="M402" s="16"/>
      <x:c r="N402" s="16"/>
      <x:c r="O402" s="16"/>
    </x:row>
    <x:row r="403">
      <x:c r="A403" s="16"/>
      <x:c r="B403" s="16"/>
      <x:c r="C403" s="16"/>
      <x:c r="D403" s="16"/>
      <x:c r="E403" s="16"/>
      <x:c r="F403" s="16"/>
      <x:c r="G403" s="109"/>
      <x:c r="H403" s="16"/>
      <x:c r="I403" s="16"/>
      <x:c r="J403" s="16"/>
      <x:c r="K403" s="16"/>
      <x:c r="L403" s="109"/>
      <x:c r="M403" s="16"/>
      <x:c r="N403" s="16"/>
      <x:c r="O403" s="16"/>
    </x:row>
    <x:row r="404">
      <x:c r="A404" s="16"/>
      <x:c r="B404" s="16"/>
      <x:c r="C404" s="16"/>
      <x:c r="D404" s="16"/>
      <x:c r="E404" s="16"/>
      <x:c r="F404" s="16"/>
      <x:c r="G404" s="109"/>
      <x:c r="H404" s="16"/>
      <x:c r="I404" s="16"/>
      <x:c r="J404" s="16"/>
      <x:c r="K404" s="16"/>
      <x:c r="L404" s="109"/>
      <x:c r="M404" s="16"/>
      <x:c r="N404" s="16"/>
      <x:c r="O404" s="16"/>
    </x:row>
    <x:row r="405">
      <x:c r="A405" s="16"/>
      <x:c r="B405" s="16"/>
      <x:c r="C405" s="16"/>
      <x:c r="D405" s="16"/>
      <x:c r="E405" s="16"/>
      <x:c r="F405" s="16"/>
      <x:c r="G405" s="109"/>
      <x:c r="H405" s="16"/>
      <x:c r="I405" s="16"/>
      <x:c r="J405" s="16"/>
      <x:c r="K405" s="16"/>
      <x:c r="L405" s="109"/>
      <x:c r="M405" s="16"/>
      <x:c r="N405" s="16"/>
      <x:c r="O405" s="16"/>
    </x:row>
    <x:row r="406">
      <x:c r="A406" s="16"/>
      <x:c r="B406" s="16"/>
      <x:c r="C406" s="16"/>
      <x:c r="D406" s="16"/>
      <x:c r="E406" s="16"/>
      <x:c r="F406" s="16"/>
      <x:c r="G406" s="109"/>
      <x:c r="H406" s="16"/>
      <x:c r="I406" s="16"/>
      <x:c r="J406" s="16"/>
      <x:c r="K406" s="16"/>
      <x:c r="L406" s="109"/>
      <x:c r="M406" s="16"/>
      <x:c r="N406" s="16"/>
      <x:c r="O406" s="16"/>
    </x:row>
    <x:row r="407">
      <x:c r="A407" s="16"/>
      <x:c r="B407" s="16"/>
      <x:c r="C407" s="16"/>
      <x:c r="D407" s="16"/>
      <x:c r="E407" s="16"/>
      <x:c r="F407" s="16"/>
      <x:c r="G407" s="109"/>
      <x:c r="H407" s="16"/>
      <x:c r="I407" s="16"/>
      <x:c r="J407" s="16"/>
      <x:c r="K407" s="16"/>
      <x:c r="L407" s="109"/>
      <x:c r="M407" s="16"/>
      <x:c r="N407" s="16"/>
      <x:c r="O407" s="16"/>
    </x:row>
    <x:row r="408">
      <x:c r="A408" s="16"/>
      <x:c r="B408" s="16"/>
      <x:c r="C408" s="16"/>
      <x:c r="D408" s="16"/>
      <x:c r="E408" s="16"/>
      <x:c r="F408" s="16"/>
      <x:c r="G408" s="109"/>
      <x:c r="H408" s="16"/>
      <x:c r="I408" s="16"/>
      <x:c r="J408" s="16"/>
      <x:c r="K408" s="16"/>
      <x:c r="L408" s="109"/>
      <x:c r="M408" s="16"/>
      <x:c r="N408" s="16"/>
      <x:c r="O408" s="16"/>
    </x:row>
    <x:row r="409">
      <x:c r="A409" s="16"/>
      <x:c r="B409" s="16"/>
      <x:c r="C409" s="16"/>
      <x:c r="D409" s="16"/>
      <x:c r="E409" s="16"/>
      <x:c r="F409" s="16"/>
      <x:c r="G409" s="109"/>
      <x:c r="H409" s="16"/>
      <x:c r="I409" s="16"/>
      <x:c r="J409" s="16"/>
      <x:c r="K409" s="16"/>
      <x:c r="L409" s="109"/>
      <x:c r="M409" s="16"/>
      <x:c r="N409" s="16"/>
      <x:c r="O409" s="16"/>
    </x:row>
    <x:row r="410">
      <x:c r="A410" s="16"/>
      <x:c r="B410" s="16"/>
      <x:c r="C410" s="16"/>
      <x:c r="D410" s="16"/>
      <x:c r="E410" s="16"/>
      <x:c r="F410" s="16"/>
      <x:c r="G410" s="109"/>
      <x:c r="H410" s="16"/>
      <x:c r="I410" s="16"/>
      <x:c r="J410" s="16"/>
      <x:c r="K410" s="16"/>
      <x:c r="L410" s="109"/>
      <x:c r="M410" s="16"/>
      <x:c r="N410" s="16"/>
      <x:c r="O410" s="16"/>
    </x:row>
    <x:row r="411">
      <x:c r="A411" s="16"/>
      <x:c r="B411" s="16"/>
      <x:c r="C411" s="16"/>
      <x:c r="D411" s="16"/>
      <x:c r="E411" s="16"/>
      <x:c r="F411" s="16"/>
      <x:c r="G411" s="109"/>
      <x:c r="H411" s="16"/>
      <x:c r="I411" s="16"/>
      <x:c r="J411" s="16"/>
      <x:c r="K411" s="16"/>
      <x:c r="L411" s="109"/>
      <x:c r="M411" s="16"/>
      <x:c r="N411" s="16"/>
      <x:c r="O411" s="16"/>
    </x:row>
    <x:row r="412">
      <x:c r="A412" s="16"/>
      <x:c r="B412" s="16"/>
      <x:c r="C412" s="16"/>
      <x:c r="D412" s="16"/>
      <x:c r="E412" s="16"/>
      <x:c r="F412" s="16"/>
      <x:c r="G412" s="109"/>
      <x:c r="H412" s="16"/>
      <x:c r="I412" s="16"/>
      <x:c r="J412" s="16"/>
      <x:c r="K412" s="16"/>
      <x:c r="L412" s="109"/>
      <x:c r="M412" s="16"/>
      <x:c r="N412" s="16"/>
      <x:c r="O412" s="16"/>
    </x:row>
    <x:row r="413">
      <x:c r="A413" s="16"/>
      <x:c r="B413" s="16"/>
      <x:c r="C413" s="16"/>
      <x:c r="D413" s="16"/>
      <x:c r="E413" s="16"/>
      <x:c r="F413" s="16"/>
      <x:c r="G413" s="109"/>
      <x:c r="H413" s="16"/>
      <x:c r="I413" s="16"/>
      <x:c r="J413" s="16"/>
      <x:c r="K413" s="16"/>
      <x:c r="L413" s="109"/>
      <x:c r="M413" s="16"/>
      <x:c r="N413" s="16"/>
      <x:c r="O413" s="16"/>
    </x:row>
    <x:row r="414">
      <x:c r="A414" s="16"/>
      <x:c r="B414" s="16"/>
      <x:c r="C414" s="16"/>
      <x:c r="D414" s="16"/>
      <x:c r="E414" s="16"/>
      <x:c r="F414" s="16"/>
      <x:c r="G414" s="109"/>
      <x:c r="H414" s="16"/>
      <x:c r="I414" s="16"/>
      <x:c r="J414" s="16"/>
      <x:c r="K414" s="16"/>
      <x:c r="L414" s="109"/>
      <x:c r="M414" s="16"/>
      <x:c r="N414" s="16"/>
      <x:c r="O414" s="16"/>
    </x:row>
    <x:row r="415">
      <x:c r="A415" s="16"/>
      <x:c r="B415" s="16"/>
      <x:c r="C415" s="16"/>
      <x:c r="D415" s="16"/>
      <x:c r="E415" s="16"/>
      <x:c r="F415" s="16"/>
      <x:c r="G415" s="109"/>
      <x:c r="H415" s="16"/>
      <x:c r="I415" s="16"/>
      <x:c r="J415" s="16"/>
      <x:c r="K415" s="16"/>
      <x:c r="L415" s="109"/>
      <x:c r="M415" s="16"/>
      <x:c r="N415" s="16"/>
      <x:c r="O415" s="16"/>
    </x:row>
    <x:row r="416">
      <x:c r="A416" s="16"/>
      <x:c r="B416" s="16"/>
      <x:c r="C416" s="16"/>
      <x:c r="D416" s="16"/>
      <x:c r="E416" s="16"/>
      <x:c r="F416" s="16"/>
      <x:c r="G416" s="109"/>
      <x:c r="H416" s="16"/>
      <x:c r="I416" s="16"/>
      <x:c r="J416" s="16"/>
      <x:c r="K416" s="16"/>
      <x:c r="L416" s="109"/>
      <x:c r="M416" s="16"/>
      <x:c r="N416" s="16"/>
      <x:c r="O416" s="16"/>
    </x:row>
    <x:row r="417">
      <x:c r="A417" s="16"/>
      <x:c r="B417" s="16"/>
      <x:c r="C417" s="16"/>
      <x:c r="D417" s="16"/>
      <x:c r="E417" s="16"/>
      <x:c r="F417" s="16"/>
      <x:c r="G417" s="109"/>
      <x:c r="H417" s="16"/>
      <x:c r="I417" s="16"/>
      <x:c r="J417" s="16"/>
      <x:c r="K417" s="16"/>
      <x:c r="L417" s="109"/>
      <x:c r="M417" s="16"/>
      <x:c r="N417" s="16"/>
      <x:c r="O417" s="16"/>
    </x:row>
    <x:row r="418">
      <x:c r="A418" s="16"/>
      <x:c r="B418" s="16"/>
      <x:c r="C418" s="16"/>
      <x:c r="D418" s="16"/>
      <x:c r="E418" s="16"/>
      <x:c r="F418" s="16"/>
      <x:c r="G418" s="109"/>
      <x:c r="H418" s="16"/>
      <x:c r="I418" s="16"/>
      <x:c r="J418" s="16"/>
      <x:c r="K418" s="16"/>
      <x:c r="L418" s="109"/>
      <x:c r="M418" s="16"/>
      <x:c r="N418" s="16"/>
      <x:c r="O418" s="16"/>
    </x:row>
    <x:row r="419">
      <x:c r="A419" s="16"/>
      <x:c r="B419" s="16"/>
      <x:c r="C419" s="16"/>
      <x:c r="D419" s="16"/>
      <x:c r="E419" s="16"/>
      <x:c r="F419" s="16"/>
      <x:c r="G419" s="109"/>
      <x:c r="H419" s="16"/>
      <x:c r="I419" s="16"/>
      <x:c r="J419" s="16"/>
      <x:c r="K419" s="16"/>
      <x:c r="L419" s="109"/>
      <x:c r="M419" s="16"/>
      <x:c r="N419" s="16"/>
      <x:c r="O419" s="16"/>
    </x:row>
    <x:row r="420">
      <x:c r="A420" s="16"/>
      <x:c r="B420" s="16"/>
      <x:c r="C420" s="16"/>
      <x:c r="D420" s="16"/>
      <x:c r="E420" s="16"/>
      <x:c r="F420" s="16"/>
      <x:c r="G420" s="109"/>
      <x:c r="H420" s="16"/>
      <x:c r="I420" s="16"/>
      <x:c r="J420" s="16"/>
      <x:c r="K420" s="16"/>
      <x:c r="L420" s="109"/>
      <x:c r="M420" s="16"/>
      <x:c r="N420" s="16"/>
      <x:c r="O420" s="16"/>
    </x:row>
    <x:row r="421">
      <x:c r="A421" s="16"/>
      <x:c r="B421" s="16"/>
      <x:c r="C421" s="16"/>
      <x:c r="D421" s="16"/>
      <x:c r="E421" s="16"/>
      <x:c r="F421" s="16"/>
      <x:c r="G421" s="109"/>
      <x:c r="H421" s="16"/>
      <x:c r="I421" s="16"/>
      <x:c r="J421" s="16"/>
      <x:c r="K421" s="16"/>
      <x:c r="L421" s="109"/>
      <x:c r="M421" s="16"/>
      <x:c r="N421" s="16"/>
      <x:c r="O421" s="16"/>
    </x:row>
    <x:row r="422">
      <x:c r="A422" s="16"/>
      <x:c r="B422" s="16"/>
      <x:c r="C422" s="16"/>
      <x:c r="D422" s="16"/>
      <x:c r="E422" s="16"/>
      <x:c r="F422" s="16"/>
      <x:c r="G422" s="109"/>
      <x:c r="H422" s="16"/>
      <x:c r="I422" s="16"/>
      <x:c r="J422" s="16"/>
      <x:c r="K422" s="16"/>
      <x:c r="L422" s="109"/>
      <x:c r="M422" s="16"/>
      <x:c r="N422" s="16"/>
      <x:c r="O422" s="16"/>
    </x:row>
    <x:row r="423">
      <x:c r="A423" s="16"/>
      <x:c r="B423" s="16"/>
      <x:c r="C423" s="16"/>
      <x:c r="D423" s="16"/>
      <x:c r="E423" s="16"/>
      <x:c r="F423" s="16"/>
      <x:c r="G423" s="109"/>
      <x:c r="H423" s="16"/>
      <x:c r="I423" s="16"/>
      <x:c r="J423" s="16"/>
      <x:c r="K423" s="16"/>
      <x:c r="L423" s="109"/>
      <x:c r="M423" s="16"/>
      <x:c r="N423" s="16"/>
      <x:c r="O423" s="16"/>
    </x:row>
    <x:row r="424">
      <x:c r="A424" s="16"/>
      <x:c r="B424" s="16"/>
      <x:c r="C424" s="16"/>
      <x:c r="D424" s="16"/>
      <x:c r="E424" s="16"/>
      <x:c r="F424" s="16"/>
      <x:c r="G424" s="109"/>
      <x:c r="H424" s="16"/>
      <x:c r="I424" s="16"/>
      <x:c r="J424" s="16"/>
      <x:c r="K424" s="16"/>
      <x:c r="L424" s="109"/>
      <x:c r="M424" s="16"/>
      <x:c r="N424" s="16"/>
      <x:c r="O424" s="16"/>
    </x:row>
    <x:row r="425">
      <x:c r="A425" s="16"/>
      <x:c r="B425" s="16"/>
      <x:c r="C425" s="16"/>
      <x:c r="D425" s="16"/>
      <x:c r="E425" s="16"/>
      <x:c r="F425" s="16"/>
      <x:c r="G425" s="109"/>
      <x:c r="H425" s="16"/>
      <x:c r="I425" s="16"/>
      <x:c r="J425" s="16"/>
      <x:c r="K425" s="16"/>
      <x:c r="L425" s="109"/>
      <x:c r="M425" s="16"/>
      <x:c r="N425" s="16"/>
      <x:c r="O425" s="16"/>
    </x:row>
    <x:row r="426">
      <x:c r="A426" s="16"/>
      <x:c r="B426" s="16"/>
      <x:c r="C426" s="16"/>
      <x:c r="D426" s="16"/>
      <x:c r="E426" s="16"/>
      <x:c r="F426" s="16"/>
      <x:c r="G426" s="109"/>
      <x:c r="H426" s="16"/>
      <x:c r="I426" s="16"/>
      <x:c r="J426" s="16"/>
      <x:c r="K426" s="16"/>
      <x:c r="L426" s="109"/>
      <x:c r="M426" s="16"/>
      <x:c r="N426" s="16"/>
      <x:c r="O426" s="16"/>
    </x:row>
    <x:row r="427">
      <x:c r="A427" s="16"/>
      <x:c r="B427" s="16"/>
      <x:c r="C427" s="16"/>
      <x:c r="D427" s="16"/>
      <x:c r="E427" s="16"/>
      <x:c r="F427" s="16"/>
      <x:c r="G427" s="109"/>
      <x:c r="H427" s="16"/>
      <x:c r="I427" s="16"/>
      <x:c r="J427" s="16"/>
      <x:c r="K427" s="16"/>
      <x:c r="L427" s="109"/>
      <x:c r="M427" s="16"/>
      <x:c r="N427" s="16"/>
      <x:c r="O427" s="16"/>
    </x:row>
    <x:row r="428">
      <x:c r="A428" s="16"/>
      <x:c r="B428" s="16"/>
      <x:c r="C428" s="16"/>
      <x:c r="D428" s="16"/>
      <x:c r="E428" s="16"/>
      <x:c r="F428" s="16"/>
      <x:c r="G428" s="109"/>
      <x:c r="H428" s="16"/>
      <x:c r="I428" s="16"/>
      <x:c r="J428" s="16"/>
      <x:c r="K428" s="16"/>
      <x:c r="L428" s="109"/>
      <x:c r="M428" s="16"/>
      <x:c r="N428" s="16"/>
      <x:c r="O428" s="16"/>
    </x:row>
    <x:row r="429">
      <x:c r="A429" s="16"/>
      <x:c r="B429" s="16"/>
      <x:c r="C429" s="16"/>
      <x:c r="D429" s="16"/>
      <x:c r="E429" s="16"/>
      <x:c r="F429" s="16"/>
      <x:c r="G429" s="109"/>
      <x:c r="H429" s="16"/>
      <x:c r="I429" s="16"/>
      <x:c r="J429" s="16"/>
      <x:c r="K429" s="16"/>
      <x:c r="L429" s="109"/>
      <x:c r="M429" s="16"/>
      <x:c r="N429" s="16"/>
      <x:c r="O429" s="16"/>
    </x:row>
    <x:row r="430">
      <x:c r="A430" s="16"/>
      <x:c r="B430" s="16"/>
      <x:c r="C430" s="16"/>
      <x:c r="D430" s="16"/>
      <x:c r="E430" s="16"/>
      <x:c r="F430" s="16"/>
      <x:c r="G430" s="109"/>
      <x:c r="H430" s="16"/>
      <x:c r="I430" s="16"/>
      <x:c r="J430" s="16"/>
      <x:c r="K430" s="16"/>
      <x:c r="L430" s="109"/>
      <x:c r="M430" s="16"/>
      <x:c r="N430" s="16"/>
      <x:c r="O430" s="16"/>
    </x:row>
    <x:row r="431">
      <x:c r="A431" s="16"/>
      <x:c r="B431" s="16"/>
      <x:c r="C431" s="16"/>
      <x:c r="D431" s="16"/>
      <x:c r="E431" s="16"/>
      <x:c r="F431" s="16"/>
      <x:c r="G431" s="109"/>
      <x:c r="H431" s="16"/>
      <x:c r="I431" s="16"/>
      <x:c r="J431" s="16"/>
      <x:c r="K431" s="16"/>
      <x:c r="L431" s="109"/>
      <x:c r="M431" s="16"/>
      <x:c r="N431" s="16"/>
      <x:c r="O431" s="16"/>
    </x:row>
    <x:row r="432">
      <x:c r="A432" s="16"/>
      <x:c r="B432" s="16"/>
      <x:c r="C432" s="16"/>
      <x:c r="D432" s="16"/>
      <x:c r="E432" s="16"/>
      <x:c r="F432" s="16"/>
      <x:c r="G432" s="109"/>
      <x:c r="H432" s="16"/>
      <x:c r="I432" s="16"/>
      <x:c r="J432" s="16"/>
      <x:c r="K432" s="16"/>
      <x:c r="L432" s="109"/>
      <x:c r="M432" s="16"/>
      <x:c r="N432" s="16"/>
      <x:c r="O432" s="16"/>
    </x:row>
    <x:row r="433">
      <x:c r="A433" s="16"/>
      <x:c r="B433" s="16"/>
      <x:c r="C433" s="16"/>
      <x:c r="D433" s="16"/>
      <x:c r="E433" s="16"/>
      <x:c r="F433" s="16"/>
      <x:c r="G433" s="109"/>
      <x:c r="H433" s="16"/>
      <x:c r="I433" s="16"/>
      <x:c r="J433" s="16"/>
      <x:c r="K433" s="16"/>
      <x:c r="L433" s="109"/>
      <x:c r="M433" s="16"/>
      <x:c r="N433" s="16"/>
      <x:c r="O433" s="16"/>
    </x:row>
    <x:row r="434">
      <x:c r="A434" s="16"/>
      <x:c r="B434" s="16"/>
      <x:c r="C434" s="16"/>
      <x:c r="D434" s="16"/>
      <x:c r="E434" s="16"/>
      <x:c r="F434" s="16"/>
      <x:c r="G434" s="109"/>
      <x:c r="H434" s="16"/>
      <x:c r="I434" s="16"/>
      <x:c r="J434" s="16"/>
      <x:c r="K434" s="16"/>
      <x:c r="L434" s="109"/>
      <x:c r="M434" s="16"/>
      <x:c r="N434" s="16"/>
      <x:c r="O434" s="16"/>
    </x:row>
    <x:row r="435">
      <x:c r="A435" s="16"/>
      <x:c r="B435" s="16"/>
      <x:c r="C435" s="16"/>
      <x:c r="D435" s="16"/>
      <x:c r="E435" s="16"/>
      <x:c r="F435" s="16"/>
      <x:c r="G435" s="109"/>
      <x:c r="H435" s="16"/>
      <x:c r="I435" s="16"/>
      <x:c r="J435" s="16"/>
      <x:c r="K435" s="16"/>
      <x:c r="L435" s="109"/>
      <x:c r="M435" s="16"/>
      <x:c r="N435" s="16"/>
      <x:c r="O435" s="16"/>
    </x:row>
    <x:row r="436">
      <x:c r="A436" s="16"/>
      <x:c r="B436" s="16"/>
      <x:c r="C436" s="16"/>
      <x:c r="D436" s="16"/>
      <x:c r="E436" s="16"/>
      <x:c r="F436" s="16"/>
      <x:c r="G436" s="109"/>
      <x:c r="H436" s="16"/>
      <x:c r="I436" s="16"/>
      <x:c r="J436" s="16"/>
      <x:c r="K436" s="16"/>
      <x:c r="L436" s="109"/>
      <x:c r="M436" s="16"/>
      <x:c r="N436" s="16"/>
      <x:c r="O436" s="16"/>
    </x:row>
    <x:row r="437">
      <x:c r="A437" s="16"/>
      <x:c r="B437" s="16"/>
      <x:c r="C437" s="16"/>
      <x:c r="D437" s="16"/>
      <x:c r="E437" s="16"/>
      <x:c r="F437" s="16"/>
      <x:c r="G437" s="109"/>
      <x:c r="H437" s="16"/>
      <x:c r="I437" s="16"/>
      <x:c r="J437" s="16"/>
      <x:c r="K437" s="16"/>
      <x:c r="L437" s="109"/>
      <x:c r="M437" s="16"/>
      <x:c r="N437" s="16"/>
      <x:c r="O437" s="16"/>
    </x:row>
    <x:row r="438">
      <x:c r="A438" s="16"/>
      <x:c r="B438" s="16"/>
      <x:c r="C438" s="16"/>
      <x:c r="D438" s="16"/>
      <x:c r="E438" s="16"/>
      <x:c r="F438" s="16"/>
      <x:c r="G438" s="109"/>
      <x:c r="H438" s="16"/>
      <x:c r="I438" s="16"/>
      <x:c r="J438" s="16"/>
      <x:c r="K438" s="16"/>
      <x:c r="L438" s="109"/>
      <x:c r="M438" s="16"/>
      <x:c r="N438" s="16"/>
      <x:c r="O438" s="16"/>
    </x:row>
    <x:row r="439">
      <x:c r="A439" s="16"/>
      <x:c r="B439" s="16"/>
      <x:c r="C439" s="16"/>
      <x:c r="D439" s="16"/>
      <x:c r="E439" s="16"/>
      <x:c r="F439" s="16"/>
      <x:c r="G439" s="109"/>
      <x:c r="H439" s="16"/>
      <x:c r="I439" s="16"/>
      <x:c r="J439" s="16"/>
      <x:c r="K439" s="16"/>
      <x:c r="L439" s="109"/>
      <x:c r="M439" s="16"/>
      <x:c r="N439" s="16"/>
      <x:c r="O439" s="16"/>
    </x:row>
    <x:row r="440">
      <x:c r="A440" s="16"/>
      <x:c r="B440" s="16"/>
      <x:c r="C440" s="16"/>
      <x:c r="D440" s="16"/>
      <x:c r="E440" s="16"/>
      <x:c r="F440" s="16"/>
      <x:c r="G440" s="109"/>
      <x:c r="H440" s="16"/>
      <x:c r="I440" s="16"/>
      <x:c r="J440" s="16"/>
      <x:c r="K440" s="16"/>
      <x:c r="L440" s="109"/>
      <x:c r="M440" s="16"/>
      <x:c r="N440" s="16"/>
      <x:c r="O440" s="16"/>
    </x:row>
    <x:row r="441">
      <x:c r="A441" s="16"/>
      <x:c r="B441" s="16"/>
      <x:c r="C441" s="16"/>
      <x:c r="D441" s="16"/>
      <x:c r="E441" s="16"/>
      <x:c r="F441" s="16"/>
      <x:c r="G441" s="109"/>
      <x:c r="H441" s="16"/>
      <x:c r="I441" s="16"/>
      <x:c r="J441" s="16"/>
      <x:c r="K441" s="16"/>
      <x:c r="L441" s="109"/>
      <x:c r="M441" s="16"/>
      <x:c r="N441" s="16"/>
      <x:c r="O441" s="16"/>
    </x:row>
    <x:row r="442">
      <x:c r="A442" s="16"/>
      <x:c r="B442" s="16"/>
      <x:c r="C442" s="16"/>
      <x:c r="D442" s="16"/>
      <x:c r="E442" s="16"/>
      <x:c r="F442" s="16"/>
      <x:c r="G442" s="109"/>
      <x:c r="H442" s="16"/>
      <x:c r="I442" s="16"/>
      <x:c r="J442" s="16"/>
      <x:c r="K442" s="16"/>
      <x:c r="L442" s="109"/>
      <x:c r="M442" s="16"/>
      <x:c r="N442" s="16"/>
      <x:c r="O442" s="16"/>
    </x:row>
    <x:row r="443">
      <x:c r="A443" s="16"/>
      <x:c r="B443" s="16"/>
      <x:c r="C443" s="16"/>
      <x:c r="D443" s="16"/>
      <x:c r="E443" s="16"/>
      <x:c r="F443" s="16"/>
      <x:c r="G443" s="109"/>
      <x:c r="H443" s="16"/>
      <x:c r="I443" s="16"/>
      <x:c r="J443" s="16"/>
      <x:c r="K443" s="16"/>
      <x:c r="L443" s="109"/>
      <x:c r="M443" s="16"/>
      <x:c r="N443" s="16"/>
      <x:c r="O443" s="16"/>
    </x:row>
    <x:row r="444">
      <x:c r="A444" s="16"/>
      <x:c r="B444" s="16"/>
      <x:c r="C444" s="16"/>
      <x:c r="D444" s="16"/>
      <x:c r="E444" s="16"/>
      <x:c r="F444" s="16"/>
      <x:c r="G444" s="109"/>
      <x:c r="H444" s="16"/>
      <x:c r="I444" s="16"/>
      <x:c r="J444" s="16"/>
      <x:c r="K444" s="16"/>
      <x:c r="L444" s="109"/>
      <x:c r="M444" s="16"/>
      <x:c r="N444" s="16"/>
      <x:c r="O444" s="16"/>
    </x:row>
    <x:row r="445">
      <x:c r="A445" s="16"/>
      <x:c r="B445" s="16"/>
      <x:c r="C445" s="16"/>
      <x:c r="D445" s="16"/>
      <x:c r="E445" s="16"/>
      <x:c r="F445" s="16"/>
      <x:c r="G445" s="109"/>
      <x:c r="H445" s="16"/>
      <x:c r="I445" s="16"/>
      <x:c r="J445" s="16"/>
      <x:c r="K445" s="16"/>
      <x:c r="L445" s="109"/>
      <x:c r="M445" s="16"/>
      <x:c r="N445" s="16"/>
      <x:c r="O445" s="16"/>
    </x:row>
    <x:row r="446">
      <x:c r="A446" s="16"/>
      <x:c r="B446" s="16"/>
      <x:c r="C446" s="16"/>
      <x:c r="D446" s="16"/>
      <x:c r="E446" s="16"/>
      <x:c r="F446" s="16"/>
      <x:c r="G446" s="109"/>
      <x:c r="H446" s="16"/>
      <x:c r="I446" s="16"/>
      <x:c r="J446" s="16"/>
      <x:c r="K446" s="16"/>
      <x:c r="L446" s="109"/>
      <x:c r="M446" s="16"/>
      <x:c r="N446" s="16"/>
      <x:c r="O446" s="16"/>
    </x:row>
    <x:row r="447">
      <x:c r="A447" s="16"/>
      <x:c r="B447" s="16"/>
      <x:c r="C447" s="16"/>
      <x:c r="D447" s="16"/>
      <x:c r="E447" s="16"/>
      <x:c r="F447" s="16"/>
      <x:c r="G447" s="109"/>
      <x:c r="H447" s="16"/>
      <x:c r="I447" s="16"/>
      <x:c r="J447" s="16"/>
      <x:c r="K447" s="16"/>
      <x:c r="L447" s="109"/>
      <x:c r="M447" s="16"/>
      <x:c r="N447" s="16"/>
      <x:c r="O447" s="16"/>
    </x:row>
    <x:row r="448">
      <x:c r="A448" s="16"/>
      <x:c r="B448" s="16"/>
      <x:c r="C448" s="16"/>
      <x:c r="D448" s="16"/>
      <x:c r="E448" s="16"/>
      <x:c r="F448" s="16"/>
      <x:c r="G448" s="109"/>
      <x:c r="H448" s="16"/>
      <x:c r="I448" s="16"/>
      <x:c r="J448" s="16"/>
      <x:c r="K448" s="16"/>
      <x:c r="L448" s="109"/>
      <x:c r="M448" s="16"/>
      <x:c r="N448" s="16"/>
      <x:c r="O448" s="16"/>
    </x:row>
    <x:row r="449">
      <x:c r="A449" s="16"/>
      <x:c r="B449" s="16"/>
      <x:c r="C449" s="16"/>
      <x:c r="D449" s="16"/>
      <x:c r="E449" s="16"/>
      <x:c r="F449" s="16"/>
      <x:c r="G449" s="109"/>
      <x:c r="H449" s="16"/>
      <x:c r="I449" s="16"/>
      <x:c r="J449" s="16"/>
      <x:c r="K449" s="16"/>
      <x:c r="L449" s="109"/>
      <x:c r="M449" s="16"/>
      <x:c r="N449" s="16"/>
      <x:c r="O449" s="16"/>
    </x:row>
    <x:row r="450">
      <x:c r="A450" s="16"/>
      <x:c r="B450" s="16"/>
      <x:c r="C450" s="16"/>
      <x:c r="D450" s="16"/>
      <x:c r="E450" s="16"/>
      <x:c r="F450" s="16"/>
      <x:c r="G450" s="109"/>
      <x:c r="H450" s="16"/>
      <x:c r="I450" s="16"/>
      <x:c r="J450" s="16"/>
      <x:c r="K450" s="16"/>
      <x:c r="L450" s="109"/>
      <x:c r="M450" s="16"/>
      <x:c r="N450" s="16"/>
      <x:c r="O450" s="16"/>
    </x:row>
    <x:row r="451">
      <x:c r="A451" s="16"/>
      <x:c r="B451" s="16"/>
      <x:c r="C451" s="16"/>
      <x:c r="D451" s="16"/>
      <x:c r="E451" s="16"/>
      <x:c r="F451" s="16"/>
      <x:c r="G451" s="109"/>
      <x:c r="H451" s="16"/>
      <x:c r="I451" s="16"/>
      <x:c r="J451" s="16"/>
      <x:c r="K451" s="16"/>
      <x:c r="L451" s="109"/>
      <x:c r="M451" s="16"/>
      <x:c r="N451" s="16"/>
      <x:c r="O451" s="16"/>
    </x:row>
    <x:row r="452">
      <x:c r="A452" s="16"/>
      <x:c r="B452" s="16"/>
      <x:c r="C452" s="16"/>
      <x:c r="D452" s="16"/>
      <x:c r="E452" s="16"/>
      <x:c r="F452" s="16"/>
      <x:c r="G452" s="109"/>
      <x:c r="H452" s="16"/>
      <x:c r="I452" s="16"/>
      <x:c r="J452" s="16"/>
      <x:c r="K452" s="16"/>
      <x:c r="L452" s="109"/>
      <x:c r="M452" s="16"/>
      <x:c r="N452" s="16"/>
      <x:c r="O452" s="16"/>
    </x:row>
    <x:row r="453">
      <x:c r="A453" s="16"/>
      <x:c r="B453" s="16"/>
      <x:c r="C453" s="16"/>
      <x:c r="D453" s="16"/>
      <x:c r="E453" s="16"/>
      <x:c r="F453" s="16"/>
      <x:c r="G453" s="109"/>
      <x:c r="H453" s="16"/>
      <x:c r="I453" s="16"/>
      <x:c r="J453" s="16"/>
      <x:c r="K453" s="16"/>
      <x:c r="L453" s="109"/>
      <x:c r="M453" s="16"/>
      <x:c r="N453" s="16"/>
      <x:c r="O453" s="16"/>
    </x:row>
    <x:row r="454">
      <x:c r="A454" s="16"/>
      <x:c r="B454" s="16"/>
      <x:c r="C454" s="16"/>
      <x:c r="D454" s="16"/>
      <x:c r="E454" s="16"/>
      <x:c r="F454" s="16"/>
      <x:c r="G454" s="109"/>
      <x:c r="H454" s="16"/>
      <x:c r="I454" s="16"/>
      <x:c r="J454" s="16"/>
      <x:c r="K454" s="16"/>
      <x:c r="L454" s="109"/>
      <x:c r="M454" s="16"/>
      <x:c r="N454" s="16"/>
      <x:c r="O454" s="16"/>
    </x:row>
    <x:row r="455">
      <x:c r="A455" s="16"/>
      <x:c r="B455" s="16"/>
      <x:c r="C455" s="16"/>
      <x:c r="D455" s="16"/>
      <x:c r="E455" s="16"/>
      <x:c r="F455" s="16"/>
      <x:c r="G455" s="109"/>
      <x:c r="H455" s="16"/>
      <x:c r="I455" s="16"/>
      <x:c r="J455" s="16"/>
      <x:c r="K455" s="16"/>
      <x:c r="L455" s="109"/>
      <x:c r="M455" s="16"/>
      <x:c r="N455" s="16"/>
      <x:c r="O455" s="16"/>
    </x:row>
    <x:row r="456">
      <x:c r="A456" s="16"/>
      <x:c r="B456" s="16"/>
      <x:c r="C456" s="16"/>
      <x:c r="D456" s="16"/>
      <x:c r="E456" s="16"/>
      <x:c r="F456" s="16"/>
      <x:c r="G456" s="109"/>
      <x:c r="H456" s="16"/>
      <x:c r="I456" s="16"/>
      <x:c r="J456" s="16"/>
      <x:c r="K456" s="16"/>
      <x:c r="L456" s="109"/>
      <x:c r="M456" s="16"/>
      <x:c r="N456" s="16"/>
      <x:c r="O456" s="16"/>
    </x:row>
    <x:row r="457">
      <x:c r="A457" s="16"/>
      <x:c r="B457" s="16"/>
      <x:c r="C457" s="16"/>
      <x:c r="D457" s="16"/>
      <x:c r="E457" s="16"/>
      <x:c r="F457" s="16"/>
      <x:c r="G457" s="109"/>
      <x:c r="H457" s="16"/>
      <x:c r="I457" s="16"/>
      <x:c r="J457" s="16"/>
      <x:c r="K457" s="16"/>
      <x:c r="L457" s="109"/>
      <x:c r="M457" s="16"/>
      <x:c r="N457" s="16"/>
      <x:c r="O457" s="16"/>
    </x:row>
    <x:row r="458">
      <x:c r="A458" s="16"/>
      <x:c r="B458" s="16"/>
      <x:c r="C458" s="16"/>
      <x:c r="D458" s="16"/>
      <x:c r="E458" s="16"/>
      <x:c r="F458" s="16"/>
      <x:c r="G458" s="109"/>
      <x:c r="H458" s="16"/>
      <x:c r="I458" s="16"/>
      <x:c r="J458" s="16"/>
      <x:c r="K458" s="16"/>
      <x:c r="L458" s="109"/>
      <x:c r="M458" s="16"/>
      <x:c r="N458" s="16"/>
      <x:c r="O458" s="16"/>
    </x:row>
    <x:row r="459">
      <x:c r="A459" s="16"/>
      <x:c r="B459" s="16"/>
      <x:c r="C459" s="16"/>
      <x:c r="D459" s="16"/>
      <x:c r="E459" s="16"/>
      <x:c r="F459" s="16"/>
      <x:c r="G459" s="109"/>
      <x:c r="H459" s="16"/>
      <x:c r="I459" s="16"/>
      <x:c r="J459" s="16"/>
      <x:c r="K459" s="16"/>
      <x:c r="L459" s="109"/>
      <x:c r="M459" s="16"/>
      <x:c r="N459" s="16"/>
      <x:c r="O459" s="16"/>
    </x:row>
    <x:row r="460">
      <x:c r="A460" s="16"/>
      <x:c r="B460" s="16"/>
      <x:c r="C460" s="16"/>
      <x:c r="D460" s="16"/>
      <x:c r="E460" s="16"/>
      <x:c r="F460" s="16"/>
      <x:c r="G460" s="109"/>
      <x:c r="H460" s="16"/>
      <x:c r="I460" s="16"/>
      <x:c r="J460" s="16"/>
      <x:c r="K460" s="16"/>
      <x:c r="L460" s="109"/>
      <x:c r="M460" s="16"/>
      <x:c r="N460" s="16"/>
      <x:c r="O460" s="16"/>
    </x:row>
    <x:row r="461">
      <x:c r="A461" s="16"/>
      <x:c r="B461" s="16"/>
      <x:c r="C461" s="16"/>
      <x:c r="D461" s="16"/>
      <x:c r="E461" s="16"/>
      <x:c r="F461" s="16"/>
      <x:c r="G461" s="109"/>
      <x:c r="H461" s="16"/>
      <x:c r="I461" s="16"/>
      <x:c r="J461" s="16"/>
      <x:c r="K461" s="16"/>
      <x:c r="L461" s="109"/>
      <x:c r="M461" s="16"/>
      <x:c r="N461" s="16"/>
      <x:c r="O461" s="16"/>
    </x:row>
    <x:row r="462">
      <x:c r="A462" s="16"/>
      <x:c r="B462" s="16"/>
      <x:c r="C462" s="16"/>
      <x:c r="D462" s="16"/>
      <x:c r="E462" s="16"/>
      <x:c r="F462" s="16"/>
      <x:c r="G462" s="109"/>
      <x:c r="H462" s="16"/>
      <x:c r="I462" s="16"/>
      <x:c r="J462" s="16"/>
      <x:c r="K462" s="16"/>
      <x:c r="L462" s="109"/>
      <x:c r="M462" s="16"/>
      <x:c r="N462" s="16"/>
      <x:c r="O462" s="16"/>
    </x:row>
    <x:row r="463">
      <x:c r="A463" s="16"/>
      <x:c r="B463" s="16"/>
      <x:c r="C463" s="16"/>
      <x:c r="D463" s="16"/>
      <x:c r="E463" s="16"/>
      <x:c r="F463" s="16"/>
      <x:c r="G463" s="109"/>
      <x:c r="H463" s="16"/>
      <x:c r="I463" s="16"/>
      <x:c r="J463" s="16"/>
      <x:c r="K463" s="16"/>
      <x:c r="L463" s="109"/>
      <x:c r="M463" s="16"/>
      <x:c r="N463" s="16"/>
      <x:c r="O463" s="16"/>
    </x:row>
    <x:row r="464">
      <x:c r="A464" s="16"/>
      <x:c r="B464" s="16"/>
      <x:c r="C464" s="16"/>
      <x:c r="D464" s="16"/>
      <x:c r="E464" s="16"/>
      <x:c r="F464" s="16"/>
      <x:c r="G464" s="109"/>
      <x:c r="H464" s="16"/>
      <x:c r="I464" s="16"/>
      <x:c r="J464" s="16"/>
      <x:c r="K464" s="16"/>
      <x:c r="L464" s="109"/>
      <x:c r="M464" s="16"/>
      <x:c r="N464" s="16"/>
      <x:c r="O464" s="16"/>
    </x:row>
    <x:row r="465">
      <x:c r="A465" s="16"/>
      <x:c r="B465" s="16"/>
      <x:c r="C465" s="16"/>
      <x:c r="D465" s="16"/>
      <x:c r="E465" s="16"/>
      <x:c r="F465" s="16"/>
      <x:c r="G465" s="109"/>
      <x:c r="H465" s="16"/>
      <x:c r="I465" s="16"/>
      <x:c r="J465" s="16"/>
      <x:c r="K465" s="16"/>
      <x:c r="L465" s="109"/>
      <x:c r="M465" s="16"/>
      <x:c r="N465" s="16"/>
      <x:c r="O465" s="16"/>
    </x:row>
    <x:row r="466">
      <x:c r="A466" s="16"/>
      <x:c r="B466" s="16"/>
      <x:c r="C466" s="16"/>
      <x:c r="D466" s="16"/>
      <x:c r="E466" s="16"/>
      <x:c r="F466" s="16"/>
      <x:c r="G466" s="109"/>
      <x:c r="H466" s="16"/>
      <x:c r="I466" s="16"/>
      <x:c r="J466" s="16"/>
      <x:c r="K466" s="16"/>
      <x:c r="L466" s="109"/>
      <x:c r="M466" s="16"/>
      <x:c r="N466" s="16"/>
      <x:c r="O466" s="16"/>
    </x:row>
    <x:row r="467">
      <x:c r="A467" s="16"/>
      <x:c r="B467" s="16"/>
      <x:c r="C467" s="16"/>
      <x:c r="D467" s="16"/>
      <x:c r="E467" s="16"/>
      <x:c r="F467" s="16"/>
      <x:c r="G467" s="109"/>
      <x:c r="H467" s="16"/>
      <x:c r="I467" s="16"/>
      <x:c r="J467" s="16"/>
      <x:c r="K467" s="16"/>
      <x:c r="L467" s="109"/>
      <x:c r="M467" s="16"/>
      <x:c r="N467" s="16"/>
      <x:c r="O467" s="16"/>
    </x:row>
    <x:row r="468">
      <x:c r="A468" s="16"/>
      <x:c r="B468" s="16"/>
      <x:c r="C468" s="16"/>
      <x:c r="D468" s="16"/>
      <x:c r="E468" s="16"/>
      <x:c r="F468" s="16"/>
      <x:c r="G468" s="109"/>
      <x:c r="H468" s="16"/>
      <x:c r="I468" s="16"/>
      <x:c r="J468" s="16"/>
      <x:c r="K468" s="16"/>
      <x:c r="L468" s="109"/>
      <x:c r="M468" s="16"/>
      <x:c r="N468" s="16"/>
      <x:c r="O468" s="16"/>
    </x:row>
    <x:row r="469">
      <x:c r="A469" s="16"/>
      <x:c r="B469" s="16"/>
      <x:c r="C469" s="16"/>
      <x:c r="D469" s="16"/>
      <x:c r="E469" s="16"/>
      <x:c r="F469" s="16"/>
      <x:c r="G469" s="109"/>
      <x:c r="H469" s="16"/>
      <x:c r="I469" s="16"/>
      <x:c r="J469" s="16"/>
      <x:c r="K469" s="16"/>
      <x:c r="L469" s="109"/>
      <x:c r="M469" s="16"/>
      <x:c r="N469" s="16"/>
      <x:c r="O469" s="16"/>
    </x:row>
    <x:row r="470">
      <x:c r="A470" s="16"/>
      <x:c r="B470" s="16"/>
      <x:c r="C470" s="16"/>
      <x:c r="D470" s="16"/>
      <x:c r="E470" s="16"/>
      <x:c r="F470" s="16"/>
      <x:c r="G470" s="109"/>
      <x:c r="H470" s="16"/>
      <x:c r="I470" s="16"/>
      <x:c r="J470" s="16"/>
      <x:c r="K470" s="16"/>
      <x:c r="L470" s="109"/>
      <x:c r="M470" s="16"/>
      <x:c r="N470" s="16"/>
      <x:c r="O470" s="16"/>
    </x:row>
    <x:row r="471">
      <x:c r="A471" s="16"/>
      <x:c r="B471" s="16"/>
      <x:c r="C471" s="16"/>
      <x:c r="D471" s="16"/>
      <x:c r="E471" s="16"/>
      <x:c r="F471" s="16"/>
      <x:c r="G471" s="109"/>
      <x:c r="H471" s="16"/>
      <x:c r="I471" s="16"/>
      <x:c r="J471" s="16"/>
      <x:c r="K471" s="16"/>
      <x:c r="L471" s="109"/>
      <x:c r="M471" s="16"/>
      <x:c r="N471" s="16"/>
      <x:c r="O471" s="16"/>
    </x:row>
    <x:row r="472">
      <x:c r="A472" s="16"/>
      <x:c r="B472" s="16"/>
      <x:c r="C472" s="16"/>
      <x:c r="D472" s="16"/>
      <x:c r="E472" s="16"/>
      <x:c r="F472" s="16"/>
      <x:c r="G472" s="109"/>
      <x:c r="H472" s="16"/>
      <x:c r="I472" s="16"/>
      <x:c r="J472" s="16"/>
      <x:c r="K472" s="16"/>
      <x:c r="L472" s="109"/>
      <x:c r="M472" s="16"/>
      <x:c r="N472" s="16"/>
      <x:c r="O472" s="16"/>
    </x:row>
    <x:row r="473">
      <x:c r="A473" s="16"/>
      <x:c r="B473" s="16"/>
      <x:c r="C473" s="16"/>
      <x:c r="D473" s="16"/>
      <x:c r="E473" s="16"/>
      <x:c r="F473" s="16"/>
      <x:c r="G473" s="109"/>
      <x:c r="H473" s="16"/>
      <x:c r="I473" s="16"/>
      <x:c r="J473" s="16"/>
      <x:c r="K473" s="16"/>
      <x:c r="L473" s="109"/>
      <x:c r="M473" s="16"/>
      <x:c r="N473" s="16"/>
      <x:c r="O473" s="16"/>
    </x:row>
    <x:row r="474">
      <x:c r="A474" s="16"/>
      <x:c r="B474" s="16"/>
      <x:c r="C474" s="16"/>
      <x:c r="D474" s="16"/>
      <x:c r="E474" s="16"/>
      <x:c r="F474" s="16"/>
      <x:c r="G474" s="109"/>
      <x:c r="H474" s="16"/>
      <x:c r="I474" s="16"/>
      <x:c r="J474" s="16"/>
      <x:c r="K474" s="16"/>
      <x:c r="L474" s="109"/>
      <x:c r="M474" s="16"/>
      <x:c r="N474" s="16"/>
      <x:c r="O474" s="16"/>
    </x:row>
    <x:row r="475">
      <x:c r="A475" s="16"/>
      <x:c r="B475" s="16"/>
      <x:c r="C475" s="16"/>
      <x:c r="D475" s="16"/>
      <x:c r="E475" s="16"/>
      <x:c r="F475" s="16"/>
      <x:c r="G475" s="109"/>
      <x:c r="H475" s="16"/>
      <x:c r="I475" s="16"/>
      <x:c r="J475" s="16"/>
      <x:c r="K475" s="16"/>
      <x:c r="L475" s="109"/>
      <x:c r="M475" s="16"/>
      <x:c r="N475" s="16"/>
      <x:c r="O475" s="16"/>
    </x:row>
    <x:row r="476">
      <x:c r="A476" s="16"/>
      <x:c r="B476" s="16"/>
      <x:c r="C476" s="16"/>
      <x:c r="D476" s="16"/>
      <x:c r="E476" s="16"/>
      <x:c r="F476" s="16"/>
      <x:c r="G476" s="109"/>
      <x:c r="H476" s="16"/>
      <x:c r="I476" s="16"/>
      <x:c r="J476" s="16"/>
      <x:c r="K476" s="16"/>
      <x:c r="L476" s="109"/>
      <x:c r="M476" s="16"/>
      <x:c r="N476" s="16"/>
      <x:c r="O476" s="16"/>
    </x:row>
    <x:row r="477">
      <x:c r="A477" s="16"/>
      <x:c r="B477" s="16"/>
      <x:c r="C477" s="16"/>
      <x:c r="D477" s="16"/>
      <x:c r="E477" s="16"/>
      <x:c r="F477" s="16"/>
      <x:c r="G477" s="109"/>
      <x:c r="H477" s="16"/>
      <x:c r="I477" s="16"/>
      <x:c r="J477" s="16"/>
      <x:c r="K477" s="16"/>
      <x:c r="L477" s="109"/>
      <x:c r="M477" s="16"/>
      <x:c r="N477" s="16"/>
      <x:c r="O477" s="16"/>
    </x:row>
    <x:row r="478">
      <x:c r="A478" s="16"/>
      <x:c r="B478" s="16"/>
      <x:c r="C478" s="16"/>
      <x:c r="D478" s="16"/>
      <x:c r="E478" s="16"/>
      <x:c r="F478" s="16"/>
      <x:c r="G478" s="109"/>
      <x:c r="H478" s="16"/>
      <x:c r="I478" s="16"/>
      <x:c r="J478" s="16"/>
      <x:c r="K478" s="16"/>
      <x:c r="L478" s="109"/>
      <x:c r="M478" s="16"/>
      <x:c r="N478" s="16"/>
      <x:c r="O478" s="16"/>
    </x:row>
    <x:row r="479">
      <x:c r="A479" s="16"/>
      <x:c r="B479" s="16"/>
      <x:c r="C479" s="16"/>
      <x:c r="D479" s="16"/>
      <x:c r="E479" s="16"/>
      <x:c r="F479" s="16"/>
      <x:c r="G479" s="109"/>
      <x:c r="H479" s="16"/>
      <x:c r="I479" s="16"/>
      <x:c r="J479" s="16"/>
      <x:c r="K479" s="16"/>
      <x:c r="L479" s="109"/>
      <x:c r="M479" s="16"/>
      <x:c r="N479" s="16"/>
      <x:c r="O479" s="16"/>
    </x:row>
    <x:row r="480">
      <x:c r="A480" s="16"/>
      <x:c r="B480" s="16"/>
      <x:c r="C480" s="16"/>
      <x:c r="D480" s="16"/>
      <x:c r="E480" s="16"/>
      <x:c r="F480" s="16"/>
      <x:c r="G480" s="109"/>
      <x:c r="H480" s="16"/>
      <x:c r="I480" s="16"/>
      <x:c r="J480" s="16"/>
      <x:c r="K480" s="16"/>
      <x:c r="L480" s="109"/>
      <x:c r="M480" s="16"/>
      <x:c r="N480" s="16"/>
      <x:c r="O480" s="16"/>
    </x:row>
    <x:row r="481">
      <x:c r="A481" s="16"/>
      <x:c r="B481" s="16"/>
      <x:c r="C481" s="16"/>
      <x:c r="D481" s="16"/>
      <x:c r="E481" s="16"/>
      <x:c r="F481" s="16"/>
      <x:c r="G481" s="109"/>
      <x:c r="H481" s="16"/>
      <x:c r="I481" s="16"/>
      <x:c r="J481" s="16"/>
      <x:c r="K481" s="16"/>
      <x:c r="L481" s="109"/>
      <x:c r="M481" s="16"/>
      <x:c r="N481" s="16"/>
      <x:c r="O481" s="16"/>
    </x:row>
    <x:row r="482">
      <x:c r="A482" s="16"/>
      <x:c r="B482" s="16"/>
      <x:c r="C482" s="16"/>
      <x:c r="D482" s="16"/>
      <x:c r="E482" s="16"/>
      <x:c r="F482" s="16"/>
      <x:c r="G482" s="109"/>
      <x:c r="H482" s="16"/>
      <x:c r="I482" s="16"/>
      <x:c r="J482" s="16"/>
      <x:c r="K482" s="16"/>
      <x:c r="L482" s="109"/>
      <x:c r="M482" s="16"/>
      <x:c r="N482" s="16"/>
      <x:c r="O482" s="16"/>
    </x:row>
    <x:row r="483">
      <x:c r="A483" s="16"/>
      <x:c r="B483" s="16"/>
      <x:c r="C483" s="16"/>
      <x:c r="D483" s="16"/>
      <x:c r="E483" s="16"/>
      <x:c r="F483" s="16"/>
      <x:c r="G483" s="109"/>
      <x:c r="H483" s="16"/>
      <x:c r="I483" s="16"/>
      <x:c r="J483" s="16"/>
      <x:c r="K483" s="16"/>
      <x:c r="L483" s="109"/>
      <x:c r="M483" s="16"/>
      <x:c r="N483" s="16"/>
      <x:c r="O483" s="16"/>
    </x:row>
    <x:row r="484">
      <x:c r="A484" s="16"/>
      <x:c r="B484" s="16"/>
      <x:c r="C484" s="16"/>
      <x:c r="D484" s="16"/>
      <x:c r="E484" s="16"/>
      <x:c r="F484" s="16"/>
      <x:c r="G484" s="109"/>
      <x:c r="H484" s="16"/>
      <x:c r="I484" s="16"/>
      <x:c r="J484" s="16"/>
      <x:c r="K484" s="16"/>
      <x:c r="L484" s="109"/>
      <x:c r="M484" s="16"/>
      <x:c r="N484" s="16"/>
      <x:c r="O484" s="16"/>
    </x:row>
    <x:row r="485">
      <x:c r="A485" s="16"/>
      <x:c r="B485" s="16"/>
      <x:c r="C485" s="16"/>
      <x:c r="D485" s="16"/>
      <x:c r="E485" s="16"/>
      <x:c r="F485" s="16"/>
      <x:c r="G485" s="109"/>
      <x:c r="H485" s="16"/>
      <x:c r="I485" s="16"/>
      <x:c r="J485" s="16"/>
      <x:c r="K485" s="16"/>
      <x:c r="L485" s="109"/>
      <x:c r="M485" s="16"/>
      <x:c r="N485" s="16"/>
      <x:c r="O485" s="16"/>
    </x:row>
    <x:row r="486">
      <x:c r="A486" s="16"/>
      <x:c r="B486" s="16"/>
      <x:c r="C486" s="16"/>
      <x:c r="D486" s="16"/>
      <x:c r="E486" s="16"/>
      <x:c r="F486" s="16"/>
      <x:c r="G486" s="109"/>
      <x:c r="H486" s="16"/>
      <x:c r="I486" s="16"/>
      <x:c r="J486" s="16"/>
      <x:c r="K486" s="16"/>
      <x:c r="L486" s="109"/>
      <x:c r="M486" s="16"/>
      <x:c r="N486" s="16"/>
      <x:c r="O486" s="16"/>
    </x:row>
    <x:row r="487">
      <x:c r="A487" s="16"/>
      <x:c r="B487" s="16"/>
      <x:c r="C487" s="16"/>
      <x:c r="D487" s="16"/>
      <x:c r="E487" s="16"/>
      <x:c r="F487" s="16"/>
      <x:c r="G487" s="109"/>
      <x:c r="H487" s="16"/>
      <x:c r="I487" s="16"/>
      <x:c r="J487" s="16"/>
      <x:c r="K487" s="16"/>
      <x:c r="L487" s="109"/>
      <x:c r="M487" s="16"/>
      <x:c r="N487" s="16"/>
      <x:c r="O487" s="16"/>
    </x:row>
    <x:row r="488">
      <x:c r="A488" s="16"/>
      <x:c r="B488" s="16"/>
      <x:c r="C488" s="16"/>
      <x:c r="D488" s="16"/>
      <x:c r="E488" s="16"/>
      <x:c r="F488" s="16"/>
      <x:c r="G488" s="109"/>
      <x:c r="H488" s="16"/>
      <x:c r="I488" s="16"/>
      <x:c r="J488" s="16"/>
      <x:c r="K488" s="16"/>
      <x:c r="L488" s="109"/>
      <x:c r="M488" s="16"/>
      <x:c r="N488" s="16"/>
      <x:c r="O488" s="16"/>
    </x:row>
    <x:row r="489">
      <x:c r="A489" s="16"/>
      <x:c r="B489" s="16"/>
      <x:c r="C489" s="16"/>
      <x:c r="D489" s="16"/>
      <x:c r="E489" s="16"/>
      <x:c r="F489" s="16"/>
      <x:c r="G489" s="109"/>
      <x:c r="H489" s="16"/>
      <x:c r="I489" s="16"/>
      <x:c r="J489" s="16"/>
      <x:c r="K489" s="16"/>
      <x:c r="L489" s="109"/>
      <x:c r="M489" s="16"/>
      <x:c r="N489" s="16"/>
      <x:c r="O489" s="16"/>
    </x:row>
    <x:row r="490">
      <x:c r="A490" s="16"/>
      <x:c r="B490" s="16"/>
      <x:c r="C490" s="16"/>
      <x:c r="D490" s="16"/>
      <x:c r="E490" s="16"/>
      <x:c r="F490" s="16"/>
      <x:c r="G490" s="109"/>
      <x:c r="H490" s="16"/>
      <x:c r="I490" s="16"/>
      <x:c r="J490" s="16"/>
      <x:c r="K490" s="16"/>
      <x:c r="L490" s="109"/>
      <x:c r="M490" s="16"/>
      <x:c r="N490" s="16"/>
      <x:c r="O490" s="16"/>
    </x:row>
    <x:row r="491">
      <x:c r="A491" s="16"/>
      <x:c r="B491" s="16"/>
      <x:c r="C491" s="16"/>
      <x:c r="D491" s="16"/>
      <x:c r="E491" s="16"/>
      <x:c r="F491" s="16"/>
      <x:c r="G491" s="109"/>
      <x:c r="H491" s="16"/>
      <x:c r="I491" s="16"/>
      <x:c r="J491" s="16"/>
      <x:c r="K491" s="16"/>
      <x:c r="L491" s="109"/>
      <x:c r="M491" s="16"/>
      <x:c r="N491" s="16"/>
      <x:c r="O491" s="16"/>
    </x:row>
    <x:row r="492">
      <x:c r="A492" s="16"/>
      <x:c r="B492" s="16"/>
      <x:c r="C492" s="16"/>
      <x:c r="D492" s="16"/>
      <x:c r="E492" s="16"/>
      <x:c r="F492" s="16"/>
      <x:c r="G492" s="109"/>
      <x:c r="H492" s="16"/>
      <x:c r="I492" s="16"/>
      <x:c r="J492" s="16"/>
      <x:c r="K492" s="16"/>
      <x:c r="L492" s="109"/>
      <x:c r="M492" s="16"/>
      <x:c r="N492" s="16"/>
      <x:c r="O492" s="16"/>
    </x:row>
    <x:row r="493">
      <x:c r="A493" s="16"/>
      <x:c r="B493" s="16"/>
      <x:c r="C493" s="16"/>
      <x:c r="D493" s="16"/>
      <x:c r="E493" s="16"/>
      <x:c r="F493" s="16"/>
      <x:c r="G493" s="109"/>
      <x:c r="H493" s="16"/>
      <x:c r="I493" s="16"/>
      <x:c r="J493" s="16"/>
      <x:c r="K493" s="16"/>
      <x:c r="L493" s="109"/>
      <x:c r="M493" s="16"/>
      <x:c r="N493" s="16"/>
      <x:c r="O493" s="16"/>
    </x:row>
    <x:row r="494">
      <x:c r="A494" s="16"/>
      <x:c r="B494" s="16"/>
      <x:c r="C494" s="16"/>
      <x:c r="D494" s="16"/>
      <x:c r="E494" s="16"/>
      <x:c r="F494" s="16"/>
      <x:c r="G494" s="109"/>
      <x:c r="H494" s="16"/>
      <x:c r="I494" s="16"/>
      <x:c r="J494" s="16"/>
      <x:c r="K494" s="16"/>
      <x:c r="L494" s="109"/>
      <x:c r="M494" s="16"/>
      <x:c r="N494" s="16"/>
      <x:c r="O494" s="16"/>
    </x:row>
    <x:row r="495">
      <x:c r="A495" s="16"/>
      <x:c r="B495" s="16"/>
      <x:c r="C495" s="16"/>
      <x:c r="D495" s="16"/>
      <x:c r="E495" s="16"/>
      <x:c r="F495" s="16"/>
      <x:c r="G495" s="109"/>
      <x:c r="H495" s="16"/>
      <x:c r="I495" s="16"/>
      <x:c r="J495" s="16"/>
      <x:c r="K495" s="16"/>
      <x:c r="L495" s="109"/>
      <x:c r="M495" s="16"/>
      <x:c r="N495" s="16"/>
      <x:c r="O495" s="16"/>
    </x:row>
    <x:row r="496">
      <x:c r="A496" s="16"/>
      <x:c r="B496" s="16"/>
      <x:c r="C496" s="16"/>
      <x:c r="D496" s="16"/>
      <x:c r="E496" s="16"/>
      <x:c r="F496" s="16"/>
      <x:c r="G496" s="109"/>
      <x:c r="H496" s="16"/>
      <x:c r="I496" s="16"/>
      <x:c r="J496" s="16"/>
      <x:c r="K496" s="16"/>
      <x:c r="L496" s="109"/>
      <x:c r="M496" s="16"/>
      <x:c r="N496" s="16"/>
      <x:c r="O496" s="16"/>
    </x:row>
    <x:row r="497">
      <x:c r="A497" s="16"/>
      <x:c r="B497" s="16"/>
      <x:c r="C497" s="16"/>
      <x:c r="D497" s="16"/>
      <x:c r="E497" s="16"/>
      <x:c r="F497" s="16"/>
      <x:c r="G497" s="109"/>
      <x:c r="H497" s="16"/>
      <x:c r="I497" s="16"/>
      <x:c r="J497" s="16"/>
      <x:c r="K497" s="16"/>
      <x:c r="L497" s="109"/>
      <x:c r="M497" s="16"/>
      <x:c r="N497" s="16"/>
      <x:c r="O497" s="16"/>
    </x:row>
    <x:row r="498">
      <x:c r="A498" s="16"/>
      <x:c r="B498" s="16"/>
      <x:c r="C498" s="16"/>
      <x:c r="D498" s="16"/>
      <x:c r="E498" s="16"/>
      <x:c r="F498" s="16"/>
      <x:c r="G498" s="109"/>
      <x:c r="H498" s="16"/>
      <x:c r="I498" s="16"/>
      <x:c r="J498" s="16"/>
      <x:c r="K498" s="16"/>
      <x:c r="L498" s="109"/>
      <x:c r="M498" s="16"/>
      <x:c r="N498" s="16"/>
      <x:c r="O498" s="16"/>
    </x:row>
    <x:row r="499">
      <x:c r="A499" s="16"/>
      <x:c r="B499" s="16"/>
      <x:c r="C499" s="16"/>
      <x:c r="D499" s="16"/>
      <x:c r="E499" s="16"/>
      <x:c r="F499" s="16"/>
      <x:c r="G499" s="109"/>
      <x:c r="H499" s="16"/>
      <x:c r="I499" s="16"/>
      <x:c r="J499" s="16"/>
      <x:c r="K499" s="16"/>
      <x:c r="L499" s="109"/>
      <x:c r="M499" s="16"/>
      <x:c r="N499" s="16"/>
      <x:c r="O499" s="16"/>
    </x:row>
    <x:row r="500">
      <x:c r="A500" s="16"/>
      <x:c r="B500" s="16"/>
      <x:c r="C500" s="16"/>
      <x:c r="D500" s="16"/>
      <x:c r="E500" s="16"/>
      <x:c r="F500" s="16"/>
      <x:c r="G500" s="109"/>
      <x:c r="H500" s="16"/>
      <x:c r="I500" s="16"/>
      <x:c r="J500" s="16"/>
      <x:c r="K500" s="16"/>
      <x:c r="L500" s="109"/>
      <x:c r="M500" s="16"/>
      <x:c r="N500" s="16"/>
      <x:c r="O500" s="16"/>
    </x:row>
    <x:row r="501">
      <x:c r="G501" s="107"/>
      <x:c r="L501" s="107"/>
    </x:row>
    <x:row r="502">
      <x:c r="G502" s="107"/>
      <x:c r="L502" s="107"/>
    </x:row>
    <x:row r="503">
      <x:c r="G503" s="107"/>
      <x:c r="L503" s="107"/>
    </x:row>
    <x:row r="504">
      <x:c r="G504" s="107"/>
      <x:c r="L504" s="107"/>
    </x:row>
    <x:row r="505">
      <x:c r="G505" s="107"/>
      <x:c r="L505" s="107"/>
    </x:row>
    <x:row r="506">
      <x:c r="G506" s="107"/>
      <x:c r="L506" s="107"/>
    </x:row>
    <x:row r="507">
      <x:c r="G507" s="107"/>
      <x:c r="L507" s="107"/>
    </x:row>
    <x:row r="508">
      <x:c r="G508" s="107"/>
      <x:c r="L508" s="107"/>
    </x:row>
    <x:row r="509">
      <x:c r="G509" s="107"/>
      <x:c r="L509" s="107"/>
    </x:row>
    <x:row r="510">
      <x:c r="G510" s="107"/>
      <x:c r="L510" s="107"/>
    </x:row>
    <x:row r="511">
      <x:c r="G511" s="107"/>
      <x:c r="L511" s="107"/>
    </x:row>
    <x:row r="512">
      <x:c r="G512" s="107"/>
      <x:c r="L512" s="107"/>
    </x:row>
    <x:row r="513">
      <x:c r="G513" s="107"/>
      <x:c r="L513" s="107"/>
    </x:row>
    <x:row r="514">
      <x:c r="G514" s="107"/>
      <x:c r="L514" s="107"/>
    </x:row>
    <x:row r="515">
      <x:c r="G515" s="107"/>
      <x:c r="L515" s="107"/>
    </x:row>
    <x:row r="516">
      <x:c r="G516" s="107"/>
      <x:c r="L516" s="107"/>
    </x:row>
    <x:row r="517">
      <x:c r="G517" s="107"/>
      <x:c r="L517" s="107"/>
    </x:row>
    <x:row r="518">
      <x:c r="G518" s="107"/>
      <x:c r="L518" s="107"/>
    </x:row>
    <x:row r="519">
      <x:c r="G519" s="107"/>
      <x:c r="L519" s="107"/>
    </x:row>
    <x:row r="520">
      <x:c r="G520" s="107"/>
      <x:c r="L520" s="107"/>
    </x:row>
    <x:row r="521">
      <x:c r="G521" s="107"/>
      <x:c r="L521" s="107"/>
    </x:row>
    <x:row r="522">
      <x:c r="G522" s="107"/>
      <x:c r="L522" s="107"/>
    </x:row>
    <x:row r="523">
      <x:c r="G523" s="107"/>
      <x:c r="L523" s="107"/>
    </x:row>
    <x:row r="524">
      <x:c r="G524" s="107"/>
      <x:c r="L524" s="107"/>
    </x:row>
    <x:row r="525">
      <x:c r="G525" s="107"/>
      <x:c r="L525" s="107"/>
    </x:row>
    <x:row r="526">
      <x:c r="G526" s="107"/>
      <x:c r="L526" s="107"/>
    </x:row>
    <x:row r="527">
      <x:c r="G527" s="107"/>
      <x:c r="L527" s="107"/>
    </x:row>
    <x:row r="528">
      <x:c r="G528" s="107"/>
      <x:c r="L528" s="107"/>
    </x:row>
    <x:row r="529">
      <x:c r="G529" s="107"/>
      <x:c r="L529" s="107"/>
    </x:row>
    <x:row r="530">
      <x:c r="G530" s="107"/>
      <x:c r="L530" s="107"/>
    </x:row>
    <x:row r="531">
      <x:c r="G531" s="107"/>
      <x:c r="L531" s="107"/>
    </x:row>
    <x:row r="532">
      <x:c r="G532" s="107"/>
      <x:c r="L532" s="107"/>
    </x:row>
    <x:row r="533">
      <x:c r="G533" s="107"/>
      <x:c r="L533" s="107"/>
    </x:row>
    <x:row r="534">
      <x:c r="G534" s="107"/>
      <x:c r="L534" s="107"/>
    </x:row>
    <x:row r="535">
      <x:c r="G535" s="107"/>
      <x:c r="L535" s="107"/>
    </x:row>
    <x:row r="536">
      <x:c r="G536" s="107"/>
      <x:c r="L536" s="107"/>
    </x:row>
    <x:row r="537">
      <x:c r="G537" s="107"/>
      <x:c r="L537" s="107"/>
    </x:row>
    <x:row r="538">
      <x:c r="G538" s="107"/>
      <x:c r="L538" s="107"/>
    </x:row>
    <x:row r="539">
      <x:c r="G539" s="107"/>
      <x:c r="L539" s="107"/>
    </x:row>
    <x:row r="540">
      <x:c r="G540" s="107"/>
      <x:c r="L540" s="107"/>
    </x:row>
    <x:row r="541">
      <x:c r="G541" s="107"/>
      <x:c r="L541" s="107"/>
    </x:row>
    <x:row r="542">
      <x:c r="G542" s="107"/>
      <x:c r="L542" s="107"/>
    </x:row>
    <x:row r="543">
      <x:c r="G543" s="107"/>
      <x:c r="L543" s="107"/>
    </x:row>
    <x:row r="544">
      <x:c r="G544" s="107"/>
      <x:c r="L544" s="107"/>
    </x:row>
    <x:row r="545">
      <x:c r="G545" s="107"/>
      <x:c r="L545" s="107"/>
    </x:row>
    <x:row r="546">
      <x:c r="G546" s="107"/>
      <x:c r="L546" s="107"/>
    </x:row>
    <x:row r="547">
      <x:c r="G547" s="107"/>
      <x:c r="L547" s="107"/>
    </x:row>
    <x:row r="548">
      <x:c r="G548" s="107"/>
      <x:c r="L548" s="107"/>
    </x:row>
    <x:row r="549">
      <x:c r="G549" s="107"/>
      <x:c r="L549" s="107"/>
    </x:row>
    <x:row r="550">
      <x:c r="G550" s="107"/>
      <x:c r="L550" s="107"/>
    </x:row>
    <x:row r="551">
      <x:c r="G551" s="107"/>
      <x:c r="L551" s="107"/>
    </x:row>
    <x:row r="552">
      <x:c r="G552" s="107"/>
      <x:c r="L552" s="107"/>
    </x:row>
    <x:row r="553">
      <x:c r="G553" s="107"/>
      <x:c r="L553" s="107"/>
    </x:row>
    <x:row r="554">
      <x:c r="G554" s="107"/>
      <x:c r="L554" s="107"/>
    </x:row>
    <x:row r="555">
      <x:c r="G555" s="107"/>
      <x:c r="L555" s="107"/>
    </x:row>
    <x:row r="556">
      <x:c r="G556" s="107"/>
      <x:c r="L556" s="107"/>
    </x:row>
    <x:row r="557">
      <x:c r="G557" s="107"/>
      <x:c r="L557" s="107"/>
    </x:row>
    <x:row r="558">
      <x:c r="G558" s="107"/>
      <x:c r="L558" s="107"/>
    </x:row>
    <x:row r="559">
      <x:c r="G559" s="107"/>
      <x:c r="L559" s="107"/>
    </x:row>
    <x:row r="560">
      <x:c r="G560" s="107"/>
      <x:c r="L560" s="107"/>
    </x:row>
    <x:row r="561">
      <x:c r="G561" s="107"/>
      <x:c r="L561" s="107"/>
    </x:row>
    <x:row r="562">
      <x:c r="G562" s="107"/>
      <x:c r="L562" s="107"/>
    </x:row>
    <x:row r="563">
      <x:c r="G563" s="107"/>
      <x:c r="L563" s="107"/>
    </x:row>
    <x:row r="564">
      <x:c r="G564" s="107"/>
      <x:c r="L564" s="107"/>
    </x:row>
    <x:row r="565">
      <x:c r="G565" s="107"/>
      <x:c r="L565" s="107"/>
    </x:row>
    <x:row r="566">
      <x:c r="G566" s="107"/>
      <x:c r="L566" s="107"/>
    </x:row>
    <x:row r="567">
      <x:c r="G567" s="107"/>
      <x:c r="L567" s="107"/>
    </x:row>
    <x:row r="568">
      <x:c r="G568" s="107"/>
      <x:c r="L568" s="107"/>
    </x:row>
    <x:row r="569">
      <x:c r="G569" s="107"/>
      <x:c r="L569" s="107"/>
    </x:row>
    <x:row r="570">
      <x:c r="G570" s="107"/>
      <x:c r="L570" s="107"/>
    </x:row>
    <x:row r="571">
      <x:c r="G571" s="107"/>
      <x:c r="L571" s="107"/>
    </x:row>
    <x:row r="572">
      <x:c r="G572" s="107"/>
      <x:c r="L572" s="107"/>
    </x:row>
    <x:row r="573">
      <x:c r="G573" s="107"/>
      <x:c r="L573" s="107"/>
    </x:row>
    <x:row r="574">
      <x:c r="G574" s="107"/>
      <x:c r="L574" s="107"/>
    </x:row>
    <x:row r="575">
      <x:c r="G575" s="107"/>
      <x:c r="L575" s="107"/>
    </x:row>
    <x:row r="576">
      <x:c r="G576" s="107"/>
      <x:c r="L576" s="107"/>
    </x:row>
    <x:row r="577">
      <x:c r="G577" s="107"/>
      <x:c r="L577" s="107"/>
    </x:row>
    <x:row r="578">
      <x:c r="G578" s="107"/>
      <x:c r="L578" s="107"/>
    </x:row>
    <x:row r="579">
      <x:c r="G579" s="107"/>
      <x:c r="L579" s="107"/>
    </x:row>
    <x:row r="580">
      <x:c r="G580" s="107"/>
      <x:c r="L580" s="107"/>
    </x:row>
    <x:row r="581">
      <x:c r="G581" s="107"/>
      <x:c r="L581" s="107"/>
    </x:row>
    <x:row r="582">
      <x:c r="G582" s="107"/>
      <x:c r="L582" s="107"/>
    </x:row>
    <x:row r="583">
      <x:c r="G583" s="107"/>
      <x:c r="L583" s="107"/>
    </x:row>
    <x:row r="584">
      <x:c r="G584" s="107"/>
      <x:c r="L584" s="107"/>
    </x:row>
    <x:row r="585">
      <x:c r="G585" s="107"/>
      <x:c r="L585" s="107"/>
    </x:row>
    <x:row r="586">
      <x:c r="G586" s="107"/>
      <x:c r="L586" s="107"/>
    </x:row>
    <x:row r="587">
      <x:c r="G587" s="107"/>
      <x:c r="L587" s="107"/>
    </x:row>
    <x:row r="588">
      <x:c r="G588" s="107"/>
      <x:c r="L588" s="107"/>
    </x:row>
    <x:row r="589">
      <x:c r="G589" s="107"/>
      <x:c r="L589" s="107"/>
    </x:row>
    <x:row r="590">
      <x:c r="G590" s="107"/>
      <x:c r="L590" s="107"/>
    </x:row>
    <x:row r="591">
      <x:c r="G591" s="107"/>
      <x:c r="L591" s="107"/>
    </x:row>
    <x:row r="592">
      <x:c r="G592" s="107"/>
      <x:c r="L592" s="107"/>
    </x:row>
    <x:row r="593">
      <x:c r="G593" s="107"/>
      <x:c r="L593" s="107"/>
    </x:row>
    <x:row r="594">
      <x:c r="G594" s="107"/>
      <x:c r="L594" s="107"/>
    </x:row>
    <x:row r="595">
      <x:c r="G595" s="107"/>
      <x:c r="L595" s="107"/>
    </x:row>
    <x:row r="596">
      <x:c r="G596" s="107"/>
      <x:c r="L596" s="107"/>
    </x:row>
    <x:row r="597">
      <x:c r="G597" s="107"/>
      <x:c r="L597" s="107"/>
    </x:row>
    <x:row r="598">
      <x:c r="G598" s="107"/>
      <x:c r="L598" s="107"/>
    </x:row>
    <x:row r="599">
      <x:c r="G599" s="107"/>
      <x:c r="L599" s="107"/>
    </x:row>
    <x:row r="600">
      <x:c r="G600" s="107"/>
      <x:c r="L600" s="107"/>
    </x:row>
    <x:row r="601">
      <x:c r="G601" s="107"/>
      <x:c r="L601" s="107"/>
    </x:row>
    <x:row r="602">
      <x:c r="G602" s="107"/>
      <x:c r="L602" s="107"/>
    </x:row>
    <x:row r="603">
      <x:c r="G603" s="107"/>
      <x:c r="L603" s="107"/>
    </x:row>
    <x:row r="604">
      <x:c r="G604" s="107"/>
      <x:c r="L604" s="107"/>
    </x:row>
    <x:row r="605">
      <x:c r="G605" s="107"/>
      <x:c r="L605" s="107"/>
    </x:row>
    <x:row r="606">
      <x:c r="G606" s="107"/>
      <x:c r="L606" s="107"/>
    </x:row>
    <x:row r="607">
      <x:c r="G607" s="107"/>
      <x:c r="L607" s="107"/>
    </x:row>
    <x:row r="608">
      <x:c r="G608" s="107"/>
      <x:c r="L608" s="107"/>
    </x:row>
    <x:row r="609">
      <x:c r="G609" s="107"/>
      <x:c r="L609" s="107"/>
    </x:row>
    <x:row r="610">
      <x:c r="G610" s="107"/>
      <x:c r="L610" s="107"/>
    </x:row>
    <x:row r="611">
      <x:c r="G611" s="107"/>
      <x:c r="L611" s="107"/>
    </x:row>
    <x:row r="612">
      <x:c r="G612" s="107"/>
      <x:c r="L612" s="107"/>
    </x:row>
    <x:row r="613">
      <x:c r="G613" s="107"/>
      <x:c r="L613" s="107"/>
    </x:row>
    <x:row r="614">
      <x:c r="G614" s="107"/>
      <x:c r="L614" s="107"/>
    </x:row>
    <x:row r="615">
      <x:c r="G615" s="107"/>
      <x:c r="L615" s="107"/>
    </x:row>
    <x:row r="616">
      <x:c r="G616" s="107"/>
      <x:c r="L616" s="107"/>
    </x:row>
    <x:row r="617">
      <x:c r="G617" s="107"/>
      <x:c r="L617" s="107"/>
    </x:row>
    <x:row r="618">
      <x:c r="G618" s="107"/>
      <x:c r="L618" s="107"/>
    </x:row>
    <x:row r="619">
      <x:c r="G619" s="107"/>
      <x:c r="L619" s="107"/>
    </x:row>
    <x:row r="620">
      <x:c r="G620" s="107"/>
      <x:c r="L620" s="107"/>
    </x:row>
    <x:row r="621">
      <x:c r="G621" s="107"/>
      <x:c r="L621" s="107"/>
    </x:row>
    <x:row r="622">
      <x:c r="G622" s="107"/>
      <x:c r="L622" s="107"/>
    </x:row>
    <x:row r="623">
      <x:c r="G623" s="107"/>
      <x:c r="L623" s="107"/>
    </x:row>
    <x:row r="624">
      <x:c r="G624" s="107"/>
      <x:c r="L624" s="107"/>
    </x:row>
    <x:row r="625">
      <x:c r="G625" s="107"/>
      <x:c r="L625" s="107"/>
    </x:row>
    <x:row r="626">
      <x:c r="G626" s="107"/>
      <x:c r="L626" s="107"/>
    </x:row>
    <x:row r="627">
      <x:c r="G627" s="107"/>
      <x:c r="L627" s="107"/>
    </x:row>
    <x:row r="628">
      <x:c r="G628" s="107"/>
      <x:c r="L628" s="107"/>
    </x:row>
    <x:row r="629">
      <x:c r="G629" s="107"/>
      <x:c r="L629" s="107"/>
    </x:row>
    <x:row r="630">
      <x:c r="G630" s="107"/>
      <x:c r="L630" s="107"/>
    </x:row>
    <x:row r="631">
      <x:c r="G631" s="107"/>
      <x:c r="L631" s="107"/>
    </x:row>
    <x:row r="632">
      <x:c r="G632" s="107"/>
      <x:c r="L632" s="107"/>
    </x:row>
    <x:row r="633">
      <x:c r="G633" s="107"/>
      <x:c r="L633" s="107"/>
    </x:row>
    <x:row r="634">
      <x:c r="G634" s="107"/>
      <x:c r="L634" s="107"/>
    </x:row>
    <x:row r="635">
      <x:c r="G635" s="107"/>
      <x:c r="L635" s="107"/>
    </x:row>
    <x:row r="636">
      <x:c r="G636" s="107"/>
      <x:c r="L636" s="107"/>
    </x:row>
    <x:row r="637">
      <x:c r="G637" s="107"/>
      <x:c r="L637" s="107"/>
    </x:row>
    <x:row r="638">
      <x:c r="G638" s="107"/>
      <x:c r="L638" s="107"/>
    </x:row>
    <x:row r="639">
      <x:c r="G639" s="107"/>
      <x:c r="L639" s="107"/>
    </x:row>
    <x:row r="640">
      <x:c r="G640" s="107"/>
      <x:c r="L640" s="107"/>
    </x:row>
    <x:row r="641">
      <x:c r="G641" s="107"/>
      <x:c r="L641" s="107"/>
    </x:row>
    <x:row r="642">
      <x:c r="G642" s="107"/>
      <x:c r="L642" s="107"/>
    </x:row>
    <x:row r="643">
      <x:c r="G643" s="107"/>
      <x:c r="L643" s="107"/>
    </x:row>
    <x:row r="644">
      <x:c r="G644" s="107"/>
      <x:c r="L644" s="107"/>
    </x:row>
    <x:row r="645">
      <x:c r="G645" s="107"/>
      <x:c r="L645" s="107"/>
    </x:row>
    <x:row r="646">
      <x:c r="G646" s="107"/>
      <x:c r="L646" s="107"/>
    </x:row>
    <x:row r="647">
      <x:c r="G647" s="107"/>
      <x:c r="L647" s="107"/>
    </x:row>
    <x:row r="648">
      <x:c r="G648" s="107"/>
      <x:c r="L648" s="107"/>
    </x:row>
    <x:row r="649">
      <x:c r="G649" s="107"/>
      <x:c r="L649" s="107"/>
    </x:row>
    <x:row r="650">
      <x:c r="G650" s="107"/>
      <x:c r="L650" s="107"/>
    </x:row>
    <x:row r="651">
      <x:c r="G651" s="107"/>
      <x:c r="L651" s="107"/>
    </x:row>
    <x:row r="652">
      <x:c r="G652" s="107"/>
      <x:c r="L652" s="107"/>
    </x:row>
    <x:row r="653">
      <x:c r="G653" s="107"/>
      <x:c r="L653" s="107"/>
    </x:row>
    <x:row r="654">
      <x:c r="G654" s="107"/>
      <x:c r="L654" s="107"/>
    </x:row>
    <x:row r="655">
      <x:c r="G655" s="107"/>
      <x:c r="L655" s="107"/>
    </x:row>
    <x:row r="656">
      <x:c r="G656" s="107"/>
      <x:c r="L656" s="107"/>
    </x:row>
    <x:row r="657">
      <x:c r="G657" s="107"/>
      <x:c r="L657" s="107"/>
    </x:row>
    <x:row r="658">
      <x:c r="G658" s="107"/>
      <x:c r="L658" s="107"/>
    </x:row>
    <x:row r="659">
      <x:c r="G659" s="107"/>
      <x:c r="L659" s="107"/>
    </x:row>
    <x:row r="660">
      <x:c r="G660" s="107"/>
      <x:c r="L660" s="107"/>
    </x:row>
    <x:row r="661">
      <x:c r="G661" s="107"/>
      <x:c r="L661" s="107"/>
    </x:row>
    <x:row r="662">
      <x:c r="G662" s="107"/>
      <x:c r="L662" s="107"/>
    </x:row>
    <x:row r="663">
      <x:c r="G663" s="107"/>
      <x:c r="L663" s="107"/>
    </x:row>
    <x:row r="664">
      <x:c r="G664" s="107"/>
      <x:c r="L664" s="107"/>
    </x:row>
    <x:row r="665">
      <x:c r="G665" s="107"/>
      <x:c r="L665" s="107"/>
    </x:row>
    <x:row r="666">
      <x:c r="G666" s="107"/>
      <x:c r="L666" s="107"/>
    </x:row>
    <x:row r="667">
      <x:c r="G667" s="107"/>
      <x:c r="L667" s="107"/>
    </x:row>
    <x:row r="668">
      <x:c r="G668" s="107"/>
      <x:c r="L668" s="107"/>
    </x:row>
    <x:row r="669">
      <x:c r="G669" s="107"/>
      <x:c r="L669" s="107"/>
    </x:row>
    <x:row r="670">
      <x:c r="G670" s="107"/>
      <x:c r="L670" s="107"/>
    </x:row>
    <x:row r="671">
      <x:c r="G671" s="107"/>
      <x:c r="L671" s="107"/>
    </x:row>
    <x:row r="672">
      <x:c r="G672" s="107"/>
      <x:c r="L672" s="107"/>
    </x:row>
    <x:row r="673">
      <x:c r="G673" s="107"/>
      <x:c r="L673" s="107"/>
    </x:row>
    <x:row r="674">
      <x:c r="G674" s="107"/>
      <x:c r="L674" s="107"/>
    </x:row>
    <x:row r="675">
      <x:c r="G675" s="107"/>
      <x:c r="L675" s="107"/>
    </x:row>
    <x:row r="676">
      <x:c r="G676" s="107"/>
      <x:c r="L676" s="107"/>
    </x:row>
    <x:row r="677">
      <x:c r="G677" s="107"/>
      <x:c r="L677" s="107"/>
    </x:row>
    <x:row r="678">
      <x:c r="G678" s="107"/>
      <x:c r="L678" s="107"/>
    </x:row>
    <x:row r="679">
      <x:c r="G679" s="107"/>
      <x:c r="L679" s="107"/>
    </x:row>
    <x:row r="680">
      <x:c r="G680" s="107"/>
      <x:c r="L680" s="107"/>
    </x:row>
    <x:row r="681">
      <x:c r="G681" s="107"/>
      <x:c r="L681" s="107"/>
    </x:row>
    <x:row r="682">
      <x:c r="G682" s="107"/>
      <x:c r="L682" s="107"/>
    </x:row>
    <x:row r="683">
      <x:c r="G683" s="107"/>
      <x:c r="L683" s="107"/>
    </x:row>
    <x:row r="684">
      <x:c r="G684" s="107"/>
      <x:c r="L684" s="107"/>
    </x:row>
    <x:row r="685">
      <x:c r="G685" s="107"/>
      <x:c r="L685" s="107"/>
    </x:row>
    <x:row r="686">
      <x:c r="G686" s="107"/>
      <x:c r="L686" s="107"/>
    </x:row>
    <x:row r="687">
      <x:c r="G687" s="107"/>
      <x:c r="L687" s="107"/>
    </x:row>
    <x:row r="688">
      <x:c r="G688" s="107"/>
      <x:c r="L688" s="107"/>
    </x:row>
    <x:row r="689">
      <x:c r="G689" s="107"/>
      <x:c r="L689" s="107"/>
    </x:row>
    <x:row r="690">
      <x:c r="G690" s="107"/>
      <x:c r="L690" s="107"/>
    </x:row>
    <x:row r="691">
      <x:c r="G691" s="107"/>
      <x:c r="L691" s="107"/>
    </x:row>
    <x:row r="692">
      <x:c r="G692" s="107"/>
      <x:c r="L692" s="107"/>
    </x:row>
    <x:row r="693">
      <x:c r="G693" s="107"/>
      <x:c r="L693" s="107"/>
    </x:row>
    <x:row r="694">
      <x:c r="G694" s="107"/>
      <x:c r="L694" s="107"/>
    </x:row>
    <x:row r="695">
      <x:c r="G695" s="107"/>
      <x:c r="L695" s="107"/>
    </x:row>
    <x:row r="696">
      <x:c r="G696" s="107"/>
      <x:c r="L696" s="107"/>
    </x:row>
    <x:row r="697">
      <x:c r="G697" s="107"/>
      <x:c r="L697" s="107"/>
    </x:row>
    <x:row r="698">
      <x:c r="G698" s="107"/>
      <x:c r="L698" s="107"/>
    </x:row>
    <x:row r="699">
      <x:c r="G699" s="107"/>
      <x:c r="L699" s="107"/>
    </x:row>
    <x:row r="700">
      <x:c r="G700" s="107"/>
      <x:c r="L700" s="107"/>
    </x:row>
    <x:row r="701">
      <x:c r="G701" s="107"/>
      <x:c r="L701" s="107"/>
    </x:row>
    <x:row r="702">
      <x:c r="G702" s="107"/>
      <x:c r="L702" s="107"/>
    </x:row>
    <x:row r="703">
      <x:c r="G703" s="107"/>
      <x:c r="L703" s="107"/>
    </x:row>
    <x:row r="704">
      <x:c r="G704" s="107"/>
      <x:c r="L704" s="107"/>
    </x:row>
    <x:row r="705">
      <x:c r="G705" s="107"/>
      <x:c r="L705" s="107"/>
    </x:row>
    <x:row r="706">
      <x:c r="G706" s="107"/>
      <x:c r="L706" s="107"/>
    </x:row>
    <x:row r="707">
      <x:c r="G707" s="107"/>
      <x:c r="L707" s="107"/>
    </x:row>
    <x:row r="708">
      <x:c r="G708" s="107"/>
      <x:c r="L708" s="107"/>
    </x:row>
    <x:row r="709">
      <x:c r="G709" s="107"/>
      <x:c r="L709" s="107"/>
    </x:row>
    <x:row r="710">
      <x:c r="G710" s="107"/>
      <x:c r="L710" s="107"/>
    </x:row>
    <x:row r="711">
      <x:c r="G711" s="107"/>
      <x:c r="L711" s="107"/>
    </x:row>
    <x:row r="712">
      <x:c r="G712" s="107"/>
      <x:c r="L712" s="107"/>
    </x:row>
    <x:row r="713">
      <x:c r="G713" s="107"/>
      <x:c r="L713" s="107"/>
    </x:row>
    <x:row r="714">
      <x:c r="G714" s="107"/>
      <x:c r="L714" s="107"/>
    </x:row>
    <x:row r="715">
      <x:c r="G715" s="107"/>
      <x:c r="L715" s="107"/>
    </x:row>
    <x:row r="716">
      <x:c r="G716" s="107"/>
      <x:c r="L716" s="107"/>
    </x:row>
    <x:row r="717">
      <x:c r="G717" s="107"/>
      <x:c r="L717" s="107"/>
    </x:row>
    <x:row r="718">
      <x:c r="G718" s="107"/>
      <x:c r="L718" s="107"/>
    </x:row>
    <x:row r="719">
      <x:c r="G719" s="107"/>
      <x:c r="L719" s="107"/>
    </x:row>
    <x:row r="720">
      <x:c r="G720" s="107"/>
      <x:c r="L720" s="107"/>
    </x:row>
    <x:row r="721">
      <x:c r="G721" s="107"/>
      <x:c r="L721" s="107"/>
    </x:row>
    <x:row r="722">
      <x:c r="G722" s="107"/>
      <x:c r="L722" s="107"/>
    </x:row>
    <x:row r="723">
      <x:c r="G723" s="107"/>
      <x:c r="L723" s="107"/>
    </x:row>
    <x:row r="724">
      <x:c r="G724" s="107"/>
      <x:c r="L724" s="107"/>
    </x:row>
    <x:row r="725">
      <x:c r="G725" s="107"/>
      <x:c r="L725" s="107"/>
    </x:row>
    <x:row r="726">
      <x:c r="G726" s="107"/>
      <x:c r="L726" s="107"/>
    </x:row>
    <x:row r="727">
      <x:c r="G727" s="107"/>
      <x:c r="L727" s="107"/>
    </x:row>
    <x:row r="728">
      <x:c r="G728" s="107"/>
      <x:c r="L728" s="107"/>
    </x:row>
    <x:row r="729">
      <x:c r="G729" s="107"/>
      <x:c r="L729" s="107"/>
    </x:row>
    <x:row r="730">
      <x:c r="G730" s="107"/>
      <x:c r="L730" s="107"/>
    </x:row>
    <x:row r="731">
      <x:c r="G731" s="107"/>
      <x:c r="L731" s="107"/>
    </x:row>
    <x:row r="732">
      <x:c r="G732" s="107"/>
      <x:c r="L732" s="107"/>
    </x:row>
    <x:row r="733">
      <x:c r="G733" s="107"/>
      <x:c r="L733" s="107"/>
    </x:row>
    <x:row r="734">
      <x:c r="G734" s="107"/>
      <x:c r="L734" s="107"/>
    </x:row>
    <x:row r="735">
      <x:c r="G735" s="107"/>
      <x:c r="L735" s="107"/>
    </x:row>
    <x:row r="736">
      <x:c r="G736" s="107"/>
      <x:c r="L736" s="107"/>
    </x:row>
    <x:row r="737">
      <x:c r="G737" s="107"/>
      <x:c r="L737" s="107"/>
    </x:row>
    <x:row r="738">
      <x:c r="G738" s="107"/>
      <x:c r="L738" s="107"/>
    </x:row>
    <x:row r="739">
      <x:c r="G739" s="107"/>
      <x:c r="L739" s="107"/>
    </x:row>
    <x:row r="740">
      <x:c r="G740" s="107"/>
      <x:c r="L740" s="107"/>
    </x:row>
    <x:row r="741">
      <x:c r="G741" s="107"/>
      <x:c r="L741" s="107"/>
    </x:row>
    <x:row r="742">
      <x:c r="G742" s="107"/>
      <x:c r="L742" s="107"/>
    </x:row>
    <x:row r="743">
      <x:c r="G743" s="107"/>
      <x:c r="L743" s="107"/>
    </x:row>
    <x:row r="744">
      <x:c r="G744" s="107"/>
      <x:c r="L744" s="107"/>
    </x:row>
    <x:row r="745">
      <x:c r="G745" s="107"/>
      <x:c r="L745" s="107"/>
    </x:row>
    <x:row r="746">
      <x:c r="G746" s="107"/>
      <x:c r="L746" s="107"/>
    </x:row>
    <x:row r="747">
      <x:c r="G747" s="107"/>
      <x:c r="L747" s="107"/>
    </x:row>
    <x:row r="748">
      <x:c r="G748" s="107"/>
      <x:c r="L748" s="107"/>
    </x:row>
    <x:row r="749">
      <x:c r="G749" s="107"/>
      <x:c r="L749" s="107"/>
    </x:row>
    <x:row r="750">
      <x:c r="G750" s="107"/>
      <x:c r="L750" s="107"/>
    </x:row>
    <x:row r="751">
      <x:c r="G751" s="107"/>
      <x:c r="L751" s="107"/>
    </x:row>
    <x:row r="752">
      <x:c r="G752" s="107"/>
      <x:c r="L752" s="107"/>
    </x:row>
    <x:row r="753">
      <x:c r="G753" s="107"/>
      <x:c r="L753" s="107"/>
    </x:row>
    <x:row r="754">
      <x:c r="G754" s="107"/>
      <x:c r="L754" s="107"/>
    </x:row>
    <x:row r="755">
      <x:c r="G755" s="107"/>
      <x:c r="L755" s="107"/>
    </x:row>
    <x:row r="756">
      <x:c r="G756" s="107"/>
      <x:c r="L756" s="107"/>
    </x:row>
    <x:row r="757">
      <x:c r="G757" s="107"/>
      <x:c r="L757" s="107"/>
    </x:row>
    <x:row r="758">
      <x:c r="G758" s="107"/>
      <x:c r="L758" s="107"/>
    </x:row>
    <x:row r="759">
      <x:c r="G759" s="107"/>
      <x:c r="L759" s="107"/>
    </x:row>
    <x:row r="760">
      <x:c r="G760" s="107"/>
      <x:c r="L760" s="107"/>
    </x:row>
    <x:row r="761">
      <x:c r="G761" s="107"/>
      <x:c r="L761" s="107"/>
    </x:row>
    <x:row r="762">
      <x:c r="G762" s="107"/>
      <x:c r="L762" s="107"/>
    </x:row>
    <x:row r="763">
      <x:c r="G763" s="107"/>
      <x:c r="L763" s="107"/>
    </x:row>
    <x:row r="764">
      <x:c r="G764" s="107"/>
      <x:c r="L764" s="107"/>
    </x:row>
    <x:row r="765">
      <x:c r="G765" s="107"/>
      <x:c r="L765" s="107"/>
    </x:row>
    <x:row r="766">
      <x:c r="G766" s="107"/>
      <x:c r="L766" s="107"/>
    </x:row>
    <x:row r="767">
      <x:c r="G767" s="107"/>
      <x:c r="L767" s="107"/>
    </x:row>
    <x:row r="768">
      <x:c r="G768" s="107"/>
      <x:c r="L768" s="107"/>
    </x:row>
    <x:row r="769">
      <x:c r="G769" s="107"/>
      <x:c r="L769" s="107"/>
    </x:row>
    <x:row r="770">
      <x:c r="G770" s="107"/>
      <x:c r="L770" s="107"/>
    </x:row>
    <x:row r="771">
      <x:c r="G771" s="107"/>
      <x:c r="L771" s="107"/>
    </x:row>
    <x:row r="772">
      <x:c r="G772" s="107"/>
      <x:c r="L772" s="107"/>
    </x:row>
    <x:row r="773">
      <x:c r="G773" s="107"/>
      <x:c r="L773" s="107"/>
    </x:row>
    <x:row r="774">
      <x:c r="G774" s="107"/>
      <x:c r="L774" s="107"/>
    </x:row>
    <x:row r="775">
      <x:c r="G775" s="107"/>
      <x:c r="L775" s="107"/>
    </x:row>
    <x:row r="776">
      <x:c r="G776" s="107"/>
      <x:c r="L776" s="107"/>
    </x:row>
    <x:row r="777">
      <x:c r="G777" s="107"/>
      <x:c r="L777" s="107"/>
    </x:row>
    <x:row r="778">
      <x:c r="G778" s="107"/>
      <x:c r="L778" s="107"/>
    </x:row>
    <x:row r="779">
      <x:c r="G779" s="107"/>
      <x:c r="L779" s="107"/>
    </x:row>
    <x:row r="780">
      <x:c r="G780" s="107"/>
      <x:c r="L780" s="107"/>
    </x:row>
    <x:row r="781">
      <x:c r="G781" s="107"/>
      <x:c r="L781" s="107"/>
    </x:row>
    <x:row r="782">
      <x:c r="G782" s="107"/>
      <x:c r="L782" s="107"/>
    </x:row>
    <x:row r="783">
      <x:c r="G783" s="107"/>
      <x:c r="L783" s="107"/>
    </x:row>
    <x:row r="784">
      <x:c r="G784" s="107"/>
      <x:c r="L784" s="107"/>
    </x:row>
    <x:row r="785">
      <x:c r="G785" s="107"/>
      <x:c r="L785" s="107"/>
    </x:row>
    <x:row r="786">
      <x:c r="G786" s="107"/>
      <x:c r="L786" s="107"/>
    </x:row>
    <x:row r="787">
      <x:c r="G787" s="107"/>
      <x:c r="L787" s="107"/>
    </x:row>
    <x:row r="788">
      <x:c r="G788" s="107"/>
      <x:c r="L788" s="107"/>
    </x:row>
    <x:row r="789">
      <x:c r="G789" s="107"/>
      <x:c r="L789" s="107"/>
    </x:row>
    <x:row r="790">
      <x:c r="G790" s="107"/>
      <x:c r="L790" s="107"/>
    </x:row>
    <x:row r="791">
      <x:c r="G791" s="107"/>
      <x:c r="L791" s="107"/>
    </x:row>
    <x:row r="792">
      <x:c r="G792" s="107"/>
      <x:c r="L792" s="107"/>
    </x:row>
    <x:row r="793">
      <x:c r="G793" s="107"/>
      <x:c r="L793" s="107"/>
    </x:row>
    <x:row r="794">
      <x:c r="G794" s="107"/>
      <x:c r="L794" s="107"/>
    </x:row>
    <x:row r="795">
      <x:c r="G795" s="107"/>
      <x:c r="L795" s="107"/>
    </x:row>
    <x:row r="796">
      <x:c r="G796" s="107"/>
      <x:c r="L796" s="107"/>
    </x:row>
    <x:row r="797">
      <x:c r="G797" s="107"/>
      <x:c r="L797" s="107"/>
    </x:row>
    <x:row r="798">
      <x:c r="G798" s="107"/>
      <x:c r="L798" s="107"/>
    </x:row>
    <x:row r="799">
      <x:c r="G799" s="107"/>
      <x:c r="L799" s="107"/>
    </x:row>
    <x:row r="800">
      <x:c r="G800" s="107"/>
      <x:c r="L800" s="107"/>
    </x:row>
    <x:row r="801">
      <x:c r="G801" s="107"/>
      <x:c r="L801" s="107"/>
    </x:row>
    <x:row r="802">
      <x:c r="G802" s="107"/>
      <x:c r="L802" s="107"/>
    </x:row>
    <x:row r="803">
      <x:c r="G803" s="107"/>
      <x:c r="L803" s="107"/>
    </x:row>
    <x:row r="804">
      <x:c r="G804" s="107"/>
      <x:c r="L804" s="107"/>
    </x:row>
    <x:row r="805">
      <x:c r="G805" s="107"/>
      <x:c r="L805" s="107"/>
    </x:row>
    <x:row r="806">
      <x:c r="G806" s="107"/>
      <x:c r="L806" s="107"/>
    </x:row>
    <x:row r="807">
      <x:c r="G807" s="107"/>
      <x:c r="L807" s="107"/>
    </x:row>
    <x:row r="808">
      <x:c r="G808" s="107"/>
      <x:c r="L808" s="107"/>
    </x:row>
    <x:row r="809">
      <x:c r="G809" s="107"/>
      <x:c r="L809" s="107"/>
    </x:row>
    <x:row r="810">
      <x:c r="G810" s="107"/>
      <x:c r="L810" s="107"/>
    </x:row>
    <x:row r="811">
      <x:c r="G811" s="107"/>
      <x:c r="L811" s="107"/>
    </x:row>
    <x:row r="812">
      <x:c r="G812" s="107"/>
      <x:c r="L812" s="107"/>
    </x:row>
    <x:row r="813">
      <x:c r="G813" s="107"/>
      <x:c r="L813" s="107"/>
    </x:row>
    <x:row r="814">
      <x:c r="G814" s="107"/>
      <x:c r="L814" s="107"/>
    </x:row>
    <x:row r="815">
      <x:c r="G815" s="107"/>
      <x:c r="L815" s="107"/>
    </x:row>
    <x:row r="816">
      <x:c r="G816" s="107"/>
      <x:c r="L816" s="107"/>
    </x:row>
    <x:row r="817">
      <x:c r="G817" s="107"/>
      <x:c r="L817" s="107"/>
    </x:row>
    <x:row r="818">
      <x:c r="G818" s="107"/>
      <x:c r="L818" s="107"/>
    </x:row>
    <x:row r="819">
      <x:c r="G819" s="107"/>
      <x:c r="L819" s="107"/>
    </x:row>
    <x:row r="820">
      <x:c r="G820" s="107"/>
      <x:c r="L820" s="107"/>
    </x:row>
    <x:row r="821">
      <x:c r="G821" s="107"/>
      <x:c r="L821" s="107"/>
    </x:row>
    <x:row r="822">
      <x:c r="G822" s="107"/>
      <x:c r="L822" s="107"/>
    </x:row>
    <x:row r="823">
      <x:c r="G823" s="107"/>
      <x:c r="L823" s="107"/>
    </x:row>
    <x:row r="824">
      <x:c r="G824" s="107"/>
      <x:c r="L824" s="107"/>
    </x:row>
    <x:row r="825">
      <x:c r="G825" s="107"/>
      <x:c r="L825" s="107"/>
    </x:row>
    <x:row r="826">
      <x:c r="G826" s="107"/>
      <x:c r="L826" s="107"/>
    </x:row>
    <x:row r="827">
      <x:c r="G827" s="107"/>
      <x:c r="L827" s="107"/>
    </x:row>
    <x:row r="828">
      <x:c r="G828" s="107"/>
      <x:c r="L828" s="107"/>
    </x:row>
    <x:row r="829">
      <x:c r="G829" s="107"/>
      <x:c r="L829" s="107"/>
    </x:row>
    <x:row r="830">
      <x:c r="G830" s="107"/>
      <x:c r="L830" s="107"/>
    </x:row>
    <x:row r="831">
      <x:c r="G831" s="107"/>
      <x:c r="L831" s="107"/>
    </x:row>
    <x:row r="832">
      <x:c r="G832" s="107"/>
      <x:c r="L832" s="107"/>
    </x:row>
    <x:row r="833">
      <x:c r="G833" s="107"/>
      <x:c r="L833" s="107"/>
    </x:row>
    <x:row r="834">
      <x:c r="G834" s="107"/>
      <x:c r="L834" s="107"/>
    </x:row>
    <x:row r="835">
      <x:c r="G835" s="107"/>
      <x:c r="L835" s="107"/>
    </x:row>
    <x:row r="836">
      <x:c r="G836" s="107"/>
      <x:c r="L836" s="107"/>
    </x:row>
    <x:row r="837">
      <x:c r="G837" s="107"/>
      <x:c r="L837" s="107"/>
    </x:row>
    <x:row r="838">
      <x:c r="G838" s="107"/>
      <x:c r="L838" s="107"/>
    </x:row>
    <x:row r="839">
      <x:c r="G839" s="107"/>
      <x:c r="L839" s="107"/>
    </x:row>
    <x:row r="840">
      <x:c r="G840" s="107"/>
      <x:c r="L840" s="107"/>
    </x:row>
    <x:row r="841">
      <x:c r="G841" s="107"/>
      <x:c r="L841" s="107"/>
    </x:row>
    <x:row r="842">
      <x:c r="G842" s="107"/>
      <x:c r="L842" s="107"/>
    </x:row>
    <x:row r="843">
      <x:c r="G843" s="107"/>
      <x:c r="L843" s="107"/>
    </x:row>
    <x:row r="844">
      <x:c r="G844" s="107"/>
      <x:c r="L844" s="107"/>
    </x:row>
    <x:row r="845">
      <x:c r="G845" s="107"/>
      <x:c r="L845" s="107"/>
    </x:row>
    <x:row r="846">
      <x:c r="G846" s="107"/>
      <x:c r="L846" s="107"/>
    </x:row>
    <x:row r="847">
      <x:c r="G847" s="107"/>
      <x:c r="L847" s="107"/>
    </x:row>
    <x:row r="848">
      <x:c r="G848" s="107"/>
      <x:c r="L848" s="107"/>
    </x:row>
    <x:row r="849">
      <x:c r="G849" s="107"/>
      <x:c r="L849" s="107"/>
    </x:row>
    <x:row r="850">
      <x:c r="G850" s="107"/>
      <x:c r="L850" s="107"/>
    </x:row>
    <x:row r="851">
      <x:c r="G851" s="107"/>
      <x:c r="L851" s="107"/>
    </x:row>
    <x:row r="852">
      <x:c r="G852" s="107"/>
      <x:c r="L852" s="107"/>
    </x:row>
    <x:row r="853">
      <x:c r="G853" s="107"/>
      <x:c r="L853" s="107"/>
    </x:row>
    <x:row r="854">
      <x:c r="G854" s="107"/>
      <x:c r="L854" s="107"/>
    </x:row>
    <x:row r="855">
      <x:c r="G855" s="107"/>
      <x:c r="L855" s="107"/>
    </x:row>
    <x:row r="856">
      <x:c r="G856" s="107"/>
      <x:c r="L856" s="107"/>
    </x:row>
    <x:row r="857">
      <x:c r="G857" s="107"/>
      <x:c r="L857" s="107"/>
    </x:row>
    <x:row r="858">
      <x:c r="G858" s="107"/>
      <x:c r="L858" s="107"/>
    </x:row>
    <x:row r="859">
      <x:c r="G859" s="107"/>
      <x:c r="L859" s="107"/>
    </x:row>
    <x:row r="860">
      <x:c r="G860" s="107"/>
      <x:c r="L860" s="107"/>
    </x:row>
    <x:row r="861">
      <x:c r="G861" s="107"/>
      <x:c r="L861" s="107"/>
    </x:row>
    <x:row r="862">
      <x:c r="G862" s="107"/>
      <x:c r="L862" s="107"/>
    </x:row>
    <x:row r="863">
      <x:c r="G863" s="107"/>
      <x:c r="L863" s="107"/>
    </x:row>
    <x:row r="864">
      <x:c r="G864" s="107"/>
      <x:c r="L864" s="107"/>
    </x:row>
    <x:row r="865">
      <x:c r="G865" s="107"/>
      <x:c r="L865" s="107"/>
    </x:row>
    <x:row r="866">
      <x:c r="G866" s="107"/>
      <x:c r="L866" s="107"/>
    </x:row>
    <x:row r="867">
      <x:c r="G867" s="107"/>
      <x:c r="L867" s="107"/>
    </x:row>
    <x:row r="868">
      <x:c r="G868" s="107"/>
      <x:c r="L868" s="107"/>
    </x:row>
    <x:row r="869">
      <x:c r="G869" s="107"/>
      <x:c r="L869" s="107"/>
    </x:row>
    <x:row r="870">
      <x:c r="G870" s="107"/>
      <x:c r="L870" s="107"/>
    </x:row>
    <x:row r="871">
      <x:c r="G871" s="107"/>
      <x:c r="L871" s="107"/>
    </x:row>
    <x:row r="872">
      <x:c r="G872" s="107"/>
      <x:c r="L872" s="107"/>
    </x:row>
    <x:row r="873">
      <x:c r="G873" s="107"/>
      <x:c r="L873" s="107"/>
    </x:row>
    <x:row r="874">
      <x:c r="G874" s="107"/>
      <x:c r="L874" s="107"/>
    </x:row>
    <x:row r="875">
      <x:c r="G875" s="107"/>
      <x:c r="L875" s="107"/>
    </x:row>
    <x:row r="876">
      <x:c r="G876" s="107"/>
      <x:c r="L876" s="107"/>
    </x:row>
    <x:row r="877">
      <x:c r="G877" s="107"/>
      <x:c r="L877" s="107"/>
    </x:row>
    <x:row r="878">
      <x:c r="G878" s="107"/>
      <x:c r="L878" s="107"/>
    </x:row>
    <x:row r="879">
      <x:c r="G879" s="107"/>
      <x:c r="L879" s="107"/>
    </x:row>
    <x:row r="880">
      <x:c r="G880" s="107"/>
      <x:c r="L880" s="107"/>
    </x:row>
    <x:row r="881">
      <x:c r="G881" s="107"/>
      <x:c r="L881" s="107"/>
    </x:row>
    <x:row r="882">
      <x:c r="G882" s="107"/>
      <x:c r="L882" s="107"/>
    </x:row>
    <x:row r="883">
      <x:c r="G883" s="107"/>
      <x:c r="L883" s="107"/>
    </x:row>
    <x:row r="884">
      <x:c r="G884" s="107"/>
      <x:c r="L884" s="107"/>
    </x:row>
    <x:row r="885">
      <x:c r="G885" s="107"/>
      <x:c r="L885" s="107"/>
    </x:row>
    <x:row r="886">
      <x:c r="G886" s="107"/>
      <x:c r="L886" s="107"/>
    </x:row>
    <x:row r="887">
      <x:c r="G887" s="107"/>
      <x:c r="L887" s="107"/>
    </x:row>
    <x:row r="888">
      <x:c r="G888" s="107"/>
      <x:c r="L888" s="107"/>
    </x:row>
    <x:row r="889">
      <x:c r="G889" s="107"/>
      <x:c r="L889" s="107"/>
    </x:row>
    <x:row r="890">
      <x:c r="G890" s="107"/>
      <x:c r="L890" s="107"/>
    </x:row>
    <x:row r="891">
      <x:c r="G891" s="107"/>
      <x:c r="L891" s="107"/>
    </x:row>
    <x:row r="892">
      <x:c r="G892" s="107"/>
      <x:c r="L892" s="107"/>
    </x:row>
    <x:row r="893">
      <x:c r="G893" s="107"/>
      <x:c r="L893" s="107"/>
    </x:row>
    <x:row r="894">
      <x:c r="G894" s="107"/>
      <x:c r="L894" s="107"/>
    </x:row>
    <x:row r="895">
      <x:c r="G895" s="107"/>
      <x:c r="L895" s="107"/>
    </x:row>
    <x:row r="896">
      <x:c r="G896" s="107"/>
      <x:c r="L896" s="107"/>
    </x:row>
    <x:row r="897">
      <x:c r="G897" s="107"/>
      <x:c r="L897" s="107"/>
    </x:row>
    <x:row r="898">
      <x:c r="G898" s="107"/>
      <x:c r="L898" s="107"/>
    </x:row>
    <x:row r="899">
      <x:c r="G899" s="107"/>
      <x:c r="L899" s="107"/>
    </x:row>
    <x:row r="900">
      <x:c r="G900" s="107"/>
      <x:c r="L900" s="107"/>
    </x:row>
    <x:row r="901">
      <x:c r="G901" s="107"/>
      <x:c r="L901" s="107"/>
    </x:row>
    <x:row r="902">
      <x:c r="G902" s="107"/>
      <x:c r="L902" s="107"/>
    </x:row>
    <x:row r="903">
      <x:c r="G903" s="107"/>
      <x:c r="L903" s="107"/>
    </x:row>
    <x:row r="904">
      <x:c r="G904" s="107"/>
      <x:c r="L904" s="107"/>
    </x:row>
    <x:row r="905">
      <x:c r="G905" s="107"/>
      <x:c r="L905" s="107"/>
    </x:row>
    <x:row r="906">
      <x:c r="G906" s="107"/>
      <x:c r="L906" s="107"/>
    </x:row>
    <x:row r="907">
      <x:c r="G907" s="107"/>
      <x:c r="L907" s="107"/>
    </x:row>
    <x:row r="908">
      <x:c r="G908" s="107"/>
      <x:c r="L908" s="107"/>
    </x:row>
    <x:row r="909">
      <x:c r="G909" s="107"/>
      <x:c r="L909" s="107"/>
    </x:row>
    <x:row r="910">
      <x:c r="G910" s="107"/>
      <x:c r="L910" s="107"/>
    </x:row>
    <x:row r="911">
      <x:c r="G911" s="107"/>
      <x:c r="L911" s="107"/>
    </x:row>
    <x:row r="912">
      <x:c r="G912" s="107"/>
      <x:c r="L912" s="107"/>
    </x:row>
    <x:row r="913">
      <x:c r="G913" s="107"/>
      <x:c r="L913" s="107"/>
    </x:row>
    <x:row r="914">
      <x:c r="G914" s="107"/>
      <x:c r="L914" s="107"/>
    </x:row>
    <x:row r="915">
      <x:c r="G915" s="107"/>
      <x:c r="L915" s="107"/>
    </x:row>
    <x:row r="916">
      <x:c r="G916" s="107"/>
      <x:c r="L916" s="107"/>
    </x:row>
    <x:row r="917">
      <x:c r="G917" s="107"/>
      <x:c r="L917" s="107"/>
    </x:row>
    <x:row r="918">
      <x:c r="G918" s="107"/>
      <x:c r="L918" s="107"/>
    </x:row>
    <x:row r="919">
      <x:c r="G919" s="107"/>
      <x:c r="L919" s="107"/>
    </x:row>
    <x:row r="920">
      <x:c r="G920" s="107"/>
      <x:c r="L920" s="107"/>
    </x:row>
    <x:row r="921">
      <x:c r="G921" s="107"/>
      <x:c r="L921" s="107"/>
    </x:row>
    <x:row r="922">
      <x:c r="G922" s="107"/>
      <x:c r="L922" s="107"/>
    </x:row>
    <x:row r="923">
      <x:c r="G923" s="107"/>
      <x:c r="L923" s="107"/>
    </x:row>
    <x:row r="924">
      <x:c r="G924" s="107"/>
      <x:c r="L924" s="107"/>
    </x:row>
    <x:row r="925">
      <x:c r="G925" s="107"/>
      <x:c r="L925" s="107"/>
    </x:row>
    <x:row r="926">
      <x:c r="G926" s="107"/>
      <x:c r="L926" s="107"/>
    </x:row>
    <x:row r="927">
      <x:c r="G927" s="107"/>
      <x:c r="L927" s="107"/>
    </x:row>
    <x:row r="928">
      <x:c r="G928" s="107"/>
      <x:c r="L928" s="107"/>
    </x:row>
    <x:row r="929">
      <x:c r="G929" s="107"/>
      <x:c r="L929" s="107"/>
    </x:row>
    <x:row r="930">
      <x:c r="G930" s="107"/>
      <x:c r="L930" s="107"/>
    </x:row>
    <x:row r="931">
      <x:c r="G931" s="107"/>
      <x:c r="L931" s="107"/>
    </x:row>
    <x:row r="932">
      <x:c r="G932" s="107"/>
      <x:c r="L932" s="107"/>
    </x:row>
    <x:row r="933">
      <x:c r="G933" s="107"/>
      <x:c r="L933" s="107"/>
    </x:row>
    <x:row r="934">
      <x:c r="G934" s="107"/>
      <x:c r="L934" s="107"/>
    </x:row>
    <x:row r="935">
      <x:c r="G935" s="107"/>
      <x:c r="L935" s="107"/>
    </x:row>
    <x:row r="936">
      <x:c r="G936" s="107"/>
      <x:c r="L936" s="107"/>
    </x:row>
    <x:row r="937">
      <x:c r="G937" s="107"/>
      <x:c r="L937" s="107"/>
    </x:row>
    <x:row r="938">
      <x:c r="G938" s="107"/>
      <x:c r="L938" s="107"/>
    </x:row>
    <x:row r="939">
      <x:c r="G939" s="107"/>
      <x:c r="L939" s="107"/>
    </x:row>
    <x:row r="940">
      <x:c r="G940" s="107"/>
      <x:c r="L940" s="107"/>
    </x:row>
    <x:row r="941">
      <x:c r="G941" s="107"/>
      <x:c r="L941" s="107"/>
    </x:row>
    <x:row r="942">
      <x:c r="G942" s="107"/>
      <x:c r="L942" s="107"/>
    </x:row>
    <x:row r="943">
      <x:c r="G943" s="107"/>
      <x:c r="L943" s="107"/>
    </x:row>
    <x:row r="944">
      <x:c r="G944" s="107"/>
      <x:c r="L944" s="107"/>
    </x:row>
    <x:row r="945">
      <x:c r="G945" s="107"/>
      <x:c r="L945" s="107"/>
    </x:row>
    <x:row r="946">
      <x:c r="G946" s="107"/>
      <x:c r="L946" s="107"/>
    </x:row>
    <x:row r="947">
      <x:c r="G947" s="107"/>
      <x:c r="L947" s="107"/>
    </x:row>
    <x:row r="948">
      <x:c r="G948" s="107"/>
      <x:c r="L948" s="107"/>
    </x:row>
    <x:row r="949">
      <x:c r="G949" s="107"/>
      <x:c r="L949" s="107"/>
    </x:row>
    <x:row r="950">
      <x:c r="G950" s="107"/>
      <x:c r="L950" s="107"/>
    </x:row>
    <x:row r="951">
      <x:c r="G951" s="107"/>
      <x:c r="L951" s="107"/>
    </x:row>
    <x:row r="952">
      <x:c r="G952" s="107"/>
      <x:c r="L952" s="107"/>
    </x:row>
    <x:row r="953">
      <x:c r="G953" s="107"/>
      <x:c r="L953" s="107"/>
    </x:row>
    <x:row r="954">
      <x:c r="G954" s="107"/>
      <x:c r="L954" s="107"/>
    </x:row>
    <x:row r="955">
      <x:c r="G955" s="107"/>
      <x:c r="L955" s="107"/>
    </x:row>
    <x:row r="956">
      <x:c r="G956" s="107"/>
      <x:c r="L956" s="107"/>
    </x:row>
    <x:row r="957">
      <x:c r="G957" s="107"/>
      <x:c r="L957" s="107"/>
    </x:row>
    <x:row r="958">
      <x:c r="G958" s="107"/>
      <x:c r="L958" s="107"/>
    </x:row>
    <x:row r="959">
      <x:c r="G959" s="107"/>
      <x:c r="L959" s="107"/>
    </x:row>
    <x:row r="960">
      <x:c r="G960" s="107"/>
      <x:c r="L960" s="107"/>
    </x:row>
    <x:row r="961">
      <x:c r="G961" s="107"/>
      <x:c r="L961" s="107"/>
    </x:row>
    <x:row r="962">
      <x:c r="G962" s="107"/>
      <x:c r="L962" s="107"/>
    </x:row>
    <x:row r="963">
      <x:c r="G963" s="107"/>
      <x:c r="L963" s="107"/>
    </x:row>
    <x:row r="964">
      <x:c r="G964" s="107"/>
      <x:c r="L964" s="107"/>
    </x:row>
    <x:row r="965">
      <x:c r="G965" s="107"/>
      <x:c r="L965" s="107"/>
    </x:row>
    <x:row r="966">
      <x:c r="G966" s="107"/>
      <x:c r="L966" s="107"/>
    </x:row>
    <x:row r="967">
      <x:c r="G967" s="107"/>
      <x:c r="L967" s="107"/>
    </x:row>
    <x:row r="968">
      <x:c r="G968" s="107"/>
      <x:c r="L968" s="107"/>
    </x:row>
    <x:row r="969">
      <x:c r="G969" s="107"/>
      <x:c r="L969" s="107"/>
    </x:row>
    <x:row r="970">
      <x:c r="G970" s="107"/>
      <x:c r="L970" s="107"/>
    </x:row>
    <x:row r="971">
      <x:c r="G971" s="107"/>
      <x:c r="L971" s="107"/>
    </x:row>
    <x:row r="972">
      <x:c r="G972" s="107"/>
      <x:c r="L972" s="107"/>
    </x:row>
    <x:row r="973">
      <x:c r="G973" s="107"/>
      <x:c r="L973" s="107"/>
    </x:row>
    <x:row r="974">
      <x:c r="G974" s="107"/>
      <x:c r="L974" s="107"/>
    </x:row>
    <x:row r="975">
      <x:c r="G975" s="107"/>
      <x:c r="L975" s="107"/>
    </x:row>
    <x:row r="976">
      <x:c r="G976" s="107"/>
      <x:c r="L976" s="107"/>
    </x:row>
    <x:row r="977">
      <x:c r="G977" s="107"/>
      <x:c r="L977" s="107"/>
    </x:row>
    <x:row r="978">
      <x:c r="G978" s="107"/>
      <x:c r="L978" s="107"/>
    </x:row>
    <x:row r="979">
      <x:c r="G979" s="107"/>
      <x:c r="L979" s="107"/>
    </x:row>
    <x:row r="980">
      <x:c r="G980" s="107"/>
      <x:c r="L980" s="107"/>
    </x:row>
    <x:row r="981">
      <x:c r="G981" s="107"/>
      <x:c r="L981" s="107"/>
    </x:row>
    <x:row r="982">
      <x:c r="G982" s="107"/>
      <x:c r="L982" s="107"/>
    </x:row>
    <x:row r="983">
      <x:c r="G983" s="107"/>
      <x:c r="L983" s="107"/>
    </x:row>
    <x:row r="984">
      <x:c r="G984" s="107"/>
      <x:c r="L984" s="107"/>
    </x:row>
    <x:row r="985">
      <x:c r="G985" s="107"/>
      <x:c r="L985" s="107"/>
    </x:row>
    <x:row r="986">
      <x:c r="G986" s="107"/>
      <x:c r="L986" s="107"/>
    </x:row>
    <x:row r="987">
      <x:c r="G987" s="107"/>
      <x:c r="L987" s="107"/>
    </x:row>
    <x:row r="988">
      <x:c r="G988" s="107"/>
      <x:c r="L988" s="107"/>
    </x:row>
    <x:row r="989">
      <x:c r="G989" s="107"/>
      <x:c r="L989" s="107"/>
    </x:row>
    <x:row r="990">
      <x:c r="G990" s="107"/>
      <x:c r="L990" s="107"/>
    </x:row>
    <x:row r="991">
      <x:c r="G991" s="107"/>
      <x:c r="L991" s="107"/>
    </x:row>
    <x:row r="992">
      <x:c r="G992" s="107"/>
      <x:c r="L992" s="107"/>
    </x:row>
    <x:row r="993">
      <x:c r="G993" s="107"/>
      <x:c r="L993" s="107"/>
    </x:row>
    <x:row r="994">
      <x:c r="G994" s="107"/>
      <x:c r="L994" s="107"/>
    </x:row>
    <x:row r="995">
      <x:c r="G995" s="107"/>
      <x:c r="L995" s="107"/>
    </x:row>
    <x:row r="996">
      <x:c r="G996" s="107"/>
      <x:c r="L996" s="107"/>
    </x:row>
    <x:row r="997">
      <x:c r="G997" s="107"/>
      <x:c r="L997" s="107"/>
    </x:row>
    <x:row r="998">
      <x:c r="G998" s="107"/>
      <x:c r="L998" s="107"/>
    </x:row>
    <x:row r="999">
      <x:c r="G999" s="107"/>
      <x:c r="L999" s="107"/>
    </x:row>
    <x:row r="1000">
      <x:c r="G1000" s="107"/>
      <x:c r="L1000" s="107"/>
    </x:row>
  </x:sheetData>
  <x:mergeCells>
    <x:mergeCell ref="A1:O1"/>
    <x:mergeCell ref="A2:O2"/>
  </x:mergeCells>
  <x:conditionalFormatting sqref="I5:I500">
    <x:cfRule type="expression" dxfId="16" priority="1">
      <x:formula>I5="Original / independent"</x:formula>
    </x:cfRule>
    <x:cfRule type="expression" dxfId="17" priority="2">
      <x:formula>OR(I5="Cross-post / same underlying source",I5="Same publisher follow-up",I5="Syndicated")</x:formula>
    </x:cfRule>
  </x:conditionalFormatting>
  <x:dataValidations count="3">
    <x:dataValidation type="list" sqref="H5:H500">
      <x:formula1>"Digital news video,Original media reporting,Follow-up media reporting,Official government source,Official statement,Court record,Organiser statement,Social media lead,Other"</x:formula1>
    </x:dataValidation>
    <x:dataValidation type="list" sqref="I5:I500">
      <x:formula1>"Original / independent,Same publisher follow-up,Cross-post / same underlying source,Syndicated,Official primary source,Unknown"</x:formula1>
    </x:dataValidation>
    <x:dataValidation type="list" sqref="O5:O500">
      <x:formula1>"Lead,Alternate access,Corroboration,Follow-up,Official context,Historical context"</x:formula1>
    </x:dataValidation>
  </x:dataValidations>
  <x:pageMargins left="0.7" right="0.7" top="0.75" bottom="0.75" header="0.3" footer="0.3"/>
  <x:tableParts count="1">
    <x:tablePart xmlns:r="http://schemas.openxmlformats.org/officeDocument/2006/relationships" r:id="Rc38f293239044861"/>
  </x:tableParts>
</x:worksheet>
</file>

<file path=xl/worksheets/sheet7.xml><?xml version="1.0" encoding="utf-8"?>
<x:worksheet xmlns:x="http://schemas.openxmlformats.org/spreadsheetml/2006/main">
  <x:sheetFormatPr defaultRowHeight="15"/>
  <x:cols>
    <x:col min="1" max="1" width="18" hidden="0" customWidth="1"/>
    <x:col min="2" max="2" width="38" hidden="0" customWidth="1"/>
    <x:col min="3" max="3" width="26" hidden="0" customWidth="1"/>
    <x:col min="4" max="4" width="25" hidden="0" customWidth="1"/>
    <x:col min="5" max="5" width="46" hidden="0" customWidth="1"/>
    <x:col min="6" max="6" width="28" hidden="0" customWidth="1"/>
    <x:col min="7" max="7" width="62" hidden="0" customWidth="1"/>
  </x:cols>
  <x:sheetData>
    <x:row r="1" ht="30" customHeight="1">
      <x:c r="A1" s="88" t="str">
        <x:v>India Observed — Organisation Register</x:v>
      </x:c>
      <x:c r="B1" s="88"/>
      <x:c r="C1" s="88"/>
      <x:c r="D1" s="88"/>
      <x:c r="E1" s="88"/>
      <x:c r="F1" s="88"/>
      <x:c r="G1" s="88"/>
    </x:row>
    <x:row r="2" ht="32" customHeight="1">
      <x:c r="A2" s="93" t="str">
        <x:v>Use standard names so organisations are not duplicated under spelling variations. Record only publicly relevant representatives.</x:v>
      </x:c>
      <x:c r="B2" s="93"/>
      <x:c r="C2" s="93"/>
      <x:c r="D2" s="93"/>
      <x:c r="E2" s="93"/>
      <x:c r="F2" s="93"/>
      <x:c r="G2" s="93"/>
    </x:row>
    <x:row r="4" ht="40" customHeight="1">
      <x:c r="A4" s="326" t="str">
        <x:v>Organisation ID</x:v>
      </x:c>
      <x:c r="B4" s="326" t="str">
        <x:v>Official name</x:v>
      </x:c>
      <x:c r="C4" s="326" t="str">
        <x:v>Organisation type</x:v>
      </x:c>
      <x:c r="D4" s="326" t="str">
        <x:v>State</x:v>
      </x:c>
      <x:c r="E4" s="326" t="str">
        <x:v>Website</x:v>
      </x:c>
      <x:c r="F4" s="326" t="str">
        <x:v>Public spokesperson</x:v>
      </x:c>
      <x:c r="G4" s="326" t="str">
        <x:v>Notes</x:v>
      </x:c>
    </x:row>
    <x:row r="5">
      <x:c r="A5" s="16" t="str">
        <x:v>IO-ORG-0001</x:v>
      </x:c>
      <x:c r="B5" s="115" t="str">
        <x:v>Project-affected tribal and farming communities</x:v>
      </x:c>
      <x:c r="C5" s="115" t="str">
        <x:v>Community group</x:v>
      </x:c>
      <x:c r="D5" s="115" t="str">
        <x:v>Madhya Pradesh</x:v>
      </x:c>
      <x:c r="E5" s="115" t="str"/>
      <x:c r="F5" s="115" t="str"/>
      <x:c r="G5" s="16" t="str">
        <x:v>Informal collective description; do not treat as a legally registered organisation or publish ordinary participant names.</x:v>
      </x:c>
    </x:row>
    <x:row r="6">
      <x:c r="A6" s="16" t="str">
        <x:v>IO-ORG-0002</x:v>
      </x:c>
      <x:c r="B6" s="115" t="str">
        <x:v>Jai Kisan Sangathan</x:v>
      </x:c>
      <x:c r="C6" s="115" t="str">
        <x:v>Civil society / movement</x:v>
      </x:c>
      <x:c r="D6" s="115" t="str">
        <x:v>Madhya Pradesh</x:v>
      </x:c>
      <x:c r="E6" s="115" t="str"/>
      <x:c r="F6" s="115" t="str">
        <x:v>Amit Bhatnagar (reported)</x:v>
      </x:c>
      <x:c r="G6" s="16" t="str">
        <x:v>Named in media reports as involved in the movement. Confirm official organisational details before public profile publication.</x:v>
      </x:c>
    </x:row>
    <x:row r="7">
      <x:c r="A7" s="16" t="str">
        <x:v>IO-ORG-0003</x:v>
      </x:c>
      <x:c r="B7" s="115" t="str">
        <x:v>Chhatarpur District Administration</x:v>
      </x:c>
      <x:c r="C7" s="115" t="str">
        <x:v>District administration</x:v>
      </x:c>
      <x:c r="D7" s="115" t="str">
        <x:v>Madhya Pradesh</x:v>
      </x:c>
      <x:c r="E7" s="115" t="str">
        <x:v>https://chhatarpur.nic.in/</x:v>
      </x:c>
      <x:c r="F7" s="115" t="str"/>
      <x:c r="G7" s="16" t="str">
        <x:v>Relevant authority for affected areas and reported administrative response.</x:v>
      </x:c>
    </x:row>
    <x:row r="8">
      <x:c r="A8" s="16" t="str">
        <x:v>IO-ORG-0004</x:v>
      </x:c>
      <x:c r="B8" s="115" t="str">
        <x:v>Panna District Administration</x:v>
      </x:c>
      <x:c r="C8" s="115" t="str">
        <x:v>District administration</x:v>
      </x:c>
      <x:c r="D8" s="115" t="str">
        <x:v>Madhya Pradesh</x:v>
      </x:c>
      <x:c r="E8" s="115" t="str">
        <x:v>https://panna.nic.in/</x:v>
      </x:c>
      <x:c r="F8" s="115" t="str"/>
      <x:c r="G8" s="16" t="str">
        <x:v>Relevant authority because sources and official statements refer to project-affected people from Panna.</x:v>
      </x:c>
    </x:row>
    <x:row r="9">
      <x:c r="A9" s="16" t="str">
        <x:v>IO-ORG-0005</x:v>
      </x:c>
      <x:c r="B9" s="115" t="str">
        <x:v>Madhya Pradesh Government</x:v>
      </x:c>
      <x:c r="C9" s="115" t="str">
        <x:v>State government</x:v>
      </x:c>
      <x:c r="D9" s="115" t="str">
        <x:v>Madhya Pradesh</x:v>
      </x:c>
      <x:c r="E9" s="115" t="str">
        <x:v>https://mp.gov.in/</x:v>
      </x:c>
      <x:c r="F9" s="115" t="str"/>
      <x:c r="G9" s="16" t="str">
        <x:v>Reported source of rehabilitation policy and package; direct orders are still required.</x:v>
      </x:c>
    </x:row>
    <x:row r="10">
      <x:c r="A10" s="16" t="str">
        <x:v>IO-ORG-0006</x:v>
      </x:c>
      <x:c r="B10" s="115" t="str">
        <x:v>National Water Development Agency</x:v>
      </x:c>
      <x:c r="C10" s="115" t="str">
        <x:v>Central government agency</x:v>
      </x:c>
      <x:c r="D10" s="115" t="str">
        <x:v>India</x:v>
      </x:c>
      <x:c r="E10" s="115" t="str">
        <x:v>https://nwda.gov.in/</x:v>
      </x:c>
      <x:c r="F10" s="115" t="str"/>
      <x:c r="G10" s="16" t="str">
        <x:v>Official source for Ken–Betwa project design and background.</x:v>
      </x:c>
    </x:row>
    <x:row r="11">
      <x:c r="A11" s="16" t="str">
        <x:v>IO-ORG-0007</x:v>
      </x:c>
      <x:c r="B11" s="115" t="str">
        <x:v>Ken–Betwa Link Project Authority</x:v>
      </x:c>
      <x:c r="C11" s="115" t="str">
        <x:v>Project authority</x:v>
      </x:c>
      <x:c r="D11" s="115" t="str">
        <x:v>Madhya Pradesh / Uttar Pradesh</x:v>
      </x:c>
      <x:c r="E11" s="115" t="str">
        <x:v>https://nwda.gov.in/</x:v>
      </x:c>
      <x:c r="F11" s="115" t="str"/>
      <x:c r="G11" s="16" t="str">
        <x:v>Use as a project authority label; confirm the current official contact and legal entity details before outreach.</x:v>
      </x:c>
    </x:row>
    <x:row r="12">
      <x:c r="A12" s="16" t="str">
        <x:v>IO-ORG-0008</x:v>
      </x:c>
      <x:c r="B12" s="115" t="str">
        <x:v>Peek TV</x:v>
      </x:c>
      <x:c r="C12" s="115" t="str">
        <x:v>Media organisation</x:v>
      </x:c>
      <x:c r="D12" s="115" t="str">
        <x:v>India</x:v>
      </x:c>
      <x:c r="E12" s="115" t="str">
        <x:v>https://x.com/PeekTV_in</x:v>
      </x:c>
      <x:c r="F12" s="115" t="str"/>
      <x:c r="G12" s="16" t="str">
        <x:v>Lead digital news source supplied by the user.</x:v>
      </x:c>
    </x:row>
    <x:row r="13">
      <x:c r="A13" s="16" t="str">
        <x:v>IO-ORG-0009</x:v>
      </x:c>
      <x:c r="B13" s="115" t="str">
        <x:v>Down To Earth</x:v>
      </x:c>
      <x:c r="C13" s="115" t="str">
        <x:v>Media organisation</x:v>
      </x:c>
      <x:c r="D13" s="115" t="str">
        <x:v>India</x:v>
      </x:c>
      <x:c r="E13" s="115" t="str">
        <x:v>https://www.downtoearth.org.in/</x:v>
      </x:c>
      <x:c r="F13" s="115" t="str"/>
      <x:c r="G13" s="16" t="str">
        <x:v>Original environmental reporting used for corroboration and field documentation.</x:v>
      </x:c>
    </x:row>
    <x:row r="14">
      <x:c r="A14" s="16" t="str">
        <x:v>IO-ORG-0010</x:v>
      </x:c>
      <x:c r="B14" s="16" t="str">
        <x:v>The Times of India</x:v>
      </x:c>
      <x:c r="C14" s="16" t="str">
        <x:v>Media organisation</x:v>
      </x:c>
      <x:c r="D14" s="16" t="str">
        <x:v>India</x:v>
      </x:c>
      <x:c r="E14" s="16" t="str">
        <x:v>https://timesofindia.indiatimes.com/</x:v>
      </x:c>
      <x:c r="F14" s="16" t="str"/>
      <x:c r="G14" s="16" t="str">
        <x:v>Independent media source containing protester and administration accounts.</x:v>
      </x:c>
    </x:row>
    <x:row r="15">
      <x:c r="A15" s="16" t="str">
        <x:v>IO-ORG-0011</x:v>
      </x:c>
      <x:c r="B15" s="16" t="str">
        <x:v>Cockroach Janta Party</x:v>
      </x:c>
      <x:c r="C15" s="16" t="str">
        <x:v>Civil society / movement</x:v>
      </x:c>
      <x:c r="D15" s="16" t="str">
        <x:v>India</x:v>
      </x:c>
      <x:c r="E15" s="16" t="str">
        <x:v>https://www.instagram.com/cockroachjantaparty/</x:v>
      </x:c>
      <x:c r="F15" s="16" t="str">
        <x:v>Abhijeet Dipke (reported)</x:v>
      </x:c>
      <x:c r="G15" s="16" t="str">
        <x:v>Satirical youth movement organising the Delhi education-accountability sit-in. Confirm the official web identity before publication.</x:v>
      </x:c>
    </x:row>
    <x:row r="16">
      <x:c r="A16" s="16" t="str">
        <x:v>IO-ORG-0012</x:v>
      </x:c>
      <x:c r="B16" s="16" t="str">
        <x:v>Union Ministry of Education</x:v>
      </x:c>
      <x:c r="C16" s="16" t="str">
        <x:v>Central government agency</x:v>
      </x:c>
      <x:c r="D16" s="16" t="str">
        <x:v>India</x:v>
      </x:c>
      <x:c r="E16" s="16" t="str">
        <x:v>https://www.education.gov.in/</x:v>
      </x:c>
      <x:c r="F16" s="16"/>
      <x:c r="G16" s="16" t="str">
        <x:v>Relevant Union authority and the institution headed by the minister whose resignation is demanded.</x:v>
      </x:c>
    </x:row>
    <x:row r="17">
      <x:c r="A17" s="16" t="str">
        <x:v>IO-ORG-0013</x:v>
      </x:c>
      <x:c r="B17" s="16" t="str">
        <x:v>Reuters</x:v>
      </x:c>
      <x:c r="C17" s="16" t="str">
        <x:v>Media organisation</x:v>
      </x:c>
      <x:c r="D17" s="16" t="str">
        <x:v>India / international</x:v>
      </x:c>
      <x:c r="E17" s="16" t="str">
        <x:v>https://www.reuters.com/</x:v>
      </x:c>
      <x:c r="F17" s="16"/>
      <x:c r="G17" s="16" t="str">
        <x:v>Independent on-location source for the Delhi event.</x:v>
      </x:c>
    </x:row>
    <x:row r="18">
      <x:c r="A18" s="16" t="str">
        <x:v>IO-ORG-0014</x:v>
      </x:c>
      <x:c r="B18" s="16" t="str">
        <x:v>NDTV</x:v>
      </x:c>
      <x:c r="C18" s="16" t="str">
        <x:v>Media organisation</x:v>
      </x:c>
      <x:c r="D18" s="16" t="str">
        <x:v>India</x:v>
      </x:c>
      <x:c r="E18" s="16" t="str">
        <x:v>https://www.ndtv.com/</x:v>
      </x:c>
      <x:c r="F18" s="16"/>
      <x:c r="G18" s="16" t="str">
        <x:v>Independent source containing organiser claims and the minister's reported response.</x:v>
      </x:c>
    </x:row>
    <x:row r="19">
      <x:c r="A19" s="16" t="str">
        <x:v>IO-ORG-0015</x:v>
      </x:c>
      <x:c r="B19" s="16" t="str">
        <x:v>Hindustan Times</x:v>
      </x:c>
      <x:c r="C19" s="16" t="str">
        <x:v>Media organisation</x:v>
      </x:c>
      <x:c r="D19" s="16" t="str">
        <x:v>India</x:v>
      </x:c>
      <x:c r="E19" s="16" t="str">
        <x:v>https://www.hindustantimes.com/</x:v>
      </x:c>
      <x:c r="F19" s="16"/>
      <x:c r="G19" s="16" t="str">
        <x:v>Source for protest chronology and continuing updates.</x:v>
      </x:c>
    </x:row>
    <x:row r="20">
      <x:c r="A20" s="16" t="str">
        <x:v>IO-ORG-0016</x:v>
      </x:c>
      <x:c r="B20" s="16" t="str">
        <x:v>Mandya District Raitha Hitarakshana Samiti</x:v>
      </x:c>
      <x:c r="C20" s="16" t="str">
        <x:v>Civil society / movement</x:v>
      </x:c>
      <x:c r="D20" s="16" t="str">
        <x:v>Karnataka</x:v>
      </x:c>
      <x:c r="E20" s="16"/>
      <x:c r="F20" s="16"/>
      <x:c r="G20" s="16" t="str">
        <x:v>Farmer organisation named in reporting as a principal organiser of the KRS-water protest.</x:v>
      </x:c>
    </x:row>
    <x:row r="21">
      <x:c r="A21" s="16" t="str">
        <x:v>IO-ORG-0017</x:v>
      </x:c>
      <x:c r="B21" s="16" t="str">
        <x:v>Mandya District Administration</x:v>
      </x:c>
      <x:c r="C21" s="16" t="str">
        <x:v>District administration</x:v>
      </x:c>
      <x:c r="D21" s="16" t="str">
        <x:v>Karnataka</x:v>
      </x:c>
      <x:c r="E21" s="16" t="str">
        <x:v>https://mandya.nic.in/</x:v>
      </x:c>
      <x:c r="F21" s="16"/>
      <x:c r="G21" s="16" t="str">
        <x:v>Relevant authority receiving the farmers' demands.</x:v>
      </x:c>
    </x:row>
    <x:row r="22">
      <x:c r="A22" s="16" t="str">
        <x:v>IO-ORG-0018</x:v>
      </x:c>
      <x:c r="B22" s="16" t="str">
        <x:v>Karnataka Government</x:v>
      </x:c>
      <x:c r="C22" s="16" t="str">
        <x:v>State government</x:v>
      </x:c>
      <x:c r="D22" s="16" t="str">
        <x:v>Karnataka</x:v>
      </x:c>
      <x:c r="E22" s="16" t="str">
        <x:v>https://www.karnataka.gov.in/</x:v>
      </x:c>
      <x:c r="F22" s="16"/>
      <x:c r="G22" s="16" t="str">
        <x:v>Relevant state authority for irrigation and water-release decisions.</x:v>
      </x:c>
    </x:row>
    <x:row r="23">
      <x:c r="A23" s="16" t="str">
        <x:v>IO-ORG-0019</x:v>
      </x:c>
      <x:c r="B23" s="16" t="str">
        <x:v>The New Indian Express</x:v>
      </x:c>
      <x:c r="C23" s="16" t="str">
        <x:v>Media organisation</x:v>
      </x:c>
      <x:c r="D23" s="16" t="str">
        <x:v>India</x:v>
      </x:c>
      <x:c r="E23" s="16" t="str">
        <x:v>https://www.newindianexpress.com/</x:v>
      </x:c>
      <x:c r="F23" s="16"/>
      <x:c r="G23" s="16" t="str">
        <x:v>Independent source for the Mandya protest.</x:v>
      </x:c>
    </x:row>
    <x:row r="24">
      <x:c r="A24" s="16" t="str">
        <x:v>IO-ORG-0020</x:v>
      </x:c>
      <x:c r="B24" s="16" t="str">
        <x:v>Bharatiya Kisan Union (Rajewal)</x:v>
      </x:c>
      <x:c r="C24" s="16" t="str">
        <x:v>Civil society / movement</x:v>
      </x:c>
      <x:c r="D24" s="16" t="str">
        <x:v>Punjab</x:v>
      </x:c>
      <x:c r="E24" s="16"/>
      <x:c r="F24" s="16" t="str">
        <x:v>Balbir Singh Rajewal</x:v>
      </x:c>
      <x:c r="G24" s="16" t="str">
        <x:v>Organiser of the 13 July motorcycle rally.</x:v>
      </x:c>
    </x:row>
    <x:row r="25">
      <x:c r="A25" s="16" t="str">
        <x:v>IO-ORG-0021</x:v>
      </x:c>
      <x:c r="B25" s="16" t="str">
        <x:v>Chandigarh Police</x:v>
      </x:c>
      <x:c r="C25" s="16" t="str">
        <x:v>Other</x:v>
      </x:c>
      <x:c r="D25" s="16" t="str">
        <x:v>Chandigarh</x:v>
      </x:c>
      <x:c r="E25" s="16" t="str">
        <x:v>https://chandigarhpolice.gov.in/</x:v>
      </x:c>
      <x:c r="F25" s="16"/>
      <x:c r="G25" s="16" t="str">
        <x:v>Relevant authority for route controls and traffic diversions.</x:v>
      </x:c>
    </x:row>
    <x:row r="26">
      <x:c r="A26" s="16" t="str">
        <x:v>IO-ORG-0022</x:v>
      </x:c>
      <x:c r="B26" s="16" t="str">
        <x:v>Punjab Government</x:v>
      </x:c>
      <x:c r="C26" s="16" t="str">
        <x:v>State government</x:v>
      </x:c>
      <x:c r="D26" s="16" t="str">
        <x:v>Punjab</x:v>
      </x:c>
      <x:c r="E26" s="16" t="str">
        <x:v>https://punjab.gov.in/</x:v>
      </x:c>
      <x:c r="F26" s="16"/>
      <x:c r="G26" s="16" t="str">
        <x:v>Recipient of state-level demands and memorandum.</x:v>
      </x:c>
    </x:row>
    <x:row r="27">
      <x:c r="A27" s="16" t="str">
        <x:v>IO-ORG-0023</x:v>
      </x:c>
      <x:c r="B27" s="16" t="str">
        <x:v>The Tribune</x:v>
      </x:c>
      <x:c r="C27" s="16" t="str">
        <x:v>Media organisation</x:v>
      </x:c>
      <x:c r="D27" s="16" t="str">
        <x:v>India</x:v>
      </x:c>
      <x:c r="E27" s="16" t="str">
        <x:v>https://www.tribuneindia.com/</x:v>
      </x:c>
      <x:c r="F27" s="16"/>
      <x:c r="G27" s="16" t="str">
        <x:v>Independent local source for the Chandigarh rally.</x:v>
      </x:c>
    </x:row>
    <x:row r="28">
      <x:c r="A28" s="16" t="str">
        <x:v>IO-ORG-0024</x:v>
      </x:c>
      <x:c r="B28" s="16" t="str">
        <x:v>Mission Save SGNP</x:v>
      </x:c>
      <x:c r="C28" s="16" t="str">
        <x:v>Civil society / movement</x:v>
      </x:c>
      <x:c r="D28" s="16" t="str">
        <x:v>Maharashtra</x:v>
      </x:c>
      <x:c r="E28" s="16" t="str">
        <x:v>https://www.change.org/p/save-sgnp-manpada-thane</x:v>
      </x:c>
      <x:c r="F28" s="16"/>
      <x:c r="G28" s="16" t="str">
        <x:v>Citizen environmental campaign; confirm any formal legal entity before describing it as an organisation.</x:v>
      </x:c>
    </x:row>
    <x:row r="29">
      <x:c r="A29" s="16" t="str">
        <x:v>IO-ORG-0025</x:v>
      </x:c>
      <x:c r="B29" s="16" t="str">
        <x:v>Thane Municipal Corporation</x:v>
      </x:c>
      <x:c r="C29" s="16" t="str">
        <x:v>Other</x:v>
      </x:c>
      <x:c r="D29" s="16" t="str">
        <x:v>Maharashtra</x:v>
      </x:c>
      <x:c r="E29" s="16" t="str">
        <x:v>https://thanecity.gov.in/</x:v>
      </x:c>
      <x:c r="F29" s="16"/>
      <x:c r="G29" s="16" t="str">
        <x:v>Municipal authority associated with a disputed biodiversity-park proposal.</x:v>
      </x:c>
    </x:row>
    <x:row r="30">
      <x:c r="A30" s="16" t="str">
        <x:v>IO-ORG-0026</x:v>
      </x:c>
      <x:c r="B30" s="16" t="str">
        <x:v>Maharashtra Forest Department</x:v>
      </x:c>
      <x:c r="C30" s="16" t="str">
        <x:v>State government</x:v>
      </x:c>
      <x:c r="D30" s="16" t="str">
        <x:v>Maharashtra</x:v>
      </x:c>
      <x:c r="E30" s="16" t="str">
        <x:v>https://mahaforest.gov.in/</x:v>
      </x:c>
      <x:c r="F30" s="16"/>
      <x:c r="G30" s="16" t="str">
        <x:v>Relevant forest authority; no response has yet been added to the event record.</x:v>
      </x:c>
    </x:row>
    <x:row r="31">
      <x:c r="A31" s="16" t="str">
        <x:v>IO-ORG-0027</x:v>
      </x:c>
      <x:c r="B31" s="16" t="str">
        <x:v>Free Press Journal</x:v>
      </x:c>
      <x:c r="C31" s="16" t="str">
        <x:v>Media organisation</x:v>
      </x:c>
      <x:c r="D31" s="16" t="str">
        <x:v>India</x:v>
      </x:c>
      <x:c r="E31" s="16" t="str">
        <x:v>https://www.freepressjournal.in/</x:v>
      </x:c>
      <x:c r="F31" s="16"/>
      <x:c r="G31" s="16" t="str">
        <x:v>Independent source for the Save SGNP event, with a date inconsistency noted.</x:v>
      </x:c>
    </x:row>
    <x:row r="32">
      <x:c r="A32" s="16" t="str">
        <x:v>IO-ORG-0028</x:v>
      </x:c>
      <x:c r="B32" s="16" t="str">
        <x:v>ScienceKriti</x:v>
      </x:c>
      <x:c r="C32" s="16" t="str">
        <x:v>Media organisation</x:v>
      </x:c>
      <x:c r="D32" s="16" t="str">
        <x:v>India</x:v>
      </x:c>
      <x:c r="E32" s="16" t="str">
        <x:v>https://www.instagram.com/sciencekriti/</x:v>
      </x:c>
      <x:c r="F32" s="16"/>
      <x:c r="G32" s="16" t="str">
        <x:v>Social-media source carrying apparent field footage; account identity and footage date should be manually checked.</x:v>
      </x:c>
    </x:row>
    <x:row r="33">
      <x:c r="A33" s="16" t="str">
        <x:v>IO-ORG-0029</x:v>
      </x:c>
      <x:c r="B33" s="16" t="str">
        <x:v>Raithara Bhoohitha Rakshana Sangha</x:v>
      </x:c>
      <x:c r="C33" s="16" t="str">
        <x:v>Civil society / movement</x:v>
      </x:c>
      <x:c r="D33" s="16" t="str">
        <x:v>Karnataka</x:v>
      </x:c>
      <x:c r="E33" s="16"/>
      <x:c r="F33" s="16"/>
      <x:c r="G33" s="16" t="str">
        <x:v>Farmers' Land Protection Organisation named in The News Minute's ground reporting. Confirm registration status and authorised representatives before publishing an organisation profile.</x:v>
      </x:c>
    </x:row>
    <x:row r="34">
      <x:c r="A34" s="16" t="str">
        <x:v>IO-ORG-0030</x:v>
      </x:c>
      <x:c r="B34" s="16" t="str">
        <x:v>Greater Bengaluru Development Authority</x:v>
      </x:c>
      <x:c r="C34" s="16" t="str">
        <x:v>Project authority</x:v>
      </x:c>
      <x:c r="D34" s="16" t="str">
        <x:v>Karnataka</x:v>
      </x:c>
      <x:c r="E34" s="16"/>
      <x:c r="F34" s="16"/>
      <x:c r="G34" s="16" t="str">
        <x:v>Executing authority identified in media reports for the Greater Bengaluru Integrated Township. Add the official website and statutory documents when located.</x:v>
      </x:c>
    </x:row>
    <x:row r="35">
      <x:c r="A35" s="16" t="str">
        <x:v>IO-ORG-0031</x:v>
      </x:c>
      <x:c r="B35" s="16" t="str">
        <x:v>Bengaluru South District Administration</x:v>
      </x:c>
      <x:c r="C35" s="16" t="str">
        <x:v>District administration</x:v>
      </x:c>
      <x:c r="D35" s="16" t="str">
        <x:v>Karnataka</x:v>
      </x:c>
      <x:c r="E35" s="16"/>
      <x:c r="F35" s="16"/>
      <x:c r="G35" s="16" t="str">
        <x:v>Relevant district administration for the Bidadi acquisition area, formerly part of Ramanagara district.</x:v>
      </x:c>
    </x:row>
    <x:row r="36">
      <x:c r="A36" s="16" t="str">
        <x:v>IO-ORG-0032</x:v>
      </x:c>
      <x:c r="B36" s="16" t="str">
        <x:v>The News Minute</x:v>
      </x:c>
      <x:c r="C36" s="16" t="str">
        <x:v>Media organisation</x:v>
      </x:c>
      <x:c r="D36" s="16" t="str">
        <x:v>India</x:v>
      </x:c>
      <x:c r="E36" s="16" t="str">
        <x:v>https://www.thenewsminute.com/</x:v>
      </x:c>
      <x:c r="F36" s="16"/>
      <x:c r="G36" s="16" t="str">
        <x:v>Primary ground-reporting source for the Bidadi movement.</x:v>
      </x:c>
    </x:row>
    <x:row r="37">
      <x:c r="A37" s="16" t="str">
        <x:v>IO-ORG-0033</x:v>
      </x:c>
      <x:c r="B37" s="16" t="str">
        <x:v>India Today</x:v>
      </x:c>
      <x:c r="C37" s="16" t="str">
        <x:v>Media organisation</x:v>
      </x:c>
      <x:c r="D37" s="16" t="str">
        <x:v>India</x:v>
      </x:c>
      <x:c r="E37" s="16" t="str">
        <x:v>https://www.indiatoday.in/</x:v>
      </x:c>
      <x:c r="F37" s="16"/>
      <x:c r="G37" s="16" t="str">
        <x:v>Independent source for FIR allegations and the farmer response.</x:v>
      </x:c>
    </x:row>
    <x:row r="38">
      <x:c r="A38" s="16" t="str">
        <x:v>IO-ORG-0034</x:v>
      </x:c>
      <x:c r="B38" s="16" t="str">
        <x:v>The Economic Times</x:v>
      </x:c>
      <x:c r="C38" s="16" t="str">
        <x:v>Media organisation</x:v>
      </x:c>
      <x:c r="D38" s="16" t="str">
        <x:v>India</x:v>
      </x:c>
      <x:c r="E38" s="16" t="str">
        <x:v>https://economictimes.indiatimes.com/</x:v>
      </x:c>
      <x:c r="F38" s="16"/>
      <x:c r="G38" s="16" t="str">
        <x:v>Source for the reported government review-committee announcement.</x:v>
      </x:c>
    </x:row>
    <x:row r="39">
      <x:c r="A39" s="16" t="str">
        <x:v>IO-ORG-0035</x:v>
      </x:c>
      <x:c r="B39" s="16" t="str">
        <x:v>Affected farmers of Jetpar and adjoining areas</x:v>
      </x:c>
      <x:c r="C39" s="16" t="str">
        <x:v>Community group</x:v>
      </x:c>
      <x:c r="D39" s="16" t="str">
        <x:v>Gujarat</x:v>
      </x:c>
      <x:c r="E39" s="16"/>
      <x:c r="F39" s="16"/>
      <x:c r="G39" s="16" t="str">
        <x:v>Informal collective description for farmers affected by the transmission project; do not treat as a registered entity.</x:v>
      </x:c>
    </x:row>
    <x:row r="40">
      <x:c r="A40" s="16" t="str">
        <x:v>IO-ORG-0036</x:v>
      </x:c>
      <x:c r="B40" s="16" t="str">
        <x:v>Kisan Sangharsh Samiti — Morbi transmission protest</x:v>
      </x:c>
      <x:c r="C40" s="16" t="str">
        <x:v>Civil society / movement</x:v>
      </x:c>
      <x:c r="D40" s="16" t="str">
        <x:v>Gujarat</x:v>
      </x:c>
      <x:c r="E40" s="16"/>
      <x:c r="F40" s="16"/>
      <x:c r="G40" s="16" t="str">
        <x:v>Name used in reporting for the protest organisation; confirm formal structure and authorised representatives before publication.</x:v>
      </x:c>
    </x:row>
    <x:row r="41">
      <x:c r="A41" s="16" t="str">
        <x:v>IO-ORG-0037</x:v>
      </x:c>
      <x:c r="B41" s="16" t="str">
        <x:v>Gujarat Government</x:v>
      </x:c>
      <x:c r="C41" s="16" t="str">
        <x:v>State government</x:v>
      </x:c>
      <x:c r="D41" s="16" t="str">
        <x:v>Gujarat</x:v>
      </x:c>
      <x:c r="E41" s="16" t="str">
        <x:v>https://gujaratindia.gov.in/</x:v>
      </x:c>
      <x:c r="F41" s="16"/>
      <x:c r="G41" s="16" t="str">
        <x:v>Relevant authority for compensation policy and land valuation.</x:v>
      </x:c>
    </x:row>
    <x:row r="42">
      <x:c r="A42" s="16" t="str">
        <x:v>IO-ORG-0038</x:v>
      </x:c>
      <x:c r="B42" s="16" t="str">
        <x:v>Morbi District Administration</x:v>
      </x:c>
      <x:c r="C42" s="16" t="str">
        <x:v>District administration</x:v>
      </x:c>
      <x:c r="D42" s="16" t="str">
        <x:v>Gujarat</x:v>
      </x:c>
      <x:c r="E42" s="16" t="str">
        <x:v>https://morbi.nic.in/</x:v>
      </x:c>
      <x:c r="F42" s="16"/>
      <x:c r="G42" s="16" t="str">
        <x:v>Relevant district authority for the Jetpar-centred protest.</x:v>
      </x:c>
    </x:row>
    <x:row r="43">
      <x:c r="A43" s="16" t="str">
        <x:v>IO-ORG-0039</x:v>
      </x:c>
      <x:c r="B43" s="16" t="str">
        <x:v>Halvad Transmission Limited</x:v>
      </x:c>
      <x:c r="C43" s="16" t="str">
        <x:v>Project authority</x:v>
      </x:c>
      <x:c r="D43" s="16" t="str">
        <x:v>Gujarat</x:v>
      </x:c>
      <x:c r="E43" s="16"/>
      <x:c r="F43" s="16"/>
      <x:c r="G43" s="16" t="str">
        <x:v>Project implementing entity identified in media reporting; add official corporate and project records when located.</x:v>
      </x:c>
    </x:row>
    <x:row r="44">
      <x:c r="A44" s="16" t="str">
        <x:v>IO-ORG-0040</x:v>
      </x:c>
      <x:c r="B44" s="16" t="str">
        <x:v>Adani Energy Solutions Limited</x:v>
      </x:c>
      <x:c r="C44" s="16" t="str">
        <x:v>Other</x:v>
      </x:c>
      <x:c r="D44" s="16" t="str">
        <x:v>India</x:v>
      </x:c>
      <x:c r="E44" s="16" t="str">
        <x:v>https://www.adanienergysolutions.com/</x:v>
      </x:c>
      <x:c r="F44" s="16"/>
      <x:c r="G44" s="16" t="str">
        <x:v>Company associated with Halvad Transmission Limited in reviewed reporting.</x:v>
      </x:c>
    </x:row>
    <x:row r="45">
      <x:c r="A45" s="16" t="str">
        <x:v>IO-ORG-0041</x:v>
      </x:c>
      <x:c r="B45" s="16" t="str">
        <x:v>The Indian Express</x:v>
      </x:c>
      <x:c r="C45" s="16" t="str">
        <x:v>Media organisation</x:v>
      </x:c>
      <x:c r="D45" s="16" t="str">
        <x:v>India</x:v>
      </x:c>
      <x:c r="E45" s="16" t="str">
        <x:v>https://indianexpress.com/</x:v>
      </x:c>
      <x:c r="F45" s="16"/>
      <x:c r="G45" s="16" t="str">
        <x:v>Independent reporting source for the Morbi transmission protest and other civic events.</x:v>
      </x:c>
    </x:row>
    <x:row r="46">
      <x:c r="A46" s="16" t="str">
        <x:v>IO-ORG-0042</x:v>
      </x:c>
      <x:c r="B46" s="16" t="str">
        <x:v>The Wire</x:v>
      </x:c>
      <x:c r="C46" s="16" t="str">
        <x:v>Media organisation</x:v>
      </x:c>
      <x:c r="D46" s="16" t="str">
        <x:v>India</x:v>
      </x:c>
      <x:c r="E46" s="16" t="str">
        <x:v>https://thewire.in/</x:v>
      </x:c>
      <x:c r="F46" s="16"/>
      <x:c r="G46" s="16" t="str">
        <x:v>Independent source for the Morbi compensation movement.</x:v>
      </x:c>
    </x:row>
    <x:row r="47">
      <x:c r="A47" s="16" t="str">
        <x:v>IO-ORG-0043</x:v>
      </x:c>
      <x:c r="B47" s="16" t="str">
        <x:v>The Telegraph</x:v>
      </x:c>
      <x:c r="C47" s="16" t="str">
        <x:v>Media organisation</x:v>
      </x:c>
      <x:c r="D47" s="16" t="str">
        <x:v>India</x:v>
      </x:c>
      <x:c r="E47" s="16" t="str">
        <x:v>https://www.telegraphindia.com/</x:v>
      </x:c>
      <x:c r="F47" s="16"/>
      <x:c r="G47" s="16" t="str">
        <x:v>Independent source for Gujarat's revised compensation response.</x:v>
      </x:c>
    </x:row>
    <x:row r="48">
      <x:c r="A48" s="16" t="str">
        <x:v>IO-ORG-0044</x:v>
      </x:c>
      <x:c r="B48" s="16" t="str">
        <x:v>Residents and farmers of Dasiya and nearby villages</x:v>
      </x:c>
      <x:c r="C48" s="16" t="str">
        <x:v>Community group</x:v>
      </x:c>
      <x:c r="D48" s="16" t="str">
        <x:v>Uttar Pradesh</x:v>
      </x:c>
      <x:c r="E48" s="16"/>
      <x:c r="F48" s="16"/>
      <x:c r="G48" s="16" t="str">
        <x:v>Informal community description; ordinary participants should not be individually identified.</x:v>
      </x:c>
    </x:row>
    <x:row r="49">
      <x:c r="A49" s="16" t="str">
        <x:v>IO-ORG-0045</x:v>
      </x:c>
      <x:c r="B49" s="16" t="str">
        <x:v>Basti District Administration</x:v>
      </x:c>
      <x:c r="C49" s="16" t="str">
        <x:v>District administration</x:v>
      </x:c>
      <x:c r="D49" s="16" t="str">
        <x:v>Uttar Pradesh</x:v>
      </x:c>
      <x:c r="E49" s="16" t="str">
        <x:v>https://basti.nic.in/</x:v>
      </x:c>
      <x:c r="F49" s="16"/>
      <x:c r="G49" s="16" t="str">
        <x:v>Relevant district authority for the Dasiya industrial-project protest.</x:v>
      </x:c>
    </x:row>
    <x:row r="50">
      <x:c r="A50" s="16" t="str">
        <x:v>IO-ORG-0046</x:v>
      </x:c>
      <x:c r="B50" s="16" t="str">
        <x:v>Uttar Pradesh Pollution Control Board</x:v>
      </x:c>
      <x:c r="C50" s="16" t="str">
        <x:v>State government</x:v>
      </x:c>
      <x:c r="D50" s="16" t="str">
        <x:v>Uttar Pradesh</x:v>
      </x:c>
      <x:c r="E50" s="16" t="str">
        <x:v>https://www.uppcb.com/</x:v>
      </x:c>
      <x:c r="F50" s="16"/>
      <x:c r="G50" s="16" t="str">
        <x:v>Potentially relevant environmental regulator; the specific project's consent documents have not yet been added.</x:v>
      </x:c>
    </x:row>
    <x:row r="51">
      <x:c r="A51" s="16" t="str">
        <x:v>IO-ORG-0047</x:v>
      </x:c>
      <x:c r="B51" s="16" t="str">
        <x:v>Amar Ujala</x:v>
      </x:c>
      <x:c r="C51" s="16" t="str">
        <x:v>Media organisation</x:v>
      </x:c>
      <x:c r="D51" s="16" t="str">
        <x:v>India</x:v>
      </x:c>
      <x:c r="E51" s="16" t="str">
        <x:v>https://www.amarujala.com/</x:v>
      </x:c>
      <x:c r="F51" s="16"/>
      <x:c r="G51" s="16" t="str">
        <x:v>Local-language reporting source for the early Dasiya opposition.</x:v>
      </x:c>
    </x:row>
    <x:row r="52">
      <x:c r="A52" s="16" t="str">
        <x:v>IO-ORG-0048</x:v>
      </x:c>
      <x:c r="B52" s="16" t="str">
        <x:v>Navbharat Times</x:v>
      </x:c>
      <x:c r="C52" s="16" t="str">
        <x:v>Media organisation</x:v>
      </x:c>
      <x:c r="D52" s="16" t="str">
        <x:v>India</x:v>
      </x:c>
      <x:c r="E52" s="16" t="str">
        <x:v>https://navbharattimes.indiatimes.com/</x:v>
      </x:c>
      <x:c r="F52" s="16"/>
      <x:c r="G52" s="16" t="str">
        <x:v>Local-language source for the 14 July Dasiya demonstration.</x:v>
      </x:c>
    </x:row>
    <x:row r="53">
      <x:c r="A53" s="16" t="str">
        <x:v>IO-ORG-0049</x:v>
      </x:c>
      <x:c r="B53" s="16" t="str">
        <x:v>LiveTimes News Channel</x:v>
      </x:c>
      <x:c r="C53" s="16" t="str">
        <x:v>Media organisation</x:v>
      </x:c>
      <x:c r="D53" s="16" t="str">
        <x:v>India</x:v>
      </x:c>
      <x:c r="E53" s="16" t="str">
        <x:v>https://www.facebook.com/LiveTimesNewsChannel/</x:v>
      </x:c>
      <x:c r="F53" s="16"/>
      <x:c r="G53" s="16" t="str">
        <x:v>Field-video source used as corroborating visual material; account and capture metadata should be retained.</x:v>
      </x:c>
    </x:row>
    <x:row r="54">
      <x:c r="A54" s="16" t="str">
        <x:v>IO-ORG-0050</x:v>
      </x:c>
      <x:c r="B54" s="16" t="str">
        <x:v>Greater Malgaon Bodo residents</x:v>
      </x:c>
      <x:c r="C54" s="16" t="str">
        <x:v>Community group</x:v>
      </x:c>
      <x:c r="D54" s="16" t="str">
        <x:v>Assam</x:v>
      </x:c>
      <x:c r="E54" s="16"/>
      <x:c r="F54" s="16"/>
      <x:c r="G54" s="16" t="str">
        <x:v>Informal description of participating residents; do not use the record to stigmatise proposed resettlement beneficiaries.</x:v>
      </x:c>
    </x:row>
    <x:row r="55">
      <x:c r="A55" s="16" t="str">
        <x:v>IO-ORG-0051</x:v>
      </x:c>
      <x:c r="B55" s="16" t="str">
        <x:v>Assam Power Distribution Company Limited</x:v>
      </x:c>
      <x:c r="C55" s="16" t="str">
        <x:v>Project authority</x:v>
      </x:c>
      <x:c r="D55" s="16" t="str">
        <x:v>Assam</x:v>
      </x:c>
      <x:c r="E55" s="16" t="str">
        <x:v>https://www.apdcl.org/</x:v>
      </x:c>
      <x:c r="F55" s="16"/>
      <x:c r="G55" s="16" t="str">
        <x:v>Public utility named in the proposed land-allotment dispute.</x:v>
      </x:c>
    </x:row>
    <x:row r="56">
      <x:c r="A56" s="16" t="str">
        <x:v>IO-ORG-0052</x:v>
      </x:c>
      <x:c r="B56" s="16" t="str">
        <x:v>Assam Government</x:v>
      </x:c>
      <x:c r="C56" s="16" t="str">
        <x:v>State government</x:v>
      </x:c>
      <x:c r="D56" s="16" t="str">
        <x:v>Assam</x:v>
      </x:c>
      <x:c r="E56" s="16" t="str">
        <x:v>https://assam.gov.in/</x:v>
      </x:c>
      <x:c r="F56" s="16"/>
      <x:c r="G56" s="16" t="str">
        <x:v>Relevant state authority for land allocation and rehabilitation policy.</x:v>
      </x:c>
    </x:row>
    <x:row r="57">
      <x:c r="A57" s="16" t="str">
        <x:v>IO-ORG-0053</x:v>
      </x:c>
      <x:c r="B57" s="16" t="str">
        <x:v>Bodoland Territorial Council</x:v>
      </x:c>
      <x:c r="C57" s="16" t="str">
        <x:v>Other</x:v>
      </x:c>
      <x:c r="D57" s="16" t="str">
        <x:v>Assam</x:v>
      </x:c>
      <x:c r="E57" s="16" t="str">
        <x:v>https://bodoland.gov.in/</x:v>
      </x:c>
      <x:c r="F57" s="16"/>
      <x:c r="G57" s="16" t="str">
        <x:v>Relevant territorial authority for land and local administration in Kokrajhar.</x:v>
      </x:c>
    </x:row>
    <x:row r="58">
      <x:c r="A58" s="16" t="str">
        <x:v>IO-ORG-0054</x:v>
      </x:c>
      <x:c r="B58" s="16" t="str">
        <x:v>India Today North East</x:v>
      </x:c>
      <x:c r="C58" s="16" t="str">
        <x:v>Media organisation</x:v>
      </x:c>
      <x:c r="D58" s="16" t="str">
        <x:v>India</x:v>
      </x:c>
      <x:c r="E58" s="16" t="str">
        <x:v>https://www.indiatodayne.in/</x:v>
      </x:c>
      <x:c r="F58" s="16"/>
      <x:c r="G58" s="16" t="str">
        <x:v>Regional video-reporting source for the Malgaon protest.</x:v>
      </x:c>
    </x:row>
    <x:row r="59">
      <x:c r="A59" s="16" t="str">
        <x:v>IO-ORG-0055</x:v>
      </x:c>
      <x:c r="B59" s="16" t="str">
        <x:v>Kokrajhar News</x:v>
      </x:c>
      <x:c r="C59" s="16" t="str">
        <x:v>Media organisation</x:v>
      </x:c>
      <x:c r="D59" s="16" t="str">
        <x:v>Assam</x:v>
      </x:c>
      <x:c r="E59" s="16" t="str">
        <x:v>https://www.facebook.com/kokrajharnews/</x:v>
      </x:c>
      <x:c r="F59" s="16"/>
      <x:c r="G59" s="16" t="str">
        <x:v>Local community-news source that surfaced the Malgaon event.</x:v>
      </x:c>
    </x:row>
    <x:row r="60">
      <x:c r="A60" s="16" t="str">
        <x:v>IO-ORG-0056</x:v>
      </x:c>
      <x:c r="B60" s="16" t="str">
        <x:v>Northeast Publish</x:v>
      </x:c>
      <x:c r="C60" s="16" t="str">
        <x:v>Media organisation</x:v>
      </x:c>
      <x:c r="D60" s="16" t="str">
        <x:v>North East India</x:v>
      </x:c>
      <x:c r="E60" s="16" t="str">
        <x:v>https://www.facebook.com/northeastpublish/</x:v>
      </x:c>
      <x:c r="F60" s="16"/>
      <x:c r="G60" s="16" t="str">
        <x:v>Regional social-media source; underlying relationship to other local reporting remains unclear.</x:v>
      </x:c>
    </x:row>
    <x:row r="61">
      <x:c r="A61" s="16" t="str">
        <x:v>IO-ORG-0057</x:v>
      </x:c>
      <x:c r="B61" s="16" t="str">
        <x:v>Manipur Government Services Federation</x:v>
      </x:c>
      <x:c r="C61" s="16" t="str">
        <x:v>Civil society / movement</x:v>
      </x:c>
      <x:c r="D61" s="16" t="str">
        <x:v>Manipur</x:v>
      </x:c>
      <x:c r="E61" s="16"/>
      <x:c r="F61" s="16"/>
      <x:c r="G61" s="16" t="str">
        <x:v>Principal organising federation for the recorded July cease-work strike.</x:v>
      </x:c>
    </x:row>
    <x:row r="62">
      <x:c r="A62" s="16" t="str">
        <x:v>IO-ORG-0058</x:v>
      </x:c>
      <x:c r="B62" s="16" t="str">
        <x:v>Manipur State Pensioners' Union</x:v>
      </x:c>
      <x:c r="C62" s="16" t="str">
        <x:v>Civil society / movement</x:v>
      </x:c>
      <x:c r="D62" s="16" t="str">
        <x:v>Manipur</x:v>
      </x:c>
      <x:c r="E62" s="16"/>
      <x:c r="F62" s="16"/>
      <x:c r="G62" s="16" t="str">
        <x:v>Supporting organisation named in reporting; confirm its precise role in the strike before public profiling.</x:v>
      </x:c>
    </x:row>
    <x:row r="63">
      <x:c r="A63" s="16" t="str">
        <x:v>IO-ORG-0059</x:v>
      </x:c>
      <x:c r="B63" s="16" t="str">
        <x:v>Manipur Secretariat Services Association</x:v>
      </x:c>
      <x:c r="C63" s="16" t="str">
        <x:v>Civil society / movement</x:v>
      </x:c>
      <x:c r="D63" s="16" t="str">
        <x:v>Manipur</x:v>
      </x:c>
      <x:c r="E63" s="16"/>
      <x:c r="F63" s="16"/>
      <x:c r="G63" s="16" t="str">
        <x:v>Supporting organisation named in reporting.</x:v>
      </x:c>
    </x:row>
    <x:row r="64">
      <x:c r="A64" s="16" t="str">
        <x:v>IO-ORG-0060</x:v>
      </x:c>
      <x:c r="B64" s="16" t="str">
        <x:v>Manipur Government</x:v>
      </x:c>
      <x:c r="C64" s="16" t="str">
        <x:v>State government</x:v>
      </x:c>
      <x:c r="D64" s="16" t="str">
        <x:v>Manipur</x:v>
      </x:c>
      <x:c r="E64" s="16" t="str">
        <x:v>https://manipur.gov.in/</x:v>
      </x:c>
      <x:c r="F64" s="16"/>
      <x:c r="G64" s="16" t="str">
        <x:v>Relevant authority for service conditions and the five-day-work-week response.</x:v>
      </x:c>
    </x:row>
    <x:row r="65">
      <x:c r="A65" s="16" t="str">
        <x:v>IO-ORG-0061</x:v>
      </x:c>
      <x:c r="B65" s="16" t="str">
        <x:v>Northeast Now</x:v>
      </x:c>
      <x:c r="C65" s="16" t="str">
        <x:v>Media organisation</x:v>
      </x:c>
      <x:c r="D65" s="16" t="str">
        <x:v>North East India</x:v>
      </x:c>
      <x:c r="E65" s="16" t="str">
        <x:v>https://nenow.in/</x:v>
      </x:c>
      <x:c r="F65" s="16"/>
      <x:c r="G65" s="16" t="str">
        <x:v>Regional source for the government response and continuation of the strike.</x:v>
      </x:c>
    </x:row>
    <x:row r="66">
      <x:c r="A66" s="16" t="str">
        <x:v>IO-ORG-0062</x:v>
      </x:c>
      <x:c r="B66" s="16" t="str">
        <x:v>The Sangai Express</x:v>
      </x:c>
      <x:c r="C66" s="16" t="str">
        <x:v>Media organisation</x:v>
      </x:c>
      <x:c r="D66" s="16" t="str">
        <x:v>Manipur</x:v>
      </x:c>
      <x:c r="E66" s="16" t="str">
        <x:v>https://www.thesangaiexpress.com/</x:v>
      </x:c>
      <x:c r="F66" s="16"/>
      <x:c r="G66" s="16" t="str">
        <x:v>Local source for strike launch, demand charter and follow-up.</x:v>
      </x:c>
    </x:row>
    <x:row r="67">
      <x:c r="A67" s="16" t="str">
        <x:v>IO-ORG-0063</x:v>
      </x:c>
      <x:c r="B67" s="16" t="str">
        <x:v>Students and guardians of Dharmasala Baneepeetha High School</x:v>
      </x:c>
      <x:c r="C67" s="16" t="str">
        <x:v>Community group</x:v>
      </x:c>
      <x:c r="D67" s="16" t="str">
        <x:v>Odisha</x:v>
      </x:c>
      <x:c r="E67" s="16"/>
      <x:c r="F67" s="16"/>
      <x:c r="G67" s="16" t="str">
        <x:v>Informal school-community description; do not publish student names or images without a clear public-interest and safety basis.</x:v>
      </x:c>
    </x:row>
    <x:row r="68">
      <x:c r="A68" s="16" t="str">
        <x:v>IO-ORG-0064</x:v>
      </x:c>
      <x:c r="B68" s="16" t="str">
        <x:v>Dharmasala Baneepeetha High School</x:v>
      </x:c>
      <x:c r="C68" s="16" t="str">
        <x:v>Other</x:v>
      </x:c>
      <x:c r="D68" s="16" t="str">
        <x:v>Odisha</x:v>
      </x:c>
      <x:c r="E68" s="16"/>
      <x:c r="F68" s="16"/>
      <x:c r="G68" s="16" t="str">
        <x:v>Government school at the centre of the teacher-vacancy protest.</x:v>
      </x:c>
    </x:row>
    <x:row r="69">
      <x:c r="A69" s="16" t="str">
        <x:v>IO-ORG-0065</x:v>
      </x:c>
      <x:c r="B69" s="16" t="str">
        <x:v>Jajpur District Education Office</x:v>
      </x:c>
      <x:c r="C69" s="16" t="str">
        <x:v>District administration</x:v>
      </x:c>
      <x:c r="D69" s="16" t="str">
        <x:v>Odisha</x:v>
      </x:c>
      <x:c r="E69" s="16" t="str">
        <x:v>https://jajpur.odisha.gov.in/</x:v>
      </x:c>
      <x:c r="F69" s="16"/>
      <x:c r="G69" s="16" t="str">
        <x:v>District authority that reportedly deputed teachers in response.</x:v>
      </x:c>
    </x:row>
    <x:row r="70">
      <x:c r="A70" s="16" t="str">
        <x:v>IO-ORG-0066</x:v>
      </x:c>
      <x:c r="B70" s="16" t="str">
        <x:v>Odisha School and Mass Education Department</x:v>
      </x:c>
      <x:c r="C70" s="16" t="str">
        <x:v>State government</x:v>
      </x:c>
      <x:c r="D70" s="16" t="str">
        <x:v>Odisha</x:v>
      </x:c>
      <x:c r="E70" s="16" t="str">
        <x:v>https://sme.odisha.gov.in/</x:v>
      </x:c>
      <x:c r="F70" s="16"/>
      <x:c r="G70" s="16" t="str">
        <x:v>Relevant state authority for sanctioned posts and school staffing.</x:v>
      </x:c>
    </x:row>
    <x:row r="71">
      <x:c r="A71" s="16"/>
      <x:c r="B71" s="16"/>
      <x:c r="C71" s="16"/>
      <x:c r="D71" s="16"/>
      <x:c r="E71" s="16"/>
      <x:c r="F71" s="16"/>
      <x:c r="G71" s="16"/>
    </x:row>
    <x:row r="72">
      <x:c r="A72" s="16"/>
      <x:c r="B72" s="16"/>
      <x:c r="C72" s="16"/>
      <x:c r="D72" s="16"/>
      <x:c r="E72" s="16"/>
      <x:c r="F72" s="16"/>
      <x:c r="G72" s="16"/>
    </x:row>
    <x:row r="73">
      <x:c r="A73" s="16"/>
      <x:c r="B73" s="16"/>
      <x:c r="C73" s="16"/>
      <x:c r="D73" s="16"/>
      <x:c r="E73" s="16"/>
      <x:c r="F73" s="16"/>
      <x:c r="G73" s="16"/>
    </x:row>
    <x:row r="74">
      <x:c r="A74" s="16"/>
      <x:c r="B74" s="16"/>
      <x:c r="C74" s="16"/>
      <x:c r="D74" s="16"/>
      <x:c r="E74" s="16"/>
      <x:c r="F74" s="16"/>
      <x:c r="G74" s="16"/>
    </x:row>
    <x:row r="75">
      <x:c r="A75" s="16"/>
      <x:c r="B75" s="16"/>
      <x:c r="C75" s="16"/>
      <x:c r="D75" s="16"/>
      <x:c r="E75" s="16"/>
      <x:c r="F75" s="16"/>
      <x:c r="G75" s="16"/>
    </x:row>
    <x:row r="76">
      <x:c r="A76" s="16"/>
      <x:c r="B76" s="16"/>
      <x:c r="C76" s="16"/>
      <x:c r="D76" s="16"/>
      <x:c r="E76" s="16"/>
      <x:c r="F76" s="16"/>
      <x:c r="G76" s="16"/>
    </x:row>
    <x:row r="77">
      <x:c r="A77" s="16"/>
      <x:c r="B77" s="16"/>
      <x:c r="C77" s="16"/>
      <x:c r="D77" s="16"/>
      <x:c r="E77" s="16"/>
      <x:c r="F77" s="16"/>
      <x:c r="G77" s="16"/>
    </x:row>
    <x:row r="78">
      <x:c r="A78" s="16"/>
      <x:c r="B78" s="16"/>
      <x:c r="C78" s="16"/>
      <x:c r="D78" s="16"/>
      <x:c r="E78" s="16"/>
      <x:c r="F78" s="16"/>
      <x:c r="G78" s="16"/>
    </x:row>
    <x:row r="79">
      <x:c r="A79" s="16"/>
      <x:c r="B79" s="16"/>
      <x:c r="C79" s="16"/>
      <x:c r="D79" s="16"/>
      <x:c r="E79" s="16"/>
      <x:c r="F79" s="16"/>
      <x:c r="G79" s="16"/>
    </x:row>
    <x:row r="80">
      <x:c r="A80" s="16"/>
      <x:c r="B80" s="16"/>
      <x:c r="C80" s="16"/>
      <x:c r="D80" s="16"/>
      <x:c r="E80" s="16"/>
      <x:c r="F80" s="16"/>
      <x:c r="G80" s="16"/>
    </x:row>
    <x:row r="81">
      <x:c r="A81" s="16"/>
      <x:c r="B81" s="16"/>
      <x:c r="C81" s="16"/>
      <x:c r="D81" s="16"/>
      <x:c r="E81" s="16"/>
      <x:c r="F81" s="16"/>
      <x:c r="G81" s="16"/>
    </x:row>
    <x:row r="82">
      <x:c r="A82" s="16"/>
      <x:c r="B82" s="16"/>
      <x:c r="C82" s="16"/>
      <x:c r="D82" s="16"/>
      <x:c r="E82" s="16"/>
      <x:c r="F82" s="16"/>
      <x:c r="G82" s="16"/>
    </x:row>
    <x:row r="83">
      <x:c r="A83" s="16"/>
      <x:c r="B83" s="16"/>
      <x:c r="C83" s="16"/>
      <x:c r="D83" s="16"/>
      <x:c r="E83" s="16"/>
      <x:c r="F83" s="16"/>
      <x:c r="G83" s="16"/>
    </x:row>
    <x:row r="84">
      <x:c r="A84" s="16"/>
      <x:c r="B84" s="16"/>
      <x:c r="C84" s="16"/>
      <x:c r="D84" s="16"/>
      <x:c r="E84" s="16"/>
      <x:c r="F84" s="16"/>
      <x:c r="G84" s="16"/>
    </x:row>
    <x:row r="85">
      <x:c r="A85" s="16"/>
      <x:c r="B85" s="16"/>
      <x:c r="C85" s="16"/>
      <x:c r="D85" s="16"/>
      <x:c r="E85" s="16"/>
      <x:c r="F85" s="16"/>
      <x:c r="G85" s="16"/>
    </x:row>
    <x:row r="86">
      <x:c r="A86" s="16"/>
      <x:c r="B86" s="16"/>
      <x:c r="C86" s="16"/>
      <x:c r="D86" s="16"/>
      <x:c r="E86" s="16"/>
      <x:c r="F86" s="16"/>
      <x:c r="G86" s="16"/>
    </x:row>
    <x:row r="87">
      <x:c r="A87" s="16"/>
      <x:c r="B87" s="16"/>
      <x:c r="C87" s="16"/>
      <x:c r="D87" s="16"/>
      <x:c r="E87" s="16"/>
      <x:c r="F87" s="16"/>
      <x:c r="G87" s="16"/>
    </x:row>
    <x:row r="88">
      <x:c r="A88" s="16"/>
      <x:c r="B88" s="16"/>
      <x:c r="C88" s="16"/>
      <x:c r="D88" s="16"/>
      <x:c r="E88" s="16"/>
      <x:c r="F88" s="16"/>
      <x:c r="G88" s="16"/>
    </x:row>
    <x:row r="89">
      <x:c r="A89" s="16"/>
      <x:c r="B89" s="16"/>
      <x:c r="C89" s="16"/>
      <x:c r="D89" s="16"/>
      <x:c r="E89" s="16"/>
      <x:c r="F89" s="16"/>
      <x:c r="G89" s="16"/>
    </x:row>
    <x:row r="90">
      <x:c r="A90" s="16"/>
      <x:c r="B90" s="16"/>
      <x:c r="C90" s="16"/>
      <x:c r="D90" s="16"/>
      <x:c r="E90" s="16"/>
      <x:c r="F90" s="16"/>
      <x:c r="G90" s="16"/>
    </x:row>
    <x:row r="91">
      <x:c r="A91" s="16"/>
      <x:c r="B91" s="16"/>
      <x:c r="C91" s="16"/>
      <x:c r="D91" s="16"/>
      <x:c r="E91" s="16"/>
      <x:c r="F91" s="16"/>
      <x:c r="G91" s="16"/>
    </x:row>
    <x:row r="92">
      <x:c r="A92" s="16"/>
      <x:c r="B92" s="16"/>
      <x:c r="C92" s="16"/>
      <x:c r="D92" s="16"/>
      <x:c r="E92" s="16"/>
      <x:c r="F92" s="16"/>
      <x:c r="G92" s="16"/>
    </x:row>
    <x:row r="93">
      <x:c r="A93" s="16"/>
      <x:c r="B93" s="16"/>
      <x:c r="C93" s="16"/>
      <x:c r="D93" s="16"/>
      <x:c r="E93" s="16"/>
      <x:c r="F93" s="16"/>
      <x:c r="G93" s="16"/>
    </x:row>
    <x:row r="94">
      <x:c r="A94" s="16"/>
      <x:c r="B94" s="16"/>
      <x:c r="C94" s="16"/>
      <x:c r="D94" s="16"/>
      <x:c r="E94" s="16"/>
      <x:c r="F94" s="16"/>
      <x:c r="G94" s="16"/>
    </x:row>
    <x:row r="95">
      <x:c r="A95" s="16"/>
      <x:c r="B95" s="16"/>
      <x:c r="C95" s="16"/>
      <x:c r="D95" s="16"/>
      <x:c r="E95" s="16"/>
      <x:c r="F95" s="16"/>
      <x:c r="G95" s="16"/>
    </x:row>
    <x:row r="96">
      <x:c r="A96" s="16"/>
      <x:c r="B96" s="16"/>
      <x:c r="C96" s="16"/>
      <x:c r="D96" s="16"/>
      <x:c r="E96" s="16"/>
      <x:c r="F96" s="16"/>
      <x:c r="G96" s="16"/>
    </x:row>
    <x:row r="97">
      <x:c r="A97" s="16"/>
      <x:c r="B97" s="16"/>
      <x:c r="C97" s="16"/>
      <x:c r="D97" s="16"/>
      <x:c r="E97" s="16"/>
      <x:c r="F97" s="16"/>
      <x:c r="G97" s="16"/>
    </x:row>
    <x:row r="98">
      <x:c r="A98" s="16"/>
      <x:c r="B98" s="16"/>
      <x:c r="C98" s="16"/>
      <x:c r="D98" s="16"/>
      <x:c r="E98" s="16"/>
      <x:c r="F98" s="16"/>
      <x:c r="G98" s="16"/>
    </x:row>
    <x:row r="99">
      <x:c r="A99" s="16"/>
      <x:c r="B99" s="16"/>
      <x:c r="C99" s="16"/>
      <x:c r="D99" s="16"/>
      <x:c r="E99" s="16"/>
      <x:c r="F99" s="16"/>
      <x:c r="G99" s="16"/>
    </x:row>
    <x:row r="100">
      <x:c r="A100" s="16"/>
      <x:c r="B100" s="16"/>
      <x:c r="C100" s="16"/>
      <x:c r="D100" s="16"/>
      <x:c r="E100" s="16"/>
      <x:c r="F100" s="16"/>
      <x:c r="G100" s="16"/>
    </x:row>
    <x:row r="101">
      <x:c r="A101" s="16"/>
      <x:c r="B101" s="16"/>
      <x:c r="C101" s="16"/>
      <x:c r="D101" s="16"/>
      <x:c r="E101" s="16"/>
      <x:c r="F101" s="16"/>
      <x:c r="G101" s="16"/>
    </x:row>
    <x:row r="102">
      <x:c r="A102" s="16"/>
      <x:c r="B102" s="16"/>
      <x:c r="C102" s="16"/>
      <x:c r="D102" s="16"/>
      <x:c r="E102" s="16"/>
      <x:c r="F102" s="16"/>
      <x:c r="G102" s="16"/>
    </x:row>
    <x:row r="103">
      <x:c r="A103" s="16"/>
      <x:c r="B103" s="16"/>
      <x:c r="C103" s="16"/>
      <x:c r="D103" s="16"/>
      <x:c r="E103" s="16"/>
      <x:c r="F103" s="16"/>
      <x:c r="G103" s="16"/>
    </x:row>
    <x:row r="104">
      <x:c r="A104" s="16"/>
      <x:c r="B104" s="16"/>
      <x:c r="C104" s="16"/>
      <x:c r="D104" s="16"/>
      <x:c r="E104" s="16"/>
      <x:c r="F104" s="16"/>
      <x:c r="G104" s="16"/>
    </x:row>
    <x:row r="105">
      <x:c r="A105" s="16"/>
      <x:c r="B105" s="16"/>
      <x:c r="C105" s="16"/>
      <x:c r="D105" s="16"/>
      <x:c r="E105" s="16"/>
      <x:c r="F105" s="16"/>
      <x:c r="G105" s="16"/>
    </x:row>
    <x:row r="106">
      <x:c r="A106" s="16"/>
      <x:c r="B106" s="16"/>
      <x:c r="C106" s="16"/>
      <x:c r="D106" s="16"/>
      <x:c r="E106" s="16"/>
      <x:c r="F106" s="16"/>
      <x:c r="G106" s="16"/>
    </x:row>
    <x:row r="107">
      <x:c r="A107" s="16"/>
      <x:c r="B107" s="16"/>
      <x:c r="C107" s="16"/>
      <x:c r="D107" s="16"/>
      <x:c r="E107" s="16"/>
      <x:c r="F107" s="16"/>
      <x:c r="G107" s="16"/>
    </x:row>
    <x:row r="108">
      <x:c r="A108" s="16"/>
      <x:c r="B108" s="16"/>
      <x:c r="C108" s="16"/>
      <x:c r="D108" s="16"/>
      <x:c r="E108" s="16"/>
      <x:c r="F108" s="16"/>
      <x:c r="G108" s="16"/>
    </x:row>
    <x:row r="109">
      <x:c r="A109" s="16"/>
      <x:c r="B109" s="16"/>
      <x:c r="C109" s="16"/>
      <x:c r="D109" s="16"/>
      <x:c r="E109" s="16"/>
      <x:c r="F109" s="16"/>
      <x:c r="G109" s="16"/>
    </x:row>
    <x:row r="110">
      <x:c r="A110" s="16"/>
      <x:c r="B110" s="16"/>
      <x:c r="C110" s="16"/>
      <x:c r="D110" s="16"/>
      <x:c r="E110" s="16"/>
      <x:c r="F110" s="16"/>
      <x:c r="G110" s="16"/>
    </x:row>
    <x:row r="111">
      <x:c r="A111" s="16"/>
      <x:c r="B111" s="16"/>
      <x:c r="C111" s="16"/>
      <x:c r="D111" s="16"/>
      <x:c r="E111" s="16"/>
      <x:c r="F111" s="16"/>
      <x:c r="G111" s="16"/>
    </x:row>
    <x:row r="112">
      <x:c r="A112" s="16"/>
      <x:c r="B112" s="16"/>
      <x:c r="C112" s="16"/>
      <x:c r="D112" s="16"/>
      <x:c r="E112" s="16"/>
      <x:c r="F112" s="16"/>
      <x:c r="G112" s="16"/>
    </x:row>
    <x:row r="113">
      <x:c r="A113" s="16"/>
      <x:c r="B113" s="16"/>
      <x:c r="C113" s="16"/>
      <x:c r="D113" s="16"/>
      <x:c r="E113" s="16"/>
      <x:c r="F113" s="16"/>
      <x:c r="G113" s="16"/>
    </x:row>
    <x:row r="114">
      <x:c r="A114" s="16"/>
      <x:c r="B114" s="16"/>
      <x:c r="C114" s="16"/>
      <x:c r="D114" s="16"/>
      <x:c r="E114" s="16"/>
      <x:c r="F114" s="16"/>
      <x:c r="G114" s="16"/>
    </x:row>
    <x:row r="115">
      <x:c r="A115" s="16"/>
      <x:c r="B115" s="16"/>
      <x:c r="C115" s="16"/>
      <x:c r="D115" s="16"/>
      <x:c r="E115" s="16"/>
      <x:c r="F115" s="16"/>
      <x:c r="G115" s="16"/>
    </x:row>
    <x:row r="116">
      <x:c r="A116" s="16"/>
      <x:c r="B116" s="16"/>
      <x:c r="C116" s="16"/>
      <x:c r="D116" s="16"/>
      <x:c r="E116" s="16"/>
      <x:c r="F116" s="16"/>
      <x:c r="G116" s="16"/>
    </x:row>
    <x:row r="117">
      <x:c r="A117" s="16"/>
      <x:c r="B117" s="16"/>
      <x:c r="C117" s="16"/>
      <x:c r="D117" s="16"/>
      <x:c r="E117" s="16"/>
      <x:c r="F117" s="16"/>
      <x:c r="G117" s="16"/>
    </x:row>
    <x:row r="118">
      <x:c r="A118" s="16"/>
      <x:c r="B118" s="16"/>
      <x:c r="C118" s="16"/>
      <x:c r="D118" s="16"/>
      <x:c r="E118" s="16"/>
      <x:c r="F118" s="16"/>
      <x:c r="G118" s="16"/>
    </x:row>
    <x:row r="119">
      <x:c r="A119" s="16"/>
      <x:c r="B119" s="16"/>
      <x:c r="C119" s="16"/>
      <x:c r="D119" s="16"/>
      <x:c r="E119" s="16"/>
      <x:c r="F119" s="16"/>
      <x:c r="G119" s="16"/>
    </x:row>
    <x:row r="120">
      <x:c r="A120" s="16"/>
      <x:c r="B120" s="16"/>
      <x:c r="C120" s="16"/>
      <x:c r="D120" s="16"/>
      <x:c r="E120" s="16"/>
      <x:c r="F120" s="16"/>
      <x:c r="G120" s="16"/>
    </x:row>
    <x:row r="121">
      <x:c r="A121" s="16"/>
      <x:c r="B121" s="16"/>
      <x:c r="C121" s="16"/>
      <x:c r="D121" s="16"/>
      <x:c r="E121" s="16"/>
      <x:c r="F121" s="16"/>
      <x:c r="G121" s="16"/>
    </x:row>
    <x:row r="122">
      <x:c r="A122" s="16"/>
      <x:c r="B122" s="16"/>
      <x:c r="C122" s="16"/>
      <x:c r="D122" s="16"/>
      <x:c r="E122" s="16"/>
      <x:c r="F122" s="16"/>
      <x:c r="G122" s="16"/>
    </x:row>
    <x:row r="123">
      <x:c r="A123" s="16"/>
      <x:c r="B123" s="16"/>
      <x:c r="C123" s="16"/>
      <x:c r="D123" s="16"/>
      <x:c r="E123" s="16"/>
      <x:c r="F123" s="16"/>
      <x:c r="G123" s="16"/>
    </x:row>
    <x:row r="124">
      <x:c r="A124" s="16"/>
      <x:c r="B124" s="16"/>
      <x:c r="C124" s="16"/>
      <x:c r="D124" s="16"/>
      <x:c r="E124" s="16"/>
      <x:c r="F124" s="16"/>
      <x:c r="G124" s="16"/>
    </x:row>
    <x:row r="125">
      <x:c r="A125" s="16"/>
      <x:c r="B125" s="16"/>
      <x:c r="C125" s="16"/>
      <x:c r="D125" s="16"/>
      <x:c r="E125" s="16"/>
      <x:c r="F125" s="16"/>
      <x:c r="G125" s="16"/>
    </x:row>
    <x:row r="126">
      <x:c r="A126" s="16"/>
      <x:c r="B126" s="16"/>
      <x:c r="C126" s="16"/>
      <x:c r="D126" s="16"/>
      <x:c r="E126" s="16"/>
      <x:c r="F126" s="16"/>
      <x:c r="G126" s="16"/>
    </x:row>
    <x:row r="127">
      <x:c r="A127" s="16"/>
      <x:c r="B127" s="16"/>
      <x:c r="C127" s="16"/>
      <x:c r="D127" s="16"/>
      <x:c r="E127" s="16"/>
      <x:c r="F127" s="16"/>
      <x:c r="G127" s="16"/>
    </x:row>
    <x:row r="128">
      <x:c r="A128" s="16"/>
      <x:c r="B128" s="16"/>
      <x:c r="C128" s="16"/>
      <x:c r="D128" s="16"/>
      <x:c r="E128" s="16"/>
      <x:c r="F128" s="16"/>
      <x:c r="G128" s="16"/>
    </x:row>
    <x:row r="129">
      <x:c r="A129" s="16"/>
      <x:c r="B129" s="16"/>
      <x:c r="C129" s="16"/>
      <x:c r="D129" s="16"/>
      <x:c r="E129" s="16"/>
      <x:c r="F129" s="16"/>
      <x:c r="G129" s="16"/>
    </x:row>
    <x:row r="130">
      <x:c r="A130" s="16"/>
      <x:c r="B130" s="16"/>
      <x:c r="C130" s="16"/>
      <x:c r="D130" s="16"/>
      <x:c r="E130" s="16"/>
      <x:c r="F130" s="16"/>
      <x:c r="G130" s="16"/>
    </x:row>
    <x:row r="131">
      <x:c r="A131" s="16"/>
      <x:c r="B131" s="16"/>
      <x:c r="C131" s="16"/>
      <x:c r="D131" s="16"/>
      <x:c r="E131" s="16"/>
      <x:c r="F131" s="16"/>
      <x:c r="G131" s="16"/>
    </x:row>
    <x:row r="132">
      <x:c r="A132" s="16"/>
      <x:c r="B132" s="16"/>
      <x:c r="C132" s="16"/>
      <x:c r="D132" s="16"/>
      <x:c r="E132" s="16"/>
      <x:c r="F132" s="16"/>
      <x:c r="G132" s="16"/>
    </x:row>
    <x:row r="133">
      <x:c r="A133" s="16"/>
      <x:c r="B133" s="16"/>
      <x:c r="C133" s="16"/>
      <x:c r="D133" s="16"/>
      <x:c r="E133" s="16"/>
      <x:c r="F133" s="16"/>
      <x:c r="G133" s="16"/>
    </x:row>
    <x:row r="134">
      <x:c r="A134" s="16"/>
      <x:c r="B134" s="16"/>
      <x:c r="C134" s="16"/>
      <x:c r="D134" s="16"/>
      <x:c r="E134" s="16"/>
      <x:c r="F134" s="16"/>
      <x:c r="G134" s="16"/>
    </x:row>
    <x:row r="135">
      <x:c r="A135" s="16"/>
      <x:c r="B135" s="16"/>
      <x:c r="C135" s="16"/>
      <x:c r="D135" s="16"/>
      <x:c r="E135" s="16"/>
      <x:c r="F135" s="16"/>
      <x:c r="G135" s="16"/>
    </x:row>
    <x:row r="136">
      <x:c r="A136" s="16"/>
      <x:c r="B136" s="16"/>
      <x:c r="C136" s="16"/>
      <x:c r="D136" s="16"/>
      <x:c r="E136" s="16"/>
      <x:c r="F136" s="16"/>
      <x:c r="G136" s="16"/>
    </x:row>
    <x:row r="137">
      <x:c r="A137" s="16"/>
      <x:c r="B137" s="16"/>
      <x:c r="C137" s="16"/>
      <x:c r="D137" s="16"/>
      <x:c r="E137" s="16"/>
      <x:c r="F137" s="16"/>
      <x:c r="G137" s="16"/>
    </x:row>
    <x:row r="138">
      <x:c r="A138" s="16"/>
      <x:c r="B138" s="16"/>
      <x:c r="C138" s="16"/>
      <x:c r="D138" s="16"/>
      <x:c r="E138" s="16"/>
      <x:c r="F138" s="16"/>
      <x:c r="G138" s="16"/>
    </x:row>
    <x:row r="139">
      <x:c r="A139" s="16"/>
      <x:c r="B139" s="16"/>
      <x:c r="C139" s="16"/>
      <x:c r="D139" s="16"/>
      <x:c r="E139" s="16"/>
      <x:c r="F139" s="16"/>
      <x:c r="G139" s="16"/>
    </x:row>
    <x:row r="140">
      <x:c r="A140" s="16"/>
      <x:c r="B140" s="16"/>
      <x:c r="C140" s="16"/>
      <x:c r="D140" s="16"/>
      <x:c r="E140" s="16"/>
      <x:c r="F140" s="16"/>
      <x:c r="G140" s="16"/>
    </x:row>
    <x:row r="141">
      <x:c r="A141" s="16"/>
      <x:c r="B141" s="16"/>
      <x:c r="C141" s="16"/>
      <x:c r="D141" s="16"/>
      <x:c r="E141" s="16"/>
      <x:c r="F141" s="16"/>
      <x:c r="G141" s="16"/>
    </x:row>
    <x:row r="142">
      <x:c r="A142" s="16"/>
      <x:c r="B142" s="16"/>
      <x:c r="C142" s="16"/>
      <x:c r="D142" s="16"/>
      <x:c r="E142" s="16"/>
      <x:c r="F142" s="16"/>
      <x:c r="G142" s="16"/>
    </x:row>
    <x:row r="143">
      <x:c r="A143" s="16"/>
      <x:c r="B143" s="16"/>
      <x:c r="C143" s="16"/>
      <x:c r="D143" s="16"/>
      <x:c r="E143" s="16"/>
      <x:c r="F143" s="16"/>
      <x:c r="G143" s="16"/>
    </x:row>
    <x:row r="144">
      <x:c r="A144" s="16"/>
      <x:c r="B144" s="16"/>
      <x:c r="C144" s="16"/>
      <x:c r="D144" s="16"/>
      <x:c r="E144" s="16"/>
      <x:c r="F144" s="16"/>
      <x:c r="G144" s="16"/>
    </x:row>
    <x:row r="145">
      <x:c r="A145" s="16"/>
      <x:c r="B145" s="16"/>
      <x:c r="C145" s="16"/>
      <x:c r="D145" s="16"/>
      <x:c r="E145" s="16"/>
      <x:c r="F145" s="16"/>
      <x:c r="G145" s="16"/>
    </x:row>
    <x:row r="146">
      <x:c r="A146" s="16"/>
      <x:c r="B146" s="16"/>
      <x:c r="C146" s="16"/>
      <x:c r="D146" s="16"/>
      <x:c r="E146" s="16"/>
      <x:c r="F146" s="16"/>
      <x:c r="G146" s="16"/>
    </x:row>
    <x:row r="147">
      <x:c r="A147" s="16"/>
      <x:c r="B147" s="16"/>
      <x:c r="C147" s="16"/>
      <x:c r="D147" s="16"/>
      <x:c r="E147" s="16"/>
      <x:c r="F147" s="16"/>
      <x:c r="G147" s="16"/>
    </x:row>
    <x:row r="148">
      <x:c r="A148" s="16"/>
      <x:c r="B148" s="16"/>
      <x:c r="C148" s="16"/>
      <x:c r="D148" s="16"/>
      <x:c r="E148" s="16"/>
      <x:c r="F148" s="16"/>
      <x:c r="G148" s="16"/>
    </x:row>
    <x:row r="149">
      <x:c r="A149" s="16"/>
      <x:c r="B149" s="16"/>
      <x:c r="C149" s="16"/>
      <x:c r="D149" s="16"/>
      <x:c r="E149" s="16"/>
      <x:c r="F149" s="16"/>
      <x:c r="G149" s="16"/>
    </x:row>
    <x:row r="150">
      <x:c r="A150" s="16"/>
      <x:c r="B150" s="16"/>
      <x:c r="C150" s="16"/>
      <x:c r="D150" s="16"/>
      <x:c r="E150" s="16"/>
      <x:c r="F150" s="16"/>
      <x:c r="G150" s="16"/>
    </x:row>
    <x:row r="151">
      <x:c r="A151" s="16"/>
      <x:c r="B151" s="16"/>
      <x:c r="C151" s="16"/>
      <x:c r="D151" s="16"/>
      <x:c r="E151" s="16"/>
      <x:c r="F151" s="16"/>
      <x:c r="G151" s="16"/>
    </x:row>
    <x:row r="152">
      <x:c r="A152" s="16"/>
      <x:c r="B152" s="16"/>
      <x:c r="C152" s="16"/>
      <x:c r="D152" s="16"/>
      <x:c r="E152" s="16"/>
      <x:c r="F152" s="16"/>
      <x:c r="G152" s="16"/>
    </x:row>
    <x:row r="153">
      <x:c r="A153" s="16"/>
      <x:c r="B153" s="16"/>
      <x:c r="C153" s="16"/>
      <x:c r="D153" s="16"/>
      <x:c r="E153" s="16"/>
      <x:c r="F153" s="16"/>
      <x:c r="G153" s="16"/>
    </x:row>
    <x:row r="154">
      <x:c r="A154" s="16"/>
      <x:c r="B154" s="16"/>
      <x:c r="C154" s="16"/>
      <x:c r="D154" s="16"/>
      <x:c r="E154" s="16"/>
      <x:c r="F154" s="16"/>
      <x:c r="G154" s="16"/>
    </x:row>
    <x:row r="155">
      <x:c r="A155" s="16"/>
      <x:c r="B155" s="16"/>
      <x:c r="C155" s="16"/>
      <x:c r="D155" s="16"/>
      <x:c r="E155" s="16"/>
      <x:c r="F155" s="16"/>
      <x:c r="G155" s="16"/>
    </x:row>
    <x:row r="156">
      <x:c r="A156" s="16"/>
      <x:c r="B156" s="16"/>
      <x:c r="C156" s="16"/>
      <x:c r="D156" s="16"/>
      <x:c r="E156" s="16"/>
      <x:c r="F156" s="16"/>
      <x:c r="G156" s="16"/>
    </x:row>
    <x:row r="157">
      <x:c r="A157" s="16"/>
      <x:c r="B157" s="16"/>
      <x:c r="C157" s="16"/>
      <x:c r="D157" s="16"/>
      <x:c r="E157" s="16"/>
      <x:c r="F157" s="16"/>
      <x:c r="G157" s="16"/>
    </x:row>
    <x:row r="158">
      <x:c r="A158" s="16"/>
      <x:c r="B158" s="16"/>
      <x:c r="C158" s="16"/>
      <x:c r="D158" s="16"/>
      <x:c r="E158" s="16"/>
      <x:c r="F158" s="16"/>
      <x:c r="G158" s="16"/>
    </x:row>
    <x:row r="159">
      <x:c r="A159" s="16"/>
      <x:c r="B159" s="16"/>
      <x:c r="C159" s="16"/>
      <x:c r="D159" s="16"/>
      <x:c r="E159" s="16"/>
      <x:c r="F159" s="16"/>
      <x:c r="G159" s="16"/>
    </x:row>
    <x:row r="160">
      <x:c r="A160" s="16"/>
      <x:c r="B160" s="16"/>
      <x:c r="C160" s="16"/>
      <x:c r="D160" s="16"/>
      <x:c r="E160" s="16"/>
      <x:c r="F160" s="16"/>
      <x:c r="G160" s="16"/>
    </x:row>
    <x:row r="161">
      <x:c r="A161" s="16"/>
      <x:c r="B161" s="16"/>
      <x:c r="C161" s="16"/>
      <x:c r="D161" s="16"/>
      <x:c r="E161" s="16"/>
      <x:c r="F161" s="16"/>
      <x:c r="G161" s="16"/>
    </x:row>
    <x:row r="162">
      <x:c r="A162" s="16"/>
      <x:c r="B162" s="16"/>
      <x:c r="C162" s="16"/>
      <x:c r="D162" s="16"/>
      <x:c r="E162" s="16"/>
      <x:c r="F162" s="16"/>
      <x:c r="G162" s="16"/>
    </x:row>
    <x:row r="163">
      <x:c r="A163" s="16"/>
      <x:c r="B163" s="16"/>
      <x:c r="C163" s="16"/>
      <x:c r="D163" s="16"/>
      <x:c r="E163" s="16"/>
      <x:c r="F163" s="16"/>
      <x:c r="G163" s="16"/>
    </x:row>
    <x:row r="164">
      <x:c r="A164" s="16"/>
      <x:c r="B164" s="16"/>
      <x:c r="C164" s="16"/>
      <x:c r="D164" s="16"/>
      <x:c r="E164" s="16"/>
      <x:c r="F164" s="16"/>
      <x:c r="G164" s="16"/>
    </x:row>
    <x:row r="165">
      <x:c r="A165" s="16"/>
      <x:c r="B165" s="16"/>
      <x:c r="C165" s="16"/>
      <x:c r="D165" s="16"/>
      <x:c r="E165" s="16"/>
      <x:c r="F165" s="16"/>
      <x:c r="G165" s="16"/>
    </x:row>
    <x:row r="166">
      <x:c r="A166" s="16"/>
      <x:c r="B166" s="16"/>
      <x:c r="C166" s="16"/>
      <x:c r="D166" s="16"/>
      <x:c r="E166" s="16"/>
      <x:c r="F166" s="16"/>
      <x:c r="G166" s="16"/>
    </x:row>
    <x:row r="167">
      <x:c r="A167" s="16"/>
      <x:c r="B167" s="16"/>
      <x:c r="C167" s="16"/>
      <x:c r="D167" s="16"/>
      <x:c r="E167" s="16"/>
      <x:c r="F167" s="16"/>
      <x:c r="G167" s="16"/>
    </x:row>
    <x:row r="168">
      <x:c r="A168" s="16"/>
      <x:c r="B168" s="16"/>
      <x:c r="C168" s="16"/>
      <x:c r="D168" s="16"/>
      <x:c r="E168" s="16"/>
      <x:c r="F168" s="16"/>
      <x:c r="G168" s="16"/>
    </x:row>
    <x:row r="169">
      <x:c r="A169" s="16"/>
      <x:c r="B169" s="16"/>
      <x:c r="C169" s="16"/>
      <x:c r="D169" s="16"/>
      <x:c r="E169" s="16"/>
      <x:c r="F169" s="16"/>
      <x:c r="G169" s="16"/>
    </x:row>
    <x:row r="170">
      <x:c r="A170" s="16"/>
      <x:c r="B170" s="16"/>
      <x:c r="C170" s="16"/>
      <x:c r="D170" s="16"/>
      <x:c r="E170" s="16"/>
      <x:c r="F170" s="16"/>
      <x:c r="G170" s="16"/>
    </x:row>
    <x:row r="171">
      <x:c r="A171" s="16"/>
      <x:c r="B171" s="16"/>
      <x:c r="C171" s="16"/>
      <x:c r="D171" s="16"/>
      <x:c r="E171" s="16"/>
      <x:c r="F171" s="16"/>
      <x:c r="G171" s="16"/>
    </x:row>
    <x:row r="172">
      <x:c r="A172" s="16"/>
      <x:c r="B172" s="16"/>
      <x:c r="C172" s="16"/>
      <x:c r="D172" s="16"/>
      <x:c r="E172" s="16"/>
      <x:c r="F172" s="16"/>
      <x:c r="G172" s="16"/>
    </x:row>
    <x:row r="173">
      <x:c r="A173" s="16"/>
      <x:c r="B173" s="16"/>
      <x:c r="C173" s="16"/>
      <x:c r="D173" s="16"/>
      <x:c r="E173" s="16"/>
      <x:c r="F173" s="16"/>
      <x:c r="G173" s="16"/>
    </x:row>
    <x:row r="174">
      <x:c r="A174" s="16"/>
      <x:c r="B174" s="16"/>
      <x:c r="C174" s="16"/>
      <x:c r="D174" s="16"/>
      <x:c r="E174" s="16"/>
      <x:c r="F174" s="16"/>
      <x:c r="G174" s="16"/>
    </x:row>
    <x:row r="175">
      <x:c r="A175" s="16"/>
      <x:c r="B175" s="16"/>
      <x:c r="C175" s="16"/>
      <x:c r="D175" s="16"/>
      <x:c r="E175" s="16"/>
      <x:c r="F175" s="16"/>
      <x:c r="G175" s="16"/>
    </x:row>
    <x:row r="176">
      <x:c r="A176" s="16"/>
      <x:c r="B176" s="16"/>
      <x:c r="C176" s="16"/>
      <x:c r="D176" s="16"/>
      <x:c r="E176" s="16"/>
      <x:c r="F176" s="16"/>
      <x:c r="G176" s="16"/>
    </x:row>
    <x:row r="177">
      <x:c r="A177" s="16"/>
      <x:c r="B177" s="16"/>
      <x:c r="C177" s="16"/>
      <x:c r="D177" s="16"/>
      <x:c r="E177" s="16"/>
      <x:c r="F177" s="16"/>
      <x:c r="G177" s="16"/>
    </x:row>
    <x:row r="178">
      <x:c r="A178" s="16"/>
      <x:c r="B178" s="16"/>
      <x:c r="C178" s="16"/>
      <x:c r="D178" s="16"/>
      <x:c r="E178" s="16"/>
      <x:c r="F178" s="16"/>
      <x:c r="G178" s="16"/>
    </x:row>
    <x:row r="179">
      <x:c r="A179" s="16"/>
      <x:c r="B179" s="16"/>
      <x:c r="C179" s="16"/>
      <x:c r="D179" s="16"/>
      <x:c r="E179" s="16"/>
      <x:c r="F179" s="16"/>
      <x:c r="G179" s="16"/>
    </x:row>
    <x:row r="180">
      <x:c r="A180" s="16"/>
      <x:c r="B180" s="16"/>
      <x:c r="C180" s="16"/>
      <x:c r="D180" s="16"/>
      <x:c r="E180" s="16"/>
      <x:c r="F180" s="16"/>
      <x:c r="G180" s="16"/>
    </x:row>
    <x:row r="181">
      <x:c r="A181" s="16"/>
      <x:c r="B181" s="16"/>
      <x:c r="C181" s="16"/>
      <x:c r="D181" s="16"/>
      <x:c r="E181" s="16"/>
      <x:c r="F181" s="16"/>
      <x:c r="G181" s="16"/>
    </x:row>
    <x:row r="182">
      <x:c r="A182" s="16"/>
      <x:c r="B182" s="16"/>
      <x:c r="C182" s="16"/>
      <x:c r="D182" s="16"/>
      <x:c r="E182" s="16"/>
      <x:c r="F182" s="16"/>
      <x:c r="G182" s="16"/>
    </x:row>
    <x:row r="183">
      <x:c r="A183" s="16"/>
      <x:c r="B183" s="16"/>
      <x:c r="C183" s="16"/>
      <x:c r="D183" s="16"/>
      <x:c r="E183" s="16"/>
      <x:c r="F183" s="16"/>
      <x:c r="G183" s="16"/>
    </x:row>
    <x:row r="184">
      <x:c r="A184" s="16"/>
      <x:c r="B184" s="16"/>
      <x:c r="C184" s="16"/>
      <x:c r="D184" s="16"/>
      <x:c r="E184" s="16"/>
      <x:c r="F184" s="16"/>
      <x:c r="G184" s="16"/>
    </x:row>
    <x:row r="185">
      <x:c r="A185" s="16"/>
      <x:c r="B185" s="16"/>
      <x:c r="C185" s="16"/>
      <x:c r="D185" s="16"/>
      <x:c r="E185" s="16"/>
      <x:c r="F185" s="16"/>
      <x:c r="G185" s="16"/>
    </x:row>
    <x:row r="186">
      <x:c r="A186" s="16"/>
      <x:c r="B186" s="16"/>
      <x:c r="C186" s="16"/>
      <x:c r="D186" s="16"/>
      <x:c r="E186" s="16"/>
      <x:c r="F186" s="16"/>
      <x:c r="G186" s="16"/>
    </x:row>
    <x:row r="187">
      <x:c r="A187" s="16"/>
      <x:c r="B187" s="16"/>
      <x:c r="C187" s="16"/>
      <x:c r="D187" s="16"/>
      <x:c r="E187" s="16"/>
      <x:c r="F187" s="16"/>
      <x:c r="G187" s="16"/>
    </x:row>
    <x:row r="188">
      <x:c r="A188" s="16"/>
      <x:c r="B188" s="16"/>
      <x:c r="C188" s="16"/>
      <x:c r="D188" s="16"/>
      <x:c r="E188" s="16"/>
      <x:c r="F188" s="16"/>
      <x:c r="G188" s="16"/>
    </x:row>
    <x:row r="189">
      <x:c r="A189" s="16"/>
      <x:c r="B189" s="16"/>
      <x:c r="C189" s="16"/>
      <x:c r="D189" s="16"/>
      <x:c r="E189" s="16"/>
      <x:c r="F189" s="16"/>
      <x:c r="G189" s="16"/>
    </x:row>
    <x:row r="190">
      <x:c r="A190" s="16"/>
      <x:c r="B190" s="16"/>
      <x:c r="C190" s="16"/>
      <x:c r="D190" s="16"/>
      <x:c r="E190" s="16"/>
      <x:c r="F190" s="16"/>
      <x:c r="G190" s="16"/>
    </x:row>
    <x:row r="191">
      <x:c r="A191" s="16"/>
      <x:c r="B191" s="16"/>
      <x:c r="C191" s="16"/>
      <x:c r="D191" s="16"/>
      <x:c r="E191" s="16"/>
      <x:c r="F191" s="16"/>
      <x:c r="G191" s="16"/>
    </x:row>
    <x:row r="192">
      <x:c r="A192" s="16"/>
      <x:c r="B192" s="16"/>
      <x:c r="C192" s="16"/>
      <x:c r="D192" s="16"/>
      <x:c r="E192" s="16"/>
      <x:c r="F192" s="16"/>
      <x:c r="G192" s="16"/>
    </x:row>
    <x:row r="193">
      <x:c r="A193" s="16"/>
      <x:c r="B193" s="16"/>
      <x:c r="C193" s="16"/>
      <x:c r="D193" s="16"/>
      <x:c r="E193" s="16"/>
      <x:c r="F193" s="16"/>
      <x:c r="G193" s="16"/>
    </x:row>
    <x:row r="194">
      <x:c r="A194" s="16"/>
      <x:c r="B194" s="16"/>
      <x:c r="C194" s="16"/>
      <x:c r="D194" s="16"/>
      <x:c r="E194" s="16"/>
      <x:c r="F194" s="16"/>
      <x:c r="G194" s="16"/>
    </x:row>
    <x:row r="195">
      <x:c r="A195" s="16"/>
      <x:c r="B195" s="16"/>
      <x:c r="C195" s="16"/>
      <x:c r="D195" s="16"/>
      <x:c r="E195" s="16"/>
      <x:c r="F195" s="16"/>
      <x:c r="G195" s="16"/>
    </x:row>
    <x:row r="196">
      <x:c r="A196" s="16"/>
      <x:c r="B196" s="16"/>
      <x:c r="C196" s="16"/>
      <x:c r="D196" s="16"/>
      <x:c r="E196" s="16"/>
      <x:c r="F196" s="16"/>
      <x:c r="G196" s="16"/>
    </x:row>
    <x:row r="197">
      <x:c r="A197" s="16"/>
      <x:c r="B197" s="16"/>
      <x:c r="C197" s="16"/>
      <x:c r="D197" s="16"/>
      <x:c r="E197" s="16"/>
      <x:c r="F197" s="16"/>
      <x:c r="G197" s="16"/>
    </x:row>
    <x:row r="198">
      <x:c r="A198" s="16"/>
      <x:c r="B198" s="16"/>
      <x:c r="C198" s="16"/>
      <x:c r="D198" s="16"/>
      <x:c r="E198" s="16"/>
      <x:c r="F198" s="16"/>
      <x:c r="G198" s="16"/>
    </x:row>
    <x:row r="199">
      <x:c r="A199" s="16"/>
      <x:c r="B199" s="16"/>
      <x:c r="C199" s="16"/>
      <x:c r="D199" s="16"/>
      <x:c r="E199" s="16"/>
      <x:c r="F199" s="16"/>
      <x:c r="G199" s="16"/>
    </x:row>
    <x:row r="200">
      <x:c r="A200" s="16"/>
      <x:c r="B200" s="16"/>
      <x:c r="C200" s="16"/>
      <x:c r="D200" s="16"/>
      <x:c r="E200" s="16"/>
      <x:c r="F200" s="16"/>
      <x:c r="G200" s="16"/>
    </x:row>
    <x:row r="201">
      <x:c r="A201" s="16"/>
      <x:c r="B201" s="16"/>
      <x:c r="C201" s="16"/>
      <x:c r="D201" s="16"/>
      <x:c r="E201" s="16"/>
      <x:c r="F201" s="16"/>
      <x:c r="G201" s="16"/>
    </x:row>
    <x:row r="202">
      <x:c r="A202" s="16"/>
      <x:c r="B202" s="16"/>
      <x:c r="C202" s="16"/>
      <x:c r="D202" s="16"/>
      <x:c r="E202" s="16"/>
      <x:c r="F202" s="16"/>
      <x:c r="G202" s="16"/>
    </x:row>
    <x:row r="203">
      <x:c r="A203" s="16"/>
      <x:c r="B203" s="16"/>
      <x:c r="C203" s="16"/>
      <x:c r="D203" s="16"/>
      <x:c r="E203" s="16"/>
      <x:c r="F203" s="16"/>
      <x:c r="G203" s="16"/>
    </x:row>
    <x:row r="204">
      <x:c r="A204" s="16"/>
      <x:c r="B204" s="16"/>
      <x:c r="C204" s="16"/>
      <x:c r="D204" s="16"/>
      <x:c r="E204" s="16"/>
      <x:c r="F204" s="16"/>
      <x:c r="G204" s="16"/>
    </x:row>
    <x:row r="205">
      <x:c r="A205" s="16"/>
      <x:c r="B205" s="16"/>
      <x:c r="C205" s="16"/>
      <x:c r="D205" s="16"/>
      <x:c r="E205" s="16"/>
      <x:c r="F205" s="16"/>
      <x:c r="G205" s="16"/>
    </x:row>
    <x:row r="206">
      <x:c r="A206" s="16"/>
      <x:c r="B206" s="16"/>
      <x:c r="C206" s="16"/>
      <x:c r="D206" s="16"/>
      <x:c r="E206" s="16"/>
      <x:c r="F206" s="16"/>
      <x:c r="G206" s="16"/>
    </x:row>
    <x:row r="207">
      <x:c r="A207" s="16"/>
      <x:c r="B207" s="16"/>
      <x:c r="C207" s="16"/>
      <x:c r="D207" s="16"/>
      <x:c r="E207" s="16"/>
      <x:c r="F207" s="16"/>
      <x:c r="G207" s="16"/>
    </x:row>
    <x:row r="208">
      <x:c r="A208" s="16"/>
      <x:c r="B208" s="16"/>
      <x:c r="C208" s="16"/>
      <x:c r="D208" s="16"/>
      <x:c r="E208" s="16"/>
      <x:c r="F208" s="16"/>
      <x:c r="G208" s="16"/>
    </x:row>
    <x:row r="209">
      <x:c r="A209" s="16"/>
      <x:c r="B209" s="16"/>
      <x:c r="C209" s="16"/>
      <x:c r="D209" s="16"/>
      <x:c r="E209" s="16"/>
      <x:c r="F209" s="16"/>
      <x:c r="G209" s="16"/>
    </x:row>
    <x:row r="210">
      <x:c r="A210" s="16"/>
      <x:c r="B210" s="16"/>
      <x:c r="C210" s="16"/>
      <x:c r="D210" s="16"/>
      <x:c r="E210" s="16"/>
      <x:c r="F210" s="16"/>
      <x:c r="G210" s="16"/>
    </x:row>
    <x:row r="211">
      <x:c r="A211" s="16"/>
      <x:c r="B211" s="16"/>
      <x:c r="C211" s="16"/>
      <x:c r="D211" s="16"/>
      <x:c r="E211" s="16"/>
      <x:c r="F211" s="16"/>
      <x:c r="G211" s="16"/>
    </x:row>
    <x:row r="212">
      <x:c r="A212" s="16"/>
      <x:c r="B212" s="16"/>
      <x:c r="C212" s="16"/>
      <x:c r="D212" s="16"/>
      <x:c r="E212" s="16"/>
      <x:c r="F212" s="16"/>
      <x:c r="G212" s="16"/>
    </x:row>
    <x:row r="213">
      <x:c r="A213" s="16"/>
      <x:c r="B213" s="16"/>
      <x:c r="C213" s="16"/>
      <x:c r="D213" s="16"/>
      <x:c r="E213" s="16"/>
      <x:c r="F213" s="16"/>
      <x:c r="G213" s="16"/>
    </x:row>
    <x:row r="214">
      <x:c r="A214" s="16"/>
      <x:c r="B214" s="16"/>
      <x:c r="C214" s="16"/>
      <x:c r="D214" s="16"/>
      <x:c r="E214" s="16"/>
      <x:c r="F214" s="16"/>
      <x:c r="G214" s="16"/>
    </x:row>
    <x:row r="215">
      <x:c r="A215" s="16"/>
      <x:c r="B215" s="16"/>
      <x:c r="C215" s="16"/>
      <x:c r="D215" s="16"/>
      <x:c r="E215" s="16"/>
      <x:c r="F215" s="16"/>
      <x:c r="G215" s="16"/>
    </x:row>
    <x:row r="216">
      <x:c r="A216" s="16"/>
      <x:c r="B216" s="16"/>
      <x:c r="C216" s="16"/>
      <x:c r="D216" s="16"/>
      <x:c r="E216" s="16"/>
      <x:c r="F216" s="16"/>
      <x:c r="G216" s="16"/>
    </x:row>
    <x:row r="217">
      <x:c r="A217" s="16"/>
      <x:c r="B217" s="16"/>
      <x:c r="C217" s="16"/>
      <x:c r="D217" s="16"/>
      <x:c r="E217" s="16"/>
      <x:c r="F217" s="16"/>
      <x:c r="G217" s="16"/>
    </x:row>
    <x:row r="218">
      <x:c r="A218" s="16"/>
      <x:c r="B218" s="16"/>
      <x:c r="C218" s="16"/>
      <x:c r="D218" s="16"/>
      <x:c r="E218" s="16"/>
      <x:c r="F218" s="16"/>
      <x:c r="G218" s="16"/>
    </x:row>
    <x:row r="219">
      <x:c r="A219" s="16"/>
      <x:c r="B219" s="16"/>
      <x:c r="C219" s="16"/>
      <x:c r="D219" s="16"/>
      <x:c r="E219" s="16"/>
      <x:c r="F219" s="16"/>
      <x:c r="G219" s="16"/>
    </x:row>
    <x:row r="220">
      <x:c r="A220" s="16"/>
      <x:c r="B220" s="16"/>
      <x:c r="C220" s="16"/>
      <x:c r="D220" s="16"/>
      <x:c r="E220" s="16"/>
      <x:c r="F220" s="16"/>
      <x:c r="G220" s="16"/>
    </x:row>
    <x:row r="221">
      <x:c r="A221" s="16"/>
      <x:c r="B221" s="16"/>
      <x:c r="C221" s="16"/>
      <x:c r="D221" s="16"/>
      <x:c r="E221" s="16"/>
      <x:c r="F221" s="16"/>
      <x:c r="G221" s="16"/>
    </x:row>
    <x:row r="222">
      <x:c r="A222" s="16"/>
      <x:c r="B222" s="16"/>
      <x:c r="C222" s="16"/>
      <x:c r="D222" s="16"/>
      <x:c r="E222" s="16"/>
      <x:c r="F222" s="16"/>
      <x:c r="G222" s="16"/>
    </x:row>
    <x:row r="223">
      <x:c r="A223" s="16"/>
      <x:c r="B223" s="16"/>
      <x:c r="C223" s="16"/>
      <x:c r="D223" s="16"/>
      <x:c r="E223" s="16"/>
      <x:c r="F223" s="16"/>
      <x:c r="G223" s="16"/>
    </x:row>
    <x:row r="224">
      <x:c r="A224" s="16"/>
      <x:c r="B224" s="16"/>
      <x:c r="C224" s="16"/>
      <x:c r="D224" s="16"/>
      <x:c r="E224" s="16"/>
      <x:c r="F224" s="16"/>
      <x:c r="G224" s="16"/>
    </x:row>
    <x:row r="225">
      <x:c r="A225" s="16"/>
      <x:c r="B225" s="16"/>
      <x:c r="C225" s="16"/>
      <x:c r="D225" s="16"/>
      <x:c r="E225" s="16"/>
      <x:c r="F225" s="16"/>
      <x:c r="G225" s="16"/>
    </x:row>
    <x:row r="226">
      <x:c r="A226" s="16"/>
      <x:c r="B226" s="16"/>
      <x:c r="C226" s="16"/>
      <x:c r="D226" s="16"/>
      <x:c r="E226" s="16"/>
      <x:c r="F226" s="16"/>
      <x:c r="G226" s="16"/>
    </x:row>
    <x:row r="227">
      <x:c r="A227" s="16"/>
      <x:c r="B227" s="16"/>
      <x:c r="C227" s="16"/>
      <x:c r="D227" s="16"/>
      <x:c r="E227" s="16"/>
      <x:c r="F227" s="16"/>
      <x:c r="G227" s="16"/>
    </x:row>
    <x:row r="228">
      <x:c r="A228" s="16"/>
      <x:c r="B228" s="16"/>
      <x:c r="C228" s="16"/>
      <x:c r="D228" s="16"/>
      <x:c r="E228" s="16"/>
      <x:c r="F228" s="16"/>
      <x:c r="G228" s="16"/>
    </x:row>
    <x:row r="229">
      <x:c r="A229" s="16"/>
      <x:c r="B229" s="16"/>
      <x:c r="C229" s="16"/>
      <x:c r="D229" s="16"/>
      <x:c r="E229" s="16"/>
      <x:c r="F229" s="16"/>
      <x:c r="G229" s="16"/>
    </x:row>
    <x:row r="230">
      <x:c r="A230" s="16"/>
      <x:c r="B230" s="16"/>
      <x:c r="C230" s="16"/>
      <x:c r="D230" s="16"/>
      <x:c r="E230" s="16"/>
      <x:c r="F230" s="16"/>
      <x:c r="G230" s="16"/>
    </x:row>
    <x:row r="231">
      <x:c r="A231" s="16"/>
      <x:c r="B231" s="16"/>
      <x:c r="C231" s="16"/>
      <x:c r="D231" s="16"/>
      <x:c r="E231" s="16"/>
      <x:c r="F231" s="16"/>
      <x:c r="G231" s="16"/>
    </x:row>
    <x:row r="232">
      <x:c r="A232" s="16"/>
      <x:c r="B232" s="16"/>
      <x:c r="C232" s="16"/>
      <x:c r="D232" s="16"/>
      <x:c r="E232" s="16"/>
      <x:c r="F232" s="16"/>
      <x:c r="G232" s="16"/>
    </x:row>
    <x:row r="233">
      <x:c r="A233" s="16"/>
      <x:c r="B233" s="16"/>
      <x:c r="C233" s="16"/>
      <x:c r="D233" s="16"/>
      <x:c r="E233" s="16"/>
      <x:c r="F233" s="16"/>
      <x:c r="G233" s="16"/>
    </x:row>
    <x:row r="234">
      <x:c r="A234" s="16"/>
      <x:c r="B234" s="16"/>
      <x:c r="C234" s="16"/>
      <x:c r="D234" s="16"/>
      <x:c r="E234" s="16"/>
      <x:c r="F234" s="16"/>
      <x:c r="G234" s="16"/>
    </x:row>
    <x:row r="235">
      <x:c r="A235" s="16"/>
      <x:c r="B235" s="16"/>
      <x:c r="C235" s="16"/>
      <x:c r="D235" s="16"/>
      <x:c r="E235" s="16"/>
      <x:c r="F235" s="16"/>
      <x:c r="G235" s="16"/>
    </x:row>
    <x:row r="236">
      <x:c r="A236" s="16"/>
      <x:c r="B236" s="16"/>
      <x:c r="C236" s="16"/>
      <x:c r="D236" s="16"/>
      <x:c r="E236" s="16"/>
      <x:c r="F236" s="16"/>
      <x:c r="G236" s="16"/>
    </x:row>
    <x:row r="237">
      <x:c r="A237" s="16"/>
      <x:c r="B237" s="16"/>
      <x:c r="C237" s="16"/>
      <x:c r="D237" s="16"/>
      <x:c r="E237" s="16"/>
      <x:c r="F237" s="16"/>
      <x:c r="G237" s="16"/>
    </x:row>
    <x:row r="238">
      <x:c r="A238" s="16"/>
      <x:c r="B238" s="16"/>
      <x:c r="C238" s="16"/>
      <x:c r="D238" s="16"/>
      <x:c r="E238" s="16"/>
      <x:c r="F238" s="16"/>
      <x:c r="G238" s="16"/>
    </x:row>
    <x:row r="239">
      <x:c r="A239" s="16"/>
      <x:c r="B239" s="16"/>
      <x:c r="C239" s="16"/>
      <x:c r="D239" s="16"/>
      <x:c r="E239" s="16"/>
      <x:c r="F239" s="16"/>
      <x:c r="G239" s="16"/>
    </x:row>
    <x:row r="240">
      <x:c r="A240" s="16"/>
      <x:c r="B240" s="16"/>
      <x:c r="C240" s="16"/>
      <x:c r="D240" s="16"/>
      <x:c r="E240" s="16"/>
      <x:c r="F240" s="16"/>
      <x:c r="G240" s="16"/>
    </x:row>
    <x:row r="241">
      <x:c r="A241" s="16"/>
      <x:c r="B241" s="16"/>
      <x:c r="C241" s="16"/>
      <x:c r="D241" s="16"/>
      <x:c r="E241" s="16"/>
      <x:c r="F241" s="16"/>
      <x:c r="G241" s="16"/>
    </x:row>
    <x:row r="242">
      <x:c r="A242" s="16"/>
      <x:c r="B242" s="16"/>
      <x:c r="C242" s="16"/>
      <x:c r="D242" s="16"/>
      <x:c r="E242" s="16"/>
      <x:c r="F242" s="16"/>
      <x:c r="G242" s="16"/>
    </x:row>
    <x:row r="243">
      <x:c r="A243" s="16"/>
      <x:c r="B243" s="16"/>
      <x:c r="C243" s="16"/>
      <x:c r="D243" s="16"/>
      <x:c r="E243" s="16"/>
      <x:c r="F243" s="16"/>
      <x:c r="G243" s="16"/>
    </x:row>
    <x:row r="244">
      <x:c r="A244" s="16"/>
      <x:c r="B244" s="16"/>
      <x:c r="C244" s="16"/>
      <x:c r="D244" s="16"/>
      <x:c r="E244" s="16"/>
      <x:c r="F244" s="16"/>
      <x:c r="G244" s="16"/>
    </x:row>
    <x:row r="245">
      <x:c r="A245" s="16"/>
      <x:c r="B245" s="16"/>
      <x:c r="C245" s="16"/>
      <x:c r="D245" s="16"/>
      <x:c r="E245" s="16"/>
      <x:c r="F245" s="16"/>
      <x:c r="G245" s="16"/>
    </x:row>
    <x:row r="246">
      <x:c r="A246" s="16"/>
      <x:c r="B246" s="16"/>
      <x:c r="C246" s="16"/>
      <x:c r="D246" s="16"/>
      <x:c r="E246" s="16"/>
      <x:c r="F246" s="16"/>
      <x:c r="G246" s="16"/>
    </x:row>
    <x:row r="247">
      <x:c r="A247" s="16"/>
      <x:c r="B247" s="16"/>
      <x:c r="C247" s="16"/>
      <x:c r="D247" s="16"/>
      <x:c r="E247" s="16"/>
      <x:c r="F247" s="16"/>
      <x:c r="G247" s="16"/>
    </x:row>
    <x:row r="248">
      <x:c r="A248" s="16"/>
      <x:c r="B248" s="16"/>
      <x:c r="C248" s="16"/>
      <x:c r="D248" s="16"/>
      <x:c r="E248" s="16"/>
      <x:c r="F248" s="16"/>
      <x:c r="G248" s="16"/>
    </x:row>
    <x:row r="249">
      <x:c r="A249" s="16"/>
      <x:c r="B249" s="16"/>
      <x:c r="C249" s="16"/>
      <x:c r="D249" s="16"/>
      <x:c r="E249" s="16"/>
      <x:c r="F249" s="16"/>
      <x:c r="G249" s="16"/>
    </x:row>
    <x:row r="250">
      <x:c r="A250" s="16"/>
      <x:c r="B250" s="16"/>
      <x:c r="C250" s="16"/>
      <x:c r="D250" s="16"/>
      <x:c r="E250" s="16"/>
      <x:c r="F250" s="16"/>
      <x:c r="G250" s="16"/>
    </x:row>
    <x:row r="251">
      <x:c r="A251" s="16"/>
      <x:c r="B251" s="16"/>
      <x:c r="C251" s="16"/>
      <x:c r="D251" s="16"/>
      <x:c r="E251" s="16"/>
      <x:c r="F251" s="16"/>
      <x:c r="G251" s="16"/>
    </x:row>
    <x:row r="252">
      <x:c r="A252" s="16"/>
      <x:c r="B252" s="16"/>
      <x:c r="C252" s="16"/>
      <x:c r="D252" s="16"/>
      <x:c r="E252" s="16"/>
      <x:c r="F252" s="16"/>
      <x:c r="G252" s="16"/>
    </x:row>
    <x:row r="253">
      <x:c r="A253" s="16"/>
      <x:c r="B253" s="16"/>
      <x:c r="C253" s="16"/>
      <x:c r="D253" s="16"/>
      <x:c r="E253" s="16"/>
      <x:c r="F253" s="16"/>
      <x:c r="G253" s="16"/>
    </x:row>
    <x:row r="254">
      <x:c r="A254" s="16"/>
      <x:c r="B254" s="16"/>
      <x:c r="C254" s="16"/>
      <x:c r="D254" s="16"/>
      <x:c r="E254" s="16"/>
      <x:c r="F254" s="16"/>
      <x:c r="G254" s="16"/>
    </x:row>
    <x:row r="255">
      <x:c r="A255" s="16"/>
      <x:c r="B255" s="16"/>
      <x:c r="C255" s="16"/>
      <x:c r="D255" s="16"/>
      <x:c r="E255" s="16"/>
      <x:c r="F255" s="16"/>
      <x:c r="G255" s="16"/>
    </x:row>
    <x:row r="256">
      <x:c r="A256" s="16"/>
      <x:c r="B256" s="16"/>
      <x:c r="C256" s="16"/>
      <x:c r="D256" s="16"/>
      <x:c r="E256" s="16"/>
      <x:c r="F256" s="16"/>
      <x:c r="G256" s="16"/>
    </x:row>
    <x:row r="257">
      <x:c r="A257" s="16"/>
      <x:c r="B257" s="16"/>
      <x:c r="C257" s="16"/>
      <x:c r="D257" s="16"/>
      <x:c r="E257" s="16"/>
      <x:c r="F257" s="16"/>
      <x:c r="G257" s="16"/>
    </x:row>
    <x:row r="258">
      <x:c r="A258" s="16"/>
      <x:c r="B258" s="16"/>
      <x:c r="C258" s="16"/>
      <x:c r="D258" s="16"/>
      <x:c r="E258" s="16"/>
      <x:c r="F258" s="16"/>
      <x:c r="G258" s="16"/>
    </x:row>
    <x:row r="259">
      <x:c r="A259" s="16"/>
      <x:c r="B259" s="16"/>
      <x:c r="C259" s="16"/>
      <x:c r="D259" s="16"/>
      <x:c r="E259" s="16"/>
      <x:c r="F259" s="16"/>
      <x:c r="G259" s="16"/>
    </x:row>
    <x:row r="260">
      <x:c r="A260" s="16"/>
      <x:c r="B260" s="16"/>
      <x:c r="C260" s="16"/>
      <x:c r="D260" s="16"/>
      <x:c r="E260" s="16"/>
      <x:c r="F260" s="16"/>
      <x:c r="G260" s="16"/>
    </x:row>
    <x:row r="261">
      <x:c r="A261" s="16"/>
      <x:c r="B261" s="16"/>
      <x:c r="C261" s="16"/>
      <x:c r="D261" s="16"/>
      <x:c r="E261" s="16"/>
      <x:c r="F261" s="16"/>
      <x:c r="G261" s="16"/>
    </x:row>
    <x:row r="262">
      <x:c r="A262" s="16"/>
      <x:c r="B262" s="16"/>
      <x:c r="C262" s="16"/>
      <x:c r="D262" s="16"/>
      <x:c r="E262" s="16"/>
      <x:c r="F262" s="16"/>
      <x:c r="G262" s="16"/>
    </x:row>
    <x:row r="263">
      <x:c r="A263" s="16"/>
      <x:c r="B263" s="16"/>
      <x:c r="C263" s="16"/>
      <x:c r="D263" s="16"/>
      <x:c r="E263" s="16"/>
      <x:c r="F263" s="16"/>
      <x:c r="G263" s="16"/>
    </x:row>
    <x:row r="264">
      <x:c r="A264" s="16"/>
      <x:c r="B264" s="16"/>
      <x:c r="C264" s="16"/>
      <x:c r="D264" s="16"/>
      <x:c r="E264" s="16"/>
      <x:c r="F264" s="16"/>
      <x:c r="G264" s="16"/>
    </x:row>
    <x:row r="265">
      <x:c r="A265" s="16"/>
      <x:c r="B265" s="16"/>
      <x:c r="C265" s="16"/>
      <x:c r="D265" s="16"/>
      <x:c r="E265" s="16"/>
      <x:c r="F265" s="16"/>
      <x:c r="G265" s="16"/>
    </x:row>
    <x:row r="266">
      <x:c r="A266" s="16"/>
      <x:c r="B266" s="16"/>
      <x:c r="C266" s="16"/>
      <x:c r="D266" s="16"/>
      <x:c r="E266" s="16"/>
      <x:c r="F266" s="16"/>
      <x:c r="G266" s="16"/>
    </x:row>
    <x:row r="267">
      <x:c r="A267" s="16"/>
      <x:c r="B267" s="16"/>
      <x:c r="C267" s="16"/>
      <x:c r="D267" s="16"/>
      <x:c r="E267" s="16"/>
      <x:c r="F267" s="16"/>
      <x:c r="G267" s="16"/>
    </x:row>
    <x:row r="268">
      <x:c r="A268" s="16"/>
      <x:c r="B268" s="16"/>
      <x:c r="C268" s="16"/>
      <x:c r="D268" s="16"/>
      <x:c r="E268" s="16"/>
      <x:c r="F268" s="16"/>
      <x:c r="G268" s="16"/>
    </x:row>
    <x:row r="269">
      <x:c r="A269" s="16"/>
      <x:c r="B269" s="16"/>
      <x:c r="C269" s="16"/>
      <x:c r="D269" s="16"/>
      <x:c r="E269" s="16"/>
      <x:c r="F269" s="16"/>
      <x:c r="G269" s="16"/>
    </x:row>
    <x:row r="270">
      <x:c r="A270" s="16"/>
      <x:c r="B270" s="16"/>
      <x:c r="C270" s="16"/>
      <x:c r="D270" s="16"/>
      <x:c r="E270" s="16"/>
      <x:c r="F270" s="16"/>
      <x:c r="G270" s="16"/>
    </x:row>
    <x:row r="271">
      <x:c r="A271" s="16"/>
      <x:c r="B271" s="16"/>
      <x:c r="C271" s="16"/>
      <x:c r="D271" s="16"/>
      <x:c r="E271" s="16"/>
      <x:c r="F271" s="16"/>
      <x:c r="G271" s="16"/>
    </x:row>
    <x:row r="272">
      <x:c r="A272" s="16"/>
      <x:c r="B272" s="16"/>
      <x:c r="C272" s="16"/>
      <x:c r="D272" s="16"/>
      <x:c r="E272" s="16"/>
      <x:c r="F272" s="16"/>
      <x:c r="G272" s="16"/>
    </x:row>
    <x:row r="273">
      <x:c r="A273" s="16"/>
      <x:c r="B273" s="16"/>
      <x:c r="C273" s="16"/>
      <x:c r="D273" s="16"/>
      <x:c r="E273" s="16"/>
      <x:c r="F273" s="16"/>
      <x:c r="G273" s="16"/>
    </x:row>
    <x:row r="274">
      <x:c r="A274" s="16"/>
      <x:c r="B274" s="16"/>
      <x:c r="C274" s="16"/>
      <x:c r="D274" s="16"/>
      <x:c r="E274" s="16"/>
      <x:c r="F274" s="16"/>
      <x:c r="G274" s="16"/>
    </x:row>
    <x:row r="275">
      <x:c r="A275" s="16"/>
      <x:c r="B275" s="16"/>
      <x:c r="C275" s="16"/>
      <x:c r="D275" s="16"/>
      <x:c r="E275" s="16"/>
      <x:c r="F275" s="16"/>
      <x:c r="G275" s="16"/>
    </x:row>
    <x:row r="276">
      <x:c r="A276" s="16"/>
      <x:c r="B276" s="16"/>
      <x:c r="C276" s="16"/>
      <x:c r="D276" s="16"/>
      <x:c r="E276" s="16"/>
      <x:c r="F276" s="16"/>
      <x:c r="G276" s="16"/>
    </x:row>
    <x:row r="277">
      <x:c r="A277" s="16"/>
      <x:c r="B277" s="16"/>
      <x:c r="C277" s="16"/>
      <x:c r="D277" s="16"/>
      <x:c r="E277" s="16"/>
      <x:c r="F277" s="16"/>
      <x:c r="G277" s="16"/>
    </x:row>
    <x:row r="278">
      <x:c r="A278" s="16"/>
      <x:c r="B278" s="16"/>
      <x:c r="C278" s="16"/>
      <x:c r="D278" s="16"/>
      <x:c r="E278" s="16"/>
      <x:c r="F278" s="16"/>
      <x:c r="G278" s="16"/>
    </x:row>
    <x:row r="279">
      <x:c r="A279" s="16"/>
      <x:c r="B279" s="16"/>
      <x:c r="C279" s="16"/>
      <x:c r="D279" s="16"/>
      <x:c r="E279" s="16"/>
      <x:c r="F279" s="16"/>
      <x:c r="G279" s="16"/>
    </x:row>
    <x:row r="280">
      <x:c r="A280" s="16"/>
      <x:c r="B280" s="16"/>
      <x:c r="C280" s="16"/>
      <x:c r="D280" s="16"/>
      <x:c r="E280" s="16"/>
      <x:c r="F280" s="16"/>
      <x:c r="G280" s="16"/>
    </x:row>
    <x:row r="281">
      <x:c r="A281" s="16"/>
      <x:c r="B281" s="16"/>
      <x:c r="C281" s="16"/>
      <x:c r="D281" s="16"/>
      <x:c r="E281" s="16"/>
      <x:c r="F281" s="16"/>
      <x:c r="G281" s="16"/>
    </x:row>
    <x:row r="282">
      <x:c r="A282" s="16"/>
      <x:c r="B282" s="16"/>
      <x:c r="C282" s="16"/>
      <x:c r="D282" s="16"/>
      <x:c r="E282" s="16"/>
      <x:c r="F282" s="16"/>
      <x:c r="G282" s="16"/>
    </x:row>
    <x:row r="283">
      <x:c r="A283" s="16"/>
      <x:c r="B283" s="16"/>
      <x:c r="C283" s="16"/>
      <x:c r="D283" s="16"/>
      <x:c r="E283" s="16"/>
      <x:c r="F283" s="16"/>
      <x:c r="G283" s="16"/>
    </x:row>
    <x:row r="284">
      <x:c r="A284" s="16"/>
      <x:c r="B284" s="16"/>
      <x:c r="C284" s="16"/>
      <x:c r="D284" s="16"/>
      <x:c r="E284" s="16"/>
      <x:c r="F284" s="16"/>
      <x:c r="G284" s="16"/>
    </x:row>
    <x:row r="285">
      <x:c r="A285" s="16"/>
      <x:c r="B285" s="16"/>
      <x:c r="C285" s="16"/>
      <x:c r="D285" s="16"/>
      <x:c r="E285" s="16"/>
      <x:c r="F285" s="16"/>
      <x:c r="G285" s="16"/>
    </x:row>
    <x:row r="286">
      <x:c r="A286" s="16"/>
      <x:c r="B286" s="16"/>
      <x:c r="C286" s="16"/>
      <x:c r="D286" s="16"/>
      <x:c r="E286" s="16"/>
      <x:c r="F286" s="16"/>
      <x:c r="G286" s="16"/>
    </x:row>
    <x:row r="287">
      <x:c r="A287" s="16"/>
      <x:c r="B287" s="16"/>
      <x:c r="C287" s="16"/>
      <x:c r="D287" s="16"/>
      <x:c r="E287" s="16"/>
      <x:c r="F287" s="16"/>
      <x:c r="G287" s="16"/>
    </x:row>
    <x:row r="288">
      <x:c r="A288" s="16"/>
      <x:c r="B288" s="16"/>
      <x:c r="C288" s="16"/>
      <x:c r="D288" s="16"/>
      <x:c r="E288" s="16"/>
      <x:c r="F288" s="16"/>
      <x:c r="G288" s="16"/>
    </x:row>
    <x:row r="289">
      <x:c r="A289" s="16"/>
      <x:c r="B289" s="16"/>
      <x:c r="C289" s="16"/>
      <x:c r="D289" s="16"/>
      <x:c r="E289" s="16"/>
      <x:c r="F289" s="16"/>
      <x:c r="G289" s="16"/>
    </x:row>
    <x:row r="290">
      <x:c r="A290" s="16"/>
      <x:c r="B290" s="16"/>
      <x:c r="C290" s="16"/>
      <x:c r="D290" s="16"/>
      <x:c r="E290" s="16"/>
      <x:c r="F290" s="16"/>
      <x:c r="G290" s="16"/>
    </x:row>
    <x:row r="291">
      <x:c r="A291" s="16"/>
      <x:c r="B291" s="16"/>
      <x:c r="C291" s="16"/>
      <x:c r="D291" s="16"/>
      <x:c r="E291" s="16"/>
      <x:c r="F291" s="16"/>
      <x:c r="G291" s="16"/>
    </x:row>
    <x:row r="292">
      <x:c r="A292" s="16"/>
      <x:c r="B292" s="16"/>
      <x:c r="C292" s="16"/>
      <x:c r="D292" s="16"/>
      <x:c r="E292" s="16"/>
      <x:c r="F292" s="16"/>
      <x:c r="G292" s="16"/>
    </x:row>
    <x:row r="293">
      <x:c r="A293" s="16"/>
      <x:c r="B293" s="16"/>
      <x:c r="C293" s="16"/>
      <x:c r="D293" s="16"/>
      <x:c r="E293" s="16"/>
      <x:c r="F293" s="16"/>
      <x:c r="G293" s="16"/>
    </x:row>
    <x:row r="294">
      <x:c r="A294" s="16"/>
      <x:c r="B294" s="16"/>
      <x:c r="C294" s="16"/>
      <x:c r="D294" s="16"/>
      <x:c r="E294" s="16"/>
      <x:c r="F294" s="16"/>
      <x:c r="G294" s="16"/>
    </x:row>
    <x:row r="295">
      <x:c r="A295" s="16"/>
      <x:c r="B295" s="16"/>
      <x:c r="C295" s="16"/>
      <x:c r="D295" s="16"/>
      <x:c r="E295" s="16"/>
      <x:c r="F295" s="16"/>
      <x:c r="G295" s="16"/>
    </x:row>
    <x:row r="296">
      <x:c r="A296" s="16"/>
      <x:c r="B296" s="16"/>
      <x:c r="C296" s="16"/>
      <x:c r="D296" s="16"/>
      <x:c r="E296" s="16"/>
      <x:c r="F296" s="16"/>
      <x:c r="G296" s="16"/>
    </x:row>
    <x:row r="297">
      <x:c r="A297" s="16"/>
      <x:c r="B297" s="16"/>
      <x:c r="C297" s="16"/>
      <x:c r="D297" s="16"/>
      <x:c r="E297" s="16"/>
      <x:c r="F297" s="16"/>
      <x:c r="G297" s="16"/>
    </x:row>
    <x:row r="298">
      <x:c r="A298" s="16"/>
      <x:c r="B298" s="16"/>
      <x:c r="C298" s="16"/>
      <x:c r="D298" s="16"/>
      <x:c r="E298" s="16"/>
      <x:c r="F298" s="16"/>
      <x:c r="G298" s="16"/>
    </x:row>
    <x:row r="299">
      <x:c r="A299" s="16"/>
      <x:c r="B299" s="16"/>
      <x:c r="C299" s="16"/>
      <x:c r="D299" s="16"/>
      <x:c r="E299" s="16"/>
      <x:c r="F299" s="16"/>
      <x:c r="G299" s="16"/>
    </x:row>
    <x:row r="300">
      <x:c r="A300" s="16"/>
      <x:c r="B300" s="16"/>
      <x:c r="C300" s="16"/>
      <x:c r="D300" s="16"/>
      <x:c r="E300" s="16"/>
      <x:c r="F300" s="16"/>
      <x:c r="G300" s="16"/>
    </x:row>
    <x:row r="301">
      <x:c r="A301" s="16"/>
      <x:c r="B301" s="16"/>
      <x:c r="C301" s="16"/>
      <x:c r="D301" s="16"/>
      <x:c r="E301" s="16"/>
      <x:c r="F301" s="16"/>
      <x:c r="G301" s="16"/>
    </x:row>
    <x:row r="302">
      <x:c r="A302" s="16"/>
      <x:c r="B302" s="16"/>
      <x:c r="C302" s="16"/>
      <x:c r="D302" s="16"/>
      <x:c r="E302" s="16"/>
      <x:c r="F302" s="16"/>
      <x:c r="G302" s="16"/>
    </x:row>
    <x:row r="303">
      <x:c r="A303" s="16"/>
      <x:c r="B303" s="16"/>
      <x:c r="C303" s="16"/>
      <x:c r="D303" s="16"/>
      <x:c r="E303" s="16"/>
      <x:c r="F303" s="16"/>
      <x:c r="G303" s="16"/>
    </x:row>
    <x:row r="304">
      <x:c r="A304" s="16"/>
      <x:c r="B304" s="16"/>
      <x:c r="C304" s="16"/>
      <x:c r="D304" s="16"/>
      <x:c r="E304" s="16"/>
      <x:c r="F304" s="16"/>
      <x:c r="G304" s="16"/>
    </x:row>
    <x:row r="305">
      <x:c r="A305" s="16"/>
      <x:c r="B305" s="16"/>
      <x:c r="C305" s="16"/>
      <x:c r="D305" s="16"/>
      <x:c r="E305" s="16"/>
      <x:c r="F305" s="16"/>
      <x:c r="G305" s="16"/>
    </x:row>
    <x:row r="306">
      <x:c r="A306" s="16"/>
      <x:c r="B306" s="16"/>
      <x:c r="C306" s="16"/>
      <x:c r="D306" s="16"/>
      <x:c r="E306" s="16"/>
      <x:c r="F306" s="16"/>
      <x:c r="G306" s="16"/>
    </x:row>
    <x:row r="307">
      <x:c r="A307" s="16"/>
      <x:c r="B307" s="16"/>
      <x:c r="C307" s="16"/>
      <x:c r="D307" s="16"/>
      <x:c r="E307" s="16"/>
      <x:c r="F307" s="16"/>
      <x:c r="G307" s="16"/>
    </x:row>
    <x:row r="308">
      <x:c r="A308" s="16"/>
      <x:c r="B308" s="16"/>
      <x:c r="C308" s="16"/>
      <x:c r="D308" s="16"/>
      <x:c r="E308" s="16"/>
      <x:c r="F308" s="16"/>
      <x:c r="G308" s="16"/>
    </x:row>
    <x:row r="309">
      <x:c r="A309" s="16"/>
      <x:c r="B309" s="16"/>
      <x:c r="C309" s="16"/>
      <x:c r="D309" s="16"/>
      <x:c r="E309" s="16"/>
      <x:c r="F309" s="16"/>
      <x:c r="G309" s="16"/>
    </x:row>
    <x:row r="310">
      <x:c r="A310" s="16"/>
      <x:c r="B310" s="16"/>
      <x:c r="C310" s="16"/>
      <x:c r="D310" s="16"/>
      <x:c r="E310" s="16"/>
      <x:c r="F310" s="16"/>
      <x:c r="G310" s="16"/>
    </x:row>
    <x:row r="311">
      <x:c r="A311" s="16"/>
      <x:c r="B311" s="16"/>
      <x:c r="C311" s="16"/>
      <x:c r="D311" s="16"/>
      <x:c r="E311" s="16"/>
      <x:c r="F311" s="16"/>
      <x:c r="G311" s="16"/>
    </x:row>
    <x:row r="312">
      <x:c r="A312" s="16"/>
      <x:c r="B312" s="16"/>
      <x:c r="C312" s="16"/>
      <x:c r="D312" s="16"/>
      <x:c r="E312" s="16"/>
      <x:c r="F312" s="16"/>
      <x:c r="G312" s="16"/>
    </x:row>
    <x:row r="313">
      <x:c r="A313" s="16"/>
      <x:c r="B313" s="16"/>
      <x:c r="C313" s="16"/>
      <x:c r="D313" s="16"/>
      <x:c r="E313" s="16"/>
      <x:c r="F313" s="16"/>
      <x:c r="G313" s="16"/>
    </x:row>
    <x:row r="314">
      <x:c r="A314" s="16"/>
      <x:c r="B314" s="16"/>
      <x:c r="C314" s="16"/>
      <x:c r="D314" s="16"/>
      <x:c r="E314" s="16"/>
      <x:c r="F314" s="16"/>
      <x:c r="G314" s="16"/>
    </x:row>
    <x:row r="315">
      <x:c r="A315" s="16"/>
      <x:c r="B315" s="16"/>
      <x:c r="C315" s="16"/>
      <x:c r="D315" s="16"/>
      <x:c r="E315" s="16"/>
      <x:c r="F315" s="16"/>
      <x:c r="G315" s="16"/>
    </x:row>
    <x:row r="316">
      <x:c r="A316" s="16"/>
      <x:c r="B316" s="16"/>
      <x:c r="C316" s="16"/>
      <x:c r="D316" s="16"/>
      <x:c r="E316" s="16"/>
      <x:c r="F316" s="16"/>
      <x:c r="G316" s="16"/>
    </x:row>
    <x:row r="317">
      <x:c r="A317" s="16"/>
      <x:c r="B317" s="16"/>
      <x:c r="C317" s="16"/>
      <x:c r="D317" s="16"/>
      <x:c r="E317" s="16"/>
      <x:c r="F317" s="16"/>
      <x:c r="G317" s="16"/>
    </x:row>
    <x:row r="318">
      <x:c r="A318" s="16"/>
      <x:c r="B318" s="16"/>
      <x:c r="C318" s="16"/>
      <x:c r="D318" s="16"/>
      <x:c r="E318" s="16"/>
      <x:c r="F318" s="16"/>
      <x:c r="G318" s="16"/>
    </x:row>
    <x:row r="319">
      <x:c r="A319" s="16"/>
      <x:c r="B319" s="16"/>
      <x:c r="C319" s="16"/>
      <x:c r="D319" s="16"/>
      <x:c r="E319" s="16"/>
      <x:c r="F319" s="16"/>
      <x:c r="G319" s="16"/>
    </x:row>
    <x:row r="320">
      <x:c r="A320" s="16"/>
      <x:c r="B320" s="16"/>
      <x:c r="C320" s="16"/>
      <x:c r="D320" s="16"/>
      <x:c r="E320" s="16"/>
      <x:c r="F320" s="16"/>
      <x:c r="G320" s="16"/>
    </x:row>
    <x:row r="321">
      <x:c r="A321" s="16"/>
      <x:c r="B321" s="16"/>
      <x:c r="C321" s="16"/>
      <x:c r="D321" s="16"/>
      <x:c r="E321" s="16"/>
      <x:c r="F321" s="16"/>
      <x:c r="G321" s="16"/>
    </x:row>
    <x:row r="322">
      <x:c r="A322" s="16"/>
      <x:c r="B322" s="16"/>
      <x:c r="C322" s="16"/>
      <x:c r="D322" s="16"/>
      <x:c r="E322" s="16"/>
      <x:c r="F322" s="16"/>
      <x:c r="G322" s="16"/>
    </x:row>
    <x:row r="323">
      <x:c r="A323" s="16"/>
      <x:c r="B323" s="16"/>
      <x:c r="C323" s="16"/>
      <x:c r="D323" s="16"/>
      <x:c r="E323" s="16"/>
      <x:c r="F323" s="16"/>
      <x:c r="G323" s="16"/>
    </x:row>
    <x:row r="324">
      <x:c r="A324" s="16"/>
      <x:c r="B324" s="16"/>
      <x:c r="C324" s="16"/>
      <x:c r="D324" s="16"/>
      <x:c r="E324" s="16"/>
      <x:c r="F324" s="16"/>
      <x:c r="G324" s="16"/>
    </x:row>
    <x:row r="325">
      <x:c r="A325" s="16"/>
      <x:c r="B325" s="16"/>
      <x:c r="C325" s="16"/>
      <x:c r="D325" s="16"/>
      <x:c r="E325" s="16"/>
      <x:c r="F325" s="16"/>
      <x:c r="G325" s="16"/>
    </x:row>
    <x:row r="326">
      <x:c r="A326" s="16"/>
      <x:c r="B326" s="16"/>
      <x:c r="C326" s="16"/>
      <x:c r="D326" s="16"/>
      <x:c r="E326" s="16"/>
      <x:c r="F326" s="16"/>
      <x:c r="G326" s="16"/>
    </x:row>
    <x:row r="327">
      <x:c r="A327" s="16"/>
      <x:c r="B327" s="16"/>
      <x:c r="C327" s="16"/>
      <x:c r="D327" s="16"/>
      <x:c r="E327" s="16"/>
      <x:c r="F327" s="16"/>
      <x:c r="G327" s="16"/>
    </x:row>
    <x:row r="328">
      <x:c r="A328" s="16"/>
      <x:c r="B328" s="16"/>
      <x:c r="C328" s="16"/>
      <x:c r="D328" s="16"/>
      <x:c r="E328" s="16"/>
      <x:c r="F328" s="16"/>
      <x:c r="G328" s="16"/>
    </x:row>
    <x:row r="329">
      <x:c r="A329" s="16"/>
      <x:c r="B329" s="16"/>
      <x:c r="C329" s="16"/>
      <x:c r="D329" s="16"/>
      <x:c r="E329" s="16"/>
      <x:c r="F329" s="16"/>
      <x:c r="G329" s="16"/>
    </x:row>
    <x:row r="330">
      <x:c r="A330" s="16"/>
      <x:c r="B330" s="16"/>
      <x:c r="C330" s="16"/>
      <x:c r="D330" s="16"/>
      <x:c r="E330" s="16"/>
      <x:c r="F330" s="16"/>
      <x:c r="G330" s="16"/>
    </x:row>
    <x:row r="331">
      <x:c r="A331" s="16"/>
      <x:c r="B331" s="16"/>
      <x:c r="C331" s="16"/>
      <x:c r="D331" s="16"/>
      <x:c r="E331" s="16"/>
      <x:c r="F331" s="16"/>
      <x:c r="G331" s="16"/>
    </x:row>
    <x:row r="332">
      <x:c r="A332" s="16"/>
      <x:c r="B332" s="16"/>
      <x:c r="C332" s="16"/>
      <x:c r="D332" s="16"/>
      <x:c r="E332" s="16"/>
      <x:c r="F332" s="16"/>
      <x:c r="G332" s="16"/>
    </x:row>
    <x:row r="333">
      <x:c r="A333" s="16"/>
      <x:c r="B333" s="16"/>
      <x:c r="C333" s="16"/>
      <x:c r="D333" s="16"/>
      <x:c r="E333" s="16"/>
      <x:c r="F333" s="16"/>
      <x:c r="G333" s="16"/>
    </x:row>
    <x:row r="334">
      <x:c r="A334" s="16"/>
      <x:c r="B334" s="16"/>
      <x:c r="C334" s="16"/>
      <x:c r="D334" s="16"/>
      <x:c r="E334" s="16"/>
      <x:c r="F334" s="16"/>
      <x:c r="G334" s="16"/>
    </x:row>
    <x:row r="335">
      <x:c r="A335" s="16"/>
      <x:c r="B335" s="16"/>
      <x:c r="C335" s="16"/>
      <x:c r="D335" s="16"/>
      <x:c r="E335" s="16"/>
      <x:c r="F335" s="16"/>
      <x:c r="G335" s="16"/>
    </x:row>
    <x:row r="336">
      <x:c r="A336" s="16"/>
      <x:c r="B336" s="16"/>
      <x:c r="C336" s="16"/>
      <x:c r="D336" s="16"/>
      <x:c r="E336" s="16"/>
      <x:c r="F336" s="16"/>
      <x:c r="G336" s="16"/>
    </x:row>
    <x:row r="337">
      <x:c r="A337" s="16"/>
      <x:c r="B337" s="16"/>
      <x:c r="C337" s="16"/>
      <x:c r="D337" s="16"/>
      <x:c r="E337" s="16"/>
      <x:c r="F337" s="16"/>
      <x:c r="G337" s="16"/>
    </x:row>
    <x:row r="338">
      <x:c r="A338" s="16"/>
      <x:c r="B338" s="16"/>
      <x:c r="C338" s="16"/>
      <x:c r="D338" s="16"/>
      <x:c r="E338" s="16"/>
      <x:c r="F338" s="16"/>
      <x:c r="G338" s="16"/>
    </x:row>
    <x:row r="339">
      <x:c r="A339" s="16"/>
      <x:c r="B339" s="16"/>
      <x:c r="C339" s="16"/>
      <x:c r="D339" s="16"/>
      <x:c r="E339" s="16"/>
      <x:c r="F339" s="16"/>
      <x:c r="G339" s="16"/>
    </x:row>
    <x:row r="340">
      <x:c r="A340" s="16"/>
      <x:c r="B340" s="16"/>
      <x:c r="C340" s="16"/>
      <x:c r="D340" s="16"/>
      <x:c r="E340" s="16"/>
      <x:c r="F340" s="16"/>
      <x:c r="G340" s="16"/>
    </x:row>
    <x:row r="341">
      <x:c r="A341" s="16"/>
      <x:c r="B341" s="16"/>
      <x:c r="C341" s="16"/>
      <x:c r="D341" s="16"/>
      <x:c r="E341" s="16"/>
      <x:c r="F341" s="16"/>
      <x:c r="G341" s="16"/>
    </x:row>
    <x:row r="342">
      <x:c r="A342" s="16"/>
      <x:c r="B342" s="16"/>
      <x:c r="C342" s="16"/>
      <x:c r="D342" s="16"/>
      <x:c r="E342" s="16"/>
      <x:c r="F342" s="16"/>
      <x:c r="G342" s="16"/>
    </x:row>
    <x:row r="343">
      <x:c r="A343" s="16"/>
      <x:c r="B343" s="16"/>
      <x:c r="C343" s="16"/>
      <x:c r="D343" s="16"/>
      <x:c r="E343" s="16"/>
      <x:c r="F343" s="16"/>
      <x:c r="G343" s="16"/>
    </x:row>
    <x:row r="344">
      <x:c r="A344" s="16"/>
      <x:c r="B344" s="16"/>
      <x:c r="C344" s="16"/>
      <x:c r="D344" s="16"/>
      <x:c r="E344" s="16"/>
      <x:c r="F344" s="16"/>
      <x:c r="G344" s="16"/>
    </x:row>
    <x:row r="345">
      <x:c r="A345" s="16"/>
      <x:c r="B345" s="16"/>
      <x:c r="C345" s="16"/>
      <x:c r="D345" s="16"/>
      <x:c r="E345" s="16"/>
      <x:c r="F345" s="16"/>
      <x:c r="G345" s="16"/>
    </x:row>
    <x:row r="346">
      <x:c r="A346" s="16"/>
      <x:c r="B346" s="16"/>
      <x:c r="C346" s="16"/>
      <x:c r="D346" s="16"/>
      <x:c r="E346" s="16"/>
      <x:c r="F346" s="16"/>
      <x:c r="G346" s="16"/>
    </x:row>
    <x:row r="347">
      <x:c r="A347" s="16"/>
      <x:c r="B347" s="16"/>
      <x:c r="C347" s="16"/>
      <x:c r="D347" s="16"/>
      <x:c r="E347" s="16"/>
      <x:c r="F347" s="16"/>
      <x:c r="G347" s="16"/>
    </x:row>
    <x:row r="348">
      <x:c r="A348" s="16"/>
      <x:c r="B348" s="16"/>
      <x:c r="C348" s="16"/>
      <x:c r="D348" s="16"/>
      <x:c r="E348" s="16"/>
      <x:c r="F348" s="16"/>
      <x:c r="G348" s="16"/>
    </x:row>
    <x:row r="349">
      <x:c r="A349" s="16"/>
      <x:c r="B349" s="16"/>
      <x:c r="C349" s="16"/>
      <x:c r="D349" s="16"/>
      <x:c r="E349" s="16"/>
      <x:c r="F349" s="16"/>
      <x:c r="G349" s="16"/>
    </x:row>
    <x:row r="350">
      <x:c r="A350" s="16"/>
      <x:c r="B350" s="16"/>
      <x:c r="C350" s="16"/>
      <x:c r="D350" s="16"/>
      <x:c r="E350" s="16"/>
      <x:c r="F350" s="16"/>
      <x:c r="G350" s="16"/>
    </x:row>
    <x:row r="351">
      <x:c r="A351" s="16"/>
      <x:c r="B351" s="16"/>
      <x:c r="C351" s="16"/>
      <x:c r="D351" s="16"/>
      <x:c r="E351" s="16"/>
      <x:c r="F351" s="16"/>
      <x:c r="G351" s="16"/>
    </x:row>
    <x:row r="352">
      <x:c r="A352" s="16"/>
      <x:c r="B352" s="16"/>
      <x:c r="C352" s="16"/>
      <x:c r="D352" s="16"/>
      <x:c r="E352" s="16"/>
      <x:c r="F352" s="16"/>
      <x:c r="G352" s="16"/>
    </x:row>
    <x:row r="353">
      <x:c r="A353" s="16"/>
      <x:c r="B353" s="16"/>
      <x:c r="C353" s="16"/>
      <x:c r="D353" s="16"/>
      <x:c r="E353" s="16"/>
      <x:c r="F353" s="16"/>
      <x:c r="G353" s="16"/>
    </x:row>
    <x:row r="354">
      <x:c r="A354" s="16"/>
      <x:c r="B354" s="16"/>
      <x:c r="C354" s="16"/>
      <x:c r="D354" s="16"/>
      <x:c r="E354" s="16"/>
      <x:c r="F354" s="16"/>
      <x:c r="G354" s="16"/>
    </x:row>
    <x:row r="355">
      <x:c r="A355" s="16"/>
      <x:c r="B355" s="16"/>
      <x:c r="C355" s="16"/>
      <x:c r="D355" s="16"/>
      <x:c r="E355" s="16"/>
      <x:c r="F355" s="16"/>
      <x:c r="G355" s="16"/>
    </x:row>
    <x:row r="356">
      <x:c r="A356" s="16"/>
      <x:c r="B356" s="16"/>
      <x:c r="C356" s="16"/>
      <x:c r="D356" s="16"/>
      <x:c r="E356" s="16"/>
      <x:c r="F356" s="16"/>
      <x:c r="G356" s="16"/>
    </x:row>
    <x:row r="357">
      <x:c r="A357" s="16"/>
      <x:c r="B357" s="16"/>
      <x:c r="C357" s="16"/>
      <x:c r="D357" s="16"/>
      <x:c r="E357" s="16"/>
      <x:c r="F357" s="16"/>
      <x:c r="G357" s="16"/>
    </x:row>
    <x:row r="358">
      <x:c r="A358" s="16"/>
      <x:c r="B358" s="16"/>
      <x:c r="C358" s="16"/>
      <x:c r="D358" s="16"/>
      <x:c r="E358" s="16"/>
      <x:c r="F358" s="16"/>
      <x:c r="G358" s="16"/>
    </x:row>
    <x:row r="359">
      <x:c r="A359" s="16"/>
      <x:c r="B359" s="16"/>
      <x:c r="C359" s="16"/>
      <x:c r="D359" s="16"/>
      <x:c r="E359" s="16"/>
      <x:c r="F359" s="16"/>
      <x:c r="G359" s="16"/>
    </x:row>
    <x:row r="360">
      <x:c r="A360" s="16"/>
      <x:c r="B360" s="16"/>
      <x:c r="C360" s="16"/>
      <x:c r="D360" s="16"/>
      <x:c r="E360" s="16"/>
      <x:c r="F360" s="16"/>
      <x:c r="G360" s="16"/>
    </x:row>
    <x:row r="361">
      <x:c r="A361" s="16"/>
      <x:c r="B361" s="16"/>
      <x:c r="C361" s="16"/>
      <x:c r="D361" s="16"/>
      <x:c r="E361" s="16"/>
      <x:c r="F361" s="16"/>
      <x:c r="G361" s="16"/>
    </x:row>
    <x:row r="362">
      <x:c r="A362" s="16"/>
      <x:c r="B362" s="16"/>
      <x:c r="C362" s="16"/>
      <x:c r="D362" s="16"/>
      <x:c r="E362" s="16"/>
      <x:c r="F362" s="16"/>
      <x:c r="G362" s="16"/>
    </x:row>
    <x:row r="363">
      <x:c r="A363" s="16"/>
      <x:c r="B363" s="16"/>
      <x:c r="C363" s="16"/>
      <x:c r="D363" s="16"/>
      <x:c r="E363" s="16"/>
      <x:c r="F363" s="16"/>
      <x:c r="G363" s="16"/>
    </x:row>
    <x:row r="364">
      <x:c r="A364" s="16"/>
      <x:c r="B364" s="16"/>
      <x:c r="C364" s="16"/>
      <x:c r="D364" s="16"/>
      <x:c r="E364" s="16"/>
      <x:c r="F364" s="16"/>
      <x:c r="G364" s="16"/>
    </x:row>
    <x:row r="365">
      <x:c r="A365" s="16"/>
      <x:c r="B365" s="16"/>
      <x:c r="C365" s="16"/>
      <x:c r="D365" s="16"/>
      <x:c r="E365" s="16"/>
      <x:c r="F365" s="16"/>
      <x:c r="G365" s="16"/>
    </x:row>
    <x:row r="366">
      <x:c r="A366" s="16"/>
      <x:c r="B366" s="16"/>
      <x:c r="C366" s="16"/>
      <x:c r="D366" s="16"/>
      <x:c r="E366" s="16"/>
      <x:c r="F366" s="16"/>
      <x:c r="G366" s="16"/>
    </x:row>
    <x:row r="367">
      <x:c r="A367" s="16"/>
      <x:c r="B367" s="16"/>
      <x:c r="C367" s="16"/>
      <x:c r="D367" s="16"/>
      <x:c r="E367" s="16"/>
      <x:c r="F367" s="16"/>
      <x:c r="G367" s="16"/>
    </x:row>
    <x:row r="368">
      <x:c r="A368" s="16"/>
      <x:c r="B368" s="16"/>
      <x:c r="C368" s="16"/>
      <x:c r="D368" s="16"/>
      <x:c r="E368" s="16"/>
      <x:c r="F368" s="16"/>
      <x:c r="G368" s="16"/>
    </x:row>
    <x:row r="369">
      <x:c r="A369" s="16"/>
      <x:c r="B369" s="16"/>
      <x:c r="C369" s="16"/>
      <x:c r="D369" s="16"/>
      <x:c r="E369" s="16"/>
      <x:c r="F369" s="16"/>
      <x:c r="G369" s="16"/>
    </x:row>
    <x:row r="370">
      <x:c r="A370" s="16"/>
      <x:c r="B370" s="16"/>
      <x:c r="C370" s="16"/>
      <x:c r="D370" s="16"/>
      <x:c r="E370" s="16"/>
      <x:c r="F370" s="16"/>
      <x:c r="G370" s="16"/>
    </x:row>
    <x:row r="371">
      <x:c r="A371" s="16"/>
      <x:c r="B371" s="16"/>
      <x:c r="C371" s="16"/>
      <x:c r="D371" s="16"/>
      <x:c r="E371" s="16"/>
      <x:c r="F371" s="16"/>
      <x:c r="G371" s="16"/>
    </x:row>
    <x:row r="372">
      <x:c r="A372" s="16"/>
      <x:c r="B372" s="16"/>
      <x:c r="C372" s="16"/>
      <x:c r="D372" s="16"/>
      <x:c r="E372" s="16"/>
      <x:c r="F372" s="16"/>
      <x:c r="G372" s="16"/>
    </x:row>
    <x:row r="373">
      <x:c r="A373" s="16"/>
      <x:c r="B373" s="16"/>
      <x:c r="C373" s="16"/>
      <x:c r="D373" s="16"/>
      <x:c r="E373" s="16"/>
      <x:c r="F373" s="16"/>
      <x:c r="G373" s="16"/>
    </x:row>
    <x:row r="374">
      <x:c r="A374" s="16"/>
      <x:c r="B374" s="16"/>
      <x:c r="C374" s="16"/>
      <x:c r="D374" s="16"/>
      <x:c r="E374" s="16"/>
      <x:c r="F374" s="16"/>
      <x:c r="G374" s="16"/>
    </x:row>
    <x:row r="375">
      <x:c r="A375" s="16"/>
      <x:c r="B375" s="16"/>
      <x:c r="C375" s="16"/>
      <x:c r="D375" s="16"/>
      <x:c r="E375" s="16"/>
      <x:c r="F375" s="16"/>
      <x:c r="G375" s="16"/>
    </x:row>
    <x:row r="376">
      <x:c r="A376" s="16"/>
      <x:c r="B376" s="16"/>
      <x:c r="C376" s="16"/>
      <x:c r="D376" s="16"/>
      <x:c r="E376" s="16"/>
      <x:c r="F376" s="16"/>
      <x:c r="G376" s="16"/>
    </x:row>
    <x:row r="377">
      <x:c r="A377" s="16"/>
      <x:c r="B377" s="16"/>
      <x:c r="C377" s="16"/>
      <x:c r="D377" s="16"/>
      <x:c r="E377" s="16"/>
      <x:c r="F377" s="16"/>
      <x:c r="G377" s="16"/>
    </x:row>
    <x:row r="378">
      <x:c r="A378" s="16"/>
      <x:c r="B378" s="16"/>
      <x:c r="C378" s="16"/>
      <x:c r="D378" s="16"/>
      <x:c r="E378" s="16"/>
      <x:c r="F378" s="16"/>
      <x:c r="G378" s="16"/>
    </x:row>
    <x:row r="379">
      <x:c r="A379" s="16"/>
      <x:c r="B379" s="16"/>
      <x:c r="C379" s="16"/>
      <x:c r="D379" s="16"/>
      <x:c r="E379" s="16"/>
      <x:c r="F379" s="16"/>
      <x:c r="G379" s="16"/>
    </x:row>
    <x:row r="380">
      <x:c r="A380" s="16"/>
      <x:c r="B380" s="16"/>
      <x:c r="C380" s="16"/>
      <x:c r="D380" s="16"/>
      <x:c r="E380" s="16"/>
      <x:c r="F380" s="16"/>
      <x:c r="G380" s="16"/>
    </x:row>
    <x:row r="381">
      <x:c r="A381" s="16"/>
      <x:c r="B381" s="16"/>
      <x:c r="C381" s="16"/>
      <x:c r="D381" s="16"/>
      <x:c r="E381" s="16"/>
      <x:c r="F381" s="16"/>
      <x:c r="G381" s="16"/>
    </x:row>
    <x:row r="382">
      <x:c r="A382" s="16"/>
      <x:c r="B382" s="16"/>
      <x:c r="C382" s="16"/>
      <x:c r="D382" s="16"/>
      <x:c r="E382" s="16"/>
      <x:c r="F382" s="16"/>
      <x:c r="G382" s="16"/>
    </x:row>
    <x:row r="383">
      <x:c r="A383" s="16"/>
      <x:c r="B383" s="16"/>
      <x:c r="C383" s="16"/>
      <x:c r="D383" s="16"/>
      <x:c r="E383" s="16"/>
      <x:c r="F383" s="16"/>
      <x:c r="G383" s="16"/>
    </x:row>
    <x:row r="384">
      <x:c r="A384" s="16"/>
      <x:c r="B384" s="16"/>
      <x:c r="C384" s="16"/>
      <x:c r="D384" s="16"/>
      <x:c r="E384" s="16"/>
      <x:c r="F384" s="16"/>
      <x:c r="G384" s="16"/>
    </x:row>
    <x:row r="385">
      <x:c r="A385" s="16"/>
      <x:c r="B385" s="16"/>
      <x:c r="C385" s="16"/>
      <x:c r="D385" s="16"/>
      <x:c r="E385" s="16"/>
      <x:c r="F385" s="16"/>
      <x:c r="G385" s="16"/>
    </x:row>
    <x:row r="386">
      <x:c r="A386" s="16"/>
      <x:c r="B386" s="16"/>
      <x:c r="C386" s="16"/>
      <x:c r="D386" s="16"/>
      <x:c r="E386" s="16"/>
      <x:c r="F386" s="16"/>
      <x:c r="G386" s="16"/>
    </x:row>
    <x:row r="387">
      <x:c r="A387" s="16"/>
      <x:c r="B387" s="16"/>
      <x:c r="C387" s="16"/>
      <x:c r="D387" s="16"/>
      <x:c r="E387" s="16"/>
      <x:c r="F387" s="16"/>
      <x:c r="G387" s="16"/>
    </x:row>
    <x:row r="388">
      <x:c r="A388" s="16"/>
      <x:c r="B388" s="16"/>
      <x:c r="C388" s="16"/>
      <x:c r="D388" s="16"/>
      <x:c r="E388" s="16"/>
      <x:c r="F388" s="16"/>
      <x:c r="G388" s="16"/>
    </x:row>
    <x:row r="389">
      <x:c r="A389" s="16"/>
      <x:c r="B389" s="16"/>
      <x:c r="C389" s="16"/>
      <x:c r="D389" s="16"/>
      <x:c r="E389" s="16"/>
      <x:c r="F389" s="16"/>
      <x:c r="G389" s="16"/>
    </x:row>
    <x:row r="390">
      <x:c r="A390" s="16"/>
      <x:c r="B390" s="16"/>
      <x:c r="C390" s="16"/>
      <x:c r="D390" s="16"/>
      <x:c r="E390" s="16"/>
      <x:c r="F390" s="16"/>
      <x:c r="G390" s="16"/>
    </x:row>
    <x:row r="391">
      <x:c r="A391" s="16"/>
      <x:c r="B391" s="16"/>
      <x:c r="C391" s="16"/>
      <x:c r="D391" s="16"/>
      <x:c r="E391" s="16"/>
      <x:c r="F391" s="16"/>
      <x:c r="G391" s="16"/>
    </x:row>
    <x:row r="392">
      <x:c r="A392" s="16"/>
      <x:c r="B392" s="16"/>
      <x:c r="C392" s="16"/>
      <x:c r="D392" s="16"/>
      <x:c r="E392" s="16"/>
      <x:c r="F392" s="16"/>
      <x:c r="G392" s="16"/>
    </x:row>
    <x:row r="393">
      <x:c r="A393" s="16"/>
      <x:c r="B393" s="16"/>
      <x:c r="C393" s="16"/>
      <x:c r="D393" s="16"/>
      <x:c r="E393" s="16"/>
      <x:c r="F393" s="16"/>
      <x:c r="G393" s="16"/>
    </x:row>
    <x:row r="394">
      <x:c r="A394" s="16"/>
      <x:c r="B394" s="16"/>
      <x:c r="C394" s="16"/>
      <x:c r="D394" s="16"/>
      <x:c r="E394" s="16"/>
      <x:c r="F394" s="16"/>
      <x:c r="G394" s="16"/>
    </x:row>
    <x:row r="395">
      <x:c r="A395" s="16"/>
      <x:c r="B395" s="16"/>
      <x:c r="C395" s="16"/>
      <x:c r="D395" s="16"/>
      <x:c r="E395" s="16"/>
      <x:c r="F395" s="16"/>
      <x:c r="G395" s="16"/>
    </x:row>
    <x:row r="396">
      <x:c r="A396" s="16"/>
      <x:c r="B396" s="16"/>
      <x:c r="C396" s="16"/>
      <x:c r="D396" s="16"/>
      <x:c r="E396" s="16"/>
      <x:c r="F396" s="16"/>
      <x:c r="G396" s="16"/>
    </x:row>
    <x:row r="397">
      <x:c r="A397" s="16"/>
      <x:c r="B397" s="16"/>
      <x:c r="C397" s="16"/>
      <x:c r="D397" s="16"/>
      <x:c r="E397" s="16"/>
      <x:c r="F397" s="16"/>
      <x:c r="G397" s="16"/>
    </x:row>
    <x:row r="398">
      <x:c r="A398" s="16"/>
      <x:c r="B398" s="16"/>
      <x:c r="C398" s="16"/>
      <x:c r="D398" s="16"/>
      <x:c r="E398" s="16"/>
      <x:c r="F398" s="16"/>
      <x:c r="G398" s="16"/>
    </x:row>
    <x:row r="399">
      <x:c r="A399" s="16"/>
      <x:c r="B399" s="16"/>
      <x:c r="C399" s="16"/>
      <x:c r="D399" s="16"/>
      <x:c r="E399" s="16"/>
      <x:c r="F399" s="16"/>
      <x:c r="G399" s="16"/>
    </x:row>
    <x:row r="400">
      <x:c r="A400" s="16"/>
      <x:c r="B400" s="16"/>
      <x:c r="C400" s="16"/>
      <x:c r="D400" s="16"/>
      <x:c r="E400" s="16"/>
      <x:c r="F400" s="16"/>
      <x:c r="G400" s="16"/>
    </x:row>
    <x:row r="401">
      <x:c r="A401" s="16"/>
      <x:c r="B401" s="16"/>
      <x:c r="C401" s="16"/>
      <x:c r="D401" s="16"/>
      <x:c r="E401" s="16"/>
      <x:c r="F401" s="16"/>
      <x:c r="G401" s="16"/>
    </x:row>
    <x:row r="402">
      <x:c r="A402" s="16"/>
      <x:c r="B402" s="16"/>
      <x:c r="C402" s="16"/>
      <x:c r="D402" s="16"/>
      <x:c r="E402" s="16"/>
      <x:c r="F402" s="16"/>
      <x:c r="G402" s="16"/>
    </x:row>
    <x:row r="403">
      <x:c r="A403" s="16"/>
      <x:c r="B403" s="16"/>
      <x:c r="C403" s="16"/>
      <x:c r="D403" s="16"/>
      <x:c r="E403" s="16"/>
      <x:c r="F403" s="16"/>
      <x:c r="G403" s="16"/>
    </x:row>
    <x:row r="404">
      <x:c r="A404" s="16"/>
      <x:c r="B404" s="16"/>
      <x:c r="C404" s="16"/>
      <x:c r="D404" s="16"/>
      <x:c r="E404" s="16"/>
      <x:c r="F404" s="16"/>
      <x:c r="G404" s="16"/>
    </x:row>
    <x:row r="405">
      <x:c r="A405" s="16"/>
      <x:c r="B405" s="16"/>
      <x:c r="C405" s="16"/>
      <x:c r="D405" s="16"/>
      <x:c r="E405" s="16"/>
      <x:c r="F405" s="16"/>
      <x:c r="G405" s="16"/>
    </x:row>
    <x:row r="406">
      <x:c r="A406" s="16"/>
      <x:c r="B406" s="16"/>
      <x:c r="C406" s="16"/>
      <x:c r="D406" s="16"/>
      <x:c r="E406" s="16"/>
      <x:c r="F406" s="16"/>
      <x:c r="G406" s="16"/>
    </x:row>
    <x:row r="407">
      <x:c r="A407" s="16"/>
      <x:c r="B407" s="16"/>
      <x:c r="C407" s="16"/>
      <x:c r="D407" s="16"/>
      <x:c r="E407" s="16"/>
      <x:c r="F407" s="16"/>
      <x:c r="G407" s="16"/>
    </x:row>
    <x:row r="408">
      <x:c r="A408" s="16"/>
      <x:c r="B408" s="16"/>
      <x:c r="C408" s="16"/>
      <x:c r="D408" s="16"/>
      <x:c r="E408" s="16"/>
      <x:c r="F408" s="16"/>
      <x:c r="G408" s="16"/>
    </x:row>
    <x:row r="409">
      <x:c r="A409" s="16"/>
      <x:c r="B409" s="16"/>
      <x:c r="C409" s="16"/>
      <x:c r="D409" s="16"/>
      <x:c r="E409" s="16"/>
      <x:c r="F409" s="16"/>
      <x:c r="G409" s="16"/>
    </x:row>
    <x:row r="410">
      <x:c r="A410" s="16"/>
      <x:c r="B410" s="16"/>
      <x:c r="C410" s="16"/>
      <x:c r="D410" s="16"/>
      <x:c r="E410" s="16"/>
      <x:c r="F410" s="16"/>
      <x:c r="G410" s="16"/>
    </x:row>
    <x:row r="411">
      <x:c r="A411" s="16"/>
      <x:c r="B411" s="16"/>
      <x:c r="C411" s="16"/>
      <x:c r="D411" s="16"/>
      <x:c r="E411" s="16"/>
      <x:c r="F411" s="16"/>
      <x:c r="G411" s="16"/>
    </x:row>
    <x:row r="412">
      <x:c r="A412" s="16"/>
      <x:c r="B412" s="16"/>
      <x:c r="C412" s="16"/>
      <x:c r="D412" s="16"/>
      <x:c r="E412" s="16"/>
      <x:c r="F412" s="16"/>
      <x:c r="G412" s="16"/>
    </x:row>
    <x:row r="413">
      <x:c r="A413" s="16"/>
      <x:c r="B413" s="16"/>
      <x:c r="C413" s="16"/>
      <x:c r="D413" s="16"/>
      <x:c r="E413" s="16"/>
      <x:c r="F413" s="16"/>
      <x:c r="G413" s="16"/>
    </x:row>
    <x:row r="414">
      <x:c r="A414" s="16"/>
      <x:c r="B414" s="16"/>
      <x:c r="C414" s="16"/>
      <x:c r="D414" s="16"/>
      <x:c r="E414" s="16"/>
      <x:c r="F414" s="16"/>
      <x:c r="G414" s="16"/>
    </x:row>
    <x:row r="415">
      <x:c r="A415" s="16"/>
      <x:c r="B415" s="16"/>
      <x:c r="C415" s="16"/>
      <x:c r="D415" s="16"/>
      <x:c r="E415" s="16"/>
      <x:c r="F415" s="16"/>
      <x:c r="G415" s="16"/>
    </x:row>
    <x:row r="416">
      <x:c r="A416" s="16"/>
      <x:c r="B416" s="16"/>
      <x:c r="C416" s="16"/>
      <x:c r="D416" s="16"/>
      <x:c r="E416" s="16"/>
      <x:c r="F416" s="16"/>
      <x:c r="G416" s="16"/>
    </x:row>
    <x:row r="417">
      <x:c r="A417" s="16"/>
      <x:c r="B417" s="16"/>
      <x:c r="C417" s="16"/>
      <x:c r="D417" s="16"/>
      <x:c r="E417" s="16"/>
      <x:c r="F417" s="16"/>
      <x:c r="G417" s="16"/>
    </x:row>
    <x:row r="418">
      <x:c r="A418" s="16"/>
      <x:c r="B418" s="16"/>
      <x:c r="C418" s="16"/>
      <x:c r="D418" s="16"/>
      <x:c r="E418" s="16"/>
      <x:c r="F418" s="16"/>
      <x:c r="G418" s="16"/>
    </x:row>
    <x:row r="419">
      <x:c r="A419" s="16"/>
      <x:c r="B419" s="16"/>
      <x:c r="C419" s="16"/>
      <x:c r="D419" s="16"/>
      <x:c r="E419" s="16"/>
      <x:c r="F419" s="16"/>
      <x:c r="G419" s="16"/>
    </x:row>
    <x:row r="420">
      <x:c r="A420" s="16"/>
      <x:c r="B420" s="16"/>
      <x:c r="C420" s="16"/>
      <x:c r="D420" s="16"/>
      <x:c r="E420" s="16"/>
      <x:c r="F420" s="16"/>
      <x:c r="G420" s="16"/>
    </x:row>
    <x:row r="421">
      <x:c r="A421" s="16"/>
      <x:c r="B421" s="16"/>
      <x:c r="C421" s="16"/>
      <x:c r="D421" s="16"/>
      <x:c r="E421" s="16"/>
      <x:c r="F421" s="16"/>
      <x:c r="G421" s="16"/>
    </x:row>
    <x:row r="422">
      <x:c r="A422" s="16"/>
      <x:c r="B422" s="16"/>
      <x:c r="C422" s="16"/>
      <x:c r="D422" s="16"/>
      <x:c r="E422" s="16"/>
      <x:c r="F422" s="16"/>
      <x:c r="G422" s="16"/>
    </x:row>
    <x:row r="423">
      <x:c r="A423" s="16"/>
      <x:c r="B423" s="16"/>
      <x:c r="C423" s="16"/>
      <x:c r="D423" s="16"/>
      <x:c r="E423" s="16"/>
      <x:c r="F423" s="16"/>
      <x:c r="G423" s="16"/>
    </x:row>
    <x:row r="424">
      <x:c r="A424" s="16"/>
      <x:c r="B424" s="16"/>
      <x:c r="C424" s="16"/>
      <x:c r="D424" s="16"/>
      <x:c r="E424" s="16"/>
      <x:c r="F424" s="16"/>
      <x:c r="G424" s="16"/>
    </x:row>
    <x:row r="425">
      <x:c r="A425" s="16"/>
      <x:c r="B425" s="16"/>
      <x:c r="C425" s="16"/>
      <x:c r="D425" s="16"/>
      <x:c r="E425" s="16"/>
      <x:c r="F425" s="16"/>
      <x:c r="G425" s="16"/>
    </x:row>
    <x:row r="426">
      <x:c r="A426" s="16"/>
      <x:c r="B426" s="16"/>
      <x:c r="C426" s="16"/>
      <x:c r="D426" s="16"/>
      <x:c r="E426" s="16"/>
      <x:c r="F426" s="16"/>
      <x:c r="G426" s="16"/>
    </x:row>
    <x:row r="427">
      <x:c r="A427" s="16"/>
      <x:c r="B427" s="16"/>
      <x:c r="C427" s="16"/>
      <x:c r="D427" s="16"/>
      <x:c r="E427" s="16"/>
      <x:c r="F427" s="16"/>
      <x:c r="G427" s="16"/>
    </x:row>
    <x:row r="428">
      <x:c r="A428" s="16"/>
      <x:c r="B428" s="16"/>
      <x:c r="C428" s="16"/>
      <x:c r="D428" s="16"/>
      <x:c r="E428" s="16"/>
      <x:c r="F428" s="16"/>
      <x:c r="G428" s="16"/>
    </x:row>
    <x:row r="429">
      <x:c r="A429" s="16"/>
      <x:c r="B429" s="16"/>
      <x:c r="C429" s="16"/>
      <x:c r="D429" s="16"/>
      <x:c r="E429" s="16"/>
      <x:c r="F429" s="16"/>
      <x:c r="G429" s="16"/>
    </x:row>
    <x:row r="430">
      <x:c r="A430" s="16"/>
      <x:c r="B430" s="16"/>
      <x:c r="C430" s="16"/>
      <x:c r="D430" s="16"/>
      <x:c r="E430" s="16"/>
      <x:c r="F430" s="16"/>
      <x:c r="G430" s="16"/>
    </x:row>
    <x:row r="431">
      <x:c r="A431" s="16"/>
      <x:c r="B431" s="16"/>
      <x:c r="C431" s="16"/>
      <x:c r="D431" s="16"/>
      <x:c r="E431" s="16"/>
      <x:c r="F431" s="16"/>
      <x:c r="G431" s="16"/>
    </x:row>
    <x:row r="432">
      <x:c r="A432" s="16"/>
      <x:c r="B432" s="16"/>
      <x:c r="C432" s="16"/>
      <x:c r="D432" s="16"/>
      <x:c r="E432" s="16"/>
      <x:c r="F432" s="16"/>
      <x:c r="G432" s="16"/>
    </x:row>
    <x:row r="433">
      <x:c r="A433" s="16"/>
      <x:c r="B433" s="16"/>
      <x:c r="C433" s="16"/>
      <x:c r="D433" s="16"/>
      <x:c r="E433" s="16"/>
      <x:c r="F433" s="16"/>
      <x:c r="G433" s="16"/>
    </x:row>
    <x:row r="434">
      <x:c r="A434" s="16"/>
      <x:c r="B434" s="16"/>
      <x:c r="C434" s="16"/>
      <x:c r="D434" s="16"/>
      <x:c r="E434" s="16"/>
      <x:c r="F434" s="16"/>
      <x:c r="G434" s="16"/>
    </x:row>
    <x:row r="435">
      <x:c r="A435" s="16"/>
      <x:c r="B435" s="16"/>
      <x:c r="C435" s="16"/>
      <x:c r="D435" s="16"/>
      <x:c r="E435" s="16"/>
      <x:c r="F435" s="16"/>
      <x:c r="G435" s="16"/>
    </x:row>
    <x:row r="436">
      <x:c r="A436" s="16"/>
      <x:c r="B436" s="16"/>
      <x:c r="C436" s="16"/>
      <x:c r="D436" s="16"/>
      <x:c r="E436" s="16"/>
      <x:c r="F436" s="16"/>
      <x:c r="G436" s="16"/>
    </x:row>
    <x:row r="437">
      <x:c r="A437" s="16"/>
      <x:c r="B437" s="16"/>
      <x:c r="C437" s="16"/>
      <x:c r="D437" s="16"/>
      <x:c r="E437" s="16"/>
      <x:c r="F437" s="16"/>
      <x:c r="G437" s="16"/>
    </x:row>
    <x:row r="438">
      <x:c r="A438" s="16"/>
      <x:c r="B438" s="16"/>
      <x:c r="C438" s="16"/>
      <x:c r="D438" s="16"/>
      <x:c r="E438" s="16"/>
      <x:c r="F438" s="16"/>
      <x:c r="G438" s="16"/>
    </x:row>
    <x:row r="439">
      <x:c r="A439" s="16"/>
      <x:c r="B439" s="16"/>
      <x:c r="C439" s="16"/>
      <x:c r="D439" s="16"/>
      <x:c r="E439" s="16"/>
      <x:c r="F439" s="16"/>
      <x:c r="G439" s="16"/>
    </x:row>
    <x:row r="440">
      <x:c r="A440" s="16"/>
      <x:c r="B440" s="16"/>
      <x:c r="C440" s="16"/>
      <x:c r="D440" s="16"/>
      <x:c r="E440" s="16"/>
      <x:c r="F440" s="16"/>
      <x:c r="G440" s="16"/>
    </x:row>
    <x:row r="441">
      <x:c r="A441" s="16"/>
      <x:c r="B441" s="16"/>
      <x:c r="C441" s="16"/>
      <x:c r="D441" s="16"/>
      <x:c r="E441" s="16"/>
      <x:c r="F441" s="16"/>
      <x:c r="G441" s="16"/>
    </x:row>
    <x:row r="442">
      <x:c r="A442" s="16"/>
      <x:c r="B442" s="16"/>
      <x:c r="C442" s="16"/>
      <x:c r="D442" s="16"/>
      <x:c r="E442" s="16"/>
      <x:c r="F442" s="16"/>
      <x:c r="G442" s="16"/>
    </x:row>
    <x:row r="443">
      <x:c r="A443" s="16"/>
      <x:c r="B443" s="16"/>
      <x:c r="C443" s="16"/>
      <x:c r="D443" s="16"/>
      <x:c r="E443" s="16"/>
      <x:c r="F443" s="16"/>
      <x:c r="G443" s="16"/>
    </x:row>
    <x:row r="444">
      <x:c r="A444" s="16"/>
      <x:c r="B444" s="16"/>
      <x:c r="C444" s="16"/>
      <x:c r="D444" s="16"/>
      <x:c r="E444" s="16"/>
      <x:c r="F444" s="16"/>
      <x:c r="G444" s="16"/>
    </x:row>
    <x:row r="445">
      <x:c r="A445" s="16"/>
      <x:c r="B445" s="16"/>
      <x:c r="C445" s="16"/>
      <x:c r="D445" s="16"/>
      <x:c r="E445" s="16"/>
      <x:c r="F445" s="16"/>
      <x:c r="G445" s="16"/>
    </x:row>
    <x:row r="446">
      <x:c r="A446" s="16"/>
      <x:c r="B446" s="16"/>
      <x:c r="C446" s="16"/>
      <x:c r="D446" s="16"/>
      <x:c r="E446" s="16"/>
      <x:c r="F446" s="16"/>
      <x:c r="G446" s="16"/>
    </x:row>
    <x:row r="447">
      <x:c r="A447" s="16"/>
      <x:c r="B447" s="16"/>
      <x:c r="C447" s="16"/>
      <x:c r="D447" s="16"/>
      <x:c r="E447" s="16"/>
      <x:c r="F447" s="16"/>
      <x:c r="G447" s="16"/>
    </x:row>
    <x:row r="448">
      <x:c r="A448" s="16"/>
      <x:c r="B448" s="16"/>
      <x:c r="C448" s="16"/>
      <x:c r="D448" s="16"/>
      <x:c r="E448" s="16"/>
      <x:c r="F448" s="16"/>
      <x:c r="G448" s="16"/>
    </x:row>
    <x:row r="449">
      <x:c r="A449" s="16"/>
      <x:c r="B449" s="16"/>
      <x:c r="C449" s="16"/>
      <x:c r="D449" s="16"/>
      <x:c r="E449" s="16"/>
      <x:c r="F449" s="16"/>
      <x:c r="G449" s="16"/>
    </x:row>
    <x:row r="450">
      <x:c r="A450" s="16"/>
      <x:c r="B450" s="16"/>
      <x:c r="C450" s="16"/>
      <x:c r="D450" s="16"/>
      <x:c r="E450" s="16"/>
      <x:c r="F450" s="16"/>
      <x:c r="G450" s="16"/>
    </x:row>
    <x:row r="451">
      <x:c r="A451" s="16"/>
      <x:c r="B451" s="16"/>
      <x:c r="C451" s="16"/>
      <x:c r="D451" s="16"/>
      <x:c r="E451" s="16"/>
      <x:c r="F451" s="16"/>
      <x:c r="G451" s="16"/>
    </x:row>
    <x:row r="452">
      <x:c r="A452" s="16"/>
      <x:c r="B452" s="16"/>
      <x:c r="C452" s="16"/>
      <x:c r="D452" s="16"/>
      <x:c r="E452" s="16"/>
      <x:c r="F452" s="16"/>
      <x:c r="G452" s="16"/>
    </x:row>
    <x:row r="453">
      <x:c r="A453" s="16"/>
      <x:c r="B453" s="16"/>
      <x:c r="C453" s="16"/>
      <x:c r="D453" s="16"/>
      <x:c r="E453" s="16"/>
      <x:c r="F453" s="16"/>
      <x:c r="G453" s="16"/>
    </x:row>
    <x:row r="454">
      <x:c r="A454" s="16"/>
      <x:c r="B454" s="16"/>
      <x:c r="C454" s="16"/>
      <x:c r="D454" s="16"/>
      <x:c r="E454" s="16"/>
      <x:c r="F454" s="16"/>
      <x:c r="G454" s="16"/>
    </x:row>
    <x:row r="455">
      <x:c r="A455" s="16"/>
      <x:c r="B455" s="16"/>
      <x:c r="C455" s="16"/>
      <x:c r="D455" s="16"/>
      <x:c r="E455" s="16"/>
      <x:c r="F455" s="16"/>
      <x:c r="G455" s="16"/>
    </x:row>
    <x:row r="456">
      <x:c r="A456" s="16"/>
      <x:c r="B456" s="16"/>
      <x:c r="C456" s="16"/>
      <x:c r="D456" s="16"/>
      <x:c r="E456" s="16"/>
      <x:c r="F456" s="16"/>
      <x:c r="G456" s="16"/>
    </x:row>
    <x:row r="457">
      <x:c r="A457" s="16"/>
      <x:c r="B457" s="16"/>
      <x:c r="C457" s="16"/>
      <x:c r="D457" s="16"/>
      <x:c r="E457" s="16"/>
      <x:c r="F457" s="16"/>
      <x:c r="G457" s="16"/>
    </x:row>
    <x:row r="458">
      <x:c r="A458" s="16"/>
      <x:c r="B458" s="16"/>
      <x:c r="C458" s="16"/>
      <x:c r="D458" s="16"/>
      <x:c r="E458" s="16"/>
      <x:c r="F458" s="16"/>
      <x:c r="G458" s="16"/>
    </x:row>
    <x:row r="459">
      <x:c r="A459" s="16"/>
      <x:c r="B459" s="16"/>
      <x:c r="C459" s="16"/>
      <x:c r="D459" s="16"/>
      <x:c r="E459" s="16"/>
      <x:c r="F459" s="16"/>
      <x:c r="G459" s="16"/>
    </x:row>
    <x:row r="460">
      <x:c r="A460" s="16"/>
      <x:c r="B460" s="16"/>
      <x:c r="C460" s="16"/>
      <x:c r="D460" s="16"/>
      <x:c r="E460" s="16"/>
      <x:c r="F460" s="16"/>
      <x:c r="G460" s="16"/>
    </x:row>
    <x:row r="461">
      <x:c r="A461" s="16"/>
      <x:c r="B461" s="16"/>
      <x:c r="C461" s="16"/>
      <x:c r="D461" s="16"/>
      <x:c r="E461" s="16"/>
      <x:c r="F461" s="16"/>
      <x:c r="G461" s="16"/>
    </x:row>
    <x:row r="462">
      <x:c r="A462" s="16"/>
      <x:c r="B462" s="16"/>
      <x:c r="C462" s="16"/>
      <x:c r="D462" s="16"/>
      <x:c r="E462" s="16"/>
      <x:c r="F462" s="16"/>
      <x:c r="G462" s="16"/>
    </x:row>
    <x:row r="463">
      <x:c r="A463" s="16"/>
      <x:c r="B463" s="16"/>
      <x:c r="C463" s="16"/>
      <x:c r="D463" s="16"/>
      <x:c r="E463" s="16"/>
      <x:c r="F463" s="16"/>
      <x:c r="G463" s="16"/>
    </x:row>
    <x:row r="464">
      <x:c r="A464" s="16"/>
      <x:c r="B464" s="16"/>
      <x:c r="C464" s="16"/>
      <x:c r="D464" s="16"/>
      <x:c r="E464" s="16"/>
      <x:c r="F464" s="16"/>
      <x:c r="G464" s="16"/>
    </x:row>
    <x:row r="465">
      <x:c r="A465" s="16"/>
      <x:c r="B465" s="16"/>
      <x:c r="C465" s="16"/>
      <x:c r="D465" s="16"/>
      <x:c r="E465" s="16"/>
      <x:c r="F465" s="16"/>
      <x:c r="G465" s="16"/>
    </x:row>
    <x:row r="466">
      <x:c r="A466" s="16"/>
      <x:c r="B466" s="16"/>
      <x:c r="C466" s="16"/>
      <x:c r="D466" s="16"/>
      <x:c r="E466" s="16"/>
      <x:c r="F466" s="16"/>
      <x:c r="G466" s="16"/>
    </x:row>
    <x:row r="467">
      <x:c r="A467" s="16"/>
      <x:c r="B467" s="16"/>
      <x:c r="C467" s="16"/>
      <x:c r="D467" s="16"/>
      <x:c r="E467" s="16"/>
      <x:c r="F467" s="16"/>
      <x:c r="G467" s="16"/>
    </x:row>
    <x:row r="468">
      <x:c r="A468" s="16"/>
      <x:c r="B468" s="16"/>
      <x:c r="C468" s="16"/>
      <x:c r="D468" s="16"/>
      <x:c r="E468" s="16"/>
      <x:c r="F468" s="16"/>
      <x:c r="G468" s="16"/>
    </x:row>
    <x:row r="469">
      <x:c r="A469" s="16"/>
      <x:c r="B469" s="16"/>
      <x:c r="C469" s="16"/>
      <x:c r="D469" s="16"/>
      <x:c r="E469" s="16"/>
      <x:c r="F469" s="16"/>
      <x:c r="G469" s="16"/>
    </x:row>
    <x:row r="470">
      <x:c r="A470" s="16"/>
      <x:c r="B470" s="16"/>
      <x:c r="C470" s="16"/>
      <x:c r="D470" s="16"/>
      <x:c r="E470" s="16"/>
      <x:c r="F470" s="16"/>
      <x:c r="G470" s="16"/>
    </x:row>
    <x:row r="471">
      <x:c r="A471" s="16"/>
      <x:c r="B471" s="16"/>
      <x:c r="C471" s="16"/>
      <x:c r="D471" s="16"/>
      <x:c r="E471" s="16"/>
      <x:c r="F471" s="16"/>
      <x:c r="G471" s="16"/>
    </x:row>
    <x:row r="472">
      <x:c r="A472" s="16"/>
      <x:c r="B472" s="16"/>
      <x:c r="C472" s="16"/>
      <x:c r="D472" s="16"/>
      <x:c r="E472" s="16"/>
      <x:c r="F472" s="16"/>
      <x:c r="G472" s="16"/>
    </x:row>
    <x:row r="473">
      <x:c r="A473" s="16"/>
      <x:c r="B473" s="16"/>
      <x:c r="C473" s="16"/>
      <x:c r="D473" s="16"/>
      <x:c r="E473" s="16"/>
      <x:c r="F473" s="16"/>
      <x:c r="G473" s="16"/>
    </x:row>
    <x:row r="474">
      <x:c r="A474" s="16"/>
      <x:c r="B474" s="16"/>
      <x:c r="C474" s="16"/>
      <x:c r="D474" s="16"/>
      <x:c r="E474" s="16"/>
      <x:c r="F474" s="16"/>
      <x:c r="G474" s="16"/>
    </x:row>
    <x:row r="475">
      <x:c r="A475" s="16"/>
      <x:c r="B475" s="16"/>
      <x:c r="C475" s="16"/>
      <x:c r="D475" s="16"/>
      <x:c r="E475" s="16"/>
      <x:c r="F475" s="16"/>
      <x:c r="G475" s="16"/>
    </x:row>
    <x:row r="476">
      <x:c r="A476" s="16"/>
      <x:c r="B476" s="16"/>
      <x:c r="C476" s="16"/>
      <x:c r="D476" s="16"/>
      <x:c r="E476" s="16"/>
      <x:c r="F476" s="16"/>
      <x:c r="G476" s="16"/>
    </x:row>
    <x:row r="477">
      <x:c r="A477" s="16"/>
      <x:c r="B477" s="16"/>
      <x:c r="C477" s="16"/>
      <x:c r="D477" s="16"/>
      <x:c r="E477" s="16"/>
      <x:c r="F477" s="16"/>
      <x:c r="G477" s="16"/>
    </x:row>
    <x:row r="478">
      <x:c r="A478" s="16"/>
      <x:c r="B478" s="16"/>
      <x:c r="C478" s="16"/>
      <x:c r="D478" s="16"/>
      <x:c r="E478" s="16"/>
      <x:c r="F478" s="16"/>
      <x:c r="G478" s="16"/>
    </x:row>
    <x:row r="479">
      <x:c r="A479" s="16"/>
      <x:c r="B479" s="16"/>
      <x:c r="C479" s="16"/>
      <x:c r="D479" s="16"/>
      <x:c r="E479" s="16"/>
      <x:c r="F479" s="16"/>
      <x:c r="G479" s="16"/>
    </x:row>
    <x:row r="480">
      <x:c r="A480" s="16"/>
      <x:c r="B480" s="16"/>
      <x:c r="C480" s="16"/>
      <x:c r="D480" s="16"/>
      <x:c r="E480" s="16"/>
      <x:c r="F480" s="16"/>
      <x:c r="G480" s="16"/>
    </x:row>
    <x:row r="481">
      <x:c r="A481" s="16"/>
      <x:c r="B481" s="16"/>
      <x:c r="C481" s="16"/>
      <x:c r="D481" s="16"/>
      <x:c r="E481" s="16"/>
      <x:c r="F481" s="16"/>
      <x:c r="G481" s="16"/>
    </x:row>
    <x:row r="482">
      <x:c r="A482" s="16"/>
      <x:c r="B482" s="16"/>
      <x:c r="C482" s="16"/>
      <x:c r="D482" s="16"/>
      <x:c r="E482" s="16"/>
      <x:c r="F482" s="16"/>
      <x:c r="G482" s="16"/>
    </x:row>
    <x:row r="483">
      <x:c r="A483" s="16"/>
      <x:c r="B483" s="16"/>
      <x:c r="C483" s="16"/>
      <x:c r="D483" s="16"/>
      <x:c r="E483" s="16"/>
      <x:c r="F483" s="16"/>
      <x:c r="G483" s="16"/>
    </x:row>
    <x:row r="484">
      <x:c r="A484" s="16"/>
      <x:c r="B484" s="16"/>
      <x:c r="C484" s="16"/>
      <x:c r="D484" s="16"/>
      <x:c r="E484" s="16"/>
      <x:c r="F484" s="16"/>
      <x:c r="G484" s="16"/>
    </x:row>
    <x:row r="485">
      <x:c r="A485" s="16"/>
      <x:c r="B485" s="16"/>
      <x:c r="C485" s="16"/>
      <x:c r="D485" s="16"/>
      <x:c r="E485" s="16"/>
      <x:c r="F485" s="16"/>
      <x:c r="G485" s="16"/>
    </x:row>
    <x:row r="486">
      <x:c r="A486" s="16"/>
      <x:c r="B486" s="16"/>
      <x:c r="C486" s="16"/>
      <x:c r="D486" s="16"/>
      <x:c r="E486" s="16"/>
      <x:c r="F486" s="16"/>
      <x:c r="G486" s="16"/>
    </x:row>
    <x:row r="487">
      <x:c r="A487" s="16"/>
      <x:c r="B487" s="16"/>
      <x:c r="C487" s="16"/>
      <x:c r="D487" s="16"/>
      <x:c r="E487" s="16"/>
      <x:c r="F487" s="16"/>
      <x:c r="G487" s="16"/>
    </x:row>
    <x:row r="488">
      <x:c r="A488" s="16"/>
      <x:c r="B488" s="16"/>
      <x:c r="C488" s="16"/>
      <x:c r="D488" s="16"/>
      <x:c r="E488" s="16"/>
      <x:c r="F488" s="16"/>
      <x:c r="G488" s="16"/>
    </x:row>
    <x:row r="489">
      <x:c r="A489" s="16"/>
      <x:c r="B489" s="16"/>
      <x:c r="C489" s="16"/>
      <x:c r="D489" s="16"/>
      <x:c r="E489" s="16"/>
      <x:c r="F489" s="16"/>
      <x:c r="G489" s="16"/>
    </x:row>
    <x:row r="490">
      <x:c r="A490" s="16"/>
      <x:c r="B490" s="16"/>
      <x:c r="C490" s="16"/>
      <x:c r="D490" s="16"/>
      <x:c r="E490" s="16"/>
      <x:c r="F490" s="16"/>
      <x:c r="G490" s="16"/>
    </x:row>
    <x:row r="491">
      <x:c r="A491" s="16"/>
      <x:c r="B491" s="16"/>
      <x:c r="C491" s="16"/>
      <x:c r="D491" s="16"/>
      <x:c r="E491" s="16"/>
      <x:c r="F491" s="16"/>
      <x:c r="G491" s="16"/>
    </x:row>
    <x:row r="492">
      <x:c r="A492" s="16"/>
      <x:c r="B492" s="16"/>
      <x:c r="C492" s="16"/>
      <x:c r="D492" s="16"/>
      <x:c r="E492" s="16"/>
      <x:c r="F492" s="16"/>
      <x:c r="G492" s="16"/>
    </x:row>
    <x:row r="493">
      <x:c r="A493" s="16"/>
      <x:c r="B493" s="16"/>
      <x:c r="C493" s="16"/>
      <x:c r="D493" s="16"/>
      <x:c r="E493" s="16"/>
      <x:c r="F493" s="16"/>
      <x:c r="G493" s="16"/>
    </x:row>
    <x:row r="494">
      <x:c r="A494" s="16"/>
      <x:c r="B494" s="16"/>
      <x:c r="C494" s="16"/>
      <x:c r="D494" s="16"/>
      <x:c r="E494" s="16"/>
      <x:c r="F494" s="16"/>
      <x:c r="G494" s="16"/>
    </x:row>
    <x:row r="495">
      <x:c r="A495" s="16"/>
      <x:c r="B495" s="16"/>
      <x:c r="C495" s="16"/>
      <x:c r="D495" s="16"/>
      <x:c r="E495" s="16"/>
      <x:c r="F495" s="16"/>
      <x:c r="G495" s="16"/>
    </x:row>
    <x:row r="496">
      <x:c r="A496" s="16"/>
      <x:c r="B496" s="16"/>
      <x:c r="C496" s="16"/>
      <x:c r="D496" s="16"/>
      <x:c r="E496" s="16"/>
      <x:c r="F496" s="16"/>
      <x:c r="G496" s="16"/>
    </x:row>
    <x:row r="497">
      <x:c r="A497" s="16"/>
      <x:c r="B497" s="16"/>
      <x:c r="C497" s="16"/>
      <x:c r="D497" s="16"/>
      <x:c r="E497" s="16"/>
      <x:c r="F497" s="16"/>
      <x:c r="G497" s="16"/>
    </x:row>
    <x:row r="498">
      <x:c r="A498" s="16"/>
      <x:c r="B498" s="16"/>
      <x:c r="C498" s="16"/>
      <x:c r="D498" s="16"/>
      <x:c r="E498" s="16"/>
      <x:c r="F498" s="16"/>
      <x:c r="G498" s="16"/>
    </x:row>
    <x:row r="499">
      <x:c r="A499" s="16"/>
      <x:c r="B499" s="16"/>
      <x:c r="C499" s="16"/>
      <x:c r="D499" s="16"/>
      <x:c r="E499" s="16"/>
      <x:c r="F499" s="16"/>
      <x:c r="G499" s="16"/>
    </x:row>
    <x:row r="500">
      <x:c r="A500" s="16"/>
      <x:c r="B500" s="16"/>
      <x:c r="C500" s="16"/>
      <x:c r="D500" s="16"/>
      <x:c r="E500" s="16"/>
      <x:c r="F500" s="16"/>
      <x:c r="G500" s="16"/>
    </x:row>
  </x:sheetData>
  <x:mergeCells>
    <x:mergeCell ref="A1:G1"/>
    <x:mergeCell ref="A2:G2"/>
  </x:mergeCells>
  <x:dataValidations count="1">
    <x:dataValidation type="list" sqref="C5:C500">
      <x:formula1>"Community group,Civil society / movement,Media organisation,District administration,State government,Central government agency,Project authority,Other"</x:formula1>
    </x:dataValidation>
  </x:dataValidations>
  <x:pageMargins left="0.7" right="0.7" top="0.75" bottom="0.75" header="0.3" footer="0.3"/>
  <x:tableParts count="1">
    <x:tablePart xmlns:r="http://schemas.openxmlformats.org/officeDocument/2006/relationships" r:id="Re2bc9335d6c9449f"/>
  </x:tableParts>
</x:worksheet>
</file>

<file path=xl/worksheets/sheet8.xml><?xml version="1.0" encoding="utf-8"?>
<x:worksheet xmlns:x="http://schemas.openxmlformats.org/spreadsheetml/2006/main">
  <x:sheetFormatPr defaultRowHeight="15"/>
  <x:cols>
    <x:col min="1" max="1" width="19" hidden="0" customWidth="1"/>
    <x:col min="2" max="2" width="19" hidden="0" customWidth="1"/>
    <x:col min="3" max="3" width="14" hidden="0" customWidth="1"/>
    <x:col min="4" max="4" width="48" hidden="0" customWidth="1"/>
    <x:col min="5" max="5" width="48" hidden="0" customWidth="1"/>
    <x:col min="6" max="6" width="62" hidden="0" customWidth="1"/>
    <x:col min="7" max="7" width="42" hidden="0" customWidth="1"/>
    <x:col min="8" max="8" width="34" hidden="0" customWidth="1"/>
    <x:col min="9" max="9" width="16" hidden="0" customWidth="1"/>
  </x:cols>
  <x:sheetData>
    <x:row r="1" ht="30" customHeight="1">
      <x:c r="A1" s="88" t="str">
        <x:v>India Observed — Corrections Register</x:v>
      </x:c>
      <x:c r="B1" s="88"/>
      <x:c r="C1" s="88"/>
      <x:c r="D1" s="88"/>
      <x:c r="E1" s="88"/>
      <x:c r="F1" s="88"/>
      <x:c r="G1" s="88"/>
      <x:c r="H1" s="88"/>
      <x:c r="I1" s="88"/>
    </x:row>
    <x:row r="2" ht="34" customHeight="1">
      <x:c r="A2" s="93" t="str">
        <x:v>Log material wording changes. Pre-publication research corrections are kept separate from corrections to already published records.</x:v>
      </x:c>
      <x:c r="B2" s="93"/>
      <x:c r="C2" s="93"/>
      <x:c r="D2" s="93"/>
      <x:c r="E2" s="93"/>
      <x:c r="F2" s="93"/>
      <x:c r="G2" s="93"/>
      <x:c r="H2" s="93"/>
      <x:c r="I2" s="93"/>
    </x:row>
    <x:row r="4" ht="42" customHeight="1">
      <x:c r="A4" s="326" t="str">
        <x:v>Correction ID</x:v>
      </x:c>
      <x:c r="B4" s="326" t="str">
        <x:v>Event ID</x:v>
      </x:c>
      <x:c r="C4" s="326" t="str">
        <x:v>Date corrected</x:v>
      </x:c>
      <x:c r="D4" s="326" t="str">
        <x:v>Previous wording</x:v>
      </x:c>
      <x:c r="E4" s="326" t="str">
        <x:v>Corrected wording</x:v>
      </x:c>
      <x:c r="F4" s="326" t="str">
        <x:v>Reason</x:v>
      </x:c>
      <x:c r="G4" s="326" t="str">
        <x:v>Supporting source</x:v>
      </x:c>
      <x:c r="H4" s="326" t="str">
        <x:v>Correction stage</x:v>
      </x:c>
      <x:c r="I4" s="326" t="str">
        <x:v>Review status</x:v>
      </x:c>
    </x:row>
    <x:row r="5">
      <x:c r="A5" s="16" t="str">
        <x:v>IO-COR-MP-0001</x:v>
      </x:c>
      <x:c r="B5" s="16" t="str">
        <x:v>IO-CM-MP-0001</x:v>
      </x:c>
      <x:c r="C5" s="109" t="n">
        <x:v>46218</x:v>
      </x:c>
      <x:c r="D5" s="16" t="str">
        <x:v>Near Kupi village, Panna district</x:v>
      </x:c>
      <x:c r="E5" s="16" t="str">
        <x:v>Near Kupi village in the Chhatarpur–Panna project-affected area</x:v>
      </x:c>
      <x:c r="F5" s="16" t="str">
        <x:v>Sources describe Kupi's district inconsistently. The broader wording avoids asserting an unverified district boundary.</x:v>
      </x:c>
      <x:c r="G5" s="16" t="str">
        <x:v>Down To Earth reports dated 4 July and 8 July 2026</x:v>
      </x:c>
      <x:c r="H5" s="16" t="str">
        <x:v>Pre-publication research correction</x:v>
      </x:c>
      <x:c r="I5" s="16" t="str">
        <x:v>Reviewed</x:v>
      </x:c>
    </x:row>
    <x:row r="6">
      <x:c r="A6" s="16" t="str">
        <x:v>IO-COR-MH-0001</x:v>
      </x:c>
      <x:c r="B6" s="16" t="str">
        <x:v>IO-CM-MH-0001</x:v>
      </x:c>
      <x:c r="C6" s="109" t="n">
        <x:v>46218</x:v>
      </x:c>
      <x:c r="D6" s="16" t="str">
        <x:v>Sunday, 6 July 2026</x:v>
      </x:c>
      <x:c r="E6" s="16" t="str">
        <x:v>Sunday, 5 July 2026</x:v>
      </x:c>
      <x:c r="F6" s="16" t="str">
        <x:v>One independent report used the date 6 July while describing Sunday. Calendar verification shows 6 July 2026 was Monday, and The Times of India dated the Sunday protest to 5 July.</x:v>
      </x:c>
      <x:c r="G6" s="16" t="str">
        <x:v>The Times of India report dated 5 July 2026; Free Press Journal report dated 6 July 2026; calendar check</x:v>
      </x:c>
      <x:c r="H6" s="16" t="str">
        <x:v>Pre-publication research correction</x:v>
      </x:c>
      <x:c r="I6" s="16" t="str">
        <x:v>Reviewed</x:v>
      </x:c>
    </x:row>
    <x:row r="7">
      <x:c r="A7" s="16"/>
      <x:c r="B7" s="16"/>
      <x:c r="C7" s="109"/>
      <x:c r="D7" s="16"/>
      <x:c r="E7" s="16"/>
      <x:c r="F7" s="16"/>
      <x:c r="G7" s="16"/>
      <x:c r="H7" s="16"/>
      <x:c r="I7" s="16"/>
    </x:row>
    <x:row r="8">
      <x:c r="A8" s="16"/>
      <x:c r="B8" s="16"/>
      <x:c r="C8" s="109"/>
      <x:c r="D8" s="16"/>
      <x:c r="E8" s="16"/>
      <x:c r="F8" s="16"/>
      <x:c r="G8" s="16"/>
      <x:c r="H8" s="16"/>
      <x:c r="I8" s="16"/>
    </x:row>
    <x:row r="9">
      <x:c r="A9" s="16"/>
      <x:c r="B9" s="16"/>
      <x:c r="C9" s="109"/>
      <x:c r="D9" s="16"/>
      <x:c r="E9" s="16"/>
      <x:c r="F9" s="16"/>
      <x:c r="G9" s="16"/>
      <x:c r="H9" s="16"/>
      <x:c r="I9" s="16"/>
    </x:row>
    <x:row r="10">
      <x:c r="A10" s="16"/>
      <x:c r="B10" s="16"/>
      <x:c r="C10" s="109"/>
      <x:c r="D10" s="16"/>
      <x:c r="E10" s="16"/>
      <x:c r="F10" s="16"/>
      <x:c r="G10" s="16"/>
      <x:c r="H10" s="16"/>
      <x:c r="I10" s="16"/>
    </x:row>
    <x:row r="11">
      <x:c r="A11" s="16"/>
      <x:c r="B11" s="16"/>
      <x:c r="C11" s="109"/>
      <x:c r="D11" s="16"/>
      <x:c r="E11" s="16"/>
      <x:c r="F11" s="16"/>
      <x:c r="G11" s="16"/>
      <x:c r="H11" s="16"/>
      <x:c r="I11" s="16"/>
    </x:row>
    <x:row r="12">
      <x:c r="A12" s="16"/>
      <x:c r="B12" s="16"/>
      <x:c r="C12" s="109"/>
      <x:c r="D12" s="16"/>
      <x:c r="E12" s="16"/>
      <x:c r="F12" s="16"/>
      <x:c r="G12" s="16"/>
      <x:c r="H12" s="16"/>
      <x:c r="I12" s="16"/>
    </x:row>
    <x:row r="13">
      <x:c r="A13" s="16"/>
      <x:c r="B13" s="16"/>
      <x:c r="C13" s="109"/>
      <x:c r="D13" s="16"/>
      <x:c r="E13" s="16"/>
      <x:c r="F13" s="16"/>
      <x:c r="G13" s="16"/>
      <x:c r="H13" s="16"/>
      <x:c r="I13" s="16"/>
    </x:row>
    <x:row r="14">
      <x:c r="A14" s="16"/>
      <x:c r="B14" s="16"/>
      <x:c r="C14" s="109"/>
      <x:c r="D14" s="16"/>
      <x:c r="E14" s="16"/>
      <x:c r="F14" s="16"/>
      <x:c r="G14" s="16"/>
      <x:c r="H14" s="16"/>
      <x:c r="I14" s="16"/>
    </x:row>
    <x:row r="15">
      <x:c r="A15" s="16"/>
      <x:c r="B15" s="16"/>
      <x:c r="C15" s="109"/>
      <x:c r="D15" s="16"/>
      <x:c r="E15" s="16"/>
      <x:c r="F15" s="16"/>
      <x:c r="G15" s="16"/>
      <x:c r="H15" s="16"/>
      <x:c r="I15" s="16"/>
    </x:row>
    <x:row r="16">
      <x:c r="A16" s="16"/>
      <x:c r="B16" s="16"/>
      <x:c r="C16" s="109"/>
      <x:c r="D16" s="16"/>
      <x:c r="E16" s="16"/>
      <x:c r="F16" s="16"/>
      <x:c r="G16" s="16"/>
      <x:c r="H16" s="16"/>
      <x:c r="I16" s="16"/>
    </x:row>
    <x:row r="17">
      <x:c r="A17" s="16"/>
      <x:c r="B17" s="16"/>
      <x:c r="C17" s="109"/>
      <x:c r="D17" s="16"/>
      <x:c r="E17" s="16"/>
      <x:c r="F17" s="16"/>
      <x:c r="G17" s="16"/>
      <x:c r="H17" s="16"/>
      <x:c r="I17" s="16"/>
    </x:row>
    <x:row r="18">
      <x:c r="A18" s="16"/>
      <x:c r="B18" s="16"/>
      <x:c r="C18" s="109"/>
      <x:c r="D18" s="16"/>
      <x:c r="E18" s="16"/>
      <x:c r="F18" s="16"/>
      <x:c r="G18" s="16"/>
      <x:c r="H18" s="16"/>
      <x:c r="I18" s="16"/>
    </x:row>
    <x:row r="19">
      <x:c r="A19" s="16"/>
      <x:c r="B19" s="16"/>
      <x:c r="C19" s="109"/>
      <x:c r="D19" s="16"/>
      <x:c r="E19" s="16"/>
      <x:c r="F19" s="16"/>
      <x:c r="G19" s="16"/>
      <x:c r="H19" s="16"/>
      <x:c r="I19" s="16"/>
    </x:row>
    <x:row r="20">
      <x:c r="A20" s="16"/>
      <x:c r="B20" s="16"/>
      <x:c r="C20" s="109"/>
      <x:c r="D20" s="16"/>
      <x:c r="E20" s="16"/>
      <x:c r="F20" s="16"/>
      <x:c r="G20" s="16"/>
      <x:c r="H20" s="16"/>
      <x:c r="I20" s="16"/>
    </x:row>
    <x:row r="21">
      <x:c r="A21" s="16"/>
      <x:c r="B21" s="16"/>
      <x:c r="C21" s="109"/>
      <x:c r="D21" s="16"/>
      <x:c r="E21" s="16"/>
      <x:c r="F21" s="16"/>
      <x:c r="G21" s="16"/>
      <x:c r="H21" s="16"/>
      <x:c r="I21" s="16"/>
    </x:row>
    <x:row r="22">
      <x:c r="A22" s="16"/>
      <x:c r="B22" s="16"/>
      <x:c r="C22" s="109"/>
      <x:c r="D22" s="16"/>
      <x:c r="E22" s="16"/>
      <x:c r="F22" s="16"/>
      <x:c r="G22" s="16"/>
      <x:c r="H22" s="16"/>
      <x:c r="I22" s="16"/>
    </x:row>
    <x:row r="23">
      <x:c r="A23" s="16"/>
      <x:c r="B23" s="16"/>
      <x:c r="C23" s="109"/>
      <x:c r="D23" s="16"/>
      <x:c r="E23" s="16"/>
      <x:c r="F23" s="16"/>
      <x:c r="G23" s="16"/>
      <x:c r="H23" s="16"/>
      <x:c r="I23" s="16"/>
    </x:row>
    <x:row r="24">
      <x:c r="A24" s="16"/>
      <x:c r="B24" s="16"/>
      <x:c r="C24" s="109"/>
      <x:c r="D24" s="16"/>
      <x:c r="E24" s="16"/>
      <x:c r="F24" s="16"/>
      <x:c r="G24" s="16"/>
      <x:c r="H24" s="16"/>
      <x:c r="I24" s="16"/>
    </x:row>
    <x:row r="25">
      <x:c r="A25" s="16"/>
      <x:c r="B25" s="16"/>
      <x:c r="C25" s="109"/>
      <x:c r="D25" s="16"/>
      <x:c r="E25" s="16"/>
      <x:c r="F25" s="16"/>
      <x:c r="G25" s="16"/>
      <x:c r="H25" s="16"/>
      <x:c r="I25" s="16"/>
    </x:row>
    <x:row r="26">
      <x:c r="A26" s="16"/>
      <x:c r="B26" s="16"/>
      <x:c r="C26" s="109"/>
      <x:c r="D26" s="16"/>
      <x:c r="E26" s="16"/>
      <x:c r="F26" s="16"/>
      <x:c r="G26" s="16"/>
      <x:c r="H26" s="16"/>
      <x:c r="I26" s="16"/>
    </x:row>
    <x:row r="27">
      <x:c r="A27" s="16"/>
      <x:c r="B27" s="16"/>
      <x:c r="C27" s="109"/>
      <x:c r="D27" s="16"/>
      <x:c r="E27" s="16"/>
      <x:c r="F27" s="16"/>
      <x:c r="G27" s="16"/>
      <x:c r="H27" s="16"/>
      <x:c r="I27" s="16"/>
    </x:row>
    <x:row r="28">
      <x:c r="A28" s="16"/>
      <x:c r="B28" s="16"/>
      <x:c r="C28" s="109"/>
      <x:c r="D28" s="16"/>
      <x:c r="E28" s="16"/>
      <x:c r="F28" s="16"/>
      <x:c r="G28" s="16"/>
      <x:c r="H28" s="16"/>
      <x:c r="I28" s="16"/>
    </x:row>
    <x:row r="29">
      <x:c r="A29" s="16"/>
      <x:c r="B29" s="16"/>
      <x:c r="C29" s="109"/>
      <x:c r="D29" s="16"/>
      <x:c r="E29" s="16"/>
      <x:c r="F29" s="16"/>
      <x:c r="G29" s="16"/>
      <x:c r="H29" s="16"/>
      <x:c r="I29" s="16"/>
    </x:row>
    <x:row r="30">
      <x:c r="A30" s="16"/>
      <x:c r="B30" s="16"/>
      <x:c r="C30" s="109"/>
      <x:c r="D30" s="16"/>
      <x:c r="E30" s="16"/>
      <x:c r="F30" s="16"/>
      <x:c r="G30" s="16"/>
      <x:c r="H30" s="16"/>
      <x:c r="I30" s="16"/>
    </x:row>
    <x:row r="31">
      <x:c r="A31" s="16"/>
      <x:c r="B31" s="16"/>
      <x:c r="C31" s="109"/>
      <x:c r="D31" s="16"/>
      <x:c r="E31" s="16"/>
      <x:c r="F31" s="16"/>
      <x:c r="G31" s="16"/>
      <x:c r="H31" s="16"/>
      <x:c r="I31" s="16"/>
    </x:row>
    <x:row r="32">
      <x:c r="A32" s="16"/>
      <x:c r="B32" s="16"/>
      <x:c r="C32" s="109"/>
      <x:c r="D32" s="16"/>
      <x:c r="E32" s="16"/>
      <x:c r="F32" s="16"/>
      <x:c r="G32" s="16"/>
      <x:c r="H32" s="16"/>
      <x:c r="I32" s="16"/>
    </x:row>
    <x:row r="33">
      <x:c r="A33" s="16"/>
      <x:c r="B33" s="16"/>
      <x:c r="C33" s="109"/>
      <x:c r="D33" s="16"/>
      <x:c r="E33" s="16"/>
      <x:c r="F33" s="16"/>
      <x:c r="G33" s="16"/>
      <x:c r="H33" s="16"/>
      <x:c r="I33" s="16"/>
    </x:row>
    <x:row r="34">
      <x:c r="A34" s="16"/>
      <x:c r="B34" s="16"/>
      <x:c r="C34" s="109"/>
      <x:c r="D34" s="16"/>
      <x:c r="E34" s="16"/>
      <x:c r="F34" s="16"/>
      <x:c r="G34" s="16"/>
      <x:c r="H34" s="16"/>
      <x:c r="I34" s="16"/>
    </x:row>
    <x:row r="35">
      <x:c r="A35" s="16"/>
      <x:c r="B35" s="16"/>
      <x:c r="C35" s="109"/>
      <x:c r="D35" s="16"/>
      <x:c r="E35" s="16"/>
      <x:c r="F35" s="16"/>
      <x:c r="G35" s="16"/>
      <x:c r="H35" s="16"/>
      <x:c r="I35" s="16"/>
    </x:row>
    <x:row r="36">
      <x:c r="A36" s="16"/>
      <x:c r="B36" s="16"/>
      <x:c r="C36" s="109"/>
      <x:c r="D36" s="16"/>
      <x:c r="E36" s="16"/>
      <x:c r="F36" s="16"/>
      <x:c r="G36" s="16"/>
      <x:c r="H36" s="16"/>
      <x:c r="I36" s="16"/>
    </x:row>
    <x:row r="37">
      <x:c r="A37" s="16"/>
      <x:c r="B37" s="16"/>
      <x:c r="C37" s="109"/>
      <x:c r="D37" s="16"/>
      <x:c r="E37" s="16"/>
      <x:c r="F37" s="16"/>
      <x:c r="G37" s="16"/>
      <x:c r="H37" s="16"/>
      <x:c r="I37" s="16"/>
    </x:row>
    <x:row r="38">
      <x:c r="A38" s="16"/>
      <x:c r="B38" s="16"/>
      <x:c r="C38" s="109"/>
      <x:c r="D38" s="16"/>
      <x:c r="E38" s="16"/>
      <x:c r="F38" s="16"/>
      <x:c r="G38" s="16"/>
      <x:c r="H38" s="16"/>
      <x:c r="I38" s="16"/>
    </x:row>
    <x:row r="39">
      <x:c r="A39" s="16"/>
      <x:c r="B39" s="16"/>
      <x:c r="C39" s="109"/>
      <x:c r="D39" s="16"/>
      <x:c r="E39" s="16"/>
      <x:c r="F39" s="16"/>
      <x:c r="G39" s="16"/>
      <x:c r="H39" s="16"/>
      <x:c r="I39" s="16"/>
    </x:row>
    <x:row r="40">
      <x:c r="A40" s="16"/>
      <x:c r="B40" s="16"/>
      <x:c r="C40" s="109"/>
      <x:c r="D40" s="16"/>
      <x:c r="E40" s="16"/>
      <x:c r="F40" s="16"/>
      <x:c r="G40" s="16"/>
      <x:c r="H40" s="16"/>
      <x:c r="I40" s="16"/>
    </x:row>
    <x:row r="41">
      <x:c r="A41" s="16"/>
      <x:c r="B41" s="16"/>
      <x:c r="C41" s="109"/>
      <x:c r="D41" s="16"/>
      <x:c r="E41" s="16"/>
      <x:c r="F41" s="16"/>
      <x:c r="G41" s="16"/>
      <x:c r="H41" s="16"/>
      <x:c r="I41" s="16"/>
    </x:row>
    <x:row r="42">
      <x:c r="A42" s="16"/>
      <x:c r="B42" s="16"/>
      <x:c r="C42" s="109"/>
      <x:c r="D42" s="16"/>
      <x:c r="E42" s="16"/>
      <x:c r="F42" s="16"/>
      <x:c r="G42" s="16"/>
      <x:c r="H42" s="16"/>
      <x:c r="I42" s="16"/>
    </x:row>
    <x:row r="43">
      <x:c r="A43" s="16"/>
      <x:c r="B43" s="16"/>
      <x:c r="C43" s="109"/>
      <x:c r="D43" s="16"/>
      <x:c r="E43" s="16"/>
      <x:c r="F43" s="16"/>
      <x:c r="G43" s="16"/>
      <x:c r="H43" s="16"/>
      <x:c r="I43" s="16"/>
    </x:row>
    <x:row r="44">
      <x:c r="A44" s="16"/>
      <x:c r="B44" s="16"/>
      <x:c r="C44" s="109"/>
      <x:c r="D44" s="16"/>
      <x:c r="E44" s="16"/>
      <x:c r="F44" s="16"/>
      <x:c r="G44" s="16"/>
      <x:c r="H44" s="16"/>
      <x:c r="I44" s="16"/>
    </x:row>
    <x:row r="45">
      <x:c r="A45" s="16"/>
      <x:c r="B45" s="16"/>
      <x:c r="C45" s="109"/>
      <x:c r="D45" s="16"/>
      <x:c r="E45" s="16"/>
      <x:c r="F45" s="16"/>
      <x:c r="G45" s="16"/>
      <x:c r="H45" s="16"/>
      <x:c r="I45" s="16"/>
    </x:row>
    <x:row r="46">
      <x:c r="A46" s="16"/>
      <x:c r="B46" s="16"/>
      <x:c r="C46" s="109"/>
      <x:c r="D46" s="16"/>
      <x:c r="E46" s="16"/>
      <x:c r="F46" s="16"/>
      <x:c r="G46" s="16"/>
      <x:c r="H46" s="16"/>
      <x:c r="I46" s="16"/>
    </x:row>
    <x:row r="47">
      <x:c r="A47" s="16"/>
      <x:c r="B47" s="16"/>
      <x:c r="C47" s="109"/>
      <x:c r="D47" s="16"/>
      <x:c r="E47" s="16"/>
      <x:c r="F47" s="16"/>
      <x:c r="G47" s="16"/>
      <x:c r="H47" s="16"/>
      <x:c r="I47" s="16"/>
    </x:row>
    <x:row r="48">
      <x:c r="A48" s="16"/>
      <x:c r="B48" s="16"/>
      <x:c r="C48" s="109"/>
      <x:c r="D48" s="16"/>
      <x:c r="E48" s="16"/>
      <x:c r="F48" s="16"/>
      <x:c r="G48" s="16"/>
      <x:c r="H48" s="16"/>
      <x:c r="I48" s="16"/>
    </x:row>
    <x:row r="49">
      <x:c r="A49" s="16"/>
      <x:c r="B49" s="16"/>
      <x:c r="C49" s="109"/>
      <x:c r="D49" s="16"/>
      <x:c r="E49" s="16"/>
      <x:c r="F49" s="16"/>
      <x:c r="G49" s="16"/>
      <x:c r="H49" s="16"/>
      <x:c r="I49" s="16"/>
    </x:row>
    <x:row r="50">
      <x:c r="A50" s="16"/>
      <x:c r="B50" s="16"/>
      <x:c r="C50" s="109"/>
      <x:c r="D50" s="16"/>
      <x:c r="E50" s="16"/>
      <x:c r="F50" s="16"/>
      <x:c r="G50" s="16"/>
      <x:c r="H50" s="16"/>
      <x:c r="I50" s="16"/>
    </x:row>
    <x:row r="51">
      <x:c r="A51" s="16"/>
      <x:c r="B51" s="16"/>
      <x:c r="C51" s="109"/>
      <x:c r="D51" s="16"/>
      <x:c r="E51" s="16"/>
      <x:c r="F51" s="16"/>
      <x:c r="G51" s="16"/>
      <x:c r="H51" s="16"/>
      <x:c r="I51" s="16"/>
    </x:row>
    <x:row r="52">
      <x:c r="A52" s="16"/>
      <x:c r="B52" s="16"/>
      <x:c r="C52" s="109"/>
      <x:c r="D52" s="16"/>
      <x:c r="E52" s="16"/>
      <x:c r="F52" s="16"/>
      <x:c r="G52" s="16"/>
      <x:c r="H52" s="16"/>
      <x:c r="I52" s="16"/>
    </x:row>
    <x:row r="53">
      <x:c r="A53" s="16"/>
      <x:c r="B53" s="16"/>
      <x:c r="C53" s="109"/>
      <x:c r="D53" s="16"/>
      <x:c r="E53" s="16"/>
      <x:c r="F53" s="16"/>
      <x:c r="G53" s="16"/>
      <x:c r="H53" s="16"/>
      <x:c r="I53" s="16"/>
    </x:row>
    <x:row r="54">
      <x:c r="A54" s="16"/>
      <x:c r="B54" s="16"/>
      <x:c r="C54" s="109"/>
      <x:c r="D54" s="16"/>
      <x:c r="E54" s="16"/>
      <x:c r="F54" s="16"/>
      <x:c r="G54" s="16"/>
      <x:c r="H54" s="16"/>
      <x:c r="I54" s="16"/>
    </x:row>
    <x:row r="55">
      <x:c r="A55" s="16"/>
      <x:c r="B55" s="16"/>
      <x:c r="C55" s="109"/>
      <x:c r="D55" s="16"/>
      <x:c r="E55" s="16"/>
      <x:c r="F55" s="16"/>
      <x:c r="G55" s="16"/>
      <x:c r="H55" s="16"/>
      <x:c r="I55" s="16"/>
    </x:row>
    <x:row r="56">
      <x:c r="A56" s="16"/>
      <x:c r="B56" s="16"/>
      <x:c r="C56" s="109"/>
      <x:c r="D56" s="16"/>
      <x:c r="E56" s="16"/>
      <x:c r="F56" s="16"/>
      <x:c r="G56" s="16"/>
      <x:c r="H56" s="16"/>
      <x:c r="I56" s="16"/>
    </x:row>
    <x:row r="57">
      <x:c r="A57" s="16"/>
      <x:c r="B57" s="16"/>
      <x:c r="C57" s="109"/>
      <x:c r="D57" s="16"/>
      <x:c r="E57" s="16"/>
      <x:c r="F57" s="16"/>
      <x:c r="G57" s="16"/>
      <x:c r="H57" s="16"/>
      <x:c r="I57" s="16"/>
    </x:row>
    <x:row r="58">
      <x:c r="A58" s="16"/>
      <x:c r="B58" s="16"/>
      <x:c r="C58" s="109"/>
      <x:c r="D58" s="16"/>
      <x:c r="E58" s="16"/>
      <x:c r="F58" s="16"/>
      <x:c r="G58" s="16"/>
      <x:c r="H58" s="16"/>
      <x:c r="I58" s="16"/>
    </x:row>
    <x:row r="59">
      <x:c r="A59" s="16"/>
      <x:c r="B59" s="16"/>
      <x:c r="C59" s="109"/>
      <x:c r="D59" s="16"/>
      <x:c r="E59" s="16"/>
      <x:c r="F59" s="16"/>
      <x:c r="G59" s="16"/>
      <x:c r="H59" s="16"/>
      <x:c r="I59" s="16"/>
    </x:row>
    <x:row r="60">
      <x:c r="A60" s="16"/>
      <x:c r="B60" s="16"/>
      <x:c r="C60" s="109"/>
      <x:c r="D60" s="16"/>
      <x:c r="E60" s="16"/>
      <x:c r="F60" s="16"/>
      <x:c r="G60" s="16"/>
      <x:c r="H60" s="16"/>
      <x:c r="I60" s="16"/>
    </x:row>
    <x:row r="61">
      <x:c r="A61" s="16"/>
      <x:c r="B61" s="16"/>
      <x:c r="C61" s="109"/>
      <x:c r="D61" s="16"/>
      <x:c r="E61" s="16"/>
      <x:c r="F61" s="16"/>
      <x:c r="G61" s="16"/>
      <x:c r="H61" s="16"/>
      <x:c r="I61" s="16"/>
    </x:row>
    <x:row r="62">
      <x:c r="A62" s="16"/>
      <x:c r="B62" s="16"/>
      <x:c r="C62" s="109"/>
      <x:c r="D62" s="16"/>
      <x:c r="E62" s="16"/>
      <x:c r="F62" s="16"/>
      <x:c r="G62" s="16"/>
      <x:c r="H62" s="16"/>
      <x:c r="I62" s="16"/>
    </x:row>
    <x:row r="63">
      <x:c r="A63" s="16"/>
      <x:c r="B63" s="16"/>
      <x:c r="C63" s="109"/>
      <x:c r="D63" s="16"/>
      <x:c r="E63" s="16"/>
      <x:c r="F63" s="16"/>
      <x:c r="G63" s="16"/>
      <x:c r="H63" s="16"/>
      <x:c r="I63" s="16"/>
    </x:row>
    <x:row r="64">
      <x:c r="A64" s="16"/>
      <x:c r="B64" s="16"/>
      <x:c r="C64" s="109"/>
      <x:c r="D64" s="16"/>
      <x:c r="E64" s="16"/>
      <x:c r="F64" s="16"/>
      <x:c r="G64" s="16"/>
      <x:c r="H64" s="16"/>
      <x:c r="I64" s="16"/>
    </x:row>
    <x:row r="65">
      <x:c r="A65" s="16"/>
      <x:c r="B65" s="16"/>
      <x:c r="C65" s="109"/>
      <x:c r="D65" s="16"/>
      <x:c r="E65" s="16"/>
      <x:c r="F65" s="16"/>
      <x:c r="G65" s="16"/>
      <x:c r="H65" s="16"/>
      <x:c r="I65" s="16"/>
    </x:row>
    <x:row r="66">
      <x:c r="A66" s="16"/>
      <x:c r="B66" s="16"/>
      <x:c r="C66" s="109"/>
      <x:c r="D66" s="16"/>
      <x:c r="E66" s="16"/>
      <x:c r="F66" s="16"/>
      <x:c r="G66" s="16"/>
      <x:c r="H66" s="16"/>
      <x:c r="I66" s="16"/>
    </x:row>
    <x:row r="67">
      <x:c r="A67" s="16"/>
      <x:c r="B67" s="16"/>
      <x:c r="C67" s="109"/>
      <x:c r="D67" s="16"/>
      <x:c r="E67" s="16"/>
      <x:c r="F67" s="16"/>
      <x:c r="G67" s="16"/>
      <x:c r="H67" s="16"/>
      <x:c r="I67" s="16"/>
    </x:row>
    <x:row r="68">
      <x:c r="A68" s="16"/>
      <x:c r="B68" s="16"/>
      <x:c r="C68" s="109"/>
      <x:c r="D68" s="16"/>
      <x:c r="E68" s="16"/>
      <x:c r="F68" s="16"/>
      <x:c r="G68" s="16"/>
      <x:c r="H68" s="16"/>
      <x:c r="I68" s="16"/>
    </x:row>
    <x:row r="69">
      <x:c r="A69" s="16"/>
      <x:c r="B69" s="16"/>
      <x:c r="C69" s="109"/>
      <x:c r="D69" s="16"/>
      <x:c r="E69" s="16"/>
      <x:c r="F69" s="16"/>
      <x:c r="G69" s="16"/>
      <x:c r="H69" s="16"/>
      <x:c r="I69" s="16"/>
    </x:row>
    <x:row r="70">
      <x:c r="A70" s="16"/>
      <x:c r="B70" s="16"/>
      <x:c r="C70" s="109"/>
      <x:c r="D70" s="16"/>
      <x:c r="E70" s="16"/>
      <x:c r="F70" s="16"/>
      <x:c r="G70" s="16"/>
      <x:c r="H70" s="16"/>
      <x:c r="I70" s="16"/>
    </x:row>
    <x:row r="71">
      <x:c r="A71" s="16"/>
      <x:c r="B71" s="16"/>
      <x:c r="C71" s="109"/>
      <x:c r="D71" s="16"/>
      <x:c r="E71" s="16"/>
      <x:c r="F71" s="16"/>
      <x:c r="G71" s="16"/>
      <x:c r="H71" s="16"/>
      <x:c r="I71" s="16"/>
    </x:row>
    <x:row r="72">
      <x:c r="A72" s="16"/>
      <x:c r="B72" s="16"/>
      <x:c r="C72" s="109"/>
      <x:c r="D72" s="16"/>
      <x:c r="E72" s="16"/>
      <x:c r="F72" s="16"/>
      <x:c r="G72" s="16"/>
      <x:c r="H72" s="16"/>
      <x:c r="I72" s="16"/>
    </x:row>
    <x:row r="73">
      <x:c r="A73" s="16"/>
      <x:c r="B73" s="16"/>
      <x:c r="C73" s="109"/>
      <x:c r="D73" s="16"/>
      <x:c r="E73" s="16"/>
      <x:c r="F73" s="16"/>
      <x:c r="G73" s="16"/>
      <x:c r="H73" s="16"/>
      <x:c r="I73" s="16"/>
    </x:row>
    <x:row r="74">
      <x:c r="A74" s="16"/>
      <x:c r="B74" s="16"/>
      <x:c r="C74" s="109"/>
      <x:c r="D74" s="16"/>
      <x:c r="E74" s="16"/>
      <x:c r="F74" s="16"/>
      <x:c r="G74" s="16"/>
      <x:c r="H74" s="16"/>
      <x:c r="I74" s="16"/>
    </x:row>
    <x:row r="75">
      <x:c r="A75" s="16"/>
      <x:c r="B75" s="16"/>
      <x:c r="C75" s="109"/>
      <x:c r="D75" s="16"/>
      <x:c r="E75" s="16"/>
      <x:c r="F75" s="16"/>
      <x:c r="G75" s="16"/>
      <x:c r="H75" s="16"/>
      <x:c r="I75" s="16"/>
    </x:row>
    <x:row r="76">
      <x:c r="A76" s="16"/>
      <x:c r="B76" s="16"/>
      <x:c r="C76" s="109"/>
      <x:c r="D76" s="16"/>
      <x:c r="E76" s="16"/>
      <x:c r="F76" s="16"/>
      <x:c r="G76" s="16"/>
      <x:c r="H76" s="16"/>
      <x:c r="I76" s="16"/>
    </x:row>
    <x:row r="77">
      <x:c r="A77" s="16"/>
      <x:c r="B77" s="16"/>
      <x:c r="C77" s="109"/>
      <x:c r="D77" s="16"/>
      <x:c r="E77" s="16"/>
      <x:c r="F77" s="16"/>
      <x:c r="G77" s="16"/>
      <x:c r="H77" s="16"/>
      <x:c r="I77" s="16"/>
    </x:row>
    <x:row r="78">
      <x:c r="A78" s="16"/>
      <x:c r="B78" s="16"/>
      <x:c r="C78" s="109"/>
      <x:c r="D78" s="16"/>
      <x:c r="E78" s="16"/>
      <x:c r="F78" s="16"/>
      <x:c r="G78" s="16"/>
      <x:c r="H78" s="16"/>
      <x:c r="I78" s="16"/>
    </x:row>
    <x:row r="79">
      <x:c r="A79" s="16"/>
      <x:c r="B79" s="16"/>
      <x:c r="C79" s="109"/>
      <x:c r="D79" s="16"/>
      <x:c r="E79" s="16"/>
      <x:c r="F79" s="16"/>
      <x:c r="G79" s="16"/>
      <x:c r="H79" s="16"/>
      <x:c r="I79" s="16"/>
    </x:row>
    <x:row r="80">
      <x:c r="A80" s="16"/>
      <x:c r="B80" s="16"/>
      <x:c r="C80" s="109"/>
      <x:c r="D80" s="16"/>
      <x:c r="E80" s="16"/>
      <x:c r="F80" s="16"/>
      <x:c r="G80" s="16"/>
      <x:c r="H80" s="16"/>
      <x:c r="I80" s="16"/>
    </x:row>
    <x:row r="81">
      <x:c r="A81" s="16"/>
      <x:c r="B81" s="16"/>
      <x:c r="C81" s="109"/>
      <x:c r="D81" s="16"/>
      <x:c r="E81" s="16"/>
      <x:c r="F81" s="16"/>
      <x:c r="G81" s="16"/>
      <x:c r="H81" s="16"/>
      <x:c r="I81" s="16"/>
    </x:row>
    <x:row r="82">
      <x:c r="A82" s="16"/>
      <x:c r="B82" s="16"/>
      <x:c r="C82" s="109"/>
      <x:c r="D82" s="16"/>
      <x:c r="E82" s="16"/>
      <x:c r="F82" s="16"/>
      <x:c r="G82" s="16"/>
      <x:c r="H82" s="16"/>
      <x:c r="I82" s="16"/>
    </x:row>
    <x:row r="83">
      <x:c r="A83" s="16"/>
      <x:c r="B83" s="16"/>
      <x:c r="C83" s="109"/>
      <x:c r="D83" s="16"/>
      <x:c r="E83" s="16"/>
      <x:c r="F83" s="16"/>
      <x:c r="G83" s="16"/>
      <x:c r="H83" s="16"/>
      <x:c r="I83" s="16"/>
    </x:row>
    <x:row r="84">
      <x:c r="A84" s="16"/>
      <x:c r="B84" s="16"/>
      <x:c r="C84" s="109"/>
      <x:c r="D84" s="16"/>
      <x:c r="E84" s="16"/>
      <x:c r="F84" s="16"/>
      <x:c r="G84" s="16"/>
      <x:c r="H84" s="16"/>
      <x:c r="I84" s="16"/>
    </x:row>
    <x:row r="85">
      <x:c r="A85" s="16"/>
      <x:c r="B85" s="16"/>
      <x:c r="C85" s="109"/>
      <x:c r="D85" s="16"/>
      <x:c r="E85" s="16"/>
      <x:c r="F85" s="16"/>
      <x:c r="G85" s="16"/>
      <x:c r="H85" s="16"/>
      <x:c r="I85" s="16"/>
    </x:row>
    <x:row r="86">
      <x:c r="A86" s="16"/>
      <x:c r="B86" s="16"/>
      <x:c r="C86" s="109"/>
      <x:c r="D86" s="16"/>
      <x:c r="E86" s="16"/>
      <x:c r="F86" s="16"/>
      <x:c r="G86" s="16"/>
      <x:c r="H86" s="16"/>
      <x:c r="I86" s="16"/>
    </x:row>
    <x:row r="87">
      <x:c r="A87" s="16"/>
      <x:c r="B87" s="16"/>
      <x:c r="C87" s="109"/>
      <x:c r="D87" s="16"/>
      <x:c r="E87" s="16"/>
      <x:c r="F87" s="16"/>
      <x:c r="G87" s="16"/>
      <x:c r="H87" s="16"/>
      <x:c r="I87" s="16"/>
    </x:row>
    <x:row r="88">
      <x:c r="A88" s="16"/>
      <x:c r="B88" s="16"/>
      <x:c r="C88" s="109"/>
      <x:c r="D88" s="16"/>
      <x:c r="E88" s="16"/>
      <x:c r="F88" s="16"/>
      <x:c r="G88" s="16"/>
      <x:c r="H88" s="16"/>
      <x:c r="I88" s="16"/>
    </x:row>
    <x:row r="89">
      <x:c r="A89" s="16"/>
      <x:c r="B89" s="16"/>
      <x:c r="C89" s="109"/>
      <x:c r="D89" s="16"/>
      <x:c r="E89" s="16"/>
      <x:c r="F89" s="16"/>
      <x:c r="G89" s="16"/>
      <x:c r="H89" s="16"/>
      <x:c r="I89" s="16"/>
    </x:row>
    <x:row r="90">
      <x:c r="A90" s="16"/>
      <x:c r="B90" s="16"/>
      <x:c r="C90" s="109"/>
      <x:c r="D90" s="16"/>
      <x:c r="E90" s="16"/>
      <x:c r="F90" s="16"/>
      <x:c r="G90" s="16"/>
      <x:c r="H90" s="16"/>
      <x:c r="I90" s="16"/>
    </x:row>
    <x:row r="91">
      <x:c r="A91" s="16"/>
      <x:c r="B91" s="16"/>
      <x:c r="C91" s="109"/>
      <x:c r="D91" s="16"/>
      <x:c r="E91" s="16"/>
      <x:c r="F91" s="16"/>
      <x:c r="G91" s="16"/>
      <x:c r="H91" s="16"/>
      <x:c r="I91" s="16"/>
    </x:row>
    <x:row r="92">
      <x:c r="A92" s="16"/>
      <x:c r="B92" s="16"/>
      <x:c r="C92" s="109"/>
      <x:c r="D92" s="16"/>
      <x:c r="E92" s="16"/>
      <x:c r="F92" s="16"/>
      <x:c r="G92" s="16"/>
      <x:c r="H92" s="16"/>
      <x:c r="I92" s="16"/>
    </x:row>
    <x:row r="93">
      <x:c r="A93" s="16"/>
      <x:c r="B93" s="16"/>
      <x:c r="C93" s="109"/>
      <x:c r="D93" s="16"/>
      <x:c r="E93" s="16"/>
      <x:c r="F93" s="16"/>
      <x:c r="G93" s="16"/>
      <x:c r="H93" s="16"/>
      <x:c r="I93" s="16"/>
    </x:row>
    <x:row r="94">
      <x:c r="A94" s="16"/>
      <x:c r="B94" s="16"/>
      <x:c r="C94" s="109"/>
      <x:c r="D94" s="16"/>
      <x:c r="E94" s="16"/>
      <x:c r="F94" s="16"/>
      <x:c r="G94" s="16"/>
      <x:c r="H94" s="16"/>
      <x:c r="I94" s="16"/>
    </x:row>
    <x:row r="95">
      <x:c r="A95" s="16"/>
      <x:c r="B95" s="16"/>
      <x:c r="C95" s="109"/>
      <x:c r="D95" s="16"/>
      <x:c r="E95" s="16"/>
      <x:c r="F95" s="16"/>
      <x:c r="G95" s="16"/>
      <x:c r="H95" s="16"/>
      <x:c r="I95" s="16"/>
    </x:row>
    <x:row r="96">
      <x:c r="A96" s="16"/>
      <x:c r="B96" s="16"/>
      <x:c r="C96" s="109"/>
      <x:c r="D96" s="16"/>
      <x:c r="E96" s="16"/>
      <x:c r="F96" s="16"/>
      <x:c r="G96" s="16"/>
      <x:c r="H96" s="16"/>
      <x:c r="I96" s="16"/>
    </x:row>
    <x:row r="97">
      <x:c r="A97" s="16"/>
      <x:c r="B97" s="16"/>
      <x:c r="C97" s="109"/>
      <x:c r="D97" s="16"/>
      <x:c r="E97" s="16"/>
      <x:c r="F97" s="16"/>
      <x:c r="G97" s="16"/>
      <x:c r="H97" s="16"/>
      <x:c r="I97" s="16"/>
    </x:row>
    <x:row r="98">
      <x:c r="A98" s="16"/>
      <x:c r="B98" s="16"/>
      <x:c r="C98" s="109"/>
      <x:c r="D98" s="16"/>
      <x:c r="E98" s="16"/>
      <x:c r="F98" s="16"/>
      <x:c r="G98" s="16"/>
      <x:c r="H98" s="16"/>
      <x:c r="I98" s="16"/>
    </x:row>
    <x:row r="99">
      <x:c r="A99" s="16"/>
      <x:c r="B99" s="16"/>
      <x:c r="C99" s="109"/>
      <x:c r="D99" s="16"/>
      <x:c r="E99" s="16"/>
      <x:c r="F99" s="16"/>
      <x:c r="G99" s="16"/>
      <x:c r="H99" s="16"/>
      <x:c r="I99" s="16"/>
    </x:row>
    <x:row r="100">
      <x:c r="A100" s="16"/>
      <x:c r="B100" s="16"/>
      <x:c r="C100" s="109"/>
      <x:c r="D100" s="16"/>
      <x:c r="E100" s="16"/>
      <x:c r="F100" s="16"/>
      <x:c r="G100" s="16"/>
      <x:c r="H100" s="16"/>
      <x:c r="I100" s="16"/>
    </x:row>
    <x:row r="101">
      <x:c r="A101" s="16"/>
      <x:c r="B101" s="16"/>
      <x:c r="C101" s="109"/>
      <x:c r="D101" s="16"/>
      <x:c r="E101" s="16"/>
      <x:c r="F101" s="16"/>
      <x:c r="G101" s="16"/>
      <x:c r="H101" s="16"/>
      <x:c r="I101" s="16"/>
    </x:row>
    <x:row r="102">
      <x:c r="A102" s="16"/>
      <x:c r="B102" s="16"/>
      <x:c r="C102" s="109"/>
      <x:c r="D102" s="16"/>
      <x:c r="E102" s="16"/>
      <x:c r="F102" s="16"/>
      <x:c r="G102" s="16"/>
      <x:c r="H102" s="16"/>
      <x:c r="I102" s="16"/>
    </x:row>
    <x:row r="103">
      <x:c r="A103" s="16"/>
      <x:c r="B103" s="16"/>
      <x:c r="C103" s="109"/>
      <x:c r="D103" s="16"/>
      <x:c r="E103" s="16"/>
      <x:c r="F103" s="16"/>
      <x:c r="G103" s="16"/>
      <x:c r="H103" s="16"/>
      <x:c r="I103" s="16"/>
    </x:row>
    <x:row r="104">
      <x:c r="A104" s="16"/>
      <x:c r="B104" s="16"/>
      <x:c r="C104" s="109"/>
      <x:c r="D104" s="16"/>
      <x:c r="E104" s="16"/>
      <x:c r="F104" s="16"/>
      <x:c r="G104" s="16"/>
      <x:c r="H104" s="16"/>
      <x:c r="I104" s="16"/>
    </x:row>
    <x:row r="105">
      <x:c r="A105" s="16"/>
      <x:c r="B105" s="16"/>
      <x:c r="C105" s="109"/>
      <x:c r="D105" s="16"/>
      <x:c r="E105" s="16"/>
      <x:c r="F105" s="16"/>
      <x:c r="G105" s="16"/>
      <x:c r="H105" s="16"/>
      <x:c r="I105" s="16"/>
    </x:row>
    <x:row r="106">
      <x:c r="A106" s="16"/>
      <x:c r="B106" s="16"/>
      <x:c r="C106" s="109"/>
      <x:c r="D106" s="16"/>
      <x:c r="E106" s="16"/>
      <x:c r="F106" s="16"/>
      <x:c r="G106" s="16"/>
      <x:c r="H106" s="16"/>
      <x:c r="I106" s="16"/>
    </x:row>
    <x:row r="107">
      <x:c r="A107" s="16"/>
      <x:c r="B107" s="16"/>
      <x:c r="C107" s="109"/>
      <x:c r="D107" s="16"/>
      <x:c r="E107" s="16"/>
      <x:c r="F107" s="16"/>
      <x:c r="G107" s="16"/>
      <x:c r="H107" s="16"/>
      <x:c r="I107" s="16"/>
    </x:row>
    <x:row r="108">
      <x:c r="A108" s="16"/>
      <x:c r="B108" s="16"/>
      <x:c r="C108" s="109"/>
      <x:c r="D108" s="16"/>
      <x:c r="E108" s="16"/>
      <x:c r="F108" s="16"/>
      <x:c r="G108" s="16"/>
      <x:c r="H108" s="16"/>
      <x:c r="I108" s="16"/>
    </x:row>
    <x:row r="109">
      <x:c r="A109" s="16"/>
      <x:c r="B109" s="16"/>
      <x:c r="C109" s="109"/>
      <x:c r="D109" s="16"/>
      <x:c r="E109" s="16"/>
      <x:c r="F109" s="16"/>
      <x:c r="G109" s="16"/>
      <x:c r="H109" s="16"/>
      <x:c r="I109" s="16"/>
    </x:row>
    <x:row r="110">
      <x:c r="A110" s="16"/>
      <x:c r="B110" s="16"/>
      <x:c r="C110" s="109"/>
      <x:c r="D110" s="16"/>
      <x:c r="E110" s="16"/>
      <x:c r="F110" s="16"/>
      <x:c r="G110" s="16"/>
      <x:c r="H110" s="16"/>
      <x:c r="I110" s="16"/>
    </x:row>
    <x:row r="111">
      <x:c r="A111" s="16"/>
      <x:c r="B111" s="16"/>
      <x:c r="C111" s="109"/>
      <x:c r="D111" s="16"/>
      <x:c r="E111" s="16"/>
      <x:c r="F111" s="16"/>
      <x:c r="G111" s="16"/>
      <x:c r="H111" s="16"/>
      <x:c r="I111" s="16"/>
    </x:row>
    <x:row r="112">
      <x:c r="A112" s="16"/>
      <x:c r="B112" s="16"/>
      <x:c r="C112" s="109"/>
      <x:c r="D112" s="16"/>
      <x:c r="E112" s="16"/>
      <x:c r="F112" s="16"/>
      <x:c r="G112" s="16"/>
      <x:c r="H112" s="16"/>
      <x:c r="I112" s="16"/>
    </x:row>
    <x:row r="113">
      <x:c r="A113" s="16"/>
      <x:c r="B113" s="16"/>
      <x:c r="C113" s="109"/>
      <x:c r="D113" s="16"/>
      <x:c r="E113" s="16"/>
      <x:c r="F113" s="16"/>
      <x:c r="G113" s="16"/>
      <x:c r="H113" s="16"/>
      <x:c r="I113" s="16"/>
    </x:row>
    <x:row r="114">
      <x:c r="A114" s="16"/>
      <x:c r="B114" s="16"/>
      <x:c r="C114" s="109"/>
      <x:c r="D114" s="16"/>
      <x:c r="E114" s="16"/>
      <x:c r="F114" s="16"/>
      <x:c r="G114" s="16"/>
      <x:c r="H114" s="16"/>
      <x:c r="I114" s="16"/>
    </x:row>
    <x:row r="115">
      <x:c r="A115" s="16"/>
      <x:c r="B115" s="16"/>
      <x:c r="C115" s="109"/>
      <x:c r="D115" s="16"/>
      <x:c r="E115" s="16"/>
      <x:c r="F115" s="16"/>
      <x:c r="G115" s="16"/>
      <x:c r="H115" s="16"/>
      <x:c r="I115" s="16"/>
    </x:row>
    <x:row r="116">
      <x:c r="A116" s="16"/>
      <x:c r="B116" s="16"/>
      <x:c r="C116" s="109"/>
      <x:c r="D116" s="16"/>
      <x:c r="E116" s="16"/>
      <x:c r="F116" s="16"/>
      <x:c r="G116" s="16"/>
      <x:c r="H116" s="16"/>
      <x:c r="I116" s="16"/>
    </x:row>
    <x:row r="117">
      <x:c r="A117" s="16"/>
      <x:c r="B117" s="16"/>
      <x:c r="C117" s="109"/>
      <x:c r="D117" s="16"/>
      <x:c r="E117" s="16"/>
      <x:c r="F117" s="16"/>
      <x:c r="G117" s="16"/>
      <x:c r="H117" s="16"/>
      <x:c r="I117" s="16"/>
    </x:row>
    <x:row r="118">
      <x:c r="A118" s="16"/>
      <x:c r="B118" s="16"/>
      <x:c r="C118" s="109"/>
      <x:c r="D118" s="16"/>
      <x:c r="E118" s="16"/>
      <x:c r="F118" s="16"/>
      <x:c r="G118" s="16"/>
      <x:c r="H118" s="16"/>
      <x:c r="I118" s="16"/>
    </x:row>
    <x:row r="119">
      <x:c r="A119" s="16"/>
      <x:c r="B119" s="16"/>
      <x:c r="C119" s="109"/>
      <x:c r="D119" s="16"/>
      <x:c r="E119" s="16"/>
      <x:c r="F119" s="16"/>
      <x:c r="G119" s="16"/>
      <x:c r="H119" s="16"/>
      <x:c r="I119" s="16"/>
    </x:row>
    <x:row r="120">
      <x:c r="A120" s="16"/>
      <x:c r="B120" s="16"/>
      <x:c r="C120" s="109"/>
      <x:c r="D120" s="16"/>
      <x:c r="E120" s="16"/>
      <x:c r="F120" s="16"/>
      <x:c r="G120" s="16"/>
      <x:c r="H120" s="16"/>
      <x:c r="I120" s="16"/>
    </x:row>
    <x:row r="121">
      <x:c r="A121" s="16"/>
      <x:c r="B121" s="16"/>
      <x:c r="C121" s="109"/>
      <x:c r="D121" s="16"/>
      <x:c r="E121" s="16"/>
      <x:c r="F121" s="16"/>
      <x:c r="G121" s="16"/>
      <x:c r="H121" s="16"/>
      <x:c r="I121" s="16"/>
    </x:row>
    <x:row r="122">
      <x:c r="A122" s="16"/>
      <x:c r="B122" s="16"/>
      <x:c r="C122" s="109"/>
      <x:c r="D122" s="16"/>
      <x:c r="E122" s="16"/>
      <x:c r="F122" s="16"/>
      <x:c r="G122" s="16"/>
      <x:c r="H122" s="16"/>
      <x:c r="I122" s="16"/>
    </x:row>
    <x:row r="123">
      <x:c r="A123" s="16"/>
      <x:c r="B123" s="16"/>
      <x:c r="C123" s="109"/>
      <x:c r="D123" s="16"/>
      <x:c r="E123" s="16"/>
      <x:c r="F123" s="16"/>
      <x:c r="G123" s="16"/>
      <x:c r="H123" s="16"/>
      <x:c r="I123" s="16"/>
    </x:row>
    <x:row r="124">
      <x:c r="A124" s="16"/>
      <x:c r="B124" s="16"/>
      <x:c r="C124" s="109"/>
      <x:c r="D124" s="16"/>
      <x:c r="E124" s="16"/>
      <x:c r="F124" s="16"/>
      <x:c r="G124" s="16"/>
      <x:c r="H124" s="16"/>
      <x:c r="I124" s="16"/>
    </x:row>
    <x:row r="125">
      <x:c r="A125" s="16"/>
      <x:c r="B125" s="16"/>
      <x:c r="C125" s="109"/>
      <x:c r="D125" s="16"/>
      <x:c r="E125" s="16"/>
      <x:c r="F125" s="16"/>
      <x:c r="G125" s="16"/>
      <x:c r="H125" s="16"/>
      <x:c r="I125" s="16"/>
    </x:row>
    <x:row r="126">
      <x:c r="A126" s="16"/>
      <x:c r="B126" s="16"/>
      <x:c r="C126" s="109"/>
      <x:c r="D126" s="16"/>
      <x:c r="E126" s="16"/>
      <x:c r="F126" s="16"/>
      <x:c r="G126" s="16"/>
      <x:c r="H126" s="16"/>
      <x:c r="I126" s="16"/>
    </x:row>
    <x:row r="127">
      <x:c r="A127" s="16"/>
      <x:c r="B127" s="16"/>
      <x:c r="C127" s="109"/>
      <x:c r="D127" s="16"/>
      <x:c r="E127" s="16"/>
      <x:c r="F127" s="16"/>
      <x:c r="G127" s="16"/>
      <x:c r="H127" s="16"/>
      <x:c r="I127" s="16"/>
    </x:row>
    <x:row r="128">
      <x:c r="A128" s="16"/>
      <x:c r="B128" s="16"/>
      <x:c r="C128" s="109"/>
      <x:c r="D128" s="16"/>
      <x:c r="E128" s="16"/>
      <x:c r="F128" s="16"/>
      <x:c r="G128" s="16"/>
      <x:c r="H128" s="16"/>
      <x:c r="I128" s="16"/>
    </x:row>
    <x:row r="129">
      <x:c r="A129" s="16"/>
      <x:c r="B129" s="16"/>
      <x:c r="C129" s="109"/>
      <x:c r="D129" s="16"/>
      <x:c r="E129" s="16"/>
      <x:c r="F129" s="16"/>
      <x:c r="G129" s="16"/>
      <x:c r="H129" s="16"/>
      <x:c r="I129" s="16"/>
    </x:row>
    <x:row r="130">
      <x:c r="A130" s="16"/>
      <x:c r="B130" s="16"/>
      <x:c r="C130" s="109"/>
      <x:c r="D130" s="16"/>
      <x:c r="E130" s="16"/>
      <x:c r="F130" s="16"/>
      <x:c r="G130" s="16"/>
      <x:c r="H130" s="16"/>
      <x:c r="I130" s="16"/>
    </x:row>
    <x:row r="131">
      <x:c r="A131" s="16"/>
      <x:c r="B131" s="16"/>
      <x:c r="C131" s="109"/>
      <x:c r="D131" s="16"/>
      <x:c r="E131" s="16"/>
      <x:c r="F131" s="16"/>
      <x:c r="G131" s="16"/>
      <x:c r="H131" s="16"/>
      <x:c r="I131" s="16"/>
    </x:row>
    <x:row r="132">
      <x:c r="A132" s="16"/>
      <x:c r="B132" s="16"/>
      <x:c r="C132" s="109"/>
      <x:c r="D132" s="16"/>
      <x:c r="E132" s="16"/>
      <x:c r="F132" s="16"/>
      <x:c r="G132" s="16"/>
      <x:c r="H132" s="16"/>
      <x:c r="I132" s="16"/>
    </x:row>
    <x:row r="133">
      <x:c r="A133" s="16"/>
      <x:c r="B133" s="16"/>
      <x:c r="C133" s="109"/>
      <x:c r="D133" s="16"/>
      <x:c r="E133" s="16"/>
      <x:c r="F133" s="16"/>
      <x:c r="G133" s="16"/>
      <x:c r="H133" s="16"/>
      <x:c r="I133" s="16"/>
    </x:row>
    <x:row r="134">
      <x:c r="A134" s="16"/>
      <x:c r="B134" s="16"/>
      <x:c r="C134" s="109"/>
      <x:c r="D134" s="16"/>
      <x:c r="E134" s="16"/>
      <x:c r="F134" s="16"/>
      <x:c r="G134" s="16"/>
      <x:c r="H134" s="16"/>
      <x:c r="I134" s="16"/>
    </x:row>
    <x:row r="135">
      <x:c r="A135" s="16"/>
      <x:c r="B135" s="16"/>
      <x:c r="C135" s="109"/>
      <x:c r="D135" s="16"/>
      <x:c r="E135" s="16"/>
      <x:c r="F135" s="16"/>
      <x:c r="G135" s="16"/>
      <x:c r="H135" s="16"/>
      <x:c r="I135" s="16"/>
    </x:row>
    <x:row r="136">
      <x:c r="A136" s="16"/>
      <x:c r="B136" s="16"/>
      <x:c r="C136" s="109"/>
      <x:c r="D136" s="16"/>
      <x:c r="E136" s="16"/>
      <x:c r="F136" s="16"/>
      <x:c r="G136" s="16"/>
      <x:c r="H136" s="16"/>
      <x:c r="I136" s="16"/>
    </x:row>
    <x:row r="137">
      <x:c r="A137" s="16"/>
      <x:c r="B137" s="16"/>
      <x:c r="C137" s="109"/>
      <x:c r="D137" s="16"/>
      <x:c r="E137" s="16"/>
      <x:c r="F137" s="16"/>
      <x:c r="G137" s="16"/>
      <x:c r="H137" s="16"/>
      <x:c r="I137" s="16"/>
    </x:row>
    <x:row r="138">
      <x:c r="A138" s="16"/>
      <x:c r="B138" s="16"/>
      <x:c r="C138" s="109"/>
      <x:c r="D138" s="16"/>
      <x:c r="E138" s="16"/>
      <x:c r="F138" s="16"/>
      <x:c r="G138" s="16"/>
      <x:c r="H138" s="16"/>
      <x:c r="I138" s="16"/>
    </x:row>
    <x:row r="139">
      <x:c r="A139" s="16"/>
      <x:c r="B139" s="16"/>
      <x:c r="C139" s="109"/>
      <x:c r="D139" s="16"/>
      <x:c r="E139" s="16"/>
      <x:c r="F139" s="16"/>
      <x:c r="G139" s="16"/>
      <x:c r="H139" s="16"/>
      <x:c r="I139" s="16"/>
    </x:row>
    <x:row r="140">
      <x:c r="A140" s="16"/>
      <x:c r="B140" s="16"/>
      <x:c r="C140" s="109"/>
      <x:c r="D140" s="16"/>
      <x:c r="E140" s="16"/>
      <x:c r="F140" s="16"/>
      <x:c r="G140" s="16"/>
      <x:c r="H140" s="16"/>
      <x:c r="I140" s="16"/>
    </x:row>
    <x:row r="141">
      <x:c r="A141" s="16"/>
      <x:c r="B141" s="16"/>
      <x:c r="C141" s="109"/>
      <x:c r="D141" s="16"/>
      <x:c r="E141" s="16"/>
      <x:c r="F141" s="16"/>
      <x:c r="G141" s="16"/>
      <x:c r="H141" s="16"/>
      <x:c r="I141" s="16"/>
    </x:row>
    <x:row r="142">
      <x:c r="A142" s="16"/>
      <x:c r="B142" s="16"/>
      <x:c r="C142" s="109"/>
      <x:c r="D142" s="16"/>
      <x:c r="E142" s="16"/>
      <x:c r="F142" s="16"/>
      <x:c r="G142" s="16"/>
      <x:c r="H142" s="16"/>
      <x:c r="I142" s="16"/>
    </x:row>
    <x:row r="143">
      <x:c r="A143" s="16"/>
      <x:c r="B143" s="16"/>
      <x:c r="C143" s="109"/>
      <x:c r="D143" s="16"/>
      <x:c r="E143" s="16"/>
      <x:c r="F143" s="16"/>
      <x:c r="G143" s="16"/>
      <x:c r="H143" s="16"/>
      <x:c r="I143" s="16"/>
    </x:row>
    <x:row r="144">
      <x:c r="A144" s="16"/>
      <x:c r="B144" s="16"/>
      <x:c r="C144" s="109"/>
      <x:c r="D144" s="16"/>
      <x:c r="E144" s="16"/>
      <x:c r="F144" s="16"/>
      <x:c r="G144" s="16"/>
      <x:c r="H144" s="16"/>
      <x:c r="I144" s="16"/>
    </x:row>
    <x:row r="145">
      <x:c r="A145" s="16"/>
      <x:c r="B145" s="16"/>
      <x:c r="C145" s="109"/>
      <x:c r="D145" s="16"/>
      <x:c r="E145" s="16"/>
      <x:c r="F145" s="16"/>
      <x:c r="G145" s="16"/>
      <x:c r="H145" s="16"/>
      <x:c r="I145" s="16"/>
    </x:row>
    <x:row r="146">
      <x:c r="A146" s="16"/>
      <x:c r="B146" s="16"/>
      <x:c r="C146" s="109"/>
      <x:c r="D146" s="16"/>
      <x:c r="E146" s="16"/>
      <x:c r="F146" s="16"/>
      <x:c r="G146" s="16"/>
      <x:c r="H146" s="16"/>
      <x:c r="I146" s="16"/>
    </x:row>
    <x:row r="147">
      <x:c r="A147" s="16"/>
      <x:c r="B147" s="16"/>
      <x:c r="C147" s="109"/>
      <x:c r="D147" s="16"/>
      <x:c r="E147" s="16"/>
      <x:c r="F147" s="16"/>
      <x:c r="G147" s="16"/>
      <x:c r="H147" s="16"/>
      <x:c r="I147" s="16"/>
    </x:row>
    <x:row r="148">
      <x:c r="A148" s="16"/>
      <x:c r="B148" s="16"/>
      <x:c r="C148" s="109"/>
      <x:c r="D148" s="16"/>
      <x:c r="E148" s="16"/>
      <x:c r="F148" s="16"/>
      <x:c r="G148" s="16"/>
      <x:c r="H148" s="16"/>
      <x:c r="I148" s="16"/>
    </x:row>
    <x:row r="149">
      <x:c r="A149" s="16"/>
      <x:c r="B149" s="16"/>
      <x:c r="C149" s="109"/>
      <x:c r="D149" s="16"/>
      <x:c r="E149" s="16"/>
      <x:c r="F149" s="16"/>
      <x:c r="G149" s="16"/>
      <x:c r="H149" s="16"/>
      <x:c r="I149" s="16"/>
    </x:row>
    <x:row r="150">
      <x:c r="A150" s="16"/>
      <x:c r="B150" s="16"/>
      <x:c r="C150" s="109"/>
      <x:c r="D150" s="16"/>
      <x:c r="E150" s="16"/>
      <x:c r="F150" s="16"/>
      <x:c r="G150" s="16"/>
      <x:c r="H150" s="16"/>
      <x:c r="I150" s="16"/>
    </x:row>
    <x:row r="151">
      <x:c r="A151" s="16"/>
      <x:c r="B151" s="16"/>
      <x:c r="C151" s="109"/>
      <x:c r="D151" s="16"/>
      <x:c r="E151" s="16"/>
      <x:c r="F151" s="16"/>
      <x:c r="G151" s="16"/>
      <x:c r="H151" s="16"/>
      <x:c r="I151" s="16"/>
    </x:row>
    <x:row r="152">
      <x:c r="A152" s="16"/>
      <x:c r="B152" s="16"/>
      <x:c r="C152" s="109"/>
      <x:c r="D152" s="16"/>
      <x:c r="E152" s="16"/>
      <x:c r="F152" s="16"/>
      <x:c r="G152" s="16"/>
      <x:c r="H152" s="16"/>
      <x:c r="I152" s="16"/>
    </x:row>
    <x:row r="153">
      <x:c r="A153" s="16"/>
      <x:c r="B153" s="16"/>
      <x:c r="C153" s="109"/>
      <x:c r="D153" s="16"/>
      <x:c r="E153" s="16"/>
      <x:c r="F153" s="16"/>
      <x:c r="G153" s="16"/>
      <x:c r="H153" s="16"/>
      <x:c r="I153" s="16"/>
    </x:row>
    <x:row r="154">
      <x:c r="A154" s="16"/>
      <x:c r="B154" s="16"/>
      <x:c r="C154" s="109"/>
      <x:c r="D154" s="16"/>
      <x:c r="E154" s="16"/>
      <x:c r="F154" s="16"/>
      <x:c r="G154" s="16"/>
      <x:c r="H154" s="16"/>
      <x:c r="I154" s="16"/>
    </x:row>
    <x:row r="155">
      <x:c r="A155" s="16"/>
      <x:c r="B155" s="16"/>
      <x:c r="C155" s="109"/>
      <x:c r="D155" s="16"/>
      <x:c r="E155" s="16"/>
      <x:c r="F155" s="16"/>
      <x:c r="G155" s="16"/>
      <x:c r="H155" s="16"/>
      <x:c r="I155" s="16"/>
    </x:row>
    <x:row r="156">
      <x:c r="A156" s="16"/>
      <x:c r="B156" s="16"/>
      <x:c r="C156" s="109"/>
      <x:c r="D156" s="16"/>
      <x:c r="E156" s="16"/>
      <x:c r="F156" s="16"/>
      <x:c r="G156" s="16"/>
      <x:c r="H156" s="16"/>
      <x:c r="I156" s="16"/>
    </x:row>
    <x:row r="157">
      <x:c r="A157" s="16"/>
      <x:c r="B157" s="16"/>
      <x:c r="C157" s="109"/>
      <x:c r="D157" s="16"/>
      <x:c r="E157" s="16"/>
      <x:c r="F157" s="16"/>
      <x:c r="G157" s="16"/>
      <x:c r="H157" s="16"/>
      <x:c r="I157" s="16"/>
    </x:row>
    <x:row r="158">
      <x:c r="A158" s="16"/>
      <x:c r="B158" s="16"/>
      <x:c r="C158" s="109"/>
      <x:c r="D158" s="16"/>
      <x:c r="E158" s="16"/>
      <x:c r="F158" s="16"/>
      <x:c r="G158" s="16"/>
      <x:c r="H158" s="16"/>
      <x:c r="I158" s="16"/>
    </x:row>
    <x:row r="159">
      <x:c r="A159" s="16"/>
      <x:c r="B159" s="16"/>
      <x:c r="C159" s="109"/>
      <x:c r="D159" s="16"/>
      <x:c r="E159" s="16"/>
      <x:c r="F159" s="16"/>
      <x:c r="G159" s="16"/>
      <x:c r="H159" s="16"/>
      <x:c r="I159" s="16"/>
    </x:row>
    <x:row r="160">
      <x:c r="A160" s="16"/>
      <x:c r="B160" s="16"/>
      <x:c r="C160" s="109"/>
      <x:c r="D160" s="16"/>
      <x:c r="E160" s="16"/>
      <x:c r="F160" s="16"/>
      <x:c r="G160" s="16"/>
      <x:c r="H160" s="16"/>
      <x:c r="I160" s="16"/>
    </x:row>
    <x:row r="161">
      <x:c r="A161" s="16"/>
      <x:c r="B161" s="16"/>
      <x:c r="C161" s="109"/>
      <x:c r="D161" s="16"/>
      <x:c r="E161" s="16"/>
      <x:c r="F161" s="16"/>
      <x:c r="G161" s="16"/>
      <x:c r="H161" s="16"/>
      <x:c r="I161" s="16"/>
    </x:row>
    <x:row r="162">
      <x:c r="A162" s="16"/>
      <x:c r="B162" s="16"/>
      <x:c r="C162" s="109"/>
      <x:c r="D162" s="16"/>
      <x:c r="E162" s="16"/>
      <x:c r="F162" s="16"/>
      <x:c r="G162" s="16"/>
      <x:c r="H162" s="16"/>
      <x:c r="I162" s="16"/>
    </x:row>
    <x:row r="163">
      <x:c r="A163" s="16"/>
      <x:c r="B163" s="16"/>
      <x:c r="C163" s="109"/>
      <x:c r="D163" s="16"/>
      <x:c r="E163" s="16"/>
      <x:c r="F163" s="16"/>
      <x:c r="G163" s="16"/>
      <x:c r="H163" s="16"/>
      <x:c r="I163" s="16"/>
    </x:row>
    <x:row r="164">
      <x:c r="A164" s="16"/>
      <x:c r="B164" s="16"/>
      <x:c r="C164" s="109"/>
      <x:c r="D164" s="16"/>
      <x:c r="E164" s="16"/>
      <x:c r="F164" s="16"/>
      <x:c r="G164" s="16"/>
      <x:c r="H164" s="16"/>
      <x:c r="I164" s="16"/>
    </x:row>
    <x:row r="165">
      <x:c r="A165" s="16"/>
      <x:c r="B165" s="16"/>
      <x:c r="C165" s="109"/>
      <x:c r="D165" s="16"/>
      <x:c r="E165" s="16"/>
      <x:c r="F165" s="16"/>
      <x:c r="G165" s="16"/>
      <x:c r="H165" s="16"/>
      <x:c r="I165" s="16"/>
    </x:row>
    <x:row r="166">
      <x:c r="A166" s="16"/>
      <x:c r="B166" s="16"/>
      <x:c r="C166" s="109"/>
      <x:c r="D166" s="16"/>
      <x:c r="E166" s="16"/>
      <x:c r="F166" s="16"/>
      <x:c r="G166" s="16"/>
      <x:c r="H166" s="16"/>
      <x:c r="I166" s="16"/>
    </x:row>
    <x:row r="167">
      <x:c r="A167" s="16"/>
      <x:c r="B167" s="16"/>
      <x:c r="C167" s="109"/>
      <x:c r="D167" s="16"/>
      <x:c r="E167" s="16"/>
      <x:c r="F167" s="16"/>
      <x:c r="G167" s="16"/>
      <x:c r="H167" s="16"/>
      <x:c r="I167" s="16"/>
    </x:row>
    <x:row r="168">
      <x:c r="A168" s="16"/>
      <x:c r="B168" s="16"/>
      <x:c r="C168" s="109"/>
      <x:c r="D168" s="16"/>
      <x:c r="E168" s="16"/>
      <x:c r="F168" s="16"/>
      <x:c r="G168" s="16"/>
      <x:c r="H168" s="16"/>
      <x:c r="I168" s="16"/>
    </x:row>
    <x:row r="169">
      <x:c r="A169" s="16"/>
      <x:c r="B169" s="16"/>
      <x:c r="C169" s="109"/>
      <x:c r="D169" s="16"/>
      <x:c r="E169" s="16"/>
      <x:c r="F169" s="16"/>
      <x:c r="G169" s="16"/>
      <x:c r="H169" s="16"/>
      <x:c r="I169" s="16"/>
    </x:row>
    <x:row r="170">
      <x:c r="A170" s="16"/>
      <x:c r="B170" s="16"/>
      <x:c r="C170" s="109"/>
      <x:c r="D170" s="16"/>
      <x:c r="E170" s="16"/>
      <x:c r="F170" s="16"/>
      <x:c r="G170" s="16"/>
      <x:c r="H170" s="16"/>
      <x:c r="I170" s="16"/>
    </x:row>
    <x:row r="171">
      <x:c r="A171" s="16"/>
      <x:c r="B171" s="16"/>
      <x:c r="C171" s="109"/>
      <x:c r="D171" s="16"/>
      <x:c r="E171" s="16"/>
      <x:c r="F171" s="16"/>
      <x:c r="G171" s="16"/>
      <x:c r="H171" s="16"/>
      <x:c r="I171" s="16"/>
    </x:row>
    <x:row r="172">
      <x:c r="A172" s="16"/>
      <x:c r="B172" s="16"/>
      <x:c r="C172" s="109"/>
      <x:c r="D172" s="16"/>
      <x:c r="E172" s="16"/>
      <x:c r="F172" s="16"/>
      <x:c r="G172" s="16"/>
      <x:c r="H172" s="16"/>
      <x:c r="I172" s="16"/>
    </x:row>
    <x:row r="173">
      <x:c r="A173" s="16"/>
      <x:c r="B173" s="16"/>
      <x:c r="C173" s="109"/>
      <x:c r="D173" s="16"/>
      <x:c r="E173" s="16"/>
      <x:c r="F173" s="16"/>
      <x:c r="G173" s="16"/>
      <x:c r="H173" s="16"/>
      <x:c r="I173" s="16"/>
    </x:row>
    <x:row r="174">
      <x:c r="A174" s="16"/>
      <x:c r="B174" s="16"/>
      <x:c r="C174" s="109"/>
      <x:c r="D174" s="16"/>
      <x:c r="E174" s="16"/>
      <x:c r="F174" s="16"/>
      <x:c r="G174" s="16"/>
      <x:c r="H174" s="16"/>
      <x:c r="I174" s="16"/>
    </x:row>
    <x:row r="175">
      <x:c r="A175" s="16"/>
      <x:c r="B175" s="16"/>
      <x:c r="C175" s="109"/>
      <x:c r="D175" s="16"/>
      <x:c r="E175" s="16"/>
      <x:c r="F175" s="16"/>
      <x:c r="G175" s="16"/>
      <x:c r="H175" s="16"/>
      <x:c r="I175" s="16"/>
    </x:row>
    <x:row r="176">
      <x:c r="A176" s="16"/>
      <x:c r="B176" s="16"/>
      <x:c r="C176" s="109"/>
      <x:c r="D176" s="16"/>
      <x:c r="E176" s="16"/>
      <x:c r="F176" s="16"/>
      <x:c r="G176" s="16"/>
      <x:c r="H176" s="16"/>
      <x:c r="I176" s="16"/>
    </x:row>
    <x:row r="177">
      <x:c r="A177" s="16"/>
      <x:c r="B177" s="16"/>
      <x:c r="C177" s="109"/>
      <x:c r="D177" s="16"/>
      <x:c r="E177" s="16"/>
      <x:c r="F177" s="16"/>
      <x:c r="G177" s="16"/>
      <x:c r="H177" s="16"/>
      <x:c r="I177" s="16"/>
    </x:row>
    <x:row r="178">
      <x:c r="A178" s="16"/>
      <x:c r="B178" s="16"/>
      <x:c r="C178" s="109"/>
      <x:c r="D178" s="16"/>
      <x:c r="E178" s="16"/>
      <x:c r="F178" s="16"/>
      <x:c r="G178" s="16"/>
      <x:c r="H178" s="16"/>
      <x:c r="I178" s="16"/>
    </x:row>
    <x:row r="179">
      <x:c r="A179" s="16"/>
      <x:c r="B179" s="16"/>
      <x:c r="C179" s="109"/>
      <x:c r="D179" s="16"/>
      <x:c r="E179" s="16"/>
      <x:c r="F179" s="16"/>
      <x:c r="G179" s="16"/>
      <x:c r="H179" s="16"/>
      <x:c r="I179" s="16"/>
    </x:row>
    <x:row r="180">
      <x:c r="A180" s="16"/>
      <x:c r="B180" s="16"/>
      <x:c r="C180" s="109"/>
      <x:c r="D180" s="16"/>
      <x:c r="E180" s="16"/>
      <x:c r="F180" s="16"/>
      <x:c r="G180" s="16"/>
      <x:c r="H180" s="16"/>
      <x:c r="I180" s="16"/>
    </x:row>
    <x:row r="181">
      <x:c r="A181" s="16"/>
      <x:c r="B181" s="16"/>
      <x:c r="C181" s="109"/>
      <x:c r="D181" s="16"/>
      <x:c r="E181" s="16"/>
      <x:c r="F181" s="16"/>
      <x:c r="G181" s="16"/>
      <x:c r="H181" s="16"/>
      <x:c r="I181" s="16"/>
    </x:row>
    <x:row r="182">
      <x:c r="A182" s="16"/>
      <x:c r="B182" s="16"/>
      <x:c r="C182" s="109"/>
      <x:c r="D182" s="16"/>
      <x:c r="E182" s="16"/>
      <x:c r="F182" s="16"/>
      <x:c r="G182" s="16"/>
      <x:c r="H182" s="16"/>
      <x:c r="I182" s="16"/>
    </x:row>
    <x:row r="183">
      <x:c r="A183" s="16"/>
      <x:c r="B183" s="16"/>
      <x:c r="C183" s="109"/>
      <x:c r="D183" s="16"/>
      <x:c r="E183" s="16"/>
      <x:c r="F183" s="16"/>
      <x:c r="G183" s="16"/>
      <x:c r="H183" s="16"/>
      <x:c r="I183" s="16"/>
    </x:row>
    <x:row r="184">
      <x:c r="A184" s="16"/>
      <x:c r="B184" s="16"/>
      <x:c r="C184" s="109"/>
      <x:c r="D184" s="16"/>
      <x:c r="E184" s="16"/>
      <x:c r="F184" s="16"/>
      <x:c r="G184" s="16"/>
      <x:c r="H184" s="16"/>
      <x:c r="I184" s="16"/>
    </x:row>
    <x:row r="185">
      <x:c r="A185" s="16"/>
      <x:c r="B185" s="16"/>
      <x:c r="C185" s="109"/>
      <x:c r="D185" s="16"/>
      <x:c r="E185" s="16"/>
      <x:c r="F185" s="16"/>
      <x:c r="G185" s="16"/>
      <x:c r="H185" s="16"/>
      <x:c r="I185" s="16"/>
    </x:row>
    <x:row r="186">
      <x:c r="A186" s="16"/>
      <x:c r="B186" s="16"/>
      <x:c r="C186" s="109"/>
      <x:c r="D186" s="16"/>
      <x:c r="E186" s="16"/>
      <x:c r="F186" s="16"/>
      <x:c r="G186" s="16"/>
      <x:c r="H186" s="16"/>
      <x:c r="I186" s="16"/>
    </x:row>
    <x:row r="187">
      <x:c r="A187" s="16"/>
      <x:c r="B187" s="16"/>
      <x:c r="C187" s="109"/>
      <x:c r="D187" s="16"/>
      <x:c r="E187" s="16"/>
      <x:c r="F187" s="16"/>
      <x:c r="G187" s="16"/>
      <x:c r="H187" s="16"/>
      <x:c r="I187" s="16"/>
    </x:row>
    <x:row r="188">
      <x:c r="A188" s="16"/>
      <x:c r="B188" s="16"/>
      <x:c r="C188" s="109"/>
      <x:c r="D188" s="16"/>
      <x:c r="E188" s="16"/>
      <x:c r="F188" s="16"/>
      <x:c r="G188" s="16"/>
      <x:c r="H188" s="16"/>
      <x:c r="I188" s="16"/>
    </x:row>
    <x:row r="189">
      <x:c r="A189" s="16"/>
      <x:c r="B189" s="16"/>
      <x:c r="C189" s="109"/>
      <x:c r="D189" s="16"/>
      <x:c r="E189" s="16"/>
      <x:c r="F189" s="16"/>
      <x:c r="G189" s="16"/>
      <x:c r="H189" s="16"/>
      <x:c r="I189" s="16"/>
    </x:row>
    <x:row r="190">
      <x:c r="A190" s="16"/>
      <x:c r="B190" s="16"/>
      <x:c r="C190" s="109"/>
      <x:c r="D190" s="16"/>
      <x:c r="E190" s="16"/>
      <x:c r="F190" s="16"/>
      <x:c r="G190" s="16"/>
      <x:c r="H190" s="16"/>
      <x:c r="I190" s="16"/>
    </x:row>
    <x:row r="191">
      <x:c r="A191" s="16"/>
      <x:c r="B191" s="16"/>
      <x:c r="C191" s="109"/>
      <x:c r="D191" s="16"/>
      <x:c r="E191" s="16"/>
      <x:c r="F191" s="16"/>
      <x:c r="G191" s="16"/>
      <x:c r="H191" s="16"/>
      <x:c r="I191" s="16"/>
    </x:row>
    <x:row r="192">
      <x:c r="A192" s="16"/>
      <x:c r="B192" s="16"/>
      <x:c r="C192" s="109"/>
      <x:c r="D192" s="16"/>
      <x:c r="E192" s="16"/>
      <x:c r="F192" s="16"/>
      <x:c r="G192" s="16"/>
      <x:c r="H192" s="16"/>
      <x:c r="I192" s="16"/>
    </x:row>
    <x:row r="193">
      <x:c r="A193" s="16"/>
      <x:c r="B193" s="16"/>
      <x:c r="C193" s="109"/>
      <x:c r="D193" s="16"/>
      <x:c r="E193" s="16"/>
      <x:c r="F193" s="16"/>
      <x:c r="G193" s="16"/>
      <x:c r="H193" s="16"/>
      <x:c r="I193" s="16"/>
    </x:row>
    <x:row r="194">
      <x:c r="A194" s="16"/>
      <x:c r="B194" s="16"/>
      <x:c r="C194" s="109"/>
      <x:c r="D194" s="16"/>
      <x:c r="E194" s="16"/>
      <x:c r="F194" s="16"/>
      <x:c r="G194" s="16"/>
      <x:c r="H194" s="16"/>
      <x:c r="I194" s="16"/>
    </x:row>
    <x:row r="195">
      <x:c r="A195" s="16"/>
      <x:c r="B195" s="16"/>
      <x:c r="C195" s="109"/>
      <x:c r="D195" s="16"/>
      <x:c r="E195" s="16"/>
      <x:c r="F195" s="16"/>
      <x:c r="G195" s="16"/>
      <x:c r="H195" s="16"/>
      <x:c r="I195" s="16"/>
    </x:row>
    <x:row r="196">
      <x:c r="A196" s="16"/>
      <x:c r="B196" s="16"/>
      <x:c r="C196" s="109"/>
      <x:c r="D196" s="16"/>
      <x:c r="E196" s="16"/>
      <x:c r="F196" s="16"/>
      <x:c r="G196" s="16"/>
      <x:c r="H196" s="16"/>
      <x:c r="I196" s="16"/>
    </x:row>
    <x:row r="197">
      <x:c r="A197" s="16"/>
      <x:c r="B197" s="16"/>
      <x:c r="C197" s="109"/>
      <x:c r="D197" s="16"/>
      <x:c r="E197" s="16"/>
      <x:c r="F197" s="16"/>
      <x:c r="G197" s="16"/>
      <x:c r="H197" s="16"/>
      <x:c r="I197" s="16"/>
    </x:row>
    <x:row r="198">
      <x:c r="A198" s="16"/>
      <x:c r="B198" s="16"/>
      <x:c r="C198" s="109"/>
      <x:c r="D198" s="16"/>
      <x:c r="E198" s="16"/>
      <x:c r="F198" s="16"/>
      <x:c r="G198" s="16"/>
      <x:c r="H198" s="16"/>
      <x:c r="I198" s="16"/>
    </x:row>
    <x:row r="199">
      <x:c r="A199" s="16"/>
      <x:c r="B199" s="16"/>
      <x:c r="C199" s="109"/>
      <x:c r="D199" s="16"/>
      <x:c r="E199" s="16"/>
      <x:c r="F199" s="16"/>
      <x:c r="G199" s="16"/>
      <x:c r="H199" s="16"/>
      <x:c r="I199" s="16"/>
    </x:row>
    <x:row r="200">
      <x:c r="A200" s="16"/>
      <x:c r="B200" s="16"/>
      <x:c r="C200" s="109"/>
      <x:c r="D200" s="16"/>
      <x:c r="E200" s="16"/>
      <x:c r="F200" s="16"/>
      <x:c r="G200" s="16"/>
      <x:c r="H200" s="16"/>
      <x:c r="I200" s="16"/>
    </x:row>
    <x:row r="201">
      <x:c r="A201" s="16"/>
      <x:c r="B201" s="16"/>
      <x:c r="C201" s="109"/>
      <x:c r="D201" s="16"/>
      <x:c r="E201" s="16"/>
      <x:c r="F201" s="16"/>
      <x:c r="G201" s="16"/>
      <x:c r="H201" s="16"/>
      <x:c r="I201" s="16"/>
    </x:row>
    <x:row r="202">
      <x:c r="A202" s="16"/>
      <x:c r="B202" s="16"/>
      <x:c r="C202" s="109"/>
      <x:c r="D202" s="16"/>
      <x:c r="E202" s="16"/>
      <x:c r="F202" s="16"/>
      <x:c r="G202" s="16"/>
      <x:c r="H202" s="16"/>
      <x:c r="I202" s="16"/>
    </x:row>
    <x:row r="203">
      <x:c r="A203" s="16"/>
      <x:c r="B203" s="16"/>
      <x:c r="C203" s="109"/>
      <x:c r="D203" s="16"/>
      <x:c r="E203" s="16"/>
      <x:c r="F203" s="16"/>
      <x:c r="G203" s="16"/>
      <x:c r="H203" s="16"/>
      <x:c r="I203" s="16"/>
    </x:row>
    <x:row r="204">
      <x:c r="A204" s="16"/>
      <x:c r="B204" s="16"/>
      <x:c r="C204" s="109"/>
      <x:c r="D204" s="16"/>
      <x:c r="E204" s="16"/>
      <x:c r="F204" s="16"/>
      <x:c r="G204" s="16"/>
      <x:c r="H204" s="16"/>
      <x:c r="I204" s="16"/>
    </x:row>
    <x:row r="205">
      <x:c r="A205" s="16"/>
      <x:c r="B205" s="16"/>
      <x:c r="C205" s="109"/>
      <x:c r="D205" s="16"/>
      <x:c r="E205" s="16"/>
      <x:c r="F205" s="16"/>
      <x:c r="G205" s="16"/>
      <x:c r="H205" s="16"/>
      <x:c r="I205" s="16"/>
    </x:row>
    <x:row r="206">
      <x:c r="A206" s="16"/>
      <x:c r="B206" s="16"/>
      <x:c r="C206" s="109"/>
      <x:c r="D206" s="16"/>
      <x:c r="E206" s="16"/>
      <x:c r="F206" s="16"/>
      <x:c r="G206" s="16"/>
      <x:c r="H206" s="16"/>
      <x:c r="I206" s="16"/>
    </x:row>
    <x:row r="207">
      <x:c r="A207" s="16"/>
      <x:c r="B207" s="16"/>
      <x:c r="C207" s="109"/>
      <x:c r="D207" s="16"/>
      <x:c r="E207" s="16"/>
      <x:c r="F207" s="16"/>
      <x:c r="G207" s="16"/>
      <x:c r="H207" s="16"/>
      <x:c r="I207" s="16"/>
    </x:row>
    <x:row r="208">
      <x:c r="A208" s="16"/>
      <x:c r="B208" s="16"/>
      <x:c r="C208" s="109"/>
      <x:c r="D208" s="16"/>
      <x:c r="E208" s="16"/>
      <x:c r="F208" s="16"/>
      <x:c r="G208" s="16"/>
      <x:c r="H208" s="16"/>
      <x:c r="I208" s="16"/>
    </x:row>
    <x:row r="209">
      <x:c r="A209" s="16"/>
      <x:c r="B209" s="16"/>
      <x:c r="C209" s="109"/>
      <x:c r="D209" s="16"/>
      <x:c r="E209" s="16"/>
      <x:c r="F209" s="16"/>
      <x:c r="G209" s="16"/>
      <x:c r="H209" s="16"/>
      <x:c r="I209" s="16"/>
    </x:row>
    <x:row r="210">
      <x:c r="A210" s="16"/>
      <x:c r="B210" s="16"/>
      <x:c r="C210" s="109"/>
      <x:c r="D210" s="16"/>
      <x:c r="E210" s="16"/>
      <x:c r="F210" s="16"/>
      <x:c r="G210" s="16"/>
      <x:c r="H210" s="16"/>
      <x:c r="I210" s="16"/>
    </x:row>
    <x:row r="211">
      <x:c r="A211" s="16"/>
      <x:c r="B211" s="16"/>
      <x:c r="C211" s="109"/>
      <x:c r="D211" s="16"/>
      <x:c r="E211" s="16"/>
      <x:c r="F211" s="16"/>
      <x:c r="G211" s="16"/>
      <x:c r="H211" s="16"/>
      <x:c r="I211" s="16"/>
    </x:row>
    <x:row r="212">
      <x:c r="A212" s="16"/>
      <x:c r="B212" s="16"/>
      <x:c r="C212" s="109"/>
      <x:c r="D212" s="16"/>
      <x:c r="E212" s="16"/>
      <x:c r="F212" s="16"/>
      <x:c r="G212" s="16"/>
      <x:c r="H212" s="16"/>
      <x:c r="I212" s="16"/>
    </x:row>
    <x:row r="213">
      <x:c r="A213" s="16"/>
      <x:c r="B213" s="16"/>
      <x:c r="C213" s="109"/>
      <x:c r="D213" s="16"/>
      <x:c r="E213" s="16"/>
      <x:c r="F213" s="16"/>
      <x:c r="G213" s="16"/>
      <x:c r="H213" s="16"/>
      <x:c r="I213" s="16"/>
    </x:row>
    <x:row r="214">
      <x:c r="A214" s="16"/>
      <x:c r="B214" s="16"/>
      <x:c r="C214" s="109"/>
      <x:c r="D214" s="16"/>
      <x:c r="E214" s="16"/>
      <x:c r="F214" s="16"/>
      <x:c r="G214" s="16"/>
      <x:c r="H214" s="16"/>
      <x:c r="I214" s="16"/>
    </x:row>
    <x:row r="215">
      <x:c r="A215" s="16"/>
      <x:c r="B215" s="16"/>
      <x:c r="C215" s="109"/>
      <x:c r="D215" s="16"/>
      <x:c r="E215" s="16"/>
      <x:c r="F215" s="16"/>
      <x:c r="G215" s="16"/>
      <x:c r="H215" s="16"/>
      <x:c r="I215" s="16"/>
    </x:row>
    <x:row r="216">
      <x:c r="A216" s="16"/>
      <x:c r="B216" s="16"/>
      <x:c r="C216" s="109"/>
      <x:c r="D216" s="16"/>
      <x:c r="E216" s="16"/>
      <x:c r="F216" s="16"/>
      <x:c r="G216" s="16"/>
      <x:c r="H216" s="16"/>
      <x:c r="I216" s="16"/>
    </x:row>
    <x:row r="217">
      <x:c r="A217" s="16"/>
      <x:c r="B217" s="16"/>
      <x:c r="C217" s="109"/>
      <x:c r="D217" s="16"/>
      <x:c r="E217" s="16"/>
      <x:c r="F217" s="16"/>
      <x:c r="G217" s="16"/>
      <x:c r="H217" s="16"/>
      <x:c r="I217" s="16"/>
    </x:row>
    <x:row r="218">
      <x:c r="A218" s="16"/>
      <x:c r="B218" s="16"/>
      <x:c r="C218" s="109"/>
      <x:c r="D218" s="16"/>
      <x:c r="E218" s="16"/>
      <x:c r="F218" s="16"/>
      <x:c r="G218" s="16"/>
      <x:c r="H218" s="16"/>
      <x:c r="I218" s="16"/>
    </x:row>
    <x:row r="219">
      <x:c r="A219" s="16"/>
      <x:c r="B219" s="16"/>
      <x:c r="C219" s="109"/>
      <x:c r="D219" s="16"/>
      <x:c r="E219" s="16"/>
      <x:c r="F219" s="16"/>
      <x:c r="G219" s="16"/>
      <x:c r="H219" s="16"/>
      <x:c r="I219" s="16"/>
    </x:row>
    <x:row r="220">
      <x:c r="A220" s="16"/>
      <x:c r="B220" s="16"/>
      <x:c r="C220" s="109"/>
      <x:c r="D220" s="16"/>
      <x:c r="E220" s="16"/>
      <x:c r="F220" s="16"/>
      <x:c r="G220" s="16"/>
      <x:c r="H220" s="16"/>
      <x:c r="I220" s="16"/>
    </x:row>
    <x:row r="221">
      <x:c r="A221" s="16"/>
      <x:c r="B221" s="16"/>
      <x:c r="C221" s="109"/>
      <x:c r="D221" s="16"/>
      <x:c r="E221" s="16"/>
      <x:c r="F221" s="16"/>
      <x:c r="G221" s="16"/>
      <x:c r="H221" s="16"/>
      <x:c r="I221" s="16"/>
    </x:row>
    <x:row r="222">
      <x:c r="A222" s="16"/>
      <x:c r="B222" s="16"/>
      <x:c r="C222" s="109"/>
      <x:c r="D222" s="16"/>
      <x:c r="E222" s="16"/>
      <x:c r="F222" s="16"/>
      <x:c r="G222" s="16"/>
      <x:c r="H222" s="16"/>
      <x:c r="I222" s="16"/>
    </x:row>
    <x:row r="223">
      <x:c r="A223" s="16"/>
      <x:c r="B223" s="16"/>
      <x:c r="C223" s="109"/>
      <x:c r="D223" s="16"/>
      <x:c r="E223" s="16"/>
      <x:c r="F223" s="16"/>
      <x:c r="G223" s="16"/>
      <x:c r="H223" s="16"/>
      <x:c r="I223" s="16"/>
    </x:row>
    <x:row r="224">
      <x:c r="A224" s="16"/>
      <x:c r="B224" s="16"/>
      <x:c r="C224" s="109"/>
      <x:c r="D224" s="16"/>
      <x:c r="E224" s="16"/>
      <x:c r="F224" s="16"/>
      <x:c r="G224" s="16"/>
      <x:c r="H224" s="16"/>
      <x:c r="I224" s="16"/>
    </x:row>
    <x:row r="225">
      <x:c r="A225" s="16"/>
      <x:c r="B225" s="16"/>
      <x:c r="C225" s="109"/>
      <x:c r="D225" s="16"/>
      <x:c r="E225" s="16"/>
      <x:c r="F225" s="16"/>
      <x:c r="G225" s="16"/>
      <x:c r="H225" s="16"/>
      <x:c r="I225" s="16"/>
    </x:row>
    <x:row r="226">
      <x:c r="A226" s="16"/>
      <x:c r="B226" s="16"/>
      <x:c r="C226" s="109"/>
      <x:c r="D226" s="16"/>
      <x:c r="E226" s="16"/>
      <x:c r="F226" s="16"/>
      <x:c r="G226" s="16"/>
      <x:c r="H226" s="16"/>
      <x:c r="I226" s="16"/>
    </x:row>
    <x:row r="227">
      <x:c r="A227" s="16"/>
      <x:c r="B227" s="16"/>
      <x:c r="C227" s="109"/>
      <x:c r="D227" s="16"/>
      <x:c r="E227" s="16"/>
      <x:c r="F227" s="16"/>
      <x:c r="G227" s="16"/>
      <x:c r="H227" s="16"/>
      <x:c r="I227" s="16"/>
    </x:row>
    <x:row r="228">
      <x:c r="A228" s="16"/>
      <x:c r="B228" s="16"/>
      <x:c r="C228" s="109"/>
      <x:c r="D228" s="16"/>
      <x:c r="E228" s="16"/>
      <x:c r="F228" s="16"/>
      <x:c r="G228" s="16"/>
      <x:c r="H228" s="16"/>
      <x:c r="I228" s="16"/>
    </x:row>
    <x:row r="229">
      <x:c r="A229" s="16"/>
      <x:c r="B229" s="16"/>
      <x:c r="C229" s="109"/>
      <x:c r="D229" s="16"/>
      <x:c r="E229" s="16"/>
      <x:c r="F229" s="16"/>
      <x:c r="G229" s="16"/>
      <x:c r="H229" s="16"/>
      <x:c r="I229" s="16"/>
    </x:row>
    <x:row r="230">
      <x:c r="A230" s="16"/>
      <x:c r="B230" s="16"/>
      <x:c r="C230" s="109"/>
      <x:c r="D230" s="16"/>
      <x:c r="E230" s="16"/>
      <x:c r="F230" s="16"/>
      <x:c r="G230" s="16"/>
      <x:c r="H230" s="16"/>
      <x:c r="I230" s="16"/>
    </x:row>
    <x:row r="231">
      <x:c r="A231" s="16"/>
      <x:c r="B231" s="16"/>
      <x:c r="C231" s="109"/>
      <x:c r="D231" s="16"/>
      <x:c r="E231" s="16"/>
      <x:c r="F231" s="16"/>
      <x:c r="G231" s="16"/>
      <x:c r="H231" s="16"/>
      <x:c r="I231" s="16"/>
    </x:row>
    <x:row r="232">
      <x:c r="A232" s="16"/>
      <x:c r="B232" s="16"/>
      <x:c r="C232" s="109"/>
      <x:c r="D232" s="16"/>
      <x:c r="E232" s="16"/>
      <x:c r="F232" s="16"/>
      <x:c r="G232" s="16"/>
      <x:c r="H232" s="16"/>
      <x:c r="I232" s="16"/>
    </x:row>
    <x:row r="233">
      <x:c r="A233" s="16"/>
      <x:c r="B233" s="16"/>
      <x:c r="C233" s="109"/>
      <x:c r="D233" s="16"/>
      <x:c r="E233" s="16"/>
      <x:c r="F233" s="16"/>
      <x:c r="G233" s="16"/>
      <x:c r="H233" s="16"/>
      <x:c r="I233" s="16"/>
    </x:row>
    <x:row r="234">
      <x:c r="A234" s="16"/>
      <x:c r="B234" s="16"/>
      <x:c r="C234" s="109"/>
      <x:c r="D234" s="16"/>
      <x:c r="E234" s="16"/>
      <x:c r="F234" s="16"/>
      <x:c r="G234" s="16"/>
      <x:c r="H234" s="16"/>
      <x:c r="I234" s="16"/>
    </x:row>
    <x:row r="235">
      <x:c r="A235" s="16"/>
      <x:c r="B235" s="16"/>
      <x:c r="C235" s="109"/>
      <x:c r="D235" s="16"/>
      <x:c r="E235" s="16"/>
      <x:c r="F235" s="16"/>
      <x:c r="G235" s="16"/>
      <x:c r="H235" s="16"/>
      <x:c r="I235" s="16"/>
    </x:row>
    <x:row r="236">
      <x:c r="A236" s="16"/>
      <x:c r="B236" s="16"/>
      <x:c r="C236" s="109"/>
      <x:c r="D236" s="16"/>
      <x:c r="E236" s="16"/>
      <x:c r="F236" s="16"/>
      <x:c r="G236" s="16"/>
      <x:c r="H236" s="16"/>
      <x:c r="I236" s="16"/>
    </x:row>
    <x:row r="237">
      <x:c r="A237" s="16"/>
      <x:c r="B237" s="16"/>
      <x:c r="C237" s="109"/>
      <x:c r="D237" s="16"/>
      <x:c r="E237" s="16"/>
      <x:c r="F237" s="16"/>
      <x:c r="G237" s="16"/>
      <x:c r="H237" s="16"/>
      <x:c r="I237" s="16"/>
    </x:row>
    <x:row r="238">
      <x:c r="A238" s="16"/>
      <x:c r="B238" s="16"/>
      <x:c r="C238" s="109"/>
      <x:c r="D238" s="16"/>
      <x:c r="E238" s="16"/>
      <x:c r="F238" s="16"/>
      <x:c r="G238" s="16"/>
      <x:c r="H238" s="16"/>
      <x:c r="I238" s="16"/>
    </x:row>
    <x:row r="239">
      <x:c r="A239" s="16"/>
      <x:c r="B239" s="16"/>
      <x:c r="C239" s="109"/>
      <x:c r="D239" s="16"/>
      <x:c r="E239" s="16"/>
      <x:c r="F239" s="16"/>
      <x:c r="G239" s="16"/>
      <x:c r="H239" s="16"/>
      <x:c r="I239" s="16"/>
    </x:row>
    <x:row r="240">
      <x:c r="A240" s="16"/>
      <x:c r="B240" s="16"/>
      <x:c r="C240" s="109"/>
      <x:c r="D240" s="16"/>
      <x:c r="E240" s="16"/>
      <x:c r="F240" s="16"/>
      <x:c r="G240" s="16"/>
      <x:c r="H240" s="16"/>
      <x:c r="I240" s="16"/>
    </x:row>
    <x:row r="241">
      <x:c r="A241" s="16"/>
      <x:c r="B241" s="16"/>
      <x:c r="C241" s="109"/>
      <x:c r="D241" s="16"/>
      <x:c r="E241" s="16"/>
      <x:c r="F241" s="16"/>
      <x:c r="G241" s="16"/>
      <x:c r="H241" s="16"/>
      <x:c r="I241" s="16"/>
    </x:row>
    <x:row r="242">
      <x:c r="A242" s="16"/>
      <x:c r="B242" s="16"/>
      <x:c r="C242" s="109"/>
      <x:c r="D242" s="16"/>
      <x:c r="E242" s="16"/>
      <x:c r="F242" s="16"/>
      <x:c r="G242" s="16"/>
      <x:c r="H242" s="16"/>
      <x:c r="I242" s="16"/>
    </x:row>
    <x:row r="243">
      <x:c r="A243" s="16"/>
      <x:c r="B243" s="16"/>
      <x:c r="C243" s="109"/>
      <x:c r="D243" s="16"/>
      <x:c r="E243" s="16"/>
      <x:c r="F243" s="16"/>
      <x:c r="G243" s="16"/>
      <x:c r="H243" s="16"/>
      <x:c r="I243" s="16"/>
    </x:row>
    <x:row r="244">
      <x:c r="A244" s="16"/>
      <x:c r="B244" s="16"/>
      <x:c r="C244" s="109"/>
      <x:c r="D244" s="16"/>
      <x:c r="E244" s="16"/>
      <x:c r="F244" s="16"/>
      <x:c r="G244" s="16"/>
      <x:c r="H244" s="16"/>
      <x:c r="I244" s="16"/>
    </x:row>
    <x:row r="245">
      <x:c r="A245" s="16"/>
      <x:c r="B245" s="16"/>
      <x:c r="C245" s="109"/>
      <x:c r="D245" s="16"/>
      <x:c r="E245" s="16"/>
      <x:c r="F245" s="16"/>
      <x:c r="G245" s="16"/>
      <x:c r="H245" s="16"/>
      <x:c r="I245" s="16"/>
    </x:row>
    <x:row r="246">
      <x:c r="A246" s="16"/>
      <x:c r="B246" s="16"/>
      <x:c r="C246" s="109"/>
      <x:c r="D246" s="16"/>
      <x:c r="E246" s="16"/>
      <x:c r="F246" s="16"/>
      <x:c r="G246" s="16"/>
      <x:c r="H246" s="16"/>
      <x:c r="I246" s="16"/>
    </x:row>
    <x:row r="247">
      <x:c r="A247" s="16"/>
      <x:c r="B247" s="16"/>
      <x:c r="C247" s="109"/>
      <x:c r="D247" s="16"/>
      <x:c r="E247" s="16"/>
      <x:c r="F247" s="16"/>
      <x:c r="G247" s="16"/>
      <x:c r="H247" s="16"/>
      <x:c r="I247" s="16"/>
    </x:row>
    <x:row r="248">
      <x:c r="A248" s="16"/>
      <x:c r="B248" s="16"/>
      <x:c r="C248" s="109"/>
      <x:c r="D248" s="16"/>
      <x:c r="E248" s="16"/>
      <x:c r="F248" s="16"/>
      <x:c r="G248" s="16"/>
      <x:c r="H248" s="16"/>
      <x:c r="I248" s="16"/>
    </x:row>
    <x:row r="249">
      <x:c r="A249" s="16"/>
      <x:c r="B249" s="16"/>
      <x:c r="C249" s="109"/>
      <x:c r="D249" s="16"/>
      <x:c r="E249" s="16"/>
      <x:c r="F249" s="16"/>
      <x:c r="G249" s="16"/>
      <x:c r="H249" s="16"/>
      <x:c r="I249" s="16"/>
    </x:row>
    <x:row r="250">
      <x:c r="A250" s="16"/>
      <x:c r="B250" s="16"/>
      <x:c r="C250" s="109"/>
      <x:c r="D250" s="16"/>
      <x:c r="E250" s="16"/>
      <x:c r="F250" s="16"/>
      <x:c r="G250" s="16"/>
      <x:c r="H250" s="16"/>
      <x:c r="I250" s="16"/>
    </x:row>
    <x:row r="251">
      <x:c r="A251" s="16"/>
      <x:c r="B251" s="16"/>
      <x:c r="C251" s="109"/>
      <x:c r="D251" s="16"/>
      <x:c r="E251" s="16"/>
      <x:c r="F251" s="16"/>
      <x:c r="G251" s="16"/>
      <x:c r="H251" s="16"/>
      <x:c r="I251" s="16"/>
    </x:row>
    <x:row r="252">
      <x:c r="A252" s="16"/>
      <x:c r="B252" s="16"/>
      <x:c r="C252" s="109"/>
      <x:c r="D252" s="16"/>
      <x:c r="E252" s="16"/>
      <x:c r="F252" s="16"/>
      <x:c r="G252" s="16"/>
      <x:c r="H252" s="16"/>
      <x:c r="I252" s="16"/>
    </x:row>
    <x:row r="253">
      <x:c r="A253" s="16"/>
      <x:c r="B253" s="16"/>
      <x:c r="C253" s="109"/>
      <x:c r="D253" s="16"/>
      <x:c r="E253" s="16"/>
      <x:c r="F253" s="16"/>
      <x:c r="G253" s="16"/>
      <x:c r="H253" s="16"/>
      <x:c r="I253" s="16"/>
    </x:row>
    <x:row r="254">
      <x:c r="A254" s="16"/>
      <x:c r="B254" s="16"/>
      <x:c r="C254" s="109"/>
      <x:c r="D254" s="16"/>
      <x:c r="E254" s="16"/>
      <x:c r="F254" s="16"/>
      <x:c r="G254" s="16"/>
      <x:c r="H254" s="16"/>
      <x:c r="I254" s="16"/>
    </x:row>
    <x:row r="255">
      <x:c r="A255" s="16"/>
      <x:c r="B255" s="16"/>
      <x:c r="C255" s="109"/>
      <x:c r="D255" s="16"/>
      <x:c r="E255" s="16"/>
      <x:c r="F255" s="16"/>
      <x:c r="G255" s="16"/>
      <x:c r="H255" s="16"/>
      <x:c r="I255" s="16"/>
    </x:row>
    <x:row r="256">
      <x:c r="A256" s="16"/>
      <x:c r="B256" s="16"/>
      <x:c r="C256" s="109"/>
      <x:c r="D256" s="16"/>
      <x:c r="E256" s="16"/>
      <x:c r="F256" s="16"/>
      <x:c r="G256" s="16"/>
      <x:c r="H256" s="16"/>
      <x:c r="I256" s="16"/>
    </x:row>
    <x:row r="257">
      <x:c r="A257" s="16"/>
      <x:c r="B257" s="16"/>
      <x:c r="C257" s="109"/>
      <x:c r="D257" s="16"/>
      <x:c r="E257" s="16"/>
      <x:c r="F257" s="16"/>
      <x:c r="G257" s="16"/>
      <x:c r="H257" s="16"/>
      <x:c r="I257" s="16"/>
    </x:row>
    <x:row r="258">
      <x:c r="A258" s="16"/>
      <x:c r="B258" s="16"/>
      <x:c r="C258" s="109"/>
      <x:c r="D258" s="16"/>
      <x:c r="E258" s="16"/>
      <x:c r="F258" s="16"/>
      <x:c r="G258" s="16"/>
      <x:c r="H258" s="16"/>
      <x:c r="I258" s="16"/>
    </x:row>
    <x:row r="259">
      <x:c r="A259" s="16"/>
      <x:c r="B259" s="16"/>
      <x:c r="C259" s="109"/>
      <x:c r="D259" s="16"/>
      <x:c r="E259" s="16"/>
      <x:c r="F259" s="16"/>
      <x:c r="G259" s="16"/>
      <x:c r="H259" s="16"/>
      <x:c r="I259" s="16"/>
    </x:row>
    <x:row r="260">
      <x:c r="A260" s="16"/>
      <x:c r="B260" s="16"/>
      <x:c r="C260" s="109"/>
      <x:c r="D260" s="16"/>
      <x:c r="E260" s="16"/>
      <x:c r="F260" s="16"/>
      <x:c r="G260" s="16"/>
      <x:c r="H260" s="16"/>
      <x:c r="I260" s="16"/>
    </x:row>
    <x:row r="261">
      <x:c r="A261" s="16"/>
      <x:c r="B261" s="16"/>
      <x:c r="C261" s="109"/>
      <x:c r="D261" s="16"/>
      <x:c r="E261" s="16"/>
      <x:c r="F261" s="16"/>
      <x:c r="G261" s="16"/>
      <x:c r="H261" s="16"/>
      <x:c r="I261" s="16"/>
    </x:row>
    <x:row r="262">
      <x:c r="A262" s="16"/>
      <x:c r="B262" s="16"/>
      <x:c r="C262" s="109"/>
      <x:c r="D262" s="16"/>
      <x:c r="E262" s="16"/>
      <x:c r="F262" s="16"/>
      <x:c r="G262" s="16"/>
      <x:c r="H262" s="16"/>
      <x:c r="I262" s="16"/>
    </x:row>
    <x:row r="263">
      <x:c r="A263" s="16"/>
      <x:c r="B263" s="16"/>
      <x:c r="C263" s="109"/>
      <x:c r="D263" s="16"/>
      <x:c r="E263" s="16"/>
      <x:c r="F263" s="16"/>
      <x:c r="G263" s="16"/>
      <x:c r="H263" s="16"/>
      <x:c r="I263" s="16"/>
    </x:row>
    <x:row r="264">
      <x:c r="A264" s="16"/>
      <x:c r="B264" s="16"/>
      <x:c r="C264" s="109"/>
      <x:c r="D264" s="16"/>
      <x:c r="E264" s="16"/>
      <x:c r="F264" s="16"/>
      <x:c r="G264" s="16"/>
      <x:c r="H264" s="16"/>
      <x:c r="I264" s="16"/>
    </x:row>
    <x:row r="265">
      <x:c r="A265" s="16"/>
      <x:c r="B265" s="16"/>
      <x:c r="C265" s="109"/>
      <x:c r="D265" s="16"/>
      <x:c r="E265" s="16"/>
      <x:c r="F265" s="16"/>
      <x:c r="G265" s="16"/>
      <x:c r="H265" s="16"/>
      <x:c r="I265" s="16"/>
    </x:row>
    <x:row r="266">
      <x:c r="A266" s="16"/>
      <x:c r="B266" s="16"/>
      <x:c r="C266" s="109"/>
      <x:c r="D266" s="16"/>
      <x:c r="E266" s="16"/>
      <x:c r="F266" s="16"/>
      <x:c r="G266" s="16"/>
      <x:c r="H266" s="16"/>
      <x:c r="I266" s="16"/>
    </x:row>
    <x:row r="267">
      <x:c r="A267" s="16"/>
      <x:c r="B267" s="16"/>
      <x:c r="C267" s="109"/>
      <x:c r="D267" s="16"/>
      <x:c r="E267" s="16"/>
      <x:c r="F267" s="16"/>
      <x:c r="G267" s="16"/>
      <x:c r="H267" s="16"/>
      <x:c r="I267" s="16"/>
    </x:row>
    <x:row r="268">
      <x:c r="A268" s="16"/>
      <x:c r="B268" s="16"/>
      <x:c r="C268" s="109"/>
      <x:c r="D268" s="16"/>
      <x:c r="E268" s="16"/>
      <x:c r="F268" s="16"/>
      <x:c r="G268" s="16"/>
      <x:c r="H268" s="16"/>
      <x:c r="I268" s="16"/>
    </x:row>
    <x:row r="269">
      <x:c r="A269" s="16"/>
      <x:c r="B269" s="16"/>
      <x:c r="C269" s="109"/>
      <x:c r="D269" s="16"/>
      <x:c r="E269" s="16"/>
      <x:c r="F269" s="16"/>
      <x:c r="G269" s="16"/>
      <x:c r="H269" s="16"/>
      <x:c r="I269" s="16"/>
    </x:row>
    <x:row r="270">
      <x:c r="A270" s="16"/>
      <x:c r="B270" s="16"/>
      <x:c r="C270" s="109"/>
      <x:c r="D270" s="16"/>
      <x:c r="E270" s="16"/>
      <x:c r="F270" s="16"/>
      <x:c r="G270" s="16"/>
      <x:c r="H270" s="16"/>
      <x:c r="I270" s="16"/>
    </x:row>
    <x:row r="271">
      <x:c r="A271" s="16"/>
      <x:c r="B271" s="16"/>
      <x:c r="C271" s="109"/>
      <x:c r="D271" s="16"/>
      <x:c r="E271" s="16"/>
      <x:c r="F271" s="16"/>
      <x:c r="G271" s="16"/>
      <x:c r="H271" s="16"/>
      <x:c r="I271" s="16"/>
    </x:row>
    <x:row r="272">
      <x:c r="A272" s="16"/>
      <x:c r="B272" s="16"/>
      <x:c r="C272" s="109"/>
      <x:c r="D272" s="16"/>
      <x:c r="E272" s="16"/>
      <x:c r="F272" s="16"/>
      <x:c r="G272" s="16"/>
      <x:c r="H272" s="16"/>
      <x:c r="I272" s="16"/>
    </x:row>
    <x:row r="273">
      <x:c r="A273" s="16"/>
      <x:c r="B273" s="16"/>
      <x:c r="C273" s="109"/>
      <x:c r="D273" s="16"/>
      <x:c r="E273" s="16"/>
      <x:c r="F273" s="16"/>
      <x:c r="G273" s="16"/>
      <x:c r="H273" s="16"/>
      <x:c r="I273" s="16"/>
    </x:row>
    <x:row r="274">
      <x:c r="A274" s="16"/>
      <x:c r="B274" s="16"/>
      <x:c r="C274" s="109"/>
      <x:c r="D274" s="16"/>
      <x:c r="E274" s="16"/>
      <x:c r="F274" s="16"/>
      <x:c r="G274" s="16"/>
      <x:c r="H274" s="16"/>
      <x:c r="I274" s="16"/>
    </x:row>
    <x:row r="275">
      <x:c r="A275" s="16"/>
      <x:c r="B275" s="16"/>
      <x:c r="C275" s="109"/>
      <x:c r="D275" s="16"/>
      <x:c r="E275" s="16"/>
      <x:c r="F275" s="16"/>
      <x:c r="G275" s="16"/>
      <x:c r="H275" s="16"/>
      <x:c r="I275" s="16"/>
    </x:row>
    <x:row r="276">
      <x:c r="A276" s="16"/>
      <x:c r="B276" s="16"/>
      <x:c r="C276" s="109"/>
      <x:c r="D276" s="16"/>
      <x:c r="E276" s="16"/>
      <x:c r="F276" s="16"/>
      <x:c r="G276" s="16"/>
      <x:c r="H276" s="16"/>
      <x:c r="I276" s="16"/>
    </x:row>
    <x:row r="277">
      <x:c r="A277" s="16"/>
      <x:c r="B277" s="16"/>
      <x:c r="C277" s="109"/>
      <x:c r="D277" s="16"/>
      <x:c r="E277" s="16"/>
      <x:c r="F277" s="16"/>
      <x:c r="G277" s="16"/>
      <x:c r="H277" s="16"/>
      <x:c r="I277" s="16"/>
    </x:row>
    <x:row r="278">
      <x:c r="A278" s="16"/>
      <x:c r="B278" s="16"/>
      <x:c r="C278" s="109"/>
      <x:c r="D278" s="16"/>
      <x:c r="E278" s="16"/>
      <x:c r="F278" s="16"/>
      <x:c r="G278" s="16"/>
      <x:c r="H278" s="16"/>
      <x:c r="I278" s="16"/>
    </x:row>
    <x:row r="279">
      <x:c r="A279" s="16"/>
      <x:c r="B279" s="16"/>
      <x:c r="C279" s="109"/>
      <x:c r="D279" s="16"/>
      <x:c r="E279" s="16"/>
      <x:c r="F279" s="16"/>
      <x:c r="G279" s="16"/>
      <x:c r="H279" s="16"/>
      <x:c r="I279" s="16"/>
    </x:row>
    <x:row r="280">
      <x:c r="A280" s="16"/>
      <x:c r="B280" s="16"/>
      <x:c r="C280" s="109"/>
      <x:c r="D280" s="16"/>
      <x:c r="E280" s="16"/>
      <x:c r="F280" s="16"/>
      <x:c r="G280" s="16"/>
      <x:c r="H280" s="16"/>
      <x:c r="I280" s="16"/>
    </x:row>
    <x:row r="281">
      <x:c r="A281" s="16"/>
      <x:c r="B281" s="16"/>
      <x:c r="C281" s="109"/>
      <x:c r="D281" s="16"/>
      <x:c r="E281" s="16"/>
      <x:c r="F281" s="16"/>
      <x:c r="G281" s="16"/>
      <x:c r="H281" s="16"/>
      <x:c r="I281" s="16"/>
    </x:row>
    <x:row r="282">
      <x:c r="A282" s="16"/>
      <x:c r="B282" s="16"/>
      <x:c r="C282" s="109"/>
      <x:c r="D282" s="16"/>
      <x:c r="E282" s="16"/>
      <x:c r="F282" s="16"/>
      <x:c r="G282" s="16"/>
      <x:c r="H282" s="16"/>
      <x:c r="I282" s="16"/>
    </x:row>
    <x:row r="283">
      <x:c r="A283" s="16"/>
      <x:c r="B283" s="16"/>
      <x:c r="C283" s="109"/>
      <x:c r="D283" s="16"/>
      <x:c r="E283" s="16"/>
      <x:c r="F283" s="16"/>
      <x:c r="G283" s="16"/>
      <x:c r="H283" s="16"/>
      <x:c r="I283" s="16"/>
    </x:row>
    <x:row r="284">
      <x:c r="A284" s="16"/>
      <x:c r="B284" s="16"/>
      <x:c r="C284" s="109"/>
      <x:c r="D284" s="16"/>
      <x:c r="E284" s="16"/>
      <x:c r="F284" s="16"/>
      <x:c r="G284" s="16"/>
      <x:c r="H284" s="16"/>
      <x:c r="I284" s="16"/>
    </x:row>
    <x:row r="285">
      <x:c r="A285" s="16"/>
      <x:c r="B285" s="16"/>
      <x:c r="C285" s="109"/>
      <x:c r="D285" s="16"/>
      <x:c r="E285" s="16"/>
      <x:c r="F285" s="16"/>
      <x:c r="G285" s="16"/>
      <x:c r="H285" s="16"/>
      <x:c r="I285" s="16"/>
    </x:row>
    <x:row r="286">
      <x:c r="A286" s="16"/>
      <x:c r="B286" s="16"/>
      <x:c r="C286" s="109"/>
      <x:c r="D286" s="16"/>
      <x:c r="E286" s="16"/>
      <x:c r="F286" s="16"/>
      <x:c r="G286" s="16"/>
      <x:c r="H286" s="16"/>
      <x:c r="I286" s="16"/>
    </x:row>
    <x:row r="287">
      <x:c r="A287" s="16"/>
      <x:c r="B287" s="16"/>
      <x:c r="C287" s="109"/>
      <x:c r="D287" s="16"/>
      <x:c r="E287" s="16"/>
      <x:c r="F287" s="16"/>
      <x:c r="G287" s="16"/>
      <x:c r="H287" s="16"/>
      <x:c r="I287" s="16"/>
    </x:row>
    <x:row r="288">
      <x:c r="A288" s="16"/>
      <x:c r="B288" s="16"/>
      <x:c r="C288" s="109"/>
      <x:c r="D288" s="16"/>
      <x:c r="E288" s="16"/>
      <x:c r="F288" s="16"/>
      <x:c r="G288" s="16"/>
      <x:c r="H288" s="16"/>
      <x:c r="I288" s="16"/>
    </x:row>
    <x:row r="289">
      <x:c r="A289" s="16"/>
      <x:c r="B289" s="16"/>
      <x:c r="C289" s="109"/>
      <x:c r="D289" s="16"/>
      <x:c r="E289" s="16"/>
      <x:c r="F289" s="16"/>
      <x:c r="G289" s="16"/>
      <x:c r="H289" s="16"/>
      <x:c r="I289" s="16"/>
    </x:row>
    <x:row r="290">
      <x:c r="A290" s="16"/>
      <x:c r="B290" s="16"/>
      <x:c r="C290" s="109"/>
      <x:c r="D290" s="16"/>
      <x:c r="E290" s="16"/>
      <x:c r="F290" s="16"/>
      <x:c r="G290" s="16"/>
      <x:c r="H290" s="16"/>
      <x:c r="I290" s="16"/>
    </x:row>
    <x:row r="291">
      <x:c r="A291" s="16"/>
      <x:c r="B291" s="16"/>
      <x:c r="C291" s="109"/>
      <x:c r="D291" s="16"/>
      <x:c r="E291" s="16"/>
      <x:c r="F291" s="16"/>
      <x:c r="G291" s="16"/>
      <x:c r="H291" s="16"/>
      <x:c r="I291" s="16"/>
    </x:row>
    <x:row r="292">
      <x:c r="A292" s="16"/>
      <x:c r="B292" s="16"/>
      <x:c r="C292" s="109"/>
      <x:c r="D292" s="16"/>
      <x:c r="E292" s="16"/>
      <x:c r="F292" s="16"/>
      <x:c r="G292" s="16"/>
      <x:c r="H292" s="16"/>
      <x:c r="I292" s="16"/>
    </x:row>
    <x:row r="293">
      <x:c r="A293" s="16"/>
      <x:c r="B293" s="16"/>
      <x:c r="C293" s="109"/>
      <x:c r="D293" s="16"/>
      <x:c r="E293" s="16"/>
      <x:c r="F293" s="16"/>
      <x:c r="G293" s="16"/>
      <x:c r="H293" s="16"/>
      <x:c r="I293" s="16"/>
    </x:row>
    <x:row r="294">
      <x:c r="A294" s="16"/>
      <x:c r="B294" s="16"/>
      <x:c r="C294" s="109"/>
      <x:c r="D294" s="16"/>
      <x:c r="E294" s="16"/>
      <x:c r="F294" s="16"/>
      <x:c r="G294" s="16"/>
      <x:c r="H294" s="16"/>
      <x:c r="I294" s="16"/>
    </x:row>
    <x:row r="295">
      <x:c r="A295" s="16"/>
      <x:c r="B295" s="16"/>
      <x:c r="C295" s="109"/>
      <x:c r="D295" s="16"/>
      <x:c r="E295" s="16"/>
      <x:c r="F295" s="16"/>
      <x:c r="G295" s="16"/>
      <x:c r="H295" s="16"/>
      <x:c r="I295" s="16"/>
    </x:row>
    <x:row r="296">
      <x:c r="A296" s="16"/>
      <x:c r="B296" s="16"/>
      <x:c r="C296" s="109"/>
      <x:c r="D296" s="16"/>
      <x:c r="E296" s="16"/>
      <x:c r="F296" s="16"/>
      <x:c r="G296" s="16"/>
      <x:c r="H296" s="16"/>
      <x:c r="I296" s="16"/>
    </x:row>
    <x:row r="297">
      <x:c r="A297" s="16"/>
      <x:c r="B297" s="16"/>
      <x:c r="C297" s="109"/>
      <x:c r="D297" s="16"/>
      <x:c r="E297" s="16"/>
      <x:c r="F297" s="16"/>
      <x:c r="G297" s="16"/>
      <x:c r="H297" s="16"/>
      <x:c r="I297" s="16"/>
    </x:row>
    <x:row r="298">
      <x:c r="A298" s="16"/>
      <x:c r="B298" s="16"/>
      <x:c r="C298" s="109"/>
      <x:c r="D298" s="16"/>
      <x:c r="E298" s="16"/>
      <x:c r="F298" s="16"/>
      <x:c r="G298" s="16"/>
      <x:c r="H298" s="16"/>
      <x:c r="I298" s="16"/>
    </x:row>
    <x:row r="299">
      <x:c r="A299" s="16"/>
      <x:c r="B299" s="16"/>
      <x:c r="C299" s="109"/>
      <x:c r="D299" s="16"/>
      <x:c r="E299" s="16"/>
      <x:c r="F299" s="16"/>
      <x:c r="G299" s="16"/>
      <x:c r="H299" s="16"/>
      <x:c r="I299" s="16"/>
    </x:row>
    <x:row r="300">
      <x:c r="A300" s="16"/>
      <x:c r="B300" s="16"/>
      <x:c r="C300" s="109"/>
      <x:c r="D300" s="16"/>
      <x:c r="E300" s="16"/>
      <x:c r="F300" s="16"/>
      <x:c r="G300" s="16"/>
      <x:c r="H300" s="16"/>
      <x:c r="I300" s="16"/>
    </x:row>
    <x:row r="301">
      <x:c r="A301" s="16"/>
      <x:c r="B301" s="16"/>
      <x:c r="C301" s="109"/>
      <x:c r="D301" s="16"/>
      <x:c r="E301" s="16"/>
      <x:c r="F301" s="16"/>
      <x:c r="G301" s="16"/>
      <x:c r="H301" s="16"/>
      <x:c r="I301" s="16"/>
    </x:row>
    <x:row r="302">
      <x:c r="A302" s="16"/>
      <x:c r="B302" s="16"/>
      <x:c r="C302" s="109"/>
      <x:c r="D302" s="16"/>
      <x:c r="E302" s="16"/>
      <x:c r="F302" s="16"/>
      <x:c r="G302" s="16"/>
      <x:c r="H302" s="16"/>
      <x:c r="I302" s="16"/>
    </x:row>
    <x:row r="303">
      <x:c r="A303" s="16"/>
      <x:c r="B303" s="16"/>
      <x:c r="C303" s="109"/>
      <x:c r="D303" s="16"/>
      <x:c r="E303" s="16"/>
      <x:c r="F303" s="16"/>
      <x:c r="G303" s="16"/>
      <x:c r="H303" s="16"/>
      <x:c r="I303" s="16"/>
    </x:row>
    <x:row r="304">
      <x:c r="A304" s="16"/>
      <x:c r="B304" s="16"/>
      <x:c r="C304" s="109"/>
      <x:c r="D304" s="16"/>
      <x:c r="E304" s="16"/>
      <x:c r="F304" s="16"/>
      <x:c r="G304" s="16"/>
      <x:c r="H304" s="16"/>
      <x:c r="I304" s="16"/>
    </x:row>
    <x:row r="305">
      <x:c r="A305" s="16"/>
      <x:c r="B305" s="16"/>
      <x:c r="C305" s="109"/>
      <x:c r="D305" s="16"/>
      <x:c r="E305" s="16"/>
      <x:c r="F305" s="16"/>
      <x:c r="G305" s="16"/>
      <x:c r="H305" s="16"/>
      <x:c r="I305" s="16"/>
    </x:row>
    <x:row r="306">
      <x:c r="A306" s="16"/>
      <x:c r="B306" s="16"/>
      <x:c r="C306" s="109"/>
      <x:c r="D306" s="16"/>
      <x:c r="E306" s="16"/>
      <x:c r="F306" s="16"/>
      <x:c r="G306" s="16"/>
      <x:c r="H306" s="16"/>
      <x:c r="I306" s="16"/>
    </x:row>
    <x:row r="307">
      <x:c r="A307" s="16"/>
      <x:c r="B307" s="16"/>
      <x:c r="C307" s="109"/>
      <x:c r="D307" s="16"/>
      <x:c r="E307" s="16"/>
      <x:c r="F307" s="16"/>
      <x:c r="G307" s="16"/>
      <x:c r="H307" s="16"/>
      <x:c r="I307" s="16"/>
    </x:row>
    <x:row r="308">
      <x:c r="A308" s="16"/>
      <x:c r="B308" s="16"/>
      <x:c r="C308" s="109"/>
      <x:c r="D308" s="16"/>
      <x:c r="E308" s="16"/>
      <x:c r="F308" s="16"/>
      <x:c r="G308" s="16"/>
      <x:c r="H308" s="16"/>
      <x:c r="I308" s="16"/>
    </x:row>
    <x:row r="309">
      <x:c r="A309" s="16"/>
      <x:c r="B309" s="16"/>
      <x:c r="C309" s="109"/>
      <x:c r="D309" s="16"/>
      <x:c r="E309" s="16"/>
      <x:c r="F309" s="16"/>
      <x:c r="G309" s="16"/>
      <x:c r="H309" s="16"/>
      <x:c r="I309" s="16"/>
    </x:row>
    <x:row r="310">
      <x:c r="A310" s="16"/>
      <x:c r="B310" s="16"/>
      <x:c r="C310" s="109"/>
      <x:c r="D310" s="16"/>
      <x:c r="E310" s="16"/>
      <x:c r="F310" s="16"/>
      <x:c r="G310" s="16"/>
      <x:c r="H310" s="16"/>
      <x:c r="I310" s="16"/>
    </x:row>
    <x:row r="311">
      <x:c r="A311" s="16"/>
      <x:c r="B311" s="16"/>
      <x:c r="C311" s="109"/>
      <x:c r="D311" s="16"/>
      <x:c r="E311" s="16"/>
      <x:c r="F311" s="16"/>
      <x:c r="G311" s="16"/>
      <x:c r="H311" s="16"/>
      <x:c r="I311" s="16"/>
    </x:row>
    <x:row r="312">
      <x:c r="A312" s="16"/>
      <x:c r="B312" s="16"/>
      <x:c r="C312" s="109"/>
      <x:c r="D312" s="16"/>
      <x:c r="E312" s="16"/>
      <x:c r="F312" s="16"/>
      <x:c r="G312" s="16"/>
      <x:c r="H312" s="16"/>
      <x:c r="I312" s="16"/>
    </x:row>
    <x:row r="313">
      <x:c r="A313" s="16"/>
      <x:c r="B313" s="16"/>
      <x:c r="C313" s="109"/>
      <x:c r="D313" s="16"/>
      <x:c r="E313" s="16"/>
      <x:c r="F313" s="16"/>
      <x:c r="G313" s="16"/>
      <x:c r="H313" s="16"/>
      <x:c r="I313" s="16"/>
    </x:row>
    <x:row r="314">
      <x:c r="A314" s="16"/>
      <x:c r="B314" s="16"/>
      <x:c r="C314" s="109"/>
      <x:c r="D314" s="16"/>
      <x:c r="E314" s="16"/>
      <x:c r="F314" s="16"/>
      <x:c r="G314" s="16"/>
      <x:c r="H314" s="16"/>
      <x:c r="I314" s="16"/>
    </x:row>
    <x:row r="315">
      <x:c r="A315" s="16"/>
      <x:c r="B315" s="16"/>
      <x:c r="C315" s="109"/>
      <x:c r="D315" s="16"/>
      <x:c r="E315" s="16"/>
      <x:c r="F315" s="16"/>
      <x:c r="G315" s="16"/>
      <x:c r="H315" s="16"/>
      <x:c r="I315" s="16"/>
    </x:row>
    <x:row r="316">
      <x:c r="A316" s="16"/>
      <x:c r="B316" s="16"/>
      <x:c r="C316" s="109"/>
      <x:c r="D316" s="16"/>
      <x:c r="E316" s="16"/>
      <x:c r="F316" s="16"/>
      <x:c r="G316" s="16"/>
      <x:c r="H316" s="16"/>
      <x:c r="I316" s="16"/>
    </x:row>
    <x:row r="317">
      <x:c r="A317" s="16"/>
      <x:c r="B317" s="16"/>
      <x:c r="C317" s="109"/>
      <x:c r="D317" s="16"/>
      <x:c r="E317" s="16"/>
      <x:c r="F317" s="16"/>
      <x:c r="G317" s="16"/>
      <x:c r="H317" s="16"/>
      <x:c r="I317" s="16"/>
    </x:row>
    <x:row r="318">
      <x:c r="A318" s="16"/>
      <x:c r="B318" s="16"/>
      <x:c r="C318" s="109"/>
      <x:c r="D318" s="16"/>
      <x:c r="E318" s="16"/>
      <x:c r="F318" s="16"/>
      <x:c r="G318" s="16"/>
      <x:c r="H318" s="16"/>
      <x:c r="I318" s="16"/>
    </x:row>
    <x:row r="319">
      <x:c r="A319" s="16"/>
      <x:c r="B319" s="16"/>
      <x:c r="C319" s="109"/>
      <x:c r="D319" s="16"/>
      <x:c r="E319" s="16"/>
      <x:c r="F319" s="16"/>
      <x:c r="G319" s="16"/>
      <x:c r="H319" s="16"/>
      <x:c r="I319" s="16"/>
    </x:row>
    <x:row r="320">
      <x:c r="A320" s="16"/>
      <x:c r="B320" s="16"/>
      <x:c r="C320" s="109"/>
      <x:c r="D320" s="16"/>
      <x:c r="E320" s="16"/>
      <x:c r="F320" s="16"/>
      <x:c r="G320" s="16"/>
      <x:c r="H320" s="16"/>
      <x:c r="I320" s="16"/>
    </x:row>
    <x:row r="321">
      <x:c r="A321" s="16"/>
      <x:c r="B321" s="16"/>
      <x:c r="C321" s="109"/>
      <x:c r="D321" s="16"/>
      <x:c r="E321" s="16"/>
      <x:c r="F321" s="16"/>
      <x:c r="G321" s="16"/>
      <x:c r="H321" s="16"/>
      <x:c r="I321" s="16"/>
    </x:row>
    <x:row r="322">
      <x:c r="A322" s="16"/>
      <x:c r="B322" s="16"/>
      <x:c r="C322" s="109"/>
      <x:c r="D322" s="16"/>
      <x:c r="E322" s="16"/>
      <x:c r="F322" s="16"/>
      <x:c r="G322" s="16"/>
      <x:c r="H322" s="16"/>
      <x:c r="I322" s="16"/>
    </x:row>
    <x:row r="323">
      <x:c r="A323" s="16"/>
      <x:c r="B323" s="16"/>
      <x:c r="C323" s="109"/>
      <x:c r="D323" s="16"/>
      <x:c r="E323" s="16"/>
      <x:c r="F323" s="16"/>
      <x:c r="G323" s="16"/>
      <x:c r="H323" s="16"/>
      <x:c r="I323" s="16"/>
    </x:row>
    <x:row r="324">
      <x:c r="A324" s="16"/>
      <x:c r="B324" s="16"/>
      <x:c r="C324" s="109"/>
      <x:c r="D324" s="16"/>
      <x:c r="E324" s="16"/>
      <x:c r="F324" s="16"/>
      <x:c r="G324" s="16"/>
      <x:c r="H324" s="16"/>
      <x:c r="I324" s="16"/>
    </x:row>
    <x:row r="325">
      <x:c r="A325" s="16"/>
      <x:c r="B325" s="16"/>
      <x:c r="C325" s="109"/>
      <x:c r="D325" s="16"/>
      <x:c r="E325" s="16"/>
      <x:c r="F325" s="16"/>
      <x:c r="G325" s="16"/>
      <x:c r="H325" s="16"/>
      <x:c r="I325" s="16"/>
    </x:row>
    <x:row r="326">
      <x:c r="A326" s="16"/>
      <x:c r="B326" s="16"/>
      <x:c r="C326" s="109"/>
      <x:c r="D326" s="16"/>
      <x:c r="E326" s="16"/>
      <x:c r="F326" s="16"/>
      <x:c r="G326" s="16"/>
      <x:c r="H326" s="16"/>
      <x:c r="I326" s="16"/>
    </x:row>
    <x:row r="327">
      <x:c r="A327" s="16"/>
      <x:c r="B327" s="16"/>
      <x:c r="C327" s="109"/>
      <x:c r="D327" s="16"/>
      <x:c r="E327" s="16"/>
      <x:c r="F327" s="16"/>
      <x:c r="G327" s="16"/>
      <x:c r="H327" s="16"/>
      <x:c r="I327" s="16"/>
    </x:row>
    <x:row r="328">
      <x:c r="A328" s="16"/>
      <x:c r="B328" s="16"/>
      <x:c r="C328" s="109"/>
      <x:c r="D328" s="16"/>
      <x:c r="E328" s="16"/>
      <x:c r="F328" s="16"/>
      <x:c r="G328" s="16"/>
      <x:c r="H328" s="16"/>
      <x:c r="I328" s="16"/>
    </x:row>
    <x:row r="329">
      <x:c r="A329" s="16"/>
      <x:c r="B329" s="16"/>
      <x:c r="C329" s="109"/>
      <x:c r="D329" s="16"/>
      <x:c r="E329" s="16"/>
      <x:c r="F329" s="16"/>
      <x:c r="G329" s="16"/>
      <x:c r="H329" s="16"/>
      <x:c r="I329" s="16"/>
    </x:row>
    <x:row r="330">
      <x:c r="A330" s="16"/>
      <x:c r="B330" s="16"/>
      <x:c r="C330" s="109"/>
      <x:c r="D330" s="16"/>
      <x:c r="E330" s="16"/>
      <x:c r="F330" s="16"/>
      <x:c r="G330" s="16"/>
      <x:c r="H330" s="16"/>
      <x:c r="I330" s="16"/>
    </x:row>
    <x:row r="331">
      <x:c r="A331" s="16"/>
      <x:c r="B331" s="16"/>
      <x:c r="C331" s="109"/>
      <x:c r="D331" s="16"/>
      <x:c r="E331" s="16"/>
      <x:c r="F331" s="16"/>
      <x:c r="G331" s="16"/>
      <x:c r="H331" s="16"/>
      <x:c r="I331" s="16"/>
    </x:row>
    <x:row r="332">
      <x:c r="A332" s="16"/>
      <x:c r="B332" s="16"/>
      <x:c r="C332" s="109"/>
      <x:c r="D332" s="16"/>
      <x:c r="E332" s="16"/>
      <x:c r="F332" s="16"/>
      <x:c r="G332" s="16"/>
      <x:c r="H332" s="16"/>
      <x:c r="I332" s="16"/>
    </x:row>
    <x:row r="333">
      <x:c r="A333" s="16"/>
      <x:c r="B333" s="16"/>
      <x:c r="C333" s="109"/>
      <x:c r="D333" s="16"/>
      <x:c r="E333" s="16"/>
      <x:c r="F333" s="16"/>
      <x:c r="G333" s="16"/>
      <x:c r="H333" s="16"/>
      <x:c r="I333" s="16"/>
    </x:row>
    <x:row r="334">
      <x:c r="A334" s="16"/>
      <x:c r="B334" s="16"/>
      <x:c r="C334" s="109"/>
      <x:c r="D334" s="16"/>
      <x:c r="E334" s="16"/>
      <x:c r="F334" s="16"/>
      <x:c r="G334" s="16"/>
      <x:c r="H334" s="16"/>
      <x:c r="I334" s="16"/>
    </x:row>
    <x:row r="335">
      <x:c r="A335" s="16"/>
      <x:c r="B335" s="16"/>
      <x:c r="C335" s="109"/>
      <x:c r="D335" s="16"/>
      <x:c r="E335" s="16"/>
      <x:c r="F335" s="16"/>
      <x:c r="G335" s="16"/>
      <x:c r="H335" s="16"/>
      <x:c r="I335" s="16"/>
    </x:row>
    <x:row r="336">
      <x:c r="A336" s="16"/>
      <x:c r="B336" s="16"/>
      <x:c r="C336" s="109"/>
      <x:c r="D336" s="16"/>
      <x:c r="E336" s="16"/>
      <x:c r="F336" s="16"/>
      <x:c r="G336" s="16"/>
      <x:c r="H336" s="16"/>
      <x:c r="I336" s="16"/>
    </x:row>
    <x:row r="337">
      <x:c r="A337" s="16"/>
      <x:c r="B337" s="16"/>
      <x:c r="C337" s="109"/>
      <x:c r="D337" s="16"/>
      <x:c r="E337" s="16"/>
      <x:c r="F337" s="16"/>
      <x:c r="G337" s="16"/>
      <x:c r="H337" s="16"/>
      <x:c r="I337" s="16"/>
    </x:row>
    <x:row r="338">
      <x:c r="A338" s="16"/>
      <x:c r="B338" s="16"/>
      <x:c r="C338" s="109"/>
      <x:c r="D338" s="16"/>
      <x:c r="E338" s="16"/>
      <x:c r="F338" s="16"/>
      <x:c r="G338" s="16"/>
      <x:c r="H338" s="16"/>
      <x:c r="I338" s="16"/>
    </x:row>
    <x:row r="339">
      <x:c r="A339" s="16"/>
      <x:c r="B339" s="16"/>
      <x:c r="C339" s="109"/>
      <x:c r="D339" s="16"/>
      <x:c r="E339" s="16"/>
      <x:c r="F339" s="16"/>
      <x:c r="G339" s="16"/>
      <x:c r="H339" s="16"/>
      <x:c r="I339" s="16"/>
    </x:row>
    <x:row r="340">
      <x:c r="A340" s="16"/>
      <x:c r="B340" s="16"/>
      <x:c r="C340" s="109"/>
      <x:c r="D340" s="16"/>
      <x:c r="E340" s="16"/>
      <x:c r="F340" s="16"/>
      <x:c r="G340" s="16"/>
      <x:c r="H340" s="16"/>
      <x:c r="I340" s="16"/>
    </x:row>
    <x:row r="341">
      <x:c r="A341" s="16"/>
      <x:c r="B341" s="16"/>
      <x:c r="C341" s="109"/>
      <x:c r="D341" s="16"/>
      <x:c r="E341" s="16"/>
      <x:c r="F341" s="16"/>
      <x:c r="G341" s="16"/>
      <x:c r="H341" s="16"/>
      <x:c r="I341" s="16"/>
    </x:row>
    <x:row r="342">
      <x:c r="A342" s="16"/>
      <x:c r="B342" s="16"/>
      <x:c r="C342" s="109"/>
      <x:c r="D342" s="16"/>
      <x:c r="E342" s="16"/>
      <x:c r="F342" s="16"/>
      <x:c r="G342" s="16"/>
      <x:c r="H342" s="16"/>
      <x:c r="I342" s="16"/>
    </x:row>
    <x:row r="343">
      <x:c r="A343" s="16"/>
      <x:c r="B343" s="16"/>
      <x:c r="C343" s="109"/>
      <x:c r="D343" s="16"/>
      <x:c r="E343" s="16"/>
      <x:c r="F343" s="16"/>
      <x:c r="G343" s="16"/>
      <x:c r="H343" s="16"/>
      <x:c r="I343" s="16"/>
    </x:row>
    <x:row r="344">
      <x:c r="A344" s="16"/>
      <x:c r="B344" s="16"/>
      <x:c r="C344" s="109"/>
      <x:c r="D344" s="16"/>
      <x:c r="E344" s="16"/>
      <x:c r="F344" s="16"/>
      <x:c r="G344" s="16"/>
      <x:c r="H344" s="16"/>
      <x:c r="I344" s="16"/>
    </x:row>
    <x:row r="345">
      <x:c r="A345" s="16"/>
      <x:c r="B345" s="16"/>
      <x:c r="C345" s="109"/>
      <x:c r="D345" s="16"/>
      <x:c r="E345" s="16"/>
      <x:c r="F345" s="16"/>
      <x:c r="G345" s="16"/>
      <x:c r="H345" s="16"/>
      <x:c r="I345" s="16"/>
    </x:row>
    <x:row r="346">
      <x:c r="A346" s="16"/>
      <x:c r="B346" s="16"/>
      <x:c r="C346" s="109"/>
      <x:c r="D346" s="16"/>
      <x:c r="E346" s="16"/>
      <x:c r="F346" s="16"/>
      <x:c r="G346" s="16"/>
      <x:c r="H346" s="16"/>
      <x:c r="I346" s="16"/>
    </x:row>
    <x:row r="347">
      <x:c r="A347" s="16"/>
      <x:c r="B347" s="16"/>
      <x:c r="C347" s="109"/>
      <x:c r="D347" s="16"/>
      <x:c r="E347" s="16"/>
      <x:c r="F347" s="16"/>
      <x:c r="G347" s="16"/>
      <x:c r="H347" s="16"/>
      <x:c r="I347" s="16"/>
    </x:row>
    <x:row r="348">
      <x:c r="A348" s="16"/>
      <x:c r="B348" s="16"/>
      <x:c r="C348" s="109"/>
      <x:c r="D348" s="16"/>
      <x:c r="E348" s="16"/>
      <x:c r="F348" s="16"/>
      <x:c r="G348" s="16"/>
      <x:c r="H348" s="16"/>
      <x:c r="I348" s="16"/>
    </x:row>
    <x:row r="349">
      <x:c r="A349" s="16"/>
      <x:c r="B349" s="16"/>
      <x:c r="C349" s="109"/>
      <x:c r="D349" s="16"/>
      <x:c r="E349" s="16"/>
      <x:c r="F349" s="16"/>
      <x:c r="G349" s="16"/>
      <x:c r="H349" s="16"/>
      <x:c r="I349" s="16"/>
    </x:row>
    <x:row r="350">
      <x:c r="A350" s="16"/>
      <x:c r="B350" s="16"/>
      <x:c r="C350" s="109"/>
      <x:c r="D350" s="16"/>
      <x:c r="E350" s="16"/>
      <x:c r="F350" s="16"/>
      <x:c r="G350" s="16"/>
      <x:c r="H350" s="16"/>
      <x:c r="I350" s="16"/>
    </x:row>
    <x:row r="351">
      <x:c r="A351" s="16"/>
      <x:c r="B351" s="16"/>
      <x:c r="C351" s="109"/>
      <x:c r="D351" s="16"/>
      <x:c r="E351" s="16"/>
      <x:c r="F351" s="16"/>
      <x:c r="G351" s="16"/>
      <x:c r="H351" s="16"/>
      <x:c r="I351" s="16"/>
    </x:row>
    <x:row r="352">
      <x:c r="A352" s="16"/>
      <x:c r="B352" s="16"/>
      <x:c r="C352" s="109"/>
      <x:c r="D352" s="16"/>
      <x:c r="E352" s="16"/>
      <x:c r="F352" s="16"/>
      <x:c r="G352" s="16"/>
      <x:c r="H352" s="16"/>
      <x:c r="I352" s="16"/>
    </x:row>
    <x:row r="353">
      <x:c r="A353" s="16"/>
      <x:c r="B353" s="16"/>
      <x:c r="C353" s="109"/>
      <x:c r="D353" s="16"/>
      <x:c r="E353" s="16"/>
      <x:c r="F353" s="16"/>
      <x:c r="G353" s="16"/>
      <x:c r="H353" s="16"/>
      <x:c r="I353" s="16"/>
    </x:row>
    <x:row r="354">
      <x:c r="A354" s="16"/>
      <x:c r="B354" s="16"/>
      <x:c r="C354" s="109"/>
      <x:c r="D354" s="16"/>
      <x:c r="E354" s="16"/>
      <x:c r="F354" s="16"/>
      <x:c r="G354" s="16"/>
      <x:c r="H354" s="16"/>
      <x:c r="I354" s="16"/>
    </x:row>
    <x:row r="355">
      <x:c r="A355" s="16"/>
      <x:c r="B355" s="16"/>
      <x:c r="C355" s="109"/>
      <x:c r="D355" s="16"/>
      <x:c r="E355" s="16"/>
      <x:c r="F355" s="16"/>
      <x:c r="G355" s="16"/>
      <x:c r="H355" s="16"/>
      <x:c r="I355" s="16"/>
    </x:row>
    <x:row r="356">
      <x:c r="A356" s="16"/>
      <x:c r="B356" s="16"/>
      <x:c r="C356" s="109"/>
      <x:c r="D356" s="16"/>
      <x:c r="E356" s="16"/>
      <x:c r="F356" s="16"/>
      <x:c r="G356" s="16"/>
      <x:c r="H356" s="16"/>
      <x:c r="I356" s="16"/>
    </x:row>
    <x:row r="357">
      <x:c r="A357" s="16"/>
      <x:c r="B357" s="16"/>
      <x:c r="C357" s="109"/>
      <x:c r="D357" s="16"/>
      <x:c r="E357" s="16"/>
      <x:c r="F357" s="16"/>
      <x:c r="G357" s="16"/>
      <x:c r="H357" s="16"/>
      <x:c r="I357" s="16"/>
    </x:row>
    <x:row r="358">
      <x:c r="A358" s="16"/>
      <x:c r="B358" s="16"/>
      <x:c r="C358" s="109"/>
      <x:c r="D358" s="16"/>
      <x:c r="E358" s="16"/>
      <x:c r="F358" s="16"/>
      <x:c r="G358" s="16"/>
      <x:c r="H358" s="16"/>
      <x:c r="I358" s="16"/>
    </x:row>
    <x:row r="359">
      <x:c r="A359" s="16"/>
      <x:c r="B359" s="16"/>
      <x:c r="C359" s="109"/>
      <x:c r="D359" s="16"/>
      <x:c r="E359" s="16"/>
      <x:c r="F359" s="16"/>
      <x:c r="G359" s="16"/>
      <x:c r="H359" s="16"/>
      <x:c r="I359" s="16"/>
    </x:row>
    <x:row r="360">
      <x:c r="A360" s="16"/>
      <x:c r="B360" s="16"/>
      <x:c r="C360" s="109"/>
      <x:c r="D360" s="16"/>
      <x:c r="E360" s="16"/>
      <x:c r="F360" s="16"/>
      <x:c r="G360" s="16"/>
      <x:c r="H360" s="16"/>
      <x:c r="I360" s="16"/>
    </x:row>
    <x:row r="361">
      <x:c r="A361" s="16"/>
      <x:c r="B361" s="16"/>
      <x:c r="C361" s="109"/>
      <x:c r="D361" s="16"/>
      <x:c r="E361" s="16"/>
      <x:c r="F361" s="16"/>
      <x:c r="G361" s="16"/>
      <x:c r="H361" s="16"/>
      <x:c r="I361" s="16"/>
    </x:row>
    <x:row r="362">
      <x:c r="A362" s="16"/>
      <x:c r="B362" s="16"/>
      <x:c r="C362" s="109"/>
      <x:c r="D362" s="16"/>
      <x:c r="E362" s="16"/>
      <x:c r="F362" s="16"/>
      <x:c r="G362" s="16"/>
      <x:c r="H362" s="16"/>
      <x:c r="I362" s="16"/>
    </x:row>
    <x:row r="363">
      <x:c r="A363" s="16"/>
      <x:c r="B363" s="16"/>
      <x:c r="C363" s="109"/>
      <x:c r="D363" s="16"/>
      <x:c r="E363" s="16"/>
      <x:c r="F363" s="16"/>
      <x:c r="G363" s="16"/>
      <x:c r="H363" s="16"/>
      <x:c r="I363" s="16"/>
    </x:row>
    <x:row r="364">
      <x:c r="A364" s="16"/>
      <x:c r="B364" s="16"/>
      <x:c r="C364" s="109"/>
      <x:c r="D364" s="16"/>
      <x:c r="E364" s="16"/>
      <x:c r="F364" s="16"/>
      <x:c r="G364" s="16"/>
      <x:c r="H364" s="16"/>
      <x:c r="I364" s="16"/>
    </x:row>
    <x:row r="365">
      <x:c r="A365" s="16"/>
      <x:c r="B365" s="16"/>
      <x:c r="C365" s="109"/>
      <x:c r="D365" s="16"/>
      <x:c r="E365" s="16"/>
      <x:c r="F365" s="16"/>
      <x:c r="G365" s="16"/>
      <x:c r="H365" s="16"/>
      <x:c r="I365" s="16"/>
    </x:row>
    <x:row r="366">
      <x:c r="A366" s="16"/>
      <x:c r="B366" s="16"/>
      <x:c r="C366" s="109"/>
      <x:c r="D366" s="16"/>
      <x:c r="E366" s="16"/>
      <x:c r="F366" s="16"/>
      <x:c r="G366" s="16"/>
      <x:c r="H366" s="16"/>
      <x:c r="I366" s="16"/>
    </x:row>
    <x:row r="367">
      <x:c r="A367" s="16"/>
      <x:c r="B367" s="16"/>
      <x:c r="C367" s="109"/>
      <x:c r="D367" s="16"/>
      <x:c r="E367" s="16"/>
      <x:c r="F367" s="16"/>
      <x:c r="G367" s="16"/>
      <x:c r="H367" s="16"/>
      <x:c r="I367" s="16"/>
    </x:row>
    <x:row r="368">
      <x:c r="A368" s="16"/>
      <x:c r="B368" s="16"/>
      <x:c r="C368" s="109"/>
      <x:c r="D368" s="16"/>
      <x:c r="E368" s="16"/>
      <x:c r="F368" s="16"/>
      <x:c r="G368" s="16"/>
      <x:c r="H368" s="16"/>
      <x:c r="I368" s="16"/>
    </x:row>
    <x:row r="369">
      <x:c r="A369" s="16"/>
      <x:c r="B369" s="16"/>
      <x:c r="C369" s="109"/>
      <x:c r="D369" s="16"/>
      <x:c r="E369" s="16"/>
      <x:c r="F369" s="16"/>
      <x:c r="G369" s="16"/>
      <x:c r="H369" s="16"/>
      <x:c r="I369" s="16"/>
    </x:row>
    <x:row r="370">
      <x:c r="A370" s="16"/>
      <x:c r="B370" s="16"/>
      <x:c r="C370" s="109"/>
      <x:c r="D370" s="16"/>
      <x:c r="E370" s="16"/>
      <x:c r="F370" s="16"/>
      <x:c r="G370" s="16"/>
      <x:c r="H370" s="16"/>
      <x:c r="I370" s="16"/>
    </x:row>
    <x:row r="371">
      <x:c r="A371" s="16"/>
      <x:c r="B371" s="16"/>
      <x:c r="C371" s="109"/>
      <x:c r="D371" s="16"/>
      <x:c r="E371" s="16"/>
      <x:c r="F371" s="16"/>
      <x:c r="G371" s="16"/>
      <x:c r="H371" s="16"/>
      <x:c r="I371" s="16"/>
    </x:row>
    <x:row r="372">
      <x:c r="A372" s="16"/>
      <x:c r="B372" s="16"/>
      <x:c r="C372" s="109"/>
      <x:c r="D372" s="16"/>
      <x:c r="E372" s="16"/>
      <x:c r="F372" s="16"/>
      <x:c r="G372" s="16"/>
      <x:c r="H372" s="16"/>
      <x:c r="I372" s="16"/>
    </x:row>
    <x:row r="373">
      <x:c r="A373" s="16"/>
      <x:c r="B373" s="16"/>
      <x:c r="C373" s="109"/>
      <x:c r="D373" s="16"/>
      <x:c r="E373" s="16"/>
      <x:c r="F373" s="16"/>
      <x:c r="G373" s="16"/>
      <x:c r="H373" s="16"/>
      <x:c r="I373" s="16"/>
    </x:row>
    <x:row r="374">
      <x:c r="A374" s="16"/>
      <x:c r="B374" s="16"/>
      <x:c r="C374" s="109"/>
      <x:c r="D374" s="16"/>
      <x:c r="E374" s="16"/>
      <x:c r="F374" s="16"/>
      <x:c r="G374" s="16"/>
      <x:c r="H374" s="16"/>
      <x:c r="I374" s="16"/>
    </x:row>
    <x:row r="375">
      <x:c r="A375" s="16"/>
      <x:c r="B375" s="16"/>
      <x:c r="C375" s="109"/>
      <x:c r="D375" s="16"/>
      <x:c r="E375" s="16"/>
      <x:c r="F375" s="16"/>
      <x:c r="G375" s="16"/>
      <x:c r="H375" s="16"/>
      <x:c r="I375" s="16"/>
    </x:row>
    <x:row r="376">
      <x:c r="A376" s="16"/>
      <x:c r="B376" s="16"/>
      <x:c r="C376" s="109"/>
      <x:c r="D376" s="16"/>
      <x:c r="E376" s="16"/>
      <x:c r="F376" s="16"/>
      <x:c r="G376" s="16"/>
      <x:c r="H376" s="16"/>
      <x:c r="I376" s="16"/>
    </x:row>
    <x:row r="377">
      <x:c r="A377" s="16"/>
      <x:c r="B377" s="16"/>
      <x:c r="C377" s="109"/>
      <x:c r="D377" s="16"/>
      <x:c r="E377" s="16"/>
      <x:c r="F377" s="16"/>
      <x:c r="G377" s="16"/>
      <x:c r="H377" s="16"/>
      <x:c r="I377" s="16"/>
    </x:row>
    <x:row r="378">
      <x:c r="A378" s="16"/>
      <x:c r="B378" s="16"/>
      <x:c r="C378" s="109"/>
      <x:c r="D378" s="16"/>
      <x:c r="E378" s="16"/>
      <x:c r="F378" s="16"/>
      <x:c r="G378" s="16"/>
      <x:c r="H378" s="16"/>
      <x:c r="I378" s="16"/>
    </x:row>
    <x:row r="379">
      <x:c r="A379" s="16"/>
      <x:c r="B379" s="16"/>
      <x:c r="C379" s="109"/>
      <x:c r="D379" s="16"/>
      <x:c r="E379" s="16"/>
      <x:c r="F379" s="16"/>
      <x:c r="G379" s="16"/>
      <x:c r="H379" s="16"/>
      <x:c r="I379" s="16"/>
    </x:row>
    <x:row r="380">
      <x:c r="A380" s="16"/>
      <x:c r="B380" s="16"/>
      <x:c r="C380" s="109"/>
      <x:c r="D380" s="16"/>
      <x:c r="E380" s="16"/>
      <x:c r="F380" s="16"/>
      <x:c r="G380" s="16"/>
      <x:c r="H380" s="16"/>
      <x:c r="I380" s="16"/>
    </x:row>
    <x:row r="381">
      <x:c r="A381" s="16"/>
      <x:c r="B381" s="16"/>
      <x:c r="C381" s="109"/>
      <x:c r="D381" s="16"/>
      <x:c r="E381" s="16"/>
      <x:c r="F381" s="16"/>
      <x:c r="G381" s="16"/>
      <x:c r="H381" s="16"/>
      <x:c r="I381" s="16"/>
    </x:row>
    <x:row r="382">
      <x:c r="A382" s="16"/>
      <x:c r="B382" s="16"/>
      <x:c r="C382" s="109"/>
      <x:c r="D382" s="16"/>
      <x:c r="E382" s="16"/>
      <x:c r="F382" s="16"/>
      <x:c r="G382" s="16"/>
      <x:c r="H382" s="16"/>
      <x:c r="I382" s="16"/>
    </x:row>
    <x:row r="383">
      <x:c r="A383" s="16"/>
      <x:c r="B383" s="16"/>
      <x:c r="C383" s="109"/>
      <x:c r="D383" s="16"/>
      <x:c r="E383" s="16"/>
      <x:c r="F383" s="16"/>
      <x:c r="G383" s="16"/>
      <x:c r="H383" s="16"/>
      <x:c r="I383" s="16"/>
    </x:row>
    <x:row r="384">
      <x:c r="A384" s="16"/>
      <x:c r="B384" s="16"/>
      <x:c r="C384" s="109"/>
      <x:c r="D384" s="16"/>
      <x:c r="E384" s="16"/>
      <x:c r="F384" s="16"/>
      <x:c r="G384" s="16"/>
      <x:c r="H384" s="16"/>
      <x:c r="I384" s="16"/>
    </x:row>
    <x:row r="385">
      <x:c r="A385" s="16"/>
      <x:c r="B385" s="16"/>
      <x:c r="C385" s="109"/>
      <x:c r="D385" s="16"/>
      <x:c r="E385" s="16"/>
      <x:c r="F385" s="16"/>
      <x:c r="G385" s="16"/>
      <x:c r="H385" s="16"/>
      <x:c r="I385" s="16"/>
    </x:row>
    <x:row r="386">
      <x:c r="A386" s="16"/>
      <x:c r="B386" s="16"/>
      <x:c r="C386" s="109"/>
      <x:c r="D386" s="16"/>
      <x:c r="E386" s="16"/>
      <x:c r="F386" s="16"/>
      <x:c r="G386" s="16"/>
      <x:c r="H386" s="16"/>
      <x:c r="I386" s="16"/>
    </x:row>
    <x:row r="387">
      <x:c r="A387" s="16"/>
      <x:c r="B387" s="16"/>
      <x:c r="C387" s="109"/>
      <x:c r="D387" s="16"/>
      <x:c r="E387" s="16"/>
      <x:c r="F387" s="16"/>
      <x:c r="G387" s="16"/>
      <x:c r="H387" s="16"/>
      <x:c r="I387" s="16"/>
    </x:row>
    <x:row r="388">
      <x:c r="A388" s="16"/>
      <x:c r="B388" s="16"/>
      <x:c r="C388" s="109"/>
      <x:c r="D388" s="16"/>
      <x:c r="E388" s="16"/>
      <x:c r="F388" s="16"/>
      <x:c r="G388" s="16"/>
      <x:c r="H388" s="16"/>
      <x:c r="I388" s="16"/>
    </x:row>
    <x:row r="389">
      <x:c r="A389" s="16"/>
      <x:c r="B389" s="16"/>
      <x:c r="C389" s="109"/>
      <x:c r="D389" s="16"/>
      <x:c r="E389" s="16"/>
      <x:c r="F389" s="16"/>
      <x:c r="G389" s="16"/>
      <x:c r="H389" s="16"/>
      <x:c r="I389" s="16"/>
    </x:row>
    <x:row r="390">
      <x:c r="A390" s="16"/>
      <x:c r="B390" s="16"/>
      <x:c r="C390" s="109"/>
      <x:c r="D390" s="16"/>
      <x:c r="E390" s="16"/>
      <x:c r="F390" s="16"/>
      <x:c r="G390" s="16"/>
      <x:c r="H390" s="16"/>
      <x:c r="I390" s="16"/>
    </x:row>
    <x:row r="391">
      <x:c r="A391" s="16"/>
      <x:c r="B391" s="16"/>
      <x:c r="C391" s="109"/>
      <x:c r="D391" s="16"/>
      <x:c r="E391" s="16"/>
      <x:c r="F391" s="16"/>
      <x:c r="G391" s="16"/>
      <x:c r="H391" s="16"/>
      <x:c r="I391" s="16"/>
    </x:row>
    <x:row r="392">
      <x:c r="A392" s="16"/>
      <x:c r="B392" s="16"/>
      <x:c r="C392" s="109"/>
      <x:c r="D392" s="16"/>
      <x:c r="E392" s="16"/>
      <x:c r="F392" s="16"/>
      <x:c r="G392" s="16"/>
      <x:c r="H392" s="16"/>
      <x:c r="I392" s="16"/>
    </x:row>
    <x:row r="393">
      <x:c r="A393" s="16"/>
      <x:c r="B393" s="16"/>
      <x:c r="C393" s="109"/>
      <x:c r="D393" s="16"/>
      <x:c r="E393" s="16"/>
      <x:c r="F393" s="16"/>
      <x:c r="G393" s="16"/>
      <x:c r="H393" s="16"/>
      <x:c r="I393" s="16"/>
    </x:row>
    <x:row r="394">
      <x:c r="A394" s="16"/>
      <x:c r="B394" s="16"/>
      <x:c r="C394" s="109"/>
      <x:c r="D394" s="16"/>
      <x:c r="E394" s="16"/>
      <x:c r="F394" s="16"/>
      <x:c r="G394" s="16"/>
      <x:c r="H394" s="16"/>
      <x:c r="I394" s="16"/>
    </x:row>
    <x:row r="395">
      <x:c r="A395" s="16"/>
      <x:c r="B395" s="16"/>
      <x:c r="C395" s="109"/>
      <x:c r="D395" s="16"/>
      <x:c r="E395" s="16"/>
      <x:c r="F395" s="16"/>
      <x:c r="G395" s="16"/>
      <x:c r="H395" s="16"/>
      <x:c r="I395" s="16"/>
    </x:row>
    <x:row r="396">
      <x:c r="A396" s="16"/>
      <x:c r="B396" s="16"/>
      <x:c r="C396" s="109"/>
      <x:c r="D396" s="16"/>
      <x:c r="E396" s="16"/>
      <x:c r="F396" s="16"/>
      <x:c r="G396" s="16"/>
      <x:c r="H396" s="16"/>
      <x:c r="I396" s="16"/>
    </x:row>
    <x:row r="397">
      <x:c r="A397" s="16"/>
      <x:c r="B397" s="16"/>
      <x:c r="C397" s="109"/>
      <x:c r="D397" s="16"/>
      <x:c r="E397" s="16"/>
      <x:c r="F397" s="16"/>
      <x:c r="G397" s="16"/>
      <x:c r="H397" s="16"/>
      <x:c r="I397" s="16"/>
    </x:row>
    <x:row r="398">
      <x:c r="A398" s="16"/>
      <x:c r="B398" s="16"/>
      <x:c r="C398" s="109"/>
      <x:c r="D398" s="16"/>
      <x:c r="E398" s="16"/>
      <x:c r="F398" s="16"/>
      <x:c r="G398" s="16"/>
      <x:c r="H398" s="16"/>
      <x:c r="I398" s="16"/>
    </x:row>
    <x:row r="399">
      <x:c r="A399" s="16"/>
      <x:c r="B399" s="16"/>
      <x:c r="C399" s="109"/>
      <x:c r="D399" s="16"/>
      <x:c r="E399" s="16"/>
      <x:c r="F399" s="16"/>
      <x:c r="G399" s="16"/>
      <x:c r="H399" s="16"/>
      <x:c r="I399" s="16"/>
    </x:row>
    <x:row r="400">
      <x:c r="A400" s="16"/>
      <x:c r="B400" s="16"/>
      <x:c r="C400" s="109"/>
      <x:c r="D400" s="16"/>
      <x:c r="E400" s="16"/>
      <x:c r="F400" s="16"/>
      <x:c r="G400" s="16"/>
      <x:c r="H400" s="16"/>
      <x:c r="I400" s="16"/>
    </x:row>
    <x:row r="401">
      <x:c r="A401" s="16"/>
      <x:c r="B401" s="16"/>
      <x:c r="C401" s="109"/>
      <x:c r="D401" s="16"/>
      <x:c r="E401" s="16"/>
      <x:c r="F401" s="16"/>
      <x:c r="G401" s="16"/>
      <x:c r="H401" s="16"/>
      <x:c r="I401" s="16"/>
    </x:row>
    <x:row r="402">
      <x:c r="A402" s="16"/>
      <x:c r="B402" s="16"/>
      <x:c r="C402" s="109"/>
      <x:c r="D402" s="16"/>
      <x:c r="E402" s="16"/>
      <x:c r="F402" s="16"/>
      <x:c r="G402" s="16"/>
      <x:c r="H402" s="16"/>
      <x:c r="I402" s="16"/>
    </x:row>
    <x:row r="403">
      <x:c r="A403" s="16"/>
      <x:c r="B403" s="16"/>
      <x:c r="C403" s="109"/>
      <x:c r="D403" s="16"/>
      <x:c r="E403" s="16"/>
      <x:c r="F403" s="16"/>
      <x:c r="G403" s="16"/>
      <x:c r="H403" s="16"/>
      <x:c r="I403" s="16"/>
    </x:row>
    <x:row r="404">
      <x:c r="A404" s="16"/>
      <x:c r="B404" s="16"/>
      <x:c r="C404" s="109"/>
      <x:c r="D404" s="16"/>
      <x:c r="E404" s="16"/>
      <x:c r="F404" s="16"/>
      <x:c r="G404" s="16"/>
      <x:c r="H404" s="16"/>
      <x:c r="I404" s="16"/>
    </x:row>
    <x:row r="405">
      <x:c r="A405" s="16"/>
      <x:c r="B405" s="16"/>
      <x:c r="C405" s="109"/>
      <x:c r="D405" s="16"/>
      <x:c r="E405" s="16"/>
      <x:c r="F405" s="16"/>
      <x:c r="G405" s="16"/>
      <x:c r="H405" s="16"/>
      <x:c r="I405" s="16"/>
    </x:row>
    <x:row r="406">
      <x:c r="A406" s="16"/>
      <x:c r="B406" s="16"/>
      <x:c r="C406" s="109"/>
      <x:c r="D406" s="16"/>
      <x:c r="E406" s="16"/>
      <x:c r="F406" s="16"/>
      <x:c r="G406" s="16"/>
      <x:c r="H406" s="16"/>
      <x:c r="I406" s="16"/>
    </x:row>
    <x:row r="407">
      <x:c r="A407" s="16"/>
      <x:c r="B407" s="16"/>
      <x:c r="C407" s="109"/>
      <x:c r="D407" s="16"/>
      <x:c r="E407" s="16"/>
      <x:c r="F407" s="16"/>
      <x:c r="G407" s="16"/>
      <x:c r="H407" s="16"/>
      <x:c r="I407" s="16"/>
    </x:row>
    <x:row r="408">
      <x:c r="A408" s="16"/>
      <x:c r="B408" s="16"/>
      <x:c r="C408" s="109"/>
      <x:c r="D408" s="16"/>
      <x:c r="E408" s="16"/>
      <x:c r="F408" s="16"/>
      <x:c r="G408" s="16"/>
      <x:c r="H408" s="16"/>
      <x:c r="I408" s="16"/>
    </x:row>
    <x:row r="409">
      <x:c r="A409" s="16"/>
      <x:c r="B409" s="16"/>
      <x:c r="C409" s="109"/>
      <x:c r="D409" s="16"/>
      <x:c r="E409" s="16"/>
      <x:c r="F409" s="16"/>
      <x:c r="G409" s="16"/>
      <x:c r="H409" s="16"/>
      <x:c r="I409" s="16"/>
    </x:row>
    <x:row r="410">
      <x:c r="A410" s="16"/>
      <x:c r="B410" s="16"/>
      <x:c r="C410" s="109"/>
      <x:c r="D410" s="16"/>
      <x:c r="E410" s="16"/>
      <x:c r="F410" s="16"/>
      <x:c r="G410" s="16"/>
      <x:c r="H410" s="16"/>
      <x:c r="I410" s="16"/>
    </x:row>
    <x:row r="411">
      <x:c r="A411" s="16"/>
      <x:c r="B411" s="16"/>
      <x:c r="C411" s="109"/>
      <x:c r="D411" s="16"/>
      <x:c r="E411" s="16"/>
      <x:c r="F411" s="16"/>
      <x:c r="G411" s="16"/>
      <x:c r="H411" s="16"/>
      <x:c r="I411" s="16"/>
    </x:row>
    <x:row r="412">
      <x:c r="A412" s="16"/>
      <x:c r="B412" s="16"/>
      <x:c r="C412" s="109"/>
      <x:c r="D412" s="16"/>
      <x:c r="E412" s="16"/>
      <x:c r="F412" s="16"/>
      <x:c r="G412" s="16"/>
      <x:c r="H412" s="16"/>
      <x:c r="I412" s="16"/>
    </x:row>
    <x:row r="413">
      <x:c r="A413" s="16"/>
      <x:c r="B413" s="16"/>
      <x:c r="C413" s="109"/>
      <x:c r="D413" s="16"/>
      <x:c r="E413" s="16"/>
      <x:c r="F413" s="16"/>
      <x:c r="G413" s="16"/>
      <x:c r="H413" s="16"/>
      <x:c r="I413" s="16"/>
    </x:row>
    <x:row r="414">
      <x:c r="A414" s="16"/>
      <x:c r="B414" s="16"/>
      <x:c r="C414" s="109"/>
      <x:c r="D414" s="16"/>
      <x:c r="E414" s="16"/>
      <x:c r="F414" s="16"/>
      <x:c r="G414" s="16"/>
      <x:c r="H414" s="16"/>
      <x:c r="I414" s="16"/>
    </x:row>
    <x:row r="415">
      <x:c r="A415" s="16"/>
      <x:c r="B415" s="16"/>
      <x:c r="C415" s="109"/>
      <x:c r="D415" s="16"/>
      <x:c r="E415" s="16"/>
      <x:c r="F415" s="16"/>
      <x:c r="G415" s="16"/>
      <x:c r="H415" s="16"/>
      <x:c r="I415" s="16"/>
    </x:row>
    <x:row r="416">
      <x:c r="A416" s="16"/>
      <x:c r="B416" s="16"/>
      <x:c r="C416" s="109"/>
      <x:c r="D416" s="16"/>
      <x:c r="E416" s="16"/>
      <x:c r="F416" s="16"/>
      <x:c r="G416" s="16"/>
      <x:c r="H416" s="16"/>
      <x:c r="I416" s="16"/>
    </x:row>
    <x:row r="417">
      <x:c r="A417" s="16"/>
      <x:c r="B417" s="16"/>
      <x:c r="C417" s="109"/>
      <x:c r="D417" s="16"/>
      <x:c r="E417" s="16"/>
      <x:c r="F417" s="16"/>
      <x:c r="G417" s="16"/>
      <x:c r="H417" s="16"/>
      <x:c r="I417" s="16"/>
    </x:row>
    <x:row r="418">
      <x:c r="A418" s="16"/>
      <x:c r="B418" s="16"/>
      <x:c r="C418" s="109"/>
      <x:c r="D418" s="16"/>
      <x:c r="E418" s="16"/>
      <x:c r="F418" s="16"/>
      <x:c r="G418" s="16"/>
      <x:c r="H418" s="16"/>
      <x:c r="I418" s="16"/>
    </x:row>
    <x:row r="419">
      <x:c r="A419" s="16"/>
      <x:c r="B419" s="16"/>
      <x:c r="C419" s="109"/>
      <x:c r="D419" s="16"/>
      <x:c r="E419" s="16"/>
      <x:c r="F419" s="16"/>
      <x:c r="G419" s="16"/>
      <x:c r="H419" s="16"/>
      <x:c r="I419" s="16"/>
    </x:row>
    <x:row r="420">
      <x:c r="A420" s="16"/>
      <x:c r="B420" s="16"/>
      <x:c r="C420" s="109"/>
      <x:c r="D420" s="16"/>
      <x:c r="E420" s="16"/>
      <x:c r="F420" s="16"/>
      <x:c r="G420" s="16"/>
      <x:c r="H420" s="16"/>
      <x:c r="I420" s="16"/>
    </x:row>
    <x:row r="421">
      <x:c r="A421" s="16"/>
      <x:c r="B421" s="16"/>
      <x:c r="C421" s="109"/>
      <x:c r="D421" s="16"/>
      <x:c r="E421" s="16"/>
      <x:c r="F421" s="16"/>
      <x:c r="G421" s="16"/>
      <x:c r="H421" s="16"/>
      <x:c r="I421" s="16"/>
    </x:row>
    <x:row r="422">
      <x:c r="A422" s="16"/>
      <x:c r="B422" s="16"/>
      <x:c r="C422" s="109"/>
      <x:c r="D422" s="16"/>
      <x:c r="E422" s="16"/>
      <x:c r="F422" s="16"/>
      <x:c r="G422" s="16"/>
      <x:c r="H422" s="16"/>
      <x:c r="I422" s="16"/>
    </x:row>
    <x:row r="423">
      <x:c r="A423" s="16"/>
      <x:c r="B423" s="16"/>
      <x:c r="C423" s="109"/>
      <x:c r="D423" s="16"/>
      <x:c r="E423" s="16"/>
      <x:c r="F423" s="16"/>
      <x:c r="G423" s="16"/>
      <x:c r="H423" s="16"/>
      <x:c r="I423" s="16"/>
    </x:row>
    <x:row r="424">
      <x:c r="A424" s="16"/>
      <x:c r="B424" s="16"/>
      <x:c r="C424" s="109"/>
      <x:c r="D424" s="16"/>
      <x:c r="E424" s="16"/>
      <x:c r="F424" s="16"/>
      <x:c r="G424" s="16"/>
      <x:c r="H424" s="16"/>
      <x:c r="I424" s="16"/>
    </x:row>
    <x:row r="425">
      <x:c r="A425" s="16"/>
      <x:c r="B425" s="16"/>
      <x:c r="C425" s="109"/>
      <x:c r="D425" s="16"/>
      <x:c r="E425" s="16"/>
      <x:c r="F425" s="16"/>
      <x:c r="G425" s="16"/>
      <x:c r="H425" s="16"/>
      <x:c r="I425" s="16"/>
    </x:row>
    <x:row r="426">
      <x:c r="A426" s="16"/>
      <x:c r="B426" s="16"/>
      <x:c r="C426" s="109"/>
      <x:c r="D426" s="16"/>
      <x:c r="E426" s="16"/>
      <x:c r="F426" s="16"/>
      <x:c r="G426" s="16"/>
      <x:c r="H426" s="16"/>
      <x:c r="I426" s="16"/>
    </x:row>
    <x:row r="427">
      <x:c r="A427" s="16"/>
      <x:c r="B427" s="16"/>
      <x:c r="C427" s="109"/>
      <x:c r="D427" s="16"/>
      <x:c r="E427" s="16"/>
      <x:c r="F427" s="16"/>
      <x:c r="G427" s="16"/>
      <x:c r="H427" s="16"/>
      <x:c r="I427" s="16"/>
    </x:row>
    <x:row r="428">
      <x:c r="A428" s="16"/>
      <x:c r="B428" s="16"/>
      <x:c r="C428" s="109"/>
      <x:c r="D428" s="16"/>
      <x:c r="E428" s="16"/>
      <x:c r="F428" s="16"/>
      <x:c r="G428" s="16"/>
      <x:c r="H428" s="16"/>
      <x:c r="I428" s="16"/>
    </x:row>
    <x:row r="429">
      <x:c r="A429" s="16"/>
      <x:c r="B429" s="16"/>
      <x:c r="C429" s="109"/>
      <x:c r="D429" s="16"/>
      <x:c r="E429" s="16"/>
      <x:c r="F429" s="16"/>
      <x:c r="G429" s="16"/>
      <x:c r="H429" s="16"/>
      <x:c r="I429" s="16"/>
    </x:row>
    <x:row r="430">
      <x:c r="A430" s="16"/>
      <x:c r="B430" s="16"/>
      <x:c r="C430" s="109"/>
      <x:c r="D430" s="16"/>
      <x:c r="E430" s="16"/>
      <x:c r="F430" s="16"/>
      <x:c r="G430" s="16"/>
      <x:c r="H430" s="16"/>
      <x:c r="I430" s="16"/>
    </x:row>
    <x:row r="431">
      <x:c r="A431" s="16"/>
      <x:c r="B431" s="16"/>
      <x:c r="C431" s="109"/>
      <x:c r="D431" s="16"/>
      <x:c r="E431" s="16"/>
      <x:c r="F431" s="16"/>
      <x:c r="G431" s="16"/>
      <x:c r="H431" s="16"/>
      <x:c r="I431" s="16"/>
    </x:row>
    <x:row r="432">
      <x:c r="A432" s="16"/>
      <x:c r="B432" s="16"/>
      <x:c r="C432" s="109"/>
      <x:c r="D432" s="16"/>
      <x:c r="E432" s="16"/>
      <x:c r="F432" s="16"/>
      <x:c r="G432" s="16"/>
      <x:c r="H432" s="16"/>
      <x:c r="I432" s="16"/>
    </x:row>
    <x:row r="433">
      <x:c r="A433" s="16"/>
      <x:c r="B433" s="16"/>
      <x:c r="C433" s="109"/>
      <x:c r="D433" s="16"/>
      <x:c r="E433" s="16"/>
      <x:c r="F433" s="16"/>
      <x:c r="G433" s="16"/>
      <x:c r="H433" s="16"/>
      <x:c r="I433" s="16"/>
    </x:row>
    <x:row r="434">
      <x:c r="A434" s="16"/>
      <x:c r="B434" s="16"/>
      <x:c r="C434" s="109"/>
      <x:c r="D434" s="16"/>
      <x:c r="E434" s="16"/>
      <x:c r="F434" s="16"/>
      <x:c r="G434" s="16"/>
      <x:c r="H434" s="16"/>
      <x:c r="I434" s="16"/>
    </x:row>
    <x:row r="435">
      <x:c r="A435" s="16"/>
      <x:c r="B435" s="16"/>
      <x:c r="C435" s="109"/>
      <x:c r="D435" s="16"/>
      <x:c r="E435" s="16"/>
      <x:c r="F435" s="16"/>
      <x:c r="G435" s="16"/>
      <x:c r="H435" s="16"/>
      <x:c r="I435" s="16"/>
    </x:row>
    <x:row r="436">
      <x:c r="A436" s="16"/>
      <x:c r="B436" s="16"/>
      <x:c r="C436" s="109"/>
      <x:c r="D436" s="16"/>
      <x:c r="E436" s="16"/>
      <x:c r="F436" s="16"/>
      <x:c r="G436" s="16"/>
      <x:c r="H436" s="16"/>
      <x:c r="I436" s="16"/>
    </x:row>
    <x:row r="437">
      <x:c r="A437" s="16"/>
      <x:c r="B437" s="16"/>
      <x:c r="C437" s="109"/>
      <x:c r="D437" s="16"/>
      <x:c r="E437" s="16"/>
      <x:c r="F437" s="16"/>
      <x:c r="G437" s="16"/>
      <x:c r="H437" s="16"/>
      <x:c r="I437" s="16"/>
    </x:row>
    <x:row r="438">
      <x:c r="A438" s="16"/>
      <x:c r="B438" s="16"/>
      <x:c r="C438" s="109"/>
      <x:c r="D438" s="16"/>
      <x:c r="E438" s="16"/>
      <x:c r="F438" s="16"/>
      <x:c r="G438" s="16"/>
      <x:c r="H438" s="16"/>
      <x:c r="I438" s="16"/>
    </x:row>
    <x:row r="439">
      <x:c r="A439" s="16"/>
      <x:c r="B439" s="16"/>
      <x:c r="C439" s="109"/>
      <x:c r="D439" s="16"/>
      <x:c r="E439" s="16"/>
      <x:c r="F439" s="16"/>
      <x:c r="G439" s="16"/>
      <x:c r="H439" s="16"/>
      <x:c r="I439" s="16"/>
    </x:row>
    <x:row r="440">
      <x:c r="A440" s="16"/>
      <x:c r="B440" s="16"/>
      <x:c r="C440" s="109"/>
      <x:c r="D440" s="16"/>
      <x:c r="E440" s="16"/>
      <x:c r="F440" s="16"/>
      <x:c r="G440" s="16"/>
      <x:c r="H440" s="16"/>
      <x:c r="I440" s="16"/>
    </x:row>
    <x:row r="441">
      <x:c r="A441" s="16"/>
      <x:c r="B441" s="16"/>
      <x:c r="C441" s="109"/>
      <x:c r="D441" s="16"/>
      <x:c r="E441" s="16"/>
      <x:c r="F441" s="16"/>
      <x:c r="G441" s="16"/>
      <x:c r="H441" s="16"/>
      <x:c r="I441" s="16"/>
    </x:row>
    <x:row r="442">
      <x:c r="A442" s="16"/>
      <x:c r="B442" s="16"/>
      <x:c r="C442" s="109"/>
      <x:c r="D442" s="16"/>
      <x:c r="E442" s="16"/>
      <x:c r="F442" s="16"/>
      <x:c r="G442" s="16"/>
      <x:c r="H442" s="16"/>
      <x:c r="I442" s="16"/>
    </x:row>
    <x:row r="443">
      <x:c r="A443" s="16"/>
      <x:c r="B443" s="16"/>
      <x:c r="C443" s="109"/>
      <x:c r="D443" s="16"/>
      <x:c r="E443" s="16"/>
      <x:c r="F443" s="16"/>
      <x:c r="G443" s="16"/>
      <x:c r="H443" s="16"/>
      <x:c r="I443" s="16"/>
    </x:row>
    <x:row r="444">
      <x:c r="A444" s="16"/>
      <x:c r="B444" s="16"/>
      <x:c r="C444" s="109"/>
      <x:c r="D444" s="16"/>
      <x:c r="E444" s="16"/>
      <x:c r="F444" s="16"/>
      <x:c r="G444" s="16"/>
      <x:c r="H444" s="16"/>
      <x:c r="I444" s="16"/>
    </x:row>
    <x:row r="445">
      <x:c r="A445" s="16"/>
      <x:c r="B445" s="16"/>
      <x:c r="C445" s="109"/>
      <x:c r="D445" s="16"/>
      <x:c r="E445" s="16"/>
      <x:c r="F445" s="16"/>
      <x:c r="G445" s="16"/>
      <x:c r="H445" s="16"/>
      <x:c r="I445" s="16"/>
    </x:row>
    <x:row r="446">
      <x:c r="A446" s="16"/>
      <x:c r="B446" s="16"/>
      <x:c r="C446" s="109"/>
      <x:c r="D446" s="16"/>
      <x:c r="E446" s="16"/>
      <x:c r="F446" s="16"/>
      <x:c r="G446" s="16"/>
      <x:c r="H446" s="16"/>
      <x:c r="I446" s="16"/>
    </x:row>
    <x:row r="447">
      <x:c r="A447" s="16"/>
      <x:c r="B447" s="16"/>
      <x:c r="C447" s="109"/>
      <x:c r="D447" s="16"/>
      <x:c r="E447" s="16"/>
      <x:c r="F447" s="16"/>
      <x:c r="G447" s="16"/>
      <x:c r="H447" s="16"/>
      <x:c r="I447" s="16"/>
    </x:row>
    <x:row r="448">
      <x:c r="A448" s="16"/>
      <x:c r="B448" s="16"/>
      <x:c r="C448" s="109"/>
      <x:c r="D448" s="16"/>
      <x:c r="E448" s="16"/>
      <x:c r="F448" s="16"/>
      <x:c r="G448" s="16"/>
      <x:c r="H448" s="16"/>
      <x:c r="I448" s="16"/>
    </x:row>
    <x:row r="449">
      <x:c r="A449" s="16"/>
      <x:c r="B449" s="16"/>
      <x:c r="C449" s="109"/>
      <x:c r="D449" s="16"/>
      <x:c r="E449" s="16"/>
      <x:c r="F449" s="16"/>
      <x:c r="G449" s="16"/>
      <x:c r="H449" s="16"/>
      <x:c r="I449" s="16"/>
    </x:row>
    <x:row r="450">
      <x:c r="A450" s="16"/>
      <x:c r="B450" s="16"/>
      <x:c r="C450" s="109"/>
      <x:c r="D450" s="16"/>
      <x:c r="E450" s="16"/>
      <x:c r="F450" s="16"/>
      <x:c r="G450" s="16"/>
      <x:c r="H450" s="16"/>
      <x:c r="I450" s="16"/>
    </x:row>
    <x:row r="451">
      <x:c r="A451" s="16"/>
      <x:c r="B451" s="16"/>
      <x:c r="C451" s="109"/>
      <x:c r="D451" s="16"/>
      <x:c r="E451" s="16"/>
      <x:c r="F451" s="16"/>
      <x:c r="G451" s="16"/>
      <x:c r="H451" s="16"/>
      <x:c r="I451" s="16"/>
    </x:row>
    <x:row r="452">
      <x:c r="A452" s="16"/>
      <x:c r="B452" s="16"/>
      <x:c r="C452" s="109"/>
      <x:c r="D452" s="16"/>
      <x:c r="E452" s="16"/>
      <x:c r="F452" s="16"/>
      <x:c r="G452" s="16"/>
      <x:c r="H452" s="16"/>
      <x:c r="I452" s="16"/>
    </x:row>
    <x:row r="453">
      <x:c r="A453" s="16"/>
      <x:c r="B453" s="16"/>
      <x:c r="C453" s="109"/>
      <x:c r="D453" s="16"/>
      <x:c r="E453" s="16"/>
      <x:c r="F453" s="16"/>
      <x:c r="G453" s="16"/>
      <x:c r="H453" s="16"/>
      <x:c r="I453" s="16"/>
    </x:row>
    <x:row r="454">
      <x:c r="A454" s="16"/>
      <x:c r="B454" s="16"/>
      <x:c r="C454" s="109"/>
      <x:c r="D454" s="16"/>
      <x:c r="E454" s="16"/>
      <x:c r="F454" s="16"/>
      <x:c r="G454" s="16"/>
      <x:c r="H454" s="16"/>
      <x:c r="I454" s="16"/>
    </x:row>
    <x:row r="455">
      <x:c r="A455" s="16"/>
      <x:c r="B455" s="16"/>
      <x:c r="C455" s="109"/>
      <x:c r="D455" s="16"/>
      <x:c r="E455" s="16"/>
      <x:c r="F455" s="16"/>
      <x:c r="G455" s="16"/>
      <x:c r="H455" s="16"/>
      <x:c r="I455" s="16"/>
    </x:row>
    <x:row r="456">
      <x:c r="A456" s="16"/>
      <x:c r="B456" s="16"/>
      <x:c r="C456" s="109"/>
      <x:c r="D456" s="16"/>
      <x:c r="E456" s="16"/>
      <x:c r="F456" s="16"/>
      <x:c r="G456" s="16"/>
      <x:c r="H456" s="16"/>
      <x:c r="I456" s="16"/>
    </x:row>
    <x:row r="457">
      <x:c r="A457" s="16"/>
      <x:c r="B457" s="16"/>
      <x:c r="C457" s="109"/>
      <x:c r="D457" s="16"/>
      <x:c r="E457" s="16"/>
      <x:c r="F457" s="16"/>
      <x:c r="G457" s="16"/>
      <x:c r="H457" s="16"/>
      <x:c r="I457" s="16"/>
    </x:row>
    <x:row r="458">
      <x:c r="A458" s="16"/>
      <x:c r="B458" s="16"/>
      <x:c r="C458" s="109"/>
      <x:c r="D458" s="16"/>
      <x:c r="E458" s="16"/>
      <x:c r="F458" s="16"/>
      <x:c r="G458" s="16"/>
      <x:c r="H458" s="16"/>
      <x:c r="I458" s="16"/>
    </x:row>
    <x:row r="459">
      <x:c r="A459" s="16"/>
      <x:c r="B459" s="16"/>
      <x:c r="C459" s="109"/>
      <x:c r="D459" s="16"/>
      <x:c r="E459" s="16"/>
      <x:c r="F459" s="16"/>
      <x:c r="G459" s="16"/>
      <x:c r="H459" s="16"/>
      <x:c r="I459" s="16"/>
    </x:row>
    <x:row r="460">
      <x:c r="A460" s="16"/>
      <x:c r="B460" s="16"/>
      <x:c r="C460" s="109"/>
      <x:c r="D460" s="16"/>
      <x:c r="E460" s="16"/>
      <x:c r="F460" s="16"/>
      <x:c r="G460" s="16"/>
      <x:c r="H460" s="16"/>
      <x:c r="I460" s="16"/>
    </x:row>
    <x:row r="461">
      <x:c r="A461" s="16"/>
      <x:c r="B461" s="16"/>
      <x:c r="C461" s="109"/>
      <x:c r="D461" s="16"/>
      <x:c r="E461" s="16"/>
      <x:c r="F461" s="16"/>
      <x:c r="G461" s="16"/>
      <x:c r="H461" s="16"/>
      <x:c r="I461" s="16"/>
    </x:row>
    <x:row r="462">
      <x:c r="A462" s="16"/>
      <x:c r="B462" s="16"/>
      <x:c r="C462" s="109"/>
      <x:c r="D462" s="16"/>
      <x:c r="E462" s="16"/>
      <x:c r="F462" s="16"/>
      <x:c r="G462" s="16"/>
      <x:c r="H462" s="16"/>
      <x:c r="I462" s="16"/>
    </x:row>
    <x:row r="463">
      <x:c r="A463" s="16"/>
      <x:c r="B463" s="16"/>
      <x:c r="C463" s="109"/>
      <x:c r="D463" s="16"/>
      <x:c r="E463" s="16"/>
      <x:c r="F463" s="16"/>
      <x:c r="G463" s="16"/>
      <x:c r="H463" s="16"/>
      <x:c r="I463" s="16"/>
    </x:row>
    <x:row r="464">
      <x:c r="A464" s="16"/>
      <x:c r="B464" s="16"/>
      <x:c r="C464" s="109"/>
      <x:c r="D464" s="16"/>
      <x:c r="E464" s="16"/>
      <x:c r="F464" s="16"/>
      <x:c r="G464" s="16"/>
      <x:c r="H464" s="16"/>
      <x:c r="I464" s="16"/>
    </x:row>
    <x:row r="465">
      <x:c r="A465" s="16"/>
      <x:c r="B465" s="16"/>
      <x:c r="C465" s="109"/>
      <x:c r="D465" s="16"/>
      <x:c r="E465" s="16"/>
      <x:c r="F465" s="16"/>
      <x:c r="G465" s="16"/>
      <x:c r="H465" s="16"/>
      <x:c r="I465" s="16"/>
    </x:row>
    <x:row r="466">
      <x:c r="A466" s="16"/>
      <x:c r="B466" s="16"/>
      <x:c r="C466" s="109"/>
      <x:c r="D466" s="16"/>
      <x:c r="E466" s="16"/>
      <x:c r="F466" s="16"/>
      <x:c r="G466" s="16"/>
      <x:c r="H466" s="16"/>
      <x:c r="I466" s="16"/>
    </x:row>
    <x:row r="467">
      <x:c r="A467" s="16"/>
      <x:c r="B467" s="16"/>
      <x:c r="C467" s="109"/>
      <x:c r="D467" s="16"/>
      <x:c r="E467" s="16"/>
      <x:c r="F467" s="16"/>
      <x:c r="G467" s="16"/>
      <x:c r="H467" s="16"/>
      <x:c r="I467" s="16"/>
    </x:row>
    <x:row r="468">
      <x:c r="A468" s="16"/>
      <x:c r="B468" s="16"/>
      <x:c r="C468" s="109"/>
      <x:c r="D468" s="16"/>
      <x:c r="E468" s="16"/>
      <x:c r="F468" s="16"/>
      <x:c r="G468" s="16"/>
      <x:c r="H468" s="16"/>
      <x:c r="I468" s="16"/>
    </x:row>
    <x:row r="469">
      <x:c r="A469" s="16"/>
      <x:c r="B469" s="16"/>
      <x:c r="C469" s="109"/>
      <x:c r="D469" s="16"/>
      <x:c r="E469" s="16"/>
      <x:c r="F469" s="16"/>
      <x:c r="G469" s="16"/>
      <x:c r="H469" s="16"/>
      <x:c r="I469" s="16"/>
    </x:row>
    <x:row r="470">
      <x:c r="A470" s="16"/>
      <x:c r="B470" s="16"/>
      <x:c r="C470" s="109"/>
      <x:c r="D470" s="16"/>
      <x:c r="E470" s="16"/>
      <x:c r="F470" s="16"/>
      <x:c r="G470" s="16"/>
      <x:c r="H470" s="16"/>
      <x:c r="I470" s="16"/>
    </x:row>
    <x:row r="471">
      <x:c r="A471" s="16"/>
      <x:c r="B471" s="16"/>
      <x:c r="C471" s="109"/>
      <x:c r="D471" s="16"/>
      <x:c r="E471" s="16"/>
      <x:c r="F471" s="16"/>
      <x:c r="G471" s="16"/>
      <x:c r="H471" s="16"/>
      <x:c r="I471" s="16"/>
    </x:row>
    <x:row r="472">
      <x:c r="A472" s="16"/>
      <x:c r="B472" s="16"/>
      <x:c r="C472" s="109"/>
      <x:c r="D472" s="16"/>
      <x:c r="E472" s="16"/>
      <x:c r="F472" s="16"/>
      <x:c r="G472" s="16"/>
      <x:c r="H472" s="16"/>
      <x:c r="I472" s="16"/>
    </x:row>
    <x:row r="473">
      <x:c r="A473" s="16"/>
      <x:c r="B473" s="16"/>
      <x:c r="C473" s="109"/>
      <x:c r="D473" s="16"/>
      <x:c r="E473" s="16"/>
      <x:c r="F473" s="16"/>
      <x:c r="G473" s="16"/>
      <x:c r="H473" s="16"/>
      <x:c r="I473" s="16"/>
    </x:row>
    <x:row r="474">
      <x:c r="A474" s="16"/>
      <x:c r="B474" s="16"/>
      <x:c r="C474" s="109"/>
      <x:c r="D474" s="16"/>
      <x:c r="E474" s="16"/>
      <x:c r="F474" s="16"/>
      <x:c r="G474" s="16"/>
      <x:c r="H474" s="16"/>
      <x:c r="I474" s="16"/>
    </x:row>
    <x:row r="475">
      <x:c r="A475" s="16"/>
      <x:c r="B475" s="16"/>
      <x:c r="C475" s="109"/>
      <x:c r="D475" s="16"/>
      <x:c r="E475" s="16"/>
      <x:c r="F475" s="16"/>
      <x:c r="G475" s="16"/>
      <x:c r="H475" s="16"/>
      <x:c r="I475" s="16"/>
    </x:row>
    <x:row r="476">
      <x:c r="A476" s="16"/>
      <x:c r="B476" s="16"/>
      <x:c r="C476" s="109"/>
      <x:c r="D476" s="16"/>
      <x:c r="E476" s="16"/>
      <x:c r="F476" s="16"/>
      <x:c r="G476" s="16"/>
      <x:c r="H476" s="16"/>
      <x:c r="I476" s="16"/>
    </x:row>
    <x:row r="477">
      <x:c r="A477" s="16"/>
      <x:c r="B477" s="16"/>
      <x:c r="C477" s="109"/>
      <x:c r="D477" s="16"/>
      <x:c r="E477" s="16"/>
      <x:c r="F477" s="16"/>
      <x:c r="G477" s="16"/>
      <x:c r="H477" s="16"/>
      <x:c r="I477" s="16"/>
    </x:row>
    <x:row r="478">
      <x:c r="A478" s="16"/>
      <x:c r="B478" s="16"/>
      <x:c r="C478" s="109"/>
      <x:c r="D478" s="16"/>
      <x:c r="E478" s="16"/>
      <x:c r="F478" s="16"/>
      <x:c r="G478" s="16"/>
      <x:c r="H478" s="16"/>
      <x:c r="I478" s="16"/>
    </x:row>
    <x:row r="479">
      <x:c r="A479" s="16"/>
      <x:c r="B479" s="16"/>
      <x:c r="C479" s="109"/>
      <x:c r="D479" s="16"/>
      <x:c r="E479" s="16"/>
      <x:c r="F479" s="16"/>
      <x:c r="G479" s="16"/>
      <x:c r="H479" s="16"/>
      <x:c r="I479" s="16"/>
    </x:row>
    <x:row r="480">
      <x:c r="A480" s="16"/>
      <x:c r="B480" s="16"/>
      <x:c r="C480" s="109"/>
      <x:c r="D480" s="16"/>
      <x:c r="E480" s="16"/>
      <x:c r="F480" s="16"/>
      <x:c r="G480" s="16"/>
      <x:c r="H480" s="16"/>
      <x:c r="I480" s="16"/>
    </x:row>
    <x:row r="481">
      <x:c r="A481" s="16"/>
      <x:c r="B481" s="16"/>
      <x:c r="C481" s="109"/>
      <x:c r="D481" s="16"/>
      <x:c r="E481" s="16"/>
      <x:c r="F481" s="16"/>
      <x:c r="G481" s="16"/>
      <x:c r="H481" s="16"/>
      <x:c r="I481" s="16"/>
    </x:row>
    <x:row r="482">
      <x:c r="A482" s="16"/>
      <x:c r="B482" s="16"/>
      <x:c r="C482" s="109"/>
      <x:c r="D482" s="16"/>
      <x:c r="E482" s="16"/>
      <x:c r="F482" s="16"/>
      <x:c r="G482" s="16"/>
      <x:c r="H482" s="16"/>
      <x:c r="I482" s="16"/>
    </x:row>
    <x:row r="483">
      <x:c r="A483" s="16"/>
      <x:c r="B483" s="16"/>
      <x:c r="C483" s="109"/>
      <x:c r="D483" s="16"/>
      <x:c r="E483" s="16"/>
      <x:c r="F483" s="16"/>
      <x:c r="G483" s="16"/>
      <x:c r="H483" s="16"/>
      <x:c r="I483" s="16"/>
    </x:row>
    <x:row r="484">
      <x:c r="A484" s="16"/>
      <x:c r="B484" s="16"/>
      <x:c r="C484" s="109"/>
      <x:c r="D484" s="16"/>
      <x:c r="E484" s="16"/>
      <x:c r="F484" s="16"/>
      <x:c r="G484" s="16"/>
      <x:c r="H484" s="16"/>
      <x:c r="I484" s="16"/>
    </x:row>
    <x:row r="485">
      <x:c r="A485" s="16"/>
      <x:c r="B485" s="16"/>
      <x:c r="C485" s="109"/>
      <x:c r="D485" s="16"/>
      <x:c r="E485" s="16"/>
      <x:c r="F485" s="16"/>
      <x:c r="G485" s="16"/>
      <x:c r="H485" s="16"/>
      <x:c r="I485" s="16"/>
    </x:row>
    <x:row r="486">
      <x:c r="A486" s="16"/>
      <x:c r="B486" s="16"/>
      <x:c r="C486" s="109"/>
      <x:c r="D486" s="16"/>
      <x:c r="E486" s="16"/>
      <x:c r="F486" s="16"/>
      <x:c r="G486" s="16"/>
      <x:c r="H486" s="16"/>
      <x:c r="I486" s="16"/>
    </x:row>
    <x:row r="487">
      <x:c r="A487" s="16"/>
      <x:c r="B487" s="16"/>
      <x:c r="C487" s="109"/>
      <x:c r="D487" s="16"/>
      <x:c r="E487" s="16"/>
      <x:c r="F487" s="16"/>
      <x:c r="G487" s="16"/>
      <x:c r="H487" s="16"/>
      <x:c r="I487" s="16"/>
    </x:row>
    <x:row r="488">
      <x:c r="A488" s="16"/>
      <x:c r="B488" s="16"/>
      <x:c r="C488" s="109"/>
      <x:c r="D488" s="16"/>
      <x:c r="E488" s="16"/>
      <x:c r="F488" s="16"/>
      <x:c r="G488" s="16"/>
      <x:c r="H488" s="16"/>
      <x:c r="I488" s="16"/>
    </x:row>
    <x:row r="489">
      <x:c r="A489" s="16"/>
      <x:c r="B489" s="16"/>
      <x:c r="C489" s="109"/>
      <x:c r="D489" s="16"/>
      <x:c r="E489" s="16"/>
      <x:c r="F489" s="16"/>
      <x:c r="G489" s="16"/>
      <x:c r="H489" s="16"/>
      <x:c r="I489" s="16"/>
    </x:row>
    <x:row r="490">
      <x:c r="A490" s="16"/>
      <x:c r="B490" s="16"/>
      <x:c r="C490" s="109"/>
      <x:c r="D490" s="16"/>
      <x:c r="E490" s="16"/>
      <x:c r="F490" s="16"/>
      <x:c r="G490" s="16"/>
      <x:c r="H490" s="16"/>
      <x:c r="I490" s="16"/>
    </x:row>
    <x:row r="491">
      <x:c r="A491" s="16"/>
      <x:c r="B491" s="16"/>
      <x:c r="C491" s="109"/>
      <x:c r="D491" s="16"/>
      <x:c r="E491" s="16"/>
      <x:c r="F491" s="16"/>
      <x:c r="G491" s="16"/>
      <x:c r="H491" s="16"/>
      <x:c r="I491" s="16"/>
    </x:row>
    <x:row r="492">
      <x:c r="A492" s="16"/>
      <x:c r="B492" s="16"/>
      <x:c r="C492" s="109"/>
      <x:c r="D492" s="16"/>
      <x:c r="E492" s="16"/>
      <x:c r="F492" s="16"/>
      <x:c r="G492" s="16"/>
      <x:c r="H492" s="16"/>
      <x:c r="I492" s="16"/>
    </x:row>
    <x:row r="493">
      <x:c r="A493" s="16"/>
      <x:c r="B493" s="16"/>
      <x:c r="C493" s="109"/>
      <x:c r="D493" s="16"/>
      <x:c r="E493" s="16"/>
      <x:c r="F493" s="16"/>
      <x:c r="G493" s="16"/>
      <x:c r="H493" s="16"/>
      <x:c r="I493" s="16"/>
    </x:row>
    <x:row r="494">
      <x:c r="A494" s="16"/>
      <x:c r="B494" s="16"/>
      <x:c r="C494" s="109"/>
      <x:c r="D494" s="16"/>
      <x:c r="E494" s="16"/>
      <x:c r="F494" s="16"/>
      <x:c r="G494" s="16"/>
      <x:c r="H494" s="16"/>
      <x:c r="I494" s="16"/>
    </x:row>
    <x:row r="495">
      <x:c r="A495" s="16"/>
      <x:c r="B495" s="16"/>
      <x:c r="C495" s="109"/>
      <x:c r="D495" s="16"/>
      <x:c r="E495" s="16"/>
      <x:c r="F495" s="16"/>
      <x:c r="G495" s="16"/>
      <x:c r="H495" s="16"/>
      <x:c r="I495" s="16"/>
    </x:row>
    <x:row r="496">
      <x:c r="A496" s="16"/>
      <x:c r="B496" s="16"/>
      <x:c r="C496" s="109"/>
      <x:c r="D496" s="16"/>
      <x:c r="E496" s="16"/>
      <x:c r="F496" s="16"/>
      <x:c r="G496" s="16"/>
      <x:c r="H496" s="16"/>
      <x:c r="I496" s="16"/>
    </x:row>
    <x:row r="497">
      <x:c r="A497" s="16"/>
      <x:c r="B497" s="16"/>
      <x:c r="C497" s="109"/>
      <x:c r="D497" s="16"/>
      <x:c r="E497" s="16"/>
      <x:c r="F497" s="16"/>
      <x:c r="G497" s="16"/>
      <x:c r="H497" s="16"/>
      <x:c r="I497" s="16"/>
    </x:row>
    <x:row r="498">
      <x:c r="A498" s="16"/>
      <x:c r="B498" s="16"/>
      <x:c r="C498" s="109"/>
      <x:c r="D498" s="16"/>
      <x:c r="E498" s="16"/>
      <x:c r="F498" s="16"/>
      <x:c r="G498" s="16"/>
      <x:c r="H498" s="16"/>
      <x:c r="I498" s="16"/>
    </x:row>
    <x:row r="499">
      <x:c r="A499" s="16"/>
      <x:c r="B499" s="16"/>
      <x:c r="C499" s="109"/>
      <x:c r="D499" s="16"/>
      <x:c r="E499" s="16"/>
      <x:c r="F499" s="16"/>
      <x:c r="G499" s="16"/>
      <x:c r="H499" s="16"/>
      <x:c r="I499" s="16"/>
    </x:row>
    <x:row r="500">
      <x:c r="A500" s="16"/>
      <x:c r="B500" s="16"/>
      <x:c r="C500" s="109"/>
      <x:c r="D500" s="16"/>
      <x:c r="E500" s="16"/>
      <x:c r="F500" s="16"/>
      <x:c r="G500" s="16"/>
      <x:c r="H500" s="16"/>
      <x:c r="I500" s="16"/>
    </x:row>
  </x:sheetData>
  <x:mergeCells>
    <x:mergeCell ref="A1:I1"/>
    <x:mergeCell ref="A2:I2"/>
  </x:mergeCells>
  <x:conditionalFormatting sqref="I5:I500">
    <x:cfRule type="expression" dxfId="18" priority="1">
      <x:formula>I5="Reviewed"</x:formula>
    </x:cfRule>
  </x:conditionalFormatting>
  <x:dataValidations count="2">
    <x:dataValidation type="list" sqref="H5:H500">
      <x:formula1>"Pre-publication research correction,Public correction,Source correction,Internal note"</x:formula1>
    </x:dataValidation>
    <x:dataValidation type="list" sqref="I5:I500">
      <x:formula1>"Open,Reviewed,Published,Not applicable"</x:formula1>
    </x:dataValidation>
  </x:dataValidations>
  <x:pageMargins left="0.7" right="0.7" top="0.75" bottom="0.75" header="0.3" footer="0.3"/>
  <x:tableParts count="1">
    <x:tablePart xmlns:r="http://schemas.openxmlformats.org/officeDocument/2006/relationships" r:id="R1cc87977bd7b4dc7"/>
  </x:tableParts>
</x:worksheet>
</file>

<file path=xl/worksheets/sheet9.xml><?xml version="1.0" encoding="utf-8"?>
<x:worksheet xmlns:x="http://schemas.openxmlformats.org/spreadsheetml/2006/main">
  <x:sheetFormatPr defaultRowHeight="15"/>
  <x:cols>
    <x:col min="1" max="1" width="30" hidden="0" customWidth="1"/>
    <x:col min="2" max="2" width="30"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30" hidden="0" customWidth="1"/>
    <x:col min="13" max="13" width="24" hidden="0" customWidth="1"/>
    <x:col min="14" max="14" width="30" hidden="0" customWidth="1"/>
    <x:col min="15" max="15" width="31" hidden="0" customWidth="1"/>
    <x:col min="16" max="16" width="31" hidden="0" customWidth="1"/>
    <x:col min="17" max="17" width="29" hidden="0" customWidth="1"/>
  </x:cols>
  <x:sheetData>
    <x:row r="1" ht="30" customHeight="1">
      <x:c r="A1" s="88" t="str">
        <x:v>India Observed — Controlled Lists and ID Conventions</x:v>
      </x:c>
      <x:c r="B1" s="88"/>
      <x:c r="C1" s="88"/>
      <x:c r="D1" s="88"/>
      <x:c r="E1" s="88"/>
      <x:c r="F1" s="88"/>
      <x:c r="G1" s="88"/>
      <x:c r="H1" s="88"/>
      <x:c r="I1" s="88"/>
      <x:c r="J1" s="88"/>
      <x:c r="K1" s="88"/>
      <x:c r="L1" s="88"/>
    </x:row>
    <x:row r="2" ht="32" customHeight="1">
      <x:c r="A2" s="93" t="str">
        <x:v>These values power dropdowns and keep data consistent. Add new categories only after updating the methodology.</x:v>
      </x:c>
      <x:c r="B2" s="93"/>
      <x:c r="C2" s="93"/>
      <x:c r="D2" s="93"/>
      <x:c r="E2" s="93"/>
      <x:c r="F2" s="93"/>
      <x:c r="G2" s="93"/>
      <x:c r="H2" s="93"/>
      <x:c r="I2" s="93"/>
      <x:c r="J2" s="93"/>
      <x:c r="K2" s="93"/>
      <x:c r="L2" s="93"/>
    </x:row>
    <x:row r="4">
      <x:c r="A4" s="121" t="str">
        <x:v>Event types</x:v>
      </x:c>
      <x:c r="B4" s="121" t="str">
        <x:v>Event statuses</x:v>
      </x:c>
      <x:c r="C4" s="121" t="str">
        <x:v>Verification statuses</x:v>
      </x:c>
      <x:c r="D4" s="121" t="str">
        <x:v>Published statuses</x:v>
      </x:c>
      <x:c r="E4" s="121" t="str">
        <x:v>Scope statuses</x:v>
      </x:c>
      <x:c r="F4" s="121" t="str">
        <x:v>Claim categories</x:v>
      </x:c>
      <x:c r="G4" s="121" t="str">
        <x:v>Claim statuses</x:v>
      </x:c>
      <x:c r="H4" s="121" t="str">
        <x:v>Publication readiness</x:v>
      </x:c>
      <x:c r="I4" s="121" t="str">
        <x:v>Source types</x:v>
      </x:c>
      <x:c r="J4" s="121" t="str">
        <x:v>Source independence</x:v>
      </x:c>
      <x:c r="K4" s="121" t="str">
        <x:v>Source roles</x:v>
      </x:c>
      <x:c r="L4" s="121" t="str">
        <x:v>Organisation types</x:v>
      </x:c>
      <x:c r="M4" s="461" t="str">
        <x:v>Activity patterns</x:v>
      </x:c>
      <x:c r="N4" s="495" t="str">
        <x:v>Primary topics</x:v>
      </x:c>
      <x:c r="O4" s="495" t="str">
        <x:v>Demand categories</x:v>
      </x:c>
      <x:c r="P4" s="495" t="str">
        <x:v>Lead discovery channels</x:v>
      </x:c>
      <x:c r="Q4" s="495" t="str">
        <x:v>Coverage profiles</x:v>
      </x:c>
    </x:row>
    <x:row r="5">
      <x:c r="A5" s="79" t="str">
        <x:v>Demonstration</x:v>
      </x:c>
      <x:c r="B5" s="79" t="str">
        <x:v>Announced</x:v>
      </x:c>
      <x:c r="C5" s="79" t="str">
        <x:v>Reported</x:v>
      </x:c>
      <x:c r="D5" s="79" t="str">
        <x:v>Candidate</x:v>
      </x:c>
      <x:c r="E5" s="79" t="str">
        <x:v>In national pilot</x:v>
      </x:c>
      <x:c r="F5" s="79" t="str">
        <x:v>Occurrence</x:v>
      </x:c>
      <x:c r="G5" s="79" t="str">
        <x:v>Corroborated</x:v>
      </x:c>
      <x:c r="H5" s="79" t="str">
        <x:v>Ready</x:v>
      </x:c>
      <x:c r="I5" s="79" t="str">
        <x:v>Digital news video</x:v>
      </x:c>
      <x:c r="J5" s="79" t="str">
        <x:v>Original / independent</x:v>
      </x:c>
      <x:c r="K5" s="79" t="str">
        <x:v>Lead</x:v>
      </x:c>
      <x:c r="L5" s="79" t="str">
        <x:v>Community group</x:v>
      </x:c>
      <x:c r="M5" t="str">
        <x:v>One-day event</x:v>
      </x:c>
      <x:c r="N5" t="str">
        <x:v>Agriculture &amp; water</x:v>
      </x:c>
      <x:c r="O5" t="str">
        <x:v>Compensation / land rights</x:v>
      </x:c>
      <x:c r="P5" t="str">
        <x:v>User-provided lead</x:v>
      </x:c>
      <x:c r="Q5" t="str">
        <x:v>Nationally covered</x:v>
      </x:c>
    </x:row>
    <x:row r="6">
      <x:c r="A6" s="79" t="str">
        <x:v>Strike</x:v>
      </x:c>
      <x:c r="B6" s="79" t="str">
        <x:v>Ongoing</x:v>
      </x:c>
      <x:c r="C6" s="79" t="str">
        <x:v>Corroborated</x:v>
      </x:c>
      <x:c r="D6" s="79" t="str">
        <x:v>Draft</x:v>
      </x:c>
      <x:c r="E6" s="79" t="str">
        <x:v>Research candidate</x:v>
      </x:c>
      <x:c r="F6" s="79" t="str">
        <x:v>Start date / duration</x:v>
      </x:c>
      <x:c r="G6" s="79" t="str">
        <x:v>Attributed allegation</x:v>
      </x:c>
      <x:c r="H6" s="79" t="str">
        <x:v>Ready with attribution</x:v>
      </x:c>
      <x:c r="I6" s="79" t="str">
        <x:v>Original media reporting</x:v>
      </x:c>
      <x:c r="J6" s="79" t="str">
        <x:v>Same publisher follow-up</x:v>
      </x:c>
      <x:c r="K6" s="79" t="str">
        <x:v>Alternate access</x:v>
      </x:c>
      <x:c r="L6" s="79" t="str">
        <x:v>Civil society / movement</x:v>
      </x:c>
      <x:c r="M6" t="str">
        <x:v>Continuous</x:v>
      </x:c>
      <x:c r="N6" t="str">
        <x:v>Land &amp; rehabilitation</x:v>
      </x:c>
      <x:c r="O6" t="str">
        <x:v>Project cancellation / withdrawal</x:v>
      </x:c>
      <x:c r="P6" t="str">
        <x:v>National media search</x:v>
      </x:c>
      <x:c r="Q6" t="str">
        <x:v>Regional coverage</x:v>
      </x:c>
    </x:row>
    <x:row r="7">
      <x:c r="A7" s="79" t="str">
        <x:v>March</x:v>
      </x:c>
      <x:c r="B7" s="79" t="str">
        <x:v>Paused</x:v>
      </x:c>
      <x:c r="C7" s="79" t="str">
        <x:v>Occurrence verified — disputed details remain</x:v>
      </x:c>
      <x:c r="D7" s="79" t="str">
        <x:v>Published</x:v>
      </x:c>
      <x:c r="E7" s="79" t="str">
        <x:v>Future scope</x:v>
      </x:c>
      <x:c r="F7" s="79" t="str">
        <x:v>Protest method</x:v>
      </x:c>
      <x:c r="G7" s="79" t="str">
        <x:v>Attributed official statement</x:v>
      </x:c>
      <x:c r="H7" s="79" t="str">
        <x:v>Needs corroboration</x:v>
      </x:c>
      <x:c r="I7" s="79" t="str">
        <x:v>Follow-up media reporting</x:v>
      </x:c>
      <x:c r="J7" s="79" t="str">
        <x:v>Cross-post / same underlying source</x:v>
      </x:c>
      <x:c r="K7" s="79" t="str">
        <x:v>Corroboration</x:v>
      </x:c>
      <x:c r="L7" s="79" t="str">
        <x:v>Media organisation</x:v>
      </x:c>
      <x:c r="M7" t="str">
        <x:v>Recurring / intermittent</x:v>
      </x:c>
      <x:c r="N7" t="str">
        <x:v>Education</x:v>
      </x:c>
      <x:c r="O7" t="str">
        <x:v>Environmental protection</x:v>
      </x:c>
      <x:c r="P7" t="str">
        <x:v>Regional / local media</x:v>
      </x:c>
      <x:c r="Q7" t="str">
        <x:v>Local media only</x:v>
      </x:c>
    </x:row>
    <x:row r="8">
      <x:c r="A8" s="79" t="str">
        <x:v>Sit-in / Dharna</x:v>
      </x:c>
      <x:c r="B8" s="79" t="str">
        <x:v>Concluded</x:v>
      </x:c>
      <x:c r="C8" s="79" t="str">
        <x:v>Attributed</x:v>
      </x:c>
      <x:c r="D8" s="79" t="str">
        <x:v>Unpublished</x:v>
      </x:c>
      <x:c r="E8" s="79" t="str">
        <x:v>Excluded</x:v>
      </x:c>
      <x:c r="F8" s="79" t="str">
        <x:v>Demand</x:v>
      </x:c>
      <x:c r="G8" s="79" t="str">
        <x:v>Unconfirmed allegation</x:v>
      </x:c>
      <x:c r="H8" s="79" t="str">
        <x:v>Needs official document</x:v>
      </x:c>
      <x:c r="I8" s="79" t="str">
        <x:v>Official government source</x:v>
      </x:c>
      <x:c r="J8" s="79" t="str">
        <x:v>Syndicated</x:v>
      </x:c>
      <x:c r="K8" s="79" t="str">
        <x:v>Follow-up</x:v>
      </x:c>
      <x:c r="L8" s="79" t="str">
        <x:v>District administration</x:v>
      </x:c>
      <x:c r="M8" t="str">
        <x:v>Multiple phases</x:v>
      </x:c>
      <x:c r="N8" t="str">
        <x:v>Environment</x:v>
      </x:c>
      <x:c r="O8" t="str">
        <x:v>Service delivery / staffing</x:v>
      </x:c>
      <x:c r="P8" t="str">
        <x:v>Local-language media</x:v>
      </x:c>
      <x:c r="Q8" t="str">
        <x:v>Social-first, later corroborated</x:v>
      </x:c>
    </x:row>
    <x:row r="9">
      <x:c r="A9" s="79" t="str">
        <x:v>Hunger strike</x:v>
      </x:c>
      <x:c r="B9" s="79" t="str">
        <x:v>Unresolved</x:v>
      </x:c>
      <x:c r="C9" s="79" t="str">
        <x:v>Disputed</x:v>
      </x:c>
      <x:c r="D9" s="79" t="str">
        <x:v>Archived</x:v>
      </x:c>
      <x:c r="F9" s="79" t="str">
        <x:v>Project connection</x:v>
      </x:c>
      <x:c r="G9" s="79" t="str">
        <x:v>Media reported — official document required</x:v>
      </x:c>
      <x:c r="H9" s="79" t="str">
        <x:v>Do not publish</x:v>
      </x:c>
      <x:c r="I9" s="79" t="str">
        <x:v>Official statement</x:v>
      </x:c>
      <x:c r="J9" s="79" t="str">
        <x:v>Official primary source</x:v>
      </x:c>
      <x:c r="K9" s="79" t="str">
        <x:v>Official context</x:v>
      </x:c>
      <x:c r="L9" s="79" t="str">
        <x:v>State government</x:v>
      </x:c>
      <x:c r="M9" t="str">
        <x:v>Unknown</x:v>
      </x:c>
      <x:c r="N9" t="str">
        <x:v>Trade &amp; economic policy</x:v>
      </x:c>
      <x:c r="O9" t="str">
        <x:v>Pay / pension / service conditions</x:v>
      </x:c>
      <x:c r="P9" t="str">
        <x:v>Community social media</x:v>
      </x:c>
      <x:c r="Q9" t="str">
        <x:v>Community-source led</x:v>
      </x:c>
    </x:row>
    <x:row r="10">
      <x:c r="A10" s="79" t="str">
        <x:v>Jal Satyagraha</x:v>
      </x:c>
      <x:c r="B10" s="79" t="str">
        <x:v>Outcome pending</x:v>
      </x:c>
      <x:c r="C10" s="79" t="str">
        <x:v>Unconfirmed</x:v>
      </x:c>
      <x:c r="F10" s="79" t="str">
        <x:v>Displacement / demolition</x:v>
      </x:c>
      <x:c r="G10" s="79" t="str">
        <x:v>Official source context</x:v>
      </x:c>
      <x:c r="I10" s="79" t="str">
        <x:v>Court record</x:v>
      </x:c>
      <x:c r="J10" s="79" t="str">
        <x:v>Unknown</x:v>
      </x:c>
      <x:c r="K10" s="79" t="str">
        <x:v>Historical context</x:v>
      </x:c>
      <x:c r="L10" s="79" t="str">
        <x:v>Central government agency</x:v>
      </x:c>
      <x:c r="N10" t="str">
        <x:v>Public health</x:v>
      </x:c>
      <x:c r="O10" t="str">
        <x:v>Policy withdrawal / amendment</x:v>
      </x:c>
      <x:c r="P10" t="str">
        <x:v>Civil-society / union channel</x:v>
      </x:c>
      <x:c r="Q10" t="str">
        <x:v>Official-source led</x:v>
      </x:c>
    </x:row>
    <x:row r="11">
      <x:c r="A11" s="79" t="str">
        <x:v>Symbolic protest</x:v>
      </x:c>
      <x:c r="B11" s="79" t="str">
        <x:v>Unknown</x:v>
      </x:c>
      <x:c r="C11" s="79" t="str">
        <x:v>Corrected</x:v>
      </x:c>
      <x:c r="F11" s="79" t="str">
        <x:v>Public-service allegation</x:v>
      </x:c>
      <x:c r="G11" s="79" t="str">
        <x:v>Disputed</x:v>
      </x:c>
      <x:c r="I11" s="79" t="str">
        <x:v>Organiser statement</x:v>
      </x:c>
      <x:c r="L11" s="79" t="str">
        <x:v>Project authority</x:v>
      </x:c>
      <x:c r="N11" t="str">
        <x:v>Labour &amp; employment</x:v>
      </x:c>
      <x:c r="O11" t="str">
        <x:v>Resource allocation</x:v>
      </x:c>
      <x:c r="P11" t="str">
        <x:v>Petition / campaign page</x:v>
      </x:c>
      <x:c r="Q11" t="str">
        <x:v>Mixed coverage</x:v>
      </x:c>
    </x:row>
    <x:row r="12">
      <x:c r="A12" s="79" t="str">
        <x:v>Multi-form civic protest</x:v>
      </x:c>
      <x:c r="C12" s="79" t="str">
        <x:v>Outcome documented</x:v>
      </x:c>
      <x:c r="F12" s="79" t="str">
        <x:v>Official response</x:v>
      </x:c>
      <x:c r="G12" s="79" t="str">
        <x:v>Corrected</x:v>
      </x:c>
      <x:c r="I12" s="79" t="str">
        <x:v>Social media lead</x:v>
      </x:c>
      <x:c r="L12" s="79" t="str">
        <x:v>Other</x:v>
      </x:c>
      <x:c r="N12" t="str">
        <x:v>Governance &amp; transparency</x:v>
      </x:c>
      <x:c r="O12" t="str">
        <x:v>Accountability / resignation</x:v>
      </x:c>
      <x:c r="P12" t="str">
        <x:v>Official notice / district channel</x:v>
      </x:c>
      <x:c r="Q12" t="str">
        <x:v>Undercovered / remote</x:v>
      </x:c>
    </x:row>
    <x:row r="13">
      <x:c r="A13" s="79" t="str">
        <x:v>Civic campaign</x:v>
      </x:c>
      <x:c r="F13" s="79" t="str">
        <x:v>Compensation / package</x:v>
      </x:c>
      <x:c r="I13" s="79" t="str">
        <x:v>Other</x:v>
      </x:c>
      <x:c r="N13" t="str">
        <x:v>Civil rights &amp; justice</x:v>
      </x:c>
      <x:c r="O13" t="str">
        <x:v>Legal protection / rights</x:v>
      </x:c>
      <x:c r="P13" t="str">
        <x:v>Field video / citizen post</x:v>
      </x:c>
    </x:row>
    <x:row r="14">
      <x:c r="A14" s="79" t="str">
        <x:v>Other</x:v>
      </x:c>
      <x:c r="F14" s="79" t="str">
        <x:v>Project context</x:v>
      </x:c>
      <x:c r="N14" t="str">
        <x:v>Infrastructure &amp; public services</x:v>
      </x:c>
      <x:c r="O14" t="str">
        <x:v>Official investigation / action</x:v>
      </x:c>
      <x:c r="P14" t="str">
        <x:v>Cross-source pattern search</x:v>
      </x:c>
    </x:row>
    <x:row r="15">
      <x:c r="F15" s="79" t="str">
        <x:v>Outcome</x:v>
      </x:c>
      <x:c r="N15" t="str">
        <x:v>Other</x:v>
      </x:c>
      <x:c r="O15" t="str">
        <x:v>Other</x:v>
      </x:c>
      <x:c r="P15" t="str">
        <x:v>Other</x:v>
      </x:c>
    </x:row>
    <x:row r="16">
      <x:c r="F16" s="79" t="str">
        <x:v>Other</x:v>
      </x:c>
    </x:row>
    <x:row r="20">
      <x:c r="A20" s="104" t="str">
        <x:v>ID conventions</x:v>
      </x:c>
      <x:c r="B20" s="105"/>
      <x:c r="C20" s="105"/>
      <x:c r="D20" s="105"/>
      <x:c r="E20" s="105"/>
      <x:c r="F20" s="106"/>
    </x:row>
    <x:row r="21">
      <x:c r="A21" s="104" t="str">
        <x:v>Record type</x:v>
      </x:c>
      <x:c r="B21" s="105" t="str">
        <x:v>Pattern</x:v>
      </x:c>
      <x:c r="C21" s="105" t="str">
        <x:v>Example</x:v>
      </x:c>
      <x:c r="D21" s="105" t="str">
        <x:v>Purpose</x:v>
      </x:c>
      <x:c r="E21" s="105" t="str">
        <x:v>Sequence rule</x:v>
      </x:c>
      <x:c r="F21" s="106" t="str">
        <x:v>Notes</x:v>
      </x:c>
    </x:row>
    <x:row r="22">
      <x:c r="A22" s="122" t="str">
        <x:v>Event</x:v>
      </x:c>
      <x:c r="B22" s="123" t="str">
        <x:v>IO-CM-&lt;STATE&gt;-####</x:v>
      </x:c>
      <x:c r="C22" s="123" t="str">
        <x:v>IO-CM-MP-0001</x:v>
      </x:c>
      <x:c r="D22" s="123" t="str">
        <x:v>One public event</x:v>
      </x:c>
      <x:c r="E22" s="123" t="str">
        <x:v>Sequential within state</x:v>
      </x:c>
      <x:c r="F22" s="124" t="str">
        <x:v>Do not reuse IDs</x:v>
      </x:c>
    </x:row>
    <x:row r="23">
      <x:c r="A23" s="122" t="str">
        <x:v>Claim</x:v>
      </x:c>
      <x:c r="B23" s="123" t="str">
        <x:v>IO-CLM-&lt;STATE&gt;-####</x:v>
      </x:c>
      <x:c r="C23" s="123" t="str">
        <x:v>IO-CLM-MP-0001</x:v>
      </x:c>
      <x:c r="D23" s="123" t="str">
        <x:v>One factual claim</x:v>
      </x:c>
      <x:c r="E23" s="123" t="str">
        <x:v>Sequential within state</x:v>
      </x:c>
      <x:c r="F23" s="124" t="str">
        <x:v>One claim per row</x:v>
      </x:c>
    </x:row>
    <x:row r="24">
      <x:c r="A24" s="122" t="str">
        <x:v>Source</x:v>
      </x:c>
      <x:c r="B24" s="123" t="str">
        <x:v>IO-SRC-&lt;STATE&gt;-####</x:v>
      </x:c>
      <x:c r="C24" s="123" t="str">
        <x:v>IO-SRC-MP-0001</x:v>
      </x:c>
      <x:c r="D24" s="123" t="str">
        <x:v>One source item</x:v>
      </x:c>
      <x:c r="E24" s="123" t="str">
        <x:v>Sequential within state</x:v>
      </x:c>
      <x:c r="F24" s="124" t="str">
        <x:v>Cross-posts get separate IDs but same-source classification</x:v>
      </x:c>
    </x:row>
    <x:row r="25">
      <x:c r="A25" s="122" t="str">
        <x:v>Organisation</x:v>
      </x:c>
      <x:c r="B25" s="123" t="str">
        <x:v>IO-ORG-####</x:v>
      </x:c>
      <x:c r="C25" s="123" t="str">
        <x:v>IO-ORG-0001</x:v>
      </x:c>
      <x:c r="D25" s="123" t="str">
        <x:v>One standard organisation</x:v>
      </x:c>
      <x:c r="E25" s="123" t="str">
        <x:v>National sequence</x:v>
      </x:c>
      <x:c r="F25" s="124" t="str">
        <x:v>Avoid duplicates</x:v>
      </x:c>
    </x:row>
    <x:row r="26">
      <x:c r="A26" s="125" t="str">
        <x:v>Correction</x:v>
      </x:c>
      <x:c r="B26" s="126" t="str">
        <x:v>IO-COR-&lt;STATE&gt;-####</x:v>
      </x:c>
      <x:c r="C26" s="126" t="str">
        <x:v>IO-COR-MP-0001</x:v>
      </x:c>
      <x:c r="D26" s="126" t="str">
        <x:v>One material wording change</x:v>
      </x:c>
      <x:c r="E26" s="126" t="str">
        <x:v>Sequential within state</x:v>
      </x:c>
      <x:c r="F26" s="127" t="str">
        <x:v>Distinguish pre-publication and public corrections</x:v>
      </x:c>
    </x:row>
    <x:row r="27">
      <x:c r="A27" t="str">
        <x:v>Candidate</x:v>
      </x:c>
      <x:c r="B27" t="str">
        <x:v>IO-CAND-####</x:v>
      </x:c>
      <x:c r="C27" t="str">
        <x:v>IO-CAND-0010</x:v>
      </x:c>
      <x:c r="D27" t="str">
        <x:v>One researched candidate</x:v>
      </x:c>
      <x:c r="E27" t="str">
        <x:v>National sequence</x:v>
      </x:c>
      <x:c r="F27" t="str">
        <x:v>Selection does not imply publication</x:v>
      </x:c>
    </x:row>
    <x:row r="28">
      <x:c r="A28" t="str">
        <x:v>Decision</x:v>
      </x:c>
      <x:c r="B28" t="str">
        <x:v>IO-DEC-####</x:v>
      </x:c>
      <x:c r="C28" t="str">
        <x:v>IO-DEC-0003</x:v>
      </x:c>
      <x:c r="D28" t="str">
        <x:v>One material project decision</x:v>
      </x:c>
      <x:c r="E28" t="str">
        <x:v>National sequence</x:v>
      </x:c>
      <x:c r="F28" t="str">
        <x:v>Preserve previous and new positions</x:v>
      </x:c>
    </x:row>
    <x:row r="29">
      <x:c r="A29" t="str">
        <x:v>Research log</x:v>
      </x:c>
      <x:c r="B29" t="str">
        <x:v>IO-D5LOG-###</x:v>
      </x:c>
      <x:c r="C29" t="str">
        <x:v>IO-D5LOG-001</x:v>
      </x:c>
      <x:c r="D29" t="str">
        <x:v>One Day 5 discovery test</x:v>
      </x:c>
      <x:c r="E29" t="str">
        <x:v>Day 5 sequence</x:v>
      </x:c>
      <x:c r="F29" t="str">
        <x:v>Lead and verification sources kept separate</x:v>
      </x:c>
    </x:row>
    <x:row r="30">
      <x:c r="A30" t="str">
        <x:v>Schema review</x:v>
      </x:c>
      <x:c r="B30" t="str">
        <x:v>IO-SCH-###</x:v>
      </x:c>
      <x:c r="C30" t="str">
        <x:v>IO-SCH-001</x:v>
      </x:c>
      <x:c r="D30" t="str">
        <x:v>One schema or methodology decision</x:v>
      </x:c>
      <x:c r="E30" t="str">
        <x:v>Day 5 sequence</x:v>
      </x:c>
      <x:c r="F30" t="str">
        <x:v>Record approved, deferred or rejected</x:v>
      </x:c>
    </x:row>
  </x:sheetData>
  <x:mergeCells>
    <x:mergeCell ref="A20:F20"/>
    <x:mergeCell ref="A1:Q1"/>
    <x:mergeCell ref="A2:Q2"/>
  </x:mergeCell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30" hidden="0" customWidth="1"/>
    <x:col min="3" max="3" width="58" hidden="0" customWidth="1"/>
    <x:col min="4" max="4" width="14" hidden="0" customWidth="1"/>
    <x:col min="5" max="5" width="18" hidden="0" customWidth="1"/>
    <x:col min="6" max="6" width="50" hidden="0" customWidth="1"/>
    <x:col min="7" max="7" width="36" hidden="0" customWidth="1"/>
  </x:cols>
  <x:sheetData>
    <x:row r="1" ht="30" customHeight="1">
      <x:c r="A1" s="88" t="str">
        <x:v>India Observed — Data Dictionary</x:v>
      </x:c>
      <x:c r="B1" s="88"/>
      <x:c r="C1" s="88"/>
      <x:c r="D1" s="88"/>
      <x:c r="E1" s="88"/>
      <x:c r="F1" s="88"/>
      <x:c r="G1" s="88"/>
    </x:row>
    <x:row r="2" ht="32" customHeight="1">
      <x:c r="A2" s="93" t="str">
        <x:v>Field-level definitions for consistent manual entry and future software implementation.</x:v>
      </x:c>
      <x:c r="B2" s="93"/>
      <x:c r="C2" s="93"/>
      <x:c r="D2" s="93"/>
      <x:c r="E2" s="93"/>
      <x:c r="F2" s="93"/>
      <x:c r="G2" s="93"/>
    </x:row>
    <x:row r="4" ht="42" customHeight="1">
      <x:c r="A4" s="104" t="str">
        <x:v>Sheet</x:v>
      </x:c>
      <x:c r="B4" s="105" t="str">
        <x:v>Field</x:v>
      </x:c>
      <x:c r="C4" s="105" t="str">
        <x:v>Definition</x:v>
      </x:c>
      <x:c r="D4" s="105" t="str">
        <x:v>Required?</x:v>
      </x:c>
      <x:c r="E4" s="105" t="str">
        <x:v>Data type</x:v>
      </x:c>
      <x:c r="F4" s="105" t="str">
        <x:v>Allowed values / rules</x:v>
      </x:c>
      <x:c r="G4" s="106" t="str">
        <x:v>Example</x:v>
      </x:c>
    </x:row>
    <x:row r="5">
      <x:c r="A5" s="114" t="str">
        <x:v>Events</x:v>
      </x:c>
      <x:c r="B5" s="115" t="str">
        <x:v>Event ID</x:v>
      </x:c>
      <x:c r="C5" s="115" t="str">
        <x:v>Permanent unique event identifier. CM denotes Civic Movement.</x:v>
      </x:c>
      <x:c r="D5" s="115" t="str">
        <x:v>Yes</x:v>
      </x:c>
      <x:c r="E5" s="115" t="str">
        <x:v>Text</x:v>
      </x:c>
      <x:c r="F5" s="115" t="str">
        <x:v>Pattern IO-CM-&lt;STATE&gt;-####</x:v>
      </x:c>
      <x:c r="G5" s="116" t="str">
        <x:v>IO-CM-MP-0001</x:v>
      </x:c>
    </x:row>
    <x:row r="6">
      <x:c r="A6" s="114" t="str">
        <x:v>Events</x:v>
      </x:c>
      <x:c r="B6" s="115" t="str">
        <x:v>Event title</x:v>
      </x:c>
      <x:c r="C6" s="115" t="str">
        <x:v>Neutral public-facing title.</x:v>
      </x:c>
      <x:c r="D6" s="115" t="str">
        <x:v>Yes</x:v>
      </x:c>
      <x:c r="E6" s="115" t="str">
        <x:v>Text</x:v>
      </x:c>
      <x:c r="F6" s="115" t="str">
        <x:v>Avoid advocacy or accusatory wording.</x:v>
      </x:c>
      <x:c r="G6" s="116" t="str">
        <x:v>Project-affected communities resume protest...</x:v>
      </x:c>
    </x:row>
    <x:row r="7">
      <x:c r="A7" s="114" t="str">
        <x:v>Events</x:v>
      </x:c>
      <x:c r="B7" s="115" t="str">
        <x:v>Event type</x:v>
      </x:c>
      <x:c r="C7" s="115" t="str">
        <x:v>Primary event format.</x:v>
      </x:c>
      <x:c r="D7" s="115" t="str">
        <x:v>Yes</x:v>
      </x:c>
      <x:c r="E7" s="115" t="str">
        <x:v>Controlled text</x:v>
      </x:c>
      <x:c r="F7" s="115" t="str">
        <x:v>Use Events dropdown.</x:v>
      </x:c>
      <x:c r="G7" s="116" t="str">
        <x:v>Multi-form civic protest</x:v>
      </x:c>
    </x:row>
    <x:row r="8">
      <x:c r="A8" s="114" t="str">
        <x:v>Events</x:v>
      </x:c>
      <x:c r="B8" s="115" t="str">
        <x:v>Main issue</x:v>
      </x:c>
      <x:c r="C8" s="115" t="str">
        <x:v>Short description of the principal civic issue.</x:v>
      </x:c>
      <x:c r="D8" s="115" t="str">
        <x:v>Yes</x:v>
      </x:c>
      <x:c r="E8" s="115" t="str">
        <x:v>Text</x:v>
      </x:c>
      <x:c r="F8" s="115" t="str">
        <x:v>Do not state disputed responsibility as fact.</x:v>
      </x:c>
      <x:c r="G8" s="116" t="str">
        <x:v>Rehabilitation and compensation</x:v>
      </x:c>
    </x:row>
    <x:row r="9">
      <x:c r="A9" s="114" t="str">
        <x:v>Events</x:v>
      </x:c>
      <x:c r="B9" s="115" t="str">
        <x:v>State</x:v>
      </x:c>
      <x:c r="C9" s="115" t="str">
        <x:v>State where the event occurred.</x:v>
      </x:c>
      <x:c r="D9" s="115" t="str">
        <x:v>Yes</x:v>
      </x:c>
      <x:c r="E9" s="115" t="str">
        <x:v>Text</x:v>
      </x:c>
      <x:c r="F9" s="115" t="str">
        <x:v>Use official state name.</x:v>
      </x:c>
      <x:c r="G9" s="116" t="str">
        <x:v>Madhya Pradesh</x:v>
      </x:c>
    </x:row>
    <x:row r="10">
      <x:c r="A10" s="114" t="str">
        <x:v>Events</x:v>
      </x:c>
      <x:c r="B10" s="115" t="str">
        <x:v>District</x:v>
      </x:c>
      <x:c r="C10" s="115" t="str">
        <x:v>District or districts involved.</x:v>
      </x:c>
      <x:c r="D10" s="115" t="str">
        <x:v>When known</x:v>
      </x:c>
      <x:c r="E10" s="115" t="str">
        <x:v>Text</x:v>
      </x:c>
      <x:c r="F10" s="115" t="str">
        <x:v>Use multiple values only when the event crosses districts.</x:v>
      </x:c>
      <x:c r="G10" s="116" t="str">
        <x:v>Chhatarpur / Panna</x:v>
      </x:c>
    </x:row>
    <x:row r="11">
      <x:c r="A11" s="114" t="str">
        <x:v>Events</x:v>
      </x:c>
      <x:c r="B11" s="115" t="str">
        <x:v>General location</x:v>
      </x:c>
      <x:c r="C11" s="115" t="str">
        <x:v>Broad public location.</x:v>
      </x:c>
      <x:c r="D11" s="115" t="str">
        <x:v>Yes</x:v>
      </x:c>
      <x:c r="E11" s="115" t="str">
        <x:v>Text</x:v>
      </x:c>
      <x:c r="F11" s="115" t="str">
        <x:v>Avoid tactical locations and participant-level precision.</x:v>
      </x:c>
      <x:c r="G11" s="116" t="str">
        <x:v>Near Kupi village...</x:v>
      </x:c>
    </x:row>
    <x:row r="12">
      <x:c r="A12" s="114" t="str">
        <x:v>Events</x:v>
      </x:c>
      <x:c r="B12" s="115" t="str">
        <x:v>Start date</x:v>
      </x:c>
      <x:c r="C12" s="115" t="str">
        <x:v>Best-supported start date.</x:v>
      </x:c>
      <x:c r="D12" s="115" t="str">
        <x:v>When known</x:v>
      </x:c>
      <x:c r="E12" s="115" t="str">
        <x:v>Date</x:v>
      </x:c>
      <x:c r="F12" s="115" t="str">
        <x:v>Use YYYY-MM-DD; record uncertainty in notes.</x:v>
      </x:c>
      <x:c r="G12" s="116" t="str">
        <x:v>2026-07-04</x:v>
      </x:c>
    </x:row>
    <x:row r="13">
      <x:c r="A13" s="114" t="str">
        <x:v>Events</x:v>
      </x:c>
      <x:c r="B13" s="115" t="str">
        <x:v>End date</x:v>
      </x:c>
      <x:c r="C13" s="115" t="str">
        <x:v>Date event concluded.</x:v>
      </x:c>
      <x:c r="D13" s="115" t="str">
        <x:v>No</x:v>
      </x:c>
      <x:c r="E13" s="115" t="str">
        <x:v>Date</x:v>
      </x:c>
      <x:c r="F13" s="115" t="str">
        <x:v>Leave blank while ongoing.</x:v>
      </x:c>
      <x:c r="G13" s="116" t="str"/>
    </x:row>
    <x:row r="14">
      <x:c r="A14" s="114" t="str">
        <x:v>Events</x:v>
      </x:c>
      <x:c r="B14" s="115" t="str">
        <x:v>Event status</x:v>
      </x:c>
      <x:c r="C14" s="115" t="str">
        <x:v>Current lifecycle state.</x:v>
      </x:c>
      <x:c r="D14" s="115" t="str">
        <x:v>Yes</x:v>
      </x:c>
      <x:c r="E14" s="115" t="str">
        <x:v>Controlled text</x:v>
      </x:c>
      <x:c r="F14" s="115" t="str">
        <x:v>Use Events dropdown.</x:v>
      </x:c>
      <x:c r="G14" s="116" t="str">
        <x:v>Ongoing</x:v>
      </x:c>
    </x:row>
    <x:row r="15">
      <x:c r="A15" s="114" t="str">
        <x:v>Events</x:v>
      </x:c>
      <x:c r="B15" s="115" t="str">
        <x:v>Short neutral summary</x:v>
      </x:c>
      <x:c r="C15" s="115" t="str">
        <x:v>Concise summary of occurrence, issue and verification limits.</x:v>
      </x:c>
      <x:c r="D15" s="115" t="str">
        <x:v>Yes</x:v>
      </x:c>
      <x:c r="E15" s="115" t="str">
        <x:v>Long text</x:v>
      </x:c>
      <x:c r="F15" s="115" t="str">
        <x:v>Attribute allegations and uncertainty.</x:v>
      </x:c>
      <x:c r="G15" s="116" t="str">
        <x:v>Project-affected communities resumed...</x:v>
      </x:c>
    </x:row>
    <x:row r="16">
      <x:c r="A16" s="114" t="str">
        <x:v>Events</x:v>
      </x:c>
      <x:c r="B16" s="115" t="str">
        <x:v>Organising group</x:v>
      </x:c>
      <x:c r="C16" s="115" t="str">
        <x:v>Publicly identified organising group.</x:v>
      </x:c>
      <x:c r="D16" s="115" t="str">
        <x:v>No</x:v>
      </x:c>
      <x:c r="E16" s="115" t="str">
        <x:v>Text</x:v>
      </x:c>
      <x:c r="F16" s="115" t="str">
        <x:v>Do not list ordinary participants.</x:v>
      </x:c>
      <x:c r="G16" s="116" t="str">
        <x:v>Jai Kisan Sangathan</x:v>
      </x:c>
    </x:row>
    <x:row r="17">
      <x:c r="A17" s="114" t="str">
        <x:v>Events</x:v>
      </x:c>
      <x:c r="B17" s="115" t="str">
        <x:v>Authority involved</x:v>
      </x:c>
      <x:c r="C17" s="115" t="str">
        <x:v>Relevant public body or institution.</x:v>
      </x:c>
      <x:c r="D17" s="115" t="str">
        <x:v>When known</x:v>
      </x:c>
      <x:c r="E17" s="115" t="str">
        <x:v>Text</x:v>
      </x:c>
      <x:c r="F17" s="115" t="str">
        <x:v>Identify responsibility without alleging wrongdoing.</x:v>
      </x:c>
      <x:c r="G17" s="116" t="str">
        <x:v>District administrations</x:v>
      </x:c>
    </x:row>
    <x:row r="18">
      <x:c r="A18" s="114" t="str">
        <x:v>Events</x:v>
      </x:c>
      <x:c r="B18" s="115" t="str">
        <x:v>Verification status</x:v>
      </x:c>
      <x:c r="C18" s="115" t="str">
        <x:v>Overall status for occurrence, not every detail.</x:v>
      </x:c>
      <x:c r="D18" s="115" t="str">
        <x:v>Yes</x:v>
      </x:c>
      <x:c r="E18" s="115" t="str">
        <x:v>Controlled text</x:v>
      </x:c>
      <x:c r="F18" s="115" t="str">
        <x:v>Claim-level statuses remain authoritative.</x:v>
      </x:c>
      <x:c r="G18" s="116" t="str">
        <x:v>Occurrence verified — disputed details remain</x:v>
      </x:c>
    </x:row>
    <x:row r="19">
      <x:c r="A19" s="114" t="str">
        <x:v>Events</x:v>
      </x:c>
      <x:c r="B19" s="115" t="str">
        <x:v>Date added</x:v>
      </x:c>
      <x:c r="C19" s="115" t="str">
        <x:v>Date record entered.</x:v>
      </x:c>
      <x:c r="D19" s="115" t="str">
        <x:v>Yes</x:v>
      </x:c>
      <x:c r="E19" s="115" t="str">
        <x:v>Date</x:v>
      </x:c>
      <x:c r="F19" s="115" t="str">
        <x:v>YYYY-MM-DD.</x:v>
      </x:c>
      <x:c r="G19" s="116" t="str">
        <x:v>2026-07-15</x:v>
      </x:c>
    </x:row>
    <x:row r="20">
      <x:c r="A20" s="114" t="str">
        <x:v>Events</x:v>
      </x:c>
      <x:c r="B20" s="115" t="str">
        <x:v>Last reviewed</x:v>
      </x:c>
      <x:c r="C20" s="115" t="str">
        <x:v>Most recent editorial review date.</x:v>
      </x:c>
      <x:c r="D20" s="115" t="str">
        <x:v>Yes</x:v>
      </x:c>
      <x:c r="E20" s="115" t="str">
        <x:v>Date</x:v>
      </x:c>
      <x:c r="F20" s="115" t="str">
        <x:v>Update whenever material facts are checked.</x:v>
      </x:c>
      <x:c r="G20" s="116" t="str">
        <x:v>2026-07-15</x:v>
      </x:c>
    </x:row>
    <x:row r="21">
      <x:c r="A21" s="114" t="str">
        <x:v>Events</x:v>
      </x:c>
      <x:c r="B21" s="115" t="str">
        <x:v>Published status</x:v>
      </x:c>
      <x:c r="C21" s="115" t="str">
        <x:v>Editorial publication state.</x:v>
      </x:c>
      <x:c r="D21" s="115" t="str">
        <x:v>Yes</x:v>
      </x:c>
      <x:c r="E21" s="115" t="str">
        <x:v>Controlled text</x:v>
      </x:c>
      <x:c r="F21" s="115" t="str">
        <x:v>Candidate until approved.</x:v>
      </x:c>
      <x:c r="G21" s="116" t="str">
        <x:v>Candidate</x:v>
      </x:c>
    </x:row>
    <x:row r="22">
      <x:c r="A22" s="114" t="str">
        <x:v>Events</x:v>
      </x:c>
      <x:c r="B22" s="115" t="str">
        <x:v>Scope status</x:v>
      </x:c>
      <x:c r="C22" s="115" t="str">
        <x:v>Whether record belongs to frozen pilot.</x:v>
      </x:c>
      <x:c r="D22" s="115" t="str">
        <x:v>Yes</x:v>
      </x:c>
      <x:c r="E22" s="115" t="str">
        <x:v>Controlled text</x:v>
      </x:c>
      <x:c r="F22" s="115" t="str">
        <x:v>Do not silently expand pilot geography.</x:v>
      </x:c>
      <x:c r="G22" s="116" t="str">
        <x:v>In national pilot</x:v>
      </x:c>
    </x:row>
    <x:row r="23">
      <x:c r="A23" s="114" t="str">
        <x:v>Events</x:v>
      </x:c>
      <x:c r="B23" s="115" t="str">
        <x:v>Last confirmed active</x:v>
      </x:c>
      <x:c r="C23" s="115" t="str">
        <x:v>Latest date a credible source treated event as active.</x:v>
      </x:c>
      <x:c r="D23" s="115" t="str">
        <x:v>No</x:v>
      </x:c>
      <x:c r="E23" s="115" t="str">
        <x:v>Date</x:v>
      </x:c>
      <x:c r="F23" s="115" t="str">
        <x:v>May differ from source publication date; explain uncertainty.</x:v>
      </x:c>
      <x:c r="G23" s="116" t="str">
        <x:v>2026-07-15</x:v>
      </x:c>
    </x:row>
    <x:row r="24">
      <x:c r="A24" s="114" t="str">
        <x:v>Events</x:v>
      </x:c>
      <x:c r="B24" s="115" t="str">
        <x:v>Internal notes</x:v>
      </x:c>
      <x:c r="C24" s="115" t="str">
        <x:v>Research limitations and follow-up needs.</x:v>
      </x:c>
      <x:c r="D24" s="115" t="str">
        <x:v>No</x:v>
      </x:c>
      <x:c r="E24" s="115" t="str">
        <x:v>Long text</x:v>
      </x:c>
      <x:c r="F24" s="115" t="str">
        <x:v>Never publish without review.</x:v>
      </x:c>
      <x:c r="G24" s="116" t="str">
        <x:v>Filming date not independently confirmed.</x:v>
      </x:c>
    </x:row>
    <x:row r="25">
      <x:c r="A25" s="114" t="str">
        <x:v>Events</x:v>
      </x:c>
      <x:c r="B25" s="115" t="str">
        <x:v>Claim count</x:v>
      </x:c>
      <x:c r="C25" s="115" t="str">
        <x:v>Number of linked claims.</x:v>
      </x:c>
      <x:c r="D25" s="115" t="str">
        <x:v>Calculated</x:v>
      </x:c>
      <x:c r="E25" s="115" t="str">
        <x:v>Formula</x:v>
      </x:c>
      <x:c r="F25" s="115" t="str">
        <x:v>COUNTIF on Claims Event ID.</x:v>
      </x:c>
      <x:c r="G25" s="116" t="str">
        <x:v>11</x:v>
      </x:c>
    </x:row>
    <x:row r="26">
      <x:c r="A26" s="114" t="str">
        <x:v>Events</x:v>
      </x:c>
      <x:c r="B26" s="115" t="str">
        <x:v>Source count</x:v>
      </x:c>
      <x:c r="C26" s="115" t="str">
        <x:v>Number of linked source records.</x:v>
      </x:c>
      <x:c r="D26" s="115" t="str">
        <x:v>Calculated</x:v>
      </x:c>
      <x:c r="E26" s="115" t="str">
        <x:v>Formula</x:v>
      </x:c>
      <x:c r="F26" s="115" t="str">
        <x:v>COUNTIF on Sources Event ID.</x:v>
      </x:c>
      <x:c r="G26" s="116" t="str">
        <x:v>7</x:v>
      </x:c>
    </x:row>
    <x:row r="27">
      <x:c r="A27" s="114" t="str">
        <x:v>Claims</x:v>
      </x:c>
      <x:c r="B27" s="115" t="str">
        <x:v>Claim ID</x:v>
      </x:c>
      <x:c r="C27" s="115" t="str">
        <x:v>Permanent unique claim identifier.</x:v>
      </x:c>
      <x:c r="D27" s="115" t="str">
        <x:v>Yes</x:v>
      </x:c>
      <x:c r="E27" s="115" t="str">
        <x:v>Text</x:v>
      </x:c>
      <x:c r="F27" s="115" t="str">
        <x:v>Pattern IO-CLM-&lt;STATE&gt;-####</x:v>
      </x:c>
      <x:c r="G27" s="116" t="str">
        <x:v>IO-CLM-MP-0001</x:v>
      </x:c>
    </x:row>
    <x:row r="28">
      <x:c r="A28" s="114" t="str">
        <x:v>Claims</x:v>
      </x:c>
      <x:c r="B28" s="115" t="str">
        <x:v>Event ID</x:v>
      </x:c>
      <x:c r="C28" s="115" t="str">
        <x:v>Event foreign key.</x:v>
      </x:c>
      <x:c r="D28" s="115" t="str">
        <x:v>Yes</x:v>
      </x:c>
      <x:c r="E28" s="115" t="str">
        <x:v>Text</x:v>
      </x:c>
      <x:c r="F28" s="115" t="str">
        <x:v>Must exist in Events.</x:v>
      </x:c>
      <x:c r="G28" s="116" t="str">
        <x:v>IO-CM-MP-0001</x:v>
      </x:c>
    </x:row>
    <x:row r="29">
      <x:c r="A29" s="114" t="str">
        <x:v>Claims</x:v>
      </x:c>
      <x:c r="B29" s="115" t="str">
        <x:v>Claim text</x:v>
      </x:c>
      <x:c r="C29" s="115" t="str">
        <x:v>One precise factual statement.</x:v>
      </x:c>
      <x:c r="D29" s="115" t="str">
        <x:v>Yes</x:v>
      </x:c>
      <x:c r="E29" s="115" t="str">
        <x:v>Long text</x:v>
      </x:c>
      <x:c r="F29" s="115" t="str">
        <x:v>Do not combine independent facts.</x:v>
      </x:c>
      <x:c r="G29" s="116" t="str">
        <x:v>A protest resumed...</x:v>
      </x:c>
    </x:row>
    <x:row r="30">
      <x:c r="A30" s="114" t="str">
        <x:v>Claims</x:v>
      </x:c>
      <x:c r="B30" s="115" t="str">
        <x:v>Claim category</x:v>
      </x:c>
      <x:c r="C30" s="115" t="str">
        <x:v>Type of claim.</x:v>
      </x:c>
      <x:c r="D30" s="115" t="str">
        <x:v>Yes</x:v>
      </x:c>
      <x:c r="E30" s="115" t="str">
        <x:v>Controlled text</x:v>
      </x:c>
      <x:c r="F30" s="115" t="str">
        <x:v>Use Claims dropdown.</x:v>
      </x:c>
      <x:c r="G30" s="116" t="str">
        <x:v>Occurrence</x:v>
      </x:c>
    </x:row>
    <x:row r="31">
      <x:c r="A31" s="114" t="str">
        <x:v>Claims</x:v>
      </x:c>
      <x:c r="B31" s="115" t="str">
        <x:v>Person or organisation making the claim</x:v>
      </x:c>
      <x:c r="C31" s="115" t="str">
        <x:v>Claimant or source of assertion.</x:v>
      </x:c>
      <x:c r="D31" s="115" t="str">
        <x:v>When relevant</x:v>
      </x:c>
      <x:c r="E31" s="115" t="str">
        <x:v>Text</x:v>
      </x:c>
      <x:c r="F31" s="115" t="str">
        <x:v>Use India Observed synthesis only for supported neutral synthesis.</x:v>
      </x:c>
      <x:c r="G31" s="116" t="str">
        <x:v>Affected residents</x:v>
      </x:c>
    </x:row>
    <x:row r="32">
      <x:c r="A32" s="114" t="str">
        <x:v>Claims</x:v>
      </x:c>
      <x:c r="B32" s="115" t="str">
        <x:v>Claim status</x:v>
      </x:c>
      <x:c r="C32" s="115" t="str">
        <x:v>Evidence status for this claim.</x:v>
      </x:c>
      <x:c r="D32" s="115" t="str">
        <x:v>Yes</x:v>
      </x:c>
      <x:c r="E32" s="115" t="str">
        <x:v>Controlled text</x:v>
      </x:c>
      <x:c r="F32" s="115" t="str">
        <x:v>Use approved methodology.</x:v>
      </x:c>
      <x:c r="G32" s="116" t="str">
        <x:v>Corroborated</x:v>
      </x:c>
    </x:row>
    <x:row r="33">
      <x:c r="A33" s="114" t="str">
        <x:v>Claims</x:v>
      </x:c>
      <x:c r="B33" s="115" t="str">
        <x:v>Verification notes</x:v>
      </x:c>
      <x:c r="C33" s="115" t="str">
        <x:v>Why the status was assigned.</x:v>
      </x:c>
      <x:c r="D33" s="115" t="str">
        <x:v>Yes</x:v>
      </x:c>
      <x:c r="E33" s="115" t="str">
        <x:v>Long text</x:v>
      </x:c>
      <x:c r="F33" s="115" t="str">
        <x:v>Mention source independence and limitations.</x:v>
      </x:c>
      <x:c r="G33" s="116" t="str">
        <x:v>Supported by DTE and TOI.</x:v>
      </x:c>
    </x:row>
    <x:row r="34">
      <x:c r="A34" s="114" t="str">
        <x:v>Claims</x:v>
      </x:c>
      <x:c r="B34" s="115" t="str">
        <x:v>Disputed by</x:v>
      </x:c>
      <x:c r="C34" s="115" t="str">
        <x:v>Credible opposing party.</x:v>
      </x:c>
      <x:c r="D34" s="115" t="str">
        <x:v>No</x:v>
      </x:c>
      <x:c r="E34" s="115" t="str">
        <x:v>Text</x:v>
      </x:c>
      <x:c r="F34" s="115" t="str">
        <x:v>Leave blank if no dispute is documented.</x:v>
      </x:c>
      <x:c r="G34" s="116" t="str">
        <x:v>District administration</x:v>
      </x:c>
    </x:row>
    <x:row r="35">
      <x:c r="A35" s="114" t="str">
        <x:v>Claims</x:v>
      </x:c>
      <x:c r="B35" s="115" t="str">
        <x:v>Public wording</x:v>
      </x:c>
      <x:c r="C35" s="115" t="str">
        <x:v>Approved neutral wording.</x:v>
      </x:c>
      <x:c r="D35" s="115" t="str">
        <x:v>Yes</x:v>
      </x:c>
      <x:c r="E35" s="115" t="str">
        <x:v>Long text</x:v>
      </x:c>
      <x:c r="F35" s="115" t="str">
        <x:v>Use attribution and uncertainty language.</x:v>
      </x:c>
      <x:c r="G35" s="116" t="str">
        <x:v>Residents alleged...</x:v>
      </x:c>
    </x:row>
    <x:row r="36">
      <x:c r="A36" s="114" t="str">
        <x:v>Claims</x:v>
      </x:c>
      <x:c r="B36" s="115" t="str">
        <x:v>Publication readiness</x:v>
      </x:c>
      <x:c r="C36" s="115" t="str">
        <x:v>Whether the claim can be published.</x:v>
      </x:c>
      <x:c r="D36" s="115" t="str">
        <x:v>Yes</x:v>
      </x:c>
      <x:c r="E36" s="115" t="str">
        <x:v>Controlled text</x:v>
      </x:c>
      <x:c r="F36" s="115" t="str">
        <x:v>Use readiness dropdown.</x:v>
      </x:c>
      <x:c r="G36" s="116" t="str">
        <x:v>Ready with attribution</x:v>
      </x:c>
    </x:row>
    <x:row r="37">
      <x:c r="A37" s="114" t="str">
        <x:v>Sources</x:v>
      </x:c>
      <x:c r="B37" s="115" t="str">
        <x:v>Source ID</x:v>
      </x:c>
      <x:c r="C37" s="115" t="str">
        <x:v>Permanent unique source identifier.</x:v>
      </x:c>
      <x:c r="D37" s="115" t="str">
        <x:v>Yes</x:v>
      </x:c>
      <x:c r="E37" s="115" t="str">
        <x:v>Text</x:v>
      </x:c>
      <x:c r="F37" s="115" t="str">
        <x:v>Pattern IO-SRC-&lt;STATE&gt;-####</x:v>
      </x:c>
      <x:c r="G37" s="116" t="str">
        <x:v>IO-SRC-MP-0001</x:v>
      </x:c>
    </x:row>
    <x:row r="38">
      <x:c r="A38" s="114" t="str">
        <x:v>Sources</x:v>
      </x:c>
      <x:c r="B38" s="115" t="str">
        <x:v>Event ID</x:v>
      </x:c>
      <x:c r="C38" s="115" t="str">
        <x:v>Event foreign key.</x:v>
      </x:c>
      <x:c r="D38" s="115" t="str">
        <x:v>Yes</x:v>
      </x:c>
      <x:c r="E38" s="115" t="str">
        <x:v>Text</x:v>
      </x:c>
      <x:c r="F38" s="115" t="str">
        <x:v>Must exist in Events.</x:v>
      </x:c>
      <x:c r="G38" s="116" t="str">
        <x:v>IO-CM-MP-0001</x:v>
      </x:c>
    </x:row>
    <x:row r="39">
      <x:c r="A39" s="114" t="str">
        <x:v>Sources</x:v>
      </x:c>
      <x:c r="B39" s="115" t="str">
        <x:v>Publisher</x:v>
      </x:c>
      <x:c r="C39" s="115" t="str">
        <x:v>Publishing organisation.</x:v>
      </x:c>
      <x:c r="D39" s="115" t="str">
        <x:v>Yes</x:v>
      </x:c>
      <x:c r="E39" s="115" t="str">
        <x:v>Text</x:v>
      </x:c>
      <x:c r="F39" s="115" t="str">
        <x:v>Use standard organisation name.</x:v>
      </x:c>
      <x:c r="G39" s="116" t="str">
        <x:v>Down To Earth</x:v>
      </x:c>
    </x:row>
    <x:row r="40">
      <x:c r="A40" s="114" t="str">
        <x:v>Sources</x:v>
      </x:c>
      <x:c r="B40" s="115" t="str">
        <x:v>Headline</x:v>
      </x:c>
      <x:c r="C40" s="115" t="str">
        <x:v>Original source title or accurate internal label.</x:v>
      </x:c>
      <x:c r="D40" s="115" t="str">
        <x:v>Yes</x:v>
      </x:c>
      <x:c r="E40" s="115" t="str">
        <x:v>Text</x:v>
      </x:c>
      <x:c r="F40" s="115" t="str">
        <x:v>Do not invent a quoted headline.</x:v>
      </x:c>
      <x:c r="G40" s="116" t="str">
        <x:v>‘Pyre protest’...</x:v>
      </x:c>
    </x:row>
    <x:row r="41">
      <x:c r="A41" s="114" t="str">
        <x:v>Sources</x:v>
      </x:c>
      <x:c r="B41" s="115" t="str">
        <x:v>Reporter</x:v>
      </x:c>
      <x:c r="C41" s="115" t="str">
        <x:v>Named reporter or author.</x:v>
      </x:c>
      <x:c r="D41" s="115" t="str">
        <x:v>No</x:v>
      </x:c>
      <x:c r="E41" s="115" t="str">
        <x:v>Text</x:v>
      </x:c>
      <x:c r="F41" s="115" t="str">
        <x:v>Leave blank if not displayed.</x:v>
      </x:c>
      <x:c r="G41" s="116" t="str">
        <x:v>Bhagirath</x:v>
      </x:c>
    </x:row>
    <x:row r="42">
      <x:c r="A42" s="114" t="str">
        <x:v>Sources</x:v>
      </x:c>
      <x:c r="B42" s="115" t="str">
        <x:v>Source URL</x:v>
      </x:c>
      <x:c r="C42" s="115" t="str">
        <x:v>Original public URL.</x:v>
      </x:c>
      <x:c r="D42" s="115" t="str">
        <x:v>Yes</x:v>
      </x:c>
      <x:c r="E42" s="115" t="str">
        <x:v>URL</x:v>
      </x:c>
      <x:c r="F42" s="115" t="str">
        <x:v>Store plain-text URL.</x:v>
      </x:c>
      <x:c r="G42" s="116" t="str">
        <x:v>https://...</x:v>
      </x:c>
    </x:row>
    <x:row r="43">
      <x:c r="A43" s="114" t="str">
        <x:v>Sources</x:v>
      </x:c>
      <x:c r="B43" s="115" t="str">
        <x:v>Publication date</x:v>
      </x:c>
      <x:c r="C43" s="115" t="str">
        <x:v>Source publication date.</x:v>
      </x:c>
      <x:c r="D43" s="115" t="str">
        <x:v>When known</x:v>
      </x:c>
      <x:c r="E43" s="115" t="str">
        <x:v>Date</x:v>
      </x:c>
      <x:c r="F43" s="115" t="str">
        <x:v>YYYY-MM-DD.</x:v>
      </x:c>
      <x:c r="G43" s="116" t="str">
        <x:v>2026-07-04</x:v>
      </x:c>
    </x:row>
    <x:row r="44">
      <x:c r="A44" s="114" t="str">
        <x:v>Sources</x:v>
      </x:c>
      <x:c r="B44" s="115" t="str">
        <x:v>Source type</x:v>
      </x:c>
      <x:c r="C44" s="115" t="str">
        <x:v>Nature of source.</x:v>
      </x:c>
      <x:c r="D44" s="115" t="str">
        <x:v>Yes</x:v>
      </x:c>
      <x:c r="E44" s="115" t="str">
        <x:v>Controlled text</x:v>
      </x:c>
      <x:c r="F44" s="115" t="str">
        <x:v>Use Sources dropdown.</x:v>
      </x:c>
      <x:c r="G44" s="116" t="str">
        <x:v>Original media reporting</x:v>
      </x:c>
    </x:row>
    <x:row r="45">
      <x:c r="A45" s="114" t="str">
        <x:v>Sources</x:v>
      </x:c>
      <x:c r="B45" s="115" t="str">
        <x:v>Original or syndicated</x:v>
      </x:c>
      <x:c r="C45" s="115" t="str">
        <x:v>Independence classification.</x:v>
      </x:c>
      <x:c r="D45" s="115" t="str">
        <x:v>Yes</x:v>
      </x:c>
      <x:c r="E45" s="115" t="str">
        <x:v>Controlled text</x:v>
      </x:c>
      <x:c r="F45" s="115" t="str">
        <x:v>Same-publisher cross-posts are not independent.</x:v>
      </x:c>
      <x:c r="G45" s="116" t="str">
        <x:v>Original / independent</x:v>
      </x:c>
    </x:row>
    <x:row r="46">
      <x:c r="A46" s="114" t="str">
        <x:v>Sources</x:v>
      </x:c>
      <x:c r="B46" s="115" t="str">
        <x:v>Claims supported</x:v>
      </x:c>
      <x:c r="C46" s="115" t="str">
        <x:v>Linked claim IDs.</x:v>
      </x:c>
      <x:c r="D46" s="115" t="str">
        <x:v>Yes</x:v>
      </x:c>
      <x:c r="E46" s="115" t="str">
        <x:v>Text list</x:v>
      </x:c>
      <x:c r="F46" s="115" t="str">
        <x:v>Comma-separated IDs for current spreadsheet MVP.</x:v>
      </x:c>
      <x:c r="G46" s="116" t="str">
        <x:v>IO-CLM-MP-0001</x:v>
      </x:c>
    </x:row>
    <x:row r="47">
      <x:c r="A47" s="114" t="str">
        <x:v>Sources</x:v>
      </x:c>
      <x:c r="B47" s="115" t="str">
        <x:v>Reliability notes</x:v>
      </x:c>
      <x:c r="C47" s="115" t="str">
        <x:v>Strengths, limits and provenance.</x:v>
      </x:c>
      <x:c r="D47" s="115" t="str">
        <x:v>Yes</x:v>
      </x:c>
      <x:c r="E47" s="115" t="str">
        <x:v>Long text</x:v>
      </x:c>
      <x:c r="F47" s="115" t="str">
        <x:v>Do not equate publication with truth.</x:v>
      </x:c>
      <x:c r="G47" s="116" t="str">
        <x:v>Named reporter and field photos.</x:v>
      </x:c>
    </x:row>
    <x:row r="48">
      <x:c r="A48" s="114" t="str">
        <x:v>Sources</x:v>
      </x:c>
      <x:c r="B48" s="115" t="str">
        <x:v>Date accessed</x:v>
      </x:c>
      <x:c r="C48" s="115" t="str">
        <x:v>Date India Observed reviewed the source.</x:v>
      </x:c>
      <x:c r="D48" s="115" t="str">
        <x:v>Yes</x:v>
      </x:c>
      <x:c r="E48" s="115" t="str">
        <x:v>Date</x:v>
      </x:c>
      <x:c r="F48" s="115" t="str">
        <x:v>YYYY-MM-DD.</x:v>
      </x:c>
      <x:c r="G48" s="116" t="str">
        <x:v>2026-07-15</x:v>
      </x:c>
    </x:row>
    <x:row r="49">
      <x:c r="A49" s="114" t="str">
        <x:v>Sources</x:v>
      </x:c>
      <x:c r="B49" s="115" t="str">
        <x:v>Corrected or updated</x:v>
      </x:c>
      <x:c r="C49" s="115" t="str">
        <x:v>Known source changes.</x:v>
      </x:c>
      <x:c r="D49" s="115" t="str">
        <x:v>Yes</x:v>
      </x:c>
      <x:c r="E49" s="115" t="str">
        <x:v>Text</x:v>
      </x:c>
      <x:c r="F49" s="115" t="str">
        <x:v>Record updates or state none identified.</x:v>
      </x:c>
      <x:c r="G49" s="116" t="str">
        <x:v>No correction identified</x:v>
      </x:c>
    </x:row>
    <x:row r="50">
      <x:c r="A50" s="114" t="str">
        <x:v>Sources</x:v>
      </x:c>
      <x:c r="B50" s="115" t="str">
        <x:v>Archived reference</x:v>
      </x:c>
      <x:c r="C50" s="115" t="str">
        <x:v>Lawful internal archive reference.</x:v>
      </x:c>
      <x:c r="D50" s="115" t="str">
        <x:v>No</x:v>
      </x:c>
      <x:c r="E50" s="115" t="str">
        <x:v>Text</x:v>
      </x:c>
      <x:c r="F50" s="115" t="str">
        <x:v>Do not republish copyrighted material.</x:v>
      </x:c>
      <x:c r="G50" s="116" t="str"/>
    </x:row>
    <x:row r="51">
      <x:c r="A51" s="114" t="str">
        <x:v>Sources</x:v>
      </x:c>
      <x:c r="B51" s="115" t="str">
        <x:v>Source role</x:v>
      </x:c>
      <x:c r="C51" s="115" t="str">
        <x:v>Role in the event verification chain.</x:v>
      </x:c>
      <x:c r="D51" s="115" t="str">
        <x:v>Yes</x:v>
      </x:c>
      <x:c r="E51" s="115" t="str">
        <x:v>Controlled text</x:v>
      </x:c>
      <x:c r="F51" s="115" t="str">
        <x:v>Lead, corroboration, context, etc.</x:v>
      </x:c>
      <x:c r="G51" s="116" t="str">
        <x:v>Corroboration</x:v>
      </x:c>
    </x:row>
    <x:row r="52">
      <x:c r="A52" s="114" t="str">
        <x:v>Organisations</x:v>
      </x:c>
      <x:c r="B52" s="115" t="str">
        <x:v>Organisation ID</x:v>
      </x:c>
      <x:c r="C52" s="115" t="str">
        <x:v>Permanent standard organisation identifier.</x:v>
      </x:c>
      <x:c r="D52" s="115" t="str">
        <x:v>Yes</x:v>
      </x:c>
      <x:c r="E52" s="115" t="str">
        <x:v>Text</x:v>
      </x:c>
      <x:c r="F52" s="115" t="str">
        <x:v>Pattern IO-ORG-####</x:v>
      </x:c>
      <x:c r="G52" s="116" t="str">
        <x:v>IO-ORG-0001</x:v>
      </x:c>
    </x:row>
    <x:row r="53">
      <x:c r="A53" s="114" t="str">
        <x:v>Organisations</x:v>
      </x:c>
      <x:c r="B53" s="115" t="str">
        <x:v>Official name</x:v>
      </x:c>
      <x:c r="C53" s="115" t="str">
        <x:v>Standard organisation or collective name.</x:v>
      </x:c>
      <x:c r="D53" s="115" t="str">
        <x:v>Yes</x:v>
      </x:c>
      <x:c r="E53" s="115" t="str">
        <x:v>Text</x:v>
      </x:c>
      <x:c r="F53" s="115" t="str">
        <x:v>Avoid duplicate spelling variants.</x:v>
      </x:c>
      <x:c r="G53" s="116" t="str">
        <x:v>National Water Development Agency</x:v>
      </x:c>
    </x:row>
    <x:row r="54">
      <x:c r="A54" s="114" t="str">
        <x:v>Organisations</x:v>
      </x:c>
      <x:c r="B54" s="115" t="str">
        <x:v>Organisation type</x:v>
      </x:c>
      <x:c r="C54" s="115" t="str">
        <x:v>Type of entity.</x:v>
      </x:c>
      <x:c r="D54" s="115" t="str">
        <x:v>Yes</x:v>
      </x:c>
      <x:c r="E54" s="115" t="str">
        <x:v>Controlled text</x:v>
      </x:c>
      <x:c r="F54" s="115" t="str">
        <x:v>Use Organisations dropdown.</x:v>
      </x:c>
      <x:c r="G54" s="116" t="str">
        <x:v>Central government agency</x:v>
      </x:c>
    </x:row>
    <x:row r="55">
      <x:c r="A55" s="114" t="str">
        <x:v>Organisations</x:v>
      </x:c>
      <x:c r="B55" s="115" t="str">
        <x:v>State</x:v>
      </x:c>
      <x:c r="C55" s="115" t="str">
        <x:v>Primary jurisdiction.</x:v>
      </x:c>
      <x:c r="D55" s="115" t="str">
        <x:v>No</x:v>
      </x:c>
      <x:c r="E55" s="115" t="str">
        <x:v>Text</x:v>
      </x:c>
      <x:c r="F55" s="115" t="str">
        <x:v>Use India for national bodies.</x:v>
      </x:c>
      <x:c r="G55" s="116" t="str">
        <x:v>India</x:v>
      </x:c>
    </x:row>
    <x:row r="56">
      <x:c r="A56" s="114" t="str">
        <x:v>Organisations</x:v>
      </x:c>
      <x:c r="B56" s="115" t="str">
        <x:v>Website</x:v>
      </x:c>
      <x:c r="C56" s="115" t="str">
        <x:v>Official public URL.</x:v>
      </x:c>
      <x:c r="D56" s="115" t="str">
        <x:v>No</x:v>
      </x:c>
      <x:c r="E56" s="115" t="str">
        <x:v>URL</x:v>
      </x:c>
      <x:c r="F56" s="115" t="str">
        <x:v>Prefer official domain.</x:v>
      </x:c>
      <x:c r="G56" s="116" t="str">
        <x:v>https://nwda.gov.in/</x:v>
      </x:c>
    </x:row>
    <x:row r="57">
      <x:c r="A57" s="114" t="str">
        <x:v>Organisations</x:v>
      </x:c>
      <x:c r="B57" s="115" t="str">
        <x:v>Public spokesperson</x:v>
      </x:c>
      <x:c r="C57" s="115" t="str">
        <x:v>Publicly identified representative.</x:v>
      </x:c>
      <x:c r="D57" s="115" t="str">
        <x:v>No</x:v>
      </x:c>
      <x:c r="E57" s="115" t="str">
        <x:v>Text</x:v>
      </x:c>
      <x:c r="F57" s="115" t="str">
        <x:v>Do not add private contact data.</x:v>
      </x:c>
      <x:c r="G57" s="116" t="str">
        <x:v>Amit Bhatnagar (reported)</x:v>
      </x:c>
    </x:row>
    <x:row r="58">
      <x:c r="A58" s="114" t="str">
        <x:v>Organisations</x:v>
      </x:c>
      <x:c r="B58" s="115" t="str">
        <x:v>Notes</x:v>
      </x:c>
      <x:c r="C58" s="115" t="str">
        <x:v>Context and verification needs.</x:v>
      </x:c>
      <x:c r="D58" s="115" t="str">
        <x:v>No</x:v>
      </x:c>
      <x:c r="E58" s="115" t="str">
        <x:v>Long text</x:v>
      </x:c>
      <x:c r="F58" s="115" t="str">
        <x:v>Record naming and legal-status cautions.</x:v>
      </x:c>
      <x:c r="G58" s="116" t="str">
        <x:v>Confirm official details.</x:v>
      </x:c>
    </x:row>
    <x:row r="59">
      <x:c r="A59" s="114" t="str">
        <x:v>Corrections</x:v>
      </x:c>
      <x:c r="B59" s="115" t="str">
        <x:v>Correction ID</x:v>
      </x:c>
      <x:c r="C59" s="115" t="str">
        <x:v>Permanent correction identifier.</x:v>
      </x:c>
      <x:c r="D59" s="115" t="str">
        <x:v>Yes</x:v>
      </x:c>
      <x:c r="E59" s="115" t="str">
        <x:v>Text</x:v>
      </x:c>
      <x:c r="F59" s="115" t="str">
        <x:v>Pattern IO-COR-&lt;STATE&gt;-####</x:v>
      </x:c>
      <x:c r="G59" s="116" t="str">
        <x:v>IO-COR-MP-0001</x:v>
      </x:c>
    </x:row>
    <x:row r="60">
      <x:c r="A60" s="114" t="str">
        <x:v>Corrections</x:v>
      </x:c>
      <x:c r="B60" s="115" t="str">
        <x:v>Event ID</x:v>
      </x:c>
      <x:c r="C60" s="115" t="str">
        <x:v>Event foreign key.</x:v>
      </x:c>
      <x:c r="D60" s="115" t="str">
        <x:v>Yes</x:v>
      </x:c>
      <x:c r="E60" s="115" t="str">
        <x:v>Text</x:v>
      </x:c>
      <x:c r="F60" s="115" t="str">
        <x:v>Must exist in Events.</x:v>
      </x:c>
      <x:c r="G60" s="116" t="str">
        <x:v>IO-CM-MP-0001</x:v>
      </x:c>
    </x:row>
    <x:row r="61">
      <x:c r="A61" s="114" t="str">
        <x:v>Corrections</x:v>
      </x:c>
      <x:c r="B61" s="115" t="str">
        <x:v>Date corrected</x:v>
      </x:c>
      <x:c r="C61" s="115" t="str">
        <x:v>Date wording changed.</x:v>
      </x:c>
      <x:c r="D61" s="115" t="str">
        <x:v>Yes</x:v>
      </x:c>
      <x:c r="E61" s="115" t="str">
        <x:v>Date</x:v>
      </x:c>
      <x:c r="F61" s="115" t="str">
        <x:v>YYYY-MM-DD.</x:v>
      </x:c>
      <x:c r="G61" s="116" t="str">
        <x:v>2026-07-15</x:v>
      </x:c>
    </x:row>
    <x:row r="62">
      <x:c r="A62" s="114" t="str">
        <x:v>Corrections</x:v>
      </x:c>
      <x:c r="B62" s="115" t="str">
        <x:v>Previous wording</x:v>
      </x:c>
      <x:c r="C62" s="115" t="str">
        <x:v>Earlier exact wording.</x:v>
      </x:c>
      <x:c r="D62" s="115" t="str">
        <x:v>Yes</x:v>
      </x:c>
      <x:c r="E62" s="115" t="str">
        <x:v>Long text</x:v>
      </x:c>
      <x:c r="F62" s="115" t="str">
        <x:v>Preserve the wording being replaced.</x:v>
      </x:c>
      <x:c r="G62" s="116" t="str">
        <x:v>Kupi village, Panna district</x:v>
      </x:c>
    </x:row>
    <x:row r="63">
      <x:c r="A63" s="114" t="str">
        <x:v>Corrections</x:v>
      </x:c>
      <x:c r="B63" s="115" t="str">
        <x:v>Corrected wording</x:v>
      </x:c>
      <x:c r="C63" s="115" t="str">
        <x:v>Replacement wording.</x:v>
      </x:c>
      <x:c r="D63" s="115" t="str">
        <x:v>Yes</x:v>
      </x:c>
      <x:c r="E63" s="115" t="str">
        <x:v>Long text</x:v>
      </x:c>
      <x:c r="F63" s="115" t="str">
        <x:v>Use the more defensible wording.</x:v>
      </x:c>
      <x:c r="G63" s="116" t="str">
        <x:v>Chhatarpur–Panna area</x:v>
      </x:c>
    </x:row>
    <x:row r="64">
      <x:c r="A64" s="114" t="str">
        <x:v>Corrections</x:v>
      </x:c>
      <x:c r="B64" s="115" t="str">
        <x:v>Reason</x:v>
      </x:c>
      <x:c r="C64" s="115" t="str">
        <x:v>Reason for the change.</x:v>
      </x:c>
      <x:c r="D64" s="115" t="str">
        <x:v>Yes</x:v>
      </x:c>
      <x:c r="E64" s="115" t="str">
        <x:v>Long text</x:v>
      </x:c>
      <x:c r="F64" s="115" t="str">
        <x:v>Explain evidence or methodology.</x:v>
      </x:c>
      <x:c r="G64" s="116" t="str">
        <x:v>Sources conflict on district.</x:v>
      </x:c>
    </x:row>
    <x:row r="65">
      <x:c r="A65" s="114" t="str">
        <x:v>Corrections</x:v>
      </x:c>
      <x:c r="B65" s="115" t="str">
        <x:v>Supporting source</x:v>
      </x:c>
      <x:c r="C65" s="115" t="str">
        <x:v>Source supporting correction.</x:v>
      </x:c>
      <x:c r="D65" s="115" t="str">
        <x:v>Yes</x:v>
      </x:c>
      <x:c r="E65" s="115" t="str">
        <x:v>Text / URL</x:v>
      </x:c>
      <x:c r="F65" s="115" t="str">
        <x:v>List precise source references.</x:v>
      </x:c>
      <x:c r="G65" s="116" t="str">
        <x:v>DTE 4 and 8 July</x:v>
      </x:c>
    </x:row>
    <x:row r="66">
      <x:c r="A66" s="114" t="str">
        <x:v>Corrections</x:v>
      </x:c>
      <x:c r="B66" s="115" t="str">
        <x:v>Correction stage</x:v>
      </x:c>
      <x:c r="C66" s="115" t="str">
        <x:v>Whether public or pre-publication.</x:v>
      </x:c>
      <x:c r="D66" s="115" t="str">
        <x:v>Yes</x:v>
      </x:c>
      <x:c r="E66" s="115" t="str">
        <x:v>Controlled text</x:v>
      </x:c>
      <x:c r="F66" s="115" t="str">
        <x:v>Use Corrections dropdown.</x:v>
      </x:c>
      <x:c r="G66" s="116" t="str">
        <x:v>Pre-publication research correction</x:v>
      </x:c>
    </x:row>
    <x:row r="67">
      <x:c r="A67" s="110" t="str">
        <x:v>Corrections</x:v>
      </x:c>
      <x:c r="B67" s="111" t="str">
        <x:v>Review status</x:v>
      </x:c>
      <x:c r="C67" s="111" t="str">
        <x:v>Correction workflow state.</x:v>
      </x:c>
      <x:c r="D67" s="111" t="str">
        <x:v>Yes</x:v>
      </x:c>
      <x:c r="E67" s="111" t="str">
        <x:v>Controlled text</x:v>
      </x:c>
      <x:c r="F67" s="111" t="str">
        <x:v>Use Corrections dropdown.</x:v>
      </x:c>
      <x:c r="G67" s="113" t="str">
        <x:v>Reviewed</x:v>
      </x:c>
    </x:row>
    <x:row r="68">
      <x:c r="A68" t="str">
        <x:v>Candidate Events</x:v>
      </x:c>
      <x:c r="B68" t="str">
        <x:v>Candidate ID</x:v>
      </x:c>
      <x:c r="C68" t="str">
        <x:v>Permanent identifier for a researched candidate before or without event publication.</x:v>
      </x:c>
      <x:c r="D68" t="str">
        <x:v>Yes</x:v>
      </x:c>
      <x:c r="E68" t="str">
        <x:v>Text</x:v>
      </x:c>
      <x:c r="F68" t="str">
        <x:v>Pattern IO-CAND-####</x:v>
      </x:c>
      <x:c r="G68" t="str">
        <x:v>IO-CAND-0001</x:v>
      </x:c>
    </x:row>
    <x:row r="69">
      <x:c r="A69" t="str">
        <x:v>Candidate Events</x:v>
      </x:c>
      <x:c r="B69" t="str">
        <x:v>Decision</x:v>
      </x:c>
      <x:c r="C69" t="str">
        <x:v>Whether the candidate was selected for the current research batch.</x:v>
      </x:c>
      <x:c r="D69" t="str">
        <x:v>Yes</x:v>
      </x:c>
      <x:c r="E69" t="str">
        <x:v>Controlled text</x:v>
      </x:c>
      <x:c r="F69" t="str">
        <x:v>Selected; Not selected for Day 3; Needs more research</x:v>
      </x:c>
      <x:c r="G69" t="str">
        <x:v>Selected</x:v>
      </x:c>
    </x:row>
    <x:row r="70">
      <x:c r="A70" t="str">
        <x:v>Candidate Events</x:v>
      </x:c>
      <x:c r="B70" t="str">
        <x:v>Decision reason</x:v>
      </x:c>
      <x:c r="C70" t="str">
        <x:v>Transparent explanation for selection or deferral.</x:v>
      </x:c>
      <x:c r="D70" t="str">
        <x:v>Yes</x:v>
      </x:c>
      <x:c r="E70" t="str">
        <x:v>Text</x:v>
      </x:c>
      <x:c r="F70" t="str">
        <x:v>Do not equate non-selection with the event being unimportant.</x:v>
      </x:c>
      <x:c r="G70" t="str">
        <x:v>Selected for source quality and thematic diversity.</x:v>
      </x:c>
    </x:row>
    <x:row r="71">
      <x:c r="A71" t="str">
        <x:v>Decisions</x:v>
      </x:c>
      <x:c r="B71" t="str">
        <x:v>Decision ID</x:v>
      </x:c>
      <x:c r="C71" t="str">
        <x:v>Permanent identifier for a project-scope or methodology decision.</x:v>
      </x:c>
      <x:c r="D71" t="str">
        <x:v>Yes</x:v>
      </x:c>
      <x:c r="E71" t="str">
        <x:v>Text</x:v>
      </x:c>
      <x:c r="F71" t="str">
        <x:v>Pattern IO-DEC-####</x:v>
      </x:c>
      <x:c r="G71" t="str">
        <x:v>IO-DEC-0001</x:v>
      </x:c>
    </x:row>
    <x:row r="72">
      <x:c r="A72" t="str">
        <x:v>Decisions</x:v>
      </x:c>
      <x:c r="B72" t="str">
        <x:v>Previous position</x:v>
      </x:c>
      <x:c r="C72" t="str">
        <x:v>The policy or scope before the decision.</x:v>
      </x:c>
      <x:c r="D72" t="str">
        <x:v>Yes</x:v>
      </x:c>
      <x:c r="E72" t="str">
        <x:v>Text</x:v>
      </x:c>
      <x:c r="F72" t="str">
        <x:v>Preserve the prior state for auditability.</x:v>
      </x:c>
      <x:c r="G72" t="str">
        <x:v>Himachal Pradesh only.</x:v>
      </x:c>
    </x:row>
    <x:row r="73">
      <x:c r="A73" t="str">
        <x:v>Decisions</x:v>
      </x:c>
      <x:c r="B73" t="str">
        <x:v>New position</x:v>
      </x:c>
      <x:c r="C73" t="str">
        <x:v>The approved policy or scope after the decision.</x:v>
      </x:c>
      <x:c r="D73" t="str">
        <x:v>Yes</x:v>
      </x:c>
      <x:c r="E73" t="str">
        <x:v>Text</x:v>
      </x:c>
      <x:c r="F73" t="str">
        <x:v>Must match operational workbook rules.</x:v>
      </x:c>
      <x:c r="G73" t="str">
        <x:v>India-wide curated coverage.</x:v>
      </x:c>
    </x:row>
    <x:row r="74">
      <x:c r="A74" t="str">
        <x:v>Events</x:v>
      </x:c>
      <x:c r="B74" t="str">
        <x:v>Observed Duration (Days)</x:v>
      </x:c>
      <x:c r="C74" t="str">
        <x:v>Inclusive number of days from Start date to End date or Last confirmed active date.</x:v>
      </x:c>
      <x:c r="D74" t="str">
        <x:v>Calculated</x:v>
      </x:c>
      <x:c r="E74" t="str">
        <x:v>Formula</x:v>
      </x:c>
      <x:c r="F74" t="str">
        <x:v>Blank if Start date is unknown; formula uses End date first, then Last confirmed active.</x:v>
      </x:c>
      <x:c r="G74" t="str">
        <x:v>12</x:v>
      </x:c>
    </x:row>
    <x:row r="75">
      <x:c r="A75" t="str">
        <x:v>Events</x:v>
      </x:c>
      <x:c r="B75" t="str">
        <x:v>Activity Pattern</x:v>
      </x:c>
      <x:c r="C75" t="str">
        <x:v>How the civic movement occurred over time.</x:v>
      </x:c>
      <x:c r="D75" t="str">
        <x:v>When known</x:v>
      </x:c>
      <x:c r="E75" t="str">
        <x:v>Controlled text</x:v>
      </x:c>
      <x:c r="F75" t="str">
        <x:v>One-day event; Continuous; Recurring / intermittent; Multiple phases; Unknown.</x:v>
      </x:c>
      <x:c r="G75" t="str">
        <x:v>Recurring / intermittent</x:v>
      </x:c>
    </x:row>
    <x:row r="76">
      <x:c r="A76" t="str">
        <x:v>Analytics Data</x:v>
      </x:c>
      <x:c r="B76" t="str">
        <x:v>Activity Pattern</x:v>
      </x:c>
      <x:c r="C76" t="str">
        <x:v>Formula-linked copy of the Events activity-pattern field.</x:v>
      </x:c>
      <x:c r="D76" t="str">
        <x:v>Derived</x:v>
      </x:c>
      <x:c r="E76" t="str">
        <x:v>Controlled text</x:v>
      </x:c>
      <x:c r="F76" t="str">
        <x:v>Do not edit directly; update Events.</x:v>
      </x:c>
      <x:c r="G76" t="str">
        <x:v>Multiple phases</x:v>
      </x:c>
    </x:row>
    <x:row r="77">
      <x:c r="A77" t="str">
        <x:v>Verification Methodology</x:v>
      </x:c>
      <x:c r="B77" t="str">
        <x:v>Version</x:v>
      </x:c>
      <x:c r="C77" t="str">
        <x:v>Frozen methodology version used for editorial testing.</x:v>
      </x:c>
      <x:c r="D77" t="str">
        <x:v>Yes</x:v>
      </x:c>
      <x:c r="E77" t="str">
        <x:v>Text</x:v>
      </x:c>
      <x:c r="F77" t="str">
        <x:v>Increment only after a documented decision.</x:v>
      </x:c>
      <x:c r="G77" t="str">
        <x:v>0.1</x:v>
      </x:c>
    </x:row>
    <x:row r="78">
      <x:c r="A78" t="str">
        <x:v>Verification Methodology</x:v>
      </x:c>
      <x:c r="B78" t="str">
        <x:v>Operational Test</x:v>
      </x:c>
      <x:c r="C78" t="str">
        <x:v>Practical test used to apply a source class, verification status or publication rule.</x:v>
      </x:c>
      <x:c r="D78" t="str">
        <x:v>Yes</x:v>
      </x:c>
      <x:c r="E78" t="str">
        <x:v>Long text</x:v>
      </x:c>
      <x:c r="F78" t="str">
        <x:v>Must be understandable and repeatable.</x:v>
      </x:c>
      <x:c r="G78" t="str">
        <x:v>Confirm two independent sources.</x:v>
      </x:c>
    </x:row>
    <x:row r="79">
      <x:c r="A79" t="str">
        <x:v>Events</x:v>
      </x:c>
      <x:c r="B79" t="str">
        <x:v>Primary Topic</x:v>
      </x:c>
      <x:c r="C79" t="str">
        <x:v>Editorially reviewed principal issue category used for filtering and charts.</x:v>
      </x:c>
      <x:c r="D79" t="str">
        <x:v>Yes</x:v>
      </x:c>
      <x:c r="E79" t="str">
        <x:v>Controlled text</x:v>
      </x:c>
      <x:c r="F79" t="str">
        <x:v>Use Primary topics list. Analytics uses this field as authoritative.</x:v>
      </x:c>
      <x:c r="G79" t="str">
        <x:v>Environment</x:v>
      </x:c>
    </x:row>
    <x:row r="80">
      <x:c r="A80" t="str">
        <x:v>Events</x:v>
      </x:c>
      <x:c r="B80" t="str">
        <x:v>Demand Category</x:v>
      </x:c>
      <x:c r="C80" t="str">
        <x:v>Primary type of remedy or action sought by protesters.</x:v>
      </x:c>
      <x:c r="D80" t="str">
        <x:v>When known</x:v>
      </x:c>
      <x:c r="E80" t="str">
        <x:v>Controlled text</x:v>
      </x:c>
      <x:c r="F80" t="str">
        <x:v>Use Demand categories list; detailed demands remain in Claims.</x:v>
      </x:c>
      <x:c r="G80" t="str">
        <x:v>Service delivery / staffing</x:v>
      </x:c>
    </x:row>
    <x:row r="81">
      <x:c r="A81" t="str">
        <x:v>Events</x:v>
      </x:c>
      <x:c r="B81" t="str">
        <x:v>Related Policy / Project / Law</x:v>
      </x:c>
      <x:c r="C81" t="str">
        <x:v>Named project, policy, legal framework or public-service system connected to the event.</x:v>
      </x:c>
      <x:c r="D81" t="str">
        <x:v>When known</x:v>
      </x:c>
      <x:c r="E81" t="str">
        <x:v>Text</x:v>
      </x:c>
      <x:c r="F81" t="str">
        <x:v>Use a neutral official or commonly recognised name; do not make a legal conclusion.</x:v>
      </x:c>
      <x:c r="G81" t="str">
        <x:v>Dasiya ethanol plant</x:v>
      </x:c>
    </x:row>
    <x:row r="82">
      <x:c r="A82" t="str">
        <x:v>Events</x:v>
      </x:c>
      <x:c r="B82" t="str">
        <x:v>Official Response Date</x:v>
      </x:c>
      <x:c r="C82" t="str">
        <x:v>Date of the latest material official response currently recorded.</x:v>
      </x:c>
      <x:c r="D82" t="str">
        <x:v>No</x:v>
      </x:c>
      <x:c r="E82" t="str">
        <x:v>Date</x:v>
      </x:c>
      <x:c r="F82" t="str">
        <x:v>Use YYYY-MM-DD; update when a later material response occurs.</x:v>
      </x:c>
      <x:c r="G82" t="str">
        <x:v>2026-07-10</x:v>
      </x:c>
    </x:row>
    <x:row r="83">
      <x:c r="A83" t="str">
        <x:v>Events</x:v>
      </x:c>
      <x:c r="B83" t="str">
        <x:v>Outcome Follow-up Date</x:v>
      </x:c>
      <x:c r="C83" t="str">
        <x:v>Internal date for the next planned review of an unresolved event or official promise.</x:v>
      </x:c>
      <x:c r="D83" t="str">
        <x:v>No</x:v>
      </x:c>
      <x:c r="E83" t="str">
        <x:v>Date</x:v>
      </x:c>
      <x:c r="F83" t="str">
        <x:v>Workflow field; not a claim that an outcome will occur.</x:v>
      </x:c>
      <x:c r="G83" t="str">
        <x:v>2026-07-24</x:v>
      </x:c>
    </x:row>
    <x:row r="84">
      <x:c r="A84" t="str">
        <x:v>Events</x:v>
      </x:c>
      <x:c r="B84" t="str">
        <x:v>Lead Discovery Channel</x:v>
      </x:c>
      <x:c r="C84" t="str">
        <x:v>How the candidate first entered the India Observed research workflow.</x:v>
      </x:c>
      <x:c r="D84" t="str">
        <x:v>Yes</x:v>
      </x:c>
      <x:c r="E84" t="str">
        <x:v>Controlled text</x:v>
      </x:c>
      <x:c r="F84" t="str">
        <x:v>Discovery is separate from verification evidence.</x:v>
      </x:c>
      <x:c r="G84" t="str">
        <x:v>Community social media</x:v>
      </x:c>
    </x:row>
    <x:row r="85">
      <x:c r="A85" t="str">
        <x:v>Events</x:v>
      </x:c>
      <x:c r="B85" t="str">
        <x:v>Coverage Profile</x:v>
      </x:c>
      <x:c r="C85" t="str">
        <x:v>Editorial classification of how widely the event was covered when researched.</x:v>
      </x:c>
      <x:c r="D85" t="str">
        <x:v>Yes</x:v>
      </x:c>
      <x:c r="E85" t="str">
        <x:v>Controlled text</x:v>
      </x:c>
      <x:c r="F85" t="str">
        <x:v>Use coverage-profile list; review if coverage changes materially.</x:v>
      </x:c>
      <x:c r="G85" t="str">
        <x:v>Undercovered / remote</x:v>
      </x:c>
    </x:row>
    <x:row r="86">
      <x:c r="A86" t="str">
        <x:v>Events</x:v>
      </x:c>
      <x:c r="B86" t="str">
        <x:v>Latest Official Response</x:v>
      </x:c>
      <x:c r="C86" t="str">
        <x:v>Concise attributed summary of the most recent material authority response.</x:v>
      </x:c>
      <x:c r="D86" t="str">
        <x:v>No</x:v>
      </x:c>
      <x:c r="E86" t="str">
        <x:v>Long text</x:v>
      </x:c>
      <x:c r="F86" t="str">
        <x:v>Do not interpret non-response as admission.</x:v>
      </x:c>
      <x:c r="G86" t="str">
        <x:v>Two teachers were deputed.</x:v>
      </x:c>
    </x:row>
    <x:row r="87">
      <x:c r="A87" t="str">
        <x:v>Day 5 Research Log</x:v>
      </x:c>
      <x:c r="B87" t="str">
        <x:v>Discovery Channel</x:v>
      </x:c>
      <x:c r="C87" t="str">
        <x:v>Channel that first surfaced the candidate event.</x:v>
      </x:c>
      <x:c r="D87" t="str">
        <x:v>Yes</x:v>
      </x:c>
      <x:c r="E87" t="str">
        <x:v>Controlled / text</x:v>
      </x:c>
      <x:c r="F87" t="str">
        <x:v>May be social media, local-language media, union channel, petition, official notice or other.</x:v>
      </x:c>
      <x:c r="G87" t="str">
        <x:v>Field video / citizen post</x:v>
      </x:c>
    </x:row>
    <x:row r="88">
      <x:c r="A88" t="str">
        <x:v>Day 5 Research Log</x:v>
      </x:c>
      <x:c r="B88" t="str">
        <x:v>Decision</x:v>
      </x:c>
      <x:c r="C88" t="str">
        <x:v>Whether the lead was selected, deferred or rejected for the current batch.</x:v>
      </x:c>
      <x:c r="D88" t="str">
        <x:v>Yes</x:v>
      </x:c>
      <x:c r="E88" t="str">
        <x:v>Text</x:v>
      </x:c>
      <x:c r="F88" t="str">
        <x:v>Decision concerns evidence readiness, not importance.</x:v>
      </x:c>
      <x:c r="G88" t="str">
        <x:v>Deferred — needs more research</x:v>
      </x:c>
    </x:row>
    <x:row r="89">
      <x:c r="A89" t="str">
        <x:v>Day 5 Schema Review</x:v>
      </x:c>
      <x:c r="B89" t="str">
        <x:v>Decision</x:v>
      </x:c>
      <x:c r="C89" t="str">
        <x:v>Approved, deferred or rejected schema/methodology response to a recurring workflow issue.</x:v>
      </x:c>
      <x:c r="D89" t="str">
        <x:v>Yes</x:v>
      </x:c>
      <x:c r="E89" t="str">
        <x:v>Controlled text</x:v>
      </x:c>
      <x:c r="F89" t="str">
        <x:v>Each change must include evidence and rationale.</x:v>
      </x:c>
      <x:c r="G89" t="str">
        <x:v>Approved</x:v>
      </x:c>
    </x:row>
    <x:row r="90">
      <x:c r="A90" t="str">
        <x:v>Analytics Data</x:v>
      </x:c>
      <x:c r="B90" t="str">
        <x:v>Lead Discovery Channel</x:v>
      </x:c>
      <x:c r="C90" t="str">
        <x:v>Formula-linked copy of the Events discovery-channel field.</x:v>
      </x:c>
      <x:c r="D90" t="str">
        <x:v>Derived</x:v>
      </x:c>
      <x:c r="E90" t="str">
        <x:v>Controlled text</x:v>
      </x:c>
      <x:c r="F90" t="str">
        <x:v>Do not edit directly; update Events.</x:v>
      </x:c>
      <x:c r="G90" t="str">
        <x:v>Community social media</x:v>
      </x:c>
    </x:row>
    <x:row r="91">
      <x:c r="A91" t="str">
        <x:v>Analytics Data</x:v>
      </x:c>
      <x:c r="B91" t="str">
        <x:v>Coverage Profile</x:v>
      </x:c>
      <x:c r="C91" t="str">
        <x:v>Formula-linked copy of the Events coverage-profile field.</x:v>
      </x:c>
      <x:c r="D91" t="str">
        <x:v>Derived</x:v>
      </x:c>
      <x:c r="E91" t="str">
        <x:v>Controlled text</x:v>
      </x:c>
      <x:c r="F91" t="str">
        <x:v>Do not edit directly; update Events.</x:v>
      </x:c>
      <x:c r="G91" t="str">
        <x:v>Local media only</x:v>
      </x:c>
    </x:row>
    <x:row r="92">
      <x:c r="A92" t="str">
        <x:v>Verification Methodology</x:v>
      </x:c>
      <x:c r="B92" t="str">
        <x:v>Version 0.2 change</x:v>
      </x:c>
      <x:c r="C92" t="str">
        <x:v>Separates discovery leads from verification evidence and incorporates Day 5 tested workflow.</x:v>
      </x:c>
      <x:c r="D92" t="str">
        <x:v>Yes</x:v>
      </x:c>
      <x:c r="E92" t="str">
        <x:v>Methodology decision</x:v>
      </x:c>
      <x:c r="F92" t="str">
        <x:v>Apply to all new and revised records after Day 5.</x:v>
      </x:c>
      <x:c r="G92" t="str">
        <x:v>Discovery lead vs verification evidence</x:v>
      </x:c>
    </x:row>
    <x:row r="93">
      <x:c r="A93" t="str">
        <x:v>Verification Methodology</x:v>
      </x:c>
      <x:c r="B93" t="str">
        <x:v>Alternative Lead Discovery Framework</x:v>
      </x:c>
      <x:c r="C93" t="str">
        <x:v>Structured catalogue of non-traditional discovery mechanisms and their safeguards.</x:v>
      </x:c>
      <x:c r="D93" t="str">
        <x:v>Yes</x:v>
      </x:c>
      <x:c r="E93" t="str">
        <x:v>Methodology section</x:v>
      </x:c>
      <x:c r="F93" t="str">
        <x:v>Discovery sources identify candidates; publication still requires independent verification.</x:v>
      </x:c>
      <x:c r="G93" t="str">
        <x:v>Local-language media</x:v>
      </x:c>
    </x:row>
    <x:row r="94">
      <x:c r="A94" t="str">
        <x:v>Verification Methodology</x:v>
      </x:c>
      <x:c r="B94" t="str">
        <x:v>Internal Lead-Triage Score</x:v>
      </x:c>
      <x:c r="C94" t="str">
        <x:v>0–12 internal priority score based on specificity, traceability, independent signals, public interest, undercoverage and safety.</x:v>
      </x:c>
      <x:c r="D94" t="str">
        <x:v>Internal</x:v>
      </x:c>
      <x:c r="E94" t="str">
        <x:v>Integer</x:v>
      </x:c>
      <x:c r="F94" t="str">
        <x:v>Not a truth score or publication threshold.</x:v>
      </x:c>
      <x:c r="G94" t="str">
        <x:v>9</x:v>
      </x:c>
    </x:row>
    <x:row r="95">
      <x:c r="A95" t="str">
        <x:v>Verification Methodology</x:v>
      </x:c>
      <x:c r="B95" t="str">
        <x:v>Geographic rotation</x:v>
      </x:c>
      <x:c r="C95" t="str">
        <x:v>Planned rotation across states, Union Territories, districts and language regions to reduce metro and English-language bias.</x:v>
      </x:c>
      <x:c r="D95" t="str">
        <x:v>Yes</x:v>
      </x:c>
      <x:c r="E95" t="str">
        <x:v>Research process</x:v>
      </x:c>
      <x:c r="F95" t="str">
        <x:v>Record search coverage even when no valid event is found.</x:v>
      </x:c>
      <x:c r="G95" t="str">
        <x:v>Two states per day</x:v>
      </x:c>
    </x:row>
    <x:row r="96">
      <x:c r="A96" t="str">
        <x:v>Automated Discovery System</x:v>
      </x:c>
      <x:c r="B96" t="str">
        <x:v>Discovery Priority Score</x:v>
      </x:c>
      <x:c r="C96" t="str">
        <x:v>0–100 research-priority score for ordering leads; not evidence or a publication threshold.</x:v>
      </x:c>
      <x:c r="D96" t="str">
        <x:v>Derived</x:v>
      </x:c>
      <x:c r="E96" t="str">
        <x:v>Number</x:v>
      </x:c>
      <x:c r="F96" t="str">
        <x:v>Initial investigation threshold 60; calibrate against labelled benchmarks.</x:v>
      </x:c>
      <x:c r="G96" t="str">
        <x:v>75</x:v>
      </x:c>
    </x:row>
    <x:row r="97">
      <x:c r="A97" t="str">
        <x:v>Automated Discovery System</x:v>
      </x:c>
      <x:c r="B97" t="str">
        <x:v>Evidence Strength Score</x:v>
      </x:c>
      <x:c r="C97" t="str">
        <x:v>0–100 summary of collected evidence strength, used only with mandatory gates.</x:v>
      </x:c>
      <x:c r="D97" t="str">
        <x:v>Derived</x:v>
      </x:c>
      <x:c r="E97" t="str">
        <x:v>Number</x:v>
      </x:c>
      <x:c r="F97" t="str">
        <x:v>Editor-ready signal at 75; all hard gates must pass.</x:v>
      </x:c>
      <x:c r="G97" t="str">
        <x:v>82</x:v>
      </x:c>
    </x:row>
    <x:row r="98">
      <x:c r="A98" t="str">
        <x:v>Automated Discovery System</x:v>
      </x:c>
      <x:c r="B98" t="str">
        <x:v>Risk Score</x:v>
      </x:c>
      <x:c r="C98" t="str">
        <x:v>0–100 publication-risk score that can trigger enhanced review or hold.</x:v>
      </x:c>
      <x:c r="D98" t="str">
        <x:v>Derived</x:v>
      </x:c>
      <x:c r="E98" t="str">
        <x:v>Number</x:v>
      </x:c>
      <x:c r="F98" t="str">
        <x:v>Enhanced review at 40; mandatory hold at 70 pending approval.</x:v>
      </x:c>
      <x:c r="G98" t="str">
        <x:v>55</x:v>
      </x:c>
    </x:row>
    <x:row r="99">
      <x:c r="A99" t="str">
        <x:v>Source Registry</x:v>
      </x:c>
      <x:c r="B99" t="str">
        <x:v>Verification Value</x:v>
      </x:c>
      <x:c r="C99" t="str">
        <x:v>Whether and how a source class may support a public claim.</x:v>
      </x:c>
      <x:c r="D99" t="str">
        <x:v>Yes</x:v>
      </x:c>
      <x:c r="E99" t="str">
        <x:v>Controlled text</x:v>
      </x:c>
      <x:c r="F99" t="str">
        <x:v>Discovery value and verification value must be assessed separately.</x:v>
      </x:c>
      <x:c r="G99" t="str">
        <x:v>Medium after corroboration</x:v>
      </x:c>
    </x:row>
    <x:row r="100">
      <x:c r="A100" t="str">
        <x:v>Automation Controls</x:v>
      </x:c>
      <x:c r="B100" t="str">
        <x:v>Hard Gate</x:v>
      </x:c>
      <x:c r="C100" t="str">
        <x:v>A mandatory condition that cannot be bypassed by a model score or automation.</x:v>
      </x:c>
      <x:c r="D100" t="str">
        <x:v>Yes</x:v>
      </x:c>
      <x:c r="E100" t="str">
        <x:v>Control</x:v>
      </x:c>
      <x:c r="F100" t="str">
        <x:v>Failure returns the record to research, hold or rejection.</x:v>
      </x:c>
      <x:c r="G100" t="str">
        <x:v>G02 Occurrence evidence</x:v>
      </x:c>
    </x:row>
    <x:row r="101">
      <x:c r="A101" t="str">
        <x:v>Automation Controls</x:v>
      </x:c>
      <x:c r="B101" t="str">
        <x:v>Auto Publish Enabled</x:v>
      </x:c>
      <x:c r="C101" t="str">
        <x:v>Master control permitting autonomous publication.</x:v>
      </x:c>
      <x:c r="D101" t="str">
        <x:v>Yes</x:v>
      </x:c>
      <x:c r="E101" t="str">
        <x:v>Boolean</x:v>
      </x:c>
      <x:c r="F101" t="str">
        <x:v>Must remain FALSE during the pilot.</x:v>
      </x:c>
      <x:c r="G101" t="str">
        <x:v>FALSE</x:v>
      </x:c>
    </x:row>
    <x:row r="102">
      <x:c r="A102" t="str">
        <x:v>Wireframe Index</x:v>
      </x:c>
      <x:c r="B102" t="str">
        <x:v>Public page inventory</x:v>
      </x:c>
      <x:c r="C102" t="str">
        <x:v>Index of the six approved low-fidelity public page designs and their primary user needs.</x:v>
      </x:c>
      <x:c r="D102" t="str">
        <x:v>Yes</x:v>
      </x:c>
      <x:c r="E102" t="str">
        <x:v>UX artefact</x:v>
      </x:c>
      <x:c r="F102" t="str">
        <x:v>Event; Home; Browse; Methodology; Submit a Lead; Corrections.</x:v>
      </x:c>
      <x:c r="G102" t="str">
        <x:v>Six pages</x:v>
      </x:c>
    </x:row>
    <x:row r="103">
      <x:c r="A103" t="str">
        <x:v>WF Event Page</x:v>
      </x:c>
      <x:c r="B103" t="str">
        <x:v>Mobile content order</x:v>
      </x:c>
      <x:c r="C103" t="str">
        <x:v>Required mobile sequence for the event record.</x:v>
      </x:c>
      <x:c r="D103" t="str">
        <x:v>Yes</x:v>
      </x:c>
      <x:c r="E103" t="str">
        <x:v>UX rule</x:v>
      </x:c>
      <x:c r="F103" t="str">
        <x:v>Title; verification; summary; issue; timeline; claims; sources; record history.</x:v>
      </x:c>
      <x:c r="G103" t="str">
        <x:v>Title first</x:v>
      </x:c>
    </x:row>
    <x:row r="104">
      <x:c r="A104" t="str">
        <x:v>WF Submit Lead</x:v>
      </x:c>
      <x:c r="B104" t="str">
        <x:v>Public link only</x:v>
      </x:c>
      <x:c r="C104" t="str">
        <x:v>The MVP lead form accepts public URLs and text context, not file uploads or sensitive information.</x:v>
      </x:c>
      <x:c r="D104" t="str">
        <x:v>Yes</x:v>
      </x:c>
      <x:c r="E104" t="str">
        <x:v>Safety rule</x:v>
      </x:c>
      <x:c r="F104" t="str">
        <x:v>No private documents, participant lists, tactical locations or unnecessary personal data.</x:v>
      </x:c>
      <x:c r="G104" t="str">
        <x:v>Public URL</x:v>
      </x:c>
    </x:row>
    <x:row r="105">
      <x:c r="A105" t="str">
        <x:v>WF Corrections</x:v>
      </x:c>
      <x:c r="B105" t="str">
        <x:v>Public correction log</x:v>
      </x:c>
      <x:c r="C105" t="str">
        <x:v>Public display of material record changes without exposing submitter identity or private correspondence.</x:v>
      </x:c>
      <x:c r="D105" t="str">
        <x:v>Yes</x:v>
      </x:c>
      <x:c r="E105" t="str">
        <x:v>UX rule</x:v>
      </x:c>
      <x:c r="F105" t="str">
        <x:v>Show previous/corrected meaning, reason, date and review status.</x:v>
      </x:c>
      <x:c r="G105" t="str">
        <x:v>Reviewed correction</x:v>
      </x:c>
    </x:row>
  </x:sheetData>
  <x:mergeCells>
    <x:mergeCell ref="A1:G1"/>
    <x:mergeCell ref="A2:G2"/>
  </x:mergeCells>
  <x:pageMargins left="0.7" right="0.7" top="0.75" bottom="0.75" header="0.3" footer="0.3"/>
  <x:tableParts count="1">
    <x:tablePart xmlns:r="http://schemas.openxmlformats.org/officeDocument/2006/relationships" r:id="R795cc6276e7743ff"/>
  </x:tableParts>
</x:worksheet>
</file>

<file path=xl/worksheets/sheet11.xml><?xml version="1.0" encoding="utf-8"?>
<x:worksheet xmlns:x="http://schemas.openxmlformats.org/spreadsheetml/2006/main">
  <x:sheetFormatPr defaultRowHeight="15"/>
  <x:cols>
    <x:col min="1" max="1" width="15" hidden="0" customWidth="1"/>
    <x:col min="2" max="2" width="14" hidden="0" customWidth="1"/>
    <x:col min="3" max="3" width="34" hidden="0" customWidth="1"/>
    <x:col min="4" max="4" width="24" hidden="0" customWidth="1"/>
    <x:col min="5" max="5" width="25" hidden="0" customWidth="1"/>
    <x:col min="6" max="6" width="46" hidden="0" customWidth="1"/>
    <x:col min="7" max="7" width="50" hidden="0" customWidth="1"/>
    <x:col min="8" max="8" width="14" hidden="0" customWidth="1"/>
  </x:cols>
  <x:sheetData>
    <x:row r="1">
      <x:c r="A1" s="317" t="str">
        <x:v>India Observed — Scope and Product Decisions</x:v>
      </x:c>
      <x:c r="B1" s="317"/>
      <x:c r="C1" s="317"/>
      <x:c r="D1" s="317"/>
      <x:c r="E1" s="317"/>
      <x:c r="F1" s="317"/>
      <x:c r="G1" s="317"/>
      <x:c r="H1" s="317"/>
    </x:row>
    <x:row r="2">
      <x:c r="A2" s="317"/>
      <x:c r="B2" s="317"/>
      <x:c r="C2" s="317"/>
      <x:c r="D2" s="317"/>
      <x:c r="E2" s="317"/>
      <x:c r="F2" s="317"/>
      <x:c r="G2" s="317"/>
      <x:c r="H2" s="317"/>
    </x:row>
    <x:row r="3">
      <x:c r="A3" s="320" t="str">
        <x:v>Record material scope and methodology changes so the project history remains auditable.</x:v>
      </x:c>
      <x:c r="B3" s="320"/>
      <x:c r="C3" s="320"/>
      <x:c r="D3" s="320"/>
      <x:c r="E3" s="320"/>
      <x:c r="F3" s="320"/>
      <x:c r="G3" s="320"/>
      <x:c r="H3" s="320"/>
    </x:row>
    <x:row r="5">
      <x:c r="A5" s="324" t="str">
        <x:v>Decision ID</x:v>
      </x:c>
      <x:c r="B5" s="324" t="str">
        <x:v>Decision date</x:v>
      </x:c>
      <x:c r="C5" s="324" t="str">
        <x:v>Decision</x:v>
      </x:c>
      <x:c r="D5" s="324" t="str">
        <x:v>Previous position</x:v>
      </x:c>
      <x:c r="E5" s="324" t="str">
        <x:v>New position</x:v>
      </x:c>
      <x:c r="F5" s="324" t="str">
        <x:v>Reason</x:v>
      </x:c>
      <x:c r="G5" s="324" t="str">
        <x:v>Operational consequence</x:v>
      </x:c>
      <x:c r="H5" s="324" t="str">
        <x:v>Approved by</x:v>
      </x:c>
    </x:row>
    <x:row r="6">
      <x:c r="A6" s="79" t="str">
        <x:v>IO-DEC-0001</x:v>
      </x:c>
      <x:c r="B6" s="325" t="n">
        <x:v>46218</x:v>
      </x:c>
      <x:c r="C6" s="79" t="str">
        <x:v>Expand the civic-movements pilot geography to all India.</x:v>
      </x:c>
      <x:c r="D6" s="79" t="str">
        <x:v>Himachal Pradesh only.</x:v>
      </x:c>
      <x:c r="E6" s="79" t="str">
        <x:v>India-wide curated coverage.</x:v>
      </x:c>
      <x:c r="F6" s="79" t="str">
        <x:v>A national scope provides more candidate events and better tests whether the repository can organise underreported civic movements across different regions and issue types.</x:v>
      </x:c>
      <x:c r="G6" s="79" t="str">
        <x:v>The repository may include events from any Indian state or union territory, but one-person capacity means it remains selective and must clearly disclose that it is not comprehensive.</x:v>
      </x:c>
      <x:c r="H6" s="79" t="str">
        <x:v>Founder</x:v>
      </x:c>
    </x:row>
    <x:row r="7">
      <x:c r="A7" t="str">
        <x:v>IO-DEC-0002</x:v>
      </x:c>
      <x:c r="B7" s="107" t="n">
        <x:v>46218</x:v>
      </x:c>
      <x:c r="C7" t="str">
        <x:v>Freeze Verification Methodology Version 0.1 for Day 5 testing.</x:v>
      </x:c>
      <x:c r="D7" t="str">
        <x:v>Verification rules existed across planning notes and spreadsheet fields but were not consolidated into one frozen methodology.</x:v>
      </x:c>
      <x:c r="E7" t="str">
        <x:v>A single Verification Methodology worksheet now defines source categories, claim statuses, publication thresholds, corrections, participant safety, duration and a pre-publication checklist.</x:v>
      </x:c>
      <x:c r="F7" t="str">
        <x:v>A frozen methodology is required to test consistency across the next five event records and identify schema or editorial problems.</x:v>
      </x:c>
      <x:c r="G7" t="str">
        <x:v>Day 5 records must be assessed using Version 0.1. Any substantive change must be logged in the Decisions register and issued as a new methodology version.</x:v>
      </x:c>
      <x:c r="H7" t="str">
        <x:v>Founder</x:v>
      </x:c>
    </x:row>
    <x:row r="8">
      <x:c r="A8" t="str">
        <x:v>IO-DEC-0003</x:v>
      </x:c>
      <x:c r="B8" s="107" t="n">
        <x:v>46218</x:v>
      </x:c>
      <x:c r="C8" t="str">
        <x:v>Freeze the tested Events schema and Verification Methodology as Version 0.2.</x:v>
      </x:c>
      <x:c r="D8" t="str">
        <x:v>Version 0.1 focused on verification after candidates were already known and relied on keyword-derived topic classification.</x:v>
      </x:c>
      <x:c r="E8" t="str">
        <x:v>Version 0.2 adds manual primary topic, demand category, related project or law, official-response and follow-up dates, lead discovery channel, coverage profile, latest official response, and a formal discovery-lead versus verification-evidence rule.</x:v>
      </x:c>
      <x:c r="F8" t="str">
        <x:v>Testing five undercovered events showed that discovery provenance, institutional response and follow-up were repeatedly useful, while event-level crowd, arrest, disruption and court fields would create unstable or premature structure.</x:v>
      </x:c>
      <x:c r="G8" t="str">
        <x:v>All new records must use the revised Events schema. Analytics uses the manual Primary Topic as authoritative. Alternative sources can create leads but publication remains governed by independent source and claim-level verification rules.</x:v>
      </x:c>
      <x:c r="H8" t="str">
        <x:v>Founder</x:v>
      </x:c>
    </x:row>
    <x:row r="9">
      <x:c r="A9" t="str">
        <x:v>IO-DEC-0004</x:v>
      </x:c>
      <x:c r="B9" s="107" t="n">
        <x:v>46218</x:v>
      </x:c>
      <x:c r="C9" t="str">
        <x:v>Expand Verification Methodology to Version 0.3 with a formal alternative lead-discovery framework.</x:v>
      </x:c>
      <x:c r="D9" t="str">
        <x:v>Version 0.2 separated discovery leads from verification evidence but did not define a repeatable proactive search system.</x:v>
      </x:c>
      <x:c r="E9" t="str">
        <x:v>Version 0.3 defines non-traditional discovery mechanisms, geographic rotation, lead triage, alternative-source safeguards and a lean search cadence for a one-person team.</x:v>
      </x:c>
      <x:c r="F9" t="str">
        <x:v>Important remote and local civic events are often visible first through local-language media, community channels, unions, petitions, district notices or field video rather than national journalism.</x:v>
      </x:c>
      <x:c r="G9" t="str">
        <x:v>Future lead research should record the discovery mechanism, apply the internal triage score, search for independent evidence and continue to use the existing publication threshold. The triage score is never public evidence.</x:v>
      </x:c>
      <x:c r="H9" t="str">
        <x:v>Founder</x:v>
      </x:c>
    </x:row>
    <x:row r="10">
      <x:c r="A10" t="str">
        <x:v>IO-DEC-0005</x:v>
      </x:c>
      <x:c r="B10" s="107" t="n">
        <x:v>46218</x:v>
      </x:c>
      <x:c r="C10" t="str">
        <x:v>Adopt the Automated Proactive Discovery and Verification Architecture and Verification Methodology Version 0.4.</x:v>
      </x:c>
      <x:c r="D10" t="str">
        <x:v>Version 0.3 defined proactive alternative-source discovery but did not specify the complete automated ingestion, clustering, provenance, risk and publication-control architecture.</x:v>
      </x:c>
      <x:c r="E10" t="str">
        <x:v>The workbook now contains an Automated Discovery System, Source Registry and Automation Controls with separate discovery, evidence and risk scores, source-lineage checks, media-integrity controls, non-bypassable publication gates and mandatory human approval.</x:v>
      </x:c>
      <x:c r="F10" t="str">
        <x:v>A repeatable automated system is needed to search across India's languages and remote regions without allowing automation to weaken the platform's evidentiary, privacy, safety or legal standards.</x:v>
      </x:c>
      <x:c r="G10" t="str">
        <x:v>Implementation must keep auto-publication disabled. Scores may prioritise and assist review but cannot override a failed hard gate. All system changes require versioned evaluation and decision records.</x:v>
      </x:c>
      <x:c r="H10" t="str">
        <x:v>Founder</x:v>
      </x:c>
    </x:row>
    <x:row r="11">
      <x:c r="A11" t="str">
        <x:v>IO-DEC-0006</x:v>
      </x:c>
      <x:c r="B11" s="107" t="n">
        <x:v>46218</x:v>
      </x:c>
      <x:c r="C11" t="str">
        <x:v>Approve the first low-fidelity public wireframe set and defer production coding until Day 7.</x:v>
      </x:c>
      <x:c r="D11" t="str">
        <x:v>Public-page requirements existed in the task tracker but had not been assembled into a complete visitor journey.</x:v>
      </x:c>
      <x:c r="E11" t="str">
        <x:v>The workbook now contains an index and six low-fidelity public page wireframes: Event, Home, Browse Events, Methodology, Submit a Lead and Corrections.</x:v>
      </x:c>
      <x:c r="F11" t="str">
        <x:v>Reviewing information architecture before coding reduces rework and ensures that evidence, uncertainty, privacy and corrections are visible in the public experience.</x:v>
      </x:c>
      <x:c r="G11" t="str">
        <x:v>Day 7 engineering should implement the approved information structure, beginning with data contracts and a minimal responsive shell. Codex is appropriate from Day 7 onward.</x:v>
      </x:c>
      <x:c r="H11" t="str">
        <x:v>Founder</x:v>
      </x:c>
    </x:row>
    <x:row r="12">
      <x:c r="B12" s="107"/>
    </x:row>
    <x:row r="13">
      <x:c r="B13" s="107"/>
    </x:row>
    <x:row r="14">
      <x:c r="B14" s="107"/>
    </x:row>
    <x:row r="15">
      <x:c r="B15" s="107"/>
    </x:row>
    <x:row r="16">
      <x:c r="B16" s="107"/>
    </x:row>
    <x:row r="17">
      <x:c r="B17" s="107"/>
    </x:row>
    <x:row r="18">
      <x:c r="B18" s="107"/>
    </x:row>
    <x:row r="19">
      <x:c r="B19" s="107"/>
    </x:row>
    <x:row r="20">
      <x:c r="B20" s="107"/>
    </x:row>
    <x:row r="21">
      <x:c r="B21" s="107"/>
    </x:row>
    <x:row r="22">
      <x:c r="B22" s="107"/>
    </x:row>
    <x:row r="23">
      <x:c r="B23" s="107"/>
    </x:row>
    <x:row r="24">
      <x:c r="B24" s="107"/>
    </x:row>
    <x:row r="25">
      <x:c r="B25" s="107"/>
    </x:row>
    <x:row r="26">
      <x:c r="B26" s="107"/>
    </x:row>
    <x:row r="27">
      <x:c r="B27" s="107"/>
    </x:row>
    <x:row r="28">
      <x:c r="B28" s="107"/>
    </x:row>
    <x:row r="29">
      <x:c r="B29" s="107"/>
    </x:row>
    <x:row r="30">
      <x:c r="B30" s="107"/>
    </x:row>
    <x:row r="31">
      <x:c r="B31" s="107"/>
    </x:row>
    <x:row r="32">
      <x:c r="B32" s="107"/>
    </x:row>
    <x:row r="33">
      <x:c r="B33" s="107"/>
    </x:row>
    <x:row r="34">
      <x:c r="B34" s="107"/>
    </x:row>
    <x:row r="35">
      <x:c r="B35" s="107"/>
    </x:row>
  </x:sheetData>
  <x:mergeCells>
    <x:mergeCell ref="A1:H2"/>
    <x:mergeCell ref="A3:H3"/>
  </x:mergeCells>
  <x:pageMargins left="0.7" right="0.7" top="0.75" bottom="0.75" header="0.3" footer="0.3"/>
  <x:tableParts count="1">
    <x:tablePart xmlns:r="http://schemas.openxmlformats.org/officeDocument/2006/relationships" r:id="R9a79d3a7e71b439c"/>
  </x:tableParts>
</x:worksheet>
</file>

<file path=xl/worksheets/sheet12.xml><?xml version="1.0" encoding="utf-8"?>
<x:worksheet xmlns:x="http://schemas.openxmlformats.org/spreadsheetml/2006/main">
  <x:sheetFormatPr defaultRowHeight="15"/>
  <x:cols>
    <x:col min="1" max="1" width="15" hidden="0" customWidth="1"/>
    <x:col min="2" max="2" width="42" hidden="0" customWidth="1"/>
    <x:col min="3" max="3" width="20" hidden="0" customWidth="1"/>
    <x:col min="4" max="4" width="25" hidden="0" customWidth="1"/>
    <x:col min="5" max="5" width="24" hidden="0" customWidth="1"/>
    <x:col min="6" max="6" width="42" hidden="0" customWidth="1"/>
    <x:col min="7" max="7" width="42" hidden="0" customWidth="1"/>
    <x:col min="8" max="8" width="38" hidden="0" customWidth="1"/>
    <x:col min="9" max="9" width="18" hidden="0" customWidth="1"/>
    <x:col min="10" max="10" width="20" hidden="0" customWidth="1"/>
    <x:col min="11" max="11" width="48" hidden="0" customWidth="1"/>
    <x:col min="12" max="12" width="17" hidden="0" customWidth="1"/>
  </x:cols>
  <x:sheetData>
    <x:row r="1">
      <x:c r="A1" s="317" t="str">
        <x:v>India Observed — Day 3 Candidate Event Research List</x:v>
      </x:c>
      <x:c r="B1" s="317"/>
      <x:c r="C1" s="317"/>
      <x:c r="D1" s="317"/>
      <x:c r="E1" s="317"/>
      <x:c r="F1" s="317"/>
      <x:c r="G1" s="317"/>
      <x:c r="H1" s="317"/>
      <x:c r="I1" s="317"/>
      <x:c r="J1" s="317"/>
      <x:c r="K1" s="317"/>
      <x:c r="L1" s="317"/>
    </x:row>
    <x:row r="2">
      <x:c r="A2" s="317"/>
      <x:c r="B2" s="317"/>
      <x:c r="C2" s="317"/>
      <x:c r="D2" s="317"/>
      <x:c r="E2" s="317"/>
      <x:c r="F2" s="317"/>
      <x:c r="G2" s="317"/>
      <x:c r="H2" s="317"/>
      <x:c r="I2" s="317"/>
      <x:c r="J2" s="317"/>
      <x:c r="K2" s="317"/>
      <x:c r="L2" s="317"/>
    </x:row>
    <x:row r="3">
      <x:c r="A3" s="320" t="str">
        <x:v>Nineteen national candidates have been reviewed. Day 5 deliberately expanded discovery beyond mainstream media to local-language outlets, district channels, community social media, petitions, union feeds and field video. Discovery sources generate leads; publication still requires independent verification.</x:v>
      </x:c>
      <x:c r="B3" s="320"/>
      <x:c r="C3" s="320"/>
      <x:c r="D3" s="320"/>
      <x:c r="E3" s="320"/>
      <x:c r="F3" s="320"/>
      <x:c r="G3" s="320"/>
      <x:c r="H3" s="320"/>
      <x:c r="I3" s="320"/>
      <x:c r="J3" s="320"/>
      <x:c r="K3" s="320"/>
      <x:c r="L3" s="320"/>
    </x:row>
    <x:row r="5">
      <x:c r="A5" s="326" t="str">
        <x:v>Candidate ID</x:v>
      </x:c>
      <x:c r="B5" s="326" t="str">
        <x:v>Candidate event</x:v>
      </x:c>
      <x:c r="C5" s="326" t="str">
        <x:v>State / UT</x:v>
      </x:c>
      <x:c r="D5" s="326" t="str">
        <x:v>Event date / period</x:v>
      </x:c>
      <x:c r="E5" s="326" t="str">
        <x:v>Issue category</x:v>
      </x:c>
      <x:c r="F5" s="326" t="str">
        <x:v>Source 1</x:v>
      </x:c>
      <x:c r="G5" s="326" t="str">
        <x:v>Source 2 / primary support</x:v>
      </x:c>
      <x:c r="H5" s="326" t="str">
        <x:v>Occurrence evidence</x:v>
      </x:c>
      <x:c r="I5" s="326" t="str">
        <x:v>Source independence</x:v>
      </x:c>
      <x:c r="J5" s="326" t="str">
        <x:v>Decision</x:v>
      </x:c>
      <x:c r="K5" s="326" t="str">
        <x:v>Decision reason</x:v>
      </x:c>
      <x:c r="L5" s="326" t="str">
        <x:v>Event ID</x:v>
      </x:c>
    </x:row>
    <x:row r="6">
      <x:c r="A6" s="16" t="str">
        <x:v>IO-CAND-0001</x:v>
      </x:c>
      <x:c r="B6" s="16" t="str">
        <x:v>Project-affected communities protest over Ken–Betwa rehabilitation and compensation</x:v>
      </x:c>
      <x:c r="C6" s="16" t="str">
        <x:v>Madhya Pradesh</x:v>
      </x:c>
      <x:c r="D6" s="16" t="str">
        <x:v>From 2026-07-04; ongoing when reviewed</x:v>
      </x:c>
      <x:c r="E6" s="16" t="str">
        <x:v>Displacement / rehabilitation</x:v>
      </x:c>
      <x:c r="F6" s="16" t="str">
        <x:v>https://www.downtoearth.org.in/rivers/pyre-protest-against-ken-betwa-link-project-resumes-in-madhya-pradesh</x:v>
      </x:c>
      <x:c r="G6" s="16" t="str">
        <x:v>https://timesofindia.indiatimes.com/city/bhopal/protest-against-ken-betwa-project-tribals-allege-their-water-supply-stopped/articleshow/132297638.cms</x:v>
      </x:c>
      <x:c r="H6" s="16" t="str">
        <x:v>Field reporting, photographs and independent publisher confirmation</x:v>
      </x:c>
      <x:c r="I6" s="16" t="str">
        <x:v>Strong</x:v>
      </x:c>
      <x:c r="J6" s="16" t="str">
        <x:v>Selected</x:v>
      </x:c>
      <x:c r="K6" s="16" t="str">
        <x:v>Existing first record; underreported public-interest event with independent corroboration and an official project context source.</x:v>
      </x:c>
      <x:c r="L6" s="16" t="str">
        <x:v>IO-CM-MP-0001</x:v>
      </x:c>
    </x:row>
    <x:row r="7">
      <x:c r="A7" s="16" t="str">
        <x:v>IO-CAND-0002</x:v>
      </x:c>
      <x:c r="B7" s="16" t="str">
        <x:v>Education accountability sit-in and hunger strike at Jantar Mantar</x:v>
      </x:c>
      <x:c r="C7" s="16" t="str">
        <x:v>Delhi</x:v>
      </x:c>
      <x:c r="D7" s="16" t="str">
        <x:v>From 2026-06-20; active through 2026-07-15</x:v>
      </x:c>
      <x:c r="E7" s="16" t="str">
        <x:v>Education accountability</x:v>
      </x:c>
      <x:c r="F7" s="16" t="str">
        <x:v>https://www.reuters.com/world/india/indian-activist-urged-give-up-hunger-strike-over-exam-leaks-2026-07-14/</x:v>
      </x:c>
      <x:c r="G7" s="16" t="str">
        <x:v>https://www.ndtv.com/india-news/cjp-protest-at-jantar-mantar-weak-outside-strong-inside-sonam-wangchuk-on-hunger-strike-for-17-days-11768325</x:v>
      </x:c>
      <x:c r="H7" s="16" t="str">
        <x:v>On-location Reuters reporting, images and multiple independent reports</x:v>
      </x:c>
      <x:c r="I7" s="16" t="str">
        <x:v>Strong</x:v>
      </x:c>
      <x:c r="J7" s="16" t="str">
        <x:v>Selected</x:v>
      </x:c>
      <x:c r="K7" s="16" t="str">
        <x:v>National education issue, continuing civic action and clear separation between verified occurrence and attributed health or exam claims.</x:v>
      </x:c>
      <x:c r="L7" s="16" t="str">
        <x:v>IO-CM-DL-0001</x:v>
      </x:c>
    </x:row>
    <x:row r="8">
      <x:c r="A8" s="16" t="str">
        <x:v>IO-CAND-0003</x:v>
      </x:c>
      <x:c r="B8" s="16" t="str">
        <x:v>Mandya farmers protest for release of KRS irrigation water</x:v>
      </x:c>
      <x:c r="C8" s="16" t="str">
        <x:v>Karnataka</x:v>
      </x:c>
      <x:c r="D8" s="16" t="str">
        <x:v>2026-07-13 to at least 2026-07-14</x:v>
      </x:c>
      <x:c r="E8" s="16" t="str">
        <x:v>Agriculture / irrigation</x:v>
      </x:c>
      <x:c r="F8" s="16" t="str">
        <x:v>https://timesofindia.indiatimes.com/city/mysuru/mandya-farmers-protest-seeking-krs-dam-water/articleshow/132368324.cms</x:v>
      </x:c>
      <x:c r="G8" s="16" t="str">
        <x:v>https://www.newindianexpress.com/states/karnataka/2026/Jul/14/agitation-over-delay-in-releasing-krs-water-intensifies-in-mandya</x:v>
      </x:c>
      <x:c r="H8" s="16" t="str">
        <x:v>Two independent original reports with protest-location details</x:v>
      </x:c>
      <x:c r="I8" s="16" t="str">
        <x:v>Strong</x:v>
      </x:c>
      <x:c r="J8" s="16" t="str">
        <x:v>Selected</x:v>
      </x:c>
      <x:c r="K8" s="16" t="str">
        <x:v>Clear local demand, identifiable authority and independent corroboration.</x:v>
      </x:c>
      <x:c r="L8" s="16" t="str">
        <x:v>IO-CM-KA-0001</x:v>
      </x:c>
    </x:row>
    <x:row r="9">
      <x:c r="A9" s="16" t="str">
        <x:v>IO-CAND-0004</x:v>
      </x:c>
      <x:c r="B9" s="16" t="str">
        <x:v>BKU-Rajewal motorcycle rally in Chandigarh over proposed India–US trade agreement</x:v>
      </x:c>
      <x:c r="C9" s="16" t="str">
        <x:v>Chandigarh / Punjab</x:v>
      </x:c>
      <x:c r="D9" s="16" t="str">
        <x:v>2026-07-13</x:v>
      </x:c>
      <x:c r="E9" s="16" t="str">
        <x:v>Agriculture / trade policy</x:v>
      </x:c>
      <x:c r="F9" s="16" t="str">
        <x:v>https://www.tribuneindia.com/live-blog/chandigarh/farmers-protest-in-chandigarh-live-traffic-halted-at-multiple-points-as-bku-rajewal-members-enter-city/</x:v>
      </x:c>
      <x:c r="G9" s="16" t="str">
        <x:v>https://timesofindia.indiatimes.com/city/chandigarh/farmers-rally-chokes-city-and-mohali-again/articleshow/132375468.cms</x:v>
      </x:c>
      <x:c r="H9" s="16" t="str">
        <x:v>Two independent local reports, photographs and traffic details</x:v>
      </x:c>
      <x:c r="I9" s="16" t="str">
        <x:v>Strong</x:v>
      </x:c>
      <x:c r="J9" s="16" t="str">
        <x:v>Selected</x:v>
      </x:c>
      <x:c r="K9" s="16" t="str">
        <x:v>Well-bounded one-day event with clearly stated demands, official traffic response and documented memorandums.</x:v>
      </x:c>
      <x:c r="L9" s="16" t="str">
        <x:v>IO-CM-CH-0001</x:v>
      </x:c>
    </x:row>
    <x:row r="10">
      <x:c r="A10" s="16" t="str">
        <x:v>IO-CAND-0005</x:v>
      </x:c>
      <x:c r="B10" s="16" t="str">
        <x:v>Save SGNP citizen protest near Chitalsar Manpada, Thane</x:v>
      </x:c>
      <x:c r="C10" s="16" t="str">
        <x:v>Maharashtra</x:v>
      </x:c>
      <x:c r="D10" s="16" t="str">
        <x:v>2026-07-05</x:v>
      </x:c>
      <x:c r="E10" s="16" t="str">
        <x:v>Environment / forest protection</x:v>
      </x:c>
      <x:c r="F10" s="16" t="str">
        <x:v>https://timesofindia.indiatimes.com/city/thane/hundreds-join-save-sgnp-protest-in-thane-oppose-projects-near-forest/articleshow/132199148.cms</x:v>
      </x:c>
      <x:c r="G10" s="16" t="str">
        <x:v>https://www.freepressjournal.in/lifestyle/what-is-the-save-sgnp-movement-understanding-the-protest-against-development-near-sanjay-gandhi-national-park-2</x:v>
      </x:c>
      <x:c r="H10" s="16" t="str">
        <x:v>Independent reports plus campaign material and public field footage</x:v>
      </x:c>
      <x:c r="I10" s="16" t="str">
        <x:v>Moderate to strong</x:v>
      </x:c>
      <x:c r="J10" s="16" t="str">
        <x:v>Selected</x:v>
      </x:c>
      <x:c r="K10" s="16" t="str">
        <x:v>Adds an environmental citizen movement and tests how the repository handles a date discrepancy and campaign-sourced crowd estimates.</x:v>
      </x:c>
      <x:c r="L10" s="16" t="str">
        <x:v>IO-CM-MH-0001</x:v>
      </x:c>
    </x:row>
    <x:row r="11">
      <x:c r="A11" s="16" t="str">
        <x:v>IO-CAND-0006</x:v>
      </x:c>
      <x:c r="B11" s="16" t="str">
        <x:v>Manipur government employees’ cease-work strike</x:v>
      </x:c>
      <x:c r="C11" s="16" t="str">
        <x:v>Manipur</x:v>
      </x:c>
      <x:c r="D11" s="16" t="str">
        <x:v>From 2026-07-01</x:v>
      </x:c>
      <x:c r="E11" s="16" t="str">
        <x:v>Government employment</x:v>
      </x:c>
      <x:c r="F11" s="16" t="str">
        <x:v>https://m.economictimes.com/news/india/manipur-govt-employees-strike-enters-ninth-day-rs-13-28-crore-loss-reported/articleshow/132297673.cms</x:v>
      </x:c>
      <x:c r="G11" s="16" t="str">
        <x:v>https://www.imphaltimes.com/news/state-suffers-estimated-rs-13-28-crore-loss-as-government-employees-cease-work-strike-enters-ninth-day/</x:v>
      </x:c>
      <x:c r="H11" s="16" t="str">
        <x:v>Multiple reports and continuing strike updates</x:v>
      </x:c>
      <x:c r="I11" s="16" t="str">
        <x:v>Moderate</x:v>
      </x:c>
      <x:c r="J11" s="16" t="str">
        <x:v>Not selected for Day 3</x:v>
      </x:c>
      <x:c r="K11" s="16" t="str">
        <x:v>Credible candidate, retained for the next batch so the first five cover a broader mix of issue categories.</x:v>
      </x:c>
      <x:c r="L11" s="16" t="str"/>
    </x:row>
    <x:row r="12">
      <x:c r="A12" s="16" t="str">
        <x:v>IO-CAND-0007</x:v>
      </x:c>
      <x:c r="B12" s="16" t="str">
        <x:v>Maharashtra teachers’ statewide school-shutdown protest</x:v>
      </x:c>
      <x:c r="C12" s="16" t="str">
        <x:v>Maharashtra</x:v>
      </x:c>
      <x:c r="D12" s="16" t="str">
        <x:v>2026-07-09</x:v>
      </x:c>
      <x:c r="E12" s="16" t="str">
        <x:v>Education / employment</x:v>
      </x:c>
      <x:c r="F12" s="16" t="str">
        <x:v>https://timesofindia.indiatimes.com/city/pune/statewide-school-shutdown-today-by-maha-teachers-over-blo-duty/articleshow/132272338.cms</x:v>
      </x:c>
      <x:c r="G12" s="16" t="str">
        <x:v>https://indianexpress.com/article/cities/mumbai/maharashtra-teachers-statewide-school-shutdown-protest-july-9-10774176/</x:v>
      </x:c>
      <x:c r="H12" s="16" t="str">
        <x:v>Strong pre-event reporting; some post-event participation evidence</x:v>
      </x:c>
      <x:c r="I12" s="16" t="str">
        <x:v>Moderate</x:v>
      </x:c>
      <x:c r="J12" s="16" t="str">
        <x:v>Not selected for Day 3</x:v>
      </x:c>
      <x:c r="K12" s="16" t="str">
        <x:v>Retained pending a more complete post-event assessment of participation, geographic variation and the government response.</x:v>
      </x:c>
      <x:c r="L12" s="16" t="str"/>
    </x:row>
    <x:row r="13">
      <x:c r="A13" s="16" t="str">
        <x:v>IO-CAND-0008</x:v>
      </x:c>
      <x:c r="B13" s="16" t="str">
        <x:v>Anna Hazare’s announced hunger strike against Maharashtra RTI Rules</x:v>
      </x:c>
      <x:c r="C13" s="16" t="str">
        <x:v>Maharashtra</x:v>
      </x:c>
      <x:c r="D13" s="16" t="str">
        <x:v>Announced for 2026-07-05</x:v>
      </x:c>
      <x:c r="E13" s="16" t="str">
        <x:v>Transparency / RTI</x:v>
      </x:c>
      <x:c r="F13" s="16" t="str">
        <x:v>https://www.newindianexpress.com/states/maharashtra/2026/Jun/23/anna-hazare-warns-of-hunger-strike-from-july-5-if-maharashtra-govt-does-not-revoke-rti-rule-amendments</x:v>
      </x:c>
      <x:c r="G13" s="16" t="str">
        <x:v>https://timesofindia.indiatimes.com/city/pune/anna-hazare-writes-to-cm-warns-of-indefinite-hunger-strike-over-new-rti-rules-from-july-5/articleshow/131918664.cms</x:v>
      </x:c>
      <x:c r="H13" s="16" t="str">
        <x:v>Announcement confirmed; commencement not clearly confirmed in reviewed sources</x:v>
      </x:c>
      <x:c r="I13" s="16" t="str">
        <x:v>Weak for occurrence</x:v>
      </x:c>
      <x:c r="J13" s="16" t="str">
        <x:v>Not selected for Day 3</x:v>
      </x:c>
      <x:c r="K13" s="16" t="str">
        <x:v>Do not create an event record from an announced action unless reliable evidence confirms that it actually began.</x:v>
      </x:c>
      <x:c r="L13" s="16" t="str"/>
    </x:row>
    <x:row r="14">
      <x:c r="A14" s="16" t="str">
        <x:v>IO-CAND-0009</x:v>
      </x:c>
      <x:c r="B14" s="16" t="str">
        <x:v>Bidadi farmers’ movement against Greater Bengaluru Integrated Township land acquisition</x:v>
      </x:c>
      <x:c r="C14" s="16" t="str">
        <x:v>Karnataka</x:v>
      </x:c>
      <x:c r="D14" s="16" t="str">
        <x:v>Long-running; active through 2026-07-15</x:v>
      </x:c>
      <x:c r="E14" s="16" t="str">
        <x:v>Agriculture / land acquisition / environment</x:v>
      </x:c>
      <x:c r="F14" s="16" t="str">
        <x:v>https://www.thenewsminute.com/karnataka/ground-report-bidadi-farmers-resist-ai-city-land-acquisition-after-years-under-red-zone</x:v>
      </x:c>
      <x:c r="G14" s="16" t="str">
        <x:v>https://www.newindianexpress.com/cities/bengaluru/2026/Jun/13/karnataka-govt-set-to-acquire-500-acres-for-bidadi-township-project</x:v>
      </x:c>
      <x:c r="H14" s="16" t="str">
        <x:v>Long-running ground reporting, final acquisition notification reported by independent outlets, repeated public actions and a documented government response</x:v>
      </x:c>
      <x:c r="I14" s="16" t="str">
        <x:v>Strong</x:v>
      </x:c>
      <x:c r="J14" s="16" t="str">
        <x:v>Selected</x:v>
      </x:c>
      <x:c r="K14" s="16" t="str">
        <x:v>Meets all inclusion criteria: confirmed sustained occurrence, independent corroboration, a clear public demand, an identifiable government project and authority, and claim-level separation of disputed facts.</x:v>
      </x:c>
      <x:c r="L14" s="16" t="str">
        <x:v>IO-CM-KA-0002</x:v>
      </x:c>
    </x:row>
    <x:row r="15">
      <x:c r="A15" t="str">
        <x:v>IO-CAND-0010</x:v>
      </x:c>
      <x:c r="B15" t="str">
        <x:v>Morbi farmers' satyagraha over transmission-project compensation</x:v>
      </x:c>
      <x:c r="C15" t="str">
        <x:v>Gujarat</x:v>
      </x:c>
      <x:c r="D15" t="str">
        <x:v>From 2026-06-07; ongoing after 2026-07-07</x:v>
      </x:c>
      <x:c r="E15" t="str">
        <x:v>Land acquisition / compensation</x:v>
      </x:c>
      <x:c r="F15" t="str">
        <x:v>https://indianexpress.com/article/cities/ahmedabad/gujarat-farmers-protest-adani-transmission-line-compensation-morbi-10775737/</x:v>
      </x:c>
      <x:c r="G15" t="str">
        <x:v>https://m.thewire.in/article/rights/nothing-short-of-dictatorship-despite-compensation-hike-gujarat-farmers-fast-against-adani-project-on/amp</x:v>
      </x:c>
      <x:c r="H15" t="str">
        <x:v>Three independent reports plus community social-media discovery material</x:v>
      </x:c>
      <x:c r="I15" t="str">
        <x:v>Strong</x:v>
      </x:c>
      <x:c r="J15" t="str">
        <x:v>Selected</x:v>
      </x:c>
      <x:c r="K15" t="str">
        <x:v>A long-running rural land-compensation movement with a documented policy response and continued protest after a hunger strike.</x:v>
      </x:c>
      <x:c r="L15" t="str">
        <x:v>IO-CM-GJ-0001</x:v>
      </x:c>
    </x:row>
    <x:row r="16">
      <x:c r="A16" t="str">
        <x:v>IO-CAND-0011</x:v>
      </x:c>
      <x:c r="B16" t="str">
        <x:v>Dasiya villagers oppose proposed ethanol plant in Basti district</x:v>
      </x:c>
      <x:c r="C16" t="str">
        <x:v>Uttar Pradesh</x:v>
      </x:c>
      <x:c r="D16" t="str">
        <x:v>From 2026-06-23; major protest 2026-07-14</x:v>
      </x:c>
      <x:c r="E16" t="str">
        <x:v>Environment / industrial project</x:v>
      </x:c>
      <x:c r="F16" t="str">
        <x:v>https://navbharattimes.indiatimes.com/state/uttar-pradesh/basti/e20-petrol-buzz-across-country-protest-ethanol-factory-being-built-in-dasiya-basti/articleshow/132390066.cms</x:v>
      </x:c>
      <x:c r="G16" t="str">
        <x:v>https://www.amarujala.com/uttar-pradesh/basti/opposition-to-the-proposed-ethanol-factory-basti-news-c-207-1-bst1006-161009-2026-06-23</x:v>
      </x:c>
      <x:c r="H16" t="str">
        <x:v>Local-language reporting and field video establish chronology and occurrence</x:v>
      </x:c>
      <x:c r="I16" t="str">
        <x:v>Strong</x:v>
      </x:c>
      <x:c r="J16" t="str">
        <x:v>Selected</x:v>
      </x:c>
      <x:c r="K16" t="str">
        <x:v>Important rural industrial-environment dispute found through local-language and community channels rather than national coverage.</x:v>
      </x:c>
      <x:c r="L16" t="str">
        <x:v>IO-CM-UP-0001</x:v>
      </x:c>
    </x:row>
    <x:row r="17">
      <x:c r="A17" t="str">
        <x:v>IO-CAND-0012</x:v>
      </x:c>
      <x:c r="B17" t="str">
        <x:v>Malgaon Bodo residents protest APDCL land allotment and resettlement proposal</x:v>
      </x:c>
      <x:c r="C17" t="str">
        <x:v>Assam</x:v>
      </x:c>
      <x:c r="D17" t="str">
        <x:v>2026-07-12</x:v>
      </x:c>
      <x:c r="E17" t="str">
        <x:v>Tribal land / resettlement</x:v>
      </x:c>
      <x:c r="F17" t="str">
        <x:v>https://www.indiatodayne.in/assam/video/bodo-community-protests-land-allotment-to-apdcl-opposes-rehabilitation-of-evicted-families-in-assams-kokrajhar-1423007-2026-07-12</x:v>
      </x:c>
      <x:c r="G17" t="str">
        <x:v>https://www.facebook.com/kokrajharnews/posts/malgaon-villagers-protest-against-proposed-apdcl-project-and-minority-resettleme/1516794640464697/</x:v>
      </x:c>
      <x:c r="H17" t="str">
        <x:v>Regional video reporting plus local community-news coverage</x:v>
      </x:c>
      <x:c r="I17" t="str">
        <x:v>Moderate to strong</x:v>
      </x:c>
      <x:c r="J17" t="str">
        <x:v>Selected</x:v>
      </x:c>
      <x:c r="K17" t="str">
        <x:v>Remote land-rights event with little national attention; record can document the process without targeting proposed resettlement beneficiaries.</x:v>
      </x:c>
      <x:c r="L17" t="str">
        <x:v>IO-CM-AS-0001</x:v>
      </x:c>
    </x:row>
    <x:row r="18">
      <x:c r="A18" t="str">
        <x:v>IO-CAND-0013</x:v>
      </x:c>
      <x:c r="B18" t="str">
        <x:v>Manipur government employees' indefinite cease-work strike</x:v>
      </x:c>
      <x:c r="C18" t="str">
        <x:v>Manipur</x:v>
      </x:c>
      <x:c r="D18" t="str">
        <x:v>From 2026-07-01; ongoing through review date</x:v>
      </x:c>
      <x:c r="E18" t="str">
        <x:v>Labour / public administration</x:v>
      </x:c>
      <x:c r="F18" t="str">
        <x:v>https://economictimes.indiatimes.com/news/india/manipur-govt-employees-strike-enters-ninth-day-rs-13-28-crore-loss-reported/articleshow/132297673.cms</x:v>
      </x:c>
      <x:c r="G18" t="str">
        <x:v>https://nenow.in/north-east-news/manipur/manipur-govt-announces-five-day-work-week-employees-continue-cease-work-strike.html</x:v>
      </x:c>
      <x:c r="H18" t="str">
        <x:v>Regional and state-level reporting, including a partial government response</x:v>
      </x:c>
      <x:c r="I18" t="str">
        <x:v>Strong</x:v>
      </x:c>
      <x:c r="J18" t="str">
        <x:v>Selected</x:v>
      </x:c>
      <x:c r="K18" t="str">
        <x:v>A statewide service-conditions strike with measurable administrative impact and a documented but incomplete government response.</x:v>
      </x:c>
      <x:c r="L18" t="str">
        <x:v>IO-CM-MN-0001</x:v>
      </x:c>
    </x:row>
    <x:row r="19">
      <x:c r="A19" t="str">
        <x:v>IO-CAND-0014</x:v>
      </x:c>
      <x:c r="B19" t="str">
        <x:v>Dharmasala school students protest teacher vacancies</x:v>
      </x:c>
      <x:c r="C19" t="str">
        <x:v>Odisha</x:v>
      </x:c>
      <x:c r="D19" t="str">
        <x:v>2026-07-10</x:v>
      </x:c>
      <x:c r="E19" t="str">
        <x:v>Education / staffing</x:v>
      </x:c>
      <x:c r="F19" t="str">
        <x:v>https://www.newindianexpress.com/states/odisha/2026/Jul/11/dharmasala-high-school-students-stage-protest-over-teacher-shortage</x:v>
      </x:c>
      <x:c r="G19" t="str">
        <x:v>https://timesofindia.indiatimes.com/city/bhubaneswar/school-students-lock-gate-stage-dharna-over-teacher-shortage/articleshow/132310990.cms</x:v>
      </x:c>
      <x:c r="H19" t="str">
        <x:v>Two independent reports agree on the event and same-day response, with transparent numerical discrepancies</x:v>
      </x:c>
      <x:c r="I19" t="str">
        <x:v>Strong</x:v>
      </x:c>
      <x:c r="J19" t="str">
        <x:v>Selected</x:v>
      </x:c>
      <x:c r="K19" t="str">
        <x:v>Small rural student protest with an immediate institutional response; demonstrates the value of documenting locally important outcomes.</x:v>
      </x:c>
      <x:c r="L19" t="str">
        <x:v>IO-CM-OD-0001</x:v>
      </x:c>
    </x:row>
    <x:row r="20">
      <x:c r="A20" t="str">
        <x:v>IO-CAND-0015</x:v>
      </x:c>
      <x:c r="B20" t="str">
        <x:v>Koida landowners dig up road during land dispute protest</x:v>
      </x:c>
      <x:c r="C20" t="str">
        <x:v>Odisha</x:v>
      </x:c>
      <x:c r="D20" t="str">
        <x:v>July 2026; exact date under verification</x:v>
      </x:c>
      <x:c r="E20" t="str">
        <x:v>Land dispute / industrial transport</x:v>
      </x:c>
      <x:c r="F20" t="str">
        <x:v>https://www.instagram.com/p/DXBtlMHDG1Y/</x:v>
      </x:c>
      <x:c r="G20" t="str">
        <x:v>https://www.facebook.com/satyanewsalert/posts/jcb-used-to-dig-up-road-in-protest-over-land-dispute-in-koida-sundargarhkoida136/1677474887715310/</x:v>
      </x:c>
      <x:c r="H20" t="str">
        <x:v>Multiple social posts appear to describe the same dramatic action, but independent original reporting and official context are insufficient</x:v>
      </x:c>
      <x:c r="I20" t="str">
        <x:v>Weak to moderate</x:v>
      </x:c>
      <x:c r="J20" t="str">
        <x:v>Needs more research</x:v>
      </x:c>
      <x:c r="K20" t="str">
        <x:v>High-value remote lead, but current sources may share the same underlying material and do not adequately establish the land dispute, date or responsible authorities.</x:v>
      </x:c>
      <x:c r="L20"/>
    </x:row>
    <x:row r="21">
      <x:c r="A21" t="str">
        <x:v>IO-CAND-0016</x:v>
      </x:c>
      <x:c r="B21" t="str">
        <x:v>AASU sit-in at Sonari over Charaideo boundary and infrastructure issues</x:v>
      </x:c>
      <x:c r="C21" t="str">
        <x:v>Assam</x:v>
      </x:c>
      <x:c r="D21" t="str">
        <x:v>2026-07-13</x:v>
      </x:c>
      <x:c r="E21" t="str">
        <x:v>Governance / infrastructure</x:v>
      </x:c>
      <x:c r="F21" t="str">
        <x:v>https://timesofindia.indiatimes.com/city/guwahati/aasu-holds-sit-in-in-charaideo-flags-boundary-infra-issues/articleshow/132374472.cms</x:v>
      </x:c>
      <x:c r="G21" t="str">
        <x:v>https://www.facebook.com/thesentinel.assam/videos/all-assam-students-union-aasu-organised-a-protest-in-sonari-of-charaideo-distric/960006642954093/</x:v>
      </x:c>
      <x:c r="H21" t="str">
        <x:v>One strong text report plus a video lead; the source relationship and broad demand bundle need more work</x:v>
      </x:c>
      <x:c r="I21" t="str">
        <x:v>Moderate</x:v>
      </x:c>
      <x:c r="J21" t="str">
        <x:v>Not selected for Day 5</x:v>
      </x:c>
      <x:c r="K21" t="str">
        <x:v>Valid-looking event, retained for a later batch after demands are separated and an independent primary or local source is added.</x:v>
      </x:c>
      <x:c r="L21"/>
    </x:row>
    <x:row r="22">
      <x:c r="A22" t="str">
        <x:v>IO-CAND-0017</x:v>
      </x:c>
      <x:c r="B22" t="str">
        <x:v>Teacher-shortage protests at Kumarkeli and Nuahat schools</x:v>
      </x:c>
      <x:c r="C22" t="str">
        <x:v>Odisha</x:v>
      </x:c>
      <x:c r="D22" t="str">
        <x:v>July 2026</x:v>
      </x:c>
      <x:c r="E22" t="str">
        <x:v>Education / staffing</x:v>
      </x:c>
      <x:c r="F22" t="str">
        <x:v>https://www.youtube.com/watch?v=8PJkBjrT1bs</x:v>
      </x:c>
      <x:c r="G22" t="str">
        <x:v>https://www.youtube.com/watch?v=kTwMeWPeWho</x:v>
      </x:c>
      <x:c r="H22" t="str">
        <x:v>Two video leads concern different schools and cannot be combined as one event</x:v>
      </x:c>
      <x:c r="I22" t="str">
        <x:v>Weak for a single record</x:v>
      </x:c>
      <x:c r="J22" t="str">
        <x:v>Needs more research</x:v>
      </x:c>
      <x:c r="K22" t="str">
        <x:v>The discovery search surfaced multiple rural school protests, but each school must receive a separate identity, date, district and verification chain.</x:v>
      </x:c>
      <x:c r="L22"/>
    </x:row>
    <x:row r="23">
      <x:c r="A23" t="str">
        <x:v>IO-CAND-0018</x:v>
      </x:c>
      <x:c r="B23" t="str">
        <x:v>Current anti-mining mobilisation in the Sijimali hills</x:v>
      </x:c>
      <x:c r="C23" t="str">
        <x:v>Odisha</x:v>
      </x:c>
      <x:c r="D23" t="str">
        <x:v>Ongoing movement; specific July phase under verification</x:v>
      </x:c>
      <x:c r="E23" t="str">
        <x:v>Tribal land / mining / environment</x:v>
      </x:c>
      <x:c r="F23" t="str">
        <x:v>https://india.mongabay.com/2026/06/a-bauxite-mining-project-contested-consent-and-growing-tensions/</x:v>
      </x:c>
      <x:c r="G23" t="str">
        <x:v>https://www.instagram.com/reel/DXKHiitE-S_/</x:v>
      </x:c>
      <x:c r="H23" t="str">
        <x:v>Strong movement context but the current event boundary, date and exact protest action are not sufficiently defined</x:v>
      </x:c>
      <x:c r="I23" t="str">
        <x:v>Moderate</x:v>
      </x:c>
      <x:c r="J23" t="str">
        <x:v>Needs more research</x:v>
      </x:c>
      <x:c r="K23" t="str">
        <x:v>Important remote movement with substantial public-interest value, but the repository needs to separate the long movement from individual clashes, meetings, arrests and solidarity actions.</x:v>
      </x:c>
      <x:c r="L23" t="str"/>
    </x:row>
    <x:row r="24">
      <x:c r="A24" t="str">
        <x:v>IO-CAND-0019</x:v>
      </x:c>
      <x:c r="B24" t="str">
        <x:v>Daringbadi villagers protest for road construction</x:v>
      </x:c>
      <x:c r="C24" t="str">
        <x:v>Odisha</x:v>
      </x:c>
      <x:c r="D24" t="str">
        <x:v>July 2026; exact date under verification</x:v>
      </x:c>
      <x:c r="E24" t="str">
        <x:v>Infrastructure / road access</x:v>
      </x:c>
      <x:c r="F24" t="str">
        <x:v>https://www.youtube.com/watch?v=wz3JbIujRRk</x:v>
      </x:c>
      <x:c r="G24"/>
      <x:c r="H24" t="str">
        <x:v>One regional video lead located; independent corroboration and responsible-authority details are missing</x:v>
      </x:c>
      <x:c r="I24" t="str">
        <x:v>Weak</x:v>
      </x:c>
      <x:c r="J24" t="str">
        <x:v>Needs more research</x:v>
      </x:c>
      <x:c r="K24" t="str">
        <x:v>Potentially important remote service-delivery event, retained until location, date, village demands and authority response can be independently confirmed.</x:v>
      </x:c>
      <x:c r="L24"/>
    </x:row>
  </x:sheetData>
  <x:mergeCells>
    <x:mergeCell ref="A1:L2"/>
    <x:mergeCell ref="A3:L3"/>
  </x:mergeCells>
  <x:conditionalFormatting sqref="J6:J13">
    <x:cfRule type="expression" dxfId="21" priority="1">
      <x:formula>J6="Selected"</x:formula>
    </x:cfRule>
    <x:cfRule type="expression" dxfId="22" priority="2">
      <x:formula>J6="Not selected for Day 3"</x:formula>
    </x:cfRule>
  </x:conditionalFormatting>
  <x:dataValidations count="1">
    <x:dataValidation type="list" sqref="J6:J13">
      <x:formula1>"Selected,Not selected for Day 3,Needs more research"</x:formula1>
    </x:dataValidation>
  </x:dataValidations>
  <x:pageMargins left="0.7" right="0.7" top="0.75" bottom="0.75" header="0.3" footer="0.3"/>
  <x:tableParts count="1">
    <x:tablePart xmlns:r="http://schemas.openxmlformats.org/officeDocument/2006/relationships" r:id="Rd2322c661cae47dd"/>
  </x:tableParts>
</x:worksheet>
</file>

<file path=xl/worksheets/sheet1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x:c r="A1" s="346" t="str">
        <x:v>India Observed — Visual Summary</x:v>
      </x:c>
      <x:c r="B1" s="346"/>
      <x:c r="C1" s="346"/>
      <x:c r="D1" s="346"/>
      <x:c r="E1" s="346"/>
      <x:c r="F1" s="346"/>
      <x:c r="G1" s="346"/>
      <x:c r="H1" s="346"/>
      <x:c r="I1" s="346"/>
      <x:c r="J1" s="346"/>
      <x:c r="K1" s="346"/>
      <x:c r="L1" s="346"/>
      <x:c r="M1" s="346"/>
      <x:c r="N1" s="346"/>
      <x:c r="O1" s="346"/>
    </x:row>
    <x:row r="2">
      <x:c r="A2" s="346"/>
      <x:c r="B2" s="346"/>
      <x:c r="C2" s="346"/>
      <x:c r="D2" s="346"/>
      <x:c r="E2" s="346"/>
      <x:c r="F2" s="346"/>
      <x:c r="G2" s="346"/>
      <x:c r="H2" s="346"/>
      <x:c r="I2" s="346"/>
      <x:c r="J2" s="346"/>
      <x:c r="K2" s="346"/>
      <x:c r="L2" s="346"/>
      <x:c r="M2" s="346"/>
      <x:c r="N2" s="346"/>
      <x:c r="O2" s="346"/>
    </x:row>
    <x:row r="3">
      <x:c r="A3" s="348" t="str">
        <x:v>Automatically updates from the event, claim, source and correction registers.</x:v>
      </x:c>
      <x:c r="B3" s="348"/>
      <x:c r="C3" s="348"/>
      <x:c r="D3" s="348"/>
      <x:c r="E3" s="348"/>
      <x:c r="F3" s="348"/>
      <x:c r="G3" s="348"/>
      <x:c r="H3" s="348"/>
      <x:c r="I3" s="348"/>
      <x:c r="J3" s="348"/>
      <x:c r="K3" s="348"/>
      <x:c r="L3" s="348"/>
      <x:c r="M3" s="348"/>
      <x:c r="N3" s="348"/>
      <x:c r="O3" s="348"/>
    </x:row>
    <x:row r="5">
      <x:c r="A5" s="350" t="str">
        <x:v>TOTAL EVENTS</x:v>
      </x:c>
      <x:c r="D5" s="350" t="str">
        <x:v>STATES / UTS COVERED</x:v>
      </x:c>
      <x:c r="G5" s="350" t="str">
        <x:v>ONGOING / UNRESOLVED</x:v>
      </x:c>
      <x:c r="J5" s="350" t="str">
        <x:v>TOPICS COVERED</x:v>
      </x:c>
      <x:c r="M5" s="350" t="str">
        <x:v>HIGH / CRITICAL</x:v>
      </x:c>
    </x:row>
    <x:row r="6">
      <x:c r="A6" s="374" t="n">
        <x:f>SUM('Analytics Data'!$U$5:$U$40)</x:f>
        <x:v>11</x:v>
      </x:c>
      <x:c r="B6" s="375"/>
      <x:c r="C6" s="376"/>
      <x:c r="D6" s="374" t="n">
        <x:f>COUNTIF('Analytics Data'!$U$5:$U$40,"&gt;0")</x:f>
        <x:v>10</x:v>
      </x:c>
      <x:c r="E6" s="375"/>
      <x:c r="F6" s="376"/>
      <x:c r="G6" s="374" t="n">
        <x:f>COUNTIF('Analytics Data'!$D$6:$D$1001,"Ongoing")+COUNTIF('Analytics Data'!$D$6:$D$1001,"Unresolved")</x:f>
        <x:v>7</x:v>
      </x:c>
      <x:c r="H6" s="375"/>
      <x:c r="I6" s="376"/>
      <x:c r="J6" s="374" t="n">
        <x:f>COUNTIF('Analytics Data'!$U$45:$U$55,"&gt;0")</x:f>
        <x:v>6</x:v>
      </x:c>
      <x:c r="K6" s="375"/>
      <x:c r="L6" s="376"/>
      <x:c r="M6" s="374" t="n">
        <x:f>COUNTIF('Analytics Data'!$K$6:$K$1001,"High")+COUNTIF('Analytics Data'!$K$6:$K$1001,"Critical")</x:f>
        <x:v>6</x:v>
      </x:c>
      <x:c r="N6" s="375"/>
      <x:c r="O6" s="376"/>
    </x:row>
    <x:row r="7">
      <x:c r="A7" s="377"/>
      <x:c r="B7" s="378"/>
      <x:c r="C7" s="379"/>
      <x:c r="D7" s="377"/>
      <x:c r="E7" s="378"/>
      <x:c r="F7" s="379"/>
      <x:c r="G7" s="377"/>
      <x:c r="H7" s="378"/>
      <x:c r="I7" s="379"/>
      <x:c r="J7" s="377"/>
      <x:c r="K7" s="378"/>
      <x:c r="L7" s="379"/>
      <x:c r="M7" s="377"/>
      <x:c r="N7" s="378"/>
      <x:c r="O7" s="379"/>
    </x:row>
    <x:row r="8">
      <x:c r="A8" s="380"/>
      <x:c r="B8" s="381"/>
      <x:c r="C8" s="382"/>
      <x:c r="D8" s="380"/>
      <x:c r="E8" s="381"/>
      <x:c r="F8" s="382"/>
      <x:c r="G8" s="380"/>
      <x:c r="H8" s="381"/>
      <x:c r="I8" s="382"/>
      <x:c r="J8" s="380"/>
      <x:c r="K8" s="381"/>
      <x:c r="L8" s="382"/>
      <x:c r="M8" s="380"/>
      <x:c r="N8" s="381"/>
      <x:c r="O8" s="382"/>
    </x:row>
    <x:row r="10">
      <x:c r="A10" s="350" t="str">
        <x:v>AVG SOURCES / EVENT</x:v>
      </x:c>
      <x:c r="D10" s="350" t="str">
        <x:v>AVG CLAIMS / EVENT</x:v>
      </x:c>
      <x:c r="G10" s="350" t="str">
        <x:v>CONCLUDED EVENTS</x:v>
      </x:c>
      <x:c r="J10" s="350" t="str">
        <x:v>OCCURRENCE VERIFIED</x:v>
      </x:c>
      <x:c r="M10" s="350" t="str">
        <x:v>CORRECTIONS LOGGED</x:v>
      </x:c>
    </x:row>
    <x:row r="11">
      <x:c r="A11" s="387" t="n">
        <x:f>IF(A6=0,0,SUM('Analytics Data'!$M$6:$M$1001)/A6)</x:f>
        <x:v>4.181818181818182</x:v>
      </x:c>
      <x:c r="B11" s="375"/>
      <x:c r="C11" s="376"/>
      <x:c r="D11" s="387" t="n">
        <x:f>IF(A6=0,0,SUM('Analytics Data'!$L$6:$L$1001)/A6)</x:f>
        <x:v>8.090909090909092</x:v>
      </x:c>
      <x:c r="E11" s="375"/>
      <x:c r="F11" s="376"/>
      <x:c r="G11" s="374" t="n">
        <x:f>COUNTIF('Analytics Data'!$D$6:$D$1001,"Concluded")</x:f>
        <x:v>4</x:v>
      </x:c>
      <x:c r="H11" s="375"/>
      <x:c r="I11" s="376"/>
      <x:c r="J11" s="374" t="n">
        <x:f>COUNTIF('Analytics Data'!$R$6:$R$1001,"Occurrence verified")</x:f>
        <x:v>11</x:v>
      </x:c>
      <x:c r="K11" s="375"/>
      <x:c r="L11" s="376"/>
      <x:c r="M11" s="374" t="n">
        <x:f>COUNTA(Corrections!$A$5:$A$500)</x:f>
        <x:v>2</x:v>
      </x:c>
      <x:c r="N11" s="375"/>
      <x:c r="O11" s="376"/>
    </x:row>
    <x:row r="12">
      <x:c r="A12" s="377"/>
      <x:c r="B12" s="378"/>
      <x:c r="C12" s="379"/>
      <x:c r="D12" s="377"/>
      <x:c r="E12" s="378"/>
      <x:c r="F12" s="379"/>
      <x:c r="G12" s="377"/>
      <x:c r="H12" s="378"/>
      <x:c r="I12" s="379"/>
      <x:c r="J12" s="377"/>
      <x:c r="K12" s="378"/>
      <x:c r="L12" s="379"/>
      <x:c r="M12" s="377"/>
      <x:c r="N12" s="378"/>
      <x:c r="O12" s="379"/>
    </x:row>
    <x:row r="13">
      <x:c r="A13" s="380"/>
      <x:c r="B13" s="381"/>
      <x:c r="C13" s="382"/>
      <x:c r="D13" s="380"/>
      <x:c r="E13" s="381"/>
      <x:c r="F13" s="382"/>
      <x:c r="G13" s="380"/>
      <x:c r="H13" s="381"/>
      <x:c r="I13" s="382"/>
      <x:c r="J13" s="380"/>
      <x:c r="K13" s="381"/>
      <x:c r="L13" s="382"/>
      <x:c r="M13" s="380"/>
      <x:c r="N13" s="381"/>
      <x:c r="O13" s="382"/>
    </x:row>
    <x:row r="14">
      <x:c r="A14" s="390" t="str">
        <x:v>Events by State / UT</x:v>
      </x:c>
      <x:c r="B14" s="390"/>
      <x:c r="C14" s="390"/>
      <x:c r="D14" s="390"/>
      <x:c r="E14" s="390"/>
      <x:c r="F14" s="390"/>
      <x:c r="G14" s="390"/>
      <x:c r="H14" s="390" t="str">
        <x:v>Events by Primary Topic</x:v>
      </x:c>
      <x:c r="I14" s="390"/>
      <x:c r="J14" s="390"/>
      <x:c r="K14" s="390"/>
      <x:c r="L14" s="390"/>
      <x:c r="M14" s="390"/>
      <x:c r="N14" s="390"/>
      <x:c r="O14" s="390"/>
    </x:row>
    <x:row r="32">
      <x:c r="A32" s="390" t="str">
        <x:v>Operational Intensity</x:v>
      </x:c>
      <x:c r="B32" s="390"/>
      <x:c r="C32" s="390"/>
      <x:c r="D32" s="390"/>
      <x:c r="E32" s="390"/>
      <x:c r="F32" s="390"/>
      <x:c r="G32" s="390"/>
      <x:c r="H32" s="390" t="str">
        <x:v>Event Status</x:v>
      </x:c>
      <x:c r="I32" s="390"/>
      <x:c r="J32" s="390"/>
      <x:c r="K32" s="390"/>
      <x:c r="L32" s="390"/>
      <x:c r="M32" s="390"/>
      <x:c r="N32" s="390"/>
      <x:c r="O32" s="390"/>
    </x:row>
    <x:row r="49">
      <x:c r="A49" s="390" t="str">
        <x:v>Evidence Depth by Event</x:v>
      </x:c>
      <x:c r="B49" s="390"/>
      <x:c r="C49" s="390"/>
      <x:c r="D49" s="390"/>
      <x:c r="E49" s="390"/>
      <x:c r="F49" s="390"/>
      <x:c r="G49" s="390"/>
      <x:c r="H49" s="390"/>
      <x:c r="I49" s="390"/>
      <x:c r="J49" s="390"/>
      <x:c r="K49" s="390"/>
      <x:c r="L49" s="390"/>
      <x:c r="M49" s="390"/>
      <x:c r="N49" s="390"/>
      <x:c r="O49" s="390"/>
    </x:row>
    <x:row r="69">
      <x:c r="A69" s="510" t="str">
        <x:v>Lead Discovery Channels</x:v>
      </x:c>
      <x:c r="B69" s="510"/>
      <x:c r="C69" s="510"/>
      <x:c r="D69" s="510"/>
      <x:c r="E69" s="510"/>
      <x:c r="F69" s="510"/>
      <x:c r="G69" s="510"/>
      <x:c r="H69" s="510" t="str">
        <x:v>Coverage Profile</x:v>
      </x:c>
      <x:c r="I69" s="510"/>
      <x:c r="J69" s="510"/>
      <x:c r="K69" s="510"/>
      <x:c r="L69" s="510"/>
      <x:c r="M69" s="510"/>
      <x:c r="N69" s="510"/>
      <x:c r="O69" s="510"/>
    </x:row>
    <x:row r="70">
      <x:c r="A70" s="423"/>
      <x:c r="B70" s="424"/>
      <x:c r="C70" s="424"/>
      <x:c r="D70" s="424"/>
      <x:c r="E70" s="424"/>
      <x:c r="F70" s="424"/>
      <x:c r="G70" s="424"/>
      <x:c r="H70" s="424"/>
      <x:c r="I70" s="424"/>
      <x:c r="J70" s="424"/>
      <x:c r="K70" s="424"/>
      <x:c r="L70" s="424"/>
      <x:c r="M70" s="424"/>
      <x:c r="N70" s="424"/>
      <x:c r="O70" s="425"/>
    </x:row>
    <x:row r="71">
      <x:c r="A71" s="423"/>
      <x:c r="B71" s="424"/>
      <x:c r="C71" s="424"/>
      <x:c r="D71" s="424"/>
      <x:c r="E71" s="424"/>
      <x:c r="F71" s="424"/>
      <x:c r="G71" s="424"/>
      <x:c r="H71" s="424"/>
      <x:c r="I71" s="424"/>
      <x:c r="J71" s="424"/>
      <x:c r="K71" s="424"/>
      <x:c r="L71" s="424"/>
      <x:c r="M71" s="424"/>
      <x:c r="N71" s="424"/>
      <x:c r="O71" s="425"/>
    </x:row>
    <x:row r="72">
      <x:c r="A72" s="423"/>
      <x:c r="B72" s="424"/>
      <x:c r="C72" s="424"/>
      <x:c r="D72" s="424"/>
      <x:c r="E72" s="424"/>
      <x:c r="F72" s="424"/>
      <x:c r="G72" s="424"/>
      <x:c r="H72" s="424"/>
      <x:c r="I72" s="424"/>
      <x:c r="J72" s="424"/>
      <x:c r="K72" s="424"/>
      <x:c r="L72" s="424"/>
      <x:c r="M72" s="424"/>
      <x:c r="N72" s="424"/>
      <x:c r="O72" s="425"/>
    </x:row>
    <x:row r="73">
      <x:c r="A73" s="423"/>
      <x:c r="B73" s="424"/>
      <x:c r="C73" s="424"/>
      <x:c r="D73" s="424"/>
      <x:c r="E73" s="424"/>
      <x:c r="F73" s="424"/>
      <x:c r="G73" s="424"/>
      <x:c r="H73" s="424"/>
      <x:c r="I73" s="424"/>
      <x:c r="J73" s="424"/>
      <x:c r="K73" s="424"/>
      <x:c r="L73" s="424"/>
      <x:c r="M73" s="424"/>
      <x:c r="N73" s="424"/>
      <x:c r="O73" s="425"/>
    </x:row>
    <x:row r="74">
      <x:c r="A74" s="426"/>
      <x:c r="B74" s="427"/>
      <x:c r="C74" s="427"/>
      <x:c r="D74" s="427"/>
      <x:c r="E74" s="427"/>
      <x:c r="F74" s="427"/>
      <x:c r="G74" s="427"/>
      <x:c r="H74" s="427"/>
      <x:c r="I74" s="427"/>
      <x:c r="J74" s="427"/>
      <x:c r="K74" s="427"/>
      <x:c r="L74" s="427"/>
      <x:c r="M74" s="427"/>
      <x:c r="N74" s="427"/>
      <x:c r="O74" s="428"/>
    </x:row>
    <x:row r="88">
      <x:c r="A88" s="540" t="str">
        <x:v>Operational intensity is a working analytical index, not a judgement about legitimacy or importance. It combines duration, protest method, disruption, legal or police escalation and whether the event remains active. Scores: 1 Limited, 2 Local, 3 Significant, 4 High and 5 Critical. Primary topic is now an editorial field in the Events register; keyword classification is used only as a fallback. Discovery channel records how a lead was found, while the Sources register remains the basis for verification.</x:v>
      </x:c>
      <x:c r="B88" s="541"/>
      <x:c r="C88" s="541"/>
      <x:c r="D88" s="541"/>
      <x:c r="E88" s="541"/>
      <x:c r="F88" s="541"/>
      <x:c r="G88" s="541"/>
      <x:c r="H88" s="541"/>
      <x:c r="I88" s="541"/>
      <x:c r="J88" s="541"/>
      <x:c r="K88" s="541"/>
      <x:c r="L88" s="541"/>
      <x:c r="M88" s="541"/>
      <x:c r="N88" s="541"/>
      <x:c r="O88" s="542"/>
    </x:row>
    <x:row r="89">
      <x:c r="A89" s="543"/>
      <x:c r="B89" s="544"/>
      <x:c r="C89" s="544"/>
      <x:c r="D89" s="544"/>
      <x:c r="E89" s="544"/>
      <x:c r="F89" s="544"/>
      <x:c r="G89" s="544"/>
      <x:c r="H89" s="544"/>
      <x:c r="I89" s="544"/>
      <x:c r="J89" s="544"/>
      <x:c r="K89" s="544"/>
      <x:c r="L89" s="544"/>
      <x:c r="M89" s="544"/>
      <x:c r="N89" s="544"/>
      <x:c r="O89" s="545"/>
    </x:row>
    <x:row r="90">
      <x:c r="A90" s="543"/>
      <x:c r="B90" s="544"/>
      <x:c r="C90" s="544"/>
      <x:c r="D90" s="544"/>
      <x:c r="E90" s="544"/>
      <x:c r="F90" s="544"/>
      <x:c r="G90" s="544"/>
      <x:c r="H90" s="544"/>
      <x:c r="I90" s="544"/>
      <x:c r="J90" s="544"/>
      <x:c r="K90" s="544"/>
      <x:c r="L90" s="544"/>
      <x:c r="M90" s="544"/>
      <x:c r="N90" s="544"/>
      <x:c r="O90" s="545"/>
    </x:row>
    <x:row r="91">
      <x:c r="A91" s="543"/>
      <x:c r="B91" s="544"/>
      <x:c r="C91" s="544"/>
      <x:c r="D91" s="544"/>
      <x:c r="E91" s="544"/>
      <x:c r="F91" s="544"/>
      <x:c r="G91" s="544"/>
      <x:c r="H91" s="544"/>
      <x:c r="I91" s="544"/>
      <x:c r="J91" s="544"/>
      <x:c r="K91" s="544"/>
      <x:c r="L91" s="544"/>
      <x:c r="M91" s="544"/>
      <x:c r="N91" s="544"/>
      <x:c r="O91" s="545"/>
    </x:row>
    <x:row r="92">
      <x:c r="A92" s="543"/>
      <x:c r="B92" s="544"/>
      <x:c r="C92" s="544"/>
      <x:c r="D92" s="544"/>
      <x:c r="E92" s="544"/>
      <x:c r="F92" s="544"/>
      <x:c r="G92" s="544"/>
      <x:c r="H92" s="544"/>
      <x:c r="I92" s="544"/>
      <x:c r="J92" s="544"/>
      <x:c r="K92" s="544"/>
      <x:c r="L92" s="544"/>
      <x:c r="M92" s="544"/>
      <x:c r="N92" s="544"/>
      <x:c r="O92" s="545"/>
    </x:row>
    <x:row r="93">
      <x:c r="A93" s="543"/>
      <x:c r="B93" s="544"/>
      <x:c r="C93" s="544"/>
      <x:c r="D93" s="544"/>
      <x:c r="E93" s="544"/>
      <x:c r="F93" s="544"/>
      <x:c r="G93" s="544"/>
      <x:c r="H93" s="544"/>
      <x:c r="I93" s="544"/>
      <x:c r="J93" s="544"/>
      <x:c r="K93" s="544"/>
      <x:c r="L93" s="544"/>
      <x:c r="M93" s="544"/>
      <x:c r="N93" s="544"/>
      <x:c r="O93" s="545"/>
    </x:row>
    <x:row r="94">
      <x:c r="A94" s="546"/>
      <x:c r="B94" s="547"/>
      <x:c r="C94" s="547"/>
      <x:c r="D94" s="547"/>
      <x:c r="E94" s="547"/>
      <x:c r="F94" s="547"/>
      <x:c r="G94" s="547"/>
      <x:c r="H94" s="547"/>
      <x:c r="I94" s="547"/>
      <x:c r="J94" s="547"/>
      <x:c r="K94" s="547"/>
      <x:c r="L94" s="547"/>
      <x:c r="M94" s="547"/>
      <x:c r="N94" s="547"/>
      <x:c r="O94" s="548"/>
    </x:row>
  </x:sheetData>
  <x:mergeCells>
    <x:mergeCell ref="A1:O2"/>
    <x:mergeCell ref="A3:O3"/>
    <x:mergeCell ref="A6:C8"/>
    <x:mergeCell ref="D6:F8"/>
    <x:mergeCell ref="G6:I8"/>
    <x:mergeCell ref="J6:L8"/>
    <x:mergeCell ref="M6:O8"/>
    <x:mergeCell ref="A11:C13"/>
    <x:mergeCell ref="D11:F13"/>
    <x:mergeCell ref="G11:I13"/>
    <x:mergeCell ref="J11:L13"/>
    <x:mergeCell ref="M11:O13"/>
    <x:mergeCell ref="A14:G14"/>
    <x:mergeCell ref="H14:O14"/>
    <x:mergeCell ref="A32:G32"/>
    <x:mergeCell ref="H32:O32"/>
    <x:mergeCell ref="A49:O49"/>
    <x:mergeCell ref="A69:G69"/>
    <x:mergeCell ref="H69:O69"/>
    <x:mergeCell ref="A88:O94"/>
  </x:mergeCells>
  <x:pageMargins left="0.7" right="0.7" top="0.75" bottom="0.75" header="0.3" footer="0.3"/>
  <x:drawing xmlns:r="http://schemas.openxmlformats.org/officeDocument/2006/relationships" r:id="Rb320e245b1d04a45"/>
</x:worksheet>
</file>

<file path=xl/worksheets/sheet14.xml><?xml version="1.0" encoding="utf-8"?>
<x:worksheet xmlns:x="http://schemas.openxmlformats.org/spreadsheetml/2006/main">
  <x:sheetFormatPr defaultRowHeight="15"/>
  <x:cols>
    <x:col min="1" max="1" width="17" hidden="0" customWidth="1"/>
    <x:col min="2" max="2" width="42" hidden="0" customWidth="1"/>
    <x:col min="3" max="3" width="20" hidden="0" customWidth="1"/>
    <x:col min="4" max="4" width="24" hidden="0" customWidth="1"/>
    <x:col min="5" max="5" width="24" hidden="0" customWidth="1"/>
    <x:col min="6" max="6" width="14" hidden="0" customWidth="1"/>
    <x:col min="7" max="7" width="14" hidden="0" customWidth="1"/>
    <x:col min="8" max="8" width="14" hidden="0" customWidth="1"/>
    <x:col min="9" max="9" width="28" hidden="0" customWidth="1"/>
    <x:col min="10" max="10" width="18" hidden="0" customWidth="1"/>
    <x:col min="11" max="11" width="16" hidden="0" customWidth="1"/>
    <x:col min="12" max="12" width="13" hidden="0" customWidth="1"/>
    <x:col min="13" max="13" width="13" hidden="0" customWidth="1"/>
    <x:col min="14" max="14" width="18" hidden="0" customWidth="1"/>
    <x:col min="15" max="15" width="18" hidden="0" customWidth="1"/>
    <x:col min="16" max="16" width="40" hidden="0" customWidth="1"/>
    <x:col min="17" max="17" width="40" hidden="0" customWidth="1"/>
    <x:col min="18" max="18" width="24" hidden="0" customWidth="1"/>
    <x:col min="20" max="20" width="32" hidden="0" customWidth="1"/>
    <x:col min="21" max="21" width="12" hidden="0" customWidth="1"/>
    <x:col min="22" max="22" width="12" hidden="0" customWidth="1"/>
    <x:col min="23" max="23" width="12" hidden="0" customWidth="1"/>
    <x:col min="24" max="24" width="32" hidden="0" customWidth="1"/>
    <x:col min="25" max="25" width="12" hidden="0" customWidth="1"/>
    <x:col min="19" max="19" width="24" hidden="0" customWidth="1"/>
    <x:col min="26" max="26" width="28" hidden="0" customWidth="1"/>
    <x:col min="27" max="27" width="28" hidden="0" customWidth="1"/>
    <x:col min="29" max="29" width="32" hidden="0" customWidth="1"/>
    <x:col min="30" max="30" width="12" hidden="0" customWidth="1"/>
    <x:col min="32" max="32" width="32" hidden="0" customWidth="1"/>
    <x:col min="33" max="33" width="12" hidden="0" customWidth="1"/>
  </x:cols>
  <x:sheetData>
    <x:row r="1">
      <x:c r="A1" s="330" t="str">
        <x:v>India Observed — Derived Analytics Data</x:v>
      </x:c>
      <x:c r="B1" s="330"/>
      <x:c r="C1" s="330"/>
      <x:c r="D1" s="330"/>
      <x:c r="E1" s="330"/>
      <x:c r="F1" s="330"/>
      <x:c r="G1" s="330"/>
      <x:c r="H1" s="330"/>
      <x:c r="I1" s="330"/>
      <x:c r="J1" s="330"/>
      <x:c r="K1" s="330"/>
      <x:c r="L1" s="330"/>
      <x:c r="M1" s="330"/>
      <x:c r="N1" s="330"/>
      <x:c r="O1" s="330"/>
      <x:c r="P1" s="330"/>
      <x:c r="Q1" s="330"/>
      <x:c r="R1" s="330"/>
    </x:row>
    <x:row r="2">
      <x:c r="A2" s="330"/>
      <x:c r="B2" s="330"/>
      <x:c r="C2" s="330"/>
      <x:c r="D2" s="330"/>
      <x:c r="E2" s="330"/>
      <x:c r="F2" s="330"/>
      <x:c r="G2" s="330"/>
      <x:c r="H2" s="330"/>
      <x:c r="I2" s="330"/>
      <x:c r="J2" s="330"/>
      <x:c r="K2" s="330"/>
      <x:c r="L2" s="330"/>
      <x:c r="M2" s="330"/>
      <x:c r="N2" s="330"/>
      <x:c r="O2" s="330"/>
      <x:c r="P2" s="330"/>
      <x:c r="Q2" s="330"/>
      <x:c r="R2" s="330"/>
    </x:row>
    <x:row r="3">
      <x:c r="A3" s="333" t="str">
        <x:v>Formula-driven helper data for the Visual Summary. Update the Events, Claims, Sources and Corrections sheets; do not manually edit derived columns.</x:v>
      </x:c>
      <x:c r="B3" s="333"/>
      <x:c r="C3" s="333"/>
      <x:c r="D3" s="333"/>
      <x:c r="E3" s="333"/>
      <x:c r="F3" s="333"/>
      <x:c r="G3" s="333"/>
      <x:c r="H3" s="333"/>
      <x:c r="I3" s="333"/>
      <x:c r="J3" s="333"/>
      <x:c r="K3" s="333"/>
      <x:c r="L3" s="333"/>
      <x:c r="M3" s="333"/>
      <x:c r="N3" s="333"/>
      <x:c r="O3" s="333"/>
      <x:c r="P3" s="333"/>
      <x:c r="Q3" s="333"/>
      <x:c r="R3" s="333"/>
    </x:row>
    <x:row r="4">
      <x:c r="T4" s="343" t="str">
        <x:v>State / UT</x:v>
      </x:c>
      <x:c r="U4" s="343" t="str">
        <x:v>Event count</x:v>
      </x:c>
      <x:c r="V4" s="343" t="str">
        <x:v>Rank key</x:v>
      </x:c>
      <x:c r="X4" s="343" t="str">
        <x:v>Top State / UT</x:v>
      </x:c>
      <x:c r="Y4" s="343" t="str">
        <x:v>Events</x:v>
      </x:c>
      <x:c r="AC4" s="508" t="str">
        <x:v>Lead Discovery Channel</x:v>
      </x:c>
      <x:c r="AD4" s="508" t="str">
        <x:v>Events</x:v>
      </x:c>
      <x:c r="AF4" s="508" t="str">
        <x:v>Coverage Profile</x:v>
      </x:c>
      <x:c r="AG4" s="508" t="str">
        <x:v>Events</x:v>
      </x:c>
    </x:row>
    <x:row r="5">
      <x:c r="A5" s="338" t="str">
        <x:v>Event ID</x:v>
      </x:c>
      <x:c r="B5" s="338" t="str">
        <x:v>Event title</x:v>
      </x:c>
      <x:c r="C5" s="338" t="str">
        <x:v>State / UT</x:v>
      </x:c>
      <x:c r="D5" s="338" t="str">
        <x:v>Event status</x:v>
      </x:c>
      <x:c r="E5" s="338" t="str">
        <x:v>Verification status</x:v>
      </x:c>
      <x:c r="F5" s="338" t="str">
        <x:v>Start date</x:v>
      </x:c>
      <x:c r="G5" s="338" t="str">
        <x:v>End / last active</x:v>
      </x:c>
      <x:c r="H5" s="338" t="str">
        <x:v>Duration days</x:v>
      </x:c>
      <x:c r="I5" s="338" t="str">
        <x:v>Primary topic</x:v>
      </x:c>
      <x:c r="J5" s="338" t="str">
        <x:v>Operational intensity score</x:v>
      </x:c>
      <x:c r="K5" s="338" t="str">
        <x:v>Intensity level</x:v>
      </x:c>
      <x:c r="L5" s="338" t="str">
        <x:v>Claim count</x:v>
      </x:c>
      <x:c r="M5" s="338" t="str">
        <x:v>Source count</x:v>
      </x:c>
      <x:c r="N5" s="338" t="str">
        <x:v>Published status</x:v>
      </x:c>
      <x:c r="O5" s="338" t="str">
        <x:v>Scope status</x:v>
      </x:c>
      <x:c r="P5" s="338" t="str">
        <x:v>Topic search text</x:v>
      </x:c>
      <x:c r="Q5" s="338" t="str">
        <x:v>Escalation search text</x:v>
      </x:c>
      <x:c r="R5" s="338" t="str">
        <x:v>Verification group</x:v>
      </x:c>
      <x:c r="S5" s="461" t="str">
        <x:v>Activity Pattern</x:v>
      </x:c>
      <x:c r="T5" t="str">
        <x:v>Andhra Pradesh</x:v>
      </x:c>
      <x:c r="U5" t="n">
        <x:f>COUNTIF($C$6:$C$1001,T5)</x:f>
        <x:v>0</x:v>
      </x:c>
      <x:c r="V5" t="n">
        <x:f>U5*1000+(100-ROW())/1000</x:f>
        <x:v>0.095</x:v>
      </x:c>
      <x:c r="X5" t="str">
        <x:f>IF(LARGE($V$5:$V$40,1)&lt;1,"",INDEX($T$5:$T$40,MATCH(LARGE($V$5:$V$40,1),$V$5:$V$40,0)))</x:f>
        <x:v>Karnataka</x:v>
      </x:c>
      <x:c r="Y5" t="n">
        <x:f>IF(X5="","",INDEX($U$5:$U$40,MATCH(X5,$T$5:$T$40,0)))</x:f>
        <x:v>2</x:v>
      </x:c>
      <x:c r="Z5" s="495" t="str">
        <x:v>Lead Discovery Channel</x:v>
      </x:c>
      <x:c r="AA5" s="495" t="str">
        <x:v>Coverage Profile</x:v>
      </x:c>
      <x:c r="AC5" t="str">
        <x:v>User-provided lead</x:v>
      </x:c>
      <x:c r="AD5" t="n">
        <x:f>COUNTIF($Z$6:$Z$1001,AC5)</x:f>
        <x:v>2</x:v>
      </x:c>
      <x:c r="AF5" t="str">
        <x:v>Nationally covered</x:v>
      </x:c>
      <x:c r="AG5" t="n">
        <x:f>COUNTIF($AA$6:$AA$1001,AF5)</x:f>
        <x:v>1</x:v>
      </x:c>
    </x:row>
    <x:row r="6">
      <x:c r="A6" s="16" t="str">
        <x:f>IF(Events!A5="","",Events!A5)</x:f>
        <x:v>IO-CM-MP-0001</x:v>
      </x:c>
      <x:c r="B6" s="16" t="str">
        <x:f>IF(A6="","",Events!B5)</x:f>
        <x:v>Project-affected communities resume protest over rehabilitation and compensation in Bundelkhand</x:v>
      </x:c>
      <x:c r="C6" s="16" t="str">
        <x:f>IF(A6="","",Events!E5)</x:f>
        <x:v>Madhya Pradesh</x:v>
      </x:c>
      <x:c r="D6" s="16" t="str">
        <x:f>IF(A6="","",Events!J5)</x:f>
        <x:v>Ongoing</x:v>
      </x:c>
      <x:c r="E6" s="16" t="str">
        <x:f>IF(A6="","",Events!N5)</x:f>
        <x:v>Occurrence verified — disputed details remain</x:v>
      </x:c>
      <x:c r="F6" s="109" t="n">
        <x:f>IF(OR(A6="",Events!H5=""),"",Events!H5)</x:f>
        <x:v>46207</x:v>
      </x:c>
      <x:c r="G6" s="109" t="n">
        <x:f>IF(A6="","",IF(Events!I5&lt;&gt;"",Events!I5,IF(Events!S5&lt;&gt;"",Events!S5,"")))</x:f>
        <x:v>46218</x:v>
      </x:c>
      <x:c r="H6" s="16" t="n">
        <x:f>IF(A6="","",Events!W5)</x:f>
        <x:v>12</x:v>
      </x:c>
      <x:c r="I6" s="16" t="str">
        <x:f>IF(A6="","",IF(Events!Y5&lt;&gt;"",Events!Y5,IF(OR(ISNUMBER(SEARCH("education",P6)),ISNUMBER(SEARCH("exam",P6)),ISNUMBER(SEARCH("school",P6))),"Education",IF(OR(ISNUMBER(SEARCH("trade agreement",P6)),ISNUMBER(SEARCH("economic",P6)),ISNUMBER(SEARCH("import",P6))),"Trade &amp; economic policy",IF(OR(ISNUMBER(SEARCH("land acquisition",P6)),ISNUMBER(SEARCH("rehabilitation",P6)),ISNUMBER(SEARCH("displacement",P6)),ISNUMBER(SEARCH("township",P6))),"Land &amp; rehabilitation",IF(OR(ISNUMBER(SEARCH("forest",P6)),ISNUMBER(SEARCH("environment",P6)),ISNUMBER(SEARCH("ecological",P6)),ISNUMBER(SEARCH("biodiversity",P6)),ISNUMBER(SEARCH("green cover",P6))),"Environment",IF(OR(ISNUMBER(SEARCH("irrigation",P6)),ISNUMBER(SEARCH("water",P6)),ISNUMBER(SEARCH("crop",P6)),ISNUMBER(SEARCH("farmer",P6)),ISNUMBER(SEARCH("agriculture",P6))),"Agriculture &amp; water",IF(OR(ISNUMBER(SEARCH("health",P6)),ISNUMBER(SEARCH("hospital",P6)),ISNUMBER(SEARCH("medicine",P6))),"Public health",IF(OR(ISNUMBER(SEARCH("employee",P6)),ISNUMBER(SEARCH("labour",P6)),ISNUMBER(SEARCH("worker",P6)),ISNUMBER(SEARCH("salary",P6))),"Labour &amp; employment",IF(OR(ISNUMBER(SEARCH("rti",P6)),ISNUMBER(SEARCH("transparency",P6)),ISNUMBER(SEARCH("corruption",P6)),ISNUMBER(SEARCH("governance",P6))),"Governance &amp; transparency",IF(OR(ISNUMBER(SEARCH("police",P6)),ISNUMBER(SEARCH("detention",P6)),ISNUMBER(SEARCH("civil rights",P6)),ISNUMBER(SEARCH("justice",P6))),"Civil rights &amp; justice",IF(OR(ISNUMBER(SEARCH("road",P6)),ISNUMBER(SEARCH("utility",P6)),ISNUMBER(SEARCH("infrastructure",P6)),ISNUMBER(SEARCH("public service",P6))),"Infrastructure &amp; public services","Other"))))))))))))</x:f>
        <x:v>Land &amp; rehabilitation</x:v>
      </x:c>
      <x:c r="J6" s="16" t="n">
        <x:f>IF(A6="","",IF(OR(ISNUMBER(SEARCH("fatal",Q6)),ISNUMBER(SEARCH("death",Q6)),ISNUMBER(SEARCH("riot",Q6)),ISNUMBER(SEARCH("curfew",Q6)),ISNUMBER(SEARCH("internet shutdown",Q6))),5,MIN(4,1+IF(H6&gt;=7,1,0)+IF(OR(ISNUMBER(SEARCH("hunger strike",Q6)),ISNUMBER(SEARCH("blockade",Q6)),ISNUMBER(SEARCH("strike",Q6)),ISNUMBER(SEARCH("jal satyagraha",Q6)),ISNUMBER(SEARCH("survey",Q6)),ISNUMBER(SEARCH("human chain",Q6)),ISNUMBER(SEARCH("march",Q6))),1,0)+IF(OR(ISNUMBER(SEARCH("fir",Q6)),ISNUMBER(SEARCH("confrontation",Q6)),ISNUMBER(SEARCH("violence",Q6)),ISNUMBER(SEARCH("detention",Q6)),ISNUMBER(SEARCH("arrest",Q6)),ISNUMBER(SEARCH("demolition",Q6)),ISNUMBER(SEARCH("injury",Q6))),1,0)+IF(OR(D6="Ongoing",D6="Unresolved"),1,0))))</x:f>
        <x:v>4</x:v>
      </x:c>
      <x:c r="K6" s="16" t="str">
        <x:f>IF(J6="","",IF(J6=1,"Limited",IF(J6=2,"Local",IF(J6=3,"Significant",IF(J6=4,"High","Critical")))))</x:f>
        <x:v>High</x:v>
      </x:c>
      <x:c r="L6" s="16" t="n">
        <x:f>IF(A6="","",Events!U5)</x:f>
        <x:v>11</x:v>
      </x:c>
      <x:c r="M6" s="16" t="n">
        <x:f>IF(A6="","",Events!V5)</x:f>
        <x:v>7</x:v>
      </x:c>
      <x:c r="N6" s="16" t="str">
        <x:f>IF(A6="","",Events!Q5)</x:f>
        <x:v>Candidate</x:v>
      </x:c>
      <x:c r="O6" s="16" t="str">
        <x:f>IF(A6="","",Events!R5)</x:f>
        <x:v>In national pilot</x:v>
      </x:c>
      <x:c r="P6" s="16" t="str">
        <x:f>IF(A6="","",LOWER(Events!B5&amp;" "&amp;Events!D5&amp;" "&amp;Events!K5))</x:f>
        <x:v>project-affected communities resume protest over rehabilitation and compensation in bundelkhand rehabilitation, compensation and displacement linked to the ken–betwa link project and other development projects project-affected tribal and farming communities resumed a protest in early july 2026 in the chhatarpur–panna area of madhya pradesh. reported forms of protest include a symbolic chita andolan, jal satyagraha, hunger strike and mitti satyagraha. participants have publicly raised concerns about compensation, rehabilitation and displacement. the occurrence and principal demands are corroborated; allegations about water access, compensation irregularities and the full implementation of relief measures remain attributed or under review.</x:v>
      </x:c>
      <x:c r="Q6" s="16" t="str">
        <x:f>IF(A6="","",LOWER(Events!C5&amp;" "&amp;Events!K5&amp;" "&amp;Events!T5))</x:f>
        <x:v>multi-form civic protest project-affected tribal and farming communities resumed a protest in early july 2026 in the chhatarpur–panna area of madhya pradesh. reported forms of protest include a symbolic chita andolan, jal satyagraha, hunger strike and mitti satyagraha. participants have publicly raised concerns about compensation, rehabilitation and displacement. the occurrence and principal demands are corroborated; allegations about water access, compensation irregularities and the full implementation of relief measures remain attributed or under review. the x post was published on 15 july 2026; the exact filming date is not independently confirmed. sources describe kupi's district inconsistently, so the public wording uses the broader chhatarpur–panna project-affected area.</x:v>
      </x:c>
      <x:c r="R6" s="16" t="str">
        <x:f>IF(A6="","",IF(ISNUMBER(SEARCH("Occurrence verified",E6)),"Occurrence verified",E6))</x:f>
        <x:v>Occurrence verified</x:v>
      </x:c>
      <x:c r="S6" s="79" t="str">
        <x:f>IF(A6="","",Events!X5)</x:f>
        <x:v>Multiple phases</x:v>
      </x:c>
      <x:c r="T6" t="str">
        <x:v>Arunachal Pradesh</x:v>
      </x:c>
      <x:c r="U6" t="n">
        <x:f>COUNTIF($C$6:$C$1001,T6)</x:f>
        <x:v>0</x:v>
      </x:c>
      <x:c r="V6" t="n">
        <x:f>U6*1000+(100-ROW())/1000</x:f>
        <x:v>0.094</x:v>
      </x:c>
      <x:c r="X6" t="str">
        <x:f>IF(LARGE($V$5:$V$40,2)&lt;1,"",INDEX($T$5:$T$40,MATCH(LARGE($V$5:$V$40,2),$V$5:$V$40,0)))</x:f>
        <x:v>Assam</x:v>
      </x:c>
      <x:c r="Y6" t="n">
        <x:f>IF(X6="","",INDEX($U$5:$U$40,MATCH(X6,$T$5:$T$40,0)))</x:f>
        <x:v>1</x:v>
      </x:c>
      <x:c r="Z6" s="79" t="str">
        <x:f>IF(A6="","",Events!AD5)</x:f>
        <x:v>User-provided lead</x:v>
      </x:c>
      <x:c r="AA6" s="79" t="str">
        <x:f>IF(A6="","",Events!AE5)</x:f>
        <x:v>Social-first, later corroborated</x:v>
      </x:c>
      <x:c r="AC6" t="str">
        <x:v>National media search</x:v>
      </x:c>
      <x:c r="AD6" t="n">
        <x:f>COUNTIF($Z$6:$Z$1001,AC6)</x:f>
        <x:v>1</x:v>
      </x:c>
      <x:c r="AF6" t="str">
        <x:v>Regional coverage</x:v>
      </x:c>
      <x:c r="AG6" t="n">
        <x:f>COUNTIF($AA$6:$AA$1001,AF6)</x:f>
        <x:v>3</x:v>
      </x:c>
    </x:row>
    <x:row r="7">
      <x:c r="A7" s="16" t="str">
        <x:f>IF(Events!A6="","",Events!A6)</x:f>
        <x:v>IO-CM-DL-0001</x:v>
      </x:c>
      <x:c r="B7" s="16" t="str">
        <x:f>IF(A7="","",Events!B6)</x:f>
        <x:v>Education accountability sit-in and hunger strike continues at Jantar Mantar</x:v>
      </x:c>
      <x:c r="C7" s="16" t="str">
        <x:f>IF(A7="","",Events!E6)</x:f>
        <x:v>Delhi</x:v>
      </x:c>
      <x:c r="D7" s="16" t="str">
        <x:f>IF(A7="","",Events!J6)</x:f>
        <x:v>Ongoing</x:v>
      </x:c>
      <x:c r="E7" s="16" t="str">
        <x:f>IF(A7="","",Events!N6)</x:f>
        <x:v>Occurrence verified — disputed details remain</x:v>
      </x:c>
      <x:c r="F7" s="109" t="n">
        <x:f>IF(OR(A7="",Events!H6=""),"",Events!H6)</x:f>
        <x:v>46193</x:v>
      </x:c>
      <x:c r="G7" s="109" t="n">
        <x:f>IF(A7="","",IF(Events!I6&lt;&gt;"",Events!I6,IF(Events!S6&lt;&gt;"",Events!S6,"")))</x:f>
        <x:v>46218</x:v>
      </x:c>
      <x:c r="H7" s="16" t="n">
        <x:f>IF(A7="","",Events!W6)</x:f>
        <x:v>26</x:v>
      </x:c>
      <x:c r="I7" s="16" t="str">
        <x:f>IF(A7="","",IF(Events!Y6&lt;&gt;"",Events!Y6,IF(OR(ISNUMBER(SEARCH("education",P7)),ISNUMBER(SEARCH("exam",P7)),ISNUMBER(SEARCH("school",P7))),"Education",IF(OR(ISNUMBER(SEARCH("trade agreement",P7)),ISNUMBER(SEARCH("economic",P7)),ISNUMBER(SEARCH("import",P7))),"Trade &amp; economic policy",IF(OR(ISNUMBER(SEARCH("land acquisition",P7)),ISNUMBER(SEARCH("rehabilitation",P7)),ISNUMBER(SEARCH("displacement",P7)),ISNUMBER(SEARCH("township",P7))),"Land &amp; rehabilitation",IF(OR(ISNUMBER(SEARCH("forest",P7)),ISNUMBER(SEARCH("environment",P7)),ISNUMBER(SEARCH("ecological",P7)),ISNUMBER(SEARCH("biodiversity",P7)),ISNUMBER(SEARCH("green cover",P7))),"Environment",IF(OR(ISNUMBER(SEARCH("irrigation",P7)),ISNUMBER(SEARCH("water",P7)),ISNUMBER(SEARCH("crop",P7)),ISNUMBER(SEARCH("farmer",P7)),ISNUMBER(SEARCH("agriculture",P7))),"Agriculture &amp; water",IF(OR(ISNUMBER(SEARCH("health",P7)),ISNUMBER(SEARCH("hospital",P7)),ISNUMBER(SEARCH("medicine",P7))),"Public health",IF(OR(ISNUMBER(SEARCH("employee",P7)),ISNUMBER(SEARCH("labour",P7)),ISNUMBER(SEARCH("worker",P7)),ISNUMBER(SEARCH("salary",P7))),"Labour &amp; employment",IF(OR(ISNUMBER(SEARCH("rti",P7)),ISNUMBER(SEARCH("transparency",P7)),ISNUMBER(SEARCH("corruption",P7)),ISNUMBER(SEARCH("governance",P7))),"Governance &amp; transparency",IF(OR(ISNUMBER(SEARCH("police",P7)),ISNUMBER(SEARCH("detention",P7)),ISNUMBER(SEARCH("civil rights",P7)),ISNUMBER(SEARCH("justice",P7))),"Civil rights &amp; justice",IF(OR(ISNUMBER(SEARCH("road",P7)),ISNUMBER(SEARCH("utility",P7)),ISNUMBER(SEARCH("infrastructure",P7)),ISNUMBER(SEARCH("public service",P7))),"Infrastructure &amp; public services","Other"))))))))))))</x:f>
        <x:v>Education</x:v>
      </x:c>
      <x:c r="J7" s="16" t="n">
        <x:f>IF(A7="","",IF(OR(ISNUMBER(SEARCH("fatal",Q7)),ISNUMBER(SEARCH("death",Q7)),ISNUMBER(SEARCH("riot",Q7)),ISNUMBER(SEARCH("curfew",Q7)),ISNUMBER(SEARCH("internet shutdown",Q7))),5,MIN(4,1+IF(H7&gt;=7,1,0)+IF(OR(ISNUMBER(SEARCH("hunger strike",Q7)),ISNUMBER(SEARCH("blockade",Q7)),ISNUMBER(SEARCH("strike",Q7)),ISNUMBER(SEARCH("jal satyagraha",Q7)),ISNUMBER(SEARCH("survey",Q7)),ISNUMBER(SEARCH("human chain",Q7)),ISNUMBER(SEARCH("march",Q7))),1,0)+IF(OR(ISNUMBER(SEARCH("fir",Q7)),ISNUMBER(SEARCH("confrontation",Q7)),ISNUMBER(SEARCH("violence",Q7)),ISNUMBER(SEARCH("detention",Q7)),ISNUMBER(SEARCH("arrest",Q7)),ISNUMBER(SEARCH("demolition",Q7)),ISNUMBER(SEARCH("injury",Q7))),1,0)+IF(OR(D7="Ongoing",D7="Unresolved"),1,0))))</x:f>
        <x:v>4</x:v>
      </x:c>
      <x:c r="K7" s="16" t="str">
        <x:f>IF(J7="","",IF(J7=1,"Limited",IF(J7=2,"Local",IF(J7=3,"Significant",IF(J7=4,"High","Critical")))))</x:f>
        <x:v>High</x:v>
      </x:c>
      <x:c r="L7" s="16" t="n">
        <x:f>IF(A7="","",Events!U6)</x:f>
        <x:v>7</x:v>
      </x:c>
      <x:c r="M7" s="16" t="n">
        <x:f>IF(A7="","",Events!V6)</x:f>
        <x:v>4</x:v>
      </x:c>
      <x:c r="N7" s="16" t="str">
        <x:f>IF(A7="","",Events!Q6)</x:f>
        <x:v>Candidate</x:v>
      </x:c>
      <x:c r="O7" s="16" t="str">
        <x:f>IF(A7="","",Events!R6)</x:f>
        <x:v>In national pilot</x:v>
      </x:c>
      <x:c r="P7" s="16" t="str">
        <x:f>IF(A7="","",LOWER(Events!B6&amp;" "&amp;Events!D6&amp;" "&amp;Events!K6))</x:f>
        <x:v>education accountability sit-in and hunger strike continues at jantar mantar alleged examination irregularities, paper leaks and demand for education-system accountability a sit-in organised by the cockroach janta party continued at jantar mantar in new delhi in july 2026, with participants demanding accountability over alleged examination irregularities and the resignation of union education minister dharmendra pradhan. education reformer sonam wangchuk joined the action through an indefinite hunger strike from 28 june. the occurrence, location and principal demand are independently corroborated; reported medical details and some examination-related claims remain attributed to organisers or media reports.</x:v>
      </x:c>
      <x:c r="Q7" s="16" t="str">
        <x:f>IF(A7="","",LOWER(Events!C6&amp;" "&amp;Events!K6&amp;" "&amp;Events!T6))</x:f>
        <x:v>multi-form civic protest a sit-in organised by the cockroach janta party continued at jantar mantar in new delhi in july 2026, with participants demanding accountability over alleged examination irregularities and the resignation of union education minister dharmendra pradhan. education reformer sonam wangchuk joined the action through an indefinite hunger strike from 28 june. the occurrence, location and principal demand are independently corroborated; reported medical details and some examination-related claims remain attributed to organisers or media reports. the protest began before the 1 july research window but remained active during it. medical information is not treated as independently verified unless supported by identifiable clinical documentation. a proposed 20 july march is recorded only as an announcement, not as an event that has occurred.</x:v>
      </x:c>
      <x:c r="R7" s="16" t="str">
        <x:f>IF(A7="","",IF(ISNUMBER(SEARCH("Occurrence verified",E7)),"Occurrence verified",E7))</x:f>
        <x:v>Occurrence verified</x:v>
      </x:c>
      <x:c r="S7" s="79" t="str">
        <x:f>IF(A7="","",Events!X6)</x:f>
        <x:v>Continuous</x:v>
      </x:c>
      <x:c r="T7" t="str">
        <x:v>Assam</x:v>
      </x:c>
      <x:c r="U7" t="n">
        <x:f>COUNTIF($C$6:$C$1001,T7)</x:f>
        <x:v>1</x:v>
      </x:c>
      <x:c r="V7" t="n">
        <x:f>U7*1000+(100-ROW())/1000</x:f>
        <x:v>1000.093</x:v>
      </x:c>
      <x:c r="X7" t="str">
        <x:f>IF(LARGE($V$5:$V$40,3)&lt;1,"",INDEX($T$5:$T$40,MATCH(LARGE($V$5:$V$40,3),$V$5:$V$40,0)))</x:f>
        <x:v>Gujarat</x:v>
      </x:c>
      <x:c r="Y7" t="n">
        <x:f>IF(X7="","",INDEX($U$5:$U$40,MATCH(X7,$T$5:$T$40,0)))</x:f>
        <x:v>1</x:v>
      </x:c>
      <x:c r="Z7" s="79" t="str">
        <x:f>IF(A7="","",Events!AD6)</x:f>
        <x:v>National media search</x:v>
      </x:c>
      <x:c r="AA7" s="79" t="str">
        <x:f>IF(A7="","",Events!AE6)</x:f>
        <x:v>Nationally covered</x:v>
      </x:c>
      <x:c r="AC7" t="str">
        <x:v>Regional / local media</x:v>
      </x:c>
      <x:c r="AD7" t="n">
        <x:f>COUNTIF($Z$6:$Z$1001,AC7)</x:f>
        <x:v>3</x:v>
      </x:c>
      <x:c r="AF7" t="str">
        <x:v>Local media only</x:v>
      </x:c>
      <x:c r="AG7" t="n">
        <x:f>COUNTIF($AA$6:$AA$1001,AF7)</x:f>
        <x:v>1</x:v>
      </x:c>
    </x:row>
    <x:row r="8">
      <x:c r="A8" s="16" t="str">
        <x:f>IF(Events!A7="","",Events!A7)</x:f>
        <x:v>IO-CM-KA-0001</x:v>
      </x:c>
      <x:c r="B8" s="16" t="str">
        <x:f>IF(A8="","",Events!B7)</x:f>
        <x:v>Mandya farmers intensify protest demanding release of KRS irrigation water</x:v>
      </x:c>
      <x:c r="C8" s="16" t="str">
        <x:f>IF(A8="","",Events!E7)</x:f>
        <x:v>Karnataka</x:v>
      </x:c>
      <x:c r="D8" s="16" t="str">
        <x:f>IF(A8="","",Events!J7)</x:f>
        <x:v>Ongoing</x:v>
      </x:c>
      <x:c r="E8" s="16" t="str">
        <x:f>IF(A8="","",Events!N7)</x:f>
        <x:v>Occurrence verified — disputed details remain</x:v>
      </x:c>
      <x:c r="F8" s="109" t="n">
        <x:f>IF(OR(A8="",Events!H7=""),"",Events!H7)</x:f>
        <x:v>46216</x:v>
      </x:c>
      <x:c r="G8" s="109" t="n">
        <x:f>IF(A8="","",IF(Events!I7&lt;&gt;"",Events!I7,IF(Events!S7&lt;&gt;"",Events!S7,"")))</x:f>
        <x:v>46217</x:v>
      </x:c>
      <x:c r="H8" s="16" t="n">
        <x:f>IF(A8="","",Events!W7)</x:f>
        <x:v>2</x:v>
      </x:c>
      <x:c r="I8" s="16" t="str">
        <x:f>IF(A8="","",IF(Events!Y7&lt;&gt;"",Events!Y7,IF(OR(ISNUMBER(SEARCH("education",P8)),ISNUMBER(SEARCH("exam",P8)),ISNUMBER(SEARCH("school",P8))),"Education",IF(OR(ISNUMBER(SEARCH("trade agreement",P8)),ISNUMBER(SEARCH("economic",P8)),ISNUMBER(SEARCH("import",P8))),"Trade &amp; economic policy",IF(OR(ISNUMBER(SEARCH("land acquisition",P8)),ISNUMBER(SEARCH("rehabilitation",P8)),ISNUMBER(SEARCH("displacement",P8)),ISNUMBER(SEARCH("township",P8))),"Land &amp; rehabilitation",IF(OR(ISNUMBER(SEARCH("forest",P8)),ISNUMBER(SEARCH("environment",P8)),ISNUMBER(SEARCH("ecological",P8)),ISNUMBER(SEARCH("biodiversity",P8)),ISNUMBER(SEARCH("green cover",P8))),"Environment",IF(OR(ISNUMBER(SEARCH("irrigation",P8)),ISNUMBER(SEARCH("water",P8)),ISNUMBER(SEARCH("crop",P8)),ISNUMBER(SEARCH("farmer",P8)),ISNUMBER(SEARCH("agriculture",P8))),"Agriculture &amp; water",IF(OR(ISNUMBER(SEARCH("health",P8)),ISNUMBER(SEARCH("hospital",P8)),ISNUMBER(SEARCH("medicine",P8))),"Public health",IF(OR(ISNUMBER(SEARCH("employee",P8)),ISNUMBER(SEARCH("labour",P8)),ISNUMBER(SEARCH("worker",P8)),ISNUMBER(SEARCH("salary",P8))),"Labour &amp; employment",IF(OR(ISNUMBER(SEARCH("rti",P8)),ISNUMBER(SEARCH("transparency",P8)),ISNUMBER(SEARCH("corruption",P8)),ISNUMBER(SEARCH("governance",P8))),"Governance &amp; transparency",IF(OR(ISNUMBER(SEARCH("police",P8)),ISNUMBER(SEARCH("detention",P8)),ISNUMBER(SEARCH("civil rights",P8)),ISNUMBER(SEARCH("justice",P8))),"Civil rights &amp; justice",IF(OR(ISNUMBER(SEARCH("road",P8)),ISNUMBER(SEARCH("utility",P8)),ISNUMBER(SEARCH("infrastructure",P8)),ISNUMBER(SEARCH("public service",P8))),"Infrastructure &amp; public services","Other"))))))))))))</x:f>
        <x:v>Agriculture &amp; water</x:v>
      </x:c>
      <x:c r="J8" s="16" t="n">
        <x:f>IF(A8="","",IF(OR(ISNUMBER(SEARCH("fatal",Q8)),ISNUMBER(SEARCH("death",Q8)),ISNUMBER(SEARCH("riot",Q8)),ISNUMBER(SEARCH("curfew",Q8)),ISNUMBER(SEARCH("internet shutdown",Q8))),5,MIN(4,1+IF(H8&gt;=7,1,0)+IF(OR(ISNUMBER(SEARCH("hunger strike",Q8)),ISNUMBER(SEARCH("blockade",Q8)),ISNUMBER(SEARCH("strike",Q8)),ISNUMBER(SEARCH("jal satyagraha",Q8)),ISNUMBER(SEARCH("survey",Q8)),ISNUMBER(SEARCH("human chain",Q8)),ISNUMBER(SEARCH("march",Q8))),1,0)+IF(OR(ISNUMBER(SEARCH("fir",Q8)),ISNUMBER(SEARCH("confrontation",Q8)),ISNUMBER(SEARCH("violence",Q8)),ISNUMBER(SEARCH("detention",Q8)),ISNUMBER(SEARCH("arrest",Q8)),ISNUMBER(SEARCH("demolition",Q8)),ISNUMBER(SEARCH("injury",Q8))),1,0)+IF(OR(D8="Ongoing",D8="Unresolved"),1,0))))</x:f>
        <x:v>3</x:v>
      </x:c>
      <x:c r="K8" s="16" t="str">
        <x:f>IF(J8="","",IF(J8=1,"Limited",IF(J8=2,"Local",IF(J8=3,"Significant",IF(J8=4,"High","Critical")))))</x:f>
        <x:v>Significant</x:v>
      </x:c>
      <x:c r="L8" s="16" t="n">
        <x:f>IF(A8="","",Events!U7)</x:f>
        <x:v>6</x:v>
      </x:c>
      <x:c r="M8" s="16" t="n">
        <x:f>IF(A8="","",Events!V7)</x:f>
        <x:v>3</x:v>
      </x:c>
      <x:c r="N8" s="16" t="str">
        <x:f>IF(A8="","",Events!Q7)</x:f>
        <x:v>Candidate</x:v>
      </x:c>
      <x:c r="O8" s="16" t="str">
        <x:f>IF(A8="","",Events!R7)</x:f>
        <x:v>In national pilot</x:v>
      </x:c>
      <x:c r="P8" s="16" t="str">
        <x:f>IF(A8="","",LOWER(Events!B7&amp;" "&amp;Events!D7&amp;" "&amp;Events!K7))</x:f>
        <x:v>mandya farmers intensify protest demanding release of krs irrigation water immediate release of canal water from the krs reservoir for standing crops farmers and supporting organisations protested in mandya on 13 july 2026, demanding the immediate release of water from the krishnaraja sagar reservoir into irrigation canals. independent reports documented a demonstration near the deputy commissioner’s office and a blockade of the old mysuru–bengaluru highway. protesters said standing crops were drying because of the delay and opposed additional diversion of cauvery water while irrigation needs remained unmet. the occurrence and stated demands are corroborated; crop-loss severity remains attributed to protesters.</x:v>
      </x:c>
      <x:c r="Q8" s="16" t="str">
        <x:f>IF(A8="","",LOWER(Events!C7&amp;" "&amp;Events!K7&amp;" "&amp;Events!T7))</x:f>
        <x:v>demonstration farmers and supporting organisations protested in mandya on 13 july 2026, demanding the immediate release of water from the krishnaraja sagar reservoir into irrigation canals. independent reports documented a demonstration near the deputy commissioner’s office and a blockade of the old mysuru–bengaluru highway. protesters said standing crops were drying because of the delay and opposed additional diversion of cauvery water while irrigation needs remained unmet. the occurrence and stated demands are corroborated; crop-loss severity remains attributed to protesters. reports describe the action as part of an intensifying agitation. the record does not independently calculate crop losses or determine legal water-allocation obligations.</x:v>
      </x:c>
      <x:c r="R8" s="16" t="str">
        <x:f>IF(A8="","",IF(ISNUMBER(SEARCH("Occurrence verified",E8)),"Occurrence verified",E8))</x:f>
        <x:v>Occurrence verified</x:v>
      </x:c>
      <x:c r="S8" s="79" t="str">
        <x:f>IF(A8="","",Events!X7)</x:f>
        <x:v>Recurring / intermittent</x:v>
      </x:c>
      <x:c r="T8" t="str">
        <x:v>Bihar</x:v>
      </x:c>
      <x:c r="U8" t="n">
        <x:f>COUNTIF($C$6:$C$1001,T8)</x:f>
        <x:v>0</x:v>
      </x:c>
      <x:c r="V8" t="n">
        <x:f>U8*1000+(100-ROW())/1000</x:f>
        <x:v>0.092</x:v>
      </x:c>
      <x:c r="X8" t="str">
        <x:f>IF(LARGE($V$5:$V$40,4)&lt;1,"",INDEX($T$5:$T$40,MATCH(LARGE($V$5:$V$40,4),$V$5:$V$40,0)))</x:f>
        <x:v>Madhya Pradesh</x:v>
      </x:c>
      <x:c r="Y8" t="n">
        <x:f>IF(X8="","",INDEX($U$5:$U$40,MATCH(X8,$T$5:$T$40,0)))</x:f>
        <x:v>1</x:v>
      </x:c>
      <x:c r="Z8" s="79" t="str">
        <x:f>IF(A8="","",Events!AD7)</x:f>
        <x:v>Regional / local media</x:v>
      </x:c>
      <x:c r="AA8" s="79" t="str">
        <x:f>IF(A8="","",Events!AE7)</x:f>
        <x:v>Regional coverage</x:v>
      </x:c>
      <x:c r="AC8" t="str">
        <x:v>Local-language media</x:v>
      </x:c>
      <x:c r="AD8" t="n">
        <x:f>COUNTIF($Z$6:$Z$1001,AC8)</x:f>
        <x:v>0</x:v>
      </x:c>
      <x:c r="AF8" t="str">
        <x:v>Social-first, later corroborated</x:v>
      </x:c>
      <x:c r="AG8" t="n">
        <x:f>COUNTIF($AA$6:$AA$1001,AF8)</x:f>
        <x:v>4</x:v>
      </x:c>
    </x:row>
    <x:row r="9">
      <x:c r="A9" s="16" t="str">
        <x:f>IF(Events!A8="","",Events!A8)</x:f>
        <x:v>IO-CM-CH-0001</x:v>
      </x:c>
      <x:c r="B9" s="16" t="str">
        <x:f>IF(A9="","",Events!B8)</x:f>
        <x:v>BKU-Rajewal holds Chandigarh motorcycle rally over proposed India–US trade agreement</x:v>
      </x:c>
      <x:c r="C9" s="16" t="str">
        <x:f>IF(A9="","",Events!E8)</x:f>
        <x:v>Chandigarh</x:v>
      </x:c>
      <x:c r="D9" s="16" t="str">
        <x:f>IF(A9="","",Events!J8)</x:f>
        <x:v>Concluded</x:v>
      </x:c>
      <x:c r="E9" s="16" t="str">
        <x:f>IF(A9="","",Events!N8)</x:f>
        <x:v>Occurrence verified — disputed details remain</x:v>
      </x:c>
      <x:c r="F9" s="109" t="n">
        <x:f>IF(OR(A9="",Events!H8=""),"",Events!H8)</x:f>
        <x:v>46216</x:v>
      </x:c>
      <x:c r="G9" s="109" t="n">
        <x:f>IF(A9="","",IF(Events!I8&lt;&gt;"",Events!I8,IF(Events!S8&lt;&gt;"",Events!S8,"")))</x:f>
        <x:v>46216</x:v>
      </x:c>
      <x:c r="H9" s="16" t="n">
        <x:f>IF(A9="","",Events!W8)</x:f>
        <x:v>1</x:v>
      </x:c>
      <x:c r="I9" s="16" t="str">
        <x:f>IF(A9="","",IF(Events!Y8&lt;&gt;"",Events!Y8,IF(OR(ISNUMBER(SEARCH("education",P9)),ISNUMBER(SEARCH("exam",P9)),ISNUMBER(SEARCH("school",P9))),"Education",IF(OR(ISNUMBER(SEARCH("trade agreement",P9)),ISNUMBER(SEARCH("economic",P9)),ISNUMBER(SEARCH("import",P9))),"Trade &amp; economic policy",IF(OR(ISNUMBER(SEARCH("land acquisition",P9)),ISNUMBER(SEARCH("rehabilitation",P9)),ISNUMBER(SEARCH("displacement",P9)),ISNUMBER(SEARCH("township",P9))),"Land &amp; rehabilitation",IF(OR(ISNUMBER(SEARCH("forest",P9)),ISNUMBER(SEARCH("environment",P9)),ISNUMBER(SEARCH("ecological",P9)),ISNUMBER(SEARCH("biodiversity",P9)),ISNUMBER(SEARCH("green cover",P9))),"Environment",IF(OR(ISNUMBER(SEARCH("irrigation",P9)),ISNUMBER(SEARCH("water",P9)),ISNUMBER(SEARCH("crop",P9)),ISNUMBER(SEARCH("farmer",P9)),ISNUMBER(SEARCH("agriculture",P9))),"Agriculture &amp; water",IF(OR(ISNUMBER(SEARCH("health",P9)),ISNUMBER(SEARCH("hospital",P9)),ISNUMBER(SEARCH("medicine",P9))),"Public health",IF(OR(ISNUMBER(SEARCH("employee",P9)),ISNUMBER(SEARCH("labour",P9)),ISNUMBER(SEARCH("worker",P9)),ISNUMBER(SEARCH("salary",P9))),"Labour &amp; employment",IF(OR(ISNUMBER(SEARCH("rti",P9)),ISNUMBER(SEARCH("transparency",P9)),ISNUMBER(SEARCH("corruption",P9)),ISNUMBER(SEARCH("governance",P9))),"Governance &amp; transparency",IF(OR(ISNUMBER(SEARCH("police",P9)),ISNUMBER(SEARCH("detention",P9)),ISNUMBER(SEARCH("civil rights",P9)),ISNUMBER(SEARCH("justice",P9))),"Civil rights &amp; justice",IF(OR(ISNUMBER(SEARCH("road",P9)),ISNUMBER(SEARCH("utility",P9)),ISNUMBER(SEARCH("infrastructure",P9)),ISNUMBER(SEARCH("public service",P9))),"Infrastructure &amp; public services","Other"))))))))))))</x:f>
        <x:v>Trade &amp; economic policy</x:v>
      </x:c>
      <x:c r="J9" s="16" t="n">
        <x:f>IF(A9="","",IF(OR(ISNUMBER(SEARCH("fatal",Q9)),ISNUMBER(SEARCH("death",Q9)),ISNUMBER(SEARCH("riot",Q9)),ISNUMBER(SEARCH("curfew",Q9)),ISNUMBER(SEARCH("internet shutdown",Q9))),5,MIN(4,1+IF(H9&gt;=7,1,0)+IF(OR(ISNUMBER(SEARCH("hunger strike",Q9)),ISNUMBER(SEARCH("blockade",Q9)),ISNUMBER(SEARCH("strike",Q9)),ISNUMBER(SEARCH("jal satyagraha",Q9)),ISNUMBER(SEARCH("survey",Q9)),ISNUMBER(SEARCH("human chain",Q9)),ISNUMBER(SEARCH("march",Q9))),1,0)+IF(OR(ISNUMBER(SEARCH("fir",Q9)),ISNUMBER(SEARCH("confrontation",Q9)),ISNUMBER(SEARCH("violence",Q9)),ISNUMBER(SEARCH("detention",Q9)),ISNUMBER(SEARCH("arrest",Q9)),ISNUMBER(SEARCH("demolition",Q9)),ISNUMBER(SEARCH("injury",Q9))),1,0)+IF(OR(D9="Ongoing",D9="Unresolved"),1,0))))</x:f>
        <x:v>2</x:v>
      </x:c>
      <x:c r="K9" s="16" t="str">
        <x:f>IF(J9="","",IF(J9=1,"Limited",IF(J9=2,"Local",IF(J9=3,"Significant",IF(J9=4,"High","Critical")))))</x:f>
        <x:v>Local</x:v>
      </x:c>
      <x:c r="L9" s="16" t="n">
        <x:f>IF(A9="","",Events!U8)</x:f>
        <x:v>7</x:v>
      </x:c>
      <x:c r="M9" s="16" t="n">
        <x:f>IF(A9="","",Events!V8)</x:f>
        <x:v>2</x:v>
      </x:c>
      <x:c r="N9" s="16" t="str">
        <x:f>IF(A9="","",Events!Q8)</x:f>
        <x:v>Candidate</x:v>
      </x:c>
      <x:c r="O9" s="16" t="str">
        <x:f>IF(A9="","",Events!R8)</x:f>
        <x:v>In national pilot</x:v>
      </x:c>
      <x:c r="P9" s="16" t="str">
        <x:f>IF(A9="","",LOWER(Events!B8&amp;" "&amp;Events!D8&amp;" "&amp;Events!K8))</x:f>
        <x:v>bku-rajewal holds chandigarh motorcycle rally over proposed india–us trade agreement opposition to the proposed india–us trade agreement and concerns affecting punjab agriculture the bharatiya kisan union (rajewal) held a motorcycle and vehicle rally from mohali to chandigarh on 13 july 2026. participants called for rejection of the proposed india–us trade agreement, arguing that greater agricultural imports could disadvantage small farmers and allied sectors. organisers also raised punjab-specific concerns including groundwater quality, land acquisition and natural resources. independent reports documented the route, traffic restrictions and submission of memorandums; predictions about the trade agreement’s effects remain attributed to organisers.</x:v>
      </x:c>
      <x:c r="Q9" s="16" t="str">
        <x:f>IF(A9="","",LOWER(Events!C8&amp;" "&amp;Events!K8&amp;" "&amp;Events!T8))</x:f>
        <x:v>march the bharatiya kisan union (rajewal) held a motorcycle and vehicle rally from mohali to chandigarh on 13 july 2026. participants called for rejection of the proposed india–us trade agreement, arguing that greater agricultural imports could disadvantage small farmers and allied sectors. organisers also raised punjab-specific concerns including groundwater quality, land acquisition and natural resources. independent reports documented the route, traffic restrictions and submission of memorandums; predictions about the trade agreement’s effects remain attributed to organisers. this record covers the 13 july bku-rajewal rally, not the separate farmer rally held in chandigarh on 10 july. future protest announcements are not treated as completed events.</x:v>
      </x:c>
      <x:c r="R9" s="16" t="str">
        <x:f>IF(A9="","",IF(ISNUMBER(SEARCH("Occurrence verified",E9)),"Occurrence verified",E9))</x:f>
        <x:v>Occurrence verified</x:v>
      </x:c>
      <x:c r="S9" s="79" t="str">
        <x:f>IF(A9="","",Events!X8)</x:f>
        <x:v>One-day event</x:v>
      </x:c>
      <x:c r="T9" t="str">
        <x:v>Chhattisgarh</x:v>
      </x:c>
      <x:c r="U9" t="n">
        <x:f>COUNTIF($C$6:$C$1001,T9)</x:f>
        <x:v>0</x:v>
      </x:c>
      <x:c r="V9" t="n">
        <x:f>U9*1000+(100-ROW())/1000</x:f>
        <x:v>0.091</x:v>
      </x:c>
      <x:c r="X9" t="str">
        <x:f>IF(LARGE($V$5:$V$40,5)&lt;1,"",INDEX($T$5:$T$40,MATCH(LARGE($V$5:$V$40,5),$V$5:$V$40,0)))</x:f>
        <x:v>Maharashtra</x:v>
      </x:c>
      <x:c r="Y9" t="n">
        <x:f>IF(X9="","",INDEX($U$5:$U$40,MATCH(X9,$T$5:$T$40,0)))</x:f>
        <x:v>1</x:v>
      </x:c>
      <x:c r="Z9" s="79" t="str">
        <x:f>IF(A9="","",Events!AD8)</x:f>
        <x:v>Regional / local media</x:v>
      </x:c>
      <x:c r="AA9" s="79" t="str">
        <x:f>IF(A9="","",Events!AE8)</x:f>
        <x:v>Regional coverage</x:v>
      </x:c>
      <x:c r="AC9" t="str">
        <x:v>Community social media</x:v>
      </x:c>
      <x:c r="AD9" t="n">
        <x:f>COUNTIF($Z$6:$Z$1001,AC9)</x:f>
        <x:v>3</x:v>
      </x:c>
      <x:c r="AF9" t="str">
        <x:v>Community-source led</x:v>
      </x:c>
      <x:c r="AG9" t="n">
        <x:f>COUNTIF($AA$6:$AA$1001,AF9)</x:f>
        <x:v>1</x:v>
      </x:c>
    </x:row>
    <x:row r="10">
      <x:c r="A10" s="16" t="str">
        <x:f>IF(Events!A9="","",Events!A9)</x:f>
        <x:v>IO-CM-MH-0001</x:v>
      </x:c>
      <x:c r="B10" s="16" t="str">
        <x:f>IF(A10="","",Events!B9)</x:f>
        <x:v>Citizens form human chain in Thane under the Save SGNP campaign</x:v>
      </x:c>
      <x:c r="C10" s="16" t="str">
        <x:f>IF(A10="","",Events!E9)</x:f>
        <x:v>Maharashtra</x:v>
      </x:c>
      <x:c r="D10" s="16" t="str">
        <x:f>IF(A10="","",Events!J9)</x:f>
        <x:v>Concluded</x:v>
      </x:c>
      <x:c r="E10" s="16" t="str">
        <x:f>IF(A10="","",Events!N9)</x:f>
        <x:v>Occurrence verified — disputed details remain</x:v>
      </x:c>
      <x:c r="F10" s="109" t="n">
        <x:f>IF(OR(A10="",Events!H9=""),"",Events!H9)</x:f>
        <x:v>46208</x:v>
      </x:c>
      <x:c r="G10" s="109" t="n">
        <x:f>IF(A10="","",IF(Events!I9&lt;&gt;"",Events!I9,IF(Events!S9&lt;&gt;"",Events!S9,"")))</x:f>
        <x:v>46208</x:v>
      </x:c>
      <x:c r="H10" s="16" t="n">
        <x:f>IF(A10="","",Events!W9)</x:f>
        <x:v>1</x:v>
      </x:c>
      <x:c r="I10" s="16" t="str">
        <x:f>IF(A10="","",IF(Events!Y9&lt;&gt;"",Events!Y9,IF(OR(ISNUMBER(SEARCH("education",P10)),ISNUMBER(SEARCH("exam",P10)),ISNUMBER(SEARCH("school",P10))),"Education",IF(OR(ISNUMBER(SEARCH("trade agreement",P10)),ISNUMBER(SEARCH("economic",P10)),ISNUMBER(SEARCH("import",P10))),"Trade &amp; economic policy",IF(OR(ISNUMBER(SEARCH("land acquisition",P10)),ISNUMBER(SEARCH("rehabilitation",P10)),ISNUMBER(SEARCH("displacement",P10)),ISNUMBER(SEARCH("township",P10))),"Land &amp; rehabilitation",IF(OR(ISNUMBER(SEARCH("forest",P10)),ISNUMBER(SEARCH("environment",P10)),ISNUMBER(SEARCH("ecological",P10)),ISNUMBER(SEARCH("biodiversity",P10)),ISNUMBER(SEARCH("green cover",P10))),"Environment",IF(OR(ISNUMBER(SEARCH("irrigation",P10)),ISNUMBER(SEARCH("water",P10)),ISNUMBER(SEARCH("crop",P10)),ISNUMBER(SEARCH("farmer",P10)),ISNUMBER(SEARCH("agriculture",P10))),"Agriculture &amp; water",IF(OR(ISNUMBER(SEARCH("health",P10)),ISNUMBER(SEARCH("hospital",P10)),ISNUMBER(SEARCH("medicine",P10))),"Public health",IF(OR(ISNUMBER(SEARCH("employee",P10)),ISNUMBER(SEARCH("labour",P10)),ISNUMBER(SEARCH("worker",P10)),ISNUMBER(SEARCH("salary",P10))),"Labour &amp; employment",IF(OR(ISNUMBER(SEARCH("rti",P10)),ISNUMBER(SEARCH("transparency",P10)),ISNUMBER(SEARCH("corruption",P10)),ISNUMBER(SEARCH("governance",P10))),"Governance &amp; transparency",IF(OR(ISNUMBER(SEARCH("police",P10)),ISNUMBER(SEARCH("detention",P10)),ISNUMBER(SEARCH("civil rights",P10)),ISNUMBER(SEARCH("justice",P10))),"Civil rights &amp; justice",IF(OR(ISNUMBER(SEARCH("road",P10)),ISNUMBER(SEARCH("utility",P10)),ISNUMBER(SEARCH("infrastructure",P10)),ISNUMBER(SEARCH("public service",P10))),"Infrastructure &amp; public services","Other"))))))))))))</x:f>
        <x:v>Environment</x:v>
      </x:c>
      <x:c r="J10" s="16" t="n">
        <x:f>IF(A10="","",IF(OR(ISNUMBER(SEARCH("fatal",Q10)),ISNUMBER(SEARCH("death",Q10)),ISNUMBER(SEARCH("riot",Q10)),ISNUMBER(SEARCH("curfew",Q10)),ISNUMBER(SEARCH("internet shutdown",Q10))),5,MIN(4,1+IF(H10&gt;=7,1,0)+IF(OR(ISNUMBER(SEARCH("hunger strike",Q10)),ISNUMBER(SEARCH("blockade",Q10)),ISNUMBER(SEARCH("strike",Q10)),ISNUMBER(SEARCH("jal satyagraha",Q10)),ISNUMBER(SEARCH("survey",Q10)),ISNUMBER(SEARCH("human chain",Q10)),ISNUMBER(SEARCH("march",Q10))),1,0)+IF(OR(ISNUMBER(SEARCH("fir",Q10)),ISNUMBER(SEARCH("confrontation",Q10)),ISNUMBER(SEARCH("violence",Q10)),ISNUMBER(SEARCH("detention",Q10)),ISNUMBER(SEARCH("arrest",Q10)),ISNUMBER(SEARCH("demolition",Q10)),ISNUMBER(SEARCH("injury",Q10))),1,0)+IF(OR(D10="Ongoing",D10="Unresolved"),1,0))))</x:f>
        <x:v>2</x:v>
      </x:c>
      <x:c r="K10" s="16" t="str">
        <x:f>IF(J10="","",IF(J10=1,"Limited",IF(J10=2,"Local",IF(J10=3,"Significant",IF(J10=4,"High","Critical")))))</x:f>
        <x:v>Local</x:v>
      </x:c>
      <x:c r="L10" s="16" t="n">
        <x:f>IF(A10="","",Events!U9)</x:f>
        <x:v>7</x:v>
      </x:c>
      <x:c r="M10" s="16" t="n">
        <x:f>IF(A10="","",Events!V9)</x:f>
        <x:v>4</x:v>
      </x:c>
      <x:c r="N10" s="16" t="str">
        <x:f>IF(A10="","",Events!Q9)</x:f>
        <x:v>Candidate</x:v>
      </x:c>
      <x:c r="O10" s="16" t="str">
        <x:f>IF(A10="","",Events!R9)</x:f>
        <x:v>In national pilot</x:v>
      </x:c>
      <x:c r="P10" s="16" t="str">
        <x:f>IF(A10="","",LOWER(Events!B9&amp;" "&amp;Events!D9&amp;" "&amp;Events!K9))</x:f>
        <x:v>citizens form human chain in thane under the save sgnp campaign protection of forests and eco-sensitive areas surrounding sanjay gandhi national park residents, trekkers, environmentalists and other supporters gathered in thane on 5 july 2026 as part of the save sgnp campaign. reports documented a protest and human chain opposing infrastructure and construction proposals near sanjay gandhi national park and surrounding forest areas. one stated demand was to stop a proposed man-made biodiversity park in an area protesters described as already ecologically sensitive. the occurrence is corroborated; campaign claims about exact attendance and the precise area at risk remain attributed pending official land and project records.</x:v>
      </x:c>
      <x:c r="Q10" s="16" t="str">
        <x:f>IF(A10="","",LOWER(Events!C9&amp;" "&amp;Events!K9&amp;" "&amp;Events!T9))</x:f>
        <x:v>civic campaign residents, trekkers, environmentalists and other supporters gathered in thane on 5 july 2026 as part of the save sgnp campaign. reports documented a protest and human chain opposing infrastructure and construction proposals near sanjay gandhi national park and surrounding forest areas. one stated demand was to stop a proposed man-made biodiversity park in an area protesters described as already ecologically sensitive. the occurrence is corroborated; campaign claims about exact attendance and the precise area at risk remain attributed pending official land and project records. the times of india identifies the sunday protest as 5 july 2026. a free press journal report refers to sunday, 6 july, but 6 july 2026 was monday; the event date is therefore recorded as 5 july with the discrepancy logged.</x:v>
      </x:c>
      <x:c r="R10" s="16" t="str">
        <x:f>IF(A10="","",IF(ISNUMBER(SEARCH("Occurrence verified",E10)),"Occurrence verified",E10))</x:f>
        <x:v>Occurrence verified</x:v>
      </x:c>
      <x:c r="S10" s="79" t="str">
        <x:f>IF(A10="","",Events!X9)</x:f>
        <x:v>One-day event</x:v>
      </x:c>
      <x:c r="T10" t="str">
        <x:v>Goa</x:v>
      </x:c>
      <x:c r="U10" t="n">
        <x:f>COUNTIF($C$6:$C$1001,T10)</x:f>
        <x:v>0</x:v>
      </x:c>
      <x:c r="V10" t="n">
        <x:f>U10*1000+(100-ROW())/1000</x:f>
        <x:v>0.09</x:v>
      </x:c>
      <x:c r="X10" t="str">
        <x:f>IF(LARGE($V$5:$V$40,6)&lt;1,"",INDEX($T$5:$T$40,MATCH(LARGE($V$5:$V$40,6),$V$5:$V$40,0)))</x:f>
        <x:v>Manipur</x:v>
      </x:c>
      <x:c r="Y10" t="n">
        <x:f>IF(X10="","",INDEX($U$5:$U$40,MATCH(X10,$T$5:$T$40,0)))</x:f>
        <x:v>1</x:v>
      </x:c>
      <x:c r="Z10" s="79" t="str">
        <x:f>IF(A10="","",Events!AD9)</x:f>
        <x:v>Petition / campaign page</x:v>
      </x:c>
      <x:c r="AA10" s="79" t="str">
        <x:f>IF(A10="","",Events!AE9)</x:f>
        <x:v>Community-source led</x:v>
      </x:c>
      <x:c r="AC10" t="str">
        <x:v>Civil-society / union channel</x:v>
      </x:c>
      <x:c r="AD10" t="n">
        <x:f>COUNTIF($Z$6:$Z$1001,AC10)</x:f>
        <x:v>0</x:v>
      </x:c>
      <x:c r="AF10" t="str">
        <x:v>Official-source led</x:v>
      </x:c>
      <x:c r="AG10" t="n">
        <x:f>COUNTIF($AA$6:$AA$1001,AF10)</x:f>
        <x:v>0</x:v>
      </x:c>
    </x:row>
    <x:row r="11">
      <x:c r="A11" s="16" t="str">
        <x:f>IF(Events!A10="","",Events!A10)</x:f>
        <x:v>IO-CM-KA-0002</x:v>
      </x:c>
      <x:c r="B11" s="16" t="str">
        <x:f>IF(A11="","",Events!B10)</x:f>
        <x:v>Bidadi farmers continue protest against land acquisition for Greater Bengaluru Integrated Township</x:v>
      </x:c>
      <x:c r="C11" s="16" t="str">
        <x:f>IF(A11="","",Events!E10)</x:f>
        <x:v>Karnataka</x:v>
      </x:c>
      <x:c r="D11" s="16" t="str">
        <x:f>IF(A11="","",Events!J10)</x:f>
        <x:v>Ongoing</x:v>
      </x:c>
      <x:c r="E11" s="16" t="str">
        <x:f>IF(A11="","",Events!N10)</x:f>
        <x:v>Occurrence verified — disputed details remain</x:v>
      </x:c>
      <x:c r="F11" s="109" t="str">
        <x:f>IF(OR(A11="",Events!H10=""),"",Events!H10)</x:f>
      </x:c>
      <x:c r="G11" s="109" t="n">
        <x:f>IF(A11="","",IF(Events!I10&lt;&gt;"",Events!I10,IF(Events!S10&lt;&gt;"",Events!S10,"")))</x:f>
        <x:v>46218</x:v>
      </x:c>
      <x:c r="H11" s="16" t="str">
        <x:f>IF(A11="","",Events!W10)</x:f>
      </x:c>
      <x:c r="I11" s="16" t="str">
        <x:f>IF(A11="","",IF(Events!Y10&lt;&gt;"",Events!Y10,IF(OR(ISNUMBER(SEARCH("education",P11)),ISNUMBER(SEARCH("exam",P11)),ISNUMBER(SEARCH("school",P11))),"Education",IF(OR(ISNUMBER(SEARCH("trade agreement",P11)),ISNUMBER(SEARCH("economic",P11)),ISNUMBER(SEARCH("import",P11))),"Trade &amp; economic policy",IF(OR(ISNUMBER(SEARCH("land acquisition",P11)),ISNUMBER(SEARCH("rehabilitation",P11)),ISNUMBER(SEARCH("displacement",P11)),ISNUMBER(SEARCH("township",P11))),"Land &amp; rehabilitation",IF(OR(ISNUMBER(SEARCH("forest",P11)),ISNUMBER(SEARCH("environment",P11)),ISNUMBER(SEARCH("ecological",P11)),ISNUMBER(SEARCH("biodiversity",P11)),ISNUMBER(SEARCH("green cover",P11))),"Environment",IF(OR(ISNUMBER(SEARCH("irrigation",P11)),ISNUMBER(SEARCH("water",P11)),ISNUMBER(SEARCH("crop",P11)),ISNUMBER(SEARCH("farmer",P11)),ISNUMBER(SEARCH("agriculture",P11))),"Agriculture &amp; water",IF(OR(ISNUMBER(SEARCH("health",P11)),ISNUMBER(SEARCH("hospital",P11)),ISNUMBER(SEARCH("medicine",P11))),"Public health",IF(OR(ISNUMBER(SEARCH("employee",P11)),ISNUMBER(SEARCH("labour",P11)),ISNUMBER(SEARCH("worker",P11)),ISNUMBER(SEARCH("salary",P11))),"Labour &amp; employment",IF(OR(ISNUMBER(SEARCH("rti",P11)),ISNUMBER(SEARCH("transparency",P11)),ISNUMBER(SEARCH("corruption",P11)),ISNUMBER(SEARCH("governance",P11))),"Governance &amp; transparency",IF(OR(ISNUMBER(SEARCH("police",P11)),ISNUMBER(SEARCH("detention",P11)),ISNUMBER(SEARCH("civil rights",P11)),ISNUMBER(SEARCH("justice",P11))),"Civil rights &amp; justice",IF(OR(ISNUMBER(SEARCH("road",P11)),ISNUMBER(SEARCH("utility",P11)),ISNUMBER(SEARCH("infrastructure",P11)),ISNUMBER(SEARCH("public service",P11))),"Infrastructure &amp; public services","Other"))))))))))))</x:f>
        <x:v>Land &amp; rehabilitation</x:v>
      </x:c>
      <x:c r="J11" s="16" t="n">
        <x:f>IF(A11="","",IF(OR(ISNUMBER(SEARCH("fatal",Q11)),ISNUMBER(SEARCH("death",Q11)),ISNUMBER(SEARCH("riot",Q11)),ISNUMBER(SEARCH("curfew",Q11)),ISNUMBER(SEARCH("internet shutdown",Q11))),5,MIN(4,1+IF(H11&gt;=7,1,0)+IF(OR(ISNUMBER(SEARCH("hunger strike",Q11)),ISNUMBER(SEARCH("blockade",Q11)),ISNUMBER(SEARCH("strike",Q11)),ISNUMBER(SEARCH("jal satyagraha",Q11)),ISNUMBER(SEARCH("survey",Q11)),ISNUMBER(SEARCH("human chain",Q11)),ISNUMBER(SEARCH("march",Q11))),1,0)+IF(OR(ISNUMBER(SEARCH("fir",Q11)),ISNUMBER(SEARCH("confrontation",Q11)),ISNUMBER(SEARCH("violence",Q11)),ISNUMBER(SEARCH("detention",Q11)),ISNUMBER(SEARCH("arrest",Q11)),ISNUMBER(SEARCH("demolition",Q11)),ISNUMBER(SEARCH("injury",Q11))),1,0)+IF(OR(D11="Ongoing",D11="Unresolved"),1,0))))</x:f>
        <x:v>4</x:v>
      </x:c>
      <x:c r="K11" s="16" t="str">
        <x:f>IF(J11="","",IF(J11=1,"Limited",IF(J11=2,"Local",IF(J11=3,"Significant",IF(J11=4,"High","Critical")))))</x:f>
        <x:v>High</x:v>
      </x:c>
      <x:c r="L11" s="16" t="n">
        <x:f>IF(A11="","",Events!U10)</x:f>
        <x:v>13</x:v>
      </x:c>
      <x:c r="M11" s="16" t="n">
        <x:f>IF(A11="","",Events!V10)</x:f>
        <x:v>8</x:v>
      </x:c>
      <x:c r="N11" s="16" t="str">
        <x:f>IF(A11="","",Events!Q10)</x:f>
        <x:v>Candidate</x:v>
      </x:c>
      <x:c r="O11" s="16" t="str">
        <x:f>IF(A11="","",Events!R10)</x:f>
        <x:v>In national pilot</x:v>
      </x:c>
      <x:c r="P11" s="16" t="str">
        <x:f>IF(A11="","",LOWER(Events!B10&amp;" "&amp;Events!D10&amp;" "&amp;Events!K10))</x:f>
        <x:v>bidadi farmers continue protest against land acquisition for greater bengaluru integrated township land acquisition, agricultural livelihoods, compensation, consent and environmental concerns linked to the greater bengaluru integrated township farmers and agricultural communities around bidadi have conducted a sustained movement opposing land acquisition for the proposed greater bengaluru integrated township. the movement includes village meetings, marches, an appiko tree-hugging action and resistance to land-survey activity. protesters say the project threatens agricultural livelihoods and has proceeded without adequate consent or consultation. the karnataka government describes the township as a planned urban-development and employment project and has offered compensation options. the protest's occurrence and the first-phase acquisition notification are corroborated; claims concerning consent levels, the fertility and extent of affected farmland, environmental loss and responsibility for violence during survey operations remain attributed or disputed.</x:v>
      </x:c>
      <x:c r="Q11" s="16" t="str">
        <x:f>IF(A11="","",LOWER(Events!C10&amp;" "&amp;Events!K10&amp;" "&amp;Events!T10))</x:f>
        <x:v>multi-form civic protest farmers and agricultural communities around bidadi have conducted a sustained movement opposing land acquisition for the proposed greater bengaluru integrated township. the movement includes village meetings, marches, an appiko tree-hugging action and resistance to land-survey activity. protesters say the project threatens agricultural livelihoods and has proceeded without adequate consent or consultation. the karnataka government describes the township as a planned urban-development and employment project and has offered compensation options. the protest's occurrence and the first-phase acquisition notification are corroborated; claims concerning consent levels, the fertility and extent of affected farmland, environmental loss and responsibility for violence during survey operations remain attributed or disputed. exact movement start date remains under verification. independent reporting states that farmers had protested for more than 450 days by 29 june 2026. the record must not present the actions of individuals during the 13 july survey confrontation as actions of the entire movement. the reported government review committee is included as an attributed official response pending a direct government order or committee notification.</x:v>
      </x:c>
      <x:c r="R11" s="16" t="str">
        <x:f>IF(A11="","",IF(ISNUMBER(SEARCH("Occurrence verified",E11)),"Occurrence verified",E11))</x:f>
        <x:v>Occurrence verified</x:v>
      </x:c>
      <x:c r="S11" s="79" t="str">
        <x:f>IF(A11="","",Events!X10)</x:f>
        <x:v>Recurring / intermittent</x:v>
      </x:c>
      <x:c r="T11" t="str">
        <x:v>Gujarat</x:v>
      </x:c>
      <x:c r="U11" t="n">
        <x:f>COUNTIF($C$6:$C$1001,T11)</x:f>
        <x:v>1</x:v>
      </x:c>
      <x:c r="V11" t="n">
        <x:f>U11*1000+(100-ROW())/1000</x:f>
        <x:v>1000.089</x:v>
      </x:c>
      <x:c r="X11" t="str">
        <x:f>IF(LARGE($V$5:$V$40,7)&lt;1,"",INDEX($T$5:$T$40,MATCH(LARGE($V$5:$V$40,7),$V$5:$V$40,0)))</x:f>
        <x:v>Odisha</x:v>
      </x:c>
      <x:c r="Y11" t="n">
        <x:f>IF(X11="","",INDEX($U$5:$U$40,MATCH(X11,$T$5:$T$40,0)))</x:f>
        <x:v>1</x:v>
      </x:c>
      <x:c r="Z11" s="79" t="str">
        <x:f>IF(A11="","",Events!AD10)</x:f>
        <x:v>User-provided lead</x:v>
      </x:c>
      <x:c r="AA11" s="79" t="str">
        <x:f>IF(A11="","",Events!AE10)</x:f>
        <x:v>Social-first, later corroborated</x:v>
      </x:c>
      <x:c r="AC11" t="str">
        <x:v>Petition / campaign page</x:v>
      </x:c>
      <x:c r="AD11" t="n">
        <x:f>COUNTIF($Z$6:$Z$1001,AC11)</x:f>
        <x:v>1</x:v>
      </x:c>
      <x:c r="AF11" t="str">
        <x:v>Mixed coverage</x:v>
      </x:c>
      <x:c r="AG11" t="n">
        <x:f>COUNTIF($AA$6:$AA$1001,AF11)</x:f>
        <x:v>0</x:v>
      </x:c>
    </x:row>
    <x:row r="12">
      <x:c r="A12" s="16" t="str">
        <x:f>IF(Events!A11="","",Events!A11)</x:f>
        <x:v>IO-CM-GJ-0001</x:v>
      </x:c>
      <x:c r="B12" s="16" t="str">
        <x:f>IF(A12="","",Events!B11)</x:f>
        <x:v>Morbi farmers continue satyagraha over compensation for power-transmission infrastructure</x:v>
      </x:c>
      <x:c r="C12" s="16" t="str">
        <x:f>IF(A12="","",Events!E11)</x:f>
        <x:v>Gujarat</x:v>
      </x:c>
      <x:c r="D12" s="16" t="str">
        <x:f>IF(A12="","",Events!J11)</x:f>
        <x:v>Ongoing</x:v>
      </x:c>
      <x:c r="E12" s="16" t="str">
        <x:f>IF(A12="","",Events!N11)</x:f>
        <x:v>Occurrence verified — disputed details remain</x:v>
      </x:c>
      <x:c r="F12" s="109" t="n">
        <x:f>IF(OR(A12="",Events!H11=""),"",Events!H11)</x:f>
        <x:v>46180</x:v>
      </x:c>
      <x:c r="G12" s="109" t="n">
        <x:f>IF(A12="","",IF(Events!I11&lt;&gt;"",Events!I11,IF(Events!S11&lt;&gt;"",Events!S11,"")))</x:f>
        <x:v>46210</x:v>
      </x:c>
      <x:c r="H12" s="16" t="n">
        <x:f>IF(A12="","",Events!W11)</x:f>
        <x:v>31</x:v>
      </x:c>
      <x:c r="I12" s="16" t="str">
        <x:f>IF(A12="","",IF(Events!Y11&lt;&gt;"",Events!Y11,IF(OR(ISNUMBER(SEARCH("education",P12)),ISNUMBER(SEARCH("exam",P12)),ISNUMBER(SEARCH("school",P12))),"Education",IF(OR(ISNUMBER(SEARCH("trade agreement",P12)),ISNUMBER(SEARCH("economic",P12)),ISNUMBER(SEARCH("import",P12))),"Trade &amp; economic policy",IF(OR(ISNUMBER(SEARCH("land acquisition",P12)),ISNUMBER(SEARCH("rehabilitation",P12)),ISNUMBER(SEARCH("displacement",P12)),ISNUMBER(SEARCH("township",P12))),"Land &amp; rehabilitation",IF(OR(ISNUMBER(SEARCH("forest",P12)),ISNUMBER(SEARCH("environment",P12)),ISNUMBER(SEARCH("ecological",P12)),ISNUMBER(SEARCH("biodiversity",P12)),ISNUMBER(SEARCH("green cover",P12))),"Environment",IF(OR(ISNUMBER(SEARCH("irrigation",P12)),ISNUMBER(SEARCH("water",P12)),ISNUMBER(SEARCH("crop",P12)),ISNUMBER(SEARCH("farmer",P12)),ISNUMBER(SEARCH("agriculture",P12))),"Agriculture &amp; water",IF(OR(ISNUMBER(SEARCH("health",P12)),ISNUMBER(SEARCH("hospital",P12)),ISNUMBER(SEARCH("medicine",P12))),"Public health",IF(OR(ISNUMBER(SEARCH("employee",P12)),ISNUMBER(SEARCH("labour",P12)),ISNUMBER(SEARCH("worker",P12)),ISNUMBER(SEARCH("salary",P12))),"Labour &amp; employment",IF(OR(ISNUMBER(SEARCH("rti",P12)),ISNUMBER(SEARCH("transparency",P12)),ISNUMBER(SEARCH("corruption",P12)),ISNUMBER(SEARCH("governance",P12))),"Governance &amp; transparency",IF(OR(ISNUMBER(SEARCH("police",P12)),ISNUMBER(SEARCH("detention",P12)),ISNUMBER(SEARCH("civil rights",P12)),ISNUMBER(SEARCH("justice",P12))),"Civil rights &amp; justice",IF(OR(ISNUMBER(SEARCH("road",P12)),ISNUMBER(SEARCH("utility",P12)),ISNUMBER(SEARCH("infrastructure",P12)),ISNUMBER(SEARCH("public service",P12))),"Infrastructure &amp; public services","Other"))))))))))))</x:f>
        <x:v>Land &amp; rehabilitation</x:v>
      </x:c>
      <x:c r="J12" s="16" t="n">
        <x:f>IF(A12="","",IF(OR(ISNUMBER(SEARCH("fatal",Q12)),ISNUMBER(SEARCH("death",Q12)),ISNUMBER(SEARCH("riot",Q12)),ISNUMBER(SEARCH("curfew",Q12)),ISNUMBER(SEARCH("internet shutdown",Q12))),5,MIN(4,1+IF(H12&gt;=7,1,0)+IF(OR(ISNUMBER(SEARCH("hunger strike",Q12)),ISNUMBER(SEARCH("blockade",Q12)),ISNUMBER(SEARCH("strike",Q12)),ISNUMBER(SEARCH("jal satyagraha",Q12)),ISNUMBER(SEARCH("survey",Q12)),ISNUMBER(SEARCH("human chain",Q12)),ISNUMBER(SEARCH("march",Q12))),1,0)+IF(OR(ISNUMBER(SEARCH("fir",Q12)),ISNUMBER(SEARCH("confrontation",Q12)),ISNUMBER(SEARCH("violence",Q12)),ISNUMBER(SEARCH("detention",Q12)),ISNUMBER(SEARCH("arrest",Q12)),ISNUMBER(SEARCH("demolition",Q12)),ISNUMBER(SEARCH("injury",Q12))),1,0)+IF(OR(D12="Ongoing",D12="Unresolved"),1,0))))</x:f>
        <x:v>4</x:v>
      </x:c>
      <x:c r="K12" s="16" t="str">
        <x:f>IF(J12="","",IF(J12=1,"Limited",IF(J12=2,"Local",IF(J12=3,"Significant",IF(J12=4,"High","Critical")))))</x:f>
        <x:v>High</x:v>
      </x:c>
      <x:c r="L12" s="16" t="n">
        <x:f>IF(A12="","",Events!U11)</x:f>
        <x:v>8</x:v>
      </x:c>
      <x:c r="M12" s="16" t="n">
        <x:f>IF(A12="","",Events!V11)</x:f>
        <x:v>4</x:v>
      </x:c>
      <x:c r="N12" s="16" t="str">
        <x:f>IF(A12="","",Events!Q11)</x:f>
        <x:v>Candidate</x:v>
      </x:c>
      <x:c r="O12" s="16" t="str">
        <x:f>IF(A12="","",Events!R11)</x:f>
        <x:v>In national pilot</x:v>
      </x:c>
      <x:c r="P12" s="16" t="str">
        <x:f>IF(A12="","",LOWER(Events!B11&amp;" "&amp;Events!D11&amp;" "&amp;Events!K11))</x:f>
        <x:v>morbi farmers continue satyagraha over compensation for power-transmission infrastructure compensation and agricultural-land impacts linked to high-voltage transmission towers and right-of-way corridors farmers centred in jetpar village, morbi, conducted a multi-phase movement against the compensation terms for agricultural land affected by a high-voltage power-transmission project. the movement included demonstrations, symbolic head-shaving and an indefinite hunger strike that began on 17 june. after the gujarat government issued revised compensation guidelines on 4 july, the farmers ended the fast but said the agitation would continue as a satyagraha because questions remained about land valuation, right-of-way compensation and implementation. the movement and government response are independently corroborated; claims about land becoming uncultivable and the exact number of affected farmers remain attributed.</x:v>
      </x:c>
      <x:c r="Q12" s="16" t="str">
        <x:f>IF(A12="","",LOWER(Events!C11&amp;" "&amp;Events!K11&amp;" "&amp;Events!T11))</x:f>
        <x:v>multi-form civic protest farmers centred in jetpar village, morbi, conducted a multi-phase movement against the compensation terms for agricultural land affected by a high-voltage power-transmission project. the movement included demonstrations, symbolic head-shaving and an indefinite hunger strike that began on 17 june. after the gujarat government issued revised compensation guidelines on 4 july, the farmers ended the fast but said the agitation would continue as a satyagraha because questions remained about land valuation, right-of-way compensation and implementation. the movement and government response are independently corroborated; claims about land becoming uncultivable and the exact number of affected farmers remain attributed. the indian express reported a 756 kv double-circuit line and a 246 km route, while other reporting described 765 kv infrastructure and a 301 km first-phase route. these technical figures are not used in the public summary until official project documents are added.</x:v>
      </x:c>
      <x:c r="R12" s="16" t="str">
        <x:f>IF(A12="","",IF(ISNUMBER(SEARCH("Occurrence verified",E12)),"Occurrence verified",E12))</x:f>
        <x:v>Occurrence verified</x:v>
      </x:c>
      <x:c r="S12" s="79" t="str">
        <x:f>IF(A12="","",Events!X11)</x:f>
        <x:v>Multiple phases</x:v>
      </x:c>
      <x:c r="T12" t="str">
        <x:v>Haryana</x:v>
      </x:c>
      <x:c r="U12" t="n">
        <x:f>COUNTIF($C$6:$C$1001,T12)</x:f>
        <x:v>0</x:v>
      </x:c>
      <x:c r="V12" t="n">
        <x:f>U12*1000+(100-ROW())/1000</x:f>
        <x:v>0.088</x:v>
      </x:c>
      <x:c r="X12" t="str">
        <x:f>IF(LARGE($V$5:$V$40,8)&lt;1,"",INDEX($T$5:$T$40,MATCH(LARGE($V$5:$V$40,8),$V$5:$V$40,0)))</x:f>
        <x:v>Uttar Pradesh</x:v>
      </x:c>
      <x:c r="Y12" t="n">
        <x:f>IF(X12="","",INDEX($U$5:$U$40,MATCH(X12,$T$5:$T$40,0)))</x:f>
        <x:v>1</x:v>
      </x:c>
      <x:c r="Z12" s="79" t="str">
        <x:f>IF(A12="","",Events!AD11)</x:f>
        <x:v>Community social media</x:v>
      </x:c>
      <x:c r="AA12" s="79" t="str">
        <x:f>IF(A12="","",Events!AE11)</x:f>
        <x:v>Social-first, later corroborated</x:v>
      </x:c>
      <x:c r="AC12" t="str">
        <x:v>Official notice / district channel</x:v>
      </x:c>
      <x:c r="AD12" t="n">
        <x:f>COUNTIF($Z$6:$Z$1001,AC12)</x:f>
        <x:v>0</x:v>
      </x:c>
      <x:c r="AF12" t="str">
        <x:v>Undercovered / remote</x:v>
      </x:c>
      <x:c r="AG12" t="n">
        <x:f>COUNTIF($AA$6:$AA$1001,AF12)</x:f>
        <x:v>1</x:v>
      </x:c>
    </x:row>
    <x:row r="13">
      <x:c r="A13" s="16" t="str">
        <x:f>IF(Events!A12="","",Events!A12)</x:f>
        <x:v>IO-CM-UP-0001</x:v>
      </x:c>
      <x:c r="B13" s="16" t="str">
        <x:f>IF(A13="","",Events!B12)</x:f>
        <x:v>Dasiya villagers protest construction of an ethanol plant in Basti district</x:v>
      </x:c>
      <x:c r="C13" s="16" t="str">
        <x:f>IF(A13="","",Events!E12)</x:f>
        <x:v>Uttar Pradesh</x:v>
      </x:c>
      <x:c r="D13" s="16" t="str">
        <x:f>IF(A13="","",Events!J12)</x:f>
        <x:v>Ongoing</x:v>
      </x:c>
      <x:c r="E13" s="16" t="str">
        <x:f>IF(A13="","",Events!N12)</x:f>
        <x:v>Occurrence verified — disputed details remain</x:v>
      </x:c>
      <x:c r="F13" s="109" t="n">
        <x:f>IF(OR(A13="",Events!H12=""),"",Events!H12)</x:f>
        <x:v>46196</x:v>
      </x:c>
      <x:c r="G13" s="109" t="n">
        <x:f>IF(A13="","",IF(Events!I12&lt;&gt;"",Events!I12,IF(Events!S12&lt;&gt;"",Events!S12,"")))</x:f>
        <x:v>46217</x:v>
      </x:c>
      <x:c r="H13" s="16" t="n">
        <x:f>IF(A13="","",Events!W12)</x:f>
        <x:v>22</x:v>
      </x:c>
      <x:c r="I13" s="16" t="str">
        <x:f>IF(A13="","",IF(Events!Y12&lt;&gt;"",Events!Y12,IF(OR(ISNUMBER(SEARCH("education",P13)),ISNUMBER(SEARCH("exam",P13)),ISNUMBER(SEARCH("school",P13))),"Education",IF(OR(ISNUMBER(SEARCH("trade agreement",P13)),ISNUMBER(SEARCH("economic",P13)),ISNUMBER(SEARCH("import",P13))),"Trade &amp; economic policy",IF(OR(ISNUMBER(SEARCH("land acquisition",P13)),ISNUMBER(SEARCH("rehabilitation",P13)),ISNUMBER(SEARCH("displacement",P13)),ISNUMBER(SEARCH("township",P13))),"Land &amp; rehabilitation",IF(OR(ISNUMBER(SEARCH("forest",P13)),ISNUMBER(SEARCH("environment",P13)),ISNUMBER(SEARCH("ecological",P13)),ISNUMBER(SEARCH("biodiversity",P13)),ISNUMBER(SEARCH("green cover",P13))),"Environment",IF(OR(ISNUMBER(SEARCH("irrigation",P13)),ISNUMBER(SEARCH("water",P13)),ISNUMBER(SEARCH("crop",P13)),ISNUMBER(SEARCH("farmer",P13)),ISNUMBER(SEARCH("agriculture",P13))),"Agriculture &amp; water",IF(OR(ISNUMBER(SEARCH("health",P13)),ISNUMBER(SEARCH("hospital",P13)),ISNUMBER(SEARCH("medicine",P13))),"Public health",IF(OR(ISNUMBER(SEARCH("employee",P13)),ISNUMBER(SEARCH("labour",P13)),ISNUMBER(SEARCH("worker",P13)),ISNUMBER(SEARCH("salary",P13))),"Labour &amp; employment",IF(OR(ISNUMBER(SEARCH("rti",P13)),ISNUMBER(SEARCH("transparency",P13)),ISNUMBER(SEARCH("corruption",P13)),ISNUMBER(SEARCH("governance",P13))),"Governance &amp; transparency",IF(OR(ISNUMBER(SEARCH("police",P13)),ISNUMBER(SEARCH("detention",P13)),ISNUMBER(SEARCH("civil rights",P13)),ISNUMBER(SEARCH("justice",P13))),"Civil rights &amp; justice",IF(OR(ISNUMBER(SEARCH("road",P13)),ISNUMBER(SEARCH("utility",P13)),ISNUMBER(SEARCH("infrastructure",P13)),ISNUMBER(SEARCH("public service",P13))),"Infrastructure &amp; public services","Other"))))))))))))</x:f>
        <x:v>Environment</x:v>
      </x:c>
      <x:c r="J13" s="16" t="n">
        <x:f>IF(A13="","",IF(OR(ISNUMBER(SEARCH("fatal",Q13)),ISNUMBER(SEARCH("death",Q13)),ISNUMBER(SEARCH("riot",Q13)),ISNUMBER(SEARCH("curfew",Q13)),ISNUMBER(SEARCH("internet shutdown",Q13))),5,MIN(4,1+IF(H13&gt;=7,1,0)+IF(OR(ISNUMBER(SEARCH("hunger strike",Q13)),ISNUMBER(SEARCH("blockade",Q13)),ISNUMBER(SEARCH("strike",Q13)),ISNUMBER(SEARCH("jal satyagraha",Q13)),ISNUMBER(SEARCH("survey",Q13)),ISNUMBER(SEARCH("human chain",Q13)),ISNUMBER(SEARCH("march",Q13))),1,0)+IF(OR(ISNUMBER(SEARCH("fir",Q13)),ISNUMBER(SEARCH("confrontation",Q13)),ISNUMBER(SEARCH("violence",Q13)),ISNUMBER(SEARCH("detention",Q13)),ISNUMBER(SEARCH("arrest",Q13)),ISNUMBER(SEARCH("demolition",Q13)),ISNUMBER(SEARCH("injury",Q13))),1,0)+IF(OR(D13="Ongoing",D13="Unresolved"),1,0))))</x:f>
        <x:v>4</x:v>
      </x:c>
      <x:c r="K13" s="16" t="str">
        <x:f>IF(J13="","",IF(J13=1,"Limited",IF(J13=2,"Local",IF(J13=3,"Significant",IF(J13=4,"High","Critical")))))</x:f>
        <x:v>High</x:v>
      </x:c>
      <x:c r="L13" s="16" t="n">
        <x:f>IF(A13="","",Events!U12)</x:f>
        <x:v>8</x:v>
      </x:c>
      <x:c r="M13" s="16" t="n">
        <x:f>IF(A13="","",Events!V12)</x:f>
        <x:v>4</x:v>
      </x:c>
      <x:c r="N13" s="16" t="str">
        <x:f>IF(A13="","",Events!Q12)</x:f>
        <x:v>Candidate</x:v>
      </x:c>
      <x:c r="O13" s="16" t="str">
        <x:f>IF(A13="","",Events!R12)</x:f>
        <x:v>In national pilot</x:v>
      </x:c>
      <x:c r="P13" s="16" t="str">
        <x:f>IF(A13="","",LOWER(Events!B12&amp;" "&amp;Events!D12&amp;" "&amp;Events!K12))</x:f>
        <x:v>dasiya villagers protest construction of an ethanol plant in basti district environmental, water, health and land-consent concerns relating to a proposed ethanol plant residents of dasiya and nearby villages have opposed an ethanol plant under construction in basti district. a memorandum submitted in june raised concerns about nearby settlements and government schools, while a larger demonstration was announced and held on 14 july under substantial police deployment. protesters called for the factory to be stopped and raised concerns about water use, environmental and health effects, and the circumstances in which land was obtained. the occurrence and continuing opposition are corroborated through local-language reporting and public field material; allegations that residents were misled about the project and specific impact estimates remain attributed.</x:v>
      </x:c>
      <x:c r="Q13" s="16" t="str">
        <x:f>IF(A13="","",LOWER(Events!C12&amp;" "&amp;Events!K12&amp;" "&amp;Events!T12))</x:f>
        <x:v>demonstration residents of dasiya and nearby villages have opposed an ethanol plant under construction in basti district. a memorandum submitted in june raised concerns about nearby settlements and government schools, while a larger demonstration was announced and held on 14 july under substantial police deployment. protesters called for the factory to be stopped and raised concerns about water use, environmental and health effects, and the circumstances in which land was obtained. the occurrence and continuing opposition are corroborated through local-language reporting and public field material; allegations that residents were misled about the project and specific impact estimates remain attributed. the company name and full environmental-clearance record have not yet been confirmed. claims that land was obtained by describing a different type of factory are allegations and require deeds, consent records or official inquiry documents.</x:v>
      </x:c>
      <x:c r="R13" s="16" t="str">
        <x:f>IF(A13="","",IF(ISNUMBER(SEARCH("Occurrence verified",E13)),"Occurrence verified",E13))</x:f>
        <x:v>Occurrence verified</x:v>
      </x:c>
      <x:c r="S13" s="79" t="str">
        <x:f>IF(A13="","",Events!X12)</x:f>
        <x:v>Recurring / intermittent</x:v>
      </x:c>
      <x:c r="T13" t="str">
        <x:v>Himachal Pradesh</x:v>
      </x:c>
      <x:c r="U13" t="n">
        <x:f>COUNTIF($C$6:$C$1001,T13)</x:f>
        <x:v>0</x:v>
      </x:c>
      <x:c r="V13" t="n">
        <x:f>U13*1000+(100-ROW())/1000</x:f>
        <x:v>0.087</x:v>
      </x:c>
      <x:c r="Z13" s="79" t="str">
        <x:f>IF(A13="","",Events!AD12)</x:f>
        <x:v>Community social media</x:v>
      </x:c>
      <x:c r="AA13" s="79" t="str">
        <x:f>IF(A13="","",Events!AE12)</x:f>
        <x:v>Social-first, later corroborated</x:v>
      </x:c>
      <x:c r="AC13" t="str">
        <x:v>Field video / citizen post</x:v>
      </x:c>
      <x:c r="AD13" t="n">
        <x:f>COUNTIF($Z$6:$Z$1001,AC13)</x:f>
        <x:v>1</x:v>
      </x:c>
    </x:row>
    <x:row r="14">
      <x:c r="A14" s="16" t="str">
        <x:f>IF(Events!A13="","",Events!A13)</x:f>
        <x:v>IO-CM-AS-0001</x:v>
      </x:c>
      <x:c r="B14" s="16" t="str">
        <x:f>IF(A14="","",Events!B13)</x:f>
        <x:v>Bodo residents protest proposed APDCL land allotment and resettlement plan in Kokrajhar</x:v>
      </x:c>
      <x:c r="C14" s="16" t="str">
        <x:f>IF(A14="","",Events!E13)</x:f>
        <x:v>Assam</x:v>
      </x:c>
      <x:c r="D14" s="16" t="str">
        <x:f>IF(A14="","",Events!J13)</x:f>
        <x:v>Concluded</x:v>
      </x:c>
      <x:c r="E14" s="16" t="str">
        <x:f>IF(A14="","",Events!N13)</x:f>
        <x:v>Occurrence verified — disputed details remain</x:v>
      </x:c>
      <x:c r="F14" s="109" t="n">
        <x:f>IF(OR(A14="",Events!H13=""),"",Events!H13)</x:f>
        <x:v>46215</x:v>
      </x:c>
      <x:c r="G14" s="109" t="n">
        <x:f>IF(A14="","",IF(Events!I13&lt;&gt;"",Events!I13,IF(Events!S13&lt;&gt;"",Events!S13,"")))</x:f>
        <x:v>46215</x:v>
      </x:c>
      <x:c r="H14" s="16" t="n">
        <x:f>IF(A14="","",Events!W13)</x:f>
        <x:v>1</x:v>
      </x:c>
      <x:c r="I14" s="16" t="str">
        <x:f>IF(A14="","",IF(Events!Y13&lt;&gt;"",Events!Y13,IF(OR(ISNUMBER(SEARCH("education",P14)),ISNUMBER(SEARCH("exam",P14)),ISNUMBER(SEARCH("school",P14))),"Education",IF(OR(ISNUMBER(SEARCH("trade agreement",P14)),ISNUMBER(SEARCH("economic",P14)),ISNUMBER(SEARCH("import",P14))),"Trade &amp; economic policy",IF(OR(ISNUMBER(SEARCH("land acquisition",P14)),ISNUMBER(SEARCH("rehabilitation",P14)),ISNUMBER(SEARCH("displacement",P14)),ISNUMBER(SEARCH("township",P14))),"Land &amp; rehabilitation",IF(OR(ISNUMBER(SEARCH("forest",P14)),ISNUMBER(SEARCH("environment",P14)),ISNUMBER(SEARCH("ecological",P14)),ISNUMBER(SEARCH("biodiversity",P14)),ISNUMBER(SEARCH("green cover",P14))),"Environment",IF(OR(ISNUMBER(SEARCH("irrigation",P14)),ISNUMBER(SEARCH("water",P14)),ISNUMBER(SEARCH("crop",P14)),ISNUMBER(SEARCH("farmer",P14)),ISNUMBER(SEARCH("agriculture",P14))),"Agriculture &amp; water",IF(OR(ISNUMBER(SEARCH("health",P14)),ISNUMBER(SEARCH("hospital",P14)),ISNUMBER(SEARCH("medicine",P14))),"Public health",IF(OR(ISNUMBER(SEARCH("employee",P14)),ISNUMBER(SEARCH("labour",P14)),ISNUMBER(SEARCH("worker",P14)),ISNUMBER(SEARCH("salary",P14))),"Labour &amp; employment",IF(OR(ISNUMBER(SEARCH("rti",P14)),ISNUMBER(SEARCH("transparency",P14)),ISNUMBER(SEARCH("corruption",P14)),ISNUMBER(SEARCH("governance",P14))),"Governance &amp; transparency",IF(OR(ISNUMBER(SEARCH("police",P14)),ISNUMBER(SEARCH("detention",P14)),ISNUMBER(SEARCH("civil rights",P14)),ISNUMBER(SEARCH("justice",P14))),"Civil rights &amp; justice",IF(OR(ISNUMBER(SEARCH("road",P14)),ISNUMBER(SEARCH("utility",P14)),ISNUMBER(SEARCH("infrastructure",P14)),ISNUMBER(SEARCH("public service",P14))),"Infrastructure &amp; public services","Other"))))))))))))</x:f>
        <x:v>Land &amp; rehabilitation</x:v>
      </x:c>
      <x:c r="J14" s="16" t="n">
        <x:f>IF(A14="","",IF(OR(ISNUMBER(SEARCH("fatal",Q14)),ISNUMBER(SEARCH("death",Q14)),ISNUMBER(SEARCH("riot",Q14)),ISNUMBER(SEARCH("curfew",Q14)),ISNUMBER(SEARCH("internet shutdown",Q14))),5,MIN(4,1+IF(H14&gt;=7,1,0)+IF(OR(ISNUMBER(SEARCH("hunger strike",Q14)),ISNUMBER(SEARCH("blockade",Q14)),ISNUMBER(SEARCH("strike",Q14)),ISNUMBER(SEARCH("jal satyagraha",Q14)),ISNUMBER(SEARCH("survey",Q14)),ISNUMBER(SEARCH("human chain",Q14)),ISNUMBER(SEARCH("march",Q14))),1,0)+IF(OR(ISNUMBER(SEARCH("fir",Q14)),ISNUMBER(SEARCH("confrontation",Q14)),ISNUMBER(SEARCH("violence",Q14)),ISNUMBER(SEARCH("detention",Q14)),ISNUMBER(SEARCH("arrest",Q14)),ISNUMBER(SEARCH("demolition",Q14)),ISNUMBER(SEARCH("injury",Q14))),1,0)+IF(OR(D14="Ongoing",D14="Unresolved"),1,0))))</x:f>
        <x:v>1</x:v>
      </x:c>
      <x:c r="K14" s="16" t="str">
        <x:f>IF(J14="","",IF(J14=1,"Limited",IF(J14=2,"Local",IF(J14=3,"Significant",IF(J14=4,"High","Critical")))))</x:f>
        <x:v>Limited</x:v>
      </x:c>
      <x:c r="L14" s="16" t="n">
        <x:f>IF(A14="","",Events!U13)</x:f>
        <x:v>7</x:v>
      </x:c>
      <x:c r="M14" s="16" t="n">
        <x:f>IF(A14="","",Events!V13)</x:f>
        <x:v>3</x:v>
      </x:c>
      <x:c r="N14" s="16" t="str">
        <x:f>IF(A14="","",Events!Q13)</x:f>
        <x:v>Candidate</x:v>
      </x:c>
      <x:c r="O14" s="16" t="str">
        <x:f>IF(A14="","",Events!R13)</x:f>
        <x:v>In national pilot</x:v>
      </x:c>
      <x:c r="P14" s="16" t="str">
        <x:f>IF(A14="","",LOWER(Events!B13&amp;" "&amp;Events!D13&amp;" "&amp;Events!K13))</x:f>
        <x:v>bodo residents protest proposed apdcl land allotment and resettlement plan in kokrajhar protection of tribal belt and block land from proposed allotment and resettlement hundreds of bodo residents gathered at malgaon on 12 july 2026 to oppose a proposed land allotment to assam power distribution company limited and the proposed rehabilitation of 93 families evicted from kaimari. protesters demanded protection of land they described as part of a tribal belt and block and called for the allotment and resettlement proposal to be withdrawn. the demonstration is supported by regional video reporting and local community coverage. the legal status and exact acreage of the land, the government's decision-making record and the rights of all affected communities require official documents and careful follow-up.</x:v>
      </x:c>
      <x:c r="Q14" s="16" t="str">
        <x:f>IF(A14="","",LOWER(Events!C13&amp;" "&amp;Events!K13&amp;" "&amp;Events!T13))</x:f>
        <x:v>demonstration hundreds of bodo residents gathered at malgaon on 12 july 2026 to oppose a proposed land allotment to assam power distribution company limited and the proposed rehabilitation of 93 families evicted from kaimari. protesters demanded protection of land they described as part of a tribal belt and block and called for the allotment and resettlement proposal to be withdrawn. the demonstration is supported by regional video reporting and local community coverage. the legal status and exact acreage of the land, the government's decision-making record and the rights of all affected communities require official documents and careful follow-up. this record must not stigmatise or assign wrongdoing to the 93 families proposed for rehabilitation. the public-interest question is the land-allotment and consultation process, not the identity of displaced families.</x:v>
      </x:c>
      <x:c r="R14" s="16" t="str">
        <x:f>IF(A14="","",IF(ISNUMBER(SEARCH("Occurrence verified",E14)),"Occurrence verified",E14))</x:f>
        <x:v>Occurrence verified</x:v>
      </x:c>
      <x:c r="S14" s="79" t="str">
        <x:f>IF(A14="","",Events!X13)</x:f>
        <x:v>One-day event</x:v>
      </x:c>
      <x:c r="T14" t="str">
        <x:v>Jharkhand</x:v>
      </x:c>
      <x:c r="U14" t="n">
        <x:f>COUNTIF($C$6:$C$1001,T14)</x:f>
        <x:v>0</x:v>
      </x:c>
      <x:c r="V14" t="n">
        <x:f>U14*1000+(100-ROW())/1000</x:f>
        <x:v>0.086</x:v>
      </x:c>
      <x:c r="Z14" s="79" t="str">
        <x:f>IF(A14="","",Events!AD13)</x:f>
        <x:v>Community social media</x:v>
      </x:c>
      <x:c r="AA14" s="79" t="str">
        <x:f>IF(A14="","",Events!AE13)</x:f>
        <x:v>Undercovered / remote</x:v>
      </x:c>
      <x:c r="AC14" t="str">
        <x:v>Cross-source pattern search</x:v>
      </x:c>
      <x:c r="AD14" t="n">
        <x:f>COUNTIF($Z$6:$Z$1001,AC14)</x:f>
        <x:v>0</x:v>
      </x:c>
    </x:row>
    <x:row r="15">
      <x:c r="A15" s="16" t="str">
        <x:f>IF(Events!A14="","",Events!A14)</x:f>
        <x:v>IO-CM-MN-0001</x:v>
      </x:c>
      <x:c r="B15" s="16" t="str">
        <x:f>IF(A15="","",Events!B14)</x:f>
        <x:v>Manipur government employees continue indefinite cease-work strike over pay and service conditions</x:v>
      </x:c>
      <x:c r="C15" s="16" t="str">
        <x:f>IF(A15="","",Events!E14)</x:f>
        <x:v>Manipur</x:v>
      </x:c>
      <x:c r="D15" s="16" t="str">
        <x:f>IF(A15="","",Events!J14)</x:f>
        <x:v>Ongoing</x:v>
      </x:c>
      <x:c r="E15" s="16" t="str">
        <x:f>IF(A15="","",Events!N14)</x:f>
        <x:v>Occurrence verified — disputed details remain</x:v>
      </x:c>
      <x:c r="F15" s="109" t="n">
        <x:f>IF(OR(A15="",Events!H14=""),"",Events!H14)</x:f>
        <x:v>46204</x:v>
      </x:c>
      <x:c r="G15" s="109" t="n">
        <x:f>IF(A15="","",IF(Events!I14&lt;&gt;"",Events!I14,IF(Events!S14&lt;&gt;"",Events!S14,"")))</x:f>
        <x:v>46218</x:v>
      </x:c>
      <x:c r="H15" s="16" t="n">
        <x:f>IF(A15="","",Events!W14)</x:f>
        <x:v>15</x:v>
      </x:c>
      <x:c r="I15" s="16" t="str">
        <x:f>IF(A15="","",IF(Events!Y14&lt;&gt;"",Events!Y14,IF(OR(ISNUMBER(SEARCH("education",P15)),ISNUMBER(SEARCH("exam",P15)),ISNUMBER(SEARCH("school",P15))),"Education",IF(OR(ISNUMBER(SEARCH("trade agreement",P15)),ISNUMBER(SEARCH("economic",P15)),ISNUMBER(SEARCH("import",P15))),"Trade &amp; economic policy",IF(OR(ISNUMBER(SEARCH("land acquisition",P15)),ISNUMBER(SEARCH("rehabilitation",P15)),ISNUMBER(SEARCH("displacement",P15)),ISNUMBER(SEARCH("township",P15))),"Land &amp; rehabilitation",IF(OR(ISNUMBER(SEARCH("forest",P15)),ISNUMBER(SEARCH("environment",P15)),ISNUMBER(SEARCH("ecological",P15)),ISNUMBER(SEARCH("biodiversity",P15)),ISNUMBER(SEARCH("green cover",P15))),"Environment",IF(OR(ISNUMBER(SEARCH("irrigation",P15)),ISNUMBER(SEARCH("water",P15)),ISNUMBER(SEARCH("crop",P15)),ISNUMBER(SEARCH("farmer",P15)),ISNUMBER(SEARCH("agriculture",P15))),"Agriculture &amp; water",IF(OR(ISNUMBER(SEARCH("health",P15)),ISNUMBER(SEARCH("hospital",P15)),ISNUMBER(SEARCH("medicine",P15))),"Public health",IF(OR(ISNUMBER(SEARCH("employee",P15)),ISNUMBER(SEARCH("labour",P15)),ISNUMBER(SEARCH("worker",P15)),ISNUMBER(SEARCH("salary",P15))),"Labour &amp; employment",IF(OR(ISNUMBER(SEARCH("rti",P15)),ISNUMBER(SEARCH("transparency",P15)),ISNUMBER(SEARCH("corruption",P15)),ISNUMBER(SEARCH("governance",P15))),"Governance &amp; transparency",IF(OR(ISNUMBER(SEARCH("police",P15)),ISNUMBER(SEARCH("detention",P15)),ISNUMBER(SEARCH("civil rights",P15)),ISNUMBER(SEARCH("justice",P15))),"Civil rights &amp; justice",IF(OR(ISNUMBER(SEARCH("road",P15)),ISNUMBER(SEARCH("utility",P15)),ISNUMBER(SEARCH("infrastructure",P15)),ISNUMBER(SEARCH("public service",P15))),"Infrastructure &amp; public services","Other"))))))))))))</x:f>
        <x:v>Labour &amp; employment</x:v>
      </x:c>
      <x:c r="J15" s="16" t="n">
        <x:f>IF(A15="","",IF(OR(ISNUMBER(SEARCH("fatal",Q15)),ISNUMBER(SEARCH("death",Q15)),ISNUMBER(SEARCH("riot",Q15)),ISNUMBER(SEARCH("curfew",Q15)),ISNUMBER(SEARCH("internet shutdown",Q15))),5,MIN(4,1+IF(H15&gt;=7,1,0)+IF(OR(ISNUMBER(SEARCH("hunger strike",Q15)),ISNUMBER(SEARCH("blockade",Q15)),ISNUMBER(SEARCH("strike",Q15)),ISNUMBER(SEARCH("jal satyagraha",Q15)),ISNUMBER(SEARCH("survey",Q15)),ISNUMBER(SEARCH("human chain",Q15)),ISNUMBER(SEARCH("march",Q15))),1,0)+IF(OR(ISNUMBER(SEARCH("fir",Q15)),ISNUMBER(SEARCH("confrontation",Q15)),ISNUMBER(SEARCH("violence",Q15)),ISNUMBER(SEARCH("detention",Q15)),ISNUMBER(SEARCH("arrest",Q15)),ISNUMBER(SEARCH("demolition",Q15)),ISNUMBER(SEARCH("injury",Q15))),1,0)+IF(OR(D15="Ongoing",D15="Unresolved"),1,0))))</x:f>
        <x:v>4</x:v>
      </x:c>
      <x:c r="K15" s="16" t="str">
        <x:f>IF(J15="","",IF(J15=1,"Limited",IF(J15=2,"Local",IF(J15=3,"Significant",IF(J15=4,"High","Critical")))))</x:f>
        <x:v>High</x:v>
      </x:c>
      <x:c r="L15" s="16" t="n">
        <x:f>IF(A15="","",Events!U14)</x:f>
        <x:v>8</x:v>
      </x:c>
      <x:c r="M15" s="16" t="n">
        <x:f>IF(A15="","",Events!V14)</x:f>
        <x:v>5</x:v>
      </x:c>
      <x:c r="N15" s="16" t="str">
        <x:f>IF(A15="","",Events!Q14)</x:f>
        <x:v>Candidate</x:v>
      </x:c>
      <x:c r="O15" s="16" t="str">
        <x:f>IF(A15="","",Events!R14)</x:f>
        <x:v>In national pilot</x:v>
      </x:c>
      <x:c r="P15" s="16" t="str">
        <x:f>IF(A15="","",LOWER(Events!B14&amp;" "&amp;Events!D14&amp;" "&amp;Events!K14))</x:f>
        <x:v>manipur government employees continue indefinite cease-work strike over pay and service conditions dearness allowance, pension, retirement age, contractual employment and weekly-holiday demands the manipur government services federation launched an indefinite cease-work strike on 1 july 2026 over a multi-point charter concerning dearness allowance, pension arrangements, retirement age, contractual appointments and weekly holidays. reporting from regional and state-level outlets documented significant disruption to routine administrative work. the government restored saturday as a holiday and introduced a five-day work week, but the federation said the strike would continue because other demands remained unresolved. the occurrence, duration and partial government response are corroborated; estimates of financial loss and the precise participation level remain attributed.</x:v>
      </x:c>
      <x:c r="Q15" s="16" t="str">
        <x:f>IF(A15="","",LOWER(Events!C14&amp;" "&amp;Events!K14&amp;" "&amp;Events!T14))</x:f>
        <x:v>strike the manipur government services federation launched an indefinite cease-work strike on 1 july 2026 over a multi-point charter concerning dearness allowance, pension arrangements, retirement age, contractual appointments and weekly holidays. reporting from regional and state-level outlets documented significant disruption to routine administrative work. the government restored saturday as a holiday and introduced a five-day work week, but the federation said the strike would continue because other demands remained unresolved. the occurrence, duration and partial government response are corroborated; estimates of financial loss and the precise participation level remain attributed. do not merge this mgsf-led strike with separate july cease-work actions organised by the jac of amtuc and amgeo unless organisational coordination is independently confirmed.</x:v>
      </x:c>
      <x:c r="R15" s="16" t="str">
        <x:f>IF(A15="","",IF(ISNUMBER(SEARCH("Occurrence verified",E15)),"Occurrence verified",E15))</x:f>
        <x:v>Occurrence verified</x:v>
      </x:c>
      <x:c r="S15" s="79" t="str">
        <x:f>IF(A15="","",Events!X14)</x:f>
        <x:v>Continuous</x:v>
      </x:c>
      <x:c r="T15" t="str">
        <x:v>Karnataka</x:v>
      </x:c>
      <x:c r="U15" t="n">
        <x:f>COUNTIF($C$6:$C$1001,T15)</x:f>
        <x:v>2</x:v>
      </x:c>
      <x:c r="V15" t="n">
        <x:f>U15*1000+(100-ROW())/1000</x:f>
        <x:v>2000.085</x:v>
      </x:c>
      <x:c r="Z15" s="79" t="str">
        <x:f>IF(A15="","",Events!AD14)</x:f>
        <x:v>Regional / local media</x:v>
      </x:c>
      <x:c r="AA15" s="79" t="str">
        <x:f>IF(A15="","",Events!AE14)</x:f>
        <x:v>Regional coverage</x:v>
      </x:c>
      <x:c r="AC15" t="str">
        <x:v>Other</x:v>
      </x:c>
      <x:c r="AD15" t="n">
        <x:f>COUNTIF($Z$6:$Z$1001,AC15)</x:f>
        <x:v>0</x:v>
      </x:c>
    </x:row>
    <x:row r="16">
      <x:c r="A16" s="16" t="str">
        <x:f>IF(Events!A15="","",Events!A15)</x:f>
        <x:v>IO-CM-OD-0001</x:v>
      </x:c>
      <x:c r="B16" s="16" t="str">
        <x:f>IF(A16="","",Events!B15)</x:f>
        <x:v>Dharmasala high-school students stage dharna over teacher vacancies</x:v>
      </x:c>
      <x:c r="C16" s="16" t="str">
        <x:f>IF(A16="","",Events!E15)</x:f>
        <x:v>Odisha</x:v>
      </x:c>
      <x:c r="D16" s="16" t="str">
        <x:f>IF(A16="","",Events!J15)</x:f>
        <x:v>Concluded</x:v>
      </x:c>
      <x:c r="E16" s="16" t="str">
        <x:f>IF(A16="","",Events!N15)</x:f>
        <x:v>Occurrence verified — disputed details remain</x:v>
      </x:c>
      <x:c r="F16" s="109" t="n">
        <x:f>IF(OR(A16="",Events!H15=""),"",Events!H15)</x:f>
        <x:v>46213</x:v>
      </x:c>
      <x:c r="G16" s="109" t="n">
        <x:f>IF(A16="","",IF(Events!I15&lt;&gt;"",Events!I15,IF(Events!S15&lt;&gt;"",Events!S15,"")))</x:f>
        <x:v>46213</x:v>
      </x:c>
      <x:c r="H16" s="16" t="n">
        <x:f>IF(A16="","",Events!W15)</x:f>
        <x:v>1</x:v>
      </x:c>
      <x:c r="I16" s="16" t="str">
        <x:f>IF(A16="","",IF(Events!Y15&lt;&gt;"",Events!Y15,IF(OR(ISNUMBER(SEARCH("education",P16)),ISNUMBER(SEARCH("exam",P16)),ISNUMBER(SEARCH("school",P16))),"Education",IF(OR(ISNUMBER(SEARCH("trade agreement",P16)),ISNUMBER(SEARCH("economic",P16)),ISNUMBER(SEARCH("import",P16))),"Trade &amp; economic policy",IF(OR(ISNUMBER(SEARCH("land acquisition",P16)),ISNUMBER(SEARCH("rehabilitation",P16)),ISNUMBER(SEARCH("displacement",P16)),ISNUMBER(SEARCH("township",P16))),"Land &amp; rehabilitation",IF(OR(ISNUMBER(SEARCH("forest",P16)),ISNUMBER(SEARCH("environment",P16)),ISNUMBER(SEARCH("ecological",P16)),ISNUMBER(SEARCH("biodiversity",P16)),ISNUMBER(SEARCH("green cover",P16))),"Environment",IF(OR(ISNUMBER(SEARCH("irrigation",P16)),ISNUMBER(SEARCH("water",P16)),ISNUMBER(SEARCH("crop",P16)),ISNUMBER(SEARCH("farmer",P16)),ISNUMBER(SEARCH("agriculture",P16))),"Agriculture &amp; water",IF(OR(ISNUMBER(SEARCH("health",P16)),ISNUMBER(SEARCH("hospital",P16)),ISNUMBER(SEARCH("medicine",P16))),"Public health",IF(OR(ISNUMBER(SEARCH("employee",P16)),ISNUMBER(SEARCH("labour",P16)),ISNUMBER(SEARCH("worker",P16)),ISNUMBER(SEARCH("salary",P16))),"Labour &amp; employment",IF(OR(ISNUMBER(SEARCH("rti",P16)),ISNUMBER(SEARCH("transparency",P16)),ISNUMBER(SEARCH("corruption",P16)),ISNUMBER(SEARCH("governance",P16))),"Governance &amp; transparency",IF(OR(ISNUMBER(SEARCH("police",P16)),ISNUMBER(SEARCH("detention",P16)),ISNUMBER(SEARCH("civil rights",P16)),ISNUMBER(SEARCH("justice",P16))),"Civil rights &amp; justice",IF(OR(ISNUMBER(SEARCH("road",P16)),ISNUMBER(SEARCH("utility",P16)),ISNUMBER(SEARCH("infrastructure",P16)),ISNUMBER(SEARCH("public service",P16))),"Infrastructure &amp; public services","Other"))))))))))))</x:f>
        <x:v>Education</x:v>
      </x:c>
      <x:c r="J16" s="16" t="n">
        <x:f>IF(A16="","",IF(OR(ISNUMBER(SEARCH("fatal",Q16)),ISNUMBER(SEARCH("death",Q16)),ISNUMBER(SEARCH("riot",Q16)),ISNUMBER(SEARCH("curfew",Q16)),ISNUMBER(SEARCH("internet shutdown",Q16))),5,MIN(4,1+IF(H16&gt;=7,1,0)+IF(OR(ISNUMBER(SEARCH("hunger strike",Q16)),ISNUMBER(SEARCH("blockade",Q16)),ISNUMBER(SEARCH("strike",Q16)),ISNUMBER(SEARCH("jal satyagraha",Q16)),ISNUMBER(SEARCH("survey",Q16)),ISNUMBER(SEARCH("human chain",Q16)),ISNUMBER(SEARCH("march",Q16))),1,0)+IF(OR(ISNUMBER(SEARCH("fir",Q16)),ISNUMBER(SEARCH("confrontation",Q16)),ISNUMBER(SEARCH("violence",Q16)),ISNUMBER(SEARCH("detention",Q16)),ISNUMBER(SEARCH("arrest",Q16)),ISNUMBER(SEARCH("demolition",Q16)),ISNUMBER(SEARCH("injury",Q16))),1,0)+IF(OR(D16="Ongoing",D16="Unresolved"),1,0))))</x:f>
        <x:v>1</x:v>
      </x:c>
      <x:c r="K16" s="16" t="str">
        <x:f>IF(J16="","",IF(J16=1,"Limited",IF(J16=2,"Local",IF(J16=3,"Significant",IF(J16=4,"High","Critical")))))</x:f>
        <x:v>Limited</x:v>
      </x:c>
      <x:c r="L16" s="16" t="n">
        <x:f>IF(A16="","",Events!U15)</x:f>
        <x:v>7</x:v>
      </x:c>
      <x:c r="M16" s="16" t="n">
        <x:f>IF(A16="","",Events!V15)</x:f>
        <x:v>2</x:v>
      </x:c>
      <x:c r="N16" s="16" t="str">
        <x:f>IF(A16="","",Events!Q15)</x:f>
        <x:v>Candidate</x:v>
      </x:c>
      <x:c r="O16" s="16" t="str">
        <x:f>IF(A16="","",Events!R15)</x:f>
        <x:v>In national pilot</x:v>
      </x:c>
      <x:c r="P16" s="16" t="str">
        <x:f>IF(A16="","",LOWER(Events!B15&amp;" "&amp;Events!D15&amp;" "&amp;Events!K15))</x:f>
        <x:v>dharmasala high-school students stage dharna over teacher vacancies teacher shortages affecting a rural government school's academic functioning students of dharmasala baneepeetha high school in jajpur district locked the school gate and staged a dharna on 10 july 2026, demanding immediate appointment of teachers. independent local reports agreed that several posts were vacant and that students said the shortage was affecting their studies, although the reports differed on the precise number of teachers and students. district education officials responded the same day by deputing two teachers, after which the students withdrew the protest. the event, demand and immediate response are corroborated; remaining staffing vacancies require follow-up.</x:v>
      </x:c>
      <x:c r="Q16" s="16" t="str">
        <x:f>IF(A16="","",LOWER(Events!C15&amp;" "&amp;Events!K15&amp;" "&amp;Events!T15))</x:f>
        <x:v>sit-in / dharna students of dharmasala baneepeetha high school in jajpur district locked the school gate and staged a dharna on 10 july 2026, demanding immediate appointment of teachers. independent local reports agreed that several posts were vacant and that students said the shortage was affecting their studies, although the reports differed on the precise number of teachers and students. district education officials responded the same day by deputing two teachers, after which the students withdrew the protest. the event, demand and immediate response are corroborated; remaining staffing vacancies require follow-up. the new indian express reported 11 teachers and more than 400 students in classes viii–x; the times of india reported 10 teachers and 508 students in classes i–x. the discrepancy may reflect different counted sections or timing and must remain visible.</x:v>
      </x:c>
      <x:c r="R16" s="16" t="str">
        <x:f>IF(A16="","",IF(ISNUMBER(SEARCH("Occurrence verified",E16)),"Occurrence verified",E16))</x:f>
        <x:v>Occurrence verified</x:v>
      </x:c>
      <x:c r="S16" s="79" t="str">
        <x:f>IF(A16="","",Events!X15)</x:f>
        <x:v>One-day event</x:v>
      </x:c>
      <x:c r="T16" t="str">
        <x:v>Kerala</x:v>
      </x:c>
      <x:c r="U16" t="n">
        <x:f>COUNTIF($C$6:$C$1001,T16)</x:f>
        <x:v>0</x:v>
      </x:c>
      <x:c r="V16" t="n">
        <x:f>U16*1000+(100-ROW())/1000</x:f>
        <x:v>0.084</x:v>
      </x:c>
      <x:c r="Z16" s="79" t="str">
        <x:f>IF(A16="","",Events!AD15)</x:f>
        <x:v>Field video / citizen post</x:v>
      </x:c>
      <x:c r="AA16" s="79" t="str">
        <x:f>IF(A16="","",Events!AE15)</x:f>
        <x:v>Local media only</x:v>
      </x:c>
    </x:row>
    <x:row r="17">
      <x:c r="A17" s="16" t="str">
        <x:f>IF(Events!A16="","",Events!A16)</x:f>
      </x:c>
      <x:c r="B17" s="16" t="str">
        <x:f>IF(A17="","",Events!B16)</x:f>
      </x:c>
      <x:c r="C17" s="16" t="str">
        <x:f>IF(A17="","",Events!E16)</x:f>
      </x:c>
      <x:c r="D17" s="16" t="str">
        <x:f>IF(A17="","",Events!J16)</x:f>
      </x:c>
      <x:c r="E17" s="16" t="str">
        <x:f>IF(A17="","",Events!N16)</x:f>
      </x:c>
      <x:c r="F17" s="109" t="str">
        <x:f>IF(OR(A17="",Events!H16=""),"",Events!H16)</x:f>
      </x:c>
      <x:c r="G17" s="109" t="str">
        <x:f>IF(A17="","",IF(Events!I16&lt;&gt;"",Events!I16,IF(Events!S16&lt;&gt;"",Events!S16,"")))</x:f>
      </x:c>
      <x:c r="H17" s="16" t="str">
        <x:f>IF(A17="","",Events!W16)</x:f>
      </x:c>
      <x:c r="I17" s="16" t="str">
        <x:f>IF(A17="","",IF(Events!Y16&lt;&gt;"",Events!Y16,IF(OR(ISNUMBER(SEARCH("education",P17)),ISNUMBER(SEARCH("exam",P17)),ISNUMBER(SEARCH("school",P17))),"Education",IF(OR(ISNUMBER(SEARCH("trade agreement",P17)),ISNUMBER(SEARCH("economic",P17)),ISNUMBER(SEARCH("import",P17))),"Trade &amp; economic policy",IF(OR(ISNUMBER(SEARCH("land acquisition",P17)),ISNUMBER(SEARCH("rehabilitation",P17)),ISNUMBER(SEARCH("displacement",P17)),ISNUMBER(SEARCH("township",P17))),"Land &amp; rehabilitation",IF(OR(ISNUMBER(SEARCH("forest",P17)),ISNUMBER(SEARCH("environment",P17)),ISNUMBER(SEARCH("ecological",P17)),ISNUMBER(SEARCH("biodiversity",P17)),ISNUMBER(SEARCH("green cover",P17))),"Environment",IF(OR(ISNUMBER(SEARCH("irrigation",P17)),ISNUMBER(SEARCH("water",P17)),ISNUMBER(SEARCH("crop",P17)),ISNUMBER(SEARCH("farmer",P17)),ISNUMBER(SEARCH("agriculture",P17))),"Agriculture &amp; water",IF(OR(ISNUMBER(SEARCH("health",P17)),ISNUMBER(SEARCH("hospital",P17)),ISNUMBER(SEARCH("medicine",P17))),"Public health",IF(OR(ISNUMBER(SEARCH("employee",P17)),ISNUMBER(SEARCH("labour",P17)),ISNUMBER(SEARCH("worker",P17)),ISNUMBER(SEARCH("salary",P17))),"Labour &amp; employment",IF(OR(ISNUMBER(SEARCH("rti",P17)),ISNUMBER(SEARCH("transparency",P17)),ISNUMBER(SEARCH("corruption",P17)),ISNUMBER(SEARCH("governance",P17))),"Governance &amp; transparency",IF(OR(ISNUMBER(SEARCH("police",P17)),ISNUMBER(SEARCH("detention",P17)),ISNUMBER(SEARCH("civil rights",P17)),ISNUMBER(SEARCH("justice",P17))),"Civil rights &amp; justice",IF(OR(ISNUMBER(SEARCH("road",P17)),ISNUMBER(SEARCH("utility",P17)),ISNUMBER(SEARCH("infrastructure",P17)),ISNUMBER(SEARCH("public service",P17))),"Infrastructure &amp; public services","Other"))))))))))))</x:f>
      </x:c>
      <x:c r="J17" s="16" t="str">
        <x:f>IF(A17="","",IF(OR(ISNUMBER(SEARCH("fatal",Q17)),ISNUMBER(SEARCH("death",Q17)),ISNUMBER(SEARCH("riot",Q17)),ISNUMBER(SEARCH("curfew",Q17)),ISNUMBER(SEARCH("internet shutdown",Q17))),5,MIN(4,1+IF(H17&gt;=7,1,0)+IF(OR(ISNUMBER(SEARCH("hunger strike",Q17)),ISNUMBER(SEARCH("blockade",Q17)),ISNUMBER(SEARCH("strike",Q17)),ISNUMBER(SEARCH("jal satyagraha",Q17)),ISNUMBER(SEARCH("survey",Q17)),ISNUMBER(SEARCH("human chain",Q17)),ISNUMBER(SEARCH("march",Q17))),1,0)+IF(OR(ISNUMBER(SEARCH("fir",Q17)),ISNUMBER(SEARCH("confrontation",Q17)),ISNUMBER(SEARCH("violence",Q17)),ISNUMBER(SEARCH("detention",Q17)),ISNUMBER(SEARCH("arrest",Q17)),ISNUMBER(SEARCH("demolition",Q17)),ISNUMBER(SEARCH("injury",Q17))),1,0)+IF(OR(D17="Ongoing",D17="Unresolved"),1,0))))</x:f>
      </x:c>
      <x:c r="K17" s="16" t="str">
        <x:f>IF(J17="","",IF(J17=1,"Limited",IF(J17=2,"Local",IF(J17=3,"Significant",IF(J17=4,"High","Critical")))))</x:f>
      </x:c>
      <x:c r="L17" s="16" t="str">
        <x:f>IF(A17="","",Events!U16)</x:f>
      </x:c>
      <x:c r="M17" s="16" t="str">
        <x:f>IF(A17="","",Events!V16)</x:f>
      </x:c>
      <x:c r="N17" s="16" t="str">
        <x:f>IF(A17="","",Events!Q16)</x:f>
      </x:c>
      <x:c r="O17" s="16" t="str">
        <x:f>IF(A17="","",Events!R16)</x:f>
      </x:c>
      <x:c r="P17" s="16" t="str">
        <x:f>IF(A17="","",LOWER(Events!B16&amp;" "&amp;Events!D16&amp;" "&amp;Events!K16))</x:f>
      </x:c>
      <x:c r="Q17" s="16" t="str">
        <x:f>IF(A17="","",LOWER(Events!C16&amp;" "&amp;Events!K16&amp;" "&amp;Events!T16))</x:f>
      </x:c>
      <x:c r="R17" s="16" t="str">
        <x:f>IF(A17="","",IF(ISNUMBER(SEARCH("Occurrence verified",E17)),"Occurrence verified",E17))</x:f>
      </x:c>
      <x:c r="S17" s="79" t="str">
        <x:f>IF(A17="","",Events!X16)</x:f>
      </x:c>
      <x:c r="T17" t="str">
        <x:v>Madhya Pradesh</x:v>
      </x:c>
      <x:c r="U17" t="n">
        <x:f>COUNTIF($C$6:$C$1001,T17)</x:f>
        <x:v>1</x:v>
      </x:c>
      <x:c r="V17" t="n">
        <x:f>U17*1000+(100-ROW())/1000</x:f>
        <x:v>1000.083</x:v>
      </x:c>
      <x:c r="Z17" s="79" t="str">
        <x:f>IF(A17="","",Events!AD16)</x:f>
      </x:c>
      <x:c r="AA17" s="79" t="str">
        <x:f>IF(A17="","",Events!AE16)</x:f>
      </x:c>
    </x:row>
    <x:row r="18">
      <x:c r="A18" s="16" t="str">
        <x:f>IF(Events!A17="","",Events!A17)</x:f>
      </x:c>
      <x:c r="B18" s="16" t="str">
        <x:f>IF(A18="","",Events!B17)</x:f>
      </x:c>
      <x:c r="C18" s="16" t="str">
        <x:f>IF(A18="","",Events!E17)</x:f>
      </x:c>
      <x:c r="D18" s="16" t="str">
        <x:f>IF(A18="","",Events!J17)</x:f>
      </x:c>
      <x:c r="E18" s="16" t="str">
        <x:f>IF(A18="","",Events!N17)</x:f>
      </x:c>
      <x:c r="F18" s="109" t="str">
        <x:f>IF(OR(A18="",Events!H17=""),"",Events!H17)</x:f>
      </x:c>
      <x:c r="G18" s="109" t="str">
        <x:f>IF(A18="","",IF(Events!I17&lt;&gt;"",Events!I17,IF(Events!S17&lt;&gt;"",Events!S17,"")))</x:f>
      </x:c>
      <x:c r="H18" s="16" t="str">
        <x:f>IF(A18="","",Events!W17)</x:f>
      </x:c>
      <x:c r="I18" s="16" t="str">
        <x:f>IF(A18="","",IF(Events!Y17&lt;&gt;"",Events!Y17,IF(OR(ISNUMBER(SEARCH("education",P18)),ISNUMBER(SEARCH("exam",P18)),ISNUMBER(SEARCH("school",P18))),"Education",IF(OR(ISNUMBER(SEARCH("trade agreement",P18)),ISNUMBER(SEARCH("economic",P18)),ISNUMBER(SEARCH("import",P18))),"Trade &amp; economic policy",IF(OR(ISNUMBER(SEARCH("land acquisition",P18)),ISNUMBER(SEARCH("rehabilitation",P18)),ISNUMBER(SEARCH("displacement",P18)),ISNUMBER(SEARCH("township",P18))),"Land &amp; rehabilitation",IF(OR(ISNUMBER(SEARCH("forest",P18)),ISNUMBER(SEARCH("environment",P18)),ISNUMBER(SEARCH("ecological",P18)),ISNUMBER(SEARCH("biodiversity",P18)),ISNUMBER(SEARCH("green cover",P18))),"Environment",IF(OR(ISNUMBER(SEARCH("irrigation",P18)),ISNUMBER(SEARCH("water",P18)),ISNUMBER(SEARCH("crop",P18)),ISNUMBER(SEARCH("farmer",P18)),ISNUMBER(SEARCH("agriculture",P18))),"Agriculture &amp; water",IF(OR(ISNUMBER(SEARCH("health",P18)),ISNUMBER(SEARCH("hospital",P18)),ISNUMBER(SEARCH("medicine",P18))),"Public health",IF(OR(ISNUMBER(SEARCH("employee",P18)),ISNUMBER(SEARCH("labour",P18)),ISNUMBER(SEARCH("worker",P18)),ISNUMBER(SEARCH("salary",P18))),"Labour &amp; employment",IF(OR(ISNUMBER(SEARCH("rti",P18)),ISNUMBER(SEARCH("transparency",P18)),ISNUMBER(SEARCH("corruption",P18)),ISNUMBER(SEARCH("governance",P18))),"Governance &amp; transparency",IF(OR(ISNUMBER(SEARCH("police",P18)),ISNUMBER(SEARCH("detention",P18)),ISNUMBER(SEARCH("civil rights",P18)),ISNUMBER(SEARCH("justice",P18))),"Civil rights &amp; justice",IF(OR(ISNUMBER(SEARCH("road",P18)),ISNUMBER(SEARCH("utility",P18)),ISNUMBER(SEARCH("infrastructure",P18)),ISNUMBER(SEARCH("public service",P18))),"Infrastructure &amp; public services","Other"))))))))))))</x:f>
      </x:c>
      <x:c r="J18" s="16" t="str">
        <x:f>IF(A18="","",IF(OR(ISNUMBER(SEARCH("fatal",Q18)),ISNUMBER(SEARCH("death",Q18)),ISNUMBER(SEARCH("riot",Q18)),ISNUMBER(SEARCH("curfew",Q18)),ISNUMBER(SEARCH("internet shutdown",Q18))),5,MIN(4,1+IF(H18&gt;=7,1,0)+IF(OR(ISNUMBER(SEARCH("hunger strike",Q18)),ISNUMBER(SEARCH("blockade",Q18)),ISNUMBER(SEARCH("strike",Q18)),ISNUMBER(SEARCH("jal satyagraha",Q18)),ISNUMBER(SEARCH("survey",Q18)),ISNUMBER(SEARCH("human chain",Q18)),ISNUMBER(SEARCH("march",Q18))),1,0)+IF(OR(ISNUMBER(SEARCH("fir",Q18)),ISNUMBER(SEARCH("confrontation",Q18)),ISNUMBER(SEARCH("violence",Q18)),ISNUMBER(SEARCH("detention",Q18)),ISNUMBER(SEARCH("arrest",Q18)),ISNUMBER(SEARCH("demolition",Q18)),ISNUMBER(SEARCH("injury",Q18))),1,0)+IF(OR(D18="Ongoing",D18="Unresolved"),1,0))))</x:f>
      </x:c>
      <x:c r="K18" s="16" t="str">
        <x:f>IF(J18="","",IF(J18=1,"Limited",IF(J18=2,"Local",IF(J18=3,"Significant",IF(J18=4,"High","Critical")))))</x:f>
      </x:c>
      <x:c r="L18" s="16" t="str">
        <x:f>IF(A18="","",Events!U17)</x:f>
      </x:c>
      <x:c r="M18" s="16" t="str">
        <x:f>IF(A18="","",Events!V17)</x:f>
      </x:c>
      <x:c r="N18" s="16" t="str">
        <x:f>IF(A18="","",Events!Q17)</x:f>
      </x:c>
      <x:c r="O18" s="16" t="str">
        <x:f>IF(A18="","",Events!R17)</x:f>
      </x:c>
      <x:c r="P18" s="16" t="str">
        <x:f>IF(A18="","",LOWER(Events!B17&amp;" "&amp;Events!D17&amp;" "&amp;Events!K17))</x:f>
      </x:c>
      <x:c r="Q18" s="16" t="str">
        <x:f>IF(A18="","",LOWER(Events!C17&amp;" "&amp;Events!K17&amp;" "&amp;Events!T17))</x:f>
      </x:c>
      <x:c r="R18" s="16" t="str">
        <x:f>IF(A18="","",IF(ISNUMBER(SEARCH("Occurrence verified",E18)),"Occurrence verified",E18))</x:f>
      </x:c>
      <x:c r="S18" s="79" t="str">
        <x:f>IF(A18="","",Events!X17)</x:f>
      </x:c>
      <x:c r="T18" t="str">
        <x:v>Maharashtra</x:v>
      </x:c>
      <x:c r="U18" t="n">
        <x:f>COUNTIF($C$6:$C$1001,T18)</x:f>
        <x:v>1</x:v>
      </x:c>
      <x:c r="V18" t="n">
        <x:f>U18*1000+(100-ROW())/1000</x:f>
        <x:v>1000.082</x:v>
      </x:c>
      <x:c r="Z18" s="79" t="str">
        <x:f>IF(A18="","",Events!AD17)</x:f>
      </x:c>
      <x:c r="AA18" s="79" t="str">
        <x:f>IF(A18="","",Events!AE17)</x:f>
      </x:c>
    </x:row>
    <x:row r="19">
      <x:c r="A19" s="16" t="str">
        <x:f>IF(Events!A18="","",Events!A18)</x:f>
      </x:c>
      <x:c r="B19" s="16" t="str">
        <x:f>IF(A19="","",Events!B18)</x:f>
      </x:c>
      <x:c r="C19" s="16" t="str">
        <x:f>IF(A19="","",Events!E18)</x:f>
      </x:c>
      <x:c r="D19" s="16" t="str">
        <x:f>IF(A19="","",Events!J18)</x:f>
      </x:c>
      <x:c r="E19" s="16" t="str">
        <x:f>IF(A19="","",Events!N18)</x:f>
      </x:c>
      <x:c r="F19" s="109" t="str">
        <x:f>IF(OR(A19="",Events!H18=""),"",Events!H18)</x:f>
      </x:c>
      <x:c r="G19" s="109" t="str">
        <x:f>IF(A19="","",IF(Events!I18&lt;&gt;"",Events!I18,IF(Events!S18&lt;&gt;"",Events!S18,"")))</x:f>
      </x:c>
      <x:c r="H19" s="16" t="str">
        <x:f>IF(A19="","",Events!W18)</x:f>
      </x:c>
      <x:c r="I19" s="16" t="str">
        <x:f>IF(A19="","",IF(Events!Y18&lt;&gt;"",Events!Y18,IF(OR(ISNUMBER(SEARCH("education",P19)),ISNUMBER(SEARCH("exam",P19)),ISNUMBER(SEARCH("school",P19))),"Education",IF(OR(ISNUMBER(SEARCH("trade agreement",P19)),ISNUMBER(SEARCH("economic",P19)),ISNUMBER(SEARCH("import",P19))),"Trade &amp; economic policy",IF(OR(ISNUMBER(SEARCH("land acquisition",P19)),ISNUMBER(SEARCH("rehabilitation",P19)),ISNUMBER(SEARCH("displacement",P19)),ISNUMBER(SEARCH("township",P19))),"Land &amp; rehabilitation",IF(OR(ISNUMBER(SEARCH("forest",P19)),ISNUMBER(SEARCH("environment",P19)),ISNUMBER(SEARCH("ecological",P19)),ISNUMBER(SEARCH("biodiversity",P19)),ISNUMBER(SEARCH("green cover",P19))),"Environment",IF(OR(ISNUMBER(SEARCH("irrigation",P19)),ISNUMBER(SEARCH("water",P19)),ISNUMBER(SEARCH("crop",P19)),ISNUMBER(SEARCH("farmer",P19)),ISNUMBER(SEARCH("agriculture",P19))),"Agriculture &amp; water",IF(OR(ISNUMBER(SEARCH("health",P19)),ISNUMBER(SEARCH("hospital",P19)),ISNUMBER(SEARCH("medicine",P19))),"Public health",IF(OR(ISNUMBER(SEARCH("employee",P19)),ISNUMBER(SEARCH("labour",P19)),ISNUMBER(SEARCH("worker",P19)),ISNUMBER(SEARCH("salary",P19))),"Labour &amp; employment",IF(OR(ISNUMBER(SEARCH("rti",P19)),ISNUMBER(SEARCH("transparency",P19)),ISNUMBER(SEARCH("corruption",P19)),ISNUMBER(SEARCH("governance",P19))),"Governance &amp; transparency",IF(OR(ISNUMBER(SEARCH("police",P19)),ISNUMBER(SEARCH("detention",P19)),ISNUMBER(SEARCH("civil rights",P19)),ISNUMBER(SEARCH("justice",P19))),"Civil rights &amp; justice",IF(OR(ISNUMBER(SEARCH("road",P19)),ISNUMBER(SEARCH("utility",P19)),ISNUMBER(SEARCH("infrastructure",P19)),ISNUMBER(SEARCH("public service",P19))),"Infrastructure &amp; public services","Other"))))))))))))</x:f>
      </x:c>
      <x:c r="J19" s="16" t="str">
        <x:f>IF(A19="","",IF(OR(ISNUMBER(SEARCH("fatal",Q19)),ISNUMBER(SEARCH("death",Q19)),ISNUMBER(SEARCH("riot",Q19)),ISNUMBER(SEARCH("curfew",Q19)),ISNUMBER(SEARCH("internet shutdown",Q19))),5,MIN(4,1+IF(H19&gt;=7,1,0)+IF(OR(ISNUMBER(SEARCH("hunger strike",Q19)),ISNUMBER(SEARCH("blockade",Q19)),ISNUMBER(SEARCH("strike",Q19)),ISNUMBER(SEARCH("jal satyagraha",Q19)),ISNUMBER(SEARCH("survey",Q19)),ISNUMBER(SEARCH("human chain",Q19)),ISNUMBER(SEARCH("march",Q19))),1,0)+IF(OR(ISNUMBER(SEARCH("fir",Q19)),ISNUMBER(SEARCH("confrontation",Q19)),ISNUMBER(SEARCH("violence",Q19)),ISNUMBER(SEARCH("detention",Q19)),ISNUMBER(SEARCH("arrest",Q19)),ISNUMBER(SEARCH("demolition",Q19)),ISNUMBER(SEARCH("injury",Q19))),1,0)+IF(OR(D19="Ongoing",D19="Unresolved"),1,0))))</x:f>
      </x:c>
      <x:c r="K19" s="16" t="str">
        <x:f>IF(J19="","",IF(J19=1,"Limited",IF(J19=2,"Local",IF(J19=3,"Significant",IF(J19=4,"High","Critical")))))</x:f>
      </x:c>
      <x:c r="L19" s="16" t="str">
        <x:f>IF(A19="","",Events!U18)</x:f>
      </x:c>
      <x:c r="M19" s="16" t="str">
        <x:f>IF(A19="","",Events!V18)</x:f>
      </x:c>
      <x:c r="N19" s="16" t="str">
        <x:f>IF(A19="","",Events!Q18)</x:f>
      </x:c>
      <x:c r="O19" s="16" t="str">
        <x:f>IF(A19="","",Events!R18)</x:f>
      </x:c>
      <x:c r="P19" s="16" t="str">
        <x:f>IF(A19="","",LOWER(Events!B18&amp;" "&amp;Events!D18&amp;" "&amp;Events!K18))</x:f>
      </x:c>
      <x:c r="Q19" s="16" t="str">
        <x:f>IF(A19="","",LOWER(Events!C18&amp;" "&amp;Events!K18&amp;" "&amp;Events!T18))</x:f>
      </x:c>
      <x:c r="R19" s="16" t="str">
        <x:f>IF(A19="","",IF(ISNUMBER(SEARCH("Occurrence verified",E19)),"Occurrence verified",E19))</x:f>
      </x:c>
      <x:c r="S19" s="79" t="str">
        <x:f>IF(A19="","",Events!X18)</x:f>
      </x:c>
      <x:c r="T19" t="str">
        <x:v>Manipur</x:v>
      </x:c>
      <x:c r="U19" t="n">
        <x:f>COUNTIF($C$6:$C$1001,T19)</x:f>
        <x:v>1</x:v>
      </x:c>
      <x:c r="V19" t="n">
        <x:f>U19*1000+(100-ROW())/1000</x:f>
        <x:v>1000.081</x:v>
      </x:c>
      <x:c r="Z19" s="79" t="str">
        <x:f>IF(A19="","",Events!AD18)</x:f>
      </x:c>
      <x:c r="AA19" s="79" t="str">
        <x:f>IF(A19="","",Events!AE18)</x:f>
      </x:c>
    </x:row>
    <x:row r="20">
      <x:c r="A20" s="16" t="str">
        <x:f>IF(Events!A19="","",Events!A19)</x:f>
      </x:c>
      <x:c r="B20" s="16" t="str">
        <x:f>IF(A20="","",Events!B19)</x:f>
      </x:c>
      <x:c r="C20" s="16" t="str">
        <x:f>IF(A20="","",Events!E19)</x:f>
      </x:c>
      <x:c r="D20" s="16" t="str">
        <x:f>IF(A20="","",Events!J19)</x:f>
      </x:c>
      <x:c r="E20" s="16" t="str">
        <x:f>IF(A20="","",Events!N19)</x:f>
      </x:c>
      <x:c r="F20" s="109" t="str">
        <x:f>IF(OR(A20="",Events!H19=""),"",Events!H19)</x:f>
      </x:c>
      <x:c r="G20" s="109" t="str">
        <x:f>IF(A20="","",IF(Events!I19&lt;&gt;"",Events!I19,IF(Events!S19&lt;&gt;"",Events!S19,"")))</x:f>
      </x:c>
      <x:c r="H20" s="16" t="str">
        <x:f>IF(A20="","",Events!W19)</x:f>
      </x:c>
      <x:c r="I20" s="16" t="str">
        <x:f>IF(A20="","",IF(Events!Y19&lt;&gt;"",Events!Y19,IF(OR(ISNUMBER(SEARCH("education",P20)),ISNUMBER(SEARCH("exam",P20)),ISNUMBER(SEARCH("school",P20))),"Education",IF(OR(ISNUMBER(SEARCH("trade agreement",P20)),ISNUMBER(SEARCH("economic",P20)),ISNUMBER(SEARCH("import",P20))),"Trade &amp; economic policy",IF(OR(ISNUMBER(SEARCH("land acquisition",P20)),ISNUMBER(SEARCH("rehabilitation",P20)),ISNUMBER(SEARCH("displacement",P20)),ISNUMBER(SEARCH("township",P20))),"Land &amp; rehabilitation",IF(OR(ISNUMBER(SEARCH("forest",P20)),ISNUMBER(SEARCH("environment",P20)),ISNUMBER(SEARCH("ecological",P20)),ISNUMBER(SEARCH("biodiversity",P20)),ISNUMBER(SEARCH("green cover",P20))),"Environment",IF(OR(ISNUMBER(SEARCH("irrigation",P20)),ISNUMBER(SEARCH("water",P20)),ISNUMBER(SEARCH("crop",P20)),ISNUMBER(SEARCH("farmer",P20)),ISNUMBER(SEARCH("agriculture",P20))),"Agriculture &amp; water",IF(OR(ISNUMBER(SEARCH("health",P20)),ISNUMBER(SEARCH("hospital",P20)),ISNUMBER(SEARCH("medicine",P20))),"Public health",IF(OR(ISNUMBER(SEARCH("employee",P20)),ISNUMBER(SEARCH("labour",P20)),ISNUMBER(SEARCH("worker",P20)),ISNUMBER(SEARCH("salary",P20))),"Labour &amp; employment",IF(OR(ISNUMBER(SEARCH("rti",P20)),ISNUMBER(SEARCH("transparency",P20)),ISNUMBER(SEARCH("corruption",P20)),ISNUMBER(SEARCH("governance",P20))),"Governance &amp; transparency",IF(OR(ISNUMBER(SEARCH("police",P20)),ISNUMBER(SEARCH("detention",P20)),ISNUMBER(SEARCH("civil rights",P20)),ISNUMBER(SEARCH("justice",P20))),"Civil rights &amp; justice",IF(OR(ISNUMBER(SEARCH("road",P20)),ISNUMBER(SEARCH("utility",P20)),ISNUMBER(SEARCH("infrastructure",P20)),ISNUMBER(SEARCH("public service",P20))),"Infrastructure &amp; public services","Other"))))))))))))</x:f>
      </x:c>
      <x:c r="J20" s="16" t="str">
        <x:f>IF(A20="","",IF(OR(ISNUMBER(SEARCH("fatal",Q20)),ISNUMBER(SEARCH("death",Q20)),ISNUMBER(SEARCH("riot",Q20)),ISNUMBER(SEARCH("curfew",Q20)),ISNUMBER(SEARCH("internet shutdown",Q20))),5,MIN(4,1+IF(H20&gt;=7,1,0)+IF(OR(ISNUMBER(SEARCH("hunger strike",Q20)),ISNUMBER(SEARCH("blockade",Q20)),ISNUMBER(SEARCH("strike",Q20)),ISNUMBER(SEARCH("jal satyagraha",Q20)),ISNUMBER(SEARCH("survey",Q20)),ISNUMBER(SEARCH("human chain",Q20)),ISNUMBER(SEARCH("march",Q20))),1,0)+IF(OR(ISNUMBER(SEARCH("fir",Q20)),ISNUMBER(SEARCH("confrontation",Q20)),ISNUMBER(SEARCH("violence",Q20)),ISNUMBER(SEARCH("detention",Q20)),ISNUMBER(SEARCH("arrest",Q20)),ISNUMBER(SEARCH("demolition",Q20)),ISNUMBER(SEARCH("injury",Q20))),1,0)+IF(OR(D20="Ongoing",D20="Unresolved"),1,0))))</x:f>
      </x:c>
      <x:c r="K20" s="16" t="str">
        <x:f>IF(J20="","",IF(J20=1,"Limited",IF(J20=2,"Local",IF(J20=3,"Significant",IF(J20=4,"High","Critical")))))</x:f>
      </x:c>
      <x:c r="L20" s="16" t="str">
        <x:f>IF(A20="","",Events!U19)</x:f>
      </x:c>
      <x:c r="M20" s="16" t="str">
        <x:f>IF(A20="","",Events!V19)</x:f>
      </x:c>
      <x:c r="N20" s="16" t="str">
        <x:f>IF(A20="","",Events!Q19)</x:f>
      </x:c>
      <x:c r="O20" s="16" t="str">
        <x:f>IF(A20="","",Events!R19)</x:f>
      </x:c>
      <x:c r="P20" s="16" t="str">
        <x:f>IF(A20="","",LOWER(Events!B19&amp;" "&amp;Events!D19&amp;" "&amp;Events!K19))</x:f>
      </x:c>
      <x:c r="Q20" s="16" t="str">
        <x:f>IF(A20="","",LOWER(Events!C19&amp;" "&amp;Events!K19&amp;" "&amp;Events!T19))</x:f>
      </x:c>
      <x:c r="R20" s="16" t="str">
        <x:f>IF(A20="","",IF(ISNUMBER(SEARCH("Occurrence verified",E20)),"Occurrence verified",E20))</x:f>
      </x:c>
      <x:c r="S20" s="79" t="str">
        <x:f>IF(A20="","",Events!X19)</x:f>
      </x:c>
      <x:c r="T20" t="str">
        <x:v>Meghalaya</x:v>
      </x:c>
      <x:c r="U20" t="n">
        <x:f>COUNTIF($C$6:$C$1001,T20)</x:f>
        <x:v>0</x:v>
      </x:c>
      <x:c r="V20" t="n">
        <x:f>U20*1000+(100-ROW())/1000</x:f>
        <x:v>0.08</x:v>
      </x:c>
      <x:c r="Z20" s="79" t="str">
        <x:f>IF(A20="","",Events!AD19)</x:f>
      </x:c>
      <x:c r="AA20" s="79" t="str">
        <x:f>IF(A20="","",Events!AE19)</x:f>
      </x:c>
    </x:row>
    <x:row r="21">
      <x:c r="A21" s="16" t="str">
        <x:f>IF(Events!A20="","",Events!A20)</x:f>
      </x:c>
      <x:c r="B21" s="16" t="str">
        <x:f>IF(A21="","",Events!B20)</x:f>
      </x:c>
      <x:c r="C21" s="16" t="str">
        <x:f>IF(A21="","",Events!E20)</x:f>
      </x:c>
      <x:c r="D21" s="16" t="str">
        <x:f>IF(A21="","",Events!J20)</x:f>
      </x:c>
      <x:c r="E21" s="16" t="str">
        <x:f>IF(A21="","",Events!N20)</x:f>
      </x:c>
      <x:c r="F21" s="109" t="str">
        <x:f>IF(OR(A21="",Events!H20=""),"",Events!H20)</x:f>
      </x:c>
      <x:c r="G21" s="109" t="str">
        <x:f>IF(A21="","",IF(Events!I20&lt;&gt;"",Events!I20,IF(Events!S20&lt;&gt;"",Events!S20,"")))</x:f>
      </x:c>
      <x:c r="H21" s="16" t="str">
        <x:f>IF(A21="","",Events!W20)</x:f>
      </x:c>
      <x:c r="I21" s="16" t="str">
        <x:f>IF(A21="","",IF(Events!Y20&lt;&gt;"",Events!Y20,IF(OR(ISNUMBER(SEARCH("education",P21)),ISNUMBER(SEARCH("exam",P21)),ISNUMBER(SEARCH("school",P21))),"Education",IF(OR(ISNUMBER(SEARCH("trade agreement",P21)),ISNUMBER(SEARCH("economic",P21)),ISNUMBER(SEARCH("import",P21))),"Trade &amp; economic policy",IF(OR(ISNUMBER(SEARCH("land acquisition",P21)),ISNUMBER(SEARCH("rehabilitation",P21)),ISNUMBER(SEARCH("displacement",P21)),ISNUMBER(SEARCH("township",P21))),"Land &amp; rehabilitation",IF(OR(ISNUMBER(SEARCH("forest",P21)),ISNUMBER(SEARCH("environment",P21)),ISNUMBER(SEARCH("ecological",P21)),ISNUMBER(SEARCH("biodiversity",P21)),ISNUMBER(SEARCH("green cover",P21))),"Environment",IF(OR(ISNUMBER(SEARCH("irrigation",P21)),ISNUMBER(SEARCH("water",P21)),ISNUMBER(SEARCH("crop",P21)),ISNUMBER(SEARCH("farmer",P21)),ISNUMBER(SEARCH("agriculture",P21))),"Agriculture &amp; water",IF(OR(ISNUMBER(SEARCH("health",P21)),ISNUMBER(SEARCH("hospital",P21)),ISNUMBER(SEARCH("medicine",P21))),"Public health",IF(OR(ISNUMBER(SEARCH("employee",P21)),ISNUMBER(SEARCH("labour",P21)),ISNUMBER(SEARCH("worker",P21)),ISNUMBER(SEARCH("salary",P21))),"Labour &amp; employment",IF(OR(ISNUMBER(SEARCH("rti",P21)),ISNUMBER(SEARCH("transparency",P21)),ISNUMBER(SEARCH("corruption",P21)),ISNUMBER(SEARCH("governance",P21))),"Governance &amp; transparency",IF(OR(ISNUMBER(SEARCH("police",P21)),ISNUMBER(SEARCH("detention",P21)),ISNUMBER(SEARCH("civil rights",P21)),ISNUMBER(SEARCH("justice",P21))),"Civil rights &amp; justice",IF(OR(ISNUMBER(SEARCH("road",P21)),ISNUMBER(SEARCH("utility",P21)),ISNUMBER(SEARCH("infrastructure",P21)),ISNUMBER(SEARCH("public service",P21))),"Infrastructure &amp; public services","Other"))))))))))))</x:f>
      </x:c>
      <x:c r="J21" s="16" t="str">
        <x:f>IF(A21="","",IF(OR(ISNUMBER(SEARCH("fatal",Q21)),ISNUMBER(SEARCH("death",Q21)),ISNUMBER(SEARCH("riot",Q21)),ISNUMBER(SEARCH("curfew",Q21)),ISNUMBER(SEARCH("internet shutdown",Q21))),5,MIN(4,1+IF(H21&gt;=7,1,0)+IF(OR(ISNUMBER(SEARCH("hunger strike",Q21)),ISNUMBER(SEARCH("blockade",Q21)),ISNUMBER(SEARCH("strike",Q21)),ISNUMBER(SEARCH("jal satyagraha",Q21)),ISNUMBER(SEARCH("survey",Q21)),ISNUMBER(SEARCH("human chain",Q21)),ISNUMBER(SEARCH("march",Q21))),1,0)+IF(OR(ISNUMBER(SEARCH("fir",Q21)),ISNUMBER(SEARCH("confrontation",Q21)),ISNUMBER(SEARCH("violence",Q21)),ISNUMBER(SEARCH("detention",Q21)),ISNUMBER(SEARCH("arrest",Q21)),ISNUMBER(SEARCH("demolition",Q21)),ISNUMBER(SEARCH("injury",Q21))),1,0)+IF(OR(D21="Ongoing",D21="Unresolved"),1,0))))</x:f>
      </x:c>
      <x:c r="K21" s="16" t="str">
        <x:f>IF(J21="","",IF(J21=1,"Limited",IF(J21=2,"Local",IF(J21=3,"Significant",IF(J21=4,"High","Critical")))))</x:f>
      </x:c>
      <x:c r="L21" s="16" t="str">
        <x:f>IF(A21="","",Events!U20)</x:f>
      </x:c>
      <x:c r="M21" s="16" t="str">
        <x:f>IF(A21="","",Events!V20)</x:f>
      </x:c>
      <x:c r="N21" s="16" t="str">
        <x:f>IF(A21="","",Events!Q20)</x:f>
      </x:c>
      <x:c r="O21" s="16" t="str">
        <x:f>IF(A21="","",Events!R20)</x:f>
      </x:c>
      <x:c r="P21" s="16" t="str">
        <x:f>IF(A21="","",LOWER(Events!B20&amp;" "&amp;Events!D20&amp;" "&amp;Events!K20))</x:f>
      </x:c>
      <x:c r="Q21" s="16" t="str">
        <x:f>IF(A21="","",LOWER(Events!C20&amp;" "&amp;Events!K20&amp;" "&amp;Events!T20))</x:f>
      </x:c>
      <x:c r="R21" s="16" t="str">
        <x:f>IF(A21="","",IF(ISNUMBER(SEARCH("Occurrence verified",E21)),"Occurrence verified",E21))</x:f>
      </x:c>
      <x:c r="S21" s="79" t="str">
        <x:f>IF(A21="","",Events!X20)</x:f>
      </x:c>
      <x:c r="T21" t="str">
        <x:v>Mizoram</x:v>
      </x:c>
      <x:c r="U21" t="n">
        <x:f>COUNTIF($C$6:$C$1001,T21)</x:f>
        <x:v>0</x:v>
      </x:c>
      <x:c r="V21" t="n">
        <x:f>U21*1000+(100-ROW())/1000</x:f>
        <x:v>0.079</x:v>
      </x:c>
      <x:c r="Z21" s="79" t="str">
        <x:f>IF(A21="","",Events!AD20)</x:f>
      </x:c>
      <x:c r="AA21" s="79" t="str">
        <x:f>IF(A21="","",Events!AE20)</x:f>
      </x:c>
    </x:row>
    <x:row r="22">
      <x:c r="A22" s="16" t="str">
        <x:f>IF(Events!A21="","",Events!A21)</x:f>
      </x:c>
      <x:c r="B22" s="16" t="str">
        <x:f>IF(A22="","",Events!B21)</x:f>
      </x:c>
      <x:c r="C22" s="16" t="str">
        <x:f>IF(A22="","",Events!E21)</x:f>
      </x:c>
      <x:c r="D22" s="16" t="str">
        <x:f>IF(A22="","",Events!J21)</x:f>
      </x:c>
      <x:c r="E22" s="16" t="str">
        <x:f>IF(A22="","",Events!N21)</x:f>
      </x:c>
      <x:c r="F22" s="109" t="str">
        <x:f>IF(OR(A22="",Events!H21=""),"",Events!H21)</x:f>
      </x:c>
      <x:c r="G22" s="109" t="str">
        <x:f>IF(A22="","",IF(Events!I21&lt;&gt;"",Events!I21,IF(Events!S21&lt;&gt;"",Events!S21,"")))</x:f>
      </x:c>
      <x:c r="H22" s="16" t="str">
        <x:f>IF(A22="","",Events!W21)</x:f>
      </x:c>
      <x:c r="I22" s="16" t="str">
        <x:f>IF(A22="","",IF(Events!Y21&lt;&gt;"",Events!Y21,IF(OR(ISNUMBER(SEARCH("education",P22)),ISNUMBER(SEARCH("exam",P22)),ISNUMBER(SEARCH("school",P22))),"Education",IF(OR(ISNUMBER(SEARCH("trade agreement",P22)),ISNUMBER(SEARCH("economic",P22)),ISNUMBER(SEARCH("import",P22))),"Trade &amp; economic policy",IF(OR(ISNUMBER(SEARCH("land acquisition",P22)),ISNUMBER(SEARCH("rehabilitation",P22)),ISNUMBER(SEARCH("displacement",P22)),ISNUMBER(SEARCH("township",P22))),"Land &amp; rehabilitation",IF(OR(ISNUMBER(SEARCH("forest",P22)),ISNUMBER(SEARCH("environment",P22)),ISNUMBER(SEARCH("ecological",P22)),ISNUMBER(SEARCH("biodiversity",P22)),ISNUMBER(SEARCH("green cover",P22))),"Environment",IF(OR(ISNUMBER(SEARCH("irrigation",P22)),ISNUMBER(SEARCH("water",P22)),ISNUMBER(SEARCH("crop",P22)),ISNUMBER(SEARCH("farmer",P22)),ISNUMBER(SEARCH("agriculture",P22))),"Agriculture &amp; water",IF(OR(ISNUMBER(SEARCH("health",P22)),ISNUMBER(SEARCH("hospital",P22)),ISNUMBER(SEARCH("medicine",P22))),"Public health",IF(OR(ISNUMBER(SEARCH("employee",P22)),ISNUMBER(SEARCH("labour",P22)),ISNUMBER(SEARCH("worker",P22)),ISNUMBER(SEARCH("salary",P22))),"Labour &amp; employment",IF(OR(ISNUMBER(SEARCH("rti",P22)),ISNUMBER(SEARCH("transparency",P22)),ISNUMBER(SEARCH("corruption",P22)),ISNUMBER(SEARCH("governance",P22))),"Governance &amp; transparency",IF(OR(ISNUMBER(SEARCH("police",P22)),ISNUMBER(SEARCH("detention",P22)),ISNUMBER(SEARCH("civil rights",P22)),ISNUMBER(SEARCH("justice",P22))),"Civil rights &amp; justice",IF(OR(ISNUMBER(SEARCH("road",P22)),ISNUMBER(SEARCH("utility",P22)),ISNUMBER(SEARCH("infrastructure",P22)),ISNUMBER(SEARCH("public service",P22))),"Infrastructure &amp; public services","Other"))))))))))))</x:f>
      </x:c>
      <x:c r="J22" s="16" t="str">
        <x:f>IF(A22="","",IF(OR(ISNUMBER(SEARCH("fatal",Q22)),ISNUMBER(SEARCH("death",Q22)),ISNUMBER(SEARCH("riot",Q22)),ISNUMBER(SEARCH("curfew",Q22)),ISNUMBER(SEARCH("internet shutdown",Q22))),5,MIN(4,1+IF(H22&gt;=7,1,0)+IF(OR(ISNUMBER(SEARCH("hunger strike",Q22)),ISNUMBER(SEARCH("blockade",Q22)),ISNUMBER(SEARCH("strike",Q22)),ISNUMBER(SEARCH("jal satyagraha",Q22)),ISNUMBER(SEARCH("survey",Q22)),ISNUMBER(SEARCH("human chain",Q22)),ISNUMBER(SEARCH("march",Q22))),1,0)+IF(OR(ISNUMBER(SEARCH("fir",Q22)),ISNUMBER(SEARCH("confrontation",Q22)),ISNUMBER(SEARCH("violence",Q22)),ISNUMBER(SEARCH("detention",Q22)),ISNUMBER(SEARCH("arrest",Q22)),ISNUMBER(SEARCH("demolition",Q22)),ISNUMBER(SEARCH("injury",Q22))),1,0)+IF(OR(D22="Ongoing",D22="Unresolved"),1,0))))</x:f>
      </x:c>
      <x:c r="K22" s="16" t="str">
        <x:f>IF(J22="","",IF(J22=1,"Limited",IF(J22=2,"Local",IF(J22=3,"Significant",IF(J22=4,"High","Critical")))))</x:f>
      </x:c>
      <x:c r="L22" s="16" t="str">
        <x:f>IF(A22="","",Events!U21)</x:f>
      </x:c>
      <x:c r="M22" s="16" t="str">
        <x:f>IF(A22="","",Events!V21)</x:f>
      </x:c>
      <x:c r="N22" s="16" t="str">
        <x:f>IF(A22="","",Events!Q21)</x:f>
      </x:c>
      <x:c r="O22" s="16" t="str">
        <x:f>IF(A22="","",Events!R21)</x:f>
      </x:c>
      <x:c r="P22" s="16" t="str">
        <x:f>IF(A22="","",LOWER(Events!B21&amp;" "&amp;Events!D21&amp;" "&amp;Events!K21))</x:f>
      </x:c>
      <x:c r="Q22" s="16" t="str">
        <x:f>IF(A22="","",LOWER(Events!C21&amp;" "&amp;Events!K21&amp;" "&amp;Events!T21))</x:f>
      </x:c>
      <x:c r="R22" s="16" t="str">
        <x:f>IF(A22="","",IF(ISNUMBER(SEARCH("Occurrence verified",E22)),"Occurrence verified",E22))</x:f>
      </x:c>
      <x:c r="S22" s="79" t="str">
        <x:f>IF(A22="","",Events!X21)</x:f>
      </x:c>
      <x:c r="T22" t="str">
        <x:v>Nagaland</x:v>
      </x:c>
      <x:c r="U22" t="n">
        <x:f>COUNTIF($C$6:$C$1001,T22)</x:f>
        <x:v>0</x:v>
      </x:c>
      <x:c r="V22" t="n">
        <x:f>U22*1000+(100-ROW())/1000</x:f>
        <x:v>0.078</x:v>
      </x:c>
      <x:c r="Z22" s="79" t="str">
        <x:f>IF(A22="","",Events!AD21)</x:f>
      </x:c>
      <x:c r="AA22" s="79" t="str">
        <x:f>IF(A22="","",Events!AE21)</x:f>
      </x:c>
    </x:row>
    <x:row r="23">
      <x:c r="A23" s="16" t="str">
        <x:f>IF(Events!A22="","",Events!A22)</x:f>
      </x:c>
      <x:c r="B23" s="16" t="str">
        <x:f>IF(A23="","",Events!B22)</x:f>
      </x:c>
      <x:c r="C23" s="16" t="str">
        <x:f>IF(A23="","",Events!E22)</x:f>
      </x:c>
      <x:c r="D23" s="16" t="str">
        <x:f>IF(A23="","",Events!J22)</x:f>
      </x:c>
      <x:c r="E23" s="16" t="str">
        <x:f>IF(A23="","",Events!N22)</x:f>
      </x:c>
      <x:c r="F23" s="109" t="str">
        <x:f>IF(OR(A23="",Events!H22=""),"",Events!H22)</x:f>
      </x:c>
      <x:c r="G23" s="109" t="str">
        <x:f>IF(A23="","",IF(Events!I22&lt;&gt;"",Events!I22,IF(Events!S22&lt;&gt;"",Events!S22,"")))</x:f>
      </x:c>
      <x:c r="H23" s="16" t="str">
        <x:f>IF(A23="","",Events!W22)</x:f>
      </x:c>
      <x:c r="I23" s="16" t="str">
        <x:f>IF(A23="","",IF(Events!Y22&lt;&gt;"",Events!Y22,IF(OR(ISNUMBER(SEARCH("education",P23)),ISNUMBER(SEARCH("exam",P23)),ISNUMBER(SEARCH("school",P23))),"Education",IF(OR(ISNUMBER(SEARCH("trade agreement",P23)),ISNUMBER(SEARCH("economic",P23)),ISNUMBER(SEARCH("import",P23))),"Trade &amp; economic policy",IF(OR(ISNUMBER(SEARCH("land acquisition",P23)),ISNUMBER(SEARCH("rehabilitation",P23)),ISNUMBER(SEARCH("displacement",P23)),ISNUMBER(SEARCH("township",P23))),"Land &amp; rehabilitation",IF(OR(ISNUMBER(SEARCH("forest",P23)),ISNUMBER(SEARCH("environment",P23)),ISNUMBER(SEARCH("ecological",P23)),ISNUMBER(SEARCH("biodiversity",P23)),ISNUMBER(SEARCH("green cover",P23))),"Environment",IF(OR(ISNUMBER(SEARCH("irrigation",P23)),ISNUMBER(SEARCH("water",P23)),ISNUMBER(SEARCH("crop",P23)),ISNUMBER(SEARCH("farmer",P23)),ISNUMBER(SEARCH("agriculture",P23))),"Agriculture &amp; water",IF(OR(ISNUMBER(SEARCH("health",P23)),ISNUMBER(SEARCH("hospital",P23)),ISNUMBER(SEARCH("medicine",P23))),"Public health",IF(OR(ISNUMBER(SEARCH("employee",P23)),ISNUMBER(SEARCH("labour",P23)),ISNUMBER(SEARCH("worker",P23)),ISNUMBER(SEARCH("salary",P23))),"Labour &amp; employment",IF(OR(ISNUMBER(SEARCH("rti",P23)),ISNUMBER(SEARCH("transparency",P23)),ISNUMBER(SEARCH("corruption",P23)),ISNUMBER(SEARCH("governance",P23))),"Governance &amp; transparency",IF(OR(ISNUMBER(SEARCH("police",P23)),ISNUMBER(SEARCH("detention",P23)),ISNUMBER(SEARCH("civil rights",P23)),ISNUMBER(SEARCH("justice",P23))),"Civil rights &amp; justice",IF(OR(ISNUMBER(SEARCH("road",P23)),ISNUMBER(SEARCH("utility",P23)),ISNUMBER(SEARCH("infrastructure",P23)),ISNUMBER(SEARCH("public service",P23))),"Infrastructure &amp; public services","Other"))))))))))))</x:f>
      </x:c>
      <x:c r="J23" s="16" t="str">
        <x:f>IF(A23="","",IF(OR(ISNUMBER(SEARCH("fatal",Q23)),ISNUMBER(SEARCH("death",Q23)),ISNUMBER(SEARCH("riot",Q23)),ISNUMBER(SEARCH("curfew",Q23)),ISNUMBER(SEARCH("internet shutdown",Q23))),5,MIN(4,1+IF(H23&gt;=7,1,0)+IF(OR(ISNUMBER(SEARCH("hunger strike",Q23)),ISNUMBER(SEARCH("blockade",Q23)),ISNUMBER(SEARCH("strike",Q23)),ISNUMBER(SEARCH("jal satyagraha",Q23)),ISNUMBER(SEARCH("survey",Q23)),ISNUMBER(SEARCH("human chain",Q23)),ISNUMBER(SEARCH("march",Q23))),1,0)+IF(OR(ISNUMBER(SEARCH("fir",Q23)),ISNUMBER(SEARCH("confrontation",Q23)),ISNUMBER(SEARCH("violence",Q23)),ISNUMBER(SEARCH("detention",Q23)),ISNUMBER(SEARCH("arrest",Q23)),ISNUMBER(SEARCH("demolition",Q23)),ISNUMBER(SEARCH("injury",Q23))),1,0)+IF(OR(D23="Ongoing",D23="Unresolved"),1,0))))</x:f>
      </x:c>
      <x:c r="K23" s="16" t="str">
        <x:f>IF(J23="","",IF(J23=1,"Limited",IF(J23=2,"Local",IF(J23=3,"Significant",IF(J23=4,"High","Critical")))))</x:f>
      </x:c>
      <x:c r="L23" s="16" t="str">
        <x:f>IF(A23="","",Events!U22)</x:f>
      </x:c>
      <x:c r="M23" s="16" t="str">
        <x:f>IF(A23="","",Events!V22)</x:f>
      </x:c>
      <x:c r="N23" s="16" t="str">
        <x:f>IF(A23="","",Events!Q22)</x:f>
      </x:c>
      <x:c r="O23" s="16" t="str">
        <x:f>IF(A23="","",Events!R22)</x:f>
      </x:c>
      <x:c r="P23" s="16" t="str">
        <x:f>IF(A23="","",LOWER(Events!B22&amp;" "&amp;Events!D22&amp;" "&amp;Events!K22))</x:f>
      </x:c>
      <x:c r="Q23" s="16" t="str">
        <x:f>IF(A23="","",LOWER(Events!C22&amp;" "&amp;Events!K22&amp;" "&amp;Events!T22))</x:f>
      </x:c>
      <x:c r="R23" s="16" t="str">
        <x:f>IF(A23="","",IF(ISNUMBER(SEARCH("Occurrence verified",E23)),"Occurrence verified",E23))</x:f>
      </x:c>
      <x:c r="S23" s="79" t="str">
        <x:f>IF(A23="","",Events!X22)</x:f>
      </x:c>
      <x:c r="T23" t="str">
        <x:v>Odisha</x:v>
      </x:c>
      <x:c r="U23" t="n">
        <x:f>COUNTIF($C$6:$C$1001,T23)</x:f>
        <x:v>1</x:v>
      </x:c>
      <x:c r="V23" t="n">
        <x:f>U23*1000+(100-ROW())/1000</x:f>
        <x:v>1000.077</x:v>
      </x:c>
      <x:c r="Z23" s="79" t="str">
        <x:f>IF(A23="","",Events!AD22)</x:f>
      </x:c>
      <x:c r="AA23" s="79" t="str">
        <x:f>IF(A23="","",Events!AE22)</x:f>
      </x:c>
    </x:row>
    <x:row r="24">
      <x:c r="A24" s="16" t="str">
        <x:f>IF(Events!A23="","",Events!A23)</x:f>
      </x:c>
      <x:c r="B24" s="16" t="str">
        <x:f>IF(A24="","",Events!B23)</x:f>
      </x:c>
      <x:c r="C24" s="16" t="str">
        <x:f>IF(A24="","",Events!E23)</x:f>
      </x:c>
      <x:c r="D24" s="16" t="str">
        <x:f>IF(A24="","",Events!J23)</x:f>
      </x:c>
      <x:c r="E24" s="16" t="str">
        <x:f>IF(A24="","",Events!N23)</x:f>
      </x:c>
      <x:c r="F24" s="109" t="str">
        <x:f>IF(OR(A24="",Events!H23=""),"",Events!H23)</x:f>
      </x:c>
      <x:c r="G24" s="109" t="str">
        <x:f>IF(A24="","",IF(Events!I23&lt;&gt;"",Events!I23,IF(Events!S23&lt;&gt;"",Events!S23,"")))</x:f>
      </x:c>
      <x:c r="H24" s="16" t="str">
        <x:f>IF(A24="","",Events!W23)</x:f>
      </x:c>
      <x:c r="I24" s="16" t="str">
        <x:f>IF(A24="","",IF(Events!Y23&lt;&gt;"",Events!Y23,IF(OR(ISNUMBER(SEARCH("education",P24)),ISNUMBER(SEARCH("exam",P24)),ISNUMBER(SEARCH("school",P24))),"Education",IF(OR(ISNUMBER(SEARCH("trade agreement",P24)),ISNUMBER(SEARCH("economic",P24)),ISNUMBER(SEARCH("import",P24))),"Trade &amp; economic policy",IF(OR(ISNUMBER(SEARCH("land acquisition",P24)),ISNUMBER(SEARCH("rehabilitation",P24)),ISNUMBER(SEARCH("displacement",P24)),ISNUMBER(SEARCH("township",P24))),"Land &amp; rehabilitation",IF(OR(ISNUMBER(SEARCH("forest",P24)),ISNUMBER(SEARCH("environment",P24)),ISNUMBER(SEARCH("ecological",P24)),ISNUMBER(SEARCH("biodiversity",P24)),ISNUMBER(SEARCH("green cover",P24))),"Environment",IF(OR(ISNUMBER(SEARCH("irrigation",P24)),ISNUMBER(SEARCH("water",P24)),ISNUMBER(SEARCH("crop",P24)),ISNUMBER(SEARCH("farmer",P24)),ISNUMBER(SEARCH("agriculture",P24))),"Agriculture &amp; water",IF(OR(ISNUMBER(SEARCH("health",P24)),ISNUMBER(SEARCH("hospital",P24)),ISNUMBER(SEARCH("medicine",P24))),"Public health",IF(OR(ISNUMBER(SEARCH("employee",P24)),ISNUMBER(SEARCH("labour",P24)),ISNUMBER(SEARCH("worker",P24)),ISNUMBER(SEARCH("salary",P24))),"Labour &amp; employment",IF(OR(ISNUMBER(SEARCH("rti",P24)),ISNUMBER(SEARCH("transparency",P24)),ISNUMBER(SEARCH("corruption",P24)),ISNUMBER(SEARCH("governance",P24))),"Governance &amp; transparency",IF(OR(ISNUMBER(SEARCH("police",P24)),ISNUMBER(SEARCH("detention",P24)),ISNUMBER(SEARCH("civil rights",P24)),ISNUMBER(SEARCH("justice",P24))),"Civil rights &amp; justice",IF(OR(ISNUMBER(SEARCH("road",P24)),ISNUMBER(SEARCH("utility",P24)),ISNUMBER(SEARCH("infrastructure",P24)),ISNUMBER(SEARCH("public service",P24))),"Infrastructure &amp; public services","Other"))))))))))))</x:f>
      </x:c>
      <x:c r="J24" s="16" t="str">
        <x:f>IF(A24="","",IF(OR(ISNUMBER(SEARCH("fatal",Q24)),ISNUMBER(SEARCH("death",Q24)),ISNUMBER(SEARCH("riot",Q24)),ISNUMBER(SEARCH("curfew",Q24)),ISNUMBER(SEARCH("internet shutdown",Q24))),5,MIN(4,1+IF(H24&gt;=7,1,0)+IF(OR(ISNUMBER(SEARCH("hunger strike",Q24)),ISNUMBER(SEARCH("blockade",Q24)),ISNUMBER(SEARCH("strike",Q24)),ISNUMBER(SEARCH("jal satyagraha",Q24)),ISNUMBER(SEARCH("survey",Q24)),ISNUMBER(SEARCH("human chain",Q24)),ISNUMBER(SEARCH("march",Q24))),1,0)+IF(OR(ISNUMBER(SEARCH("fir",Q24)),ISNUMBER(SEARCH("confrontation",Q24)),ISNUMBER(SEARCH("violence",Q24)),ISNUMBER(SEARCH("detention",Q24)),ISNUMBER(SEARCH("arrest",Q24)),ISNUMBER(SEARCH("demolition",Q24)),ISNUMBER(SEARCH("injury",Q24))),1,0)+IF(OR(D24="Ongoing",D24="Unresolved"),1,0))))</x:f>
      </x:c>
      <x:c r="K24" s="16" t="str">
        <x:f>IF(J24="","",IF(J24=1,"Limited",IF(J24=2,"Local",IF(J24=3,"Significant",IF(J24=4,"High","Critical")))))</x:f>
      </x:c>
      <x:c r="L24" s="16" t="str">
        <x:f>IF(A24="","",Events!U23)</x:f>
      </x:c>
      <x:c r="M24" s="16" t="str">
        <x:f>IF(A24="","",Events!V23)</x:f>
      </x:c>
      <x:c r="N24" s="16" t="str">
        <x:f>IF(A24="","",Events!Q23)</x:f>
      </x:c>
      <x:c r="O24" s="16" t="str">
        <x:f>IF(A24="","",Events!R23)</x:f>
      </x:c>
      <x:c r="P24" s="16" t="str">
        <x:f>IF(A24="","",LOWER(Events!B23&amp;" "&amp;Events!D23&amp;" "&amp;Events!K23))</x:f>
      </x:c>
      <x:c r="Q24" s="16" t="str">
        <x:f>IF(A24="","",LOWER(Events!C23&amp;" "&amp;Events!K23&amp;" "&amp;Events!T23))</x:f>
      </x:c>
      <x:c r="R24" s="16" t="str">
        <x:f>IF(A24="","",IF(ISNUMBER(SEARCH("Occurrence verified",E24)),"Occurrence verified",E24))</x:f>
      </x:c>
      <x:c r="S24" s="79" t="str">
        <x:f>IF(A24="","",Events!X23)</x:f>
      </x:c>
      <x:c r="T24" t="str">
        <x:v>Punjab</x:v>
      </x:c>
      <x:c r="U24" t="n">
        <x:f>COUNTIF($C$6:$C$1001,T24)</x:f>
        <x:v>0</x:v>
      </x:c>
      <x:c r="V24" t="n">
        <x:f>U24*1000+(100-ROW())/1000</x:f>
        <x:v>0.076</x:v>
      </x:c>
      <x:c r="Z24" s="79" t="str">
        <x:f>IF(A24="","",Events!AD23)</x:f>
      </x:c>
      <x:c r="AA24" s="79" t="str">
        <x:f>IF(A24="","",Events!AE23)</x:f>
      </x:c>
    </x:row>
    <x:row r="25">
      <x:c r="A25" s="16" t="str">
        <x:f>IF(Events!A24="","",Events!A24)</x:f>
      </x:c>
      <x:c r="B25" s="16" t="str">
        <x:f>IF(A25="","",Events!B24)</x:f>
      </x:c>
      <x:c r="C25" s="16" t="str">
        <x:f>IF(A25="","",Events!E24)</x:f>
      </x:c>
      <x:c r="D25" s="16" t="str">
        <x:f>IF(A25="","",Events!J24)</x:f>
      </x:c>
      <x:c r="E25" s="16" t="str">
        <x:f>IF(A25="","",Events!N24)</x:f>
      </x:c>
      <x:c r="F25" s="109" t="str">
        <x:f>IF(OR(A25="",Events!H24=""),"",Events!H24)</x:f>
      </x:c>
      <x:c r="G25" s="109" t="str">
        <x:f>IF(A25="","",IF(Events!I24&lt;&gt;"",Events!I24,IF(Events!S24&lt;&gt;"",Events!S24,"")))</x:f>
      </x:c>
      <x:c r="H25" s="16" t="str">
        <x:f>IF(A25="","",Events!W24)</x:f>
      </x:c>
      <x:c r="I25" s="16" t="str">
        <x:f>IF(A25="","",IF(Events!Y24&lt;&gt;"",Events!Y24,IF(OR(ISNUMBER(SEARCH("education",P25)),ISNUMBER(SEARCH("exam",P25)),ISNUMBER(SEARCH("school",P25))),"Education",IF(OR(ISNUMBER(SEARCH("trade agreement",P25)),ISNUMBER(SEARCH("economic",P25)),ISNUMBER(SEARCH("import",P25))),"Trade &amp; economic policy",IF(OR(ISNUMBER(SEARCH("land acquisition",P25)),ISNUMBER(SEARCH("rehabilitation",P25)),ISNUMBER(SEARCH("displacement",P25)),ISNUMBER(SEARCH("township",P25))),"Land &amp; rehabilitation",IF(OR(ISNUMBER(SEARCH("forest",P25)),ISNUMBER(SEARCH("environment",P25)),ISNUMBER(SEARCH("ecological",P25)),ISNUMBER(SEARCH("biodiversity",P25)),ISNUMBER(SEARCH("green cover",P25))),"Environment",IF(OR(ISNUMBER(SEARCH("irrigation",P25)),ISNUMBER(SEARCH("water",P25)),ISNUMBER(SEARCH("crop",P25)),ISNUMBER(SEARCH("farmer",P25)),ISNUMBER(SEARCH("agriculture",P25))),"Agriculture &amp; water",IF(OR(ISNUMBER(SEARCH("health",P25)),ISNUMBER(SEARCH("hospital",P25)),ISNUMBER(SEARCH("medicine",P25))),"Public health",IF(OR(ISNUMBER(SEARCH("employee",P25)),ISNUMBER(SEARCH("labour",P25)),ISNUMBER(SEARCH("worker",P25)),ISNUMBER(SEARCH("salary",P25))),"Labour &amp; employment",IF(OR(ISNUMBER(SEARCH("rti",P25)),ISNUMBER(SEARCH("transparency",P25)),ISNUMBER(SEARCH("corruption",P25)),ISNUMBER(SEARCH("governance",P25))),"Governance &amp; transparency",IF(OR(ISNUMBER(SEARCH("police",P25)),ISNUMBER(SEARCH("detention",P25)),ISNUMBER(SEARCH("civil rights",P25)),ISNUMBER(SEARCH("justice",P25))),"Civil rights &amp; justice",IF(OR(ISNUMBER(SEARCH("road",P25)),ISNUMBER(SEARCH("utility",P25)),ISNUMBER(SEARCH("infrastructure",P25)),ISNUMBER(SEARCH("public service",P25))),"Infrastructure &amp; public services","Other"))))))))))))</x:f>
      </x:c>
      <x:c r="J25" s="16" t="str">
        <x:f>IF(A25="","",IF(OR(ISNUMBER(SEARCH("fatal",Q25)),ISNUMBER(SEARCH("death",Q25)),ISNUMBER(SEARCH("riot",Q25)),ISNUMBER(SEARCH("curfew",Q25)),ISNUMBER(SEARCH("internet shutdown",Q25))),5,MIN(4,1+IF(H25&gt;=7,1,0)+IF(OR(ISNUMBER(SEARCH("hunger strike",Q25)),ISNUMBER(SEARCH("blockade",Q25)),ISNUMBER(SEARCH("strike",Q25)),ISNUMBER(SEARCH("jal satyagraha",Q25)),ISNUMBER(SEARCH("survey",Q25)),ISNUMBER(SEARCH("human chain",Q25)),ISNUMBER(SEARCH("march",Q25))),1,0)+IF(OR(ISNUMBER(SEARCH("fir",Q25)),ISNUMBER(SEARCH("confrontation",Q25)),ISNUMBER(SEARCH("violence",Q25)),ISNUMBER(SEARCH("detention",Q25)),ISNUMBER(SEARCH("arrest",Q25)),ISNUMBER(SEARCH("demolition",Q25)),ISNUMBER(SEARCH("injury",Q25))),1,0)+IF(OR(D25="Ongoing",D25="Unresolved"),1,0))))</x:f>
      </x:c>
      <x:c r="K25" s="16" t="str">
        <x:f>IF(J25="","",IF(J25=1,"Limited",IF(J25=2,"Local",IF(J25=3,"Significant",IF(J25=4,"High","Critical")))))</x:f>
      </x:c>
      <x:c r="L25" s="16" t="str">
        <x:f>IF(A25="","",Events!U24)</x:f>
      </x:c>
      <x:c r="M25" s="16" t="str">
        <x:f>IF(A25="","",Events!V24)</x:f>
      </x:c>
      <x:c r="N25" s="16" t="str">
        <x:f>IF(A25="","",Events!Q24)</x:f>
      </x:c>
      <x:c r="O25" s="16" t="str">
        <x:f>IF(A25="","",Events!R24)</x:f>
      </x:c>
      <x:c r="P25" s="16" t="str">
        <x:f>IF(A25="","",LOWER(Events!B24&amp;" "&amp;Events!D24&amp;" "&amp;Events!K24))</x:f>
      </x:c>
      <x:c r="Q25" s="16" t="str">
        <x:f>IF(A25="","",LOWER(Events!C24&amp;" "&amp;Events!K24&amp;" "&amp;Events!T24))</x:f>
      </x:c>
      <x:c r="R25" s="16" t="str">
        <x:f>IF(A25="","",IF(ISNUMBER(SEARCH("Occurrence verified",E25)),"Occurrence verified",E25))</x:f>
      </x:c>
      <x:c r="S25" s="79" t="str">
        <x:f>IF(A25="","",Events!X24)</x:f>
      </x:c>
      <x:c r="T25" t="str">
        <x:v>Rajasthan</x:v>
      </x:c>
      <x:c r="U25" t="n">
        <x:f>COUNTIF($C$6:$C$1001,T25)</x:f>
        <x:v>0</x:v>
      </x:c>
      <x:c r="V25" t="n">
        <x:f>U25*1000+(100-ROW())/1000</x:f>
        <x:v>0.075</x:v>
      </x:c>
      <x:c r="Z25" s="79" t="str">
        <x:f>IF(A25="","",Events!AD24)</x:f>
      </x:c>
      <x:c r="AA25" s="79" t="str">
        <x:f>IF(A25="","",Events!AE24)</x:f>
      </x:c>
    </x:row>
    <x:row r="26">
      <x:c r="A26" s="16" t="str">
        <x:f>IF(Events!A25="","",Events!A25)</x:f>
      </x:c>
      <x:c r="B26" s="16" t="str">
        <x:f>IF(A26="","",Events!B25)</x:f>
      </x:c>
      <x:c r="C26" s="16" t="str">
        <x:f>IF(A26="","",Events!E25)</x:f>
      </x:c>
      <x:c r="D26" s="16" t="str">
        <x:f>IF(A26="","",Events!J25)</x:f>
      </x:c>
      <x:c r="E26" s="16" t="str">
        <x:f>IF(A26="","",Events!N25)</x:f>
      </x:c>
      <x:c r="F26" s="109" t="str">
        <x:f>IF(OR(A26="",Events!H25=""),"",Events!H25)</x:f>
      </x:c>
      <x:c r="G26" s="109" t="str">
        <x:f>IF(A26="","",IF(Events!I25&lt;&gt;"",Events!I25,IF(Events!S25&lt;&gt;"",Events!S25,"")))</x:f>
      </x:c>
      <x:c r="H26" s="16" t="str">
        <x:f>IF(A26="","",Events!W25)</x:f>
      </x:c>
      <x:c r="I26" s="16" t="str">
        <x:f>IF(A26="","",IF(Events!Y25&lt;&gt;"",Events!Y25,IF(OR(ISNUMBER(SEARCH("education",P26)),ISNUMBER(SEARCH("exam",P26)),ISNUMBER(SEARCH("school",P26))),"Education",IF(OR(ISNUMBER(SEARCH("trade agreement",P26)),ISNUMBER(SEARCH("economic",P26)),ISNUMBER(SEARCH("import",P26))),"Trade &amp; economic policy",IF(OR(ISNUMBER(SEARCH("land acquisition",P26)),ISNUMBER(SEARCH("rehabilitation",P26)),ISNUMBER(SEARCH("displacement",P26)),ISNUMBER(SEARCH("township",P26))),"Land &amp; rehabilitation",IF(OR(ISNUMBER(SEARCH("forest",P26)),ISNUMBER(SEARCH("environment",P26)),ISNUMBER(SEARCH("ecological",P26)),ISNUMBER(SEARCH("biodiversity",P26)),ISNUMBER(SEARCH("green cover",P26))),"Environment",IF(OR(ISNUMBER(SEARCH("irrigation",P26)),ISNUMBER(SEARCH("water",P26)),ISNUMBER(SEARCH("crop",P26)),ISNUMBER(SEARCH("farmer",P26)),ISNUMBER(SEARCH("agriculture",P26))),"Agriculture &amp; water",IF(OR(ISNUMBER(SEARCH("health",P26)),ISNUMBER(SEARCH("hospital",P26)),ISNUMBER(SEARCH("medicine",P26))),"Public health",IF(OR(ISNUMBER(SEARCH("employee",P26)),ISNUMBER(SEARCH("labour",P26)),ISNUMBER(SEARCH("worker",P26)),ISNUMBER(SEARCH("salary",P26))),"Labour &amp; employment",IF(OR(ISNUMBER(SEARCH("rti",P26)),ISNUMBER(SEARCH("transparency",P26)),ISNUMBER(SEARCH("corruption",P26)),ISNUMBER(SEARCH("governance",P26))),"Governance &amp; transparency",IF(OR(ISNUMBER(SEARCH("police",P26)),ISNUMBER(SEARCH("detention",P26)),ISNUMBER(SEARCH("civil rights",P26)),ISNUMBER(SEARCH("justice",P26))),"Civil rights &amp; justice",IF(OR(ISNUMBER(SEARCH("road",P26)),ISNUMBER(SEARCH("utility",P26)),ISNUMBER(SEARCH("infrastructure",P26)),ISNUMBER(SEARCH("public service",P26))),"Infrastructure &amp; public services","Other"))))))))))))</x:f>
      </x:c>
      <x:c r="J26" s="16" t="str">
        <x:f>IF(A26="","",IF(OR(ISNUMBER(SEARCH("fatal",Q26)),ISNUMBER(SEARCH("death",Q26)),ISNUMBER(SEARCH("riot",Q26)),ISNUMBER(SEARCH("curfew",Q26)),ISNUMBER(SEARCH("internet shutdown",Q26))),5,MIN(4,1+IF(H26&gt;=7,1,0)+IF(OR(ISNUMBER(SEARCH("hunger strike",Q26)),ISNUMBER(SEARCH("blockade",Q26)),ISNUMBER(SEARCH("strike",Q26)),ISNUMBER(SEARCH("jal satyagraha",Q26)),ISNUMBER(SEARCH("survey",Q26)),ISNUMBER(SEARCH("human chain",Q26)),ISNUMBER(SEARCH("march",Q26))),1,0)+IF(OR(ISNUMBER(SEARCH("fir",Q26)),ISNUMBER(SEARCH("confrontation",Q26)),ISNUMBER(SEARCH("violence",Q26)),ISNUMBER(SEARCH("detention",Q26)),ISNUMBER(SEARCH("arrest",Q26)),ISNUMBER(SEARCH("demolition",Q26)),ISNUMBER(SEARCH("injury",Q26))),1,0)+IF(OR(D26="Ongoing",D26="Unresolved"),1,0))))</x:f>
      </x:c>
      <x:c r="K26" s="16" t="str">
        <x:f>IF(J26="","",IF(J26=1,"Limited",IF(J26=2,"Local",IF(J26=3,"Significant",IF(J26=4,"High","Critical")))))</x:f>
      </x:c>
      <x:c r="L26" s="16" t="str">
        <x:f>IF(A26="","",Events!U25)</x:f>
      </x:c>
      <x:c r="M26" s="16" t="str">
        <x:f>IF(A26="","",Events!V25)</x:f>
      </x:c>
      <x:c r="N26" s="16" t="str">
        <x:f>IF(A26="","",Events!Q25)</x:f>
      </x:c>
      <x:c r="O26" s="16" t="str">
        <x:f>IF(A26="","",Events!R25)</x:f>
      </x:c>
      <x:c r="P26" s="16" t="str">
        <x:f>IF(A26="","",LOWER(Events!B25&amp;" "&amp;Events!D25&amp;" "&amp;Events!K25))</x:f>
      </x:c>
      <x:c r="Q26" s="16" t="str">
        <x:f>IF(A26="","",LOWER(Events!C25&amp;" "&amp;Events!K25&amp;" "&amp;Events!T25))</x:f>
      </x:c>
      <x:c r="R26" s="16" t="str">
        <x:f>IF(A26="","",IF(ISNUMBER(SEARCH("Occurrence verified",E26)),"Occurrence verified",E26))</x:f>
      </x:c>
      <x:c r="S26" s="79" t="str">
        <x:f>IF(A26="","",Events!X25)</x:f>
      </x:c>
      <x:c r="T26" t="str">
        <x:v>Sikkim</x:v>
      </x:c>
      <x:c r="U26" t="n">
        <x:f>COUNTIF($C$6:$C$1001,T26)</x:f>
        <x:v>0</x:v>
      </x:c>
      <x:c r="V26" t="n">
        <x:f>U26*1000+(100-ROW())/1000</x:f>
        <x:v>0.074</x:v>
      </x:c>
      <x:c r="Z26" s="79" t="str">
        <x:f>IF(A26="","",Events!AD25)</x:f>
      </x:c>
      <x:c r="AA26" s="79" t="str">
        <x:f>IF(A26="","",Events!AE25)</x:f>
      </x:c>
    </x:row>
    <x:row r="27">
      <x:c r="A27" s="16" t="str">
        <x:f>IF(Events!A26="","",Events!A26)</x:f>
      </x:c>
      <x:c r="B27" s="16" t="str">
        <x:f>IF(A27="","",Events!B26)</x:f>
      </x:c>
      <x:c r="C27" s="16" t="str">
        <x:f>IF(A27="","",Events!E26)</x:f>
      </x:c>
      <x:c r="D27" s="16" t="str">
        <x:f>IF(A27="","",Events!J26)</x:f>
      </x:c>
      <x:c r="E27" s="16" t="str">
        <x:f>IF(A27="","",Events!N26)</x:f>
      </x:c>
      <x:c r="F27" s="109" t="str">
        <x:f>IF(OR(A27="",Events!H26=""),"",Events!H26)</x:f>
      </x:c>
      <x:c r="G27" s="109" t="str">
        <x:f>IF(A27="","",IF(Events!I26&lt;&gt;"",Events!I26,IF(Events!S26&lt;&gt;"",Events!S26,"")))</x:f>
      </x:c>
      <x:c r="H27" s="16" t="str">
        <x:f>IF(A27="","",Events!W26)</x:f>
      </x:c>
      <x:c r="I27" s="16" t="str">
        <x:f>IF(A27="","",IF(Events!Y26&lt;&gt;"",Events!Y26,IF(OR(ISNUMBER(SEARCH("education",P27)),ISNUMBER(SEARCH("exam",P27)),ISNUMBER(SEARCH("school",P27))),"Education",IF(OR(ISNUMBER(SEARCH("trade agreement",P27)),ISNUMBER(SEARCH("economic",P27)),ISNUMBER(SEARCH("import",P27))),"Trade &amp; economic policy",IF(OR(ISNUMBER(SEARCH("land acquisition",P27)),ISNUMBER(SEARCH("rehabilitation",P27)),ISNUMBER(SEARCH("displacement",P27)),ISNUMBER(SEARCH("township",P27))),"Land &amp; rehabilitation",IF(OR(ISNUMBER(SEARCH("forest",P27)),ISNUMBER(SEARCH("environment",P27)),ISNUMBER(SEARCH("ecological",P27)),ISNUMBER(SEARCH("biodiversity",P27)),ISNUMBER(SEARCH("green cover",P27))),"Environment",IF(OR(ISNUMBER(SEARCH("irrigation",P27)),ISNUMBER(SEARCH("water",P27)),ISNUMBER(SEARCH("crop",P27)),ISNUMBER(SEARCH("farmer",P27)),ISNUMBER(SEARCH("agriculture",P27))),"Agriculture &amp; water",IF(OR(ISNUMBER(SEARCH("health",P27)),ISNUMBER(SEARCH("hospital",P27)),ISNUMBER(SEARCH("medicine",P27))),"Public health",IF(OR(ISNUMBER(SEARCH("employee",P27)),ISNUMBER(SEARCH("labour",P27)),ISNUMBER(SEARCH("worker",P27)),ISNUMBER(SEARCH("salary",P27))),"Labour &amp; employment",IF(OR(ISNUMBER(SEARCH("rti",P27)),ISNUMBER(SEARCH("transparency",P27)),ISNUMBER(SEARCH("corruption",P27)),ISNUMBER(SEARCH("governance",P27))),"Governance &amp; transparency",IF(OR(ISNUMBER(SEARCH("police",P27)),ISNUMBER(SEARCH("detention",P27)),ISNUMBER(SEARCH("civil rights",P27)),ISNUMBER(SEARCH("justice",P27))),"Civil rights &amp; justice",IF(OR(ISNUMBER(SEARCH("road",P27)),ISNUMBER(SEARCH("utility",P27)),ISNUMBER(SEARCH("infrastructure",P27)),ISNUMBER(SEARCH("public service",P27))),"Infrastructure &amp; public services","Other"))))))))))))</x:f>
      </x:c>
      <x:c r="J27" s="16" t="str">
        <x:f>IF(A27="","",IF(OR(ISNUMBER(SEARCH("fatal",Q27)),ISNUMBER(SEARCH("death",Q27)),ISNUMBER(SEARCH("riot",Q27)),ISNUMBER(SEARCH("curfew",Q27)),ISNUMBER(SEARCH("internet shutdown",Q27))),5,MIN(4,1+IF(H27&gt;=7,1,0)+IF(OR(ISNUMBER(SEARCH("hunger strike",Q27)),ISNUMBER(SEARCH("blockade",Q27)),ISNUMBER(SEARCH("strike",Q27)),ISNUMBER(SEARCH("jal satyagraha",Q27)),ISNUMBER(SEARCH("survey",Q27)),ISNUMBER(SEARCH("human chain",Q27)),ISNUMBER(SEARCH("march",Q27))),1,0)+IF(OR(ISNUMBER(SEARCH("fir",Q27)),ISNUMBER(SEARCH("confrontation",Q27)),ISNUMBER(SEARCH("violence",Q27)),ISNUMBER(SEARCH("detention",Q27)),ISNUMBER(SEARCH("arrest",Q27)),ISNUMBER(SEARCH("demolition",Q27)),ISNUMBER(SEARCH("injury",Q27))),1,0)+IF(OR(D27="Ongoing",D27="Unresolved"),1,0))))</x:f>
      </x:c>
      <x:c r="K27" s="16" t="str">
        <x:f>IF(J27="","",IF(J27=1,"Limited",IF(J27=2,"Local",IF(J27=3,"Significant",IF(J27=4,"High","Critical")))))</x:f>
      </x:c>
      <x:c r="L27" s="16" t="str">
        <x:f>IF(A27="","",Events!U26)</x:f>
      </x:c>
      <x:c r="M27" s="16" t="str">
        <x:f>IF(A27="","",Events!V26)</x:f>
      </x:c>
      <x:c r="N27" s="16" t="str">
        <x:f>IF(A27="","",Events!Q26)</x:f>
      </x:c>
      <x:c r="O27" s="16" t="str">
        <x:f>IF(A27="","",Events!R26)</x:f>
      </x:c>
      <x:c r="P27" s="16" t="str">
        <x:f>IF(A27="","",LOWER(Events!B26&amp;" "&amp;Events!D26&amp;" "&amp;Events!K26))</x:f>
      </x:c>
      <x:c r="Q27" s="16" t="str">
        <x:f>IF(A27="","",LOWER(Events!C26&amp;" "&amp;Events!K26&amp;" "&amp;Events!T26))</x:f>
      </x:c>
      <x:c r="R27" s="16" t="str">
        <x:f>IF(A27="","",IF(ISNUMBER(SEARCH("Occurrence verified",E27)),"Occurrence verified",E27))</x:f>
      </x:c>
      <x:c r="S27" s="79" t="str">
        <x:f>IF(A27="","",Events!X26)</x:f>
      </x:c>
      <x:c r="T27" t="str">
        <x:v>Tamil Nadu</x:v>
      </x:c>
      <x:c r="U27" t="n">
        <x:f>COUNTIF($C$6:$C$1001,T27)</x:f>
        <x:v>0</x:v>
      </x:c>
      <x:c r="V27" t="n">
        <x:f>U27*1000+(100-ROW())/1000</x:f>
        <x:v>0.073</x:v>
      </x:c>
      <x:c r="Z27" s="79" t="str">
        <x:f>IF(A27="","",Events!AD26)</x:f>
      </x:c>
      <x:c r="AA27" s="79" t="str">
        <x:f>IF(A27="","",Events!AE26)</x:f>
      </x:c>
    </x:row>
    <x:row r="28">
      <x:c r="A28" s="16" t="str">
        <x:f>IF(Events!A27="","",Events!A27)</x:f>
      </x:c>
      <x:c r="B28" s="16" t="str">
        <x:f>IF(A28="","",Events!B27)</x:f>
      </x:c>
      <x:c r="C28" s="16" t="str">
        <x:f>IF(A28="","",Events!E27)</x:f>
      </x:c>
      <x:c r="D28" s="16" t="str">
        <x:f>IF(A28="","",Events!J27)</x:f>
      </x:c>
      <x:c r="E28" s="16" t="str">
        <x:f>IF(A28="","",Events!N27)</x:f>
      </x:c>
      <x:c r="F28" s="109" t="str">
        <x:f>IF(OR(A28="",Events!H27=""),"",Events!H27)</x:f>
      </x:c>
      <x:c r="G28" s="109" t="str">
        <x:f>IF(A28="","",IF(Events!I27&lt;&gt;"",Events!I27,IF(Events!S27&lt;&gt;"",Events!S27,"")))</x:f>
      </x:c>
      <x:c r="H28" s="16" t="str">
        <x:f>IF(A28="","",Events!W27)</x:f>
      </x:c>
      <x:c r="I28" s="16" t="str">
        <x:f>IF(A28="","",IF(Events!Y27&lt;&gt;"",Events!Y27,IF(OR(ISNUMBER(SEARCH("education",P28)),ISNUMBER(SEARCH("exam",P28)),ISNUMBER(SEARCH("school",P28))),"Education",IF(OR(ISNUMBER(SEARCH("trade agreement",P28)),ISNUMBER(SEARCH("economic",P28)),ISNUMBER(SEARCH("import",P28))),"Trade &amp; economic policy",IF(OR(ISNUMBER(SEARCH("land acquisition",P28)),ISNUMBER(SEARCH("rehabilitation",P28)),ISNUMBER(SEARCH("displacement",P28)),ISNUMBER(SEARCH("township",P28))),"Land &amp; rehabilitation",IF(OR(ISNUMBER(SEARCH("forest",P28)),ISNUMBER(SEARCH("environment",P28)),ISNUMBER(SEARCH("ecological",P28)),ISNUMBER(SEARCH("biodiversity",P28)),ISNUMBER(SEARCH("green cover",P28))),"Environment",IF(OR(ISNUMBER(SEARCH("irrigation",P28)),ISNUMBER(SEARCH("water",P28)),ISNUMBER(SEARCH("crop",P28)),ISNUMBER(SEARCH("farmer",P28)),ISNUMBER(SEARCH("agriculture",P28))),"Agriculture &amp; water",IF(OR(ISNUMBER(SEARCH("health",P28)),ISNUMBER(SEARCH("hospital",P28)),ISNUMBER(SEARCH("medicine",P28))),"Public health",IF(OR(ISNUMBER(SEARCH("employee",P28)),ISNUMBER(SEARCH("labour",P28)),ISNUMBER(SEARCH("worker",P28)),ISNUMBER(SEARCH("salary",P28))),"Labour &amp; employment",IF(OR(ISNUMBER(SEARCH("rti",P28)),ISNUMBER(SEARCH("transparency",P28)),ISNUMBER(SEARCH("corruption",P28)),ISNUMBER(SEARCH("governance",P28))),"Governance &amp; transparency",IF(OR(ISNUMBER(SEARCH("police",P28)),ISNUMBER(SEARCH("detention",P28)),ISNUMBER(SEARCH("civil rights",P28)),ISNUMBER(SEARCH("justice",P28))),"Civil rights &amp; justice",IF(OR(ISNUMBER(SEARCH("road",P28)),ISNUMBER(SEARCH("utility",P28)),ISNUMBER(SEARCH("infrastructure",P28)),ISNUMBER(SEARCH("public service",P28))),"Infrastructure &amp; public services","Other"))))))))))))</x:f>
      </x:c>
      <x:c r="J28" s="16" t="str">
        <x:f>IF(A28="","",IF(OR(ISNUMBER(SEARCH("fatal",Q28)),ISNUMBER(SEARCH("death",Q28)),ISNUMBER(SEARCH("riot",Q28)),ISNUMBER(SEARCH("curfew",Q28)),ISNUMBER(SEARCH("internet shutdown",Q28))),5,MIN(4,1+IF(H28&gt;=7,1,0)+IF(OR(ISNUMBER(SEARCH("hunger strike",Q28)),ISNUMBER(SEARCH("blockade",Q28)),ISNUMBER(SEARCH("strike",Q28)),ISNUMBER(SEARCH("jal satyagraha",Q28)),ISNUMBER(SEARCH("survey",Q28)),ISNUMBER(SEARCH("human chain",Q28)),ISNUMBER(SEARCH("march",Q28))),1,0)+IF(OR(ISNUMBER(SEARCH("fir",Q28)),ISNUMBER(SEARCH("confrontation",Q28)),ISNUMBER(SEARCH("violence",Q28)),ISNUMBER(SEARCH("detention",Q28)),ISNUMBER(SEARCH("arrest",Q28)),ISNUMBER(SEARCH("demolition",Q28)),ISNUMBER(SEARCH("injury",Q28))),1,0)+IF(OR(D28="Ongoing",D28="Unresolved"),1,0))))</x:f>
      </x:c>
      <x:c r="K28" s="16" t="str">
        <x:f>IF(J28="","",IF(J28=1,"Limited",IF(J28=2,"Local",IF(J28=3,"Significant",IF(J28=4,"High","Critical")))))</x:f>
      </x:c>
      <x:c r="L28" s="16" t="str">
        <x:f>IF(A28="","",Events!U27)</x:f>
      </x:c>
      <x:c r="M28" s="16" t="str">
        <x:f>IF(A28="","",Events!V27)</x:f>
      </x:c>
      <x:c r="N28" s="16" t="str">
        <x:f>IF(A28="","",Events!Q27)</x:f>
      </x:c>
      <x:c r="O28" s="16" t="str">
        <x:f>IF(A28="","",Events!R27)</x:f>
      </x:c>
      <x:c r="P28" s="16" t="str">
        <x:f>IF(A28="","",LOWER(Events!B27&amp;" "&amp;Events!D27&amp;" "&amp;Events!K27))</x:f>
      </x:c>
      <x:c r="Q28" s="16" t="str">
        <x:f>IF(A28="","",LOWER(Events!C27&amp;" "&amp;Events!K27&amp;" "&amp;Events!T27))</x:f>
      </x:c>
      <x:c r="R28" s="16" t="str">
        <x:f>IF(A28="","",IF(ISNUMBER(SEARCH("Occurrence verified",E28)),"Occurrence verified",E28))</x:f>
      </x:c>
      <x:c r="S28" s="79" t="str">
        <x:f>IF(A28="","",Events!X27)</x:f>
      </x:c>
      <x:c r="T28" t="str">
        <x:v>Telangana</x:v>
      </x:c>
      <x:c r="U28" t="n">
        <x:f>COUNTIF($C$6:$C$1001,T28)</x:f>
        <x:v>0</x:v>
      </x:c>
      <x:c r="V28" t="n">
        <x:f>U28*1000+(100-ROW())/1000</x:f>
        <x:v>0.072</x:v>
      </x:c>
      <x:c r="Z28" s="79" t="str">
        <x:f>IF(A28="","",Events!AD27)</x:f>
      </x:c>
      <x:c r="AA28" s="79" t="str">
        <x:f>IF(A28="","",Events!AE27)</x:f>
      </x:c>
    </x:row>
    <x:row r="29">
      <x:c r="A29" s="16" t="str">
        <x:f>IF(Events!A28="","",Events!A28)</x:f>
      </x:c>
      <x:c r="B29" s="16" t="str">
        <x:f>IF(A29="","",Events!B28)</x:f>
      </x:c>
      <x:c r="C29" s="16" t="str">
        <x:f>IF(A29="","",Events!E28)</x:f>
      </x:c>
      <x:c r="D29" s="16" t="str">
        <x:f>IF(A29="","",Events!J28)</x:f>
      </x:c>
      <x:c r="E29" s="16" t="str">
        <x:f>IF(A29="","",Events!N28)</x:f>
      </x:c>
      <x:c r="F29" s="109" t="str">
        <x:f>IF(OR(A29="",Events!H28=""),"",Events!H28)</x:f>
      </x:c>
      <x:c r="G29" s="109" t="str">
        <x:f>IF(A29="","",IF(Events!I28&lt;&gt;"",Events!I28,IF(Events!S28&lt;&gt;"",Events!S28,"")))</x:f>
      </x:c>
      <x:c r="H29" s="16" t="str">
        <x:f>IF(A29="","",Events!W28)</x:f>
      </x:c>
      <x:c r="I29" s="16" t="str">
        <x:f>IF(A29="","",IF(Events!Y28&lt;&gt;"",Events!Y28,IF(OR(ISNUMBER(SEARCH("education",P29)),ISNUMBER(SEARCH("exam",P29)),ISNUMBER(SEARCH("school",P29))),"Education",IF(OR(ISNUMBER(SEARCH("trade agreement",P29)),ISNUMBER(SEARCH("economic",P29)),ISNUMBER(SEARCH("import",P29))),"Trade &amp; economic policy",IF(OR(ISNUMBER(SEARCH("land acquisition",P29)),ISNUMBER(SEARCH("rehabilitation",P29)),ISNUMBER(SEARCH("displacement",P29)),ISNUMBER(SEARCH("township",P29))),"Land &amp; rehabilitation",IF(OR(ISNUMBER(SEARCH("forest",P29)),ISNUMBER(SEARCH("environment",P29)),ISNUMBER(SEARCH("ecological",P29)),ISNUMBER(SEARCH("biodiversity",P29)),ISNUMBER(SEARCH("green cover",P29))),"Environment",IF(OR(ISNUMBER(SEARCH("irrigation",P29)),ISNUMBER(SEARCH("water",P29)),ISNUMBER(SEARCH("crop",P29)),ISNUMBER(SEARCH("farmer",P29)),ISNUMBER(SEARCH("agriculture",P29))),"Agriculture &amp; water",IF(OR(ISNUMBER(SEARCH("health",P29)),ISNUMBER(SEARCH("hospital",P29)),ISNUMBER(SEARCH("medicine",P29))),"Public health",IF(OR(ISNUMBER(SEARCH("employee",P29)),ISNUMBER(SEARCH("labour",P29)),ISNUMBER(SEARCH("worker",P29)),ISNUMBER(SEARCH("salary",P29))),"Labour &amp; employment",IF(OR(ISNUMBER(SEARCH("rti",P29)),ISNUMBER(SEARCH("transparency",P29)),ISNUMBER(SEARCH("corruption",P29)),ISNUMBER(SEARCH("governance",P29))),"Governance &amp; transparency",IF(OR(ISNUMBER(SEARCH("police",P29)),ISNUMBER(SEARCH("detention",P29)),ISNUMBER(SEARCH("civil rights",P29)),ISNUMBER(SEARCH("justice",P29))),"Civil rights &amp; justice",IF(OR(ISNUMBER(SEARCH("road",P29)),ISNUMBER(SEARCH("utility",P29)),ISNUMBER(SEARCH("infrastructure",P29)),ISNUMBER(SEARCH("public service",P29))),"Infrastructure &amp; public services","Other"))))))))))))</x:f>
      </x:c>
      <x:c r="J29" s="16" t="str">
        <x:f>IF(A29="","",IF(OR(ISNUMBER(SEARCH("fatal",Q29)),ISNUMBER(SEARCH("death",Q29)),ISNUMBER(SEARCH("riot",Q29)),ISNUMBER(SEARCH("curfew",Q29)),ISNUMBER(SEARCH("internet shutdown",Q29))),5,MIN(4,1+IF(H29&gt;=7,1,0)+IF(OR(ISNUMBER(SEARCH("hunger strike",Q29)),ISNUMBER(SEARCH("blockade",Q29)),ISNUMBER(SEARCH("strike",Q29)),ISNUMBER(SEARCH("jal satyagraha",Q29)),ISNUMBER(SEARCH("survey",Q29)),ISNUMBER(SEARCH("human chain",Q29)),ISNUMBER(SEARCH("march",Q29))),1,0)+IF(OR(ISNUMBER(SEARCH("fir",Q29)),ISNUMBER(SEARCH("confrontation",Q29)),ISNUMBER(SEARCH("violence",Q29)),ISNUMBER(SEARCH("detention",Q29)),ISNUMBER(SEARCH("arrest",Q29)),ISNUMBER(SEARCH("demolition",Q29)),ISNUMBER(SEARCH("injury",Q29))),1,0)+IF(OR(D29="Ongoing",D29="Unresolved"),1,0))))</x:f>
      </x:c>
      <x:c r="K29" s="16" t="str">
        <x:f>IF(J29="","",IF(J29=1,"Limited",IF(J29=2,"Local",IF(J29=3,"Significant",IF(J29=4,"High","Critical")))))</x:f>
      </x:c>
      <x:c r="L29" s="16" t="str">
        <x:f>IF(A29="","",Events!U28)</x:f>
      </x:c>
      <x:c r="M29" s="16" t="str">
        <x:f>IF(A29="","",Events!V28)</x:f>
      </x:c>
      <x:c r="N29" s="16" t="str">
        <x:f>IF(A29="","",Events!Q28)</x:f>
      </x:c>
      <x:c r="O29" s="16" t="str">
        <x:f>IF(A29="","",Events!R28)</x:f>
      </x:c>
      <x:c r="P29" s="16" t="str">
        <x:f>IF(A29="","",LOWER(Events!B28&amp;" "&amp;Events!D28&amp;" "&amp;Events!K28))</x:f>
      </x:c>
      <x:c r="Q29" s="16" t="str">
        <x:f>IF(A29="","",LOWER(Events!C28&amp;" "&amp;Events!K28&amp;" "&amp;Events!T28))</x:f>
      </x:c>
      <x:c r="R29" s="16" t="str">
        <x:f>IF(A29="","",IF(ISNUMBER(SEARCH("Occurrence verified",E29)),"Occurrence verified",E29))</x:f>
      </x:c>
      <x:c r="S29" s="79" t="str">
        <x:f>IF(A29="","",Events!X28)</x:f>
      </x:c>
      <x:c r="T29" t="str">
        <x:v>Tripura</x:v>
      </x:c>
      <x:c r="U29" t="n">
        <x:f>COUNTIF($C$6:$C$1001,T29)</x:f>
        <x:v>0</x:v>
      </x:c>
      <x:c r="V29" t="n">
        <x:f>U29*1000+(100-ROW())/1000</x:f>
        <x:v>0.071</x:v>
      </x:c>
      <x:c r="Z29" s="79" t="str">
        <x:f>IF(A29="","",Events!AD28)</x:f>
      </x:c>
      <x:c r="AA29" s="79" t="str">
        <x:f>IF(A29="","",Events!AE28)</x:f>
      </x:c>
    </x:row>
    <x:row r="30">
      <x:c r="A30" s="16" t="str">
        <x:f>IF(Events!A29="","",Events!A29)</x:f>
      </x:c>
      <x:c r="B30" s="16" t="str">
        <x:f>IF(A30="","",Events!B29)</x:f>
      </x:c>
      <x:c r="C30" s="16" t="str">
        <x:f>IF(A30="","",Events!E29)</x:f>
      </x:c>
      <x:c r="D30" s="16" t="str">
        <x:f>IF(A30="","",Events!J29)</x:f>
      </x:c>
      <x:c r="E30" s="16" t="str">
        <x:f>IF(A30="","",Events!N29)</x:f>
      </x:c>
      <x:c r="F30" s="109" t="str">
        <x:f>IF(OR(A30="",Events!H29=""),"",Events!H29)</x:f>
      </x:c>
      <x:c r="G30" s="109" t="str">
        <x:f>IF(A30="","",IF(Events!I29&lt;&gt;"",Events!I29,IF(Events!S29&lt;&gt;"",Events!S29,"")))</x:f>
      </x:c>
      <x:c r="H30" s="16" t="str">
        <x:f>IF(A30="","",Events!W29)</x:f>
      </x:c>
      <x:c r="I30" s="16" t="str">
        <x:f>IF(A30="","",IF(Events!Y29&lt;&gt;"",Events!Y29,IF(OR(ISNUMBER(SEARCH("education",P30)),ISNUMBER(SEARCH("exam",P30)),ISNUMBER(SEARCH("school",P30))),"Education",IF(OR(ISNUMBER(SEARCH("trade agreement",P30)),ISNUMBER(SEARCH("economic",P30)),ISNUMBER(SEARCH("import",P30))),"Trade &amp; economic policy",IF(OR(ISNUMBER(SEARCH("land acquisition",P30)),ISNUMBER(SEARCH("rehabilitation",P30)),ISNUMBER(SEARCH("displacement",P30)),ISNUMBER(SEARCH("township",P30))),"Land &amp; rehabilitation",IF(OR(ISNUMBER(SEARCH("forest",P30)),ISNUMBER(SEARCH("environment",P30)),ISNUMBER(SEARCH("ecological",P30)),ISNUMBER(SEARCH("biodiversity",P30)),ISNUMBER(SEARCH("green cover",P30))),"Environment",IF(OR(ISNUMBER(SEARCH("irrigation",P30)),ISNUMBER(SEARCH("water",P30)),ISNUMBER(SEARCH("crop",P30)),ISNUMBER(SEARCH("farmer",P30)),ISNUMBER(SEARCH("agriculture",P30))),"Agriculture &amp; water",IF(OR(ISNUMBER(SEARCH("health",P30)),ISNUMBER(SEARCH("hospital",P30)),ISNUMBER(SEARCH("medicine",P30))),"Public health",IF(OR(ISNUMBER(SEARCH("employee",P30)),ISNUMBER(SEARCH("labour",P30)),ISNUMBER(SEARCH("worker",P30)),ISNUMBER(SEARCH("salary",P30))),"Labour &amp; employment",IF(OR(ISNUMBER(SEARCH("rti",P30)),ISNUMBER(SEARCH("transparency",P30)),ISNUMBER(SEARCH("corruption",P30)),ISNUMBER(SEARCH("governance",P30))),"Governance &amp; transparency",IF(OR(ISNUMBER(SEARCH("police",P30)),ISNUMBER(SEARCH("detention",P30)),ISNUMBER(SEARCH("civil rights",P30)),ISNUMBER(SEARCH("justice",P30))),"Civil rights &amp; justice",IF(OR(ISNUMBER(SEARCH("road",P30)),ISNUMBER(SEARCH("utility",P30)),ISNUMBER(SEARCH("infrastructure",P30)),ISNUMBER(SEARCH("public service",P30))),"Infrastructure &amp; public services","Other"))))))))))))</x:f>
      </x:c>
      <x:c r="J30" s="16" t="str">
        <x:f>IF(A30="","",IF(OR(ISNUMBER(SEARCH("fatal",Q30)),ISNUMBER(SEARCH("death",Q30)),ISNUMBER(SEARCH("riot",Q30)),ISNUMBER(SEARCH("curfew",Q30)),ISNUMBER(SEARCH("internet shutdown",Q30))),5,MIN(4,1+IF(H30&gt;=7,1,0)+IF(OR(ISNUMBER(SEARCH("hunger strike",Q30)),ISNUMBER(SEARCH("blockade",Q30)),ISNUMBER(SEARCH("strike",Q30)),ISNUMBER(SEARCH("jal satyagraha",Q30)),ISNUMBER(SEARCH("survey",Q30)),ISNUMBER(SEARCH("human chain",Q30)),ISNUMBER(SEARCH("march",Q30))),1,0)+IF(OR(ISNUMBER(SEARCH("fir",Q30)),ISNUMBER(SEARCH("confrontation",Q30)),ISNUMBER(SEARCH("violence",Q30)),ISNUMBER(SEARCH("detention",Q30)),ISNUMBER(SEARCH("arrest",Q30)),ISNUMBER(SEARCH("demolition",Q30)),ISNUMBER(SEARCH("injury",Q30))),1,0)+IF(OR(D30="Ongoing",D30="Unresolved"),1,0))))</x:f>
      </x:c>
      <x:c r="K30" s="16" t="str">
        <x:f>IF(J30="","",IF(J30=1,"Limited",IF(J30=2,"Local",IF(J30=3,"Significant",IF(J30=4,"High","Critical")))))</x:f>
      </x:c>
      <x:c r="L30" s="16" t="str">
        <x:f>IF(A30="","",Events!U29)</x:f>
      </x:c>
      <x:c r="M30" s="16" t="str">
        <x:f>IF(A30="","",Events!V29)</x:f>
      </x:c>
      <x:c r="N30" s="16" t="str">
        <x:f>IF(A30="","",Events!Q29)</x:f>
      </x:c>
      <x:c r="O30" s="16" t="str">
        <x:f>IF(A30="","",Events!R29)</x:f>
      </x:c>
      <x:c r="P30" s="16" t="str">
        <x:f>IF(A30="","",LOWER(Events!B29&amp;" "&amp;Events!D29&amp;" "&amp;Events!K29))</x:f>
      </x:c>
      <x:c r="Q30" s="16" t="str">
        <x:f>IF(A30="","",LOWER(Events!C29&amp;" "&amp;Events!K29&amp;" "&amp;Events!T29))</x:f>
      </x:c>
      <x:c r="R30" s="16" t="str">
        <x:f>IF(A30="","",IF(ISNUMBER(SEARCH("Occurrence verified",E30)),"Occurrence verified",E30))</x:f>
      </x:c>
      <x:c r="S30" s="79" t="str">
        <x:f>IF(A30="","",Events!X29)</x:f>
      </x:c>
      <x:c r="T30" t="str">
        <x:v>Uttar Pradesh</x:v>
      </x:c>
      <x:c r="U30" t="n">
        <x:f>COUNTIF($C$6:$C$1001,T30)</x:f>
        <x:v>1</x:v>
      </x:c>
      <x:c r="V30" t="n">
        <x:f>U30*1000+(100-ROW())/1000</x:f>
        <x:v>1000.07</x:v>
      </x:c>
      <x:c r="Z30" s="79" t="str">
        <x:f>IF(A30="","",Events!AD29)</x:f>
      </x:c>
      <x:c r="AA30" s="79" t="str">
        <x:f>IF(A30="","",Events!AE29)</x:f>
      </x:c>
    </x:row>
    <x:row r="31">
      <x:c r="A31" s="16" t="str">
        <x:f>IF(Events!A30="","",Events!A30)</x:f>
      </x:c>
      <x:c r="B31" s="16" t="str">
        <x:f>IF(A31="","",Events!B30)</x:f>
      </x:c>
      <x:c r="C31" s="16" t="str">
        <x:f>IF(A31="","",Events!E30)</x:f>
      </x:c>
      <x:c r="D31" s="16" t="str">
        <x:f>IF(A31="","",Events!J30)</x:f>
      </x:c>
      <x:c r="E31" s="16" t="str">
        <x:f>IF(A31="","",Events!N30)</x:f>
      </x:c>
      <x:c r="F31" s="109" t="str">
        <x:f>IF(OR(A31="",Events!H30=""),"",Events!H30)</x:f>
      </x:c>
      <x:c r="G31" s="109" t="str">
        <x:f>IF(A31="","",IF(Events!I30&lt;&gt;"",Events!I30,IF(Events!S30&lt;&gt;"",Events!S30,"")))</x:f>
      </x:c>
      <x:c r="H31" s="16" t="str">
        <x:f>IF(A31="","",Events!W30)</x:f>
      </x:c>
      <x:c r="I31" s="16" t="str">
        <x:f>IF(A31="","",IF(Events!Y30&lt;&gt;"",Events!Y30,IF(OR(ISNUMBER(SEARCH("education",P31)),ISNUMBER(SEARCH("exam",P31)),ISNUMBER(SEARCH("school",P31))),"Education",IF(OR(ISNUMBER(SEARCH("trade agreement",P31)),ISNUMBER(SEARCH("economic",P31)),ISNUMBER(SEARCH("import",P31))),"Trade &amp; economic policy",IF(OR(ISNUMBER(SEARCH("land acquisition",P31)),ISNUMBER(SEARCH("rehabilitation",P31)),ISNUMBER(SEARCH("displacement",P31)),ISNUMBER(SEARCH("township",P31))),"Land &amp; rehabilitation",IF(OR(ISNUMBER(SEARCH("forest",P31)),ISNUMBER(SEARCH("environment",P31)),ISNUMBER(SEARCH("ecological",P31)),ISNUMBER(SEARCH("biodiversity",P31)),ISNUMBER(SEARCH("green cover",P31))),"Environment",IF(OR(ISNUMBER(SEARCH("irrigation",P31)),ISNUMBER(SEARCH("water",P31)),ISNUMBER(SEARCH("crop",P31)),ISNUMBER(SEARCH("farmer",P31)),ISNUMBER(SEARCH("agriculture",P31))),"Agriculture &amp; water",IF(OR(ISNUMBER(SEARCH("health",P31)),ISNUMBER(SEARCH("hospital",P31)),ISNUMBER(SEARCH("medicine",P31))),"Public health",IF(OR(ISNUMBER(SEARCH("employee",P31)),ISNUMBER(SEARCH("labour",P31)),ISNUMBER(SEARCH("worker",P31)),ISNUMBER(SEARCH("salary",P31))),"Labour &amp; employment",IF(OR(ISNUMBER(SEARCH("rti",P31)),ISNUMBER(SEARCH("transparency",P31)),ISNUMBER(SEARCH("corruption",P31)),ISNUMBER(SEARCH("governance",P31))),"Governance &amp; transparency",IF(OR(ISNUMBER(SEARCH("police",P31)),ISNUMBER(SEARCH("detention",P31)),ISNUMBER(SEARCH("civil rights",P31)),ISNUMBER(SEARCH("justice",P31))),"Civil rights &amp; justice",IF(OR(ISNUMBER(SEARCH("road",P31)),ISNUMBER(SEARCH("utility",P31)),ISNUMBER(SEARCH("infrastructure",P31)),ISNUMBER(SEARCH("public service",P31))),"Infrastructure &amp; public services","Other"))))))))))))</x:f>
      </x:c>
      <x:c r="J31" s="16" t="str">
        <x:f>IF(A31="","",IF(OR(ISNUMBER(SEARCH("fatal",Q31)),ISNUMBER(SEARCH("death",Q31)),ISNUMBER(SEARCH("riot",Q31)),ISNUMBER(SEARCH("curfew",Q31)),ISNUMBER(SEARCH("internet shutdown",Q31))),5,MIN(4,1+IF(H31&gt;=7,1,0)+IF(OR(ISNUMBER(SEARCH("hunger strike",Q31)),ISNUMBER(SEARCH("blockade",Q31)),ISNUMBER(SEARCH("strike",Q31)),ISNUMBER(SEARCH("jal satyagraha",Q31)),ISNUMBER(SEARCH("survey",Q31)),ISNUMBER(SEARCH("human chain",Q31)),ISNUMBER(SEARCH("march",Q31))),1,0)+IF(OR(ISNUMBER(SEARCH("fir",Q31)),ISNUMBER(SEARCH("confrontation",Q31)),ISNUMBER(SEARCH("violence",Q31)),ISNUMBER(SEARCH("detention",Q31)),ISNUMBER(SEARCH("arrest",Q31)),ISNUMBER(SEARCH("demolition",Q31)),ISNUMBER(SEARCH("injury",Q31))),1,0)+IF(OR(D31="Ongoing",D31="Unresolved"),1,0))))</x:f>
      </x:c>
      <x:c r="K31" s="16" t="str">
        <x:f>IF(J31="","",IF(J31=1,"Limited",IF(J31=2,"Local",IF(J31=3,"Significant",IF(J31=4,"High","Critical")))))</x:f>
      </x:c>
      <x:c r="L31" s="16" t="str">
        <x:f>IF(A31="","",Events!U30)</x:f>
      </x:c>
      <x:c r="M31" s="16" t="str">
        <x:f>IF(A31="","",Events!V30)</x:f>
      </x:c>
      <x:c r="N31" s="16" t="str">
        <x:f>IF(A31="","",Events!Q30)</x:f>
      </x:c>
      <x:c r="O31" s="16" t="str">
        <x:f>IF(A31="","",Events!R30)</x:f>
      </x:c>
      <x:c r="P31" s="16" t="str">
        <x:f>IF(A31="","",LOWER(Events!B30&amp;" "&amp;Events!D30&amp;" "&amp;Events!K30))</x:f>
      </x:c>
      <x:c r="Q31" s="16" t="str">
        <x:f>IF(A31="","",LOWER(Events!C30&amp;" "&amp;Events!K30&amp;" "&amp;Events!T30))</x:f>
      </x:c>
      <x:c r="R31" s="16" t="str">
        <x:f>IF(A31="","",IF(ISNUMBER(SEARCH("Occurrence verified",E31)),"Occurrence verified",E31))</x:f>
      </x:c>
      <x:c r="S31" s="79" t="str">
        <x:f>IF(A31="","",Events!X30)</x:f>
      </x:c>
      <x:c r="T31" t="str">
        <x:v>Uttarakhand</x:v>
      </x:c>
      <x:c r="U31" t="n">
        <x:f>COUNTIF($C$6:$C$1001,T31)</x:f>
        <x:v>0</x:v>
      </x:c>
      <x:c r="V31" t="n">
        <x:f>U31*1000+(100-ROW())/1000</x:f>
        <x:v>0.069</x:v>
      </x:c>
      <x:c r="Z31" s="79" t="str">
        <x:f>IF(A31="","",Events!AD30)</x:f>
      </x:c>
      <x:c r="AA31" s="79" t="str">
        <x:f>IF(A31="","",Events!AE30)</x:f>
      </x:c>
    </x:row>
    <x:row r="32">
      <x:c r="A32" s="16" t="str">
        <x:f>IF(Events!A31="","",Events!A31)</x:f>
      </x:c>
      <x:c r="B32" s="16" t="str">
        <x:f>IF(A32="","",Events!B31)</x:f>
      </x:c>
      <x:c r="C32" s="16" t="str">
        <x:f>IF(A32="","",Events!E31)</x:f>
      </x:c>
      <x:c r="D32" s="16" t="str">
        <x:f>IF(A32="","",Events!J31)</x:f>
      </x:c>
      <x:c r="E32" s="16" t="str">
        <x:f>IF(A32="","",Events!N31)</x:f>
      </x:c>
      <x:c r="F32" s="109" t="str">
        <x:f>IF(OR(A32="",Events!H31=""),"",Events!H31)</x:f>
      </x:c>
      <x:c r="G32" s="109" t="str">
        <x:f>IF(A32="","",IF(Events!I31&lt;&gt;"",Events!I31,IF(Events!S31&lt;&gt;"",Events!S31,"")))</x:f>
      </x:c>
      <x:c r="H32" s="16" t="str">
        <x:f>IF(A32="","",Events!W31)</x:f>
      </x:c>
      <x:c r="I32" s="16" t="str">
        <x:f>IF(A32="","",IF(Events!Y31&lt;&gt;"",Events!Y31,IF(OR(ISNUMBER(SEARCH("education",P32)),ISNUMBER(SEARCH("exam",P32)),ISNUMBER(SEARCH("school",P32))),"Education",IF(OR(ISNUMBER(SEARCH("trade agreement",P32)),ISNUMBER(SEARCH("economic",P32)),ISNUMBER(SEARCH("import",P32))),"Trade &amp; economic policy",IF(OR(ISNUMBER(SEARCH("land acquisition",P32)),ISNUMBER(SEARCH("rehabilitation",P32)),ISNUMBER(SEARCH("displacement",P32)),ISNUMBER(SEARCH("township",P32))),"Land &amp; rehabilitation",IF(OR(ISNUMBER(SEARCH("forest",P32)),ISNUMBER(SEARCH("environment",P32)),ISNUMBER(SEARCH("ecological",P32)),ISNUMBER(SEARCH("biodiversity",P32)),ISNUMBER(SEARCH("green cover",P32))),"Environment",IF(OR(ISNUMBER(SEARCH("irrigation",P32)),ISNUMBER(SEARCH("water",P32)),ISNUMBER(SEARCH("crop",P32)),ISNUMBER(SEARCH("farmer",P32)),ISNUMBER(SEARCH("agriculture",P32))),"Agriculture &amp; water",IF(OR(ISNUMBER(SEARCH("health",P32)),ISNUMBER(SEARCH("hospital",P32)),ISNUMBER(SEARCH("medicine",P32))),"Public health",IF(OR(ISNUMBER(SEARCH("employee",P32)),ISNUMBER(SEARCH("labour",P32)),ISNUMBER(SEARCH("worker",P32)),ISNUMBER(SEARCH("salary",P32))),"Labour &amp; employment",IF(OR(ISNUMBER(SEARCH("rti",P32)),ISNUMBER(SEARCH("transparency",P32)),ISNUMBER(SEARCH("corruption",P32)),ISNUMBER(SEARCH("governance",P32))),"Governance &amp; transparency",IF(OR(ISNUMBER(SEARCH("police",P32)),ISNUMBER(SEARCH("detention",P32)),ISNUMBER(SEARCH("civil rights",P32)),ISNUMBER(SEARCH("justice",P32))),"Civil rights &amp; justice",IF(OR(ISNUMBER(SEARCH("road",P32)),ISNUMBER(SEARCH("utility",P32)),ISNUMBER(SEARCH("infrastructure",P32)),ISNUMBER(SEARCH("public service",P32))),"Infrastructure &amp; public services","Other"))))))))))))</x:f>
      </x:c>
      <x:c r="J32" s="16" t="str">
        <x:f>IF(A32="","",IF(OR(ISNUMBER(SEARCH("fatal",Q32)),ISNUMBER(SEARCH("death",Q32)),ISNUMBER(SEARCH("riot",Q32)),ISNUMBER(SEARCH("curfew",Q32)),ISNUMBER(SEARCH("internet shutdown",Q32))),5,MIN(4,1+IF(H32&gt;=7,1,0)+IF(OR(ISNUMBER(SEARCH("hunger strike",Q32)),ISNUMBER(SEARCH("blockade",Q32)),ISNUMBER(SEARCH("strike",Q32)),ISNUMBER(SEARCH("jal satyagraha",Q32)),ISNUMBER(SEARCH("survey",Q32)),ISNUMBER(SEARCH("human chain",Q32)),ISNUMBER(SEARCH("march",Q32))),1,0)+IF(OR(ISNUMBER(SEARCH("fir",Q32)),ISNUMBER(SEARCH("confrontation",Q32)),ISNUMBER(SEARCH("violence",Q32)),ISNUMBER(SEARCH("detention",Q32)),ISNUMBER(SEARCH("arrest",Q32)),ISNUMBER(SEARCH("demolition",Q32)),ISNUMBER(SEARCH("injury",Q32))),1,0)+IF(OR(D32="Ongoing",D32="Unresolved"),1,0))))</x:f>
      </x:c>
      <x:c r="K32" s="16" t="str">
        <x:f>IF(J32="","",IF(J32=1,"Limited",IF(J32=2,"Local",IF(J32=3,"Significant",IF(J32=4,"High","Critical")))))</x:f>
      </x:c>
      <x:c r="L32" s="16" t="str">
        <x:f>IF(A32="","",Events!U31)</x:f>
      </x:c>
      <x:c r="M32" s="16" t="str">
        <x:f>IF(A32="","",Events!V31)</x:f>
      </x:c>
      <x:c r="N32" s="16" t="str">
        <x:f>IF(A32="","",Events!Q31)</x:f>
      </x:c>
      <x:c r="O32" s="16" t="str">
        <x:f>IF(A32="","",Events!R31)</x:f>
      </x:c>
      <x:c r="P32" s="16" t="str">
        <x:f>IF(A32="","",LOWER(Events!B31&amp;" "&amp;Events!D31&amp;" "&amp;Events!K31))</x:f>
      </x:c>
      <x:c r="Q32" s="16" t="str">
        <x:f>IF(A32="","",LOWER(Events!C31&amp;" "&amp;Events!K31&amp;" "&amp;Events!T31))</x:f>
      </x:c>
      <x:c r="R32" s="16" t="str">
        <x:f>IF(A32="","",IF(ISNUMBER(SEARCH("Occurrence verified",E32)),"Occurrence verified",E32))</x:f>
      </x:c>
      <x:c r="S32" s="79" t="str">
        <x:f>IF(A32="","",Events!X31)</x:f>
      </x:c>
      <x:c r="T32" t="str">
        <x:v>West Bengal</x:v>
      </x:c>
      <x:c r="U32" t="n">
        <x:f>COUNTIF($C$6:$C$1001,T32)</x:f>
        <x:v>0</x:v>
      </x:c>
      <x:c r="V32" t="n">
        <x:f>U32*1000+(100-ROW())/1000</x:f>
        <x:v>0.068</x:v>
      </x:c>
      <x:c r="Z32" s="79" t="str">
        <x:f>IF(A32="","",Events!AD31)</x:f>
      </x:c>
      <x:c r="AA32" s="79" t="str">
        <x:f>IF(A32="","",Events!AE31)</x:f>
      </x:c>
    </x:row>
    <x:row r="33">
      <x:c r="A33" s="16" t="str">
        <x:f>IF(Events!A32="","",Events!A32)</x:f>
      </x:c>
      <x:c r="B33" s="16" t="str">
        <x:f>IF(A33="","",Events!B32)</x:f>
      </x:c>
      <x:c r="C33" s="16" t="str">
        <x:f>IF(A33="","",Events!E32)</x:f>
      </x:c>
      <x:c r="D33" s="16" t="str">
        <x:f>IF(A33="","",Events!J32)</x:f>
      </x:c>
      <x:c r="E33" s="16" t="str">
        <x:f>IF(A33="","",Events!N32)</x:f>
      </x:c>
      <x:c r="F33" s="109" t="str">
        <x:f>IF(OR(A33="",Events!H32=""),"",Events!H32)</x:f>
      </x:c>
      <x:c r="G33" s="109" t="str">
        <x:f>IF(A33="","",IF(Events!I32&lt;&gt;"",Events!I32,IF(Events!S32&lt;&gt;"",Events!S32,"")))</x:f>
      </x:c>
      <x:c r="H33" s="16" t="str">
        <x:f>IF(A33="","",Events!W32)</x:f>
      </x:c>
      <x:c r="I33" s="16" t="str">
        <x:f>IF(A33="","",IF(Events!Y32&lt;&gt;"",Events!Y32,IF(OR(ISNUMBER(SEARCH("education",P33)),ISNUMBER(SEARCH("exam",P33)),ISNUMBER(SEARCH("school",P33))),"Education",IF(OR(ISNUMBER(SEARCH("trade agreement",P33)),ISNUMBER(SEARCH("economic",P33)),ISNUMBER(SEARCH("import",P33))),"Trade &amp; economic policy",IF(OR(ISNUMBER(SEARCH("land acquisition",P33)),ISNUMBER(SEARCH("rehabilitation",P33)),ISNUMBER(SEARCH("displacement",P33)),ISNUMBER(SEARCH("township",P33))),"Land &amp; rehabilitation",IF(OR(ISNUMBER(SEARCH("forest",P33)),ISNUMBER(SEARCH("environment",P33)),ISNUMBER(SEARCH("ecological",P33)),ISNUMBER(SEARCH("biodiversity",P33)),ISNUMBER(SEARCH("green cover",P33))),"Environment",IF(OR(ISNUMBER(SEARCH("irrigation",P33)),ISNUMBER(SEARCH("water",P33)),ISNUMBER(SEARCH("crop",P33)),ISNUMBER(SEARCH("farmer",P33)),ISNUMBER(SEARCH("agriculture",P33))),"Agriculture &amp; water",IF(OR(ISNUMBER(SEARCH("health",P33)),ISNUMBER(SEARCH("hospital",P33)),ISNUMBER(SEARCH("medicine",P33))),"Public health",IF(OR(ISNUMBER(SEARCH("employee",P33)),ISNUMBER(SEARCH("labour",P33)),ISNUMBER(SEARCH("worker",P33)),ISNUMBER(SEARCH("salary",P33))),"Labour &amp; employment",IF(OR(ISNUMBER(SEARCH("rti",P33)),ISNUMBER(SEARCH("transparency",P33)),ISNUMBER(SEARCH("corruption",P33)),ISNUMBER(SEARCH("governance",P33))),"Governance &amp; transparency",IF(OR(ISNUMBER(SEARCH("police",P33)),ISNUMBER(SEARCH("detention",P33)),ISNUMBER(SEARCH("civil rights",P33)),ISNUMBER(SEARCH("justice",P33))),"Civil rights &amp; justice",IF(OR(ISNUMBER(SEARCH("road",P33)),ISNUMBER(SEARCH("utility",P33)),ISNUMBER(SEARCH("infrastructure",P33)),ISNUMBER(SEARCH("public service",P33))),"Infrastructure &amp; public services","Other"))))))))))))</x:f>
      </x:c>
      <x:c r="J33" s="16" t="str">
        <x:f>IF(A33="","",IF(OR(ISNUMBER(SEARCH("fatal",Q33)),ISNUMBER(SEARCH("death",Q33)),ISNUMBER(SEARCH("riot",Q33)),ISNUMBER(SEARCH("curfew",Q33)),ISNUMBER(SEARCH("internet shutdown",Q33))),5,MIN(4,1+IF(H33&gt;=7,1,0)+IF(OR(ISNUMBER(SEARCH("hunger strike",Q33)),ISNUMBER(SEARCH("blockade",Q33)),ISNUMBER(SEARCH("strike",Q33)),ISNUMBER(SEARCH("jal satyagraha",Q33)),ISNUMBER(SEARCH("survey",Q33)),ISNUMBER(SEARCH("human chain",Q33)),ISNUMBER(SEARCH("march",Q33))),1,0)+IF(OR(ISNUMBER(SEARCH("fir",Q33)),ISNUMBER(SEARCH("confrontation",Q33)),ISNUMBER(SEARCH("violence",Q33)),ISNUMBER(SEARCH("detention",Q33)),ISNUMBER(SEARCH("arrest",Q33)),ISNUMBER(SEARCH("demolition",Q33)),ISNUMBER(SEARCH("injury",Q33))),1,0)+IF(OR(D33="Ongoing",D33="Unresolved"),1,0))))</x:f>
      </x:c>
      <x:c r="K33" s="16" t="str">
        <x:f>IF(J33="","",IF(J33=1,"Limited",IF(J33=2,"Local",IF(J33=3,"Significant",IF(J33=4,"High","Critical")))))</x:f>
      </x:c>
      <x:c r="L33" s="16" t="str">
        <x:f>IF(A33="","",Events!U32)</x:f>
      </x:c>
      <x:c r="M33" s="16" t="str">
        <x:f>IF(A33="","",Events!V32)</x:f>
      </x:c>
      <x:c r="N33" s="16" t="str">
        <x:f>IF(A33="","",Events!Q32)</x:f>
      </x:c>
      <x:c r="O33" s="16" t="str">
        <x:f>IF(A33="","",Events!R32)</x:f>
      </x:c>
      <x:c r="P33" s="16" t="str">
        <x:f>IF(A33="","",LOWER(Events!B32&amp;" "&amp;Events!D32&amp;" "&amp;Events!K32))</x:f>
      </x:c>
      <x:c r="Q33" s="16" t="str">
        <x:f>IF(A33="","",LOWER(Events!C32&amp;" "&amp;Events!K32&amp;" "&amp;Events!T32))</x:f>
      </x:c>
      <x:c r="R33" s="16" t="str">
        <x:f>IF(A33="","",IF(ISNUMBER(SEARCH("Occurrence verified",E33)),"Occurrence verified",E33))</x:f>
      </x:c>
      <x:c r="S33" s="79" t="str">
        <x:f>IF(A33="","",Events!X32)</x:f>
      </x:c>
      <x:c r="T33" t="str">
        <x:v>Andaman and Nicobar Islands</x:v>
      </x:c>
      <x:c r="U33" t="n">
        <x:f>COUNTIF($C$6:$C$1001,T33)</x:f>
        <x:v>0</x:v>
      </x:c>
      <x:c r="V33" t="n">
        <x:f>U33*1000+(100-ROW())/1000</x:f>
        <x:v>0.067</x:v>
      </x:c>
      <x:c r="Z33" s="79" t="str">
        <x:f>IF(A33="","",Events!AD32)</x:f>
      </x:c>
      <x:c r="AA33" s="79" t="str">
        <x:f>IF(A33="","",Events!AE32)</x:f>
      </x:c>
    </x:row>
    <x:row r="34">
      <x:c r="A34" s="16" t="str">
        <x:f>IF(Events!A33="","",Events!A33)</x:f>
      </x:c>
      <x:c r="B34" s="16" t="str">
        <x:f>IF(A34="","",Events!B33)</x:f>
      </x:c>
      <x:c r="C34" s="16" t="str">
        <x:f>IF(A34="","",Events!E33)</x:f>
      </x:c>
      <x:c r="D34" s="16" t="str">
        <x:f>IF(A34="","",Events!J33)</x:f>
      </x:c>
      <x:c r="E34" s="16" t="str">
        <x:f>IF(A34="","",Events!N33)</x:f>
      </x:c>
      <x:c r="F34" s="109" t="str">
        <x:f>IF(OR(A34="",Events!H33=""),"",Events!H33)</x:f>
      </x:c>
      <x:c r="G34" s="109" t="str">
        <x:f>IF(A34="","",IF(Events!I33&lt;&gt;"",Events!I33,IF(Events!S33&lt;&gt;"",Events!S33,"")))</x:f>
      </x:c>
      <x:c r="H34" s="16" t="str">
        <x:f>IF(A34="","",Events!W33)</x:f>
      </x:c>
      <x:c r="I34" s="16" t="str">
        <x:f>IF(A34="","",IF(Events!Y33&lt;&gt;"",Events!Y33,IF(OR(ISNUMBER(SEARCH("education",P34)),ISNUMBER(SEARCH("exam",P34)),ISNUMBER(SEARCH("school",P34))),"Education",IF(OR(ISNUMBER(SEARCH("trade agreement",P34)),ISNUMBER(SEARCH("economic",P34)),ISNUMBER(SEARCH("import",P34))),"Trade &amp; economic policy",IF(OR(ISNUMBER(SEARCH("land acquisition",P34)),ISNUMBER(SEARCH("rehabilitation",P34)),ISNUMBER(SEARCH("displacement",P34)),ISNUMBER(SEARCH("township",P34))),"Land &amp; rehabilitation",IF(OR(ISNUMBER(SEARCH("forest",P34)),ISNUMBER(SEARCH("environment",P34)),ISNUMBER(SEARCH("ecological",P34)),ISNUMBER(SEARCH("biodiversity",P34)),ISNUMBER(SEARCH("green cover",P34))),"Environment",IF(OR(ISNUMBER(SEARCH("irrigation",P34)),ISNUMBER(SEARCH("water",P34)),ISNUMBER(SEARCH("crop",P34)),ISNUMBER(SEARCH("farmer",P34)),ISNUMBER(SEARCH("agriculture",P34))),"Agriculture &amp; water",IF(OR(ISNUMBER(SEARCH("health",P34)),ISNUMBER(SEARCH("hospital",P34)),ISNUMBER(SEARCH("medicine",P34))),"Public health",IF(OR(ISNUMBER(SEARCH("employee",P34)),ISNUMBER(SEARCH("labour",P34)),ISNUMBER(SEARCH("worker",P34)),ISNUMBER(SEARCH("salary",P34))),"Labour &amp; employment",IF(OR(ISNUMBER(SEARCH("rti",P34)),ISNUMBER(SEARCH("transparency",P34)),ISNUMBER(SEARCH("corruption",P34)),ISNUMBER(SEARCH("governance",P34))),"Governance &amp; transparency",IF(OR(ISNUMBER(SEARCH("police",P34)),ISNUMBER(SEARCH("detention",P34)),ISNUMBER(SEARCH("civil rights",P34)),ISNUMBER(SEARCH("justice",P34))),"Civil rights &amp; justice",IF(OR(ISNUMBER(SEARCH("road",P34)),ISNUMBER(SEARCH("utility",P34)),ISNUMBER(SEARCH("infrastructure",P34)),ISNUMBER(SEARCH("public service",P34))),"Infrastructure &amp; public services","Other"))))))))))))</x:f>
      </x:c>
      <x:c r="J34" s="16" t="str">
        <x:f>IF(A34="","",IF(OR(ISNUMBER(SEARCH("fatal",Q34)),ISNUMBER(SEARCH("death",Q34)),ISNUMBER(SEARCH("riot",Q34)),ISNUMBER(SEARCH("curfew",Q34)),ISNUMBER(SEARCH("internet shutdown",Q34))),5,MIN(4,1+IF(H34&gt;=7,1,0)+IF(OR(ISNUMBER(SEARCH("hunger strike",Q34)),ISNUMBER(SEARCH("blockade",Q34)),ISNUMBER(SEARCH("strike",Q34)),ISNUMBER(SEARCH("jal satyagraha",Q34)),ISNUMBER(SEARCH("survey",Q34)),ISNUMBER(SEARCH("human chain",Q34)),ISNUMBER(SEARCH("march",Q34))),1,0)+IF(OR(ISNUMBER(SEARCH("fir",Q34)),ISNUMBER(SEARCH("confrontation",Q34)),ISNUMBER(SEARCH("violence",Q34)),ISNUMBER(SEARCH("detention",Q34)),ISNUMBER(SEARCH("arrest",Q34)),ISNUMBER(SEARCH("demolition",Q34)),ISNUMBER(SEARCH("injury",Q34))),1,0)+IF(OR(D34="Ongoing",D34="Unresolved"),1,0))))</x:f>
      </x:c>
      <x:c r="K34" s="16" t="str">
        <x:f>IF(J34="","",IF(J34=1,"Limited",IF(J34=2,"Local",IF(J34=3,"Significant",IF(J34=4,"High","Critical")))))</x:f>
      </x:c>
      <x:c r="L34" s="16" t="str">
        <x:f>IF(A34="","",Events!U33)</x:f>
      </x:c>
      <x:c r="M34" s="16" t="str">
        <x:f>IF(A34="","",Events!V33)</x:f>
      </x:c>
      <x:c r="N34" s="16" t="str">
        <x:f>IF(A34="","",Events!Q33)</x:f>
      </x:c>
      <x:c r="O34" s="16" t="str">
        <x:f>IF(A34="","",Events!R33)</x:f>
      </x:c>
      <x:c r="P34" s="16" t="str">
        <x:f>IF(A34="","",LOWER(Events!B33&amp;" "&amp;Events!D33&amp;" "&amp;Events!K33))</x:f>
      </x:c>
      <x:c r="Q34" s="16" t="str">
        <x:f>IF(A34="","",LOWER(Events!C33&amp;" "&amp;Events!K33&amp;" "&amp;Events!T33))</x:f>
      </x:c>
      <x:c r="R34" s="16" t="str">
        <x:f>IF(A34="","",IF(ISNUMBER(SEARCH("Occurrence verified",E34)),"Occurrence verified",E34))</x:f>
      </x:c>
      <x:c r="S34" s="79" t="str">
        <x:f>IF(A34="","",Events!X33)</x:f>
      </x:c>
      <x:c r="T34" t="str">
        <x:v>Chandigarh</x:v>
      </x:c>
      <x:c r="U34" t="n">
        <x:f>COUNTIF($C$6:$C$1001,T34)</x:f>
        <x:v>1</x:v>
      </x:c>
      <x:c r="V34" t="n">
        <x:f>U34*1000+(100-ROW())/1000</x:f>
        <x:v>1000.066</x:v>
      </x:c>
      <x:c r="Z34" s="79" t="str">
        <x:f>IF(A34="","",Events!AD33)</x:f>
      </x:c>
      <x:c r="AA34" s="79" t="str">
        <x:f>IF(A34="","",Events!AE33)</x:f>
      </x:c>
    </x:row>
    <x:row r="35">
      <x:c r="A35" s="16" t="str">
        <x:f>IF(Events!A34="","",Events!A34)</x:f>
      </x:c>
      <x:c r="B35" s="16" t="str">
        <x:f>IF(A35="","",Events!B34)</x:f>
      </x:c>
      <x:c r="C35" s="16" t="str">
        <x:f>IF(A35="","",Events!E34)</x:f>
      </x:c>
      <x:c r="D35" s="16" t="str">
        <x:f>IF(A35="","",Events!J34)</x:f>
      </x:c>
      <x:c r="E35" s="16" t="str">
        <x:f>IF(A35="","",Events!N34)</x:f>
      </x:c>
      <x:c r="F35" s="109" t="str">
        <x:f>IF(OR(A35="",Events!H34=""),"",Events!H34)</x:f>
      </x:c>
      <x:c r="G35" s="109" t="str">
        <x:f>IF(A35="","",IF(Events!I34&lt;&gt;"",Events!I34,IF(Events!S34&lt;&gt;"",Events!S34,"")))</x:f>
      </x:c>
      <x:c r="H35" s="16" t="str">
        <x:f>IF(A35="","",Events!W34)</x:f>
      </x:c>
      <x:c r="I35" s="16" t="str">
        <x:f>IF(A35="","",IF(Events!Y34&lt;&gt;"",Events!Y34,IF(OR(ISNUMBER(SEARCH("education",P35)),ISNUMBER(SEARCH("exam",P35)),ISNUMBER(SEARCH("school",P35))),"Education",IF(OR(ISNUMBER(SEARCH("trade agreement",P35)),ISNUMBER(SEARCH("economic",P35)),ISNUMBER(SEARCH("import",P35))),"Trade &amp; economic policy",IF(OR(ISNUMBER(SEARCH("land acquisition",P35)),ISNUMBER(SEARCH("rehabilitation",P35)),ISNUMBER(SEARCH("displacement",P35)),ISNUMBER(SEARCH("township",P35))),"Land &amp; rehabilitation",IF(OR(ISNUMBER(SEARCH("forest",P35)),ISNUMBER(SEARCH("environment",P35)),ISNUMBER(SEARCH("ecological",P35)),ISNUMBER(SEARCH("biodiversity",P35)),ISNUMBER(SEARCH("green cover",P35))),"Environment",IF(OR(ISNUMBER(SEARCH("irrigation",P35)),ISNUMBER(SEARCH("water",P35)),ISNUMBER(SEARCH("crop",P35)),ISNUMBER(SEARCH("farmer",P35)),ISNUMBER(SEARCH("agriculture",P35))),"Agriculture &amp; water",IF(OR(ISNUMBER(SEARCH("health",P35)),ISNUMBER(SEARCH("hospital",P35)),ISNUMBER(SEARCH("medicine",P35))),"Public health",IF(OR(ISNUMBER(SEARCH("employee",P35)),ISNUMBER(SEARCH("labour",P35)),ISNUMBER(SEARCH("worker",P35)),ISNUMBER(SEARCH("salary",P35))),"Labour &amp; employment",IF(OR(ISNUMBER(SEARCH("rti",P35)),ISNUMBER(SEARCH("transparency",P35)),ISNUMBER(SEARCH("corruption",P35)),ISNUMBER(SEARCH("governance",P35))),"Governance &amp; transparency",IF(OR(ISNUMBER(SEARCH("police",P35)),ISNUMBER(SEARCH("detention",P35)),ISNUMBER(SEARCH("civil rights",P35)),ISNUMBER(SEARCH("justice",P35))),"Civil rights &amp; justice",IF(OR(ISNUMBER(SEARCH("road",P35)),ISNUMBER(SEARCH("utility",P35)),ISNUMBER(SEARCH("infrastructure",P35)),ISNUMBER(SEARCH("public service",P35))),"Infrastructure &amp; public services","Other"))))))))))))</x:f>
      </x:c>
      <x:c r="J35" s="16" t="str">
        <x:f>IF(A35="","",IF(OR(ISNUMBER(SEARCH("fatal",Q35)),ISNUMBER(SEARCH("death",Q35)),ISNUMBER(SEARCH("riot",Q35)),ISNUMBER(SEARCH("curfew",Q35)),ISNUMBER(SEARCH("internet shutdown",Q35))),5,MIN(4,1+IF(H35&gt;=7,1,0)+IF(OR(ISNUMBER(SEARCH("hunger strike",Q35)),ISNUMBER(SEARCH("blockade",Q35)),ISNUMBER(SEARCH("strike",Q35)),ISNUMBER(SEARCH("jal satyagraha",Q35)),ISNUMBER(SEARCH("survey",Q35)),ISNUMBER(SEARCH("human chain",Q35)),ISNUMBER(SEARCH("march",Q35))),1,0)+IF(OR(ISNUMBER(SEARCH("fir",Q35)),ISNUMBER(SEARCH("confrontation",Q35)),ISNUMBER(SEARCH("violence",Q35)),ISNUMBER(SEARCH("detention",Q35)),ISNUMBER(SEARCH("arrest",Q35)),ISNUMBER(SEARCH("demolition",Q35)),ISNUMBER(SEARCH("injury",Q35))),1,0)+IF(OR(D35="Ongoing",D35="Unresolved"),1,0))))</x:f>
      </x:c>
      <x:c r="K35" s="16" t="str">
        <x:f>IF(J35="","",IF(J35=1,"Limited",IF(J35=2,"Local",IF(J35=3,"Significant",IF(J35=4,"High","Critical")))))</x:f>
      </x:c>
      <x:c r="L35" s="16" t="str">
        <x:f>IF(A35="","",Events!U34)</x:f>
      </x:c>
      <x:c r="M35" s="16" t="str">
        <x:f>IF(A35="","",Events!V34)</x:f>
      </x:c>
      <x:c r="N35" s="16" t="str">
        <x:f>IF(A35="","",Events!Q34)</x:f>
      </x:c>
      <x:c r="O35" s="16" t="str">
        <x:f>IF(A35="","",Events!R34)</x:f>
      </x:c>
      <x:c r="P35" s="16" t="str">
        <x:f>IF(A35="","",LOWER(Events!B34&amp;" "&amp;Events!D34&amp;" "&amp;Events!K34))</x:f>
      </x:c>
      <x:c r="Q35" s="16" t="str">
        <x:f>IF(A35="","",LOWER(Events!C34&amp;" "&amp;Events!K34&amp;" "&amp;Events!T34))</x:f>
      </x:c>
      <x:c r="R35" s="16" t="str">
        <x:f>IF(A35="","",IF(ISNUMBER(SEARCH("Occurrence verified",E35)),"Occurrence verified",E35))</x:f>
      </x:c>
      <x:c r="S35" s="79" t="str">
        <x:f>IF(A35="","",Events!X34)</x:f>
      </x:c>
      <x:c r="T35" t="str">
        <x:v>Dadra and Nagar Haveli and Daman and Diu</x:v>
      </x:c>
      <x:c r="U35" t="n">
        <x:f>COUNTIF($C$6:$C$1001,T35)</x:f>
        <x:v>0</x:v>
      </x:c>
      <x:c r="V35" t="n">
        <x:f>U35*1000+(100-ROW())/1000</x:f>
        <x:v>0.065</x:v>
      </x:c>
      <x:c r="Z35" s="79" t="str">
        <x:f>IF(A35="","",Events!AD34)</x:f>
      </x:c>
      <x:c r="AA35" s="79" t="str">
        <x:f>IF(A35="","",Events!AE34)</x:f>
      </x:c>
    </x:row>
    <x:row r="36">
      <x:c r="A36" s="16" t="str">
        <x:f>IF(Events!A35="","",Events!A35)</x:f>
      </x:c>
      <x:c r="B36" s="16" t="str">
        <x:f>IF(A36="","",Events!B35)</x:f>
      </x:c>
      <x:c r="C36" s="16" t="str">
        <x:f>IF(A36="","",Events!E35)</x:f>
      </x:c>
      <x:c r="D36" s="16" t="str">
        <x:f>IF(A36="","",Events!J35)</x:f>
      </x:c>
      <x:c r="E36" s="16" t="str">
        <x:f>IF(A36="","",Events!N35)</x:f>
      </x:c>
      <x:c r="F36" s="109" t="str">
        <x:f>IF(OR(A36="",Events!H35=""),"",Events!H35)</x:f>
      </x:c>
      <x:c r="G36" s="109" t="str">
        <x:f>IF(A36="","",IF(Events!I35&lt;&gt;"",Events!I35,IF(Events!S35&lt;&gt;"",Events!S35,"")))</x:f>
      </x:c>
      <x:c r="H36" s="16" t="str">
        <x:f>IF(A36="","",Events!W35)</x:f>
      </x:c>
      <x:c r="I36" s="16" t="str">
        <x:f>IF(A36="","",IF(Events!Y35&lt;&gt;"",Events!Y35,IF(OR(ISNUMBER(SEARCH("education",P36)),ISNUMBER(SEARCH("exam",P36)),ISNUMBER(SEARCH("school",P36))),"Education",IF(OR(ISNUMBER(SEARCH("trade agreement",P36)),ISNUMBER(SEARCH("economic",P36)),ISNUMBER(SEARCH("import",P36))),"Trade &amp; economic policy",IF(OR(ISNUMBER(SEARCH("land acquisition",P36)),ISNUMBER(SEARCH("rehabilitation",P36)),ISNUMBER(SEARCH("displacement",P36)),ISNUMBER(SEARCH("township",P36))),"Land &amp; rehabilitation",IF(OR(ISNUMBER(SEARCH("forest",P36)),ISNUMBER(SEARCH("environment",P36)),ISNUMBER(SEARCH("ecological",P36)),ISNUMBER(SEARCH("biodiversity",P36)),ISNUMBER(SEARCH("green cover",P36))),"Environment",IF(OR(ISNUMBER(SEARCH("irrigation",P36)),ISNUMBER(SEARCH("water",P36)),ISNUMBER(SEARCH("crop",P36)),ISNUMBER(SEARCH("farmer",P36)),ISNUMBER(SEARCH("agriculture",P36))),"Agriculture &amp; water",IF(OR(ISNUMBER(SEARCH("health",P36)),ISNUMBER(SEARCH("hospital",P36)),ISNUMBER(SEARCH("medicine",P36))),"Public health",IF(OR(ISNUMBER(SEARCH("employee",P36)),ISNUMBER(SEARCH("labour",P36)),ISNUMBER(SEARCH("worker",P36)),ISNUMBER(SEARCH("salary",P36))),"Labour &amp; employment",IF(OR(ISNUMBER(SEARCH("rti",P36)),ISNUMBER(SEARCH("transparency",P36)),ISNUMBER(SEARCH("corruption",P36)),ISNUMBER(SEARCH("governance",P36))),"Governance &amp; transparency",IF(OR(ISNUMBER(SEARCH("police",P36)),ISNUMBER(SEARCH("detention",P36)),ISNUMBER(SEARCH("civil rights",P36)),ISNUMBER(SEARCH("justice",P36))),"Civil rights &amp; justice",IF(OR(ISNUMBER(SEARCH("road",P36)),ISNUMBER(SEARCH("utility",P36)),ISNUMBER(SEARCH("infrastructure",P36)),ISNUMBER(SEARCH("public service",P36))),"Infrastructure &amp; public services","Other"))))))))))))</x:f>
      </x:c>
      <x:c r="J36" s="16" t="str">
        <x:f>IF(A36="","",IF(OR(ISNUMBER(SEARCH("fatal",Q36)),ISNUMBER(SEARCH("death",Q36)),ISNUMBER(SEARCH("riot",Q36)),ISNUMBER(SEARCH("curfew",Q36)),ISNUMBER(SEARCH("internet shutdown",Q36))),5,MIN(4,1+IF(H36&gt;=7,1,0)+IF(OR(ISNUMBER(SEARCH("hunger strike",Q36)),ISNUMBER(SEARCH("blockade",Q36)),ISNUMBER(SEARCH("strike",Q36)),ISNUMBER(SEARCH("jal satyagraha",Q36)),ISNUMBER(SEARCH("survey",Q36)),ISNUMBER(SEARCH("human chain",Q36)),ISNUMBER(SEARCH("march",Q36))),1,0)+IF(OR(ISNUMBER(SEARCH("fir",Q36)),ISNUMBER(SEARCH("confrontation",Q36)),ISNUMBER(SEARCH("violence",Q36)),ISNUMBER(SEARCH("detention",Q36)),ISNUMBER(SEARCH("arrest",Q36)),ISNUMBER(SEARCH("demolition",Q36)),ISNUMBER(SEARCH("injury",Q36))),1,0)+IF(OR(D36="Ongoing",D36="Unresolved"),1,0))))</x:f>
      </x:c>
      <x:c r="K36" s="16" t="str">
        <x:f>IF(J36="","",IF(J36=1,"Limited",IF(J36=2,"Local",IF(J36=3,"Significant",IF(J36=4,"High","Critical")))))</x:f>
      </x:c>
      <x:c r="L36" s="16" t="str">
        <x:f>IF(A36="","",Events!U35)</x:f>
      </x:c>
      <x:c r="M36" s="16" t="str">
        <x:f>IF(A36="","",Events!V35)</x:f>
      </x:c>
      <x:c r="N36" s="16" t="str">
        <x:f>IF(A36="","",Events!Q35)</x:f>
      </x:c>
      <x:c r="O36" s="16" t="str">
        <x:f>IF(A36="","",Events!R35)</x:f>
      </x:c>
      <x:c r="P36" s="16" t="str">
        <x:f>IF(A36="","",LOWER(Events!B35&amp;" "&amp;Events!D35&amp;" "&amp;Events!K35))</x:f>
      </x:c>
      <x:c r="Q36" s="16" t="str">
        <x:f>IF(A36="","",LOWER(Events!C35&amp;" "&amp;Events!K35&amp;" "&amp;Events!T35))</x:f>
      </x:c>
      <x:c r="R36" s="16" t="str">
        <x:f>IF(A36="","",IF(ISNUMBER(SEARCH("Occurrence verified",E36)),"Occurrence verified",E36))</x:f>
      </x:c>
      <x:c r="S36" s="79" t="str">
        <x:f>IF(A36="","",Events!X35)</x:f>
      </x:c>
      <x:c r="T36" t="str">
        <x:v>Delhi</x:v>
      </x:c>
      <x:c r="U36" t="n">
        <x:f>COUNTIF($C$6:$C$1001,T36)</x:f>
        <x:v>1</x:v>
      </x:c>
      <x:c r="V36" t="n">
        <x:f>U36*1000+(100-ROW())/1000</x:f>
        <x:v>1000.064</x:v>
      </x:c>
      <x:c r="Z36" s="79" t="str">
        <x:f>IF(A36="","",Events!AD35)</x:f>
      </x:c>
      <x:c r="AA36" s="79" t="str">
        <x:f>IF(A36="","",Events!AE35)</x:f>
      </x:c>
    </x:row>
    <x:row r="37">
      <x:c r="A37" s="16" t="str">
        <x:f>IF(Events!A36="","",Events!A36)</x:f>
      </x:c>
      <x:c r="B37" s="16" t="str">
        <x:f>IF(A37="","",Events!B36)</x:f>
      </x:c>
      <x:c r="C37" s="16" t="str">
        <x:f>IF(A37="","",Events!E36)</x:f>
      </x:c>
      <x:c r="D37" s="16" t="str">
        <x:f>IF(A37="","",Events!J36)</x:f>
      </x:c>
      <x:c r="E37" s="16" t="str">
        <x:f>IF(A37="","",Events!N36)</x:f>
      </x:c>
      <x:c r="F37" s="109" t="str">
        <x:f>IF(OR(A37="",Events!H36=""),"",Events!H36)</x:f>
      </x:c>
      <x:c r="G37" s="109" t="str">
        <x:f>IF(A37="","",IF(Events!I36&lt;&gt;"",Events!I36,IF(Events!S36&lt;&gt;"",Events!S36,"")))</x:f>
      </x:c>
      <x:c r="H37" s="16" t="str">
        <x:f>IF(A37="","",Events!W36)</x:f>
      </x:c>
      <x:c r="I37" s="16" t="str">
        <x:f>IF(A37="","",IF(Events!Y36&lt;&gt;"",Events!Y36,IF(OR(ISNUMBER(SEARCH("education",P37)),ISNUMBER(SEARCH("exam",P37)),ISNUMBER(SEARCH("school",P37))),"Education",IF(OR(ISNUMBER(SEARCH("trade agreement",P37)),ISNUMBER(SEARCH("economic",P37)),ISNUMBER(SEARCH("import",P37))),"Trade &amp; economic policy",IF(OR(ISNUMBER(SEARCH("land acquisition",P37)),ISNUMBER(SEARCH("rehabilitation",P37)),ISNUMBER(SEARCH("displacement",P37)),ISNUMBER(SEARCH("township",P37))),"Land &amp; rehabilitation",IF(OR(ISNUMBER(SEARCH("forest",P37)),ISNUMBER(SEARCH("environment",P37)),ISNUMBER(SEARCH("ecological",P37)),ISNUMBER(SEARCH("biodiversity",P37)),ISNUMBER(SEARCH("green cover",P37))),"Environment",IF(OR(ISNUMBER(SEARCH("irrigation",P37)),ISNUMBER(SEARCH("water",P37)),ISNUMBER(SEARCH("crop",P37)),ISNUMBER(SEARCH("farmer",P37)),ISNUMBER(SEARCH("agriculture",P37))),"Agriculture &amp; water",IF(OR(ISNUMBER(SEARCH("health",P37)),ISNUMBER(SEARCH("hospital",P37)),ISNUMBER(SEARCH("medicine",P37))),"Public health",IF(OR(ISNUMBER(SEARCH("employee",P37)),ISNUMBER(SEARCH("labour",P37)),ISNUMBER(SEARCH("worker",P37)),ISNUMBER(SEARCH("salary",P37))),"Labour &amp; employment",IF(OR(ISNUMBER(SEARCH("rti",P37)),ISNUMBER(SEARCH("transparency",P37)),ISNUMBER(SEARCH("corruption",P37)),ISNUMBER(SEARCH("governance",P37))),"Governance &amp; transparency",IF(OR(ISNUMBER(SEARCH("police",P37)),ISNUMBER(SEARCH("detention",P37)),ISNUMBER(SEARCH("civil rights",P37)),ISNUMBER(SEARCH("justice",P37))),"Civil rights &amp; justice",IF(OR(ISNUMBER(SEARCH("road",P37)),ISNUMBER(SEARCH("utility",P37)),ISNUMBER(SEARCH("infrastructure",P37)),ISNUMBER(SEARCH("public service",P37))),"Infrastructure &amp; public services","Other"))))))))))))</x:f>
      </x:c>
      <x:c r="J37" s="16" t="str">
        <x:f>IF(A37="","",IF(OR(ISNUMBER(SEARCH("fatal",Q37)),ISNUMBER(SEARCH("death",Q37)),ISNUMBER(SEARCH("riot",Q37)),ISNUMBER(SEARCH("curfew",Q37)),ISNUMBER(SEARCH("internet shutdown",Q37))),5,MIN(4,1+IF(H37&gt;=7,1,0)+IF(OR(ISNUMBER(SEARCH("hunger strike",Q37)),ISNUMBER(SEARCH("blockade",Q37)),ISNUMBER(SEARCH("strike",Q37)),ISNUMBER(SEARCH("jal satyagraha",Q37)),ISNUMBER(SEARCH("survey",Q37)),ISNUMBER(SEARCH("human chain",Q37)),ISNUMBER(SEARCH("march",Q37))),1,0)+IF(OR(ISNUMBER(SEARCH("fir",Q37)),ISNUMBER(SEARCH("confrontation",Q37)),ISNUMBER(SEARCH("violence",Q37)),ISNUMBER(SEARCH("detention",Q37)),ISNUMBER(SEARCH("arrest",Q37)),ISNUMBER(SEARCH("demolition",Q37)),ISNUMBER(SEARCH("injury",Q37))),1,0)+IF(OR(D37="Ongoing",D37="Unresolved"),1,0))))</x:f>
      </x:c>
      <x:c r="K37" s="16" t="str">
        <x:f>IF(J37="","",IF(J37=1,"Limited",IF(J37=2,"Local",IF(J37=3,"Significant",IF(J37=4,"High","Critical")))))</x:f>
      </x:c>
      <x:c r="L37" s="16" t="str">
        <x:f>IF(A37="","",Events!U36)</x:f>
      </x:c>
      <x:c r="M37" s="16" t="str">
        <x:f>IF(A37="","",Events!V36)</x:f>
      </x:c>
      <x:c r="N37" s="16" t="str">
        <x:f>IF(A37="","",Events!Q36)</x:f>
      </x:c>
      <x:c r="O37" s="16" t="str">
        <x:f>IF(A37="","",Events!R36)</x:f>
      </x:c>
      <x:c r="P37" s="16" t="str">
        <x:f>IF(A37="","",LOWER(Events!B36&amp;" "&amp;Events!D36&amp;" "&amp;Events!K36))</x:f>
      </x:c>
      <x:c r="Q37" s="16" t="str">
        <x:f>IF(A37="","",LOWER(Events!C36&amp;" "&amp;Events!K36&amp;" "&amp;Events!T36))</x:f>
      </x:c>
      <x:c r="R37" s="16" t="str">
        <x:f>IF(A37="","",IF(ISNUMBER(SEARCH("Occurrence verified",E37)),"Occurrence verified",E37))</x:f>
      </x:c>
      <x:c r="S37" s="79" t="str">
        <x:f>IF(A37="","",Events!X36)</x:f>
      </x:c>
      <x:c r="T37" t="str">
        <x:v>Jammu and Kashmir</x:v>
      </x:c>
      <x:c r="U37" t="n">
        <x:f>COUNTIF($C$6:$C$1001,T37)</x:f>
        <x:v>0</x:v>
      </x:c>
      <x:c r="V37" t="n">
        <x:f>U37*1000+(100-ROW())/1000</x:f>
        <x:v>0.063</x:v>
      </x:c>
      <x:c r="Z37" s="79" t="str">
        <x:f>IF(A37="","",Events!AD36)</x:f>
      </x:c>
      <x:c r="AA37" s="79" t="str">
        <x:f>IF(A37="","",Events!AE36)</x:f>
      </x:c>
    </x:row>
    <x:row r="38">
      <x:c r="A38" s="16" t="str">
        <x:f>IF(Events!A37="","",Events!A37)</x:f>
      </x:c>
      <x:c r="B38" s="16" t="str">
        <x:f>IF(A38="","",Events!B37)</x:f>
      </x:c>
      <x:c r="C38" s="16" t="str">
        <x:f>IF(A38="","",Events!E37)</x:f>
      </x:c>
      <x:c r="D38" s="16" t="str">
        <x:f>IF(A38="","",Events!J37)</x:f>
      </x:c>
      <x:c r="E38" s="16" t="str">
        <x:f>IF(A38="","",Events!N37)</x:f>
      </x:c>
      <x:c r="F38" s="109" t="str">
        <x:f>IF(OR(A38="",Events!H37=""),"",Events!H37)</x:f>
      </x:c>
      <x:c r="G38" s="109" t="str">
        <x:f>IF(A38="","",IF(Events!I37&lt;&gt;"",Events!I37,IF(Events!S37&lt;&gt;"",Events!S37,"")))</x:f>
      </x:c>
      <x:c r="H38" s="16" t="str">
        <x:f>IF(A38="","",Events!W37)</x:f>
      </x:c>
      <x:c r="I38" s="16" t="str">
        <x:f>IF(A38="","",IF(Events!Y37&lt;&gt;"",Events!Y37,IF(OR(ISNUMBER(SEARCH("education",P38)),ISNUMBER(SEARCH("exam",P38)),ISNUMBER(SEARCH("school",P38))),"Education",IF(OR(ISNUMBER(SEARCH("trade agreement",P38)),ISNUMBER(SEARCH("economic",P38)),ISNUMBER(SEARCH("import",P38))),"Trade &amp; economic policy",IF(OR(ISNUMBER(SEARCH("land acquisition",P38)),ISNUMBER(SEARCH("rehabilitation",P38)),ISNUMBER(SEARCH("displacement",P38)),ISNUMBER(SEARCH("township",P38))),"Land &amp; rehabilitation",IF(OR(ISNUMBER(SEARCH("forest",P38)),ISNUMBER(SEARCH("environment",P38)),ISNUMBER(SEARCH("ecological",P38)),ISNUMBER(SEARCH("biodiversity",P38)),ISNUMBER(SEARCH("green cover",P38))),"Environment",IF(OR(ISNUMBER(SEARCH("irrigation",P38)),ISNUMBER(SEARCH("water",P38)),ISNUMBER(SEARCH("crop",P38)),ISNUMBER(SEARCH("farmer",P38)),ISNUMBER(SEARCH("agriculture",P38))),"Agriculture &amp; water",IF(OR(ISNUMBER(SEARCH("health",P38)),ISNUMBER(SEARCH("hospital",P38)),ISNUMBER(SEARCH("medicine",P38))),"Public health",IF(OR(ISNUMBER(SEARCH("employee",P38)),ISNUMBER(SEARCH("labour",P38)),ISNUMBER(SEARCH("worker",P38)),ISNUMBER(SEARCH("salary",P38))),"Labour &amp; employment",IF(OR(ISNUMBER(SEARCH("rti",P38)),ISNUMBER(SEARCH("transparency",P38)),ISNUMBER(SEARCH("corruption",P38)),ISNUMBER(SEARCH("governance",P38))),"Governance &amp; transparency",IF(OR(ISNUMBER(SEARCH("police",P38)),ISNUMBER(SEARCH("detention",P38)),ISNUMBER(SEARCH("civil rights",P38)),ISNUMBER(SEARCH("justice",P38))),"Civil rights &amp; justice",IF(OR(ISNUMBER(SEARCH("road",P38)),ISNUMBER(SEARCH("utility",P38)),ISNUMBER(SEARCH("infrastructure",P38)),ISNUMBER(SEARCH("public service",P38))),"Infrastructure &amp; public services","Other"))))))))))))</x:f>
      </x:c>
      <x:c r="J38" s="16" t="str">
        <x:f>IF(A38="","",IF(OR(ISNUMBER(SEARCH("fatal",Q38)),ISNUMBER(SEARCH("death",Q38)),ISNUMBER(SEARCH("riot",Q38)),ISNUMBER(SEARCH("curfew",Q38)),ISNUMBER(SEARCH("internet shutdown",Q38))),5,MIN(4,1+IF(H38&gt;=7,1,0)+IF(OR(ISNUMBER(SEARCH("hunger strike",Q38)),ISNUMBER(SEARCH("blockade",Q38)),ISNUMBER(SEARCH("strike",Q38)),ISNUMBER(SEARCH("jal satyagraha",Q38)),ISNUMBER(SEARCH("survey",Q38)),ISNUMBER(SEARCH("human chain",Q38)),ISNUMBER(SEARCH("march",Q38))),1,0)+IF(OR(ISNUMBER(SEARCH("fir",Q38)),ISNUMBER(SEARCH("confrontation",Q38)),ISNUMBER(SEARCH("violence",Q38)),ISNUMBER(SEARCH("detention",Q38)),ISNUMBER(SEARCH("arrest",Q38)),ISNUMBER(SEARCH("demolition",Q38)),ISNUMBER(SEARCH("injury",Q38))),1,0)+IF(OR(D38="Ongoing",D38="Unresolved"),1,0))))</x:f>
      </x:c>
      <x:c r="K38" s="16" t="str">
        <x:f>IF(J38="","",IF(J38=1,"Limited",IF(J38=2,"Local",IF(J38=3,"Significant",IF(J38=4,"High","Critical")))))</x:f>
      </x:c>
      <x:c r="L38" s="16" t="str">
        <x:f>IF(A38="","",Events!U37)</x:f>
      </x:c>
      <x:c r="M38" s="16" t="str">
        <x:f>IF(A38="","",Events!V37)</x:f>
      </x:c>
      <x:c r="N38" s="16" t="str">
        <x:f>IF(A38="","",Events!Q37)</x:f>
      </x:c>
      <x:c r="O38" s="16" t="str">
        <x:f>IF(A38="","",Events!R37)</x:f>
      </x:c>
      <x:c r="P38" s="16" t="str">
        <x:f>IF(A38="","",LOWER(Events!B37&amp;" "&amp;Events!D37&amp;" "&amp;Events!K37))</x:f>
      </x:c>
      <x:c r="Q38" s="16" t="str">
        <x:f>IF(A38="","",LOWER(Events!C37&amp;" "&amp;Events!K37&amp;" "&amp;Events!T37))</x:f>
      </x:c>
      <x:c r="R38" s="16" t="str">
        <x:f>IF(A38="","",IF(ISNUMBER(SEARCH("Occurrence verified",E38)),"Occurrence verified",E38))</x:f>
      </x:c>
      <x:c r="S38" s="79" t="str">
        <x:f>IF(A38="","",Events!X37)</x:f>
      </x:c>
      <x:c r="T38" t="str">
        <x:v>Ladakh</x:v>
      </x:c>
      <x:c r="U38" t="n">
        <x:f>COUNTIF($C$6:$C$1001,T38)</x:f>
        <x:v>0</x:v>
      </x:c>
      <x:c r="V38" t="n">
        <x:f>U38*1000+(100-ROW())/1000</x:f>
        <x:v>0.062</x:v>
      </x:c>
      <x:c r="Z38" s="79" t="str">
        <x:f>IF(A38="","",Events!AD37)</x:f>
      </x:c>
      <x:c r="AA38" s="79" t="str">
        <x:f>IF(A38="","",Events!AE37)</x:f>
      </x:c>
    </x:row>
    <x:row r="39">
      <x:c r="A39" s="16" t="str">
        <x:f>IF(Events!A38="","",Events!A38)</x:f>
      </x:c>
      <x:c r="B39" s="16" t="str">
        <x:f>IF(A39="","",Events!B38)</x:f>
      </x:c>
      <x:c r="C39" s="16" t="str">
        <x:f>IF(A39="","",Events!E38)</x:f>
      </x:c>
      <x:c r="D39" s="16" t="str">
        <x:f>IF(A39="","",Events!J38)</x:f>
      </x:c>
      <x:c r="E39" s="16" t="str">
        <x:f>IF(A39="","",Events!N38)</x:f>
      </x:c>
      <x:c r="F39" s="109" t="str">
        <x:f>IF(OR(A39="",Events!H38=""),"",Events!H38)</x:f>
      </x:c>
      <x:c r="G39" s="109" t="str">
        <x:f>IF(A39="","",IF(Events!I38&lt;&gt;"",Events!I38,IF(Events!S38&lt;&gt;"",Events!S38,"")))</x:f>
      </x:c>
      <x:c r="H39" s="16" t="str">
        <x:f>IF(A39="","",Events!W38)</x:f>
      </x:c>
      <x:c r="I39" s="16" t="str">
        <x:f>IF(A39="","",IF(Events!Y38&lt;&gt;"",Events!Y38,IF(OR(ISNUMBER(SEARCH("education",P39)),ISNUMBER(SEARCH("exam",P39)),ISNUMBER(SEARCH("school",P39))),"Education",IF(OR(ISNUMBER(SEARCH("trade agreement",P39)),ISNUMBER(SEARCH("economic",P39)),ISNUMBER(SEARCH("import",P39))),"Trade &amp; economic policy",IF(OR(ISNUMBER(SEARCH("land acquisition",P39)),ISNUMBER(SEARCH("rehabilitation",P39)),ISNUMBER(SEARCH("displacement",P39)),ISNUMBER(SEARCH("township",P39))),"Land &amp; rehabilitation",IF(OR(ISNUMBER(SEARCH("forest",P39)),ISNUMBER(SEARCH("environment",P39)),ISNUMBER(SEARCH("ecological",P39)),ISNUMBER(SEARCH("biodiversity",P39)),ISNUMBER(SEARCH("green cover",P39))),"Environment",IF(OR(ISNUMBER(SEARCH("irrigation",P39)),ISNUMBER(SEARCH("water",P39)),ISNUMBER(SEARCH("crop",P39)),ISNUMBER(SEARCH("farmer",P39)),ISNUMBER(SEARCH("agriculture",P39))),"Agriculture &amp; water",IF(OR(ISNUMBER(SEARCH("health",P39)),ISNUMBER(SEARCH("hospital",P39)),ISNUMBER(SEARCH("medicine",P39))),"Public health",IF(OR(ISNUMBER(SEARCH("employee",P39)),ISNUMBER(SEARCH("labour",P39)),ISNUMBER(SEARCH("worker",P39)),ISNUMBER(SEARCH("salary",P39))),"Labour &amp; employment",IF(OR(ISNUMBER(SEARCH("rti",P39)),ISNUMBER(SEARCH("transparency",P39)),ISNUMBER(SEARCH("corruption",P39)),ISNUMBER(SEARCH("governance",P39))),"Governance &amp; transparency",IF(OR(ISNUMBER(SEARCH("police",P39)),ISNUMBER(SEARCH("detention",P39)),ISNUMBER(SEARCH("civil rights",P39)),ISNUMBER(SEARCH("justice",P39))),"Civil rights &amp; justice",IF(OR(ISNUMBER(SEARCH("road",P39)),ISNUMBER(SEARCH("utility",P39)),ISNUMBER(SEARCH("infrastructure",P39)),ISNUMBER(SEARCH("public service",P39))),"Infrastructure &amp; public services","Other"))))))))))))</x:f>
      </x:c>
      <x:c r="J39" s="16" t="str">
        <x:f>IF(A39="","",IF(OR(ISNUMBER(SEARCH("fatal",Q39)),ISNUMBER(SEARCH("death",Q39)),ISNUMBER(SEARCH("riot",Q39)),ISNUMBER(SEARCH("curfew",Q39)),ISNUMBER(SEARCH("internet shutdown",Q39))),5,MIN(4,1+IF(H39&gt;=7,1,0)+IF(OR(ISNUMBER(SEARCH("hunger strike",Q39)),ISNUMBER(SEARCH("blockade",Q39)),ISNUMBER(SEARCH("strike",Q39)),ISNUMBER(SEARCH("jal satyagraha",Q39)),ISNUMBER(SEARCH("survey",Q39)),ISNUMBER(SEARCH("human chain",Q39)),ISNUMBER(SEARCH("march",Q39))),1,0)+IF(OR(ISNUMBER(SEARCH("fir",Q39)),ISNUMBER(SEARCH("confrontation",Q39)),ISNUMBER(SEARCH("violence",Q39)),ISNUMBER(SEARCH("detention",Q39)),ISNUMBER(SEARCH("arrest",Q39)),ISNUMBER(SEARCH("demolition",Q39)),ISNUMBER(SEARCH("injury",Q39))),1,0)+IF(OR(D39="Ongoing",D39="Unresolved"),1,0))))</x:f>
      </x:c>
      <x:c r="K39" s="16" t="str">
        <x:f>IF(J39="","",IF(J39=1,"Limited",IF(J39=2,"Local",IF(J39=3,"Significant",IF(J39=4,"High","Critical")))))</x:f>
      </x:c>
      <x:c r="L39" s="16" t="str">
        <x:f>IF(A39="","",Events!U38)</x:f>
      </x:c>
      <x:c r="M39" s="16" t="str">
        <x:f>IF(A39="","",Events!V38)</x:f>
      </x:c>
      <x:c r="N39" s="16" t="str">
        <x:f>IF(A39="","",Events!Q38)</x:f>
      </x:c>
      <x:c r="O39" s="16" t="str">
        <x:f>IF(A39="","",Events!R38)</x:f>
      </x:c>
      <x:c r="P39" s="16" t="str">
        <x:f>IF(A39="","",LOWER(Events!B38&amp;" "&amp;Events!D38&amp;" "&amp;Events!K38))</x:f>
      </x:c>
      <x:c r="Q39" s="16" t="str">
        <x:f>IF(A39="","",LOWER(Events!C38&amp;" "&amp;Events!K38&amp;" "&amp;Events!T38))</x:f>
      </x:c>
      <x:c r="R39" s="16" t="str">
        <x:f>IF(A39="","",IF(ISNUMBER(SEARCH("Occurrence verified",E39)),"Occurrence verified",E39))</x:f>
      </x:c>
      <x:c r="S39" s="79" t="str">
        <x:f>IF(A39="","",Events!X38)</x:f>
      </x:c>
      <x:c r="T39" t="str">
        <x:v>Lakshadweep</x:v>
      </x:c>
      <x:c r="U39" t="n">
        <x:f>COUNTIF($C$6:$C$1001,T39)</x:f>
        <x:v>0</x:v>
      </x:c>
      <x:c r="V39" t="n">
        <x:f>U39*1000+(100-ROW())/1000</x:f>
        <x:v>0.061</x:v>
      </x:c>
      <x:c r="Z39" s="79" t="str">
        <x:f>IF(A39="","",Events!AD38)</x:f>
      </x:c>
      <x:c r="AA39" s="79" t="str">
        <x:f>IF(A39="","",Events!AE38)</x:f>
      </x:c>
    </x:row>
    <x:row r="40">
      <x:c r="A40" s="16" t="str">
        <x:f>IF(Events!A39="","",Events!A39)</x:f>
      </x:c>
      <x:c r="B40" s="16" t="str">
        <x:f>IF(A40="","",Events!B39)</x:f>
      </x:c>
      <x:c r="C40" s="16" t="str">
        <x:f>IF(A40="","",Events!E39)</x:f>
      </x:c>
      <x:c r="D40" s="16" t="str">
        <x:f>IF(A40="","",Events!J39)</x:f>
      </x:c>
      <x:c r="E40" s="16" t="str">
        <x:f>IF(A40="","",Events!N39)</x:f>
      </x:c>
      <x:c r="F40" s="109" t="str">
        <x:f>IF(OR(A40="",Events!H39=""),"",Events!H39)</x:f>
      </x:c>
      <x:c r="G40" s="109" t="str">
        <x:f>IF(A40="","",IF(Events!I39&lt;&gt;"",Events!I39,IF(Events!S39&lt;&gt;"",Events!S39,"")))</x:f>
      </x:c>
      <x:c r="H40" s="16" t="str">
        <x:f>IF(A40="","",Events!W39)</x:f>
      </x:c>
      <x:c r="I40" s="16" t="str">
        <x:f>IF(A40="","",IF(Events!Y39&lt;&gt;"",Events!Y39,IF(OR(ISNUMBER(SEARCH("education",P40)),ISNUMBER(SEARCH("exam",P40)),ISNUMBER(SEARCH("school",P40))),"Education",IF(OR(ISNUMBER(SEARCH("trade agreement",P40)),ISNUMBER(SEARCH("economic",P40)),ISNUMBER(SEARCH("import",P40))),"Trade &amp; economic policy",IF(OR(ISNUMBER(SEARCH("land acquisition",P40)),ISNUMBER(SEARCH("rehabilitation",P40)),ISNUMBER(SEARCH("displacement",P40)),ISNUMBER(SEARCH("township",P40))),"Land &amp; rehabilitation",IF(OR(ISNUMBER(SEARCH("forest",P40)),ISNUMBER(SEARCH("environment",P40)),ISNUMBER(SEARCH("ecological",P40)),ISNUMBER(SEARCH("biodiversity",P40)),ISNUMBER(SEARCH("green cover",P40))),"Environment",IF(OR(ISNUMBER(SEARCH("irrigation",P40)),ISNUMBER(SEARCH("water",P40)),ISNUMBER(SEARCH("crop",P40)),ISNUMBER(SEARCH("farmer",P40)),ISNUMBER(SEARCH("agriculture",P40))),"Agriculture &amp; water",IF(OR(ISNUMBER(SEARCH("health",P40)),ISNUMBER(SEARCH("hospital",P40)),ISNUMBER(SEARCH("medicine",P40))),"Public health",IF(OR(ISNUMBER(SEARCH("employee",P40)),ISNUMBER(SEARCH("labour",P40)),ISNUMBER(SEARCH("worker",P40)),ISNUMBER(SEARCH("salary",P40))),"Labour &amp; employment",IF(OR(ISNUMBER(SEARCH("rti",P40)),ISNUMBER(SEARCH("transparency",P40)),ISNUMBER(SEARCH("corruption",P40)),ISNUMBER(SEARCH("governance",P40))),"Governance &amp; transparency",IF(OR(ISNUMBER(SEARCH("police",P40)),ISNUMBER(SEARCH("detention",P40)),ISNUMBER(SEARCH("civil rights",P40)),ISNUMBER(SEARCH("justice",P40))),"Civil rights &amp; justice",IF(OR(ISNUMBER(SEARCH("road",P40)),ISNUMBER(SEARCH("utility",P40)),ISNUMBER(SEARCH("infrastructure",P40)),ISNUMBER(SEARCH("public service",P40))),"Infrastructure &amp; public services","Other"))))))))))))</x:f>
      </x:c>
      <x:c r="J40" s="16" t="str">
        <x:f>IF(A40="","",IF(OR(ISNUMBER(SEARCH("fatal",Q40)),ISNUMBER(SEARCH("death",Q40)),ISNUMBER(SEARCH("riot",Q40)),ISNUMBER(SEARCH("curfew",Q40)),ISNUMBER(SEARCH("internet shutdown",Q40))),5,MIN(4,1+IF(H40&gt;=7,1,0)+IF(OR(ISNUMBER(SEARCH("hunger strike",Q40)),ISNUMBER(SEARCH("blockade",Q40)),ISNUMBER(SEARCH("strike",Q40)),ISNUMBER(SEARCH("jal satyagraha",Q40)),ISNUMBER(SEARCH("survey",Q40)),ISNUMBER(SEARCH("human chain",Q40)),ISNUMBER(SEARCH("march",Q40))),1,0)+IF(OR(ISNUMBER(SEARCH("fir",Q40)),ISNUMBER(SEARCH("confrontation",Q40)),ISNUMBER(SEARCH("violence",Q40)),ISNUMBER(SEARCH("detention",Q40)),ISNUMBER(SEARCH("arrest",Q40)),ISNUMBER(SEARCH("demolition",Q40)),ISNUMBER(SEARCH("injury",Q40))),1,0)+IF(OR(D40="Ongoing",D40="Unresolved"),1,0))))</x:f>
      </x:c>
      <x:c r="K40" s="16" t="str">
        <x:f>IF(J40="","",IF(J40=1,"Limited",IF(J40=2,"Local",IF(J40=3,"Significant",IF(J40=4,"High","Critical")))))</x:f>
      </x:c>
      <x:c r="L40" s="16" t="str">
        <x:f>IF(A40="","",Events!U39)</x:f>
      </x:c>
      <x:c r="M40" s="16" t="str">
        <x:f>IF(A40="","",Events!V39)</x:f>
      </x:c>
      <x:c r="N40" s="16" t="str">
        <x:f>IF(A40="","",Events!Q39)</x:f>
      </x:c>
      <x:c r="O40" s="16" t="str">
        <x:f>IF(A40="","",Events!R39)</x:f>
      </x:c>
      <x:c r="P40" s="16" t="str">
        <x:f>IF(A40="","",LOWER(Events!B39&amp;" "&amp;Events!D39&amp;" "&amp;Events!K39))</x:f>
      </x:c>
      <x:c r="Q40" s="16" t="str">
        <x:f>IF(A40="","",LOWER(Events!C39&amp;" "&amp;Events!K39&amp;" "&amp;Events!T39))</x:f>
      </x:c>
      <x:c r="R40" s="16" t="str">
        <x:f>IF(A40="","",IF(ISNUMBER(SEARCH("Occurrence verified",E40)),"Occurrence verified",E40))</x:f>
      </x:c>
      <x:c r="S40" s="79" t="str">
        <x:f>IF(A40="","",Events!X39)</x:f>
      </x:c>
      <x:c r="T40" t="str">
        <x:v>Puducherry</x:v>
      </x:c>
      <x:c r="U40" t="n">
        <x:f>COUNTIF($C$6:$C$1001,T40)</x:f>
        <x:v>0</x:v>
      </x:c>
      <x:c r="V40" t="n">
        <x:f>U40*1000+(100-ROW())/1000</x:f>
        <x:v>0.06</x:v>
      </x:c>
      <x:c r="Z40" s="79" t="str">
        <x:f>IF(A40="","",Events!AD39)</x:f>
      </x:c>
      <x:c r="AA40" s="79" t="str">
        <x:f>IF(A40="","",Events!AE39)</x:f>
      </x:c>
    </x:row>
    <x:row r="41">
      <x:c r="A41" s="16" t="str">
        <x:f>IF(Events!A40="","",Events!A40)</x:f>
      </x:c>
      <x:c r="B41" s="16" t="str">
        <x:f>IF(A41="","",Events!B40)</x:f>
      </x:c>
      <x:c r="C41" s="16" t="str">
        <x:f>IF(A41="","",Events!E40)</x:f>
      </x:c>
      <x:c r="D41" s="16" t="str">
        <x:f>IF(A41="","",Events!J40)</x:f>
      </x:c>
      <x:c r="E41" s="16" t="str">
        <x:f>IF(A41="","",Events!N40)</x:f>
      </x:c>
      <x:c r="F41" s="109" t="str">
        <x:f>IF(OR(A41="",Events!H40=""),"",Events!H40)</x:f>
      </x:c>
      <x:c r="G41" s="109" t="str">
        <x:f>IF(A41="","",IF(Events!I40&lt;&gt;"",Events!I40,IF(Events!S40&lt;&gt;"",Events!S40,"")))</x:f>
      </x:c>
      <x:c r="H41" s="16" t="str">
        <x:f>IF(A41="","",Events!W40)</x:f>
      </x:c>
      <x:c r="I41" s="16" t="str">
        <x:f>IF(A41="","",IF(Events!Y40&lt;&gt;"",Events!Y40,IF(OR(ISNUMBER(SEARCH("education",P41)),ISNUMBER(SEARCH("exam",P41)),ISNUMBER(SEARCH("school",P41))),"Education",IF(OR(ISNUMBER(SEARCH("trade agreement",P41)),ISNUMBER(SEARCH("economic",P41)),ISNUMBER(SEARCH("import",P41))),"Trade &amp; economic policy",IF(OR(ISNUMBER(SEARCH("land acquisition",P41)),ISNUMBER(SEARCH("rehabilitation",P41)),ISNUMBER(SEARCH("displacement",P41)),ISNUMBER(SEARCH("township",P41))),"Land &amp; rehabilitation",IF(OR(ISNUMBER(SEARCH("forest",P41)),ISNUMBER(SEARCH("environment",P41)),ISNUMBER(SEARCH("ecological",P41)),ISNUMBER(SEARCH("biodiversity",P41)),ISNUMBER(SEARCH("green cover",P41))),"Environment",IF(OR(ISNUMBER(SEARCH("irrigation",P41)),ISNUMBER(SEARCH("water",P41)),ISNUMBER(SEARCH("crop",P41)),ISNUMBER(SEARCH("farmer",P41)),ISNUMBER(SEARCH("agriculture",P41))),"Agriculture &amp; water",IF(OR(ISNUMBER(SEARCH("health",P41)),ISNUMBER(SEARCH("hospital",P41)),ISNUMBER(SEARCH("medicine",P41))),"Public health",IF(OR(ISNUMBER(SEARCH("employee",P41)),ISNUMBER(SEARCH("labour",P41)),ISNUMBER(SEARCH("worker",P41)),ISNUMBER(SEARCH("salary",P41))),"Labour &amp; employment",IF(OR(ISNUMBER(SEARCH("rti",P41)),ISNUMBER(SEARCH("transparency",P41)),ISNUMBER(SEARCH("corruption",P41)),ISNUMBER(SEARCH("governance",P41))),"Governance &amp; transparency",IF(OR(ISNUMBER(SEARCH("police",P41)),ISNUMBER(SEARCH("detention",P41)),ISNUMBER(SEARCH("civil rights",P41)),ISNUMBER(SEARCH("justice",P41))),"Civil rights &amp; justice",IF(OR(ISNUMBER(SEARCH("road",P41)),ISNUMBER(SEARCH("utility",P41)),ISNUMBER(SEARCH("infrastructure",P41)),ISNUMBER(SEARCH("public service",P41))),"Infrastructure &amp; public services","Other"))))))))))))</x:f>
      </x:c>
      <x:c r="J41" s="16" t="str">
        <x:f>IF(A41="","",IF(OR(ISNUMBER(SEARCH("fatal",Q41)),ISNUMBER(SEARCH("death",Q41)),ISNUMBER(SEARCH("riot",Q41)),ISNUMBER(SEARCH("curfew",Q41)),ISNUMBER(SEARCH("internet shutdown",Q41))),5,MIN(4,1+IF(H41&gt;=7,1,0)+IF(OR(ISNUMBER(SEARCH("hunger strike",Q41)),ISNUMBER(SEARCH("blockade",Q41)),ISNUMBER(SEARCH("strike",Q41)),ISNUMBER(SEARCH("jal satyagraha",Q41)),ISNUMBER(SEARCH("survey",Q41)),ISNUMBER(SEARCH("human chain",Q41)),ISNUMBER(SEARCH("march",Q41))),1,0)+IF(OR(ISNUMBER(SEARCH("fir",Q41)),ISNUMBER(SEARCH("confrontation",Q41)),ISNUMBER(SEARCH("violence",Q41)),ISNUMBER(SEARCH("detention",Q41)),ISNUMBER(SEARCH("arrest",Q41)),ISNUMBER(SEARCH("demolition",Q41)),ISNUMBER(SEARCH("injury",Q41))),1,0)+IF(OR(D41="Ongoing",D41="Unresolved"),1,0))))</x:f>
      </x:c>
      <x:c r="K41" s="16" t="str">
        <x:f>IF(J41="","",IF(J41=1,"Limited",IF(J41=2,"Local",IF(J41=3,"Significant",IF(J41=4,"High","Critical")))))</x:f>
      </x:c>
      <x:c r="L41" s="16" t="str">
        <x:f>IF(A41="","",Events!U40)</x:f>
      </x:c>
      <x:c r="M41" s="16" t="str">
        <x:f>IF(A41="","",Events!V40)</x:f>
      </x:c>
      <x:c r="N41" s="16" t="str">
        <x:f>IF(A41="","",Events!Q40)</x:f>
      </x:c>
      <x:c r="O41" s="16" t="str">
        <x:f>IF(A41="","",Events!R40)</x:f>
      </x:c>
      <x:c r="P41" s="16" t="str">
        <x:f>IF(A41="","",LOWER(Events!B40&amp;" "&amp;Events!D40&amp;" "&amp;Events!K40))</x:f>
      </x:c>
      <x:c r="Q41" s="16" t="str">
        <x:f>IF(A41="","",LOWER(Events!C40&amp;" "&amp;Events!K40&amp;" "&amp;Events!T40))</x:f>
      </x:c>
      <x:c r="R41" s="16" t="str">
        <x:f>IF(A41="","",IF(ISNUMBER(SEARCH("Occurrence verified",E41)),"Occurrence verified",E41))</x:f>
      </x:c>
      <x:c r="S41" s="79" t="str">
        <x:f>IF(A41="","",Events!X40)</x:f>
      </x:c>
      <x:c r="Z41" s="79" t="str">
        <x:f>IF(A41="","",Events!AD40)</x:f>
      </x:c>
      <x:c r="AA41" s="79" t="str">
        <x:f>IF(A41="","",Events!AE40)</x:f>
      </x:c>
    </x:row>
    <x:row r="42">
      <x:c r="A42" s="16" t="str">
        <x:f>IF(Events!A41="","",Events!A41)</x:f>
      </x:c>
      <x:c r="B42" s="16" t="str">
        <x:f>IF(A42="","",Events!B41)</x:f>
      </x:c>
      <x:c r="C42" s="16" t="str">
        <x:f>IF(A42="","",Events!E41)</x:f>
      </x:c>
      <x:c r="D42" s="16" t="str">
        <x:f>IF(A42="","",Events!J41)</x:f>
      </x:c>
      <x:c r="E42" s="16" t="str">
        <x:f>IF(A42="","",Events!N41)</x:f>
      </x:c>
      <x:c r="F42" s="109" t="str">
        <x:f>IF(OR(A42="",Events!H41=""),"",Events!H41)</x:f>
      </x:c>
      <x:c r="G42" s="109" t="str">
        <x:f>IF(A42="","",IF(Events!I41&lt;&gt;"",Events!I41,IF(Events!S41&lt;&gt;"",Events!S41,"")))</x:f>
      </x:c>
      <x:c r="H42" s="16" t="str">
        <x:f>IF(A42="","",Events!W41)</x:f>
      </x:c>
      <x:c r="I42" s="16" t="str">
        <x:f>IF(A42="","",IF(Events!Y41&lt;&gt;"",Events!Y41,IF(OR(ISNUMBER(SEARCH("education",P42)),ISNUMBER(SEARCH("exam",P42)),ISNUMBER(SEARCH("school",P42))),"Education",IF(OR(ISNUMBER(SEARCH("trade agreement",P42)),ISNUMBER(SEARCH("economic",P42)),ISNUMBER(SEARCH("import",P42))),"Trade &amp; economic policy",IF(OR(ISNUMBER(SEARCH("land acquisition",P42)),ISNUMBER(SEARCH("rehabilitation",P42)),ISNUMBER(SEARCH("displacement",P42)),ISNUMBER(SEARCH("township",P42))),"Land &amp; rehabilitation",IF(OR(ISNUMBER(SEARCH("forest",P42)),ISNUMBER(SEARCH("environment",P42)),ISNUMBER(SEARCH("ecological",P42)),ISNUMBER(SEARCH("biodiversity",P42)),ISNUMBER(SEARCH("green cover",P42))),"Environment",IF(OR(ISNUMBER(SEARCH("irrigation",P42)),ISNUMBER(SEARCH("water",P42)),ISNUMBER(SEARCH("crop",P42)),ISNUMBER(SEARCH("farmer",P42)),ISNUMBER(SEARCH("agriculture",P42))),"Agriculture &amp; water",IF(OR(ISNUMBER(SEARCH("health",P42)),ISNUMBER(SEARCH("hospital",P42)),ISNUMBER(SEARCH("medicine",P42))),"Public health",IF(OR(ISNUMBER(SEARCH("employee",P42)),ISNUMBER(SEARCH("labour",P42)),ISNUMBER(SEARCH("worker",P42)),ISNUMBER(SEARCH("salary",P42))),"Labour &amp; employment",IF(OR(ISNUMBER(SEARCH("rti",P42)),ISNUMBER(SEARCH("transparency",P42)),ISNUMBER(SEARCH("corruption",P42)),ISNUMBER(SEARCH("governance",P42))),"Governance &amp; transparency",IF(OR(ISNUMBER(SEARCH("police",P42)),ISNUMBER(SEARCH("detention",P42)),ISNUMBER(SEARCH("civil rights",P42)),ISNUMBER(SEARCH("justice",P42))),"Civil rights &amp; justice",IF(OR(ISNUMBER(SEARCH("road",P42)),ISNUMBER(SEARCH("utility",P42)),ISNUMBER(SEARCH("infrastructure",P42)),ISNUMBER(SEARCH("public service",P42))),"Infrastructure &amp; public services","Other"))))))))))))</x:f>
      </x:c>
      <x:c r="J42" s="16" t="str">
        <x:f>IF(A42="","",IF(OR(ISNUMBER(SEARCH("fatal",Q42)),ISNUMBER(SEARCH("death",Q42)),ISNUMBER(SEARCH("riot",Q42)),ISNUMBER(SEARCH("curfew",Q42)),ISNUMBER(SEARCH("internet shutdown",Q42))),5,MIN(4,1+IF(H42&gt;=7,1,0)+IF(OR(ISNUMBER(SEARCH("hunger strike",Q42)),ISNUMBER(SEARCH("blockade",Q42)),ISNUMBER(SEARCH("strike",Q42)),ISNUMBER(SEARCH("jal satyagraha",Q42)),ISNUMBER(SEARCH("survey",Q42)),ISNUMBER(SEARCH("human chain",Q42)),ISNUMBER(SEARCH("march",Q42))),1,0)+IF(OR(ISNUMBER(SEARCH("fir",Q42)),ISNUMBER(SEARCH("confrontation",Q42)),ISNUMBER(SEARCH("violence",Q42)),ISNUMBER(SEARCH("detention",Q42)),ISNUMBER(SEARCH("arrest",Q42)),ISNUMBER(SEARCH("demolition",Q42)),ISNUMBER(SEARCH("injury",Q42))),1,0)+IF(OR(D42="Ongoing",D42="Unresolved"),1,0))))</x:f>
      </x:c>
      <x:c r="K42" s="16" t="str">
        <x:f>IF(J42="","",IF(J42=1,"Limited",IF(J42=2,"Local",IF(J42=3,"Significant",IF(J42=4,"High","Critical")))))</x:f>
      </x:c>
      <x:c r="L42" s="16" t="str">
        <x:f>IF(A42="","",Events!U41)</x:f>
      </x:c>
      <x:c r="M42" s="16" t="str">
        <x:f>IF(A42="","",Events!V41)</x:f>
      </x:c>
      <x:c r="N42" s="16" t="str">
        <x:f>IF(A42="","",Events!Q41)</x:f>
      </x:c>
      <x:c r="O42" s="16" t="str">
        <x:f>IF(A42="","",Events!R41)</x:f>
      </x:c>
      <x:c r="P42" s="16" t="str">
        <x:f>IF(A42="","",LOWER(Events!B41&amp;" "&amp;Events!D41&amp;" "&amp;Events!K41))</x:f>
      </x:c>
      <x:c r="Q42" s="16" t="str">
        <x:f>IF(A42="","",LOWER(Events!C41&amp;" "&amp;Events!K41&amp;" "&amp;Events!T41))</x:f>
      </x:c>
      <x:c r="R42" s="16" t="str">
        <x:f>IF(A42="","",IF(ISNUMBER(SEARCH("Occurrence verified",E42)),"Occurrence verified",E42))</x:f>
      </x:c>
      <x:c r="S42" s="79" t="str">
        <x:f>IF(A42="","",Events!X41)</x:f>
      </x:c>
      <x:c r="Z42" s="79" t="str">
        <x:f>IF(A42="","",Events!AD41)</x:f>
      </x:c>
      <x:c r="AA42" s="79" t="str">
        <x:f>IF(A42="","",Events!AE41)</x:f>
      </x:c>
    </x:row>
    <x:row r="43">
      <x:c r="A43" s="16" t="str">
        <x:f>IF(Events!A42="","",Events!A42)</x:f>
      </x:c>
      <x:c r="B43" s="16" t="str">
        <x:f>IF(A43="","",Events!B42)</x:f>
      </x:c>
      <x:c r="C43" s="16" t="str">
        <x:f>IF(A43="","",Events!E42)</x:f>
      </x:c>
      <x:c r="D43" s="16" t="str">
        <x:f>IF(A43="","",Events!J42)</x:f>
      </x:c>
      <x:c r="E43" s="16" t="str">
        <x:f>IF(A43="","",Events!N42)</x:f>
      </x:c>
      <x:c r="F43" s="109" t="str">
        <x:f>IF(OR(A43="",Events!H42=""),"",Events!H42)</x:f>
      </x:c>
      <x:c r="G43" s="109" t="str">
        <x:f>IF(A43="","",IF(Events!I42&lt;&gt;"",Events!I42,IF(Events!S42&lt;&gt;"",Events!S42,"")))</x:f>
      </x:c>
      <x:c r="H43" s="16" t="str">
        <x:f>IF(A43="","",Events!W42)</x:f>
      </x:c>
      <x:c r="I43" s="16" t="str">
        <x:f>IF(A43="","",IF(Events!Y42&lt;&gt;"",Events!Y42,IF(OR(ISNUMBER(SEARCH("education",P43)),ISNUMBER(SEARCH("exam",P43)),ISNUMBER(SEARCH("school",P43))),"Education",IF(OR(ISNUMBER(SEARCH("trade agreement",P43)),ISNUMBER(SEARCH("economic",P43)),ISNUMBER(SEARCH("import",P43))),"Trade &amp; economic policy",IF(OR(ISNUMBER(SEARCH("land acquisition",P43)),ISNUMBER(SEARCH("rehabilitation",P43)),ISNUMBER(SEARCH("displacement",P43)),ISNUMBER(SEARCH("township",P43))),"Land &amp; rehabilitation",IF(OR(ISNUMBER(SEARCH("forest",P43)),ISNUMBER(SEARCH("environment",P43)),ISNUMBER(SEARCH("ecological",P43)),ISNUMBER(SEARCH("biodiversity",P43)),ISNUMBER(SEARCH("green cover",P43))),"Environment",IF(OR(ISNUMBER(SEARCH("irrigation",P43)),ISNUMBER(SEARCH("water",P43)),ISNUMBER(SEARCH("crop",P43)),ISNUMBER(SEARCH("farmer",P43)),ISNUMBER(SEARCH("agriculture",P43))),"Agriculture &amp; water",IF(OR(ISNUMBER(SEARCH("health",P43)),ISNUMBER(SEARCH("hospital",P43)),ISNUMBER(SEARCH("medicine",P43))),"Public health",IF(OR(ISNUMBER(SEARCH("employee",P43)),ISNUMBER(SEARCH("labour",P43)),ISNUMBER(SEARCH("worker",P43)),ISNUMBER(SEARCH("salary",P43))),"Labour &amp; employment",IF(OR(ISNUMBER(SEARCH("rti",P43)),ISNUMBER(SEARCH("transparency",P43)),ISNUMBER(SEARCH("corruption",P43)),ISNUMBER(SEARCH("governance",P43))),"Governance &amp; transparency",IF(OR(ISNUMBER(SEARCH("police",P43)),ISNUMBER(SEARCH("detention",P43)),ISNUMBER(SEARCH("civil rights",P43)),ISNUMBER(SEARCH("justice",P43))),"Civil rights &amp; justice",IF(OR(ISNUMBER(SEARCH("road",P43)),ISNUMBER(SEARCH("utility",P43)),ISNUMBER(SEARCH("infrastructure",P43)),ISNUMBER(SEARCH("public service",P43))),"Infrastructure &amp; public services","Other"))))))))))))</x:f>
      </x:c>
      <x:c r="J43" s="16" t="str">
        <x:f>IF(A43="","",IF(OR(ISNUMBER(SEARCH("fatal",Q43)),ISNUMBER(SEARCH("death",Q43)),ISNUMBER(SEARCH("riot",Q43)),ISNUMBER(SEARCH("curfew",Q43)),ISNUMBER(SEARCH("internet shutdown",Q43))),5,MIN(4,1+IF(H43&gt;=7,1,0)+IF(OR(ISNUMBER(SEARCH("hunger strike",Q43)),ISNUMBER(SEARCH("blockade",Q43)),ISNUMBER(SEARCH("strike",Q43)),ISNUMBER(SEARCH("jal satyagraha",Q43)),ISNUMBER(SEARCH("survey",Q43)),ISNUMBER(SEARCH("human chain",Q43)),ISNUMBER(SEARCH("march",Q43))),1,0)+IF(OR(ISNUMBER(SEARCH("fir",Q43)),ISNUMBER(SEARCH("confrontation",Q43)),ISNUMBER(SEARCH("violence",Q43)),ISNUMBER(SEARCH("detention",Q43)),ISNUMBER(SEARCH("arrest",Q43)),ISNUMBER(SEARCH("demolition",Q43)),ISNUMBER(SEARCH("injury",Q43))),1,0)+IF(OR(D43="Ongoing",D43="Unresolved"),1,0))))</x:f>
      </x:c>
      <x:c r="K43" s="16" t="str">
        <x:f>IF(J43="","",IF(J43=1,"Limited",IF(J43=2,"Local",IF(J43=3,"Significant",IF(J43=4,"High","Critical")))))</x:f>
      </x:c>
      <x:c r="L43" s="16" t="str">
        <x:f>IF(A43="","",Events!U42)</x:f>
      </x:c>
      <x:c r="M43" s="16" t="str">
        <x:f>IF(A43="","",Events!V42)</x:f>
      </x:c>
      <x:c r="N43" s="16" t="str">
        <x:f>IF(A43="","",Events!Q42)</x:f>
      </x:c>
      <x:c r="O43" s="16" t="str">
        <x:f>IF(A43="","",Events!R42)</x:f>
      </x:c>
      <x:c r="P43" s="16" t="str">
        <x:f>IF(A43="","",LOWER(Events!B42&amp;" "&amp;Events!D42&amp;" "&amp;Events!K42))</x:f>
      </x:c>
      <x:c r="Q43" s="16" t="str">
        <x:f>IF(A43="","",LOWER(Events!C42&amp;" "&amp;Events!K42&amp;" "&amp;Events!T42))</x:f>
      </x:c>
      <x:c r="R43" s="16" t="str">
        <x:f>IF(A43="","",IF(ISNUMBER(SEARCH("Occurrence verified",E43)),"Occurrence verified",E43))</x:f>
      </x:c>
      <x:c r="S43" s="79" t="str">
        <x:f>IF(A43="","",Events!X42)</x:f>
      </x:c>
      <x:c r="Z43" s="79" t="str">
        <x:f>IF(A43="","",Events!AD42)</x:f>
      </x:c>
      <x:c r="AA43" s="79" t="str">
        <x:f>IF(A43="","",Events!AE42)</x:f>
      </x:c>
    </x:row>
    <x:row r="44">
      <x:c r="A44" s="16" t="str">
        <x:f>IF(Events!A43="","",Events!A43)</x:f>
      </x:c>
      <x:c r="B44" s="16" t="str">
        <x:f>IF(A44="","",Events!B43)</x:f>
      </x:c>
      <x:c r="C44" s="16" t="str">
        <x:f>IF(A44="","",Events!E43)</x:f>
      </x:c>
      <x:c r="D44" s="16" t="str">
        <x:f>IF(A44="","",Events!J43)</x:f>
      </x:c>
      <x:c r="E44" s="16" t="str">
        <x:f>IF(A44="","",Events!N43)</x:f>
      </x:c>
      <x:c r="F44" s="109" t="str">
        <x:f>IF(OR(A44="",Events!H43=""),"",Events!H43)</x:f>
      </x:c>
      <x:c r="G44" s="109" t="str">
        <x:f>IF(A44="","",IF(Events!I43&lt;&gt;"",Events!I43,IF(Events!S43&lt;&gt;"",Events!S43,"")))</x:f>
      </x:c>
      <x:c r="H44" s="16" t="str">
        <x:f>IF(A44="","",Events!W43)</x:f>
      </x:c>
      <x:c r="I44" s="16" t="str">
        <x:f>IF(A44="","",IF(Events!Y43&lt;&gt;"",Events!Y43,IF(OR(ISNUMBER(SEARCH("education",P44)),ISNUMBER(SEARCH("exam",P44)),ISNUMBER(SEARCH("school",P44))),"Education",IF(OR(ISNUMBER(SEARCH("trade agreement",P44)),ISNUMBER(SEARCH("economic",P44)),ISNUMBER(SEARCH("import",P44))),"Trade &amp; economic policy",IF(OR(ISNUMBER(SEARCH("land acquisition",P44)),ISNUMBER(SEARCH("rehabilitation",P44)),ISNUMBER(SEARCH("displacement",P44)),ISNUMBER(SEARCH("township",P44))),"Land &amp; rehabilitation",IF(OR(ISNUMBER(SEARCH("forest",P44)),ISNUMBER(SEARCH("environment",P44)),ISNUMBER(SEARCH("ecological",P44)),ISNUMBER(SEARCH("biodiversity",P44)),ISNUMBER(SEARCH("green cover",P44))),"Environment",IF(OR(ISNUMBER(SEARCH("irrigation",P44)),ISNUMBER(SEARCH("water",P44)),ISNUMBER(SEARCH("crop",P44)),ISNUMBER(SEARCH("farmer",P44)),ISNUMBER(SEARCH("agriculture",P44))),"Agriculture &amp; water",IF(OR(ISNUMBER(SEARCH("health",P44)),ISNUMBER(SEARCH("hospital",P44)),ISNUMBER(SEARCH("medicine",P44))),"Public health",IF(OR(ISNUMBER(SEARCH("employee",P44)),ISNUMBER(SEARCH("labour",P44)),ISNUMBER(SEARCH("worker",P44)),ISNUMBER(SEARCH("salary",P44))),"Labour &amp; employment",IF(OR(ISNUMBER(SEARCH("rti",P44)),ISNUMBER(SEARCH("transparency",P44)),ISNUMBER(SEARCH("corruption",P44)),ISNUMBER(SEARCH("governance",P44))),"Governance &amp; transparency",IF(OR(ISNUMBER(SEARCH("police",P44)),ISNUMBER(SEARCH("detention",P44)),ISNUMBER(SEARCH("civil rights",P44)),ISNUMBER(SEARCH("justice",P44))),"Civil rights &amp; justice",IF(OR(ISNUMBER(SEARCH("road",P44)),ISNUMBER(SEARCH("utility",P44)),ISNUMBER(SEARCH("infrastructure",P44)),ISNUMBER(SEARCH("public service",P44))),"Infrastructure &amp; public services","Other"))))))))))))</x:f>
      </x:c>
      <x:c r="J44" s="16" t="str">
        <x:f>IF(A44="","",IF(OR(ISNUMBER(SEARCH("fatal",Q44)),ISNUMBER(SEARCH("death",Q44)),ISNUMBER(SEARCH("riot",Q44)),ISNUMBER(SEARCH("curfew",Q44)),ISNUMBER(SEARCH("internet shutdown",Q44))),5,MIN(4,1+IF(H44&gt;=7,1,0)+IF(OR(ISNUMBER(SEARCH("hunger strike",Q44)),ISNUMBER(SEARCH("blockade",Q44)),ISNUMBER(SEARCH("strike",Q44)),ISNUMBER(SEARCH("jal satyagraha",Q44)),ISNUMBER(SEARCH("survey",Q44)),ISNUMBER(SEARCH("human chain",Q44)),ISNUMBER(SEARCH("march",Q44))),1,0)+IF(OR(ISNUMBER(SEARCH("fir",Q44)),ISNUMBER(SEARCH("confrontation",Q44)),ISNUMBER(SEARCH("violence",Q44)),ISNUMBER(SEARCH("detention",Q44)),ISNUMBER(SEARCH("arrest",Q44)),ISNUMBER(SEARCH("demolition",Q44)),ISNUMBER(SEARCH("injury",Q44))),1,0)+IF(OR(D44="Ongoing",D44="Unresolved"),1,0))))</x:f>
      </x:c>
      <x:c r="K44" s="16" t="str">
        <x:f>IF(J44="","",IF(J44=1,"Limited",IF(J44=2,"Local",IF(J44=3,"Significant",IF(J44=4,"High","Critical")))))</x:f>
      </x:c>
      <x:c r="L44" s="16" t="str">
        <x:f>IF(A44="","",Events!U43)</x:f>
      </x:c>
      <x:c r="M44" s="16" t="str">
        <x:f>IF(A44="","",Events!V43)</x:f>
      </x:c>
      <x:c r="N44" s="16" t="str">
        <x:f>IF(A44="","",Events!Q43)</x:f>
      </x:c>
      <x:c r="O44" s="16" t="str">
        <x:f>IF(A44="","",Events!R43)</x:f>
      </x:c>
      <x:c r="P44" s="16" t="str">
        <x:f>IF(A44="","",LOWER(Events!B43&amp;" "&amp;Events!D43&amp;" "&amp;Events!K43))</x:f>
      </x:c>
      <x:c r="Q44" s="16" t="str">
        <x:f>IF(A44="","",LOWER(Events!C43&amp;" "&amp;Events!K43&amp;" "&amp;Events!T43))</x:f>
      </x:c>
      <x:c r="R44" s="16" t="str">
        <x:f>IF(A44="","",IF(ISNUMBER(SEARCH("Occurrence verified",E44)),"Occurrence verified",E44))</x:f>
      </x:c>
      <x:c r="S44" s="79" t="str">
        <x:f>IF(A44="","",Events!X43)</x:f>
      </x:c>
      <x:c r="T44" s="343" t="str">
        <x:v>Primary topic</x:v>
      </x:c>
      <x:c r="U44" s="343" t="str">
        <x:v>Event count</x:v>
      </x:c>
      <x:c r="V44" s="343" t="str">
        <x:v>Rank key</x:v>
      </x:c>
      <x:c r="X44" s="343" t="str">
        <x:v>Top topic</x:v>
      </x:c>
      <x:c r="Y44" s="343" t="str">
        <x:v>Events</x:v>
      </x:c>
      <x:c r="Z44" s="79" t="str">
        <x:f>IF(A44="","",Events!AD43)</x:f>
      </x:c>
      <x:c r="AA44" s="79" t="str">
        <x:f>IF(A44="","",Events!AE43)</x:f>
      </x:c>
    </x:row>
    <x:row r="45">
      <x:c r="A45" s="16" t="str">
        <x:f>IF(Events!A44="","",Events!A44)</x:f>
      </x:c>
      <x:c r="B45" s="16" t="str">
        <x:f>IF(A45="","",Events!B44)</x:f>
      </x:c>
      <x:c r="C45" s="16" t="str">
        <x:f>IF(A45="","",Events!E44)</x:f>
      </x:c>
      <x:c r="D45" s="16" t="str">
        <x:f>IF(A45="","",Events!J44)</x:f>
      </x:c>
      <x:c r="E45" s="16" t="str">
        <x:f>IF(A45="","",Events!N44)</x:f>
      </x:c>
      <x:c r="F45" s="109" t="str">
        <x:f>IF(OR(A45="",Events!H44=""),"",Events!H44)</x:f>
      </x:c>
      <x:c r="G45" s="109" t="str">
        <x:f>IF(A45="","",IF(Events!I44&lt;&gt;"",Events!I44,IF(Events!S44&lt;&gt;"",Events!S44,"")))</x:f>
      </x:c>
      <x:c r="H45" s="16" t="str">
        <x:f>IF(A45="","",Events!W44)</x:f>
      </x:c>
      <x:c r="I45" s="16" t="str">
        <x:f>IF(A45="","",IF(Events!Y44&lt;&gt;"",Events!Y44,IF(OR(ISNUMBER(SEARCH("education",P45)),ISNUMBER(SEARCH("exam",P45)),ISNUMBER(SEARCH("school",P45))),"Education",IF(OR(ISNUMBER(SEARCH("trade agreement",P45)),ISNUMBER(SEARCH("economic",P45)),ISNUMBER(SEARCH("import",P45))),"Trade &amp; economic policy",IF(OR(ISNUMBER(SEARCH("land acquisition",P45)),ISNUMBER(SEARCH("rehabilitation",P45)),ISNUMBER(SEARCH("displacement",P45)),ISNUMBER(SEARCH("township",P45))),"Land &amp; rehabilitation",IF(OR(ISNUMBER(SEARCH("forest",P45)),ISNUMBER(SEARCH("environment",P45)),ISNUMBER(SEARCH("ecological",P45)),ISNUMBER(SEARCH("biodiversity",P45)),ISNUMBER(SEARCH("green cover",P45))),"Environment",IF(OR(ISNUMBER(SEARCH("irrigation",P45)),ISNUMBER(SEARCH("water",P45)),ISNUMBER(SEARCH("crop",P45)),ISNUMBER(SEARCH("farmer",P45)),ISNUMBER(SEARCH("agriculture",P45))),"Agriculture &amp; water",IF(OR(ISNUMBER(SEARCH("health",P45)),ISNUMBER(SEARCH("hospital",P45)),ISNUMBER(SEARCH("medicine",P45))),"Public health",IF(OR(ISNUMBER(SEARCH("employee",P45)),ISNUMBER(SEARCH("labour",P45)),ISNUMBER(SEARCH("worker",P45)),ISNUMBER(SEARCH("salary",P45))),"Labour &amp; employment",IF(OR(ISNUMBER(SEARCH("rti",P45)),ISNUMBER(SEARCH("transparency",P45)),ISNUMBER(SEARCH("corruption",P45)),ISNUMBER(SEARCH("governance",P45))),"Governance &amp; transparency",IF(OR(ISNUMBER(SEARCH("police",P45)),ISNUMBER(SEARCH("detention",P45)),ISNUMBER(SEARCH("civil rights",P45)),ISNUMBER(SEARCH("justice",P45))),"Civil rights &amp; justice",IF(OR(ISNUMBER(SEARCH("road",P45)),ISNUMBER(SEARCH("utility",P45)),ISNUMBER(SEARCH("infrastructure",P45)),ISNUMBER(SEARCH("public service",P45))),"Infrastructure &amp; public services","Other"))))))))))))</x:f>
      </x:c>
      <x:c r="J45" s="16" t="str">
        <x:f>IF(A45="","",IF(OR(ISNUMBER(SEARCH("fatal",Q45)),ISNUMBER(SEARCH("death",Q45)),ISNUMBER(SEARCH("riot",Q45)),ISNUMBER(SEARCH("curfew",Q45)),ISNUMBER(SEARCH("internet shutdown",Q45))),5,MIN(4,1+IF(H45&gt;=7,1,0)+IF(OR(ISNUMBER(SEARCH("hunger strike",Q45)),ISNUMBER(SEARCH("blockade",Q45)),ISNUMBER(SEARCH("strike",Q45)),ISNUMBER(SEARCH("jal satyagraha",Q45)),ISNUMBER(SEARCH("survey",Q45)),ISNUMBER(SEARCH("human chain",Q45)),ISNUMBER(SEARCH("march",Q45))),1,0)+IF(OR(ISNUMBER(SEARCH("fir",Q45)),ISNUMBER(SEARCH("confrontation",Q45)),ISNUMBER(SEARCH("violence",Q45)),ISNUMBER(SEARCH("detention",Q45)),ISNUMBER(SEARCH("arrest",Q45)),ISNUMBER(SEARCH("demolition",Q45)),ISNUMBER(SEARCH("injury",Q45))),1,0)+IF(OR(D45="Ongoing",D45="Unresolved"),1,0))))</x:f>
      </x:c>
      <x:c r="K45" s="16" t="str">
        <x:f>IF(J45="","",IF(J45=1,"Limited",IF(J45=2,"Local",IF(J45=3,"Significant",IF(J45=4,"High","Critical")))))</x:f>
      </x:c>
      <x:c r="L45" s="16" t="str">
        <x:f>IF(A45="","",Events!U44)</x:f>
      </x:c>
      <x:c r="M45" s="16" t="str">
        <x:f>IF(A45="","",Events!V44)</x:f>
      </x:c>
      <x:c r="N45" s="16" t="str">
        <x:f>IF(A45="","",Events!Q44)</x:f>
      </x:c>
      <x:c r="O45" s="16" t="str">
        <x:f>IF(A45="","",Events!R44)</x:f>
      </x:c>
      <x:c r="P45" s="16" t="str">
        <x:f>IF(A45="","",LOWER(Events!B44&amp;" "&amp;Events!D44&amp;" "&amp;Events!K44))</x:f>
      </x:c>
      <x:c r="Q45" s="16" t="str">
        <x:f>IF(A45="","",LOWER(Events!C44&amp;" "&amp;Events!K44&amp;" "&amp;Events!T44))</x:f>
      </x:c>
      <x:c r="R45" s="16" t="str">
        <x:f>IF(A45="","",IF(ISNUMBER(SEARCH("Occurrence verified",E45)),"Occurrence verified",E45))</x:f>
      </x:c>
      <x:c r="S45" s="79" t="str">
        <x:f>IF(A45="","",Events!X44)</x:f>
      </x:c>
      <x:c r="T45" t="str">
        <x:v>Agriculture &amp; water</x:v>
      </x:c>
      <x:c r="U45" t="n">
        <x:f>COUNTIF($I$6:$I$1001,T45)</x:f>
        <x:v>1</x:v>
      </x:c>
      <x:c r="V45" t="n">
        <x:f>U45*1000+(100-ROW())/1000</x:f>
        <x:v>1000.055</x:v>
      </x:c>
      <x:c r="X45" t="str">
        <x:f>IF(LARGE($V$45:$V$55,1)&lt;1,"",INDEX($T$45:$T$55,MATCH(LARGE($V$45:$V$55,1),$V$45:$V$55,0)))</x:f>
        <x:v>Land &amp; rehabilitation</x:v>
      </x:c>
      <x:c r="Y45" t="n">
        <x:f>IF(X45="","",INDEX($U$45:$U$55,MATCH(X45,$T$45:$T$55,0)))</x:f>
        <x:v>4</x:v>
      </x:c>
      <x:c r="Z45" s="79" t="str">
        <x:f>IF(A45="","",Events!AD44)</x:f>
      </x:c>
      <x:c r="AA45" s="79" t="str">
        <x:f>IF(A45="","",Events!AE44)</x:f>
      </x:c>
    </x:row>
    <x:row r="46">
      <x:c r="A46" s="16" t="str">
        <x:f>IF(Events!A45="","",Events!A45)</x:f>
      </x:c>
      <x:c r="B46" s="16" t="str">
        <x:f>IF(A46="","",Events!B45)</x:f>
      </x:c>
      <x:c r="C46" s="16" t="str">
        <x:f>IF(A46="","",Events!E45)</x:f>
      </x:c>
      <x:c r="D46" s="16" t="str">
        <x:f>IF(A46="","",Events!J45)</x:f>
      </x:c>
      <x:c r="E46" s="16" t="str">
        <x:f>IF(A46="","",Events!N45)</x:f>
      </x:c>
      <x:c r="F46" s="109" t="str">
        <x:f>IF(OR(A46="",Events!H45=""),"",Events!H45)</x:f>
      </x:c>
      <x:c r="G46" s="109" t="str">
        <x:f>IF(A46="","",IF(Events!I45&lt;&gt;"",Events!I45,IF(Events!S45&lt;&gt;"",Events!S45,"")))</x:f>
      </x:c>
      <x:c r="H46" s="16" t="str">
        <x:f>IF(A46="","",Events!W45)</x:f>
      </x:c>
      <x:c r="I46" s="16" t="str">
        <x:f>IF(A46="","",IF(Events!Y45&lt;&gt;"",Events!Y45,IF(OR(ISNUMBER(SEARCH("education",P46)),ISNUMBER(SEARCH("exam",P46)),ISNUMBER(SEARCH("school",P46))),"Education",IF(OR(ISNUMBER(SEARCH("trade agreement",P46)),ISNUMBER(SEARCH("economic",P46)),ISNUMBER(SEARCH("import",P46))),"Trade &amp; economic policy",IF(OR(ISNUMBER(SEARCH("land acquisition",P46)),ISNUMBER(SEARCH("rehabilitation",P46)),ISNUMBER(SEARCH("displacement",P46)),ISNUMBER(SEARCH("township",P46))),"Land &amp; rehabilitation",IF(OR(ISNUMBER(SEARCH("forest",P46)),ISNUMBER(SEARCH("environment",P46)),ISNUMBER(SEARCH("ecological",P46)),ISNUMBER(SEARCH("biodiversity",P46)),ISNUMBER(SEARCH("green cover",P46))),"Environment",IF(OR(ISNUMBER(SEARCH("irrigation",P46)),ISNUMBER(SEARCH("water",P46)),ISNUMBER(SEARCH("crop",P46)),ISNUMBER(SEARCH("farmer",P46)),ISNUMBER(SEARCH("agriculture",P46))),"Agriculture &amp; water",IF(OR(ISNUMBER(SEARCH("health",P46)),ISNUMBER(SEARCH("hospital",P46)),ISNUMBER(SEARCH("medicine",P46))),"Public health",IF(OR(ISNUMBER(SEARCH("employee",P46)),ISNUMBER(SEARCH("labour",P46)),ISNUMBER(SEARCH("worker",P46)),ISNUMBER(SEARCH("salary",P46))),"Labour &amp; employment",IF(OR(ISNUMBER(SEARCH("rti",P46)),ISNUMBER(SEARCH("transparency",P46)),ISNUMBER(SEARCH("corruption",P46)),ISNUMBER(SEARCH("governance",P46))),"Governance &amp; transparency",IF(OR(ISNUMBER(SEARCH("police",P46)),ISNUMBER(SEARCH("detention",P46)),ISNUMBER(SEARCH("civil rights",P46)),ISNUMBER(SEARCH("justice",P46))),"Civil rights &amp; justice",IF(OR(ISNUMBER(SEARCH("road",P46)),ISNUMBER(SEARCH("utility",P46)),ISNUMBER(SEARCH("infrastructure",P46)),ISNUMBER(SEARCH("public service",P46))),"Infrastructure &amp; public services","Other"))))))))))))</x:f>
      </x:c>
      <x:c r="J46" s="16" t="str">
        <x:f>IF(A46="","",IF(OR(ISNUMBER(SEARCH("fatal",Q46)),ISNUMBER(SEARCH("death",Q46)),ISNUMBER(SEARCH("riot",Q46)),ISNUMBER(SEARCH("curfew",Q46)),ISNUMBER(SEARCH("internet shutdown",Q46))),5,MIN(4,1+IF(H46&gt;=7,1,0)+IF(OR(ISNUMBER(SEARCH("hunger strike",Q46)),ISNUMBER(SEARCH("blockade",Q46)),ISNUMBER(SEARCH("strike",Q46)),ISNUMBER(SEARCH("jal satyagraha",Q46)),ISNUMBER(SEARCH("survey",Q46)),ISNUMBER(SEARCH("human chain",Q46)),ISNUMBER(SEARCH("march",Q46))),1,0)+IF(OR(ISNUMBER(SEARCH("fir",Q46)),ISNUMBER(SEARCH("confrontation",Q46)),ISNUMBER(SEARCH("violence",Q46)),ISNUMBER(SEARCH("detention",Q46)),ISNUMBER(SEARCH("arrest",Q46)),ISNUMBER(SEARCH("demolition",Q46)),ISNUMBER(SEARCH("injury",Q46))),1,0)+IF(OR(D46="Ongoing",D46="Unresolved"),1,0))))</x:f>
      </x:c>
      <x:c r="K46" s="16" t="str">
        <x:f>IF(J46="","",IF(J46=1,"Limited",IF(J46=2,"Local",IF(J46=3,"Significant",IF(J46=4,"High","Critical")))))</x:f>
      </x:c>
      <x:c r="L46" s="16" t="str">
        <x:f>IF(A46="","",Events!U45)</x:f>
      </x:c>
      <x:c r="M46" s="16" t="str">
        <x:f>IF(A46="","",Events!V45)</x:f>
      </x:c>
      <x:c r="N46" s="16" t="str">
        <x:f>IF(A46="","",Events!Q45)</x:f>
      </x:c>
      <x:c r="O46" s="16" t="str">
        <x:f>IF(A46="","",Events!R45)</x:f>
      </x:c>
      <x:c r="P46" s="16" t="str">
        <x:f>IF(A46="","",LOWER(Events!B45&amp;" "&amp;Events!D45&amp;" "&amp;Events!K45))</x:f>
      </x:c>
      <x:c r="Q46" s="16" t="str">
        <x:f>IF(A46="","",LOWER(Events!C45&amp;" "&amp;Events!K45&amp;" "&amp;Events!T45))</x:f>
      </x:c>
      <x:c r="R46" s="16" t="str">
        <x:f>IF(A46="","",IF(ISNUMBER(SEARCH("Occurrence verified",E46)),"Occurrence verified",E46))</x:f>
      </x:c>
      <x:c r="S46" s="79" t="str">
        <x:f>IF(A46="","",Events!X45)</x:f>
      </x:c>
      <x:c r="T46" t="str">
        <x:v>Land &amp; rehabilitation</x:v>
      </x:c>
      <x:c r="U46" t="n">
        <x:f>COUNTIF($I$6:$I$1001,T46)</x:f>
        <x:v>4</x:v>
      </x:c>
      <x:c r="V46" t="n">
        <x:f>U46*1000+(100-ROW())/1000</x:f>
        <x:v>4000.054</x:v>
      </x:c>
      <x:c r="X46" t="str">
        <x:f>IF(LARGE($V$45:$V$55,2)&lt;1,"",INDEX($T$45:$T$55,MATCH(LARGE($V$45:$V$55,2),$V$45:$V$55,0)))</x:f>
        <x:v>Education</x:v>
      </x:c>
      <x:c r="Y46" t="n">
        <x:f>IF(X46="","",INDEX($U$45:$U$55,MATCH(X46,$T$45:$T$55,0)))</x:f>
        <x:v>2</x:v>
      </x:c>
      <x:c r="Z46" s="79" t="str">
        <x:f>IF(A46="","",Events!AD45)</x:f>
      </x:c>
      <x:c r="AA46" s="79" t="str">
        <x:f>IF(A46="","",Events!AE45)</x:f>
      </x:c>
    </x:row>
    <x:row r="47">
      <x:c r="A47" s="16" t="str">
        <x:f>IF(Events!A46="","",Events!A46)</x:f>
      </x:c>
      <x:c r="B47" s="16" t="str">
        <x:f>IF(A47="","",Events!B46)</x:f>
      </x:c>
      <x:c r="C47" s="16" t="str">
        <x:f>IF(A47="","",Events!E46)</x:f>
      </x:c>
      <x:c r="D47" s="16" t="str">
        <x:f>IF(A47="","",Events!J46)</x:f>
      </x:c>
      <x:c r="E47" s="16" t="str">
        <x:f>IF(A47="","",Events!N46)</x:f>
      </x:c>
      <x:c r="F47" s="109" t="str">
        <x:f>IF(OR(A47="",Events!H46=""),"",Events!H46)</x:f>
      </x:c>
      <x:c r="G47" s="109" t="str">
        <x:f>IF(A47="","",IF(Events!I46&lt;&gt;"",Events!I46,IF(Events!S46&lt;&gt;"",Events!S46,"")))</x:f>
      </x:c>
      <x:c r="H47" s="16" t="str">
        <x:f>IF(A47="","",Events!W46)</x:f>
      </x:c>
      <x:c r="I47" s="16" t="str">
        <x:f>IF(A47="","",IF(Events!Y46&lt;&gt;"",Events!Y46,IF(OR(ISNUMBER(SEARCH("education",P47)),ISNUMBER(SEARCH("exam",P47)),ISNUMBER(SEARCH("school",P47))),"Education",IF(OR(ISNUMBER(SEARCH("trade agreement",P47)),ISNUMBER(SEARCH("economic",P47)),ISNUMBER(SEARCH("import",P47))),"Trade &amp; economic policy",IF(OR(ISNUMBER(SEARCH("land acquisition",P47)),ISNUMBER(SEARCH("rehabilitation",P47)),ISNUMBER(SEARCH("displacement",P47)),ISNUMBER(SEARCH("township",P47))),"Land &amp; rehabilitation",IF(OR(ISNUMBER(SEARCH("forest",P47)),ISNUMBER(SEARCH("environment",P47)),ISNUMBER(SEARCH("ecological",P47)),ISNUMBER(SEARCH("biodiversity",P47)),ISNUMBER(SEARCH("green cover",P47))),"Environment",IF(OR(ISNUMBER(SEARCH("irrigation",P47)),ISNUMBER(SEARCH("water",P47)),ISNUMBER(SEARCH("crop",P47)),ISNUMBER(SEARCH("farmer",P47)),ISNUMBER(SEARCH("agriculture",P47))),"Agriculture &amp; water",IF(OR(ISNUMBER(SEARCH("health",P47)),ISNUMBER(SEARCH("hospital",P47)),ISNUMBER(SEARCH("medicine",P47))),"Public health",IF(OR(ISNUMBER(SEARCH("employee",P47)),ISNUMBER(SEARCH("labour",P47)),ISNUMBER(SEARCH("worker",P47)),ISNUMBER(SEARCH("salary",P47))),"Labour &amp; employment",IF(OR(ISNUMBER(SEARCH("rti",P47)),ISNUMBER(SEARCH("transparency",P47)),ISNUMBER(SEARCH("corruption",P47)),ISNUMBER(SEARCH("governance",P47))),"Governance &amp; transparency",IF(OR(ISNUMBER(SEARCH("police",P47)),ISNUMBER(SEARCH("detention",P47)),ISNUMBER(SEARCH("civil rights",P47)),ISNUMBER(SEARCH("justice",P47))),"Civil rights &amp; justice",IF(OR(ISNUMBER(SEARCH("road",P47)),ISNUMBER(SEARCH("utility",P47)),ISNUMBER(SEARCH("infrastructure",P47)),ISNUMBER(SEARCH("public service",P47))),"Infrastructure &amp; public services","Other"))))))))))))</x:f>
      </x:c>
      <x:c r="J47" s="16" t="str">
        <x:f>IF(A47="","",IF(OR(ISNUMBER(SEARCH("fatal",Q47)),ISNUMBER(SEARCH("death",Q47)),ISNUMBER(SEARCH("riot",Q47)),ISNUMBER(SEARCH("curfew",Q47)),ISNUMBER(SEARCH("internet shutdown",Q47))),5,MIN(4,1+IF(H47&gt;=7,1,0)+IF(OR(ISNUMBER(SEARCH("hunger strike",Q47)),ISNUMBER(SEARCH("blockade",Q47)),ISNUMBER(SEARCH("strike",Q47)),ISNUMBER(SEARCH("jal satyagraha",Q47)),ISNUMBER(SEARCH("survey",Q47)),ISNUMBER(SEARCH("human chain",Q47)),ISNUMBER(SEARCH("march",Q47))),1,0)+IF(OR(ISNUMBER(SEARCH("fir",Q47)),ISNUMBER(SEARCH("confrontation",Q47)),ISNUMBER(SEARCH("violence",Q47)),ISNUMBER(SEARCH("detention",Q47)),ISNUMBER(SEARCH("arrest",Q47)),ISNUMBER(SEARCH("demolition",Q47)),ISNUMBER(SEARCH("injury",Q47))),1,0)+IF(OR(D47="Ongoing",D47="Unresolved"),1,0))))</x:f>
      </x:c>
      <x:c r="K47" s="16" t="str">
        <x:f>IF(J47="","",IF(J47=1,"Limited",IF(J47=2,"Local",IF(J47=3,"Significant",IF(J47=4,"High","Critical")))))</x:f>
      </x:c>
      <x:c r="L47" s="16" t="str">
        <x:f>IF(A47="","",Events!U46)</x:f>
      </x:c>
      <x:c r="M47" s="16" t="str">
        <x:f>IF(A47="","",Events!V46)</x:f>
      </x:c>
      <x:c r="N47" s="16" t="str">
        <x:f>IF(A47="","",Events!Q46)</x:f>
      </x:c>
      <x:c r="O47" s="16" t="str">
        <x:f>IF(A47="","",Events!R46)</x:f>
      </x:c>
      <x:c r="P47" s="16" t="str">
        <x:f>IF(A47="","",LOWER(Events!B46&amp;" "&amp;Events!D46&amp;" "&amp;Events!K46))</x:f>
      </x:c>
      <x:c r="Q47" s="16" t="str">
        <x:f>IF(A47="","",LOWER(Events!C46&amp;" "&amp;Events!K46&amp;" "&amp;Events!T46))</x:f>
      </x:c>
      <x:c r="R47" s="16" t="str">
        <x:f>IF(A47="","",IF(ISNUMBER(SEARCH("Occurrence verified",E47)),"Occurrence verified",E47))</x:f>
      </x:c>
      <x:c r="S47" s="79" t="str">
        <x:f>IF(A47="","",Events!X46)</x:f>
      </x:c>
      <x:c r="T47" t="str">
        <x:v>Education</x:v>
      </x:c>
      <x:c r="U47" t="n">
        <x:f>COUNTIF($I$6:$I$1001,T47)</x:f>
        <x:v>2</x:v>
      </x:c>
      <x:c r="V47" t="n">
        <x:f>U47*1000+(100-ROW())/1000</x:f>
        <x:v>2000.053</x:v>
      </x:c>
      <x:c r="X47" t="str">
        <x:f>IF(LARGE($V$45:$V$55,3)&lt;1,"",INDEX($T$45:$T$55,MATCH(LARGE($V$45:$V$55,3),$V$45:$V$55,0)))</x:f>
        <x:v>Environment</x:v>
      </x:c>
      <x:c r="Y47" t="n">
        <x:f>IF(X47="","",INDEX($U$45:$U$55,MATCH(X47,$T$45:$T$55,0)))</x:f>
        <x:v>2</x:v>
      </x:c>
      <x:c r="Z47" s="79" t="str">
        <x:f>IF(A47="","",Events!AD46)</x:f>
      </x:c>
      <x:c r="AA47" s="79" t="str">
        <x:f>IF(A47="","",Events!AE46)</x:f>
      </x:c>
    </x:row>
    <x:row r="48">
      <x:c r="A48" s="16" t="str">
        <x:f>IF(Events!A47="","",Events!A47)</x:f>
      </x:c>
      <x:c r="B48" s="16" t="str">
        <x:f>IF(A48="","",Events!B47)</x:f>
      </x:c>
      <x:c r="C48" s="16" t="str">
        <x:f>IF(A48="","",Events!E47)</x:f>
      </x:c>
      <x:c r="D48" s="16" t="str">
        <x:f>IF(A48="","",Events!J47)</x:f>
      </x:c>
      <x:c r="E48" s="16" t="str">
        <x:f>IF(A48="","",Events!N47)</x:f>
      </x:c>
      <x:c r="F48" s="109" t="str">
        <x:f>IF(OR(A48="",Events!H47=""),"",Events!H47)</x:f>
      </x:c>
      <x:c r="G48" s="109" t="str">
        <x:f>IF(A48="","",IF(Events!I47&lt;&gt;"",Events!I47,IF(Events!S47&lt;&gt;"",Events!S47,"")))</x:f>
      </x:c>
      <x:c r="H48" s="16" t="str">
        <x:f>IF(A48="","",Events!W47)</x:f>
      </x:c>
      <x:c r="I48" s="16" t="str">
        <x:f>IF(A48="","",IF(Events!Y47&lt;&gt;"",Events!Y47,IF(OR(ISNUMBER(SEARCH("education",P48)),ISNUMBER(SEARCH("exam",P48)),ISNUMBER(SEARCH("school",P48))),"Education",IF(OR(ISNUMBER(SEARCH("trade agreement",P48)),ISNUMBER(SEARCH("economic",P48)),ISNUMBER(SEARCH("import",P48))),"Trade &amp; economic policy",IF(OR(ISNUMBER(SEARCH("land acquisition",P48)),ISNUMBER(SEARCH("rehabilitation",P48)),ISNUMBER(SEARCH("displacement",P48)),ISNUMBER(SEARCH("township",P48))),"Land &amp; rehabilitation",IF(OR(ISNUMBER(SEARCH("forest",P48)),ISNUMBER(SEARCH("environment",P48)),ISNUMBER(SEARCH("ecological",P48)),ISNUMBER(SEARCH("biodiversity",P48)),ISNUMBER(SEARCH("green cover",P48))),"Environment",IF(OR(ISNUMBER(SEARCH("irrigation",P48)),ISNUMBER(SEARCH("water",P48)),ISNUMBER(SEARCH("crop",P48)),ISNUMBER(SEARCH("farmer",P48)),ISNUMBER(SEARCH("agriculture",P48))),"Agriculture &amp; water",IF(OR(ISNUMBER(SEARCH("health",P48)),ISNUMBER(SEARCH("hospital",P48)),ISNUMBER(SEARCH("medicine",P48))),"Public health",IF(OR(ISNUMBER(SEARCH("employee",P48)),ISNUMBER(SEARCH("labour",P48)),ISNUMBER(SEARCH("worker",P48)),ISNUMBER(SEARCH("salary",P48))),"Labour &amp; employment",IF(OR(ISNUMBER(SEARCH("rti",P48)),ISNUMBER(SEARCH("transparency",P48)),ISNUMBER(SEARCH("corruption",P48)),ISNUMBER(SEARCH("governance",P48))),"Governance &amp; transparency",IF(OR(ISNUMBER(SEARCH("police",P48)),ISNUMBER(SEARCH("detention",P48)),ISNUMBER(SEARCH("civil rights",P48)),ISNUMBER(SEARCH("justice",P48))),"Civil rights &amp; justice",IF(OR(ISNUMBER(SEARCH("road",P48)),ISNUMBER(SEARCH("utility",P48)),ISNUMBER(SEARCH("infrastructure",P48)),ISNUMBER(SEARCH("public service",P48))),"Infrastructure &amp; public services","Other"))))))))))))</x:f>
      </x:c>
      <x:c r="J48" s="16" t="str">
        <x:f>IF(A48="","",IF(OR(ISNUMBER(SEARCH("fatal",Q48)),ISNUMBER(SEARCH("death",Q48)),ISNUMBER(SEARCH("riot",Q48)),ISNUMBER(SEARCH("curfew",Q48)),ISNUMBER(SEARCH("internet shutdown",Q48))),5,MIN(4,1+IF(H48&gt;=7,1,0)+IF(OR(ISNUMBER(SEARCH("hunger strike",Q48)),ISNUMBER(SEARCH("blockade",Q48)),ISNUMBER(SEARCH("strike",Q48)),ISNUMBER(SEARCH("jal satyagraha",Q48)),ISNUMBER(SEARCH("survey",Q48)),ISNUMBER(SEARCH("human chain",Q48)),ISNUMBER(SEARCH("march",Q48))),1,0)+IF(OR(ISNUMBER(SEARCH("fir",Q48)),ISNUMBER(SEARCH("confrontation",Q48)),ISNUMBER(SEARCH("violence",Q48)),ISNUMBER(SEARCH("detention",Q48)),ISNUMBER(SEARCH("arrest",Q48)),ISNUMBER(SEARCH("demolition",Q48)),ISNUMBER(SEARCH("injury",Q48))),1,0)+IF(OR(D48="Ongoing",D48="Unresolved"),1,0))))</x:f>
      </x:c>
      <x:c r="K48" s="16" t="str">
        <x:f>IF(J48="","",IF(J48=1,"Limited",IF(J48=2,"Local",IF(J48=3,"Significant",IF(J48=4,"High","Critical")))))</x:f>
      </x:c>
      <x:c r="L48" s="16" t="str">
        <x:f>IF(A48="","",Events!U47)</x:f>
      </x:c>
      <x:c r="M48" s="16" t="str">
        <x:f>IF(A48="","",Events!V47)</x:f>
      </x:c>
      <x:c r="N48" s="16" t="str">
        <x:f>IF(A48="","",Events!Q47)</x:f>
      </x:c>
      <x:c r="O48" s="16" t="str">
        <x:f>IF(A48="","",Events!R47)</x:f>
      </x:c>
      <x:c r="P48" s="16" t="str">
        <x:f>IF(A48="","",LOWER(Events!B47&amp;" "&amp;Events!D47&amp;" "&amp;Events!K47))</x:f>
      </x:c>
      <x:c r="Q48" s="16" t="str">
        <x:f>IF(A48="","",LOWER(Events!C47&amp;" "&amp;Events!K47&amp;" "&amp;Events!T47))</x:f>
      </x:c>
      <x:c r="R48" s="16" t="str">
        <x:f>IF(A48="","",IF(ISNUMBER(SEARCH("Occurrence verified",E48)),"Occurrence verified",E48))</x:f>
      </x:c>
      <x:c r="S48" s="79" t="str">
        <x:f>IF(A48="","",Events!X47)</x:f>
      </x:c>
      <x:c r="T48" t="str">
        <x:v>Environment</x:v>
      </x:c>
      <x:c r="U48" t="n">
        <x:f>COUNTIF($I$6:$I$1001,T48)</x:f>
        <x:v>2</x:v>
      </x:c>
      <x:c r="V48" t="n">
        <x:f>U48*1000+(100-ROW())/1000</x:f>
        <x:v>2000.052</x:v>
      </x:c>
      <x:c r="X48" t="str">
        <x:f>IF(LARGE($V$45:$V$55,4)&lt;1,"",INDEX($T$45:$T$55,MATCH(LARGE($V$45:$V$55,4),$V$45:$V$55,0)))</x:f>
        <x:v>Agriculture &amp; water</x:v>
      </x:c>
      <x:c r="Y48" t="n">
        <x:f>IF(X48="","",INDEX($U$45:$U$55,MATCH(X48,$T$45:$T$55,0)))</x:f>
        <x:v>1</x:v>
      </x:c>
      <x:c r="Z48" s="79" t="str">
        <x:f>IF(A48="","",Events!AD47)</x:f>
      </x:c>
      <x:c r="AA48" s="79" t="str">
        <x:f>IF(A48="","",Events!AE47)</x:f>
      </x:c>
    </x:row>
    <x:row r="49">
      <x:c r="A49" s="16" t="str">
        <x:f>IF(Events!A48="","",Events!A48)</x:f>
      </x:c>
      <x:c r="B49" s="16" t="str">
        <x:f>IF(A49="","",Events!B48)</x:f>
      </x:c>
      <x:c r="C49" s="16" t="str">
        <x:f>IF(A49="","",Events!E48)</x:f>
      </x:c>
      <x:c r="D49" s="16" t="str">
        <x:f>IF(A49="","",Events!J48)</x:f>
      </x:c>
      <x:c r="E49" s="16" t="str">
        <x:f>IF(A49="","",Events!N48)</x:f>
      </x:c>
      <x:c r="F49" s="109" t="str">
        <x:f>IF(OR(A49="",Events!H48=""),"",Events!H48)</x:f>
      </x:c>
      <x:c r="G49" s="109" t="str">
        <x:f>IF(A49="","",IF(Events!I48&lt;&gt;"",Events!I48,IF(Events!S48&lt;&gt;"",Events!S48,"")))</x:f>
      </x:c>
      <x:c r="H49" s="16" t="str">
        <x:f>IF(A49="","",Events!W48)</x:f>
      </x:c>
      <x:c r="I49" s="16" t="str">
        <x:f>IF(A49="","",IF(Events!Y48&lt;&gt;"",Events!Y48,IF(OR(ISNUMBER(SEARCH("education",P49)),ISNUMBER(SEARCH("exam",P49)),ISNUMBER(SEARCH("school",P49))),"Education",IF(OR(ISNUMBER(SEARCH("trade agreement",P49)),ISNUMBER(SEARCH("economic",P49)),ISNUMBER(SEARCH("import",P49))),"Trade &amp; economic policy",IF(OR(ISNUMBER(SEARCH("land acquisition",P49)),ISNUMBER(SEARCH("rehabilitation",P49)),ISNUMBER(SEARCH("displacement",P49)),ISNUMBER(SEARCH("township",P49))),"Land &amp; rehabilitation",IF(OR(ISNUMBER(SEARCH("forest",P49)),ISNUMBER(SEARCH("environment",P49)),ISNUMBER(SEARCH("ecological",P49)),ISNUMBER(SEARCH("biodiversity",P49)),ISNUMBER(SEARCH("green cover",P49))),"Environment",IF(OR(ISNUMBER(SEARCH("irrigation",P49)),ISNUMBER(SEARCH("water",P49)),ISNUMBER(SEARCH("crop",P49)),ISNUMBER(SEARCH("farmer",P49)),ISNUMBER(SEARCH("agriculture",P49))),"Agriculture &amp; water",IF(OR(ISNUMBER(SEARCH("health",P49)),ISNUMBER(SEARCH("hospital",P49)),ISNUMBER(SEARCH("medicine",P49))),"Public health",IF(OR(ISNUMBER(SEARCH("employee",P49)),ISNUMBER(SEARCH("labour",P49)),ISNUMBER(SEARCH("worker",P49)),ISNUMBER(SEARCH("salary",P49))),"Labour &amp; employment",IF(OR(ISNUMBER(SEARCH("rti",P49)),ISNUMBER(SEARCH("transparency",P49)),ISNUMBER(SEARCH("corruption",P49)),ISNUMBER(SEARCH("governance",P49))),"Governance &amp; transparency",IF(OR(ISNUMBER(SEARCH("police",P49)),ISNUMBER(SEARCH("detention",P49)),ISNUMBER(SEARCH("civil rights",P49)),ISNUMBER(SEARCH("justice",P49))),"Civil rights &amp; justice",IF(OR(ISNUMBER(SEARCH("road",P49)),ISNUMBER(SEARCH("utility",P49)),ISNUMBER(SEARCH("infrastructure",P49)),ISNUMBER(SEARCH("public service",P49))),"Infrastructure &amp; public services","Other"))))))))))))</x:f>
      </x:c>
      <x:c r="J49" s="16" t="str">
        <x:f>IF(A49="","",IF(OR(ISNUMBER(SEARCH("fatal",Q49)),ISNUMBER(SEARCH("death",Q49)),ISNUMBER(SEARCH("riot",Q49)),ISNUMBER(SEARCH("curfew",Q49)),ISNUMBER(SEARCH("internet shutdown",Q49))),5,MIN(4,1+IF(H49&gt;=7,1,0)+IF(OR(ISNUMBER(SEARCH("hunger strike",Q49)),ISNUMBER(SEARCH("blockade",Q49)),ISNUMBER(SEARCH("strike",Q49)),ISNUMBER(SEARCH("jal satyagraha",Q49)),ISNUMBER(SEARCH("survey",Q49)),ISNUMBER(SEARCH("human chain",Q49)),ISNUMBER(SEARCH("march",Q49))),1,0)+IF(OR(ISNUMBER(SEARCH("fir",Q49)),ISNUMBER(SEARCH("confrontation",Q49)),ISNUMBER(SEARCH("violence",Q49)),ISNUMBER(SEARCH("detention",Q49)),ISNUMBER(SEARCH("arrest",Q49)),ISNUMBER(SEARCH("demolition",Q49)),ISNUMBER(SEARCH("injury",Q49))),1,0)+IF(OR(D49="Ongoing",D49="Unresolved"),1,0))))</x:f>
      </x:c>
      <x:c r="K49" s="16" t="str">
        <x:f>IF(J49="","",IF(J49=1,"Limited",IF(J49=2,"Local",IF(J49=3,"Significant",IF(J49=4,"High","Critical")))))</x:f>
      </x:c>
      <x:c r="L49" s="16" t="str">
        <x:f>IF(A49="","",Events!U48)</x:f>
      </x:c>
      <x:c r="M49" s="16" t="str">
        <x:f>IF(A49="","",Events!V48)</x:f>
      </x:c>
      <x:c r="N49" s="16" t="str">
        <x:f>IF(A49="","",Events!Q48)</x:f>
      </x:c>
      <x:c r="O49" s="16" t="str">
        <x:f>IF(A49="","",Events!R48)</x:f>
      </x:c>
      <x:c r="P49" s="16" t="str">
        <x:f>IF(A49="","",LOWER(Events!B48&amp;" "&amp;Events!D48&amp;" "&amp;Events!K48))</x:f>
      </x:c>
      <x:c r="Q49" s="16" t="str">
        <x:f>IF(A49="","",LOWER(Events!C48&amp;" "&amp;Events!K48&amp;" "&amp;Events!T48))</x:f>
      </x:c>
      <x:c r="R49" s="16" t="str">
        <x:f>IF(A49="","",IF(ISNUMBER(SEARCH("Occurrence verified",E49)),"Occurrence verified",E49))</x:f>
      </x:c>
      <x:c r="S49" s="79" t="str">
        <x:f>IF(A49="","",Events!X48)</x:f>
      </x:c>
      <x:c r="T49" t="str">
        <x:v>Trade &amp; economic policy</x:v>
      </x:c>
      <x:c r="U49" t="n">
        <x:f>COUNTIF($I$6:$I$1001,T49)</x:f>
        <x:v>1</x:v>
      </x:c>
      <x:c r="V49" t="n">
        <x:f>U49*1000+(100-ROW())/1000</x:f>
        <x:v>1000.051</x:v>
      </x:c>
      <x:c r="X49" t="str">
        <x:f>IF(LARGE($V$45:$V$55,5)&lt;1,"",INDEX($T$45:$T$55,MATCH(LARGE($V$45:$V$55,5),$V$45:$V$55,0)))</x:f>
        <x:v>Trade &amp; economic policy</x:v>
      </x:c>
      <x:c r="Y49" t="n">
        <x:f>IF(X49="","",INDEX($U$45:$U$55,MATCH(X49,$T$45:$T$55,0)))</x:f>
        <x:v>1</x:v>
      </x:c>
      <x:c r="Z49" s="79" t="str">
        <x:f>IF(A49="","",Events!AD48)</x:f>
      </x:c>
      <x:c r="AA49" s="79" t="str">
        <x:f>IF(A49="","",Events!AE48)</x:f>
      </x:c>
    </x:row>
    <x:row r="50">
      <x:c r="A50" s="16" t="str">
        <x:f>IF(Events!A49="","",Events!A49)</x:f>
      </x:c>
      <x:c r="B50" s="16" t="str">
        <x:f>IF(A50="","",Events!B49)</x:f>
      </x:c>
      <x:c r="C50" s="16" t="str">
        <x:f>IF(A50="","",Events!E49)</x:f>
      </x:c>
      <x:c r="D50" s="16" t="str">
        <x:f>IF(A50="","",Events!J49)</x:f>
      </x:c>
      <x:c r="E50" s="16" t="str">
        <x:f>IF(A50="","",Events!N49)</x:f>
      </x:c>
      <x:c r="F50" s="109" t="str">
        <x:f>IF(OR(A50="",Events!H49=""),"",Events!H49)</x:f>
      </x:c>
      <x:c r="G50" s="109" t="str">
        <x:f>IF(A50="","",IF(Events!I49&lt;&gt;"",Events!I49,IF(Events!S49&lt;&gt;"",Events!S49,"")))</x:f>
      </x:c>
      <x:c r="H50" s="16" t="str">
        <x:f>IF(A50="","",Events!W49)</x:f>
      </x:c>
      <x:c r="I50" s="16" t="str">
        <x:f>IF(A50="","",IF(Events!Y49&lt;&gt;"",Events!Y49,IF(OR(ISNUMBER(SEARCH("education",P50)),ISNUMBER(SEARCH("exam",P50)),ISNUMBER(SEARCH("school",P50))),"Education",IF(OR(ISNUMBER(SEARCH("trade agreement",P50)),ISNUMBER(SEARCH("economic",P50)),ISNUMBER(SEARCH("import",P50))),"Trade &amp; economic policy",IF(OR(ISNUMBER(SEARCH("land acquisition",P50)),ISNUMBER(SEARCH("rehabilitation",P50)),ISNUMBER(SEARCH("displacement",P50)),ISNUMBER(SEARCH("township",P50))),"Land &amp; rehabilitation",IF(OR(ISNUMBER(SEARCH("forest",P50)),ISNUMBER(SEARCH("environment",P50)),ISNUMBER(SEARCH("ecological",P50)),ISNUMBER(SEARCH("biodiversity",P50)),ISNUMBER(SEARCH("green cover",P50))),"Environment",IF(OR(ISNUMBER(SEARCH("irrigation",P50)),ISNUMBER(SEARCH("water",P50)),ISNUMBER(SEARCH("crop",P50)),ISNUMBER(SEARCH("farmer",P50)),ISNUMBER(SEARCH("agriculture",P50))),"Agriculture &amp; water",IF(OR(ISNUMBER(SEARCH("health",P50)),ISNUMBER(SEARCH("hospital",P50)),ISNUMBER(SEARCH("medicine",P50))),"Public health",IF(OR(ISNUMBER(SEARCH("employee",P50)),ISNUMBER(SEARCH("labour",P50)),ISNUMBER(SEARCH("worker",P50)),ISNUMBER(SEARCH("salary",P50))),"Labour &amp; employment",IF(OR(ISNUMBER(SEARCH("rti",P50)),ISNUMBER(SEARCH("transparency",P50)),ISNUMBER(SEARCH("corruption",P50)),ISNUMBER(SEARCH("governance",P50))),"Governance &amp; transparency",IF(OR(ISNUMBER(SEARCH("police",P50)),ISNUMBER(SEARCH("detention",P50)),ISNUMBER(SEARCH("civil rights",P50)),ISNUMBER(SEARCH("justice",P50))),"Civil rights &amp; justice",IF(OR(ISNUMBER(SEARCH("road",P50)),ISNUMBER(SEARCH("utility",P50)),ISNUMBER(SEARCH("infrastructure",P50)),ISNUMBER(SEARCH("public service",P50))),"Infrastructure &amp; public services","Other"))))))))))))</x:f>
      </x:c>
      <x:c r="J50" s="16" t="str">
        <x:f>IF(A50="","",IF(OR(ISNUMBER(SEARCH("fatal",Q50)),ISNUMBER(SEARCH("death",Q50)),ISNUMBER(SEARCH("riot",Q50)),ISNUMBER(SEARCH("curfew",Q50)),ISNUMBER(SEARCH("internet shutdown",Q50))),5,MIN(4,1+IF(H50&gt;=7,1,0)+IF(OR(ISNUMBER(SEARCH("hunger strike",Q50)),ISNUMBER(SEARCH("blockade",Q50)),ISNUMBER(SEARCH("strike",Q50)),ISNUMBER(SEARCH("jal satyagraha",Q50)),ISNUMBER(SEARCH("survey",Q50)),ISNUMBER(SEARCH("human chain",Q50)),ISNUMBER(SEARCH("march",Q50))),1,0)+IF(OR(ISNUMBER(SEARCH("fir",Q50)),ISNUMBER(SEARCH("confrontation",Q50)),ISNUMBER(SEARCH("violence",Q50)),ISNUMBER(SEARCH("detention",Q50)),ISNUMBER(SEARCH("arrest",Q50)),ISNUMBER(SEARCH("demolition",Q50)),ISNUMBER(SEARCH("injury",Q50))),1,0)+IF(OR(D50="Ongoing",D50="Unresolved"),1,0))))</x:f>
      </x:c>
      <x:c r="K50" s="16" t="str">
        <x:f>IF(J50="","",IF(J50=1,"Limited",IF(J50=2,"Local",IF(J50=3,"Significant",IF(J50=4,"High","Critical")))))</x:f>
      </x:c>
      <x:c r="L50" s="16" t="str">
        <x:f>IF(A50="","",Events!U49)</x:f>
      </x:c>
      <x:c r="M50" s="16" t="str">
        <x:f>IF(A50="","",Events!V49)</x:f>
      </x:c>
      <x:c r="N50" s="16" t="str">
        <x:f>IF(A50="","",Events!Q49)</x:f>
      </x:c>
      <x:c r="O50" s="16" t="str">
        <x:f>IF(A50="","",Events!R49)</x:f>
      </x:c>
      <x:c r="P50" s="16" t="str">
        <x:f>IF(A50="","",LOWER(Events!B49&amp;" "&amp;Events!D49&amp;" "&amp;Events!K49))</x:f>
      </x:c>
      <x:c r="Q50" s="16" t="str">
        <x:f>IF(A50="","",LOWER(Events!C49&amp;" "&amp;Events!K49&amp;" "&amp;Events!T49))</x:f>
      </x:c>
      <x:c r="R50" s="16" t="str">
        <x:f>IF(A50="","",IF(ISNUMBER(SEARCH("Occurrence verified",E50)),"Occurrence verified",E50))</x:f>
      </x:c>
      <x:c r="S50" s="79" t="str">
        <x:f>IF(A50="","",Events!X49)</x:f>
      </x:c>
      <x:c r="T50" t="str">
        <x:v>Public health</x:v>
      </x:c>
      <x:c r="U50" t="n">
        <x:f>COUNTIF($I$6:$I$1001,T50)</x:f>
        <x:v>0</x:v>
      </x:c>
      <x:c r="V50" t="n">
        <x:f>U50*1000+(100-ROW())/1000</x:f>
        <x:v>0.05</x:v>
      </x:c>
      <x:c r="X50" t="str">
        <x:f>IF(LARGE($V$45:$V$55,6)&lt;1,"",INDEX($T$45:$T$55,MATCH(LARGE($V$45:$V$55,6),$V$45:$V$55,0)))</x:f>
        <x:v>Labour &amp; employment</x:v>
      </x:c>
      <x:c r="Y50" t="n">
        <x:f>IF(X50="","",INDEX($U$45:$U$55,MATCH(X50,$T$45:$T$55,0)))</x:f>
        <x:v>1</x:v>
      </x:c>
      <x:c r="Z50" s="79" t="str">
        <x:f>IF(A50="","",Events!AD49)</x:f>
      </x:c>
      <x:c r="AA50" s="79" t="str">
        <x:f>IF(A50="","",Events!AE49)</x:f>
      </x:c>
    </x:row>
    <x:row r="51">
      <x:c r="A51" s="16" t="str">
        <x:f>IF(Events!A50="","",Events!A50)</x:f>
      </x:c>
      <x:c r="B51" s="16" t="str">
        <x:f>IF(A51="","",Events!B50)</x:f>
      </x:c>
      <x:c r="C51" s="16" t="str">
        <x:f>IF(A51="","",Events!E50)</x:f>
      </x:c>
      <x:c r="D51" s="16" t="str">
        <x:f>IF(A51="","",Events!J50)</x:f>
      </x:c>
      <x:c r="E51" s="16" t="str">
        <x:f>IF(A51="","",Events!N50)</x:f>
      </x:c>
      <x:c r="F51" s="109" t="str">
        <x:f>IF(OR(A51="",Events!H50=""),"",Events!H50)</x:f>
      </x:c>
      <x:c r="G51" s="109" t="str">
        <x:f>IF(A51="","",IF(Events!I50&lt;&gt;"",Events!I50,IF(Events!S50&lt;&gt;"",Events!S50,"")))</x:f>
      </x:c>
      <x:c r="H51" s="16" t="str">
        <x:f>IF(A51="","",Events!W50)</x:f>
      </x:c>
      <x:c r="I51" s="16" t="str">
        <x:f>IF(A51="","",IF(Events!Y50&lt;&gt;"",Events!Y50,IF(OR(ISNUMBER(SEARCH("education",P51)),ISNUMBER(SEARCH("exam",P51)),ISNUMBER(SEARCH("school",P51))),"Education",IF(OR(ISNUMBER(SEARCH("trade agreement",P51)),ISNUMBER(SEARCH("economic",P51)),ISNUMBER(SEARCH("import",P51))),"Trade &amp; economic policy",IF(OR(ISNUMBER(SEARCH("land acquisition",P51)),ISNUMBER(SEARCH("rehabilitation",P51)),ISNUMBER(SEARCH("displacement",P51)),ISNUMBER(SEARCH("township",P51))),"Land &amp; rehabilitation",IF(OR(ISNUMBER(SEARCH("forest",P51)),ISNUMBER(SEARCH("environment",P51)),ISNUMBER(SEARCH("ecological",P51)),ISNUMBER(SEARCH("biodiversity",P51)),ISNUMBER(SEARCH("green cover",P51))),"Environment",IF(OR(ISNUMBER(SEARCH("irrigation",P51)),ISNUMBER(SEARCH("water",P51)),ISNUMBER(SEARCH("crop",P51)),ISNUMBER(SEARCH("farmer",P51)),ISNUMBER(SEARCH("agriculture",P51))),"Agriculture &amp; water",IF(OR(ISNUMBER(SEARCH("health",P51)),ISNUMBER(SEARCH("hospital",P51)),ISNUMBER(SEARCH("medicine",P51))),"Public health",IF(OR(ISNUMBER(SEARCH("employee",P51)),ISNUMBER(SEARCH("labour",P51)),ISNUMBER(SEARCH("worker",P51)),ISNUMBER(SEARCH("salary",P51))),"Labour &amp; employment",IF(OR(ISNUMBER(SEARCH("rti",P51)),ISNUMBER(SEARCH("transparency",P51)),ISNUMBER(SEARCH("corruption",P51)),ISNUMBER(SEARCH("governance",P51))),"Governance &amp; transparency",IF(OR(ISNUMBER(SEARCH("police",P51)),ISNUMBER(SEARCH("detention",P51)),ISNUMBER(SEARCH("civil rights",P51)),ISNUMBER(SEARCH("justice",P51))),"Civil rights &amp; justice",IF(OR(ISNUMBER(SEARCH("road",P51)),ISNUMBER(SEARCH("utility",P51)),ISNUMBER(SEARCH("infrastructure",P51)),ISNUMBER(SEARCH("public service",P51))),"Infrastructure &amp; public services","Other"))))))))))))</x:f>
      </x:c>
      <x:c r="J51" s="16" t="str">
        <x:f>IF(A51="","",IF(OR(ISNUMBER(SEARCH("fatal",Q51)),ISNUMBER(SEARCH("death",Q51)),ISNUMBER(SEARCH("riot",Q51)),ISNUMBER(SEARCH("curfew",Q51)),ISNUMBER(SEARCH("internet shutdown",Q51))),5,MIN(4,1+IF(H51&gt;=7,1,0)+IF(OR(ISNUMBER(SEARCH("hunger strike",Q51)),ISNUMBER(SEARCH("blockade",Q51)),ISNUMBER(SEARCH("strike",Q51)),ISNUMBER(SEARCH("jal satyagraha",Q51)),ISNUMBER(SEARCH("survey",Q51)),ISNUMBER(SEARCH("human chain",Q51)),ISNUMBER(SEARCH("march",Q51))),1,0)+IF(OR(ISNUMBER(SEARCH("fir",Q51)),ISNUMBER(SEARCH("confrontation",Q51)),ISNUMBER(SEARCH("violence",Q51)),ISNUMBER(SEARCH("detention",Q51)),ISNUMBER(SEARCH("arrest",Q51)),ISNUMBER(SEARCH("demolition",Q51)),ISNUMBER(SEARCH("injury",Q51))),1,0)+IF(OR(D51="Ongoing",D51="Unresolved"),1,0))))</x:f>
      </x:c>
      <x:c r="K51" s="16" t="str">
        <x:f>IF(J51="","",IF(J51=1,"Limited",IF(J51=2,"Local",IF(J51=3,"Significant",IF(J51=4,"High","Critical")))))</x:f>
      </x:c>
      <x:c r="L51" s="16" t="str">
        <x:f>IF(A51="","",Events!U50)</x:f>
      </x:c>
      <x:c r="M51" s="16" t="str">
        <x:f>IF(A51="","",Events!V50)</x:f>
      </x:c>
      <x:c r="N51" s="16" t="str">
        <x:f>IF(A51="","",Events!Q50)</x:f>
      </x:c>
      <x:c r="O51" s="16" t="str">
        <x:f>IF(A51="","",Events!R50)</x:f>
      </x:c>
      <x:c r="P51" s="16" t="str">
        <x:f>IF(A51="","",LOWER(Events!B50&amp;" "&amp;Events!D50&amp;" "&amp;Events!K50))</x:f>
      </x:c>
      <x:c r="Q51" s="16" t="str">
        <x:f>IF(A51="","",LOWER(Events!C50&amp;" "&amp;Events!K50&amp;" "&amp;Events!T50))</x:f>
      </x:c>
      <x:c r="R51" s="16" t="str">
        <x:f>IF(A51="","",IF(ISNUMBER(SEARCH("Occurrence verified",E51)),"Occurrence verified",E51))</x:f>
      </x:c>
      <x:c r="S51" s="79" t="str">
        <x:f>IF(A51="","",Events!X50)</x:f>
      </x:c>
      <x:c r="T51" t="str">
        <x:v>Labour &amp; employment</x:v>
      </x:c>
      <x:c r="U51" t="n">
        <x:f>COUNTIF($I$6:$I$1001,T51)</x:f>
        <x:v>1</x:v>
      </x:c>
      <x:c r="V51" t="n">
        <x:f>U51*1000+(100-ROW())/1000</x:f>
        <x:v>1000.049</x:v>
      </x:c>
      <x:c r="X51" t="str">
        <x:f>IF(LARGE($V$45:$V$55,7)&lt;1,"",INDEX($T$45:$T$55,MATCH(LARGE($V$45:$V$55,7),$V$45:$V$55,0)))</x:f>
      </x:c>
      <x:c r="Y51" t="str">
        <x:f>IF(X51="","",INDEX($U$45:$U$55,MATCH(X51,$T$45:$T$55,0)))</x:f>
      </x:c>
      <x:c r="Z51" s="79" t="str">
        <x:f>IF(A51="","",Events!AD50)</x:f>
      </x:c>
      <x:c r="AA51" s="79" t="str">
        <x:f>IF(A51="","",Events!AE50)</x:f>
      </x:c>
    </x:row>
    <x:row r="52">
      <x:c r="A52" s="16" t="str">
        <x:f>IF(Events!A51="","",Events!A51)</x:f>
      </x:c>
      <x:c r="B52" s="16" t="str">
        <x:f>IF(A52="","",Events!B51)</x:f>
      </x:c>
      <x:c r="C52" s="16" t="str">
        <x:f>IF(A52="","",Events!E51)</x:f>
      </x:c>
      <x:c r="D52" s="16" t="str">
        <x:f>IF(A52="","",Events!J51)</x:f>
      </x:c>
      <x:c r="E52" s="16" t="str">
        <x:f>IF(A52="","",Events!N51)</x:f>
      </x:c>
      <x:c r="F52" s="109" t="str">
        <x:f>IF(OR(A52="",Events!H51=""),"",Events!H51)</x:f>
      </x:c>
      <x:c r="G52" s="109" t="str">
        <x:f>IF(A52="","",IF(Events!I51&lt;&gt;"",Events!I51,IF(Events!S51&lt;&gt;"",Events!S51,"")))</x:f>
      </x:c>
      <x:c r="H52" s="16" t="str">
        <x:f>IF(A52="","",Events!W51)</x:f>
      </x:c>
      <x:c r="I52" s="16" t="str">
        <x:f>IF(A52="","",IF(Events!Y51&lt;&gt;"",Events!Y51,IF(OR(ISNUMBER(SEARCH("education",P52)),ISNUMBER(SEARCH("exam",P52)),ISNUMBER(SEARCH("school",P52))),"Education",IF(OR(ISNUMBER(SEARCH("trade agreement",P52)),ISNUMBER(SEARCH("economic",P52)),ISNUMBER(SEARCH("import",P52))),"Trade &amp; economic policy",IF(OR(ISNUMBER(SEARCH("land acquisition",P52)),ISNUMBER(SEARCH("rehabilitation",P52)),ISNUMBER(SEARCH("displacement",P52)),ISNUMBER(SEARCH("township",P52))),"Land &amp; rehabilitation",IF(OR(ISNUMBER(SEARCH("forest",P52)),ISNUMBER(SEARCH("environment",P52)),ISNUMBER(SEARCH("ecological",P52)),ISNUMBER(SEARCH("biodiversity",P52)),ISNUMBER(SEARCH("green cover",P52))),"Environment",IF(OR(ISNUMBER(SEARCH("irrigation",P52)),ISNUMBER(SEARCH("water",P52)),ISNUMBER(SEARCH("crop",P52)),ISNUMBER(SEARCH("farmer",P52)),ISNUMBER(SEARCH("agriculture",P52))),"Agriculture &amp; water",IF(OR(ISNUMBER(SEARCH("health",P52)),ISNUMBER(SEARCH("hospital",P52)),ISNUMBER(SEARCH("medicine",P52))),"Public health",IF(OR(ISNUMBER(SEARCH("employee",P52)),ISNUMBER(SEARCH("labour",P52)),ISNUMBER(SEARCH("worker",P52)),ISNUMBER(SEARCH("salary",P52))),"Labour &amp; employment",IF(OR(ISNUMBER(SEARCH("rti",P52)),ISNUMBER(SEARCH("transparency",P52)),ISNUMBER(SEARCH("corruption",P52)),ISNUMBER(SEARCH("governance",P52))),"Governance &amp; transparency",IF(OR(ISNUMBER(SEARCH("police",P52)),ISNUMBER(SEARCH("detention",P52)),ISNUMBER(SEARCH("civil rights",P52)),ISNUMBER(SEARCH("justice",P52))),"Civil rights &amp; justice",IF(OR(ISNUMBER(SEARCH("road",P52)),ISNUMBER(SEARCH("utility",P52)),ISNUMBER(SEARCH("infrastructure",P52)),ISNUMBER(SEARCH("public service",P52))),"Infrastructure &amp; public services","Other"))))))))))))</x:f>
      </x:c>
      <x:c r="J52" s="16" t="str">
        <x:f>IF(A52="","",IF(OR(ISNUMBER(SEARCH("fatal",Q52)),ISNUMBER(SEARCH("death",Q52)),ISNUMBER(SEARCH("riot",Q52)),ISNUMBER(SEARCH("curfew",Q52)),ISNUMBER(SEARCH("internet shutdown",Q52))),5,MIN(4,1+IF(H52&gt;=7,1,0)+IF(OR(ISNUMBER(SEARCH("hunger strike",Q52)),ISNUMBER(SEARCH("blockade",Q52)),ISNUMBER(SEARCH("strike",Q52)),ISNUMBER(SEARCH("jal satyagraha",Q52)),ISNUMBER(SEARCH("survey",Q52)),ISNUMBER(SEARCH("human chain",Q52)),ISNUMBER(SEARCH("march",Q52))),1,0)+IF(OR(ISNUMBER(SEARCH("fir",Q52)),ISNUMBER(SEARCH("confrontation",Q52)),ISNUMBER(SEARCH("violence",Q52)),ISNUMBER(SEARCH("detention",Q52)),ISNUMBER(SEARCH("arrest",Q52)),ISNUMBER(SEARCH("demolition",Q52)),ISNUMBER(SEARCH("injury",Q52))),1,0)+IF(OR(D52="Ongoing",D52="Unresolved"),1,0))))</x:f>
      </x:c>
      <x:c r="K52" s="16" t="str">
        <x:f>IF(J52="","",IF(J52=1,"Limited",IF(J52=2,"Local",IF(J52=3,"Significant",IF(J52=4,"High","Critical")))))</x:f>
      </x:c>
      <x:c r="L52" s="16" t="str">
        <x:f>IF(A52="","",Events!U51)</x:f>
      </x:c>
      <x:c r="M52" s="16" t="str">
        <x:f>IF(A52="","",Events!V51)</x:f>
      </x:c>
      <x:c r="N52" s="16" t="str">
        <x:f>IF(A52="","",Events!Q51)</x:f>
      </x:c>
      <x:c r="O52" s="16" t="str">
        <x:f>IF(A52="","",Events!R51)</x:f>
      </x:c>
      <x:c r="P52" s="16" t="str">
        <x:f>IF(A52="","",LOWER(Events!B51&amp;" "&amp;Events!D51&amp;" "&amp;Events!K51))</x:f>
      </x:c>
      <x:c r="Q52" s="16" t="str">
        <x:f>IF(A52="","",LOWER(Events!C51&amp;" "&amp;Events!K51&amp;" "&amp;Events!T51))</x:f>
      </x:c>
      <x:c r="R52" s="16" t="str">
        <x:f>IF(A52="","",IF(ISNUMBER(SEARCH("Occurrence verified",E52)),"Occurrence verified",E52))</x:f>
      </x:c>
      <x:c r="S52" s="79" t="str">
        <x:f>IF(A52="","",Events!X51)</x:f>
      </x:c>
      <x:c r="T52" t="str">
        <x:v>Governance &amp; transparency</x:v>
      </x:c>
      <x:c r="U52" t="n">
        <x:f>COUNTIF($I$6:$I$1001,T52)</x:f>
        <x:v>0</x:v>
      </x:c>
      <x:c r="V52" t="n">
        <x:f>U52*1000+(100-ROW())/1000</x:f>
        <x:v>0.048</x:v>
      </x:c>
      <x:c r="X52" t="str">
        <x:f>IF(LARGE($V$45:$V$55,8)&lt;1,"",INDEX($T$45:$T$55,MATCH(LARGE($V$45:$V$55,8),$V$45:$V$55,0)))</x:f>
      </x:c>
      <x:c r="Y52" t="str">
        <x:f>IF(X52="","",INDEX($U$45:$U$55,MATCH(X52,$T$45:$T$55,0)))</x:f>
      </x:c>
      <x:c r="Z52" s="79" t="str">
        <x:f>IF(A52="","",Events!AD51)</x:f>
      </x:c>
      <x:c r="AA52" s="79" t="str">
        <x:f>IF(A52="","",Events!AE51)</x:f>
      </x:c>
    </x:row>
    <x:row r="53">
      <x:c r="A53" s="16" t="str">
        <x:f>IF(Events!A52="","",Events!A52)</x:f>
      </x:c>
      <x:c r="B53" s="16" t="str">
        <x:f>IF(A53="","",Events!B52)</x:f>
      </x:c>
      <x:c r="C53" s="16" t="str">
        <x:f>IF(A53="","",Events!E52)</x:f>
      </x:c>
      <x:c r="D53" s="16" t="str">
        <x:f>IF(A53="","",Events!J52)</x:f>
      </x:c>
      <x:c r="E53" s="16" t="str">
        <x:f>IF(A53="","",Events!N52)</x:f>
      </x:c>
      <x:c r="F53" s="109" t="str">
        <x:f>IF(OR(A53="",Events!H52=""),"",Events!H52)</x:f>
      </x:c>
      <x:c r="G53" s="109" t="str">
        <x:f>IF(A53="","",IF(Events!I52&lt;&gt;"",Events!I52,IF(Events!S52&lt;&gt;"",Events!S52,"")))</x:f>
      </x:c>
      <x:c r="H53" s="16" t="str">
        <x:f>IF(A53="","",Events!W52)</x:f>
      </x:c>
      <x:c r="I53" s="16" t="str">
        <x:f>IF(A53="","",IF(Events!Y52&lt;&gt;"",Events!Y52,IF(OR(ISNUMBER(SEARCH("education",P53)),ISNUMBER(SEARCH("exam",P53)),ISNUMBER(SEARCH("school",P53))),"Education",IF(OR(ISNUMBER(SEARCH("trade agreement",P53)),ISNUMBER(SEARCH("economic",P53)),ISNUMBER(SEARCH("import",P53))),"Trade &amp; economic policy",IF(OR(ISNUMBER(SEARCH("land acquisition",P53)),ISNUMBER(SEARCH("rehabilitation",P53)),ISNUMBER(SEARCH("displacement",P53)),ISNUMBER(SEARCH("township",P53))),"Land &amp; rehabilitation",IF(OR(ISNUMBER(SEARCH("forest",P53)),ISNUMBER(SEARCH("environment",P53)),ISNUMBER(SEARCH("ecological",P53)),ISNUMBER(SEARCH("biodiversity",P53)),ISNUMBER(SEARCH("green cover",P53))),"Environment",IF(OR(ISNUMBER(SEARCH("irrigation",P53)),ISNUMBER(SEARCH("water",P53)),ISNUMBER(SEARCH("crop",P53)),ISNUMBER(SEARCH("farmer",P53)),ISNUMBER(SEARCH("agriculture",P53))),"Agriculture &amp; water",IF(OR(ISNUMBER(SEARCH("health",P53)),ISNUMBER(SEARCH("hospital",P53)),ISNUMBER(SEARCH("medicine",P53))),"Public health",IF(OR(ISNUMBER(SEARCH("employee",P53)),ISNUMBER(SEARCH("labour",P53)),ISNUMBER(SEARCH("worker",P53)),ISNUMBER(SEARCH("salary",P53))),"Labour &amp; employment",IF(OR(ISNUMBER(SEARCH("rti",P53)),ISNUMBER(SEARCH("transparency",P53)),ISNUMBER(SEARCH("corruption",P53)),ISNUMBER(SEARCH("governance",P53))),"Governance &amp; transparency",IF(OR(ISNUMBER(SEARCH("police",P53)),ISNUMBER(SEARCH("detention",P53)),ISNUMBER(SEARCH("civil rights",P53)),ISNUMBER(SEARCH("justice",P53))),"Civil rights &amp; justice",IF(OR(ISNUMBER(SEARCH("road",P53)),ISNUMBER(SEARCH("utility",P53)),ISNUMBER(SEARCH("infrastructure",P53)),ISNUMBER(SEARCH("public service",P53))),"Infrastructure &amp; public services","Other"))))))))))))</x:f>
      </x:c>
      <x:c r="J53" s="16" t="str">
        <x:f>IF(A53="","",IF(OR(ISNUMBER(SEARCH("fatal",Q53)),ISNUMBER(SEARCH("death",Q53)),ISNUMBER(SEARCH("riot",Q53)),ISNUMBER(SEARCH("curfew",Q53)),ISNUMBER(SEARCH("internet shutdown",Q53))),5,MIN(4,1+IF(H53&gt;=7,1,0)+IF(OR(ISNUMBER(SEARCH("hunger strike",Q53)),ISNUMBER(SEARCH("blockade",Q53)),ISNUMBER(SEARCH("strike",Q53)),ISNUMBER(SEARCH("jal satyagraha",Q53)),ISNUMBER(SEARCH("survey",Q53)),ISNUMBER(SEARCH("human chain",Q53)),ISNUMBER(SEARCH("march",Q53))),1,0)+IF(OR(ISNUMBER(SEARCH("fir",Q53)),ISNUMBER(SEARCH("confrontation",Q53)),ISNUMBER(SEARCH("violence",Q53)),ISNUMBER(SEARCH("detention",Q53)),ISNUMBER(SEARCH("arrest",Q53)),ISNUMBER(SEARCH("demolition",Q53)),ISNUMBER(SEARCH("injury",Q53))),1,0)+IF(OR(D53="Ongoing",D53="Unresolved"),1,0))))</x:f>
      </x:c>
      <x:c r="K53" s="16" t="str">
        <x:f>IF(J53="","",IF(J53=1,"Limited",IF(J53=2,"Local",IF(J53=3,"Significant",IF(J53=4,"High","Critical")))))</x:f>
      </x:c>
      <x:c r="L53" s="16" t="str">
        <x:f>IF(A53="","",Events!U52)</x:f>
      </x:c>
      <x:c r="M53" s="16" t="str">
        <x:f>IF(A53="","",Events!V52)</x:f>
      </x:c>
      <x:c r="N53" s="16" t="str">
        <x:f>IF(A53="","",Events!Q52)</x:f>
      </x:c>
      <x:c r="O53" s="16" t="str">
        <x:f>IF(A53="","",Events!R52)</x:f>
      </x:c>
      <x:c r="P53" s="16" t="str">
        <x:f>IF(A53="","",LOWER(Events!B52&amp;" "&amp;Events!D52&amp;" "&amp;Events!K52))</x:f>
      </x:c>
      <x:c r="Q53" s="16" t="str">
        <x:f>IF(A53="","",LOWER(Events!C52&amp;" "&amp;Events!K52&amp;" "&amp;Events!T52))</x:f>
      </x:c>
      <x:c r="R53" s="16" t="str">
        <x:f>IF(A53="","",IF(ISNUMBER(SEARCH("Occurrence verified",E53)),"Occurrence verified",E53))</x:f>
      </x:c>
      <x:c r="S53" s="79" t="str">
        <x:f>IF(A53="","",Events!X52)</x:f>
      </x:c>
      <x:c r="T53" t="str">
        <x:v>Civil rights &amp; justice</x:v>
      </x:c>
      <x:c r="U53" t="n">
        <x:f>COUNTIF($I$6:$I$1001,T53)</x:f>
        <x:v>0</x:v>
      </x:c>
      <x:c r="V53" t="n">
        <x:f>U53*1000+(100-ROW())/1000</x:f>
        <x:v>0.047</x:v>
      </x:c>
      <x:c r="Z53" s="79" t="str">
        <x:f>IF(A53="","",Events!AD52)</x:f>
      </x:c>
      <x:c r="AA53" s="79" t="str">
        <x:f>IF(A53="","",Events!AE52)</x:f>
      </x:c>
    </x:row>
    <x:row r="54">
      <x:c r="A54" s="16" t="str">
        <x:f>IF(Events!A53="","",Events!A53)</x:f>
      </x:c>
      <x:c r="B54" s="16" t="str">
        <x:f>IF(A54="","",Events!B53)</x:f>
      </x:c>
      <x:c r="C54" s="16" t="str">
        <x:f>IF(A54="","",Events!E53)</x:f>
      </x:c>
      <x:c r="D54" s="16" t="str">
        <x:f>IF(A54="","",Events!J53)</x:f>
      </x:c>
      <x:c r="E54" s="16" t="str">
        <x:f>IF(A54="","",Events!N53)</x:f>
      </x:c>
      <x:c r="F54" s="109" t="str">
        <x:f>IF(OR(A54="",Events!H53=""),"",Events!H53)</x:f>
      </x:c>
      <x:c r="G54" s="109" t="str">
        <x:f>IF(A54="","",IF(Events!I53&lt;&gt;"",Events!I53,IF(Events!S53&lt;&gt;"",Events!S53,"")))</x:f>
      </x:c>
      <x:c r="H54" s="16" t="str">
        <x:f>IF(A54="","",Events!W53)</x:f>
      </x:c>
      <x:c r="I54" s="16" t="str">
        <x:f>IF(A54="","",IF(Events!Y53&lt;&gt;"",Events!Y53,IF(OR(ISNUMBER(SEARCH("education",P54)),ISNUMBER(SEARCH("exam",P54)),ISNUMBER(SEARCH("school",P54))),"Education",IF(OR(ISNUMBER(SEARCH("trade agreement",P54)),ISNUMBER(SEARCH("economic",P54)),ISNUMBER(SEARCH("import",P54))),"Trade &amp; economic policy",IF(OR(ISNUMBER(SEARCH("land acquisition",P54)),ISNUMBER(SEARCH("rehabilitation",P54)),ISNUMBER(SEARCH("displacement",P54)),ISNUMBER(SEARCH("township",P54))),"Land &amp; rehabilitation",IF(OR(ISNUMBER(SEARCH("forest",P54)),ISNUMBER(SEARCH("environment",P54)),ISNUMBER(SEARCH("ecological",P54)),ISNUMBER(SEARCH("biodiversity",P54)),ISNUMBER(SEARCH("green cover",P54))),"Environment",IF(OR(ISNUMBER(SEARCH("irrigation",P54)),ISNUMBER(SEARCH("water",P54)),ISNUMBER(SEARCH("crop",P54)),ISNUMBER(SEARCH("farmer",P54)),ISNUMBER(SEARCH("agriculture",P54))),"Agriculture &amp; water",IF(OR(ISNUMBER(SEARCH("health",P54)),ISNUMBER(SEARCH("hospital",P54)),ISNUMBER(SEARCH("medicine",P54))),"Public health",IF(OR(ISNUMBER(SEARCH("employee",P54)),ISNUMBER(SEARCH("labour",P54)),ISNUMBER(SEARCH("worker",P54)),ISNUMBER(SEARCH("salary",P54))),"Labour &amp; employment",IF(OR(ISNUMBER(SEARCH("rti",P54)),ISNUMBER(SEARCH("transparency",P54)),ISNUMBER(SEARCH("corruption",P54)),ISNUMBER(SEARCH("governance",P54))),"Governance &amp; transparency",IF(OR(ISNUMBER(SEARCH("police",P54)),ISNUMBER(SEARCH("detention",P54)),ISNUMBER(SEARCH("civil rights",P54)),ISNUMBER(SEARCH("justice",P54))),"Civil rights &amp; justice",IF(OR(ISNUMBER(SEARCH("road",P54)),ISNUMBER(SEARCH("utility",P54)),ISNUMBER(SEARCH("infrastructure",P54)),ISNUMBER(SEARCH("public service",P54))),"Infrastructure &amp; public services","Other"))))))))))))</x:f>
      </x:c>
      <x:c r="J54" s="16" t="str">
        <x:f>IF(A54="","",IF(OR(ISNUMBER(SEARCH("fatal",Q54)),ISNUMBER(SEARCH("death",Q54)),ISNUMBER(SEARCH("riot",Q54)),ISNUMBER(SEARCH("curfew",Q54)),ISNUMBER(SEARCH("internet shutdown",Q54))),5,MIN(4,1+IF(H54&gt;=7,1,0)+IF(OR(ISNUMBER(SEARCH("hunger strike",Q54)),ISNUMBER(SEARCH("blockade",Q54)),ISNUMBER(SEARCH("strike",Q54)),ISNUMBER(SEARCH("jal satyagraha",Q54)),ISNUMBER(SEARCH("survey",Q54)),ISNUMBER(SEARCH("human chain",Q54)),ISNUMBER(SEARCH("march",Q54))),1,0)+IF(OR(ISNUMBER(SEARCH("fir",Q54)),ISNUMBER(SEARCH("confrontation",Q54)),ISNUMBER(SEARCH("violence",Q54)),ISNUMBER(SEARCH("detention",Q54)),ISNUMBER(SEARCH("arrest",Q54)),ISNUMBER(SEARCH("demolition",Q54)),ISNUMBER(SEARCH("injury",Q54))),1,0)+IF(OR(D54="Ongoing",D54="Unresolved"),1,0))))</x:f>
      </x:c>
      <x:c r="K54" s="16" t="str">
        <x:f>IF(J54="","",IF(J54=1,"Limited",IF(J54=2,"Local",IF(J54=3,"Significant",IF(J54=4,"High","Critical")))))</x:f>
      </x:c>
      <x:c r="L54" s="16" t="str">
        <x:f>IF(A54="","",Events!U53)</x:f>
      </x:c>
      <x:c r="M54" s="16" t="str">
        <x:f>IF(A54="","",Events!V53)</x:f>
      </x:c>
      <x:c r="N54" s="16" t="str">
        <x:f>IF(A54="","",Events!Q53)</x:f>
      </x:c>
      <x:c r="O54" s="16" t="str">
        <x:f>IF(A54="","",Events!R53)</x:f>
      </x:c>
      <x:c r="P54" s="16" t="str">
        <x:f>IF(A54="","",LOWER(Events!B53&amp;" "&amp;Events!D53&amp;" "&amp;Events!K53))</x:f>
      </x:c>
      <x:c r="Q54" s="16" t="str">
        <x:f>IF(A54="","",LOWER(Events!C53&amp;" "&amp;Events!K53&amp;" "&amp;Events!T53))</x:f>
      </x:c>
      <x:c r="R54" s="16" t="str">
        <x:f>IF(A54="","",IF(ISNUMBER(SEARCH("Occurrence verified",E54)),"Occurrence verified",E54))</x:f>
      </x:c>
      <x:c r="S54" s="79" t="str">
        <x:f>IF(A54="","",Events!X53)</x:f>
      </x:c>
      <x:c r="T54" t="str">
        <x:v>Infrastructure &amp; public services</x:v>
      </x:c>
      <x:c r="U54" t="n">
        <x:f>COUNTIF($I$6:$I$1001,T54)</x:f>
        <x:v>0</x:v>
      </x:c>
      <x:c r="V54" t="n">
        <x:f>U54*1000+(100-ROW())/1000</x:f>
        <x:v>0.046</x:v>
      </x:c>
      <x:c r="Z54" s="79" t="str">
        <x:f>IF(A54="","",Events!AD53)</x:f>
      </x:c>
      <x:c r="AA54" s="79" t="str">
        <x:f>IF(A54="","",Events!AE53)</x:f>
      </x:c>
    </x:row>
    <x:row r="55">
      <x:c r="A55" s="16" t="str">
        <x:f>IF(Events!A54="","",Events!A54)</x:f>
      </x:c>
      <x:c r="B55" s="16" t="str">
        <x:f>IF(A55="","",Events!B54)</x:f>
      </x:c>
      <x:c r="C55" s="16" t="str">
        <x:f>IF(A55="","",Events!E54)</x:f>
      </x:c>
      <x:c r="D55" s="16" t="str">
        <x:f>IF(A55="","",Events!J54)</x:f>
      </x:c>
      <x:c r="E55" s="16" t="str">
        <x:f>IF(A55="","",Events!N54)</x:f>
      </x:c>
      <x:c r="F55" s="109" t="str">
        <x:f>IF(OR(A55="",Events!H54=""),"",Events!H54)</x:f>
      </x:c>
      <x:c r="G55" s="109" t="str">
        <x:f>IF(A55="","",IF(Events!I54&lt;&gt;"",Events!I54,IF(Events!S54&lt;&gt;"",Events!S54,"")))</x:f>
      </x:c>
      <x:c r="H55" s="16" t="str">
        <x:f>IF(A55="","",Events!W54)</x:f>
      </x:c>
      <x:c r="I55" s="16" t="str">
        <x:f>IF(A55="","",IF(Events!Y54&lt;&gt;"",Events!Y54,IF(OR(ISNUMBER(SEARCH("education",P55)),ISNUMBER(SEARCH("exam",P55)),ISNUMBER(SEARCH("school",P55))),"Education",IF(OR(ISNUMBER(SEARCH("trade agreement",P55)),ISNUMBER(SEARCH("economic",P55)),ISNUMBER(SEARCH("import",P55))),"Trade &amp; economic policy",IF(OR(ISNUMBER(SEARCH("land acquisition",P55)),ISNUMBER(SEARCH("rehabilitation",P55)),ISNUMBER(SEARCH("displacement",P55)),ISNUMBER(SEARCH("township",P55))),"Land &amp; rehabilitation",IF(OR(ISNUMBER(SEARCH("forest",P55)),ISNUMBER(SEARCH("environment",P55)),ISNUMBER(SEARCH("ecological",P55)),ISNUMBER(SEARCH("biodiversity",P55)),ISNUMBER(SEARCH("green cover",P55))),"Environment",IF(OR(ISNUMBER(SEARCH("irrigation",P55)),ISNUMBER(SEARCH("water",P55)),ISNUMBER(SEARCH("crop",P55)),ISNUMBER(SEARCH("farmer",P55)),ISNUMBER(SEARCH("agriculture",P55))),"Agriculture &amp; water",IF(OR(ISNUMBER(SEARCH("health",P55)),ISNUMBER(SEARCH("hospital",P55)),ISNUMBER(SEARCH("medicine",P55))),"Public health",IF(OR(ISNUMBER(SEARCH("employee",P55)),ISNUMBER(SEARCH("labour",P55)),ISNUMBER(SEARCH("worker",P55)),ISNUMBER(SEARCH("salary",P55))),"Labour &amp; employment",IF(OR(ISNUMBER(SEARCH("rti",P55)),ISNUMBER(SEARCH("transparency",P55)),ISNUMBER(SEARCH("corruption",P55)),ISNUMBER(SEARCH("governance",P55))),"Governance &amp; transparency",IF(OR(ISNUMBER(SEARCH("police",P55)),ISNUMBER(SEARCH("detention",P55)),ISNUMBER(SEARCH("civil rights",P55)),ISNUMBER(SEARCH("justice",P55))),"Civil rights &amp; justice",IF(OR(ISNUMBER(SEARCH("road",P55)),ISNUMBER(SEARCH("utility",P55)),ISNUMBER(SEARCH("infrastructure",P55)),ISNUMBER(SEARCH("public service",P55))),"Infrastructure &amp; public services","Other"))))))))))))</x:f>
      </x:c>
      <x:c r="J55" s="16" t="str">
        <x:f>IF(A55="","",IF(OR(ISNUMBER(SEARCH("fatal",Q55)),ISNUMBER(SEARCH("death",Q55)),ISNUMBER(SEARCH("riot",Q55)),ISNUMBER(SEARCH("curfew",Q55)),ISNUMBER(SEARCH("internet shutdown",Q55))),5,MIN(4,1+IF(H55&gt;=7,1,0)+IF(OR(ISNUMBER(SEARCH("hunger strike",Q55)),ISNUMBER(SEARCH("blockade",Q55)),ISNUMBER(SEARCH("strike",Q55)),ISNUMBER(SEARCH("jal satyagraha",Q55)),ISNUMBER(SEARCH("survey",Q55)),ISNUMBER(SEARCH("human chain",Q55)),ISNUMBER(SEARCH("march",Q55))),1,0)+IF(OR(ISNUMBER(SEARCH("fir",Q55)),ISNUMBER(SEARCH("confrontation",Q55)),ISNUMBER(SEARCH("violence",Q55)),ISNUMBER(SEARCH("detention",Q55)),ISNUMBER(SEARCH("arrest",Q55)),ISNUMBER(SEARCH("demolition",Q55)),ISNUMBER(SEARCH("injury",Q55))),1,0)+IF(OR(D55="Ongoing",D55="Unresolved"),1,0))))</x:f>
      </x:c>
      <x:c r="K55" s="16" t="str">
        <x:f>IF(J55="","",IF(J55=1,"Limited",IF(J55=2,"Local",IF(J55=3,"Significant",IF(J55=4,"High","Critical")))))</x:f>
      </x:c>
      <x:c r="L55" s="16" t="str">
        <x:f>IF(A55="","",Events!U54)</x:f>
      </x:c>
      <x:c r="M55" s="16" t="str">
        <x:f>IF(A55="","",Events!V54)</x:f>
      </x:c>
      <x:c r="N55" s="16" t="str">
        <x:f>IF(A55="","",Events!Q54)</x:f>
      </x:c>
      <x:c r="O55" s="16" t="str">
        <x:f>IF(A55="","",Events!R54)</x:f>
      </x:c>
      <x:c r="P55" s="16" t="str">
        <x:f>IF(A55="","",LOWER(Events!B54&amp;" "&amp;Events!D54&amp;" "&amp;Events!K54))</x:f>
      </x:c>
      <x:c r="Q55" s="16" t="str">
        <x:f>IF(A55="","",LOWER(Events!C54&amp;" "&amp;Events!K54&amp;" "&amp;Events!T54))</x:f>
      </x:c>
      <x:c r="R55" s="16" t="str">
        <x:f>IF(A55="","",IF(ISNUMBER(SEARCH("Occurrence verified",E55)),"Occurrence verified",E55))</x:f>
      </x:c>
      <x:c r="S55" s="79" t="str">
        <x:f>IF(A55="","",Events!X54)</x:f>
      </x:c>
      <x:c r="T55" t="str">
        <x:v>Other</x:v>
      </x:c>
      <x:c r="U55" t="n">
        <x:f>COUNTIF($I$6:$I$1001,T55)</x:f>
        <x:v>0</x:v>
      </x:c>
      <x:c r="V55" t="n">
        <x:f>U55*1000+(100-ROW())/1000</x:f>
        <x:v>0.045</x:v>
      </x:c>
      <x:c r="Z55" s="79" t="str">
        <x:f>IF(A55="","",Events!AD54)</x:f>
      </x:c>
      <x:c r="AA55" s="79" t="str">
        <x:f>IF(A55="","",Events!AE54)</x:f>
      </x:c>
    </x:row>
    <x:row r="56">
      <x:c r="A56" s="16" t="str">
        <x:f>IF(Events!A55="","",Events!A55)</x:f>
      </x:c>
      <x:c r="B56" s="16" t="str">
        <x:f>IF(A56="","",Events!B55)</x:f>
      </x:c>
      <x:c r="C56" s="16" t="str">
        <x:f>IF(A56="","",Events!E55)</x:f>
      </x:c>
      <x:c r="D56" s="16" t="str">
        <x:f>IF(A56="","",Events!J55)</x:f>
      </x:c>
      <x:c r="E56" s="16" t="str">
        <x:f>IF(A56="","",Events!N55)</x:f>
      </x:c>
      <x:c r="F56" s="109" t="str">
        <x:f>IF(OR(A56="",Events!H55=""),"",Events!H55)</x:f>
      </x:c>
      <x:c r="G56" s="109" t="str">
        <x:f>IF(A56="","",IF(Events!I55&lt;&gt;"",Events!I55,IF(Events!S55&lt;&gt;"",Events!S55,"")))</x:f>
      </x:c>
      <x:c r="H56" s="16" t="str">
        <x:f>IF(A56="","",Events!W55)</x:f>
      </x:c>
      <x:c r="I56" s="16" t="str">
        <x:f>IF(A56="","",IF(Events!Y55&lt;&gt;"",Events!Y55,IF(OR(ISNUMBER(SEARCH("education",P56)),ISNUMBER(SEARCH("exam",P56)),ISNUMBER(SEARCH("school",P56))),"Education",IF(OR(ISNUMBER(SEARCH("trade agreement",P56)),ISNUMBER(SEARCH("economic",P56)),ISNUMBER(SEARCH("import",P56))),"Trade &amp; economic policy",IF(OR(ISNUMBER(SEARCH("land acquisition",P56)),ISNUMBER(SEARCH("rehabilitation",P56)),ISNUMBER(SEARCH("displacement",P56)),ISNUMBER(SEARCH("township",P56))),"Land &amp; rehabilitation",IF(OR(ISNUMBER(SEARCH("forest",P56)),ISNUMBER(SEARCH("environment",P56)),ISNUMBER(SEARCH("ecological",P56)),ISNUMBER(SEARCH("biodiversity",P56)),ISNUMBER(SEARCH("green cover",P56))),"Environment",IF(OR(ISNUMBER(SEARCH("irrigation",P56)),ISNUMBER(SEARCH("water",P56)),ISNUMBER(SEARCH("crop",P56)),ISNUMBER(SEARCH("farmer",P56)),ISNUMBER(SEARCH("agriculture",P56))),"Agriculture &amp; water",IF(OR(ISNUMBER(SEARCH("health",P56)),ISNUMBER(SEARCH("hospital",P56)),ISNUMBER(SEARCH("medicine",P56))),"Public health",IF(OR(ISNUMBER(SEARCH("employee",P56)),ISNUMBER(SEARCH("labour",P56)),ISNUMBER(SEARCH("worker",P56)),ISNUMBER(SEARCH("salary",P56))),"Labour &amp; employment",IF(OR(ISNUMBER(SEARCH("rti",P56)),ISNUMBER(SEARCH("transparency",P56)),ISNUMBER(SEARCH("corruption",P56)),ISNUMBER(SEARCH("governance",P56))),"Governance &amp; transparency",IF(OR(ISNUMBER(SEARCH("police",P56)),ISNUMBER(SEARCH("detention",P56)),ISNUMBER(SEARCH("civil rights",P56)),ISNUMBER(SEARCH("justice",P56))),"Civil rights &amp; justice",IF(OR(ISNUMBER(SEARCH("road",P56)),ISNUMBER(SEARCH("utility",P56)),ISNUMBER(SEARCH("infrastructure",P56)),ISNUMBER(SEARCH("public service",P56))),"Infrastructure &amp; public services","Other"))))))))))))</x:f>
      </x:c>
      <x:c r="J56" s="16" t="str">
        <x:f>IF(A56="","",IF(OR(ISNUMBER(SEARCH("fatal",Q56)),ISNUMBER(SEARCH("death",Q56)),ISNUMBER(SEARCH("riot",Q56)),ISNUMBER(SEARCH("curfew",Q56)),ISNUMBER(SEARCH("internet shutdown",Q56))),5,MIN(4,1+IF(H56&gt;=7,1,0)+IF(OR(ISNUMBER(SEARCH("hunger strike",Q56)),ISNUMBER(SEARCH("blockade",Q56)),ISNUMBER(SEARCH("strike",Q56)),ISNUMBER(SEARCH("jal satyagraha",Q56)),ISNUMBER(SEARCH("survey",Q56)),ISNUMBER(SEARCH("human chain",Q56)),ISNUMBER(SEARCH("march",Q56))),1,0)+IF(OR(ISNUMBER(SEARCH("fir",Q56)),ISNUMBER(SEARCH("confrontation",Q56)),ISNUMBER(SEARCH("violence",Q56)),ISNUMBER(SEARCH("detention",Q56)),ISNUMBER(SEARCH("arrest",Q56)),ISNUMBER(SEARCH("demolition",Q56)),ISNUMBER(SEARCH("injury",Q56))),1,0)+IF(OR(D56="Ongoing",D56="Unresolved"),1,0))))</x:f>
      </x:c>
      <x:c r="K56" s="16" t="str">
        <x:f>IF(J56="","",IF(J56=1,"Limited",IF(J56=2,"Local",IF(J56=3,"Significant",IF(J56=4,"High","Critical")))))</x:f>
      </x:c>
      <x:c r="L56" s="16" t="str">
        <x:f>IF(A56="","",Events!U55)</x:f>
      </x:c>
      <x:c r="M56" s="16" t="str">
        <x:f>IF(A56="","",Events!V55)</x:f>
      </x:c>
      <x:c r="N56" s="16" t="str">
        <x:f>IF(A56="","",Events!Q55)</x:f>
      </x:c>
      <x:c r="O56" s="16" t="str">
        <x:f>IF(A56="","",Events!R55)</x:f>
      </x:c>
      <x:c r="P56" s="16" t="str">
        <x:f>IF(A56="","",LOWER(Events!B55&amp;" "&amp;Events!D55&amp;" "&amp;Events!K55))</x:f>
      </x:c>
      <x:c r="Q56" s="16" t="str">
        <x:f>IF(A56="","",LOWER(Events!C55&amp;" "&amp;Events!K55&amp;" "&amp;Events!T55))</x:f>
      </x:c>
      <x:c r="R56" s="16" t="str">
        <x:f>IF(A56="","",IF(ISNUMBER(SEARCH("Occurrence verified",E56)),"Occurrence verified",E56))</x:f>
      </x:c>
      <x:c r="S56" s="79" t="str">
        <x:f>IF(A56="","",Events!X55)</x:f>
      </x:c>
      <x:c r="Z56" s="79" t="str">
        <x:f>IF(A56="","",Events!AD55)</x:f>
      </x:c>
      <x:c r="AA56" s="79" t="str">
        <x:f>IF(A56="","",Events!AE55)</x:f>
      </x:c>
    </x:row>
    <x:row r="57">
      <x:c r="A57" s="16" t="str">
        <x:f>IF(Events!A56="","",Events!A56)</x:f>
      </x:c>
      <x:c r="B57" s="16" t="str">
        <x:f>IF(A57="","",Events!B56)</x:f>
      </x:c>
      <x:c r="C57" s="16" t="str">
        <x:f>IF(A57="","",Events!E56)</x:f>
      </x:c>
      <x:c r="D57" s="16" t="str">
        <x:f>IF(A57="","",Events!J56)</x:f>
      </x:c>
      <x:c r="E57" s="16" t="str">
        <x:f>IF(A57="","",Events!N56)</x:f>
      </x:c>
      <x:c r="F57" s="109" t="str">
        <x:f>IF(OR(A57="",Events!H56=""),"",Events!H56)</x:f>
      </x:c>
      <x:c r="G57" s="109" t="str">
        <x:f>IF(A57="","",IF(Events!I56&lt;&gt;"",Events!I56,IF(Events!S56&lt;&gt;"",Events!S56,"")))</x:f>
      </x:c>
      <x:c r="H57" s="16" t="str">
        <x:f>IF(A57="","",Events!W56)</x:f>
      </x:c>
      <x:c r="I57" s="16" t="str">
        <x:f>IF(A57="","",IF(Events!Y56&lt;&gt;"",Events!Y56,IF(OR(ISNUMBER(SEARCH("education",P57)),ISNUMBER(SEARCH("exam",P57)),ISNUMBER(SEARCH("school",P57))),"Education",IF(OR(ISNUMBER(SEARCH("trade agreement",P57)),ISNUMBER(SEARCH("economic",P57)),ISNUMBER(SEARCH("import",P57))),"Trade &amp; economic policy",IF(OR(ISNUMBER(SEARCH("land acquisition",P57)),ISNUMBER(SEARCH("rehabilitation",P57)),ISNUMBER(SEARCH("displacement",P57)),ISNUMBER(SEARCH("township",P57))),"Land &amp; rehabilitation",IF(OR(ISNUMBER(SEARCH("forest",P57)),ISNUMBER(SEARCH("environment",P57)),ISNUMBER(SEARCH("ecological",P57)),ISNUMBER(SEARCH("biodiversity",P57)),ISNUMBER(SEARCH("green cover",P57))),"Environment",IF(OR(ISNUMBER(SEARCH("irrigation",P57)),ISNUMBER(SEARCH("water",P57)),ISNUMBER(SEARCH("crop",P57)),ISNUMBER(SEARCH("farmer",P57)),ISNUMBER(SEARCH("agriculture",P57))),"Agriculture &amp; water",IF(OR(ISNUMBER(SEARCH("health",P57)),ISNUMBER(SEARCH("hospital",P57)),ISNUMBER(SEARCH("medicine",P57))),"Public health",IF(OR(ISNUMBER(SEARCH("employee",P57)),ISNUMBER(SEARCH("labour",P57)),ISNUMBER(SEARCH("worker",P57)),ISNUMBER(SEARCH("salary",P57))),"Labour &amp; employment",IF(OR(ISNUMBER(SEARCH("rti",P57)),ISNUMBER(SEARCH("transparency",P57)),ISNUMBER(SEARCH("corruption",P57)),ISNUMBER(SEARCH("governance",P57))),"Governance &amp; transparency",IF(OR(ISNUMBER(SEARCH("police",P57)),ISNUMBER(SEARCH("detention",P57)),ISNUMBER(SEARCH("civil rights",P57)),ISNUMBER(SEARCH("justice",P57))),"Civil rights &amp; justice",IF(OR(ISNUMBER(SEARCH("road",P57)),ISNUMBER(SEARCH("utility",P57)),ISNUMBER(SEARCH("infrastructure",P57)),ISNUMBER(SEARCH("public service",P57))),"Infrastructure &amp; public services","Other"))))))))))))</x:f>
      </x:c>
      <x:c r="J57" s="16" t="str">
        <x:f>IF(A57="","",IF(OR(ISNUMBER(SEARCH("fatal",Q57)),ISNUMBER(SEARCH("death",Q57)),ISNUMBER(SEARCH("riot",Q57)),ISNUMBER(SEARCH("curfew",Q57)),ISNUMBER(SEARCH("internet shutdown",Q57))),5,MIN(4,1+IF(H57&gt;=7,1,0)+IF(OR(ISNUMBER(SEARCH("hunger strike",Q57)),ISNUMBER(SEARCH("blockade",Q57)),ISNUMBER(SEARCH("strike",Q57)),ISNUMBER(SEARCH("jal satyagraha",Q57)),ISNUMBER(SEARCH("survey",Q57)),ISNUMBER(SEARCH("human chain",Q57)),ISNUMBER(SEARCH("march",Q57))),1,0)+IF(OR(ISNUMBER(SEARCH("fir",Q57)),ISNUMBER(SEARCH("confrontation",Q57)),ISNUMBER(SEARCH("violence",Q57)),ISNUMBER(SEARCH("detention",Q57)),ISNUMBER(SEARCH("arrest",Q57)),ISNUMBER(SEARCH("demolition",Q57)),ISNUMBER(SEARCH("injury",Q57))),1,0)+IF(OR(D57="Ongoing",D57="Unresolved"),1,0))))</x:f>
      </x:c>
      <x:c r="K57" s="16" t="str">
        <x:f>IF(J57="","",IF(J57=1,"Limited",IF(J57=2,"Local",IF(J57=3,"Significant",IF(J57=4,"High","Critical")))))</x:f>
      </x:c>
      <x:c r="L57" s="16" t="str">
        <x:f>IF(A57="","",Events!U56)</x:f>
      </x:c>
      <x:c r="M57" s="16" t="str">
        <x:f>IF(A57="","",Events!V56)</x:f>
      </x:c>
      <x:c r="N57" s="16" t="str">
        <x:f>IF(A57="","",Events!Q56)</x:f>
      </x:c>
      <x:c r="O57" s="16" t="str">
        <x:f>IF(A57="","",Events!R56)</x:f>
      </x:c>
      <x:c r="P57" s="16" t="str">
        <x:f>IF(A57="","",LOWER(Events!B56&amp;" "&amp;Events!D56&amp;" "&amp;Events!K56))</x:f>
      </x:c>
      <x:c r="Q57" s="16" t="str">
        <x:f>IF(A57="","",LOWER(Events!C56&amp;" "&amp;Events!K56&amp;" "&amp;Events!T56))</x:f>
      </x:c>
      <x:c r="R57" s="16" t="str">
        <x:f>IF(A57="","",IF(ISNUMBER(SEARCH("Occurrence verified",E57)),"Occurrence verified",E57))</x:f>
      </x:c>
      <x:c r="S57" s="79" t="str">
        <x:f>IF(A57="","",Events!X56)</x:f>
      </x:c>
      <x:c r="Z57" s="79" t="str">
        <x:f>IF(A57="","",Events!AD56)</x:f>
      </x:c>
      <x:c r="AA57" s="79" t="str">
        <x:f>IF(A57="","",Events!AE56)</x:f>
      </x:c>
    </x:row>
    <x:row r="58">
      <x:c r="A58" s="16" t="str">
        <x:f>IF(Events!A57="","",Events!A57)</x:f>
      </x:c>
      <x:c r="B58" s="16" t="str">
        <x:f>IF(A58="","",Events!B57)</x:f>
      </x:c>
      <x:c r="C58" s="16" t="str">
        <x:f>IF(A58="","",Events!E57)</x:f>
      </x:c>
      <x:c r="D58" s="16" t="str">
        <x:f>IF(A58="","",Events!J57)</x:f>
      </x:c>
      <x:c r="E58" s="16" t="str">
        <x:f>IF(A58="","",Events!N57)</x:f>
      </x:c>
      <x:c r="F58" s="109" t="str">
        <x:f>IF(OR(A58="",Events!H57=""),"",Events!H57)</x:f>
      </x:c>
      <x:c r="G58" s="109" t="str">
        <x:f>IF(A58="","",IF(Events!I57&lt;&gt;"",Events!I57,IF(Events!S57&lt;&gt;"",Events!S57,"")))</x:f>
      </x:c>
      <x:c r="H58" s="16" t="str">
        <x:f>IF(A58="","",Events!W57)</x:f>
      </x:c>
      <x:c r="I58" s="16" t="str">
        <x:f>IF(A58="","",IF(Events!Y57&lt;&gt;"",Events!Y57,IF(OR(ISNUMBER(SEARCH("education",P58)),ISNUMBER(SEARCH("exam",P58)),ISNUMBER(SEARCH("school",P58))),"Education",IF(OR(ISNUMBER(SEARCH("trade agreement",P58)),ISNUMBER(SEARCH("economic",P58)),ISNUMBER(SEARCH("import",P58))),"Trade &amp; economic policy",IF(OR(ISNUMBER(SEARCH("land acquisition",P58)),ISNUMBER(SEARCH("rehabilitation",P58)),ISNUMBER(SEARCH("displacement",P58)),ISNUMBER(SEARCH("township",P58))),"Land &amp; rehabilitation",IF(OR(ISNUMBER(SEARCH("forest",P58)),ISNUMBER(SEARCH("environment",P58)),ISNUMBER(SEARCH("ecological",P58)),ISNUMBER(SEARCH("biodiversity",P58)),ISNUMBER(SEARCH("green cover",P58))),"Environment",IF(OR(ISNUMBER(SEARCH("irrigation",P58)),ISNUMBER(SEARCH("water",P58)),ISNUMBER(SEARCH("crop",P58)),ISNUMBER(SEARCH("farmer",P58)),ISNUMBER(SEARCH("agriculture",P58))),"Agriculture &amp; water",IF(OR(ISNUMBER(SEARCH("health",P58)),ISNUMBER(SEARCH("hospital",P58)),ISNUMBER(SEARCH("medicine",P58))),"Public health",IF(OR(ISNUMBER(SEARCH("employee",P58)),ISNUMBER(SEARCH("labour",P58)),ISNUMBER(SEARCH("worker",P58)),ISNUMBER(SEARCH("salary",P58))),"Labour &amp; employment",IF(OR(ISNUMBER(SEARCH("rti",P58)),ISNUMBER(SEARCH("transparency",P58)),ISNUMBER(SEARCH("corruption",P58)),ISNUMBER(SEARCH("governance",P58))),"Governance &amp; transparency",IF(OR(ISNUMBER(SEARCH("police",P58)),ISNUMBER(SEARCH("detention",P58)),ISNUMBER(SEARCH("civil rights",P58)),ISNUMBER(SEARCH("justice",P58))),"Civil rights &amp; justice",IF(OR(ISNUMBER(SEARCH("road",P58)),ISNUMBER(SEARCH("utility",P58)),ISNUMBER(SEARCH("infrastructure",P58)),ISNUMBER(SEARCH("public service",P58))),"Infrastructure &amp; public services","Other"))))))))))))</x:f>
      </x:c>
      <x:c r="J58" s="16" t="str">
        <x:f>IF(A58="","",IF(OR(ISNUMBER(SEARCH("fatal",Q58)),ISNUMBER(SEARCH("death",Q58)),ISNUMBER(SEARCH("riot",Q58)),ISNUMBER(SEARCH("curfew",Q58)),ISNUMBER(SEARCH("internet shutdown",Q58))),5,MIN(4,1+IF(H58&gt;=7,1,0)+IF(OR(ISNUMBER(SEARCH("hunger strike",Q58)),ISNUMBER(SEARCH("blockade",Q58)),ISNUMBER(SEARCH("strike",Q58)),ISNUMBER(SEARCH("jal satyagraha",Q58)),ISNUMBER(SEARCH("survey",Q58)),ISNUMBER(SEARCH("human chain",Q58)),ISNUMBER(SEARCH("march",Q58))),1,0)+IF(OR(ISNUMBER(SEARCH("fir",Q58)),ISNUMBER(SEARCH("confrontation",Q58)),ISNUMBER(SEARCH("violence",Q58)),ISNUMBER(SEARCH("detention",Q58)),ISNUMBER(SEARCH("arrest",Q58)),ISNUMBER(SEARCH("demolition",Q58)),ISNUMBER(SEARCH("injury",Q58))),1,0)+IF(OR(D58="Ongoing",D58="Unresolved"),1,0))))</x:f>
      </x:c>
      <x:c r="K58" s="16" t="str">
        <x:f>IF(J58="","",IF(J58=1,"Limited",IF(J58=2,"Local",IF(J58=3,"Significant",IF(J58=4,"High","Critical")))))</x:f>
      </x:c>
      <x:c r="L58" s="16" t="str">
        <x:f>IF(A58="","",Events!U57)</x:f>
      </x:c>
      <x:c r="M58" s="16" t="str">
        <x:f>IF(A58="","",Events!V57)</x:f>
      </x:c>
      <x:c r="N58" s="16" t="str">
        <x:f>IF(A58="","",Events!Q57)</x:f>
      </x:c>
      <x:c r="O58" s="16" t="str">
        <x:f>IF(A58="","",Events!R57)</x:f>
      </x:c>
      <x:c r="P58" s="16" t="str">
        <x:f>IF(A58="","",LOWER(Events!B57&amp;" "&amp;Events!D57&amp;" "&amp;Events!K57))</x:f>
      </x:c>
      <x:c r="Q58" s="16" t="str">
        <x:f>IF(A58="","",LOWER(Events!C57&amp;" "&amp;Events!K57&amp;" "&amp;Events!T57))</x:f>
      </x:c>
      <x:c r="R58" s="16" t="str">
        <x:f>IF(A58="","",IF(ISNUMBER(SEARCH("Occurrence verified",E58)),"Occurrence verified",E58))</x:f>
      </x:c>
      <x:c r="S58" s="79" t="str">
        <x:f>IF(A58="","",Events!X57)</x:f>
      </x:c>
      <x:c r="Z58" s="79" t="str">
        <x:f>IF(A58="","",Events!AD57)</x:f>
      </x:c>
      <x:c r="AA58" s="79" t="str">
        <x:f>IF(A58="","",Events!AE57)</x:f>
      </x:c>
    </x:row>
    <x:row r="59">
      <x:c r="A59" s="16" t="str">
        <x:f>IF(Events!A58="","",Events!A58)</x:f>
      </x:c>
      <x:c r="B59" s="16" t="str">
        <x:f>IF(A59="","",Events!B58)</x:f>
      </x:c>
      <x:c r="C59" s="16" t="str">
        <x:f>IF(A59="","",Events!E58)</x:f>
      </x:c>
      <x:c r="D59" s="16" t="str">
        <x:f>IF(A59="","",Events!J58)</x:f>
      </x:c>
      <x:c r="E59" s="16" t="str">
        <x:f>IF(A59="","",Events!N58)</x:f>
      </x:c>
      <x:c r="F59" s="109" t="str">
        <x:f>IF(OR(A59="",Events!H58=""),"",Events!H58)</x:f>
      </x:c>
      <x:c r="G59" s="109" t="str">
        <x:f>IF(A59="","",IF(Events!I58&lt;&gt;"",Events!I58,IF(Events!S58&lt;&gt;"",Events!S58,"")))</x:f>
      </x:c>
      <x:c r="H59" s="16" t="str">
        <x:f>IF(A59="","",Events!W58)</x:f>
      </x:c>
      <x:c r="I59" s="16" t="str">
        <x:f>IF(A59="","",IF(Events!Y58&lt;&gt;"",Events!Y58,IF(OR(ISNUMBER(SEARCH("education",P59)),ISNUMBER(SEARCH("exam",P59)),ISNUMBER(SEARCH("school",P59))),"Education",IF(OR(ISNUMBER(SEARCH("trade agreement",P59)),ISNUMBER(SEARCH("economic",P59)),ISNUMBER(SEARCH("import",P59))),"Trade &amp; economic policy",IF(OR(ISNUMBER(SEARCH("land acquisition",P59)),ISNUMBER(SEARCH("rehabilitation",P59)),ISNUMBER(SEARCH("displacement",P59)),ISNUMBER(SEARCH("township",P59))),"Land &amp; rehabilitation",IF(OR(ISNUMBER(SEARCH("forest",P59)),ISNUMBER(SEARCH("environment",P59)),ISNUMBER(SEARCH("ecological",P59)),ISNUMBER(SEARCH("biodiversity",P59)),ISNUMBER(SEARCH("green cover",P59))),"Environment",IF(OR(ISNUMBER(SEARCH("irrigation",P59)),ISNUMBER(SEARCH("water",P59)),ISNUMBER(SEARCH("crop",P59)),ISNUMBER(SEARCH("farmer",P59)),ISNUMBER(SEARCH("agriculture",P59))),"Agriculture &amp; water",IF(OR(ISNUMBER(SEARCH("health",P59)),ISNUMBER(SEARCH("hospital",P59)),ISNUMBER(SEARCH("medicine",P59))),"Public health",IF(OR(ISNUMBER(SEARCH("employee",P59)),ISNUMBER(SEARCH("labour",P59)),ISNUMBER(SEARCH("worker",P59)),ISNUMBER(SEARCH("salary",P59))),"Labour &amp; employment",IF(OR(ISNUMBER(SEARCH("rti",P59)),ISNUMBER(SEARCH("transparency",P59)),ISNUMBER(SEARCH("corruption",P59)),ISNUMBER(SEARCH("governance",P59))),"Governance &amp; transparency",IF(OR(ISNUMBER(SEARCH("police",P59)),ISNUMBER(SEARCH("detention",P59)),ISNUMBER(SEARCH("civil rights",P59)),ISNUMBER(SEARCH("justice",P59))),"Civil rights &amp; justice",IF(OR(ISNUMBER(SEARCH("road",P59)),ISNUMBER(SEARCH("utility",P59)),ISNUMBER(SEARCH("infrastructure",P59)),ISNUMBER(SEARCH("public service",P59))),"Infrastructure &amp; public services","Other"))))))))))))</x:f>
      </x:c>
      <x:c r="J59" s="16" t="str">
        <x:f>IF(A59="","",IF(OR(ISNUMBER(SEARCH("fatal",Q59)),ISNUMBER(SEARCH("death",Q59)),ISNUMBER(SEARCH("riot",Q59)),ISNUMBER(SEARCH("curfew",Q59)),ISNUMBER(SEARCH("internet shutdown",Q59))),5,MIN(4,1+IF(H59&gt;=7,1,0)+IF(OR(ISNUMBER(SEARCH("hunger strike",Q59)),ISNUMBER(SEARCH("blockade",Q59)),ISNUMBER(SEARCH("strike",Q59)),ISNUMBER(SEARCH("jal satyagraha",Q59)),ISNUMBER(SEARCH("survey",Q59)),ISNUMBER(SEARCH("human chain",Q59)),ISNUMBER(SEARCH("march",Q59))),1,0)+IF(OR(ISNUMBER(SEARCH("fir",Q59)),ISNUMBER(SEARCH("confrontation",Q59)),ISNUMBER(SEARCH("violence",Q59)),ISNUMBER(SEARCH("detention",Q59)),ISNUMBER(SEARCH("arrest",Q59)),ISNUMBER(SEARCH("demolition",Q59)),ISNUMBER(SEARCH("injury",Q59))),1,0)+IF(OR(D59="Ongoing",D59="Unresolved"),1,0))))</x:f>
      </x:c>
      <x:c r="K59" s="16" t="str">
        <x:f>IF(J59="","",IF(J59=1,"Limited",IF(J59=2,"Local",IF(J59=3,"Significant",IF(J59=4,"High","Critical")))))</x:f>
      </x:c>
      <x:c r="L59" s="16" t="str">
        <x:f>IF(A59="","",Events!U58)</x:f>
      </x:c>
      <x:c r="M59" s="16" t="str">
        <x:f>IF(A59="","",Events!V58)</x:f>
      </x:c>
      <x:c r="N59" s="16" t="str">
        <x:f>IF(A59="","",Events!Q58)</x:f>
      </x:c>
      <x:c r="O59" s="16" t="str">
        <x:f>IF(A59="","",Events!R58)</x:f>
      </x:c>
      <x:c r="P59" s="16" t="str">
        <x:f>IF(A59="","",LOWER(Events!B58&amp;" "&amp;Events!D58&amp;" "&amp;Events!K58))</x:f>
      </x:c>
      <x:c r="Q59" s="16" t="str">
        <x:f>IF(A59="","",LOWER(Events!C58&amp;" "&amp;Events!K58&amp;" "&amp;Events!T58))</x:f>
      </x:c>
      <x:c r="R59" s="16" t="str">
        <x:f>IF(A59="","",IF(ISNUMBER(SEARCH("Occurrence verified",E59)),"Occurrence verified",E59))</x:f>
      </x:c>
      <x:c r="S59" s="79" t="str">
        <x:f>IF(A59="","",Events!X58)</x:f>
      </x:c>
      <x:c r="Z59" s="79" t="str">
        <x:f>IF(A59="","",Events!AD58)</x:f>
      </x:c>
      <x:c r="AA59" s="79" t="str">
        <x:f>IF(A59="","",Events!AE58)</x:f>
      </x:c>
    </x:row>
    <x:row r="60">
      <x:c r="A60" s="16" t="str">
        <x:f>IF(Events!A59="","",Events!A59)</x:f>
      </x:c>
      <x:c r="B60" s="16" t="str">
        <x:f>IF(A60="","",Events!B59)</x:f>
      </x:c>
      <x:c r="C60" s="16" t="str">
        <x:f>IF(A60="","",Events!E59)</x:f>
      </x:c>
      <x:c r="D60" s="16" t="str">
        <x:f>IF(A60="","",Events!J59)</x:f>
      </x:c>
      <x:c r="E60" s="16" t="str">
        <x:f>IF(A60="","",Events!N59)</x:f>
      </x:c>
      <x:c r="F60" s="109" t="str">
        <x:f>IF(OR(A60="",Events!H59=""),"",Events!H59)</x:f>
      </x:c>
      <x:c r="G60" s="109" t="str">
        <x:f>IF(A60="","",IF(Events!I59&lt;&gt;"",Events!I59,IF(Events!S59&lt;&gt;"",Events!S59,"")))</x:f>
      </x:c>
      <x:c r="H60" s="16" t="str">
        <x:f>IF(A60="","",Events!W59)</x:f>
      </x:c>
      <x:c r="I60" s="16" t="str">
        <x:f>IF(A60="","",IF(Events!Y59&lt;&gt;"",Events!Y59,IF(OR(ISNUMBER(SEARCH("education",P60)),ISNUMBER(SEARCH("exam",P60)),ISNUMBER(SEARCH("school",P60))),"Education",IF(OR(ISNUMBER(SEARCH("trade agreement",P60)),ISNUMBER(SEARCH("economic",P60)),ISNUMBER(SEARCH("import",P60))),"Trade &amp; economic policy",IF(OR(ISNUMBER(SEARCH("land acquisition",P60)),ISNUMBER(SEARCH("rehabilitation",P60)),ISNUMBER(SEARCH("displacement",P60)),ISNUMBER(SEARCH("township",P60))),"Land &amp; rehabilitation",IF(OR(ISNUMBER(SEARCH("forest",P60)),ISNUMBER(SEARCH("environment",P60)),ISNUMBER(SEARCH("ecological",P60)),ISNUMBER(SEARCH("biodiversity",P60)),ISNUMBER(SEARCH("green cover",P60))),"Environment",IF(OR(ISNUMBER(SEARCH("irrigation",P60)),ISNUMBER(SEARCH("water",P60)),ISNUMBER(SEARCH("crop",P60)),ISNUMBER(SEARCH("farmer",P60)),ISNUMBER(SEARCH("agriculture",P60))),"Agriculture &amp; water",IF(OR(ISNUMBER(SEARCH("health",P60)),ISNUMBER(SEARCH("hospital",P60)),ISNUMBER(SEARCH("medicine",P60))),"Public health",IF(OR(ISNUMBER(SEARCH("employee",P60)),ISNUMBER(SEARCH("labour",P60)),ISNUMBER(SEARCH("worker",P60)),ISNUMBER(SEARCH("salary",P60))),"Labour &amp; employment",IF(OR(ISNUMBER(SEARCH("rti",P60)),ISNUMBER(SEARCH("transparency",P60)),ISNUMBER(SEARCH("corruption",P60)),ISNUMBER(SEARCH("governance",P60))),"Governance &amp; transparency",IF(OR(ISNUMBER(SEARCH("police",P60)),ISNUMBER(SEARCH("detention",P60)),ISNUMBER(SEARCH("civil rights",P60)),ISNUMBER(SEARCH("justice",P60))),"Civil rights &amp; justice",IF(OR(ISNUMBER(SEARCH("road",P60)),ISNUMBER(SEARCH("utility",P60)),ISNUMBER(SEARCH("infrastructure",P60)),ISNUMBER(SEARCH("public service",P60))),"Infrastructure &amp; public services","Other"))))))))))))</x:f>
      </x:c>
      <x:c r="J60" s="16" t="str">
        <x:f>IF(A60="","",IF(OR(ISNUMBER(SEARCH("fatal",Q60)),ISNUMBER(SEARCH("death",Q60)),ISNUMBER(SEARCH("riot",Q60)),ISNUMBER(SEARCH("curfew",Q60)),ISNUMBER(SEARCH("internet shutdown",Q60))),5,MIN(4,1+IF(H60&gt;=7,1,0)+IF(OR(ISNUMBER(SEARCH("hunger strike",Q60)),ISNUMBER(SEARCH("blockade",Q60)),ISNUMBER(SEARCH("strike",Q60)),ISNUMBER(SEARCH("jal satyagraha",Q60)),ISNUMBER(SEARCH("survey",Q60)),ISNUMBER(SEARCH("human chain",Q60)),ISNUMBER(SEARCH("march",Q60))),1,0)+IF(OR(ISNUMBER(SEARCH("fir",Q60)),ISNUMBER(SEARCH("confrontation",Q60)),ISNUMBER(SEARCH("violence",Q60)),ISNUMBER(SEARCH("detention",Q60)),ISNUMBER(SEARCH("arrest",Q60)),ISNUMBER(SEARCH("demolition",Q60)),ISNUMBER(SEARCH("injury",Q60))),1,0)+IF(OR(D60="Ongoing",D60="Unresolved"),1,0))))</x:f>
      </x:c>
      <x:c r="K60" s="16" t="str">
        <x:f>IF(J60="","",IF(J60=1,"Limited",IF(J60=2,"Local",IF(J60=3,"Significant",IF(J60=4,"High","Critical")))))</x:f>
      </x:c>
      <x:c r="L60" s="16" t="str">
        <x:f>IF(A60="","",Events!U59)</x:f>
      </x:c>
      <x:c r="M60" s="16" t="str">
        <x:f>IF(A60="","",Events!V59)</x:f>
      </x:c>
      <x:c r="N60" s="16" t="str">
        <x:f>IF(A60="","",Events!Q59)</x:f>
      </x:c>
      <x:c r="O60" s="16" t="str">
        <x:f>IF(A60="","",Events!R59)</x:f>
      </x:c>
      <x:c r="P60" s="16" t="str">
        <x:f>IF(A60="","",LOWER(Events!B59&amp;" "&amp;Events!D59&amp;" "&amp;Events!K59))</x:f>
      </x:c>
      <x:c r="Q60" s="16" t="str">
        <x:f>IF(A60="","",LOWER(Events!C59&amp;" "&amp;Events!K59&amp;" "&amp;Events!T59))</x:f>
      </x:c>
      <x:c r="R60" s="16" t="str">
        <x:f>IF(A60="","",IF(ISNUMBER(SEARCH("Occurrence verified",E60)),"Occurrence verified",E60))</x:f>
      </x:c>
      <x:c r="S60" s="79" t="str">
        <x:f>IF(A60="","",Events!X59)</x:f>
      </x:c>
      <x:c r="T60" s="343" t="str">
        <x:v>Intensity level</x:v>
      </x:c>
      <x:c r="U60" s="343" t="str">
        <x:v>Events</x:v>
      </x:c>
      <x:c r="X60" s="343" t="str">
        <x:v>Event status</x:v>
      </x:c>
      <x:c r="Y60" s="343" t="str">
        <x:v>Events</x:v>
      </x:c>
      <x:c r="Z60" s="79" t="str">
        <x:f>IF(A60="","",Events!AD59)</x:f>
      </x:c>
      <x:c r="AA60" s="79" t="str">
        <x:f>IF(A60="","",Events!AE59)</x:f>
      </x:c>
    </x:row>
    <x:row r="61">
      <x:c r="A61" s="16" t="str">
        <x:f>IF(Events!A60="","",Events!A60)</x:f>
      </x:c>
      <x:c r="B61" s="16" t="str">
        <x:f>IF(A61="","",Events!B60)</x:f>
      </x:c>
      <x:c r="C61" s="16" t="str">
        <x:f>IF(A61="","",Events!E60)</x:f>
      </x:c>
      <x:c r="D61" s="16" t="str">
        <x:f>IF(A61="","",Events!J60)</x:f>
      </x:c>
      <x:c r="E61" s="16" t="str">
        <x:f>IF(A61="","",Events!N60)</x:f>
      </x:c>
      <x:c r="F61" s="109" t="str">
        <x:f>IF(OR(A61="",Events!H60=""),"",Events!H60)</x:f>
      </x:c>
      <x:c r="G61" s="109" t="str">
        <x:f>IF(A61="","",IF(Events!I60&lt;&gt;"",Events!I60,IF(Events!S60&lt;&gt;"",Events!S60,"")))</x:f>
      </x:c>
      <x:c r="H61" s="16" t="str">
        <x:f>IF(A61="","",Events!W60)</x:f>
      </x:c>
      <x:c r="I61" s="16" t="str">
        <x:f>IF(A61="","",IF(Events!Y60&lt;&gt;"",Events!Y60,IF(OR(ISNUMBER(SEARCH("education",P61)),ISNUMBER(SEARCH("exam",P61)),ISNUMBER(SEARCH("school",P61))),"Education",IF(OR(ISNUMBER(SEARCH("trade agreement",P61)),ISNUMBER(SEARCH("economic",P61)),ISNUMBER(SEARCH("import",P61))),"Trade &amp; economic policy",IF(OR(ISNUMBER(SEARCH("land acquisition",P61)),ISNUMBER(SEARCH("rehabilitation",P61)),ISNUMBER(SEARCH("displacement",P61)),ISNUMBER(SEARCH("township",P61))),"Land &amp; rehabilitation",IF(OR(ISNUMBER(SEARCH("forest",P61)),ISNUMBER(SEARCH("environment",P61)),ISNUMBER(SEARCH("ecological",P61)),ISNUMBER(SEARCH("biodiversity",P61)),ISNUMBER(SEARCH("green cover",P61))),"Environment",IF(OR(ISNUMBER(SEARCH("irrigation",P61)),ISNUMBER(SEARCH("water",P61)),ISNUMBER(SEARCH("crop",P61)),ISNUMBER(SEARCH("farmer",P61)),ISNUMBER(SEARCH("agriculture",P61))),"Agriculture &amp; water",IF(OR(ISNUMBER(SEARCH("health",P61)),ISNUMBER(SEARCH("hospital",P61)),ISNUMBER(SEARCH("medicine",P61))),"Public health",IF(OR(ISNUMBER(SEARCH("employee",P61)),ISNUMBER(SEARCH("labour",P61)),ISNUMBER(SEARCH("worker",P61)),ISNUMBER(SEARCH("salary",P61))),"Labour &amp; employment",IF(OR(ISNUMBER(SEARCH("rti",P61)),ISNUMBER(SEARCH("transparency",P61)),ISNUMBER(SEARCH("corruption",P61)),ISNUMBER(SEARCH("governance",P61))),"Governance &amp; transparency",IF(OR(ISNUMBER(SEARCH("police",P61)),ISNUMBER(SEARCH("detention",P61)),ISNUMBER(SEARCH("civil rights",P61)),ISNUMBER(SEARCH("justice",P61))),"Civil rights &amp; justice",IF(OR(ISNUMBER(SEARCH("road",P61)),ISNUMBER(SEARCH("utility",P61)),ISNUMBER(SEARCH("infrastructure",P61)),ISNUMBER(SEARCH("public service",P61))),"Infrastructure &amp; public services","Other"))))))))))))</x:f>
      </x:c>
      <x:c r="J61" s="16" t="str">
        <x:f>IF(A61="","",IF(OR(ISNUMBER(SEARCH("fatal",Q61)),ISNUMBER(SEARCH("death",Q61)),ISNUMBER(SEARCH("riot",Q61)),ISNUMBER(SEARCH("curfew",Q61)),ISNUMBER(SEARCH("internet shutdown",Q61))),5,MIN(4,1+IF(H61&gt;=7,1,0)+IF(OR(ISNUMBER(SEARCH("hunger strike",Q61)),ISNUMBER(SEARCH("blockade",Q61)),ISNUMBER(SEARCH("strike",Q61)),ISNUMBER(SEARCH("jal satyagraha",Q61)),ISNUMBER(SEARCH("survey",Q61)),ISNUMBER(SEARCH("human chain",Q61)),ISNUMBER(SEARCH("march",Q61))),1,0)+IF(OR(ISNUMBER(SEARCH("fir",Q61)),ISNUMBER(SEARCH("confrontation",Q61)),ISNUMBER(SEARCH("violence",Q61)),ISNUMBER(SEARCH("detention",Q61)),ISNUMBER(SEARCH("arrest",Q61)),ISNUMBER(SEARCH("demolition",Q61)),ISNUMBER(SEARCH("injury",Q61))),1,0)+IF(OR(D61="Ongoing",D61="Unresolved"),1,0))))</x:f>
      </x:c>
      <x:c r="K61" s="16" t="str">
        <x:f>IF(J61="","",IF(J61=1,"Limited",IF(J61=2,"Local",IF(J61=3,"Significant",IF(J61=4,"High","Critical")))))</x:f>
      </x:c>
      <x:c r="L61" s="16" t="str">
        <x:f>IF(A61="","",Events!U60)</x:f>
      </x:c>
      <x:c r="M61" s="16" t="str">
        <x:f>IF(A61="","",Events!V60)</x:f>
      </x:c>
      <x:c r="N61" s="16" t="str">
        <x:f>IF(A61="","",Events!Q60)</x:f>
      </x:c>
      <x:c r="O61" s="16" t="str">
        <x:f>IF(A61="","",Events!R60)</x:f>
      </x:c>
      <x:c r="P61" s="16" t="str">
        <x:f>IF(A61="","",LOWER(Events!B60&amp;" "&amp;Events!D60&amp;" "&amp;Events!K60))</x:f>
      </x:c>
      <x:c r="Q61" s="16" t="str">
        <x:f>IF(A61="","",LOWER(Events!C60&amp;" "&amp;Events!K60&amp;" "&amp;Events!T60))</x:f>
      </x:c>
      <x:c r="R61" s="16" t="str">
        <x:f>IF(A61="","",IF(ISNUMBER(SEARCH("Occurrence verified",E61)),"Occurrence verified",E61))</x:f>
      </x:c>
      <x:c r="S61" s="79" t="str">
        <x:f>IF(A61="","",Events!X60)</x:f>
      </x:c>
      <x:c r="T61" t="str">
        <x:v>Limited</x:v>
      </x:c>
      <x:c r="U61" t="n">
        <x:f>COUNTIF($K$6:$K$1001,T61)</x:f>
        <x:v>2</x:v>
      </x:c>
      <x:c r="X61" t="str">
        <x:v>Announced</x:v>
      </x:c>
      <x:c r="Y61" t="n">
        <x:f>COUNTIF($D$6:$D$1001,X61)</x:f>
        <x:v>0</x:v>
      </x:c>
      <x:c r="Z61" s="79" t="str">
        <x:f>IF(A61="","",Events!AD60)</x:f>
      </x:c>
      <x:c r="AA61" s="79" t="str">
        <x:f>IF(A61="","",Events!AE60)</x:f>
      </x:c>
    </x:row>
    <x:row r="62">
      <x:c r="A62" s="16" t="str">
        <x:f>IF(Events!A61="","",Events!A61)</x:f>
      </x:c>
      <x:c r="B62" s="16" t="str">
        <x:f>IF(A62="","",Events!B61)</x:f>
      </x:c>
      <x:c r="C62" s="16" t="str">
        <x:f>IF(A62="","",Events!E61)</x:f>
      </x:c>
      <x:c r="D62" s="16" t="str">
        <x:f>IF(A62="","",Events!J61)</x:f>
      </x:c>
      <x:c r="E62" s="16" t="str">
        <x:f>IF(A62="","",Events!N61)</x:f>
      </x:c>
      <x:c r="F62" s="109" t="str">
        <x:f>IF(OR(A62="",Events!H61=""),"",Events!H61)</x:f>
      </x:c>
      <x:c r="G62" s="109" t="str">
        <x:f>IF(A62="","",IF(Events!I61&lt;&gt;"",Events!I61,IF(Events!S61&lt;&gt;"",Events!S61,"")))</x:f>
      </x:c>
      <x:c r="H62" s="16" t="str">
        <x:f>IF(A62="","",Events!W61)</x:f>
      </x:c>
      <x:c r="I62" s="16" t="str">
        <x:f>IF(A62="","",IF(Events!Y61&lt;&gt;"",Events!Y61,IF(OR(ISNUMBER(SEARCH("education",P62)),ISNUMBER(SEARCH("exam",P62)),ISNUMBER(SEARCH("school",P62))),"Education",IF(OR(ISNUMBER(SEARCH("trade agreement",P62)),ISNUMBER(SEARCH("economic",P62)),ISNUMBER(SEARCH("import",P62))),"Trade &amp; economic policy",IF(OR(ISNUMBER(SEARCH("land acquisition",P62)),ISNUMBER(SEARCH("rehabilitation",P62)),ISNUMBER(SEARCH("displacement",P62)),ISNUMBER(SEARCH("township",P62))),"Land &amp; rehabilitation",IF(OR(ISNUMBER(SEARCH("forest",P62)),ISNUMBER(SEARCH("environment",P62)),ISNUMBER(SEARCH("ecological",P62)),ISNUMBER(SEARCH("biodiversity",P62)),ISNUMBER(SEARCH("green cover",P62))),"Environment",IF(OR(ISNUMBER(SEARCH("irrigation",P62)),ISNUMBER(SEARCH("water",P62)),ISNUMBER(SEARCH("crop",P62)),ISNUMBER(SEARCH("farmer",P62)),ISNUMBER(SEARCH("agriculture",P62))),"Agriculture &amp; water",IF(OR(ISNUMBER(SEARCH("health",P62)),ISNUMBER(SEARCH("hospital",P62)),ISNUMBER(SEARCH("medicine",P62))),"Public health",IF(OR(ISNUMBER(SEARCH("employee",P62)),ISNUMBER(SEARCH("labour",P62)),ISNUMBER(SEARCH("worker",P62)),ISNUMBER(SEARCH("salary",P62))),"Labour &amp; employment",IF(OR(ISNUMBER(SEARCH("rti",P62)),ISNUMBER(SEARCH("transparency",P62)),ISNUMBER(SEARCH("corruption",P62)),ISNUMBER(SEARCH("governance",P62))),"Governance &amp; transparency",IF(OR(ISNUMBER(SEARCH("police",P62)),ISNUMBER(SEARCH("detention",P62)),ISNUMBER(SEARCH("civil rights",P62)),ISNUMBER(SEARCH("justice",P62))),"Civil rights &amp; justice",IF(OR(ISNUMBER(SEARCH("road",P62)),ISNUMBER(SEARCH("utility",P62)),ISNUMBER(SEARCH("infrastructure",P62)),ISNUMBER(SEARCH("public service",P62))),"Infrastructure &amp; public services","Other"))))))))))))</x:f>
      </x:c>
      <x:c r="J62" s="16" t="str">
        <x:f>IF(A62="","",IF(OR(ISNUMBER(SEARCH("fatal",Q62)),ISNUMBER(SEARCH("death",Q62)),ISNUMBER(SEARCH("riot",Q62)),ISNUMBER(SEARCH("curfew",Q62)),ISNUMBER(SEARCH("internet shutdown",Q62))),5,MIN(4,1+IF(H62&gt;=7,1,0)+IF(OR(ISNUMBER(SEARCH("hunger strike",Q62)),ISNUMBER(SEARCH("blockade",Q62)),ISNUMBER(SEARCH("strike",Q62)),ISNUMBER(SEARCH("jal satyagraha",Q62)),ISNUMBER(SEARCH("survey",Q62)),ISNUMBER(SEARCH("human chain",Q62)),ISNUMBER(SEARCH("march",Q62))),1,0)+IF(OR(ISNUMBER(SEARCH("fir",Q62)),ISNUMBER(SEARCH("confrontation",Q62)),ISNUMBER(SEARCH("violence",Q62)),ISNUMBER(SEARCH("detention",Q62)),ISNUMBER(SEARCH("arrest",Q62)),ISNUMBER(SEARCH("demolition",Q62)),ISNUMBER(SEARCH("injury",Q62))),1,0)+IF(OR(D62="Ongoing",D62="Unresolved"),1,0))))</x:f>
      </x:c>
      <x:c r="K62" s="16" t="str">
        <x:f>IF(J62="","",IF(J62=1,"Limited",IF(J62=2,"Local",IF(J62=3,"Significant",IF(J62=4,"High","Critical")))))</x:f>
      </x:c>
      <x:c r="L62" s="16" t="str">
        <x:f>IF(A62="","",Events!U61)</x:f>
      </x:c>
      <x:c r="M62" s="16" t="str">
        <x:f>IF(A62="","",Events!V61)</x:f>
      </x:c>
      <x:c r="N62" s="16" t="str">
        <x:f>IF(A62="","",Events!Q61)</x:f>
      </x:c>
      <x:c r="O62" s="16" t="str">
        <x:f>IF(A62="","",Events!R61)</x:f>
      </x:c>
      <x:c r="P62" s="16" t="str">
        <x:f>IF(A62="","",LOWER(Events!B61&amp;" "&amp;Events!D61&amp;" "&amp;Events!K61))</x:f>
      </x:c>
      <x:c r="Q62" s="16" t="str">
        <x:f>IF(A62="","",LOWER(Events!C61&amp;" "&amp;Events!K61&amp;" "&amp;Events!T61))</x:f>
      </x:c>
      <x:c r="R62" s="16" t="str">
        <x:f>IF(A62="","",IF(ISNUMBER(SEARCH("Occurrence verified",E62)),"Occurrence verified",E62))</x:f>
      </x:c>
      <x:c r="S62" s="79" t="str">
        <x:f>IF(A62="","",Events!X61)</x:f>
      </x:c>
      <x:c r="T62" t="str">
        <x:v>Local</x:v>
      </x:c>
      <x:c r="U62" t="n">
        <x:f>COUNTIF($K$6:$K$1001,T62)</x:f>
        <x:v>2</x:v>
      </x:c>
      <x:c r="X62" t="str">
        <x:v>Ongoing</x:v>
      </x:c>
      <x:c r="Y62" t="n">
        <x:f>COUNTIF($D$6:$D$1001,X62)</x:f>
        <x:v>7</x:v>
      </x:c>
      <x:c r="Z62" s="79" t="str">
        <x:f>IF(A62="","",Events!AD61)</x:f>
      </x:c>
      <x:c r="AA62" s="79" t="str">
        <x:f>IF(A62="","",Events!AE61)</x:f>
      </x:c>
    </x:row>
    <x:row r="63">
      <x:c r="A63" s="16" t="str">
        <x:f>IF(Events!A62="","",Events!A62)</x:f>
      </x:c>
      <x:c r="B63" s="16" t="str">
        <x:f>IF(A63="","",Events!B62)</x:f>
      </x:c>
      <x:c r="C63" s="16" t="str">
        <x:f>IF(A63="","",Events!E62)</x:f>
      </x:c>
      <x:c r="D63" s="16" t="str">
        <x:f>IF(A63="","",Events!J62)</x:f>
      </x:c>
      <x:c r="E63" s="16" t="str">
        <x:f>IF(A63="","",Events!N62)</x:f>
      </x:c>
      <x:c r="F63" s="109" t="str">
        <x:f>IF(OR(A63="",Events!H62=""),"",Events!H62)</x:f>
      </x:c>
      <x:c r="G63" s="109" t="str">
        <x:f>IF(A63="","",IF(Events!I62&lt;&gt;"",Events!I62,IF(Events!S62&lt;&gt;"",Events!S62,"")))</x:f>
      </x:c>
      <x:c r="H63" s="16" t="str">
        <x:f>IF(A63="","",Events!W62)</x:f>
      </x:c>
      <x:c r="I63" s="16" t="str">
        <x:f>IF(A63="","",IF(Events!Y62&lt;&gt;"",Events!Y62,IF(OR(ISNUMBER(SEARCH("education",P63)),ISNUMBER(SEARCH("exam",P63)),ISNUMBER(SEARCH("school",P63))),"Education",IF(OR(ISNUMBER(SEARCH("trade agreement",P63)),ISNUMBER(SEARCH("economic",P63)),ISNUMBER(SEARCH("import",P63))),"Trade &amp; economic policy",IF(OR(ISNUMBER(SEARCH("land acquisition",P63)),ISNUMBER(SEARCH("rehabilitation",P63)),ISNUMBER(SEARCH("displacement",P63)),ISNUMBER(SEARCH("township",P63))),"Land &amp; rehabilitation",IF(OR(ISNUMBER(SEARCH("forest",P63)),ISNUMBER(SEARCH("environment",P63)),ISNUMBER(SEARCH("ecological",P63)),ISNUMBER(SEARCH("biodiversity",P63)),ISNUMBER(SEARCH("green cover",P63))),"Environment",IF(OR(ISNUMBER(SEARCH("irrigation",P63)),ISNUMBER(SEARCH("water",P63)),ISNUMBER(SEARCH("crop",P63)),ISNUMBER(SEARCH("farmer",P63)),ISNUMBER(SEARCH("agriculture",P63))),"Agriculture &amp; water",IF(OR(ISNUMBER(SEARCH("health",P63)),ISNUMBER(SEARCH("hospital",P63)),ISNUMBER(SEARCH("medicine",P63))),"Public health",IF(OR(ISNUMBER(SEARCH("employee",P63)),ISNUMBER(SEARCH("labour",P63)),ISNUMBER(SEARCH("worker",P63)),ISNUMBER(SEARCH("salary",P63))),"Labour &amp; employment",IF(OR(ISNUMBER(SEARCH("rti",P63)),ISNUMBER(SEARCH("transparency",P63)),ISNUMBER(SEARCH("corruption",P63)),ISNUMBER(SEARCH("governance",P63))),"Governance &amp; transparency",IF(OR(ISNUMBER(SEARCH("police",P63)),ISNUMBER(SEARCH("detention",P63)),ISNUMBER(SEARCH("civil rights",P63)),ISNUMBER(SEARCH("justice",P63))),"Civil rights &amp; justice",IF(OR(ISNUMBER(SEARCH("road",P63)),ISNUMBER(SEARCH("utility",P63)),ISNUMBER(SEARCH("infrastructure",P63)),ISNUMBER(SEARCH("public service",P63))),"Infrastructure &amp; public services","Other"))))))))))))</x:f>
      </x:c>
      <x:c r="J63" s="16" t="str">
        <x:f>IF(A63="","",IF(OR(ISNUMBER(SEARCH("fatal",Q63)),ISNUMBER(SEARCH("death",Q63)),ISNUMBER(SEARCH("riot",Q63)),ISNUMBER(SEARCH("curfew",Q63)),ISNUMBER(SEARCH("internet shutdown",Q63))),5,MIN(4,1+IF(H63&gt;=7,1,0)+IF(OR(ISNUMBER(SEARCH("hunger strike",Q63)),ISNUMBER(SEARCH("blockade",Q63)),ISNUMBER(SEARCH("strike",Q63)),ISNUMBER(SEARCH("jal satyagraha",Q63)),ISNUMBER(SEARCH("survey",Q63)),ISNUMBER(SEARCH("human chain",Q63)),ISNUMBER(SEARCH("march",Q63))),1,0)+IF(OR(ISNUMBER(SEARCH("fir",Q63)),ISNUMBER(SEARCH("confrontation",Q63)),ISNUMBER(SEARCH("violence",Q63)),ISNUMBER(SEARCH("detention",Q63)),ISNUMBER(SEARCH("arrest",Q63)),ISNUMBER(SEARCH("demolition",Q63)),ISNUMBER(SEARCH("injury",Q63))),1,0)+IF(OR(D63="Ongoing",D63="Unresolved"),1,0))))</x:f>
      </x:c>
      <x:c r="K63" s="16" t="str">
        <x:f>IF(J63="","",IF(J63=1,"Limited",IF(J63=2,"Local",IF(J63=3,"Significant",IF(J63=4,"High","Critical")))))</x:f>
      </x:c>
      <x:c r="L63" s="16" t="str">
        <x:f>IF(A63="","",Events!U62)</x:f>
      </x:c>
      <x:c r="M63" s="16" t="str">
        <x:f>IF(A63="","",Events!V62)</x:f>
      </x:c>
      <x:c r="N63" s="16" t="str">
        <x:f>IF(A63="","",Events!Q62)</x:f>
      </x:c>
      <x:c r="O63" s="16" t="str">
        <x:f>IF(A63="","",Events!R62)</x:f>
      </x:c>
      <x:c r="P63" s="16" t="str">
        <x:f>IF(A63="","",LOWER(Events!B62&amp;" "&amp;Events!D62&amp;" "&amp;Events!K62))</x:f>
      </x:c>
      <x:c r="Q63" s="16" t="str">
        <x:f>IF(A63="","",LOWER(Events!C62&amp;" "&amp;Events!K62&amp;" "&amp;Events!T62))</x:f>
      </x:c>
      <x:c r="R63" s="16" t="str">
        <x:f>IF(A63="","",IF(ISNUMBER(SEARCH("Occurrence verified",E63)),"Occurrence verified",E63))</x:f>
      </x:c>
      <x:c r="S63" s="79" t="str">
        <x:f>IF(A63="","",Events!X62)</x:f>
      </x:c>
      <x:c r="T63" t="str">
        <x:v>Significant</x:v>
      </x:c>
      <x:c r="U63" t="n">
        <x:f>COUNTIF($K$6:$K$1001,T63)</x:f>
        <x:v>1</x:v>
      </x:c>
      <x:c r="X63" t="str">
        <x:v>Paused</x:v>
      </x:c>
      <x:c r="Y63" t="n">
        <x:f>COUNTIF($D$6:$D$1001,X63)</x:f>
        <x:v>0</x:v>
      </x:c>
      <x:c r="Z63" s="79" t="str">
        <x:f>IF(A63="","",Events!AD62)</x:f>
      </x:c>
      <x:c r="AA63" s="79" t="str">
        <x:f>IF(A63="","",Events!AE62)</x:f>
      </x:c>
    </x:row>
    <x:row r="64">
      <x:c r="A64" s="16" t="str">
        <x:f>IF(Events!A63="","",Events!A63)</x:f>
      </x:c>
      <x:c r="B64" s="16" t="str">
        <x:f>IF(A64="","",Events!B63)</x:f>
      </x:c>
      <x:c r="C64" s="16" t="str">
        <x:f>IF(A64="","",Events!E63)</x:f>
      </x:c>
      <x:c r="D64" s="16" t="str">
        <x:f>IF(A64="","",Events!J63)</x:f>
      </x:c>
      <x:c r="E64" s="16" t="str">
        <x:f>IF(A64="","",Events!N63)</x:f>
      </x:c>
      <x:c r="F64" s="109" t="str">
        <x:f>IF(OR(A64="",Events!H63=""),"",Events!H63)</x:f>
      </x:c>
      <x:c r="G64" s="109" t="str">
        <x:f>IF(A64="","",IF(Events!I63&lt;&gt;"",Events!I63,IF(Events!S63&lt;&gt;"",Events!S63,"")))</x:f>
      </x:c>
      <x:c r="H64" s="16" t="str">
        <x:f>IF(A64="","",Events!W63)</x:f>
      </x:c>
      <x:c r="I64" s="16" t="str">
        <x:f>IF(A64="","",IF(Events!Y63&lt;&gt;"",Events!Y63,IF(OR(ISNUMBER(SEARCH("education",P64)),ISNUMBER(SEARCH("exam",P64)),ISNUMBER(SEARCH("school",P64))),"Education",IF(OR(ISNUMBER(SEARCH("trade agreement",P64)),ISNUMBER(SEARCH("economic",P64)),ISNUMBER(SEARCH("import",P64))),"Trade &amp; economic policy",IF(OR(ISNUMBER(SEARCH("land acquisition",P64)),ISNUMBER(SEARCH("rehabilitation",P64)),ISNUMBER(SEARCH("displacement",P64)),ISNUMBER(SEARCH("township",P64))),"Land &amp; rehabilitation",IF(OR(ISNUMBER(SEARCH("forest",P64)),ISNUMBER(SEARCH("environment",P64)),ISNUMBER(SEARCH("ecological",P64)),ISNUMBER(SEARCH("biodiversity",P64)),ISNUMBER(SEARCH("green cover",P64))),"Environment",IF(OR(ISNUMBER(SEARCH("irrigation",P64)),ISNUMBER(SEARCH("water",P64)),ISNUMBER(SEARCH("crop",P64)),ISNUMBER(SEARCH("farmer",P64)),ISNUMBER(SEARCH("agriculture",P64))),"Agriculture &amp; water",IF(OR(ISNUMBER(SEARCH("health",P64)),ISNUMBER(SEARCH("hospital",P64)),ISNUMBER(SEARCH("medicine",P64))),"Public health",IF(OR(ISNUMBER(SEARCH("employee",P64)),ISNUMBER(SEARCH("labour",P64)),ISNUMBER(SEARCH("worker",P64)),ISNUMBER(SEARCH("salary",P64))),"Labour &amp; employment",IF(OR(ISNUMBER(SEARCH("rti",P64)),ISNUMBER(SEARCH("transparency",P64)),ISNUMBER(SEARCH("corruption",P64)),ISNUMBER(SEARCH("governance",P64))),"Governance &amp; transparency",IF(OR(ISNUMBER(SEARCH("police",P64)),ISNUMBER(SEARCH("detention",P64)),ISNUMBER(SEARCH("civil rights",P64)),ISNUMBER(SEARCH("justice",P64))),"Civil rights &amp; justice",IF(OR(ISNUMBER(SEARCH("road",P64)),ISNUMBER(SEARCH("utility",P64)),ISNUMBER(SEARCH("infrastructure",P64)),ISNUMBER(SEARCH("public service",P64))),"Infrastructure &amp; public services","Other"))))))))))))</x:f>
      </x:c>
      <x:c r="J64" s="16" t="str">
        <x:f>IF(A64="","",IF(OR(ISNUMBER(SEARCH("fatal",Q64)),ISNUMBER(SEARCH("death",Q64)),ISNUMBER(SEARCH("riot",Q64)),ISNUMBER(SEARCH("curfew",Q64)),ISNUMBER(SEARCH("internet shutdown",Q64))),5,MIN(4,1+IF(H64&gt;=7,1,0)+IF(OR(ISNUMBER(SEARCH("hunger strike",Q64)),ISNUMBER(SEARCH("blockade",Q64)),ISNUMBER(SEARCH("strike",Q64)),ISNUMBER(SEARCH("jal satyagraha",Q64)),ISNUMBER(SEARCH("survey",Q64)),ISNUMBER(SEARCH("human chain",Q64)),ISNUMBER(SEARCH("march",Q64))),1,0)+IF(OR(ISNUMBER(SEARCH("fir",Q64)),ISNUMBER(SEARCH("confrontation",Q64)),ISNUMBER(SEARCH("violence",Q64)),ISNUMBER(SEARCH("detention",Q64)),ISNUMBER(SEARCH("arrest",Q64)),ISNUMBER(SEARCH("demolition",Q64)),ISNUMBER(SEARCH("injury",Q64))),1,0)+IF(OR(D64="Ongoing",D64="Unresolved"),1,0))))</x:f>
      </x:c>
      <x:c r="K64" s="16" t="str">
        <x:f>IF(J64="","",IF(J64=1,"Limited",IF(J64=2,"Local",IF(J64=3,"Significant",IF(J64=4,"High","Critical")))))</x:f>
      </x:c>
      <x:c r="L64" s="16" t="str">
        <x:f>IF(A64="","",Events!U63)</x:f>
      </x:c>
      <x:c r="M64" s="16" t="str">
        <x:f>IF(A64="","",Events!V63)</x:f>
      </x:c>
      <x:c r="N64" s="16" t="str">
        <x:f>IF(A64="","",Events!Q63)</x:f>
      </x:c>
      <x:c r="O64" s="16" t="str">
        <x:f>IF(A64="","",Events!R63)</x:f>
      </x:c>
      <x:c r="P64" s="16" t="str">
        <x:f>IF(A64="","",LOWER(Events!B63&amp;" "&amp;Events!D63&amp;" "&amp;Events!K63))</x:f>
      </x:c>
      <x:c r="Q64" s="16" t="str">
        <x:f>IF(A64="","",LOWER(Events!C63&amp;" "&amp;Events!K63&amp;" "&amp;Events!T63))</x:f>
      </x:c>
      <x:c r="R64" s="16" t="str">
        <x:f>IF(A64="","",IF(ISNUMBER(SEARCH("Occurrence verified",E64)),"Occurrence verified",E64))</x:f>
      </x:c>
      <x:c r="S64" s="79" t="str">
        <x:f>IF(A64="","",Events!X63)</x:f>
      </x:c>
      <x:c r="T64" t="str">
        <x:v>High</x:v>
      </x:c>
      <x:c r="U64" t="n">
        <x:f>COUNTIF($K$6:$K$1001,T64)</x:f>
        <x:v>6</x:v>
      </x:c>
      <x:c r="X64" t="str">
        <x:v>Concluded</x:v>
      </x:c>
      <x:c r="Y64" t="n">
        <x:f>COUNTIF($D$6:$D$1001,X64)</x:f>
        <x:v>4</x:v>
      </x:c>
      <x:c r="Z64" s="79" t="str">
        <x:f>IF(A64="","",Events!AD63)</x:f>
      </x:c>
      <x:c r="AA64" s="79" t="str">
        <x:f>IF(A64="","",Events!AE63)</x:f>
      </x:c>
    </x:row>
    <x:row r="65">
      <x:c r="A65" s="16" t="str">
        <x:f>IF(Events!A64="","",Events!A64)</x:f>
      </x:c>
      <x:c r="B65" s="16" t="str">
        <x:f>IF(A65="","",Events!B64)</x:f>
      </x:c>
      <x:c r="C65" s="16" t="str">
        <x:f>IF(A65="","",Events!E64)</x:f>
      </x:c>
      <x:c r="D65" s="16" t="str">
        <x:f>IF(A65="","",Events!J64)</x:f>
      </x:c>
      <x:c r="E65" s="16" t="str">
        <x:f>IF(A65="","",Events!N64)</x:f>
      </x:c>
      <x:c r="F65" s="109" t="str">
        <x:f>IF(OR(A65="",Events!H64=""),"",Events!H64)</x:f>
      </x:c>
      <x:c r="G65" s="109" t="str">
        <x:f>IF(A65="","",IF(Events!I64&lt;&gt;"",Events!I64,IF(Events!S64&lt;&gt;"",Events!S64,"")))</x:f>
      </x:c>
      <x:c r="H65" s="16" t="str">
        <x:f>IF(A65="","",Events!W64)</x:f>
      </x:c>
      <x:c r="I65" s="16" t="str">
        <x:f>IF(A65="","",IF(Events!Y64&lt;&gt;"",Events!Y64,IF(OR(ISNUMBER(SEARCH("education",P65)),ISNUMBER(SEARCH("exam",P65)),ISNUMBER(SEARCH("school",P65))),"Education",IF(OR(ISNUMBER(SEARCH("trade agreement",P65)),ISNUMBER(SEARCH("economic",P65)),ISNUMBER(SEARCH("import",P65))),"Trade &amp; economic policy",IF(OR(ISNUMBER(SEARCH("land acquisition",P65)),ISNUMBER(SEARCH("rehabilitation",P65)),ISNUMBER(SEARCH("displacement",P65)),ISNUMBER(SEARCH("township",P65))),"Land &amp; rehabilitation",IF(OR(ISNUMBER(SEARCH("forest",P65)),ISNUMBER(SEARCH("environment",P65)),ISNUMBER(SEARCH("ecological",P65)),ISNUMBER(SEARCH("biodiversity",P65)),ISNUMBER(SEARCH("green cover",P65))),"Environment",IF(OR(ISNUMBER(SEARCH("irrigation",P65)),ISNUMBER(SEARCH("water",P65)),ISNUMBER(SEARCH("crop",P65)),ISNUMBER(SEARCH("farmer",P65)),ISNUMBER(SEARCH("agriculture",P65))),"Agriculture &amp; water",IF(OR(ISNUMBER(SEARCH("health",P65)),ISNUMBER(SEARCH("hospital",P65)),ISNUMBER(SEARCH("medicine",P65))),"Public health",IF(OR(ISNUMBER(SEARCH("employee",P65)),ISNUMBER(SEARCH("labour",P65)),ISNUMBER(SEARCH("worker",P65)),ISNUMBER(SEARCH("salary",P65))),"Labour &amp; employment",IF(OR(ISNUMBER(SEARCH("rti",P65)),ISNUMBER(SEARCH("transparency",P65)),ISNUMBER(SEARCH("corruption",P65)),ISNUMBER(SEARCH("governance",P65))),"Governance &amp; transparency",IF(OR(ISNUMBER(SEARCH("police",P65)),ISNUMBER(SEARCH("detention",P65)),ISNUMBER(SEARCH("civil rights",P65)),ISNUMBER(SEARCH("justice",P65))),"Civil rights &amp; justice",IF(OR(ISNUMBER(SEARCH("road",P65)),ISNUMBER(SEARCH("utility",P65)),ISNUMBER(SEARCH("infrastructure",P65)),ISNUMBER(SEARCH("public service",P65))),"Infrastructure &amp; public services","Other"))))))))))))</x:f>
      </x:c>
      <x:c r="J65" s="16" t="str">
        <x:f>IF(A65="","",IF(OR(ISNUMBER(SEARCH("fatal",Q65)),ISNUMBER(SEARCH("death",Q65)),ISNUMBER(SEARCH("riot",Q65)),ISNUMBER(SEARCH("curfew",Q65)),ISNUMBER(SEARCH("internet shutdown",Q65))),5,MIN(4,1+IF(H65&gt;=7,1,0)+IF(OR(ISNUMBER(SEARCH("hunger strike",Q65)),ISNUMBER(SEARCH("blockade",Q65)),ISNUMBER(SEARCH("strike",Q65)),ISNUMBER(SEARCH("jal satyagraha",Q65)),ISNUMBER(SEARCH("survey",Q65)),ISNUMBER(SEARCH("human chain",Q65)),ISNUMBER(SEARCH("march",Q65))),1,0)+IF(OR(ISNUMBER(SEARCH("fir",Q65)),ISNUMBER(SEARCH("confrontation",Q65)),ISNUMBER(SEARCH("violence",Q65)),ISNUMBER(SEARCH("detention",Q65)),ISNUMBER(SEARCH("arrest",Q65)),ISNUMBER(SEARCH("demolition",Q65)),ISNUMBER(SEARCH("injury",Q65))),1,0)+IF(OR(D65="Ongoing",D65="Unresolved"),1,0))))</x:f>
      </x:c>
      <x:c r="K65" s="16" t="str">
        <x:f>IF(J65="","",IF(J65=1,"Limited",IF(J65=2,"Local",IF(J65=3,"Significant",IF(J65=4,"High","Critical")))))</x:f>
      </x:c>
      <x:c r="L65" s="16" t="str">
        <x:f>IF(A65="","",Events!U64)</x:f>
      </x:c>
      <x:c r="M65" s="16" t="str">
        <x:f>IF(A65="","",Events!V64)</x:f>
      </x:c>
      <x:c r="N65" s="16" t="str">
        <x:f>IF(A65="","",Events!Q64)</x:f>
      </x:c>
      <x:c r="O65" s="16" t="str">
        <x:f>IF(A65="","",Events!R64)</x:f>
      </x:c>
      <x:c r="P65" s="16" t="str">
        <x:f>IF(A65="","",LOWER(Events!B64&amp;" "&amp;Events!D64&amp;" "&amp;Events!K64))</x:f>
      </x:c>
      <x:c r="Q65" s="16" t="str">
        <x:f>IF(A65="","",LOWER(Events!C64&amp;" "&amp;Events!K64&amp;" "&amp;Events!T64))</x:f>
      </x:c>
      <x:c r="R65" s="16" t="str">
        <x:f>IF(A65="","",IF(ISNUMBER(SEARCH("Occurrence verified",E65)),"Occurrence verified",E65))</x:f>
      </x:c>
      <x:c r="S65" s="79" t="str">
        <x:f>IF(A65="","",Events!X64)</x:f>
      </x:c>
      <x:c r="T65" t="str">
        <x:v>Critical</x:v>
      </x:c>
      <x:c r="U65" t="n">
        <x:f>COUNTIF($K$6:$K$1001,T65)</x:f>
        <x:v>0</x:v>
      </x:c>
      <x:c r="X65" t="str">
        <x:v>Unresolved</x:v>
      </x:c>
      <x:c r="Y65" t="n">
        <x:f>COUNTIF($D$6:$D$1001,X65)</x:f>
        <x:v>0</x:v>
      </x:c>
      <x:c r="Z65" s="79" t="str">
        <x:f>IF(A65="","",Events!AD64)</x:f>
      </x:c>
      <x:c r="AA65" s="79" t="str">
        <x:f>IF(A65="","",Events!AE64)</x:f>
      </x:c>
    </x:row>
    <x:row r="66">
      <x:c r="A66" s="16" t="str">
        <x:f>IF(Events!A65="","",Events!A65)</x:f>
      </x:c>
      <x:c r="B66" s="16" t="str">
        <x:f>IF(A66="","",Events!B65)</x:f>
      </x:c>
      <x:c r="C66" s="16" t="str">
        <x:f>IF(A66="","",Events!E65)</x:f>
      </x:c>
      <x:c r="D66" s="16" t="str">
        <x:f>IF(A66="","",Events!J65)</x:f>
      </x:c>
      <x:c r="E66" s="16" t="str">
        <x:f>IF(A66="","",Events!N65)</x:f>
      </x:c>
      <x:c r="F66" s="109" t="str">
        <x:f>IF(OR(A66="",Events!H65=""),"",Events!H65)</x:f>
      </x:c>
      <x:c r="G66" s="109" t="str">
        <x:f>IF(A66="","",IF(Events!I65&lt;&gt;"",Events!I65,IF(Events!S65&lt;&gt;"",Events!S65,"")))</x:f>
      </x:c>
      <x:c r="H66" s="16" t="str">
        <x:f>IF(A66="","",Events!W65)</x:f>
      </x:c>
      <x:c r="I66" s="16" t="str">
        <x:f>IF(A66="","",IF(Events!Y65&lt;&gt;"",Events!Y65,IF(OR(ISNUMBER(SEARCH("education",P66)),ISNUMBER(SEARCH("exam",P66)),ISNUMBER(SEARCH("school",P66))),"Education",IF(OR(ISNUMBER(SEARCH("trade agreement",P66)),ISNUMBER(SEARCH("economic",P66)),ISNUMBER(SEARCH("import",P66))),"Trade &amp; economic policy",IF(OR(ISNUMBER(SEARCH("land acquisition",P66)),ISNUMBER(SEARCH("rehabilitation",P66)),ISNUMBER(SEARCH("displacement",P66)),ISNUMBER(SEARCH("township",P66))),"Land &amp; rehabilitation",IF(OR(ISNUMBER(SEARCH("forest",P66)),ISNUMBER(SEARCH("environment",P66)),ISNUMBER(SEARCH("ecological",P66)),ISNUMBER(SEARCH("biodiversity",P66)),ISNUMBER(SEARCH("green cover",P66))),"Environment",IF(OR(ISNUMBER(SEARCH("irrigation",P66)),ISNUMBER(SEARCH("water",P66)),ISNUMBER(SEARCH("crop",P66)),ISNUMBER(SEARCH("farmer",P66)),ISNUMBER(SEARCH("agriculture",P66))),"Agriculture &amp; water",IF(OR(ISNUMBER(SEARCH("health",P66)),ISNUMBER(SEARCH("hospital",P66)),ISNUMBER(SEARCH("medicine",P66))),"Public health",IF(OR(ISNUMBER(SEARCH("employee",P66)),ISNUMBER(SEARCH("labour",P66)),ISNUMBER(SEARCH("worker",P66)),ISNUMBER(SEARCH("salary",P66))),"Labour &amp; employment",IF(OR(ISNUMBER(SEARCH("rti",P66)),ISNUMBER(SEARCH("transparency",P66)),ISNUMBER(SEARCH("corruption",P66)),ISNUMBER(SEARCH("governance",P66))),"Governance &amp; transparency",IF(OR(ISNUMBER(SEARCH("police",P66)),ISNUMBER(SEARCH("detention",P66)),ISNUMBER(SEARCH("civil rights",P66)),ISNUMBER(SEARCH("justice",P66))),"Civil rights &amp; justice",IF(OR(ISNUMBER(SEARCH("road",P66)),ISNUMBER(SEARCH("utility",P66)),ISNUMBER(SEARCH("infrastructure",P66)),ISNUMBER(SEARCH("public service",P66))),"Infrastructure &amp; public services","Other"))))))))))))</x:f>
      </x:c>
      <x:c r="J66" s="16" t="str">
        <x:f>IF(A66="","",IF(OR(ISNUMBER(SEARCH("fatal",Q66)),ISNUMBER(SEARCH("death",Q66)),ISNUMBER(SEARCH("riot",Q66)),ISNUMBER(SEARCH("curfew",Q66)),ISNUMBER(SEARCH("internet shutdown",Q66))),5,MIN(4,1+IF(H66&gt;=7,1,0)+IF(OR(ISNUMBER(SEARCH("hunger strike",Q66)),ISNUMBER(SEARCH("blockade",Q66)),ISNUMBER(SEARCH("strike",Q66)),ISNUMBER(SEARCH("jal satyagraha",Q66)),ISNUMBER(SEARCH("survey",Q66)),ISNUMBER(SEARCH("human chain",Q66)),ISNUMBER(SEARCH("march",Q66))),1,0)+IF(OR(ISNUMBER(SEARCH("fir",Q66)),ISNUMBER(SEARCH("confrontation",Q66)),ISNUMBER(SEARCH("violence",Q66)),ISNUMBER(SEARCH("detention",Q66)),ISNUMBER(SEARCH("arrest",Q66)),ISNUMBER(SEARCH("demolition",Q66)),ISNUMBER(SEARCH("injury",Q66))),1,0)+IF(OR(D66="Ongoing",D66="Unresolved"),1,0))))</x:f>
      </x:c>
      <x:c r="K66" s="16" t="str">
        <x:f>IF(J66="","",IF(J66=1,"Limited",IF(J66=2,"Local",IF(J66=3,"Significant",IF(J66=4,"High","Critical")))))</x:f>
      </x:c>
      <x:c r="L66" s="16" t="str">
        <x:f>IF(A66="","",Events!U65)</x:f>
      </x:c>
      <x:c r="M66" s="16" t="str">
        <x:f>IF(A66="","",Events!V65)</x:f>
      </x:c>
      <x:c r="N66" s="16" t="str">
        <x:f>IF(A66="","",Events!Q65)</x:f>
      </x:c>
      <x:c r="O66" s="16" t="str">
        <x:f>IF(A66="","",Events!R65)</x:f>
      </x:c>
      <x:c r="P66" s="16" t="str">
        <x:f>IF(A66="","",LOWER(Events!B65&amp;" "&amp;Events!D65&amp;" "&amp;Events!K65))</x:f>
      </x:c>
      <x:c r="Q66" s="16" t="str">
        <x:f>IF(A66="","",LOWER(Events!C65&amp;" "&amp;Events!K65&amp;" "&amp;Events!T65))</x:f>
      </x:c>
      <x:c r="R66" s="16" t="str">
        <x:f>IF(A66="","",IF(ISNUMBER(SEARCH("Occurrence verified",E66)),"Occurrence verified",E66))</x:f>
      </x:c>
      <x:c r="S66" s="79" t="str">
        <x:f>IF(A66="","",Events!X65)</x:f>
      </x:c>
      <x:c r="X66" t="str">
        <x:v>Outcome pending</x:v>
      </x:c>
      <x:c r="Y66" t="n">
        <x:f>COUNTIF($D$6:$D$1001,X66)</x:f>
        <x:v>0</x:v>
      </x:c>
      <x:c r="Z66" s="79" t="str">
        <x:f>IF(A66="","",Events!AD65)</x:f>
      </x:c>
      <x:c r="AA66" s="79" t="str">
        <x:f>IF(A66="","",Events!AE65)</x:f>
      </x:c>
    </x:row>
    <x:row r="67">
      <x:c r="A67" s="16" t="str">
        <x:f>IF(Events!A66="","",Events!A66)</x:f>
      </x:c>
      <x:c r="B67" s="16" t="str">
        <x:f>IF(A67="","",Events!B66)</x:f>
      </x:c>
      <x:c r="C67" s="16" t="str">
        <x:f>IF(A67="","",Events!E66)</x:f>
      </x:c>
      <x:c r="D67" s="16" t="str">
        <x:f>IF(A67="","",Events!J66)</x:f>
      </x:c>
      <x:c r="E67" s="16" t="str">
        <x:f>IF(A67="","",Events!N66)</x:f>
      </x:c>
      <x:c r="F67" s="109" t="str">
        <x:f>IF(OR(A67="",Events!H66=""),"",Events!H66)</x:f>
      </x:c>
      <x:c r="G67" s="109" t="str">
        <x:f>IF(A67="","",IF(Events!I66&lt;&gt;"",Events!I66,IF(Events!S66&lt;&gt;"",Events!S66,"")))</x:f>
      </x:c>
      <x:c r="H67" s="16" t="str">
        <x:f>IF(A67="","",Events!W66)</x:f>
      </x:c>
      <x:c r="I67" s="16" t="str">
        <x:f>IF(A67="","",IF(Events!Y66&lt;&gt;"",Events!Y66,IF(OR(ISNUMBER(SEARCH("education",P67)),ISNUMBER(SEARCH("exam",P67)),ISNUMBER(SEARCH("school",P67))),"Education",IF(OR(ISNUMBER(SEARCH("trade agreement",P67)),ISNUMBER(SEARCH("economic",P67)),ISNUMBER(SEARCH("import",P67))),"Trade &amp; economic policy",IF(OR(ISNUMBER(SEARCH("land acquisition",P67)),ISNUMBER(SEARCH("rehabilitation",P67)),ISNUMBER(SEARCH("displacement",P67)),ISNUMBER(SEARCH("township",P67))),"Land &amp; rehabilitation",IF(OR(ISNUMBER(SEARCH("forest",P67)),ISNUMBER(SEARCH("environment",P67)),ISNUMBER(SEARCH("ecological",P67)),ISNUMBER(SEARCH("biodiversity",P67)),ISNUMBER(SEARCH("green cover",P67))),"Environment",IF(OR(ISNUMBER(SEARCH("irrigation",P67)),ISNUMBER(SEARCH("water",P67)),ISNUMBER(SEARCH("crop",P67)),ISNUMBER(SEARCH("farmer",P67)),ISNUMBER(SEARCH("agriculture",P67))),"Agriculture &amp; water",IF(OR(ISNUMBER(SEARCH("health",P67)),ISNUMBER(SEARCH("hospital",P67)),ISNUMBER(SEARCH("medicine",P67))),"Public health",IF(OR(ISNUMBER(SEARCH("employee",P67)),ISNUMBER(SEARCH("labour",P67)),ISNUMBER(SEARCH("worker",P67)),ISNUMBER(SEARCH("salary",P67))),"Labour &amp; employment",IF(OR(ISNUMBER(SEARCH("rti",P67)),ISNUMBER(SEARCH("transparency",P67)),ISNUMBER(SEARCH("corruption",P67)),ISNUMBER(SEARCH("governance",P67))),"Governance &amp; transparency",IF(OR(ISNUMBER(SEARCH("police",P67)),ISNUMBER(SEARCH("detention",P67)),ISNUMBER(SEARCH("civil rights",P67)),ISNUMBER(SEARCH("justice",P67))),"Civil rights &amp; justice",IF(OR(ISNUMBER(SEARCH("road",P67)),ISNUMBER(SEARCH("utility",P67)),ISNUMBER(SEARCH("infrastructure",P67)),ISNUMBER(SEARCH("public service",P67))),"Infrastructure &amp; public services","Other"))))))))))))</x:f>
      </x:c>
      <x:c r="J67" s="16" t="str">
        <x:f>IF(A67="","",IF(OR(ISNUMBER(SEARCH("fatal",Q67)),ISNUMBER(SEARCH("death",Q67)),ISNUMBER(SEARCH("riot",Q67)),ISNUMBER(SEARCH("curfew",Q67)),ISNUMBER(SEARCH("internet shutdown",Q67))),5,MIN(4,1+IF(H67&gt;=7,1,0)+IF(OR(ISNUMBER(SEARCH("hunger strike",Q67)),ISNUMBER(SEARCH("blockade",Q67)),ISNUMBER(SEARCH("strike",Q67)),ISNUMBER(SEARCH("jal satyagraha",Q67)),ISNUMBER(SEARCH("survey",Q67)),ISNUMBER(SEARCH("human chain",Q67)),ISNUMBER(SEARCH("march",Q67))),1,0)+IF(OR(ISNUMBER(SEARCH("fir",Q67)),ISNUMBER(SEARCH("confrontation",Q67)),ISNUMBER(SEARCH("violence",Q67)),ISNUMBER(SEARCH("detention",Q67)),ISNUMBER(SEARCH("arrest",Q67)),ISNUMBER(SEARCH("demolition",Q67)),ISNUMBER(SEARCH("injury",Q67))),1,0)+IF(OR(D67="Ongoing",D67="Unresolved"),1,0))))</x:f>
      </x:c>
      <x:c r="K67" s="16" t="str">
        <x:f>IF(J67="","",IF(J67=1,"Limited",IF(J67=2,"Local",IF(J67=3,"Significant",IF(J67=4,"High","Critical")))))</x:f>
      </x:c>
      <x:c r="L67" s="16" t="str">
        <x:f>IF(A67="","",Events!U66)</x:f>
      </x:c>
      <x:c r="M67" s="16" t="str">
        <x:f>IF(A67="","",Events!V66)</x:f>
      </x:c>
      <x:c r="N67" s="16" t="str">
        <x:f>IF(A67="","",Events!Q66)</x:f>
      </x:c>
      <x:c r="O67" s="16" t="str">
        <x:f>IF(A67="","",Events!R66)</x:f>
      </x:c>
      <x:c r="P67" s="16" t="str">
        <x:f>IF(A67="","",LOWER(Events!B66&amp;" "&amp;Events!D66&amp;" "&amp;Events!K66))</x:f>
      </x:c>
      <x:c r="Q67" s="16" t="str">
        <x:f>IF(A67="","",LOWER(Events!C66&amp;" "&amp;Events!K66&amp;" "&amp;Events!T66))</x:f>
      </x:c>
      <x:c r="R67" s="16" t="str">
        <x:f>IF(A67="","",IF(ISNUMBER(SEARCH("Occurrence verified",E67)),"Occurrence verified",E67))</x:f>
      </x:c>
      <x:c r="S67" s="79" t="str">
        <x:f>IF(A67="","",Events!X66)</x:f>
      </x:c>
      <x:c r="X67" t="str">
        <x:v>Unknown</x:v>
      </x:c>
      <x:c r="Y67" t="n">
        <x:f>COUNTIF($D$6:$D$1001,X67)</x:f>
        <x:v>0</x:v>
      </x:c>
      <x:c r="Z67" s="79" t="str">
        <x:f>IF(A67="","",Events!AD66)</x:f>
      </x:c>
      <x:c r="AA67" s="79" t="str">
        <x:f>IF(A67="","",Events!AE66)</x:f>
      </x:c>
    </x:row>
    <x:row r="68">
      <x:c r="A68" s="16" t="str">
        <x:f>IF(Events!A67="","",Events!A67)</x:f>
      </x:c>
      <x:c r="B68" s="16" t="str">
        <x:f>IF(A68="","",Events!B67)</x:f>
      </x:c>
      <x:c r="C68" s="16" t="str">
        <x:f>IF(A68="","",Events!E67)</x:f>
      </x:c>
      <x:c r="D68" s="16" t="str">
        <x:f>IF(A68="","",Events!J67)</x:f>
      </x:c>
      <x:c r="E68" s="16" t="str">
        <x:f>IF(A68="","",Events!N67)</x:f>
      </x:c>
      <x:c r="F68" s="109" t="str">
        <x:f>IF(OR(A68="",Events!H67=""),"",Events!H67)</x:f>
      </x:c>
      <x:c r="G68" s="109" t="str">
        <x:f>IF(A68="","",IF(Events!I67&lt;&gt;"",Events!I67,IF(Events!S67&lt;&gt;"",Events!S67,"")))</x:f>
      </x:c>
      <x:c r="H68" s="16" t="str">
        <x:f>IF(A68="","",Events!W67)</x:f>
      </x:c>
      <x:c r="I68" s="16" t="str">
        <x:f>IF(A68="","",IF(Events!Y67&lt;&gt;"",Events!Y67,IF(OR(ISNUMBER(SEARCH("education",P68)),ISNUMBER(SEARCH("exam",P68)),ISNUMBER(SEARCH("school",P68))),"Education",IF(OR(ISNUMBER(SEARCH("trade agreement",P68)),ISNUMBER(SEARCH("economic",P68)),ISNUMBER(SEARCH("import",P68))),"Trade &amp; economic policy",IF(OR(ISNUMBER(SEARCH("land acquisition",P68)),ISNUMBER(SEARCH("rehabilitation",P68)),ISNUMBER(SEARCH("displacement",P68)),ISNUMBER(SEARCH("township",P68))),"Land &amp; rehabilitation",IF(OR(ISNUMBER(SEARCH("forest",P68)),ISNUMBER(SEARCH("environment",P68)),ISNUMBER(SEARCH("ecological",P68)),ISNUMBER(SEARCH("biodiversity",P68)),ISNUMBER(SEARCH("green cover",P68))),"Environment",IF(OR(ISNUMBER(SEARCH("irrigation",P68)),ISNUMBER(SEARCH("water",P68)),ISNUMBER(SEARCH("crop",P68)),ISNUMBER(SEARCH("farmer",P68)),ISNUMBER(SEARCH("agriculture",P68))),"Agriculture &amp; water",IF(OR(ISNUMBER(SEARCH("health",P68)),ISNUMBER(SEARCH("hospital",P68)),ISNUMBER(SEARCH("medicine",P68))),"Public health",IF(OR(ISNUMBER(SEARCH("employee",P68)),ISNUMBER(SEARCH("labour",P68)),ISNUMBER(SEARCH("worker",P68)),ISNUMBER(SEARCH("salary",P68))),"Labour &amp; employment",IF(OR(ISNUMBER(SEARCH("rti",P68)),ISNUMBER(SEARCH("transparency",P68)),ISNUMBER(SEARCH("corruption",P68)),ISNUMBER(SEARCH("governance",P68))),"Governance &amp; transparency",IF(OR(ISNUMBER(SEARCH("police",P68)),ISNUMBER(SEARCH("detention",P68)),ISNUMBER(SEARCH("civil rights",P68)),ISNUMBER(SEARCH("justice",P68))),"Civil rights &amp; justice",IF(OR(ISNUMBER(SEARCH("road",P68)),ISNUMBER(SEARCH("utility",P68)),ISNUMBER(SEARCH("infrastructure",P68)),ISNUMBER(SEARCH("public service",P68))),"Infrastructure &amp; public services","Other"))))))))))))</x:f>
      </x:c>
      <x:c r="J68" s="16" t="str">
        <x:f>IF(A68="","",IF(OR(ISNUMBER(SEARCH("fatal",Q68)),ISNUMBER(SEARCH("death",Q68)),ISNUMBER(SEARCH("riot",Q68)),ISNUMBER(SEARCH("curfew",Q68)),ISNUMBER(SEARCH("internet shutdown",Q68))),5,MIN(4,1+IF(H68&gt;=7,1,0)+IF(OR(ISNUMBER(SEARCH("hunger strike",Q68)),ISNUMBER(SEARCH("blockade",Q68)),ISNUMBER(SEARCH("strike",Q68)),ISNUMBER(SEARCH("jal satyagraha",Q68)),ISNUMBER(SEARCH("survey",Q68)),ISNUMBER(SEARCH("human chain",Q68)),ISNUMBER(SEARCH("march",Q68))),1,0)+IF(OR(ISNUMBER(SEARCH("fir",Q68)),ISNUMBER(SEARCH("confrontation",Q68)),ISNUMBER(SEARCH("violence",Q68)),ISNUMBER(SEARCH("detention",Q68)),ISNUMBER(SEARCH("arrest",Q68)),ISNUMBER(SEARCH("demolition",Q68)),ISNUMBER(SEARCH("injury",Q68))),1,0)+IF(OR(D68="Ongoing",D68="Unresolved"),1,0))))</x:f>
      </x:c>
      <x:c r="K68" s="16" t="str">
        <x:f>IF(J68="","",IF(J68=1,"Limited",IF(J68=2,"Local",IF(J68=3,"Significant",IF(J68=4,"High","Critical")))))</x:f>
      </x:c>
      <x:c r="L68" s="16" t="str">
        <x:f>IF(A68="","",Events!U67)</x:f>
      </x:c>
      <x:c r="M68" s="16" t="str">
        <x:f>IF(A68="","",Events!V67)</x:f>
      </x:c>
      <x:c r="N68" s="16" t="str">
        <x:f>IF(A68="","",Events!Q67)</x:f>
      </x:c>
      <x:c r="O68" s="16" t="str">
        <x:f>IF(A68="","",Events!R67)</x:f>
      </x:c>
      <x:c r="P68" s="16" t="str">
        <x:f>IF(A68="","",LOWER(Events!B67&amp;" "&amp;Events!D67&amp;" "&amp;Events!K67))</x:f>
      </x:c>
      <x:c r="Q68" s="16" t="str">
        <x:f>IF(A68="","",LOWER(Events!C67&amp;" "&amp;Events!K67&amp;" "&amp;Events!T67))</x:f>
      </x:c>
      <x:c r="R68" s="16" t="str">
        <x:f>IF(A68="","",IF(ISNUMBER(SEARCH("Occurrence verified",E68)),"Occurrence verified",E68))</x:f>
      </x:c>
      <x:c r="S68" s="79" t="str">
        <x:f>IF(A68="","",Events!X67)</x:f>
      </x:c>
      <x:c r="Z68" s="79" t="str">
        <x:f>IF(A68="","",Events!AD67)</x:f>
      </x:c>
      <x:c r="AA68" s="79" t="str">
        <x:f>IF(A68="","",Events!AE67)</x:f>
      </x:c>
    </x:row>
    <x:row r="69">
      <x:c r="A69" s="16" t="str">
        <x:f>IF(Events!A68="","",Events!A68)</x:f>
      </x:c>
      <x:c r="B69" s="16" t="str">
        <x:f>IF(A69="","",Events!B68)</x:f>
      </x:c>
      <x:c r="C69" s="16" t="str">
        <x:f>IF(A69="","",Events!E68)</x:f>
      </x:c>
      <x:c r="D69" s="16" t="str">
        <x:f>IF(A69="","",Events!J68)</x:f>
      </x:c>
      <x:c r="E69" s="16" t="str">
        <x:f>IF(A69="","",Events!N68)</x:f>
      </x:c>
      <x:c r="F69" s="109" t="str">
        <x:f>IF(OR(A69="",Events!H68=""),"",Events!H68)</x:f>
      </x:c>
      <x:c r="G69" s="109" t="str">
        <x:f>IF(A69="","",IF(Events!I68&lt;&gt;"",Events!I68,IF(Events!S68&lt;&gt;"",Events!S68,"")))</x:f>
      </x:c>
      <x:c r="H69" s="16" t="str">
        <x:f>IF(A69="","",Events!W68)</x:f>
      </x:c>
      <x:c r="I69" s="16" t="str">
        <x:f>IF(A69="","",IF(Events!Y68&lt;&gt;"",Events!Y68,IF(OR(ISNUMBER(SEARCH("education",P69)),ISNUMBER(SEARCH("exam",P69)),ISNUMBER(SEARCH("school",P69))),"Education",IF(OR(ISNUMBER(SEARCH("trade agreement",P69)),ISNUMBER(SEARCH("economic",P69)),ISNUMBER(SEARCH("import",P69))),"Trade &amp; economic policy",IF(OR(ISNUMBER(SEARCH("land acquisition",P69)),ISNUMBER(SEARCH("rehabilitation",P69)),ISNUMBER(SEARCH("displacement",P69)),ISNUMBER(SEARCH("township",P69))),"Land &amp; rehabilitation",IF(OR(ISNUMBER(SEARCH("forest",P69)),ISNUMBER(SEARCH("environment",P69)),ISNUMBER(SEARCH("ecological",P69)),ISNUMBER(SEARCH("biodiversity",P69)),ISNUMBER(SEARCH("green cover",P69))),"Environment",IF(OR(ISNUMBER(SEARCH("irrigation",P69)),ISNUMBER(SEARCH("water",P69)),ISNUMBER(SEARCH("crop",P69)),ISNUMBER(SEARCH("farmer",P69)),ISNUMBER(SEARCH("agriculture",P69))),"Agriculture &amp; water",IF(OR(ISNUMBER(SEARCH("health",P69)),ISNUMBER(SEARCH("hospital",P69)),ISNUMBER(SEARCH("medicine",P69))),"Public health",IF(OR(ISNUMBER(SEARCH("employee",P69)),ISNUMBER(SEARCH("labour",P69)),ISNUMBER(SEARCH("worker",P69)),ISNUMBER(SEARCH("salary",P69))),"Labour &amp; employment",IF(OR(ISNUMBER(SEARCH("rti",P69)),ISNUMBER(SEARCH("transparency",P69)),ISNUMBER(SEARCH("corruption",P69)),ISNUMBER(SEARCH("governance",P69))),"Governance &amp; transparency",IF(OR(ISNUMBER(SEARCH("police",P69)),ISNUMBER(SEARCH("detention",P69)),ISNUMBER(SEARCH("civil rights",P69)),ISNUMBER(SEARCH("justice",P69))),"Civil rights &amp; justice",IF(OR(ISNUMBER(SEARCH("road",P69)),ISNUMBER(SEARCH("utility",P69)),ISNUMBER(SEARCH("infrastructure",P69)),ISNUMBER(SEARCH("public service",P69))),"Infrastructure &amp; public services","Other"))))))))))))</x:f>
      </x:c>
      <x:c r="J69" s="16" t="str">
        <x:f>IF(A69="","",IF(OR(ISNUMBER(SEARCH("fatal",Q69)),ISNUMBER(SEARCH("death",Q69)),ISNUMBER(SEARCH("riot",Q69)),ISNUMBER(SEARCH("curfew",Q69)),ISNUMBER(SEARCH("internet shutdown",Q69))),5,MIN(4,1+IF(H69&gt;=7,1,0)+IF(OR(ISNUMBER(SEARCH("hunger strike",Q69)),ISNUMBER(SEARCH("blockade",Q69)),ISNUMBER(SEARCH("strike",Q69)),ISNUMBER(SEARCH("jal satyagraha",Q69)),ISNUMBER(SEARCH("survey",Q69)),ISNUMBER(SEARCH("human chain",Q69)),ISNUMBER(SEARCH("march",Q69))),1,0)+IF(OR(ISNUMBER(SEARCH("fir",Q69)),ISNUMBER(SEARCH("confrontation",Q69)),ISNUMBER(SEARCH("violence",Q69)),ISNUMBER(SEARCH("detention",Q69)),ISNUMBER(SEARCH("arrest",Q69)),ISNUMBER(SEARCH("demolition",Q69)),ISNUMBER(SEARCH("injury",Q69))),1,0)+IF(OR(D69="Ongoing",D69="Unresolved"),1,0))))</x:f>
      </x:c>
      <x:c r="K69" s="16" t="str">
        <x:f>IF(J69="","",IF(J69=1,"Limited",IF(J69=2,"Local",IF(J69=3,"Significant",IF(J69=4,"High","Critical")))))</x:f>
      </x:c>
      <x:c r="L69" s="16" t="str">
        <x:f>IF(A69="","",Events!U68)</x:f>
      </x:c>
      <x:c r="M69" s="16" t="str">
        <x:f>IF(A69="","",Events!V68)</x:f>
      </x:c>
      <x:c r="N69" s="16" t="str">
        <x:f>IF(A69="","",Events!Q68)</x:f>
      </x:c>
      <x:c r="O69" s="16" t="str">
        <x:f>IF(A69="","",Events!R68)</x:f>
      </x:c>
      <x:c r="P69" s="16" t="str">
        <x:f>IF(A69="","",LOWER(Events!B68&amp;" "&amp;Events!D68&amp;" "&amp;Events!K68))</x:f>
      </x:c>
      <x:c r="Q69" s="16" t="str">
        <x:f>IF(A69="","",LOWER(Events!C68&amp;" "&amp;Events!K68&amp;" "&amp;Events!T68))</x:f>
      </x:c>
      <x:c r="R69" s="16" t="str">
        <x:f>IF(A69="","",IF(ISNUMBER(SEARCH("Occurrence verified",E69)),"Occurrence verified",E69))</x:f>
      </x:c>
      <x:c r="S69" s="79" t="str">
        <x:f>IF(A69="","",Events!X68)</x:f>
      </x:c>
      <x:c r="Z69" s="79" t="str">
        <x:f>IF(A69="","",Events!AD68)</x:f>
      </x:c>
      <x:c r="AA69" s="79" t="str">
        <x:f>IF(A69="","",Events!AE68)</x:f>
      </x:c>
    </x:row>
    <x:row r="70">
      <x:c r="A70" s="16" t="str">
        <x:f>IF(Events!A69="","",Events!A69)</x:f>
      </x:c>
      <x:c r="B70" s="16" t="str">
        <x:f>IF(A70="","",Events!B69)</x:f>
      </x:c>
      <x:c r="C70" s="16" t="str">
        <x:f>IF(A70="","",Events!E69)</x:f>
      </x:c>
      <x:c r="D70" s="16" t="str">
        <x:f>IF(A70="","",Events!J69)</x:f>
      </x:c>
      <x:c r="E70" s="16" t="str">
        <x:f>IF(A70="","",Events!N69)</x:f>
      </x:c>
      <x:c r="F70" s="109" t="str">
        <x:f>IF(OR(A70="",Events!H69=""),"",Events!H69)</x:f>
      </x:c>
      <x:c r="G70" s="109" t="str">
        <x:f>IF(A70="","",IF(Events!I69&lt;&gt;"",Events!I69,IF(Events!S69&lt;&gt;"",Events!S69,"")))</x:f>
      </x:c>
      <x:c r="H70" s="16" t="str">
        <x:f>IF(A70="","",Events!W69)</x:f>
      </x:c>
      <x:c r="I70" s="16" t="str">
        <x:f>IF(A70="","",IF(Events!Y69&lt;&gt;"",Events!Y69,IF(OR(ISNUMBER(SEARCH("education",P70)),ISNUMBER(SEARCH("exam",P70)),ISNUMBER(SEARCH("school",P70))),"Education",IF(OR(ISNUMBER(SEARCH("trade agreement",P70)),ISNUMBER(SEARCH("economic",P70)),ISNUMBER(SEARCH("import",P70))),"Trade &amp; economic policy",IF(OR(ISNUMBER(SEARCH("land acquisition",P70)),ISNUMBER(SEARCH("rehabilitation",P70)),ISNUMBER(SEARCH("displacement",P70)),ISNUMBER(SEARCH("township",P70))),"Land &amp; rehabilitation",IF(OR(ISNUMBER(SEARCH("forest",P70)),ISNUMBER(SEARCH("environment",P70)),ISNUMBER(SEARCH("ecological",P70)),ISNUMBER(SEARCH("biodiversity",P70)),ISNUMBER(SEARCH("green cover",P70))),"Environment",IF(OR(ISNUMBER(SEARCH("irrigation",P70)),ISNUMBER(SEARCH("water",P70)),ISNUMBER(SEARCH("crop",P70)),ISNUMBER(SEARCH("farmer",P70)),ISNUMBER(SEARCH("agriculture",P70))),"Agriculture &amp; water",IF(OR(ISNUMBER(SEARCH("health",P70)),ISNUMBER(SEARCH("hospital",P70)),ISNUMBER(SEARCH("medicine",P70))),"Public health",IF(OR(ISNUMBER(SEARCH("employee",P70)),ISNUMBER(SEARCH("labour",P70)),ISNUMBER(SEARCH("worker",P70)),ISNUMBER(SEARCH("salary",P70))),"Labour &amp; employment",IF(OR(ISNUMBER(SEARCH("rti",P70)),ISNUMBER(SEARCH("transparency",P70)),ISNUMBER(SEARCH("corruption",P70)),ISNUMBER(SEARCH("governance",P70))),"Governance &amp; transparency",IF(OR(ISNUMBER(SEARCH("police",P70)),ISNUMBER(SEARCH("detention",P70)),ISNUMBER(SEARCH("civil rights",P70)),ISNUMBER(SEARCH("justice",P70))),"Civil rights &amp; justice",IF(OR(ISNUMBER(SEARCH("road",P70)),ISNUMBER(SEARCH("utility",P70)),ISNUMBER(SEARCH("infrastructure",P70)),ISNUMBER(SEARCH("public service",P70))),"Infrastructure &amp; public services","Other"))))))))))))</x:f>
      </x:c>
      <x:c r="J70" s="16" t="str">
        <x:f>IF(A70="","",IF(OR(ISNUMBER(SEARCH("fatal",Q70)),ISNUMBER(SEARCH("death",Q70)),ISNUMBER(SEARCH("riot",Q70)),ISNUMBER(SEARCH("curfew",Q70)),ISNUMBER(SEARCH("internet shutdown",Q70))),5,MIN(4,1+IF(H70&gt;=7,1,0)+IF(OR(ISNUMBER(SEARCH("hunger strike",Q70)),ISNUMBER(SEARCH("blockade",Q70)),ISNUMBER(SEARCH("strike",Q70)),ISNUMBER(SEARCH("jal satyagraha",Q70)),ISNUMBER(SEARCH("survey",Q70)),ISNUMBER(SEARCH("human chain",Q70)),ISNUMBER(SEARCH("march",Q70))),1,0)+IF(OR(ISNUMBER(SEARCH("fir",Q70)),ISNUMBER(SEARCH("confrontation",Q70)),ISNUMBER(SEARCH("violence",Q70)),ISNUMBER(SEARCH("detention",Q70)),ISNUMBER(SEARCH("arrest",Q70)),ISNUMBER(SEARCH("demolition",Q70)),ISNUMBER(SEARCH("injury",Q70))),1,0)+IF(OR(D70="Ongoing",D70="Unresolved"),1,0))))</x:f>
      </x:c>
      <x:c r="K70" s="16" t="str">
        <x:f>IF(J70="","",IF(J70=1,"Limited",IF(J70=2,"Local",IF(J70=3,"Significant",IF(J70=4,"High","Critical")))))</x:f>
      </x:c>
      <x:c r="L70" s="16" t="str">
        <x:f>IF(A70="","",Events!U69)</x:f>
      </x:c>
      <x:c r="M70" s="16" t="str">
        <x:f>IF(A70="","",Events!V69)</x:f>
      </x:c>
      <x:c r="N70" s="16" t="str">
        <x:f>IF(A70="","",Events!Q69)</x:f>
      </x:c>
      <x:c r="O70" s="16" t="str">
        <x:f>IF(A70="","",Events!R69)</x:f>
      </x:c>
      <x:c r="P70" s="16" t="str">
        <x:f>IF(A70="","",LOWER(Events!B69&amp;" "&amp;Events!D69&amp;" "&amp;Events!K69))</x:f>
      </x:c>
      <x:c r="Q70" s="16" t="str">
        <x:f>IF(A70="","",LOWER(Events!C69&amp;" "&amp;Events!K69&amp;" "&amp;Events!T69))</x:f>
      </x:c>
      <x:c r="R70" s="16" t="str">
        <x:f>IF(A70="","",IF(ISNUMBER(SEARCH("Occurrence verified",E70)),"Occurrence verified",E70))</x:f>
      </x:c>
      <x:c r="S70" s="79" t="str">
        <x:f>IF(A70="","",Events!X69)</x:f>
      </x:c>
      <x:c r="T70" s="343" t="str">
        <x:v>Event ID</x:v>
      </x:c>
      <x:c r="U70" s="343" t="str">
        <x:v>Intensity</x:v>
      </x:c>
      <x:c r="V70" s="343" t="str">
        <x:v>Claims</x:v>
      </x:c>
      <x:c r="W70" s="343" t="str">
        <x:v>Sources</x:v>
      </x:c>
      <x:c r="Z70" s="79" t="str">
        <x:f>IF(A70="","",Events!AD69)</x:f>
      </x:c>
      <x:c r="AA70" s="79" t="str">
        <x:f>IF(A70="","",Events!AE69)</x:f>
      </x:c>
    </x:row>
    <x:row r="71">
      <x:c r="A71" s="16" t="str">
        <x:f>IF(Events!A70="","",Events!A70)</x:f>
      </x:c>
      <x:c r="B71" s="16" t="str">
        <x:f>IF(A71="","",Events!B70)</x:f>
      </x:c>
      <x:c r="C71" s="16" t="str">
        <x:f>IF(A71="","",Events!E70)</x:f>
      </x:c>
      <x:c r="D71" s="16" t="str">
        <x:f>IF(A71="","",Events!J70)</x:f>
      </x:c>
      <x:c r="E71" s="16" t="str">
        <x:f>IF(A71="","",Events!N70)</x:f>
      </x:c>
      <x:c r="F71" s="109" t="str">
        <x:f>IF(OR(A71="",Events!H70=""),"",Events!H70)</x:f>
      </x:c>
      <x:c r="G71" s="109" t="str">
        <x:f>IF(A71="","",IF(Events!I70&lt;&gt;"",Events!I70,IF(Events!S70&lt;&gt;"",Events!S70,"")))</x:f>
      </x:c>
      <x:c r="H71" s="16" t="str">
        <x:f>IF(A71="","",Events!W70)</x:f>
      </x:c>
      <x:c r="I71" s="16" t="str">
        <x:f>IF(A71="","",IF(Events!Y70&lt;&gt;"",Events!Y70,IF(OR(ISNUMBER(SEARCH("education",P71)),ISNUMBER(SEARCH("exam",P71)),ISNUMBER(SEARCH("school",P71))),"Education",IF(OR(ISNUMBER(SEARCH("trade agreement",P71)),ISNUMBER(SEARCH("economic",P71)),ISNUMBER(SEARCH("import",P71))),"Trade &amp; economic policy",IF(OR(ISNUMBER(SEARCH("land acquisition",P71)),ISNUMBER(SEARCH("rehabilitation",P71)),ISNUMBER(SEARCH("displacement",P71)),ISNUMBER(SEARCH("township",P71))),"Land &amp; rehabilitation",IF(OR(ISNUMBER(SEARCH("forest",P71)),ISNUMBER(SEARCH("environment",P71)),ISNUMBER(SEARCH("ecological",P71)),ISNUMBER(SEARCH("biodiversity",P71)),ISNUMBER(SEARCH("green cover",P71))),"Environment",IF(OR(ISNUMBER(SEARCH("irrigation",P71)),ISNUMBER(SEARCH("water",P71)),ISNUMBER(SEARCH("crop",P71)),ISNUMBER(SEARCH("farmer",P71)),ISNUMBER(SEARCH("agriculture",P71))),"Agriculture &amp; water",IF(OR(ISNUMBER(SEARCH("health",P71)),ISNUMBER(SEARCH("hospital",P71)),ISNUMBER(SEARCH("medicine",P71))),"Public health",IF(OR(ISNUMBER(SEARCH("employee",P71)),ISNUMBER(SEARCH("labour",P71)),ISNUMBER(SEARCH("worker",P71)),ISNUMBER(SEARCH("salary",P71))),"Labour &amp; employment",IF(OR(ISNUMBER(SEARCH("rti",P71)),ISNUMBER(SEARCH("transparency",P71)),ISNUMBER(SEARCH("corruption",P71)),ISNUMBER(SEARCH("governance",P71))),"Governance &amp; transparency",IF(OR(ISNUMBER(SEARCH("police",P71)),ISNUMBER(SEARCH("detention",P71)),ISNUMBER(SEARCH("civil rights",P71)),ISNUMBER(SEARCH("justice",P71))),"Civil rights &amp; justice",IF(OR(ISNUMBER(SEARCH("road",P71)),ISNUMBER(SEARCH("utility",P71)),ISNUMBER(SEARCH("infrastructure",P71)),ISNUMBER(SEARCH("public service",P71))),"Infrastructure &amp; public services","Other"))))))))))))</x:f>
      </x:c>
      <x:c r="J71" s="16" t="str">
        <x:f>IF(A71="","",IF(OR(ISNUMBER(SEARCH("fatal",Q71)),ISNUMBER(SEARCH("death",Q71)),ISNUMBER(SEARCH("riot",Q71)),ISNUMBER(SEARCH("curfew",Q71)),ISNUMBER(SEARCH("internet shutdown",Q71))),5,MIN(4,1+IF(H71&gt;=7,1,0)+IF(OR(ISNUMBER(SEARCH("hunger strike",Q71)),ISNUMBER(SEARCH("blockade",Q71)),ISNUMBER(SEARCH("strike",Q71)),ISNUMBER(SEARCH("jal satyagraha",Q71)),ISNUMBER(SEARCH("survey",Q71)),ISNUMBER(SEARCH("human chain",Q71)),ISNUMBER(SEARCH("march",Q71))),1,0)+IF(OR(ISNUMBER(SEARCH("fir",Q71)),ISNUMBER(SEARCH("confrontation",Q71)),ISNUMBER(SEARCH("violence",Q71)),ISNUMBER(SEARCH("detention",Q71)),ISNUMBER(SEARCH("arrest",Q71)),ISNUMBER(SEARCH("demolition",Q71)),ISNUMBER(SEARCH("injury",Q71))),1,0)+IF(OR(D71="Ongoing",D71="Unresolved"),1,0))))</x:f>
      </x:c>
      <x:c r="K71" s="16" t="str">
        <x:f>IF(J71="","",IF(J71=1,"Limited",IF(J71=2,"Local",IF(J71=3,"Significant",IF(J71=4,"High","Critical")))))</x:f>
      </x:c>
      <x:c r="L71" s="16" t="str">
        <x:f>IF(A71="","",Events!U70)</x:f>
      </x:c>
      <x:c r="M71" s="16" t="str">
        <x:f>IF(A71="","",Events!V70)</x:f>
      </x:c>
      <x:c r="N71" s="16" t="str">
        <x:f>IF(A71="","",Events!Q70)</x:f>
      </x:c>
      <x:c r="O71" s="16" t="str">
        <x:f>IF(A71="","",Events!R70)</x:f>
      </x:c>
      <x:c r="P71" s="16" t="str">
        <x:f>IF(A71="","",LOWER(Events!B70&amp;" "&amp;Events!D70&amp;" "&amp;Events!K70))</x:f>
      </x:c>
      <x:c r="Q71" s="16" t="str">
        <x:f>IF(A71="","",LOWER(Events!C70&amp;" "&amp;Events!K70&amp;" "&amp;Events!T70))</x:f>
      </x:c>
      <x:c r="R71" s="16" t="str">
        <x:f>IF(A71="","",IF(ISNUMBER(SEARCH("Occurrence verified",E71)),"Occurrence verified",E71))</x:f>
      </x:c>
      <x:c r="S71" s="79" t="str">
        <x:f>IF(A71="","",Events!X70)</x:f>
      </x:c>
      <x:c r="T71" t="str">
        <x:f>IF($A$6="","",$A$6)</x:f>
        <x:v>IO-CM-MP-0001</x:v>
      </x:c>
      <x:c r="U71" t="n">
        <x:f>IF($A$6="","",$J$6)</x:f>
        <x:v>4</x:v>
      </x:c>
      <x:c r="V71" t="n">
        <x:f>IF($A$6="","",$L$6)</x:f>
        <x:v>11</x:v>
      </x:c>
      <x:c r="W71" t="n">
        <x:f>IF($A$6="","",$M$6)</x:f>
        <x:v>7</x:v>
      </x:c>
      <x:c r="Z71" s="79" t="str">
        <x:f>IF(A71="","",Events!AD70)</x:f>
      </x:c>
      <x:c r="AA71" s="79" t="str">
        <x:f>IF(A71="","",Events!AE70)</x:f>
      </x:c>
    </x:row>
    <x:row r="72">
      <x:c r="A72" s="16" t="str">
        <x:f>IF(Events!A71="","",Events!A71)</x:f>
      </x:c>
      <x:c r="B72" s="16" t="str">
        <x:f>IF(A72="","",Events!B71)</x:f>
      </x:c>
      <x:c r="C72" s="16" t="str">
        <x:f>IF(A72="","",Events!E71)</x:f>
      </x:c>
      <x:c r="D72" s="16" t="str">
        <x:f>IF(A72="","",Events!J71)</x:f>
      </x:c>
      <x:c r="E72" s="16" t="str">
        <x:f>IF(A72="","",Events!N71)</x:f>
      </x:c>
      <x:c r="F72" s="109" t="str">
        <x:f>IF(OR(A72="",Events!H71=""),"",Events!H71)</x:f>
      </x:c>
      <x:c r="G72" s="109" t="str">
        <x:f>IF(A72="","",IF(Events!I71&lt;&gt;"",Events!I71,IF(Events!S71&lt;&gt;"",Events!S71,"")))</x:f>
      </x:c>
      <x:c r="H72" s="16" t="str">
        <x:f>IF(A72="","",Events!W71)</x:f>
      </x:c>
      <x:c r="I72" s="16" t="str">
        <x:f>IF(A72="","",IF(Events!Y71&lt;&gt;"",Events!Y71,IF(OR(ISNUMBER(SEARCH("education",P72)),ISNUMBER(SEARCH("exam",P72)),ISNUMBER(SEARCH("school",P72))),"Education",IF(OR(ISNUMBER(SEARCH("trade agreement",P72)),ISNUMBER(SEARCH("economic",P72)),ISNUMBER(SEARCH("import",P72))),"Trade &amp; economic policy",IF(OR(ISNUMBER(SEARCH("land acquisition",P72)),ISNUMBER(SEARCH("rehabilitation",P72)),ISNUMBER(SEARCH("displacement",P72)),ISNUMBER(SEARCH("township",P72))),"Land &amp; rehabilitation",IF(OR(ISNUMBER(SEARCH("forest",P72)),ISNUMBER(SEARCH("environment",P72)),ISNUMBER(SEARCH("ecological",P72)),ISNUMBER(SEARCH("biodiversity",P72)),ISNUMBER(SEARCH("green cover",P72))),"Environment",IF(OR(ISNUMBER(SEARCH("irrigation",P72)),ISNUMBER(SEARCH("water",P72)),ISNUMBER(SEARCH("crop",P72)),ISNUMBER(SEARCH("farmer",P72)),ISNUMBER(SEARCH("agriculture",P72))),"Agriculture &amp; water",IF(OR(ISNUMBER(SEARCH("health",P72)),ISNUMBER(SEARCH("hospital",P72)),ISNUMBER(SEARCH("medicine",P72))),"Public health",IF(OR(ISNUMBER(SEARCH("employee",P72)),ISNUMBER(SEARCH("labour",P72)),ISNUMBER(SEARCH("worker",P72)),ISNUMBER(SEARCH("salary",P72))),"Labour &amp; employment",IF(OR(ISNUMBER(SEARCH("rti",P72)),ISNUMBER(SEARCH("transparency",P72)),ISNUMBER(SEARCH("corruption",P72)),ISNUMBER(SEARCH("governance",P72))),"Governance &amp; transparency",IF(OR(ISNUMBER(SEARCH("police",P72)),ISNUMBER(SEARCH("detention",P72)),ISNUMBER(SEARCH("civil rights",P72)),ISNUMBER(SEARCH("justice",P72))),"Civil rights &amp; justice",IF(OR(ISNUMBER(SEARCH("road",P72)),ISNUMBER(SEARCH("utility",P72)),ISNUMBER(SEARCH("infrastructure",P72)),ISNUMBER(SEARCH("public service",P72))),"Infrastructure &amp; public services","Other"))))))))))))</x:f>
      </x:c>
      <x:c r="J72" s="16" t="str">
        <x:f>IF(A72="","",IF(OR(ISNUMBER(SEARCH("fatal",Q72)),ISNUMBER(SEARCH("death",Q72)),ISNUMBER(SEARCH("riot",Q72)),ISNUMBER(SEARCH("curfew",Q72)),ISNUMBER(SEARCH("internet shutdown",Q72))),5,MIN(4,1+IF(H72&gt;=7,1,0)+IF(OR(ISNUMBER(SEARCH("hunger strike",Q72)),ISNUMBER(SEARCH("blockade",Q72)),ISNUMBER(SEARCH("strike",Q72)),ISNUMBER(SEARCH("jal satyagraha",Q72)),ISNUMBER(SEARCH("survey",Q72)),ISNUMBER(SEARCH("human chain",Q72)),ISNUMBER(SEARCH("march",Q72))),1,0)+IF(OR(ISNUMBER(SEARCH("fir",Q72)),ISNUMBER(SEARCH("confrontation",Q72)),ISNUMBER(SEARCH("violence",Q72)),ISNUMBER(SEARCH("detention",Q72)),ISNUMBER(SEARCH("arrest",Q72)),ISNUMBER(SEARCH("demolition",Q72)),ISNUMBER(SEARCH("injury",Q72))),1,0)+IF(OR(D72="Ongoing",D72="Unresolved"),1,0))))</x:f>
      </x:c>
      <x:c r="K72" s="16" t="str">
        <x:f>IF(J72="","",IF(J72=1,"Limited",IF(J72=2,"Local",IF(J72=3,"Significant",IF(J72=4,"High","Critical")))))</x:f>
      </x:c>
      <x:c r="L72" s="16" t="str">
        <x:f>IF(A72="","",Events!U71)</x:f>
      </x:c>
      <x:c r="M72" s="16" t="str">
        <x:f>IF(A72="","",Events!V71)</x:f>
      </x:c>
      <x:c r="N72" s="16" t="str">
        <x:f>IF(A72="","",Events!Q71)</x:f>
      </x:c>
      <x:c r="O72" s="16" t="str">
        <x:f>IF(A72="","",Events!R71)</x:f>
      </x:c>
      <x:c r="P72" s="16" t="str">
        <x:f>IF(A72="","",LOWER(Events!B71&amp;" "&amp;Events!D71&amp;" "&amp;Events!K71))</x:f>
      </x:c>
      <x:c r="Q72" s="16" t="str">
        <x:f>IF(A72="","",LOWER(Events!C71&amp;" "&amp;Events!K71&amp;" "&amp;Events!T71))</x:f>
      </x:c>
      <x:c r="R72" s="16" t="str">
        <x:f>IF(A72="","",IF(ISNUMBER(SEARCH("Occurrence verified",E72)),"Occurrence verified",E72))</x:f>
      </x:c>
      <x:c r="S72" s="79" t="str">
        <x:f>IF(A72="","",Events!X71)</x:f>
      </x:c>
      <x:c r="T72" t="str">
        <x:f>IF($A$7="","",$A$7)</x:f>
        <x:v>IO-CM-DL-0001</x:v>
      </x:c>
      <x:c r="U72" t="n">
        <x:f>IF($A$7="","",$J$7)</x:f>
        <x:v>4</x:v>
      </x:c>
      <x:c r="V72" t="n">
        <x:f>IF($A$7="","",$L$7)</x:f>
        <x:v>7</x:v>
      </x:c>
      <x:c r="W72" t="n">
        <x:f>IF($A$7="","",$M$7)</x:f>
        <x:v>4</x:v>
      </x:c>
      <x:c r="Z72" s="79" t="str">
        <x:f>IF(A72="","",Events!AD71)</x:f>
      </x:c>
      <x:c r="AA72" s="79" t="str">
        <x:f>IF(A72="","",Events!AE71)</x:f>
      </x:c>
    </x:row>
    <x:row r="73">
      <x:c r="A73" s="16" t="str">
        <x:f>IF(Events!A72="","",Events!A72)</x:f>
      </x:c>
      <x:c r="B73" s="16" t="str">
        <x:f>IF(A73="","",Events!B72)</x:f>
      </x:c>
      <x:c r="C73" s="16" t="str">
        <x:f>IF(A73="","",Events!E72)</x:f>
      </x:c>
      <x:c r="D73" s="16" t="str">
        <x:f>IF(A73="","",Events!J72)</x:f>
      </x:c>
      <x:c r="E73" s="16" t="str">
        <x:f>IF(A73="","",Events!N72)</x:f>
      </x:c>
      <x:c r="F73" s="109" t="str">
        <x:f>IF(OR(A73="",Events!H72=""),"",Events!H72)</x:f>
      </x:c>
      <x:c r="G73" s="109" t="str">
        <x:f>IF(A73="","",IF(Events!I72&lt;&gt;"",Events!I72,IF(Events!S72&lt;&gt;"",Events!S72,"")))</x:f>
      </x:c>
      <x:c r="H73" s="16" t="str">
        <x:f>IF(A73="","",Events!W72)</x:f>
      </x:c>
      <x:c r="I73" s="16" t="str">
        <x:f>IF(A73="","",IF(Events!Y72&lt;&gt;"",Events!Y72,IF(OR(ISNUMBER(SEARCH("education",P73)),ISNUMBER(SEARCH("exam",P73)),ISNUMBER(SEARCH("school",P73))),"Education",IF(OR(ISNUMBER(SEARCH("trade agreement",P73)),ISNUMBER(SEARCH("economic",P73)),ISNUMBER(SEARCH("import",P73))),"Trade &amp; economic policy",IF(OR(ISNUMBER(SEARCH("land acquisition",P73)),ISNUMBER(SEARCH("rehabilitation",P73)),ISNUMBER(SEARCH("displacement",P73)),ISNUMBER(SEARCH("township",P73))),"Land &amp; rehabilitation",IF(OR(ISNUMBER(SEARCH("forest",P73)),ISNUMBER(SEARCH("environment",P73)),ISNUMBER(SEARCH("ecological",P73)),ISNUMBER(SEARCH("biodiversity",P73)),ISNUMBER(SEARCH("green cover",P73))),"Environment",IF(OR(ISNUMBER(SEARCH("irrigation",P73)),ISNUMBER(SEARCH("water",P73)),ISNUMBER(SEARCH("crop",P73)),ISNUMBER(SEARCH("farmer",P73)),ISNUMBER(SEARCH("agriculture",P73))),"Agriculture &amp; water",IF(OR(ISNUMBER(SEARCH("health",P73)),ISNUMBER(SEARCH("hospital",P73)),ISNUMBER(SEARCH("medicine",P73))),"Public health",IF(OR(ISNUMBER(SEARCH("employee",P73)),ISNUMBER(SEARCH("labour",P73)),ISNUMBER(SEARCH("worker",P73)),ISNUMBER(SEARCH("salary",P73))),"Labour &amp; employment",IF(OR(ISNUMBER(SEARCH("rti",P73)),ISNUMBER(SEARCH("transparency",P73)),ISNUMBER(SEARCH("corruption",P73)),ISNUMBER(SEARCH("governance",P73))),"Governance &amp; transparency",IF(OR(ISNUMBER(SEARCH("police",P73)),ISNUMBER(SEARCH("detention",P73)),ISNUMBER(SEARCH("civil rights",P73)),ISNUMBER(SEARCH("justice",P73))),"Civil rights &amp; justice",IF(OR(ISNUMBER(SEARCH("road",P73)),ISNUMBER(SEARCH("utility",P73)),ISNUMBER(SEARCH("infrastructure",P73)),ISNUMBER(SEARCH("public service",P73))),"Infrastructure &amp; public services","Other"))))))))))))</x:f>
      </x:c>
      <x:c r="J73" s="16" t="str">
        <x:f>IF(A73="","",IF(OR(ISNUMBER(SEARCH("fatal",Q73)),ISNUMBER(SEARCH("death",Q73)),ISNUMBER(SEARCH("riot",Q73)),ISNUMBER(SEARCH("curfew",Q73)),ISNUMBER(SEARCH("internet shutdown",Q73))),5,MIN(4,1+IF(H73&gt;=7,1,0)+IF(OR(ISNUMBER(SEARCH("hunger strike",Q73)),ISNUMBER(SEARCH("blockade",Q73)),ISNUMBER(SEARCH("strike",Q73)),ISNUMBER(SEARCH("jal satyagraha",Q73)),ISNUMBER(SEARCH("survey",Q73)),ISNUMBER(SEARCH("human chain",Q73)),ISNUMBER(SEARCH("march",Q73))),1,0)+IF(OR(ISNUMBER(SEARCH("fir",Q73)),ISNUMBER(SEARCH("confrontation",Q73)),ISNUMBER(SEARCH("violence",Q73)),ISNUMBER(SEARCH("detention",Q73)),ISNUMBER(SEARCH("arrest",Q73)),ISNUMBER(SEARCH("demolition",Q73)),ISNUMBER(SEARCH("injury",Q73))),1,0)+IF(OR(D73="Ongoing",D73="Unresolved"),1,0))))</x:f>
      </x:c>
      <x:c r="K73" s="16" t="str">
        <x:f>IF(J73="","",IF(J73=1,"Limited",IF(J73=2,"Local",IF(J73=3,"Significant",IF(J73=4,"High","Critical")))))</x:f>
      </x:c>
      <x:c r="L73" s="16" t="str">
        <x:f>IF(A73="","",Events!U72)</x:f>
      </x:c>
      <x:c r="M73" s="16" t="str">
        <x:f>IF(A73="","",Events!V72)</x:f>
      </x:c>
      <x:c r="N73" s="16" t="str">
        <x:f>IF(A73="","",Events!Q72)</x:f>
      </x:c>
      <x:c r="O73" s="16" t="str">
        <x:f>IF(A73="","",Events!R72)</x:f>
      </x:c>
      <x:c r="P73" s="16" t="str">
        <x:f>IF(A73="","",LOWER(Events!B72&amp;" "&amp;Events!D72&amp;" "&amp;Events!K72))</x:f>
      </x:c>
      <x:c r="Q73" s="16" t="str">
        <x:f>IF(A73="","",LOWER(Events!C72&amp;" "&amp;Events!K72&amp;" "&amp;Events!T72))</x:f>
      </x:c>
      <x:c r="R73" s="16" t="str">
        <x:f>IF(A73="","",IF(ISNUMBER(SEARCH("Occurrence verified",E73)),"Occurrence verified",E73))</x:f>
      </x:c>
      <x:c r="S73" s="79" t="str">
        <x:f>IF(A73="","",Events!X72)</x:f>
      </x:c>
      <x:c r="T73" t="str">
        <x:f>IF($A$8="","",$A$8)</x:f>
        <x:v>IO-CM-KA-0001</x:v>
      </x:c>
      <x:c r="U73" t="n">
        <x:f>IF($A$8="","",$J$8)</x:f>
        <x:v>3</x:v>
      </x:c>
      <x:c r="V73" t="n">
        <x:f>IF($A$8="","",$L$8)</x:f>
        <x:v>6</x:v>
      </x:c>
      <x:c r="W73" t="n">
        <x:f>IF($A$8="","",$M$8)</x:f>
        <x:v>3</x:v>
      </x:c>
      <x:c r="Z73" s="79" t="str">
        <x:f>IF(A73="","",Events!AD72)</x:f>
      </x:c>
      <x:c r="AA73" s="79" t="str">
        <x:f>IF(A73="","",Events!AE72)</x:f>
      </x:c>
    </x:row>
    <x:row r="74">
      <x:c r="A74" s="16" t="str">
        <x:f>IF(Events!A73="","",Events!A73)</x:f>
      </x:c>
      <x:c r="B74" s="16" t="str">
        <x:f>IF(A74="","",Events!B73)</x:f>
      </x:c>
      <x:c r="C74" s="16" t="str">
        <x:f>IF(A74="","",Events!E73)</x:f>
      </x:c>
      <x:c r="D74" s="16" t="str">
        <x:f>IF(A74="","",Events!J73)</x:f>
      </x:c>
      <x:c r="E74" s="16" t="str">
        <x:f>IF(A74="","",Events!N73)</x:f>
      </x:c>
      <x:c r="F74" s="109" t="str">
        <x:f>IF(OR(A74="",Events!H73=""),"",Events!H73)</x:f>
      </x:c>
      <x:c r="G74" s="109" t="str">
        <x:f>IF(A74="","",IF(Events!I73&lt;&gt;"",Events!I73,IF(Events!S73&lt;&gt;"",Events!S73,"")))</x:f>
      </x:c>
      <x:c r="H74" s="16" t="str">
        <x:f>IF(A74="","",Events!W73)</x:f>
      </x:c>
      <x:c r="I74" s="16" t="str">
        <x:f>IF(A74="","",IF(Events!Y73&lt;&gt;"",Events!Y73,IF(OR(ISNUMBER(SEARCH("education",P74)),ISNUMBER(SEARCH("exam",P74)),ISNUMBER(SEARCH("school",P74))),"Education",IF(OR(ISNUMBER(SEARCH("trade agreement",P74)),ISNUMBER(SEARCH("economic",P74)),ISNUMBER(SEARCH("import",P74))),"Trade &amp; economic policy",IF(OR(ISNUMBER(SEARCH("land acquisition",P74)),ISNUMBER(SEARCH("rehabilitation",P74)),ISNUMBER(SEARCH("displacement",P74)),ISNUMBER(SEARCH("township",P74))),"Land &amp; rehabilitation",IF(OR(ISNUMBER(SEARCH("forest",P74)),ISNUMBER(SEARCH("environment",P74)),ISNUMBER(SEARCH("ecological",P74)),ISNUMBER(SEARCH("biodiversity",P74)),ISNUMBER(SEARCH("green cover",P74))),"Environment",IF(OR(ISNUMBER(SEARCH("irrigation",P74)),ISNUMBER(SEARCH("water",P74)),ISNUMBER(SEARCH("crop",P74)),ISNUMBER(SEARCH("farmer",P74)),ISNUMBER(SEARCH("agriculture",P74))),"Agriculture &amp; water",IF(OR(ISNUMBER(SEARCH("health",P74)),ISNUMBER(SEARCH("hospital",P74)),ISNUMBER(SEARCH("medicine",P74))),"Public health",IF(OR(ISNUMBER(SEARCH("employee",P74)),ISNUMBER(SEARCH("labour",P74)),ISNUMBER(SEARCH("worker",P74)),ISNUMBER(SEARCH("salary",P74))),"Labour &amp; employment",IF(OR(ISNUMBER(SEARCH("rti",P74)),ISNUMBER(SEARCH("transparency",P74)),ISNUMBER(SEARCH("corruption",P74)),ISNUMBER(SEARCH("governance",P74))),"Governance &amp; transparency",IF(OR(ISNUMBER(SEARCH("police",P74)),ISNUMBER(SEARCH("detention",P74)),ISNUMBER(SEARCH("civil rights",P74)),ISNUMBER(SEARCH("justice",P74))),"Civil rights &amp; justice",IF(OR(ISNUMBER(SEARCH("road",P74)),ISNUMBER(SEARCH("utility",P74)),ISNUMBER(SEARCH("infrastructure",P74)),ISNUMBER(SEARCH("public service",P74))),"Infrastructure &amp; public services","Other"))))))))))))</x:f>
      </x:c>
      <x:c r="J74" s="16" t="str">
        <x:f>IF(A74="","",IF(OR(ISNUMBER(SEARCH("fatal",Q74)),ISNUMBER(SEARCH("death",Q74)),ISNUMBER(SEARCH("riot",Q74)),ISNUMBER(SEARCH("curfew",Q74)),ISNUMBER(SEARCH("internet shutdown",Q74))),5,MIN(4,1+IF(H74&gt;=7,1,0)+IF(OR(ISNUMBER(SEARCH("hunger strike",Q74)),ISNUMBER(SEARCH("blockade",Q74)),ISNUMBER(SEARCH("strike",Q74)),ISNUMBER(SEARCH("jal satyagraha",Q74)),ISNUMBER(SEARCH("survey",Q74)),ISNUMBER(SEARCH("human chain",Q74)),ISNUMBER(SEARCH("march",Q74))),1,0)+IF(OR(ISNUMBER(SEARCH("fir",Q74)),ISNUMBER(SEARCH("confrontation",Q74)),ISNUMBER(SEARCH("violence",Q74)),ISNUMBER(SEARCH("detention",Q74)),ISNUMBER(SEARCH("arrest",Q74)),ISNUMBER(SEARCH("demolition",Q74)),ISNUMBER(SEARCH("injury",Q74))),1,0)+IF(OR(D74="Ongoing",D74="Unresolved"),1,0))))</x:f>
      </x:c>
      <x:c r="K74" s="16" t="str">
        <x:f>IF(J74="","",IF(J74=1,"Limited",IF(J74=2,"Local",IF(J74=3,"Significant",IF(J74=4,"High","Critical")))))</x:f>
      </x:c>
      <x:c r="L74" s="16" t="str">
        <x:f>IF(A74="","",Events!U73)</x:f>
      </x:c>
      <x:c r="M74" s="16" t="str">
        <x:f>IF(A74="","",Events!V73)</x:f>
      </x:c>
      <x:c r="N74" s="16" t="str">
        <x:f>IF(A74="","",Events!Q73)</x:f>
      </x:c>
      <x:c r="O74" s="16" t="str">
        <x:f>IF(A74="","",Events!R73)</x:f>
      </x:c>
      <x:c r="P74" s="16" t="str">
        <x:f>IF(A74="","",LOWER(Events!B73&amp;" "&amp;Events!D73&amp;" "&amp;Events!K73))</x:f>
      </x:c>
      <x:c r="Q74" s="16" t="str">
        <x:f>IF(A74="","",LOWER(Events!C73&amp;" "&amp;Events!K73&amp;" "&amp;Events!T73))</x:f>
      </x:c>
      <x:c r="R74" s="16" t="str">
        <x:f>IF(A74="","",IF(ISNUMBER(SEARCH("Occurrence verified",E74)),"Occurrence verified",E74))</x:f>
      </x:c>
      <x:c r="S74" s="79" t="str">
        <x:f>IF(A74="","",Events!X73)</x:f>
      </x:c>
      <x:c r="T74" t="str">
        <x:f>IF($A$9="","",$A$9)</x:f>
        <x:v>IO-CM-CH-0001</x:v>
      </x:c>
      <x:c r="U74" t="n">
        <x:f>IF($A$9="","",$J$9)</x:f>
        <x:v>2</x:v>
      </x:c>
      <x:c r="V74" t="n">
        <x:f>IF($A$9="","",$L$9)</x:f>
        <x:v>7</x:v>
      </x:c>
      <x:c r="W74" t="n">
        <x:f>IF($A$9="","",$M$9)</x:f>
        <x:v>2</x:v>
      </x:c>
      <x:c r="Z74" s="79" t="str">
        <x:f>IF(A74="","",Events!AD73)</x:f>
      </x:c>
      <x:c r="AA74" s="79" t="str">
        <x:f>IF(A74="","",Events!AE73)</x:f>
      </x:c>
    </x:row>
    <x:row r="75">
      <x:c r="A75" s="16" t="str">
        <x:f>IF(Events!A74="","",Events!A74)</x:f>
      </x:c>
      <x:c r="B75" s="16" t="str">
        <x:f>IF(A75="","",Events!B74)</x:f>
      </x:c>
      <x:c r="C75" s="16" t="str">
        <x:f>IF(A75="","",Events!E74)</x:f>
      </x:c>
      <x:c r="D75" s="16" t="str">
        <x:f>IF(A75="","",Events!J74)</x:f>
      </x:c>
      <x:c r="E75" s="16" t="str">
        <x:f>IF(A75="","",Events!N74)</x:f>
      </x:c>
      <x:c r="F75" s="109" t="str">
        <x:f>IF(OR(A75="",Events!H74=""),"",Events!H74)</x:f>
      </x:c>
      <x:c r="G75" s="109" t="str">
        <x:f>IF(A75="","",IF(Events!I74&lt;&gt;"",Events!I74,IF(Events!S74&lt;&gt;"",Events!S74,"")))</x:f>
      </x:c>
      <x:c r="H75" s="16" t="str">
        <x:f>IF(A75="","",Events!W74)</x:f>
      </x:c>
      <x:c r="I75" s="16" t="str">
        <x:f>IF(A75="","",IF(Events!Y74&lt;&gt;"",Events!Y74,IF(OR(ISNUMBER(SEARCH("education",P75)),ISNUMBER(SEARCH("exam",P75)),ISNUMBER(SEARCH("school",P75))),"Education",IF(OR(ISNUMBER(SEARCH("trade agreement",P75)),ISNUMBER(SEARCH("economic",P75)),ISNUMBER(SEARCH("import",P75))),"Trade &amp; economic policy",IF(OR(ISNUMBER(SEARCH("land acquisition",P75)),ISNUMBER(SEARCH("rehabilitation",P75)),ISNUMBER(SEARCH("displacement",P75)),ISNUMBER(SEARCH("township",P75))),"Land &amp; rehabilitation",IF(OR(ISNUMBER(SEARCH("forest",P75)),ISNUMBER(SEARCH("environment",P75)),ISNUMBER(SEARCH("ecological",P75)),ISNUMBER(SEARCH("biodiversity",P75)),ISNUMBER(SEARCH("green cover",P75))),"Environment",IF(OR(ISNUMBER(SEARCH("irrigation",P75)),ISNUMBER(SEARCH("water",P75)),ISNUMBER(SEARCH("crop",P75)),ISNUMBER(SEARCH("farmer",P75)),ISNUMBER(SEARCH("agriculture",P75))),"Agriculture &amp; water",IF(OR(ISNUMBER(SEARCH("health",P75)),ISNUMBER(SEARCH("hospital",P75)),ISNUMBER(SEARCH("medicine",P75))),"Public health",IF(OR(ISNUMBER(SEARCH("employee",P75)),ISNUMBER(SEARCH("labour",P75)),ISNUMBER(SEARCH("worker",P75)),ISNUMBER(SEARCH("salary",P75))),"Labour &amp; employment",IF(OR(ISNUMBER(SEARCH("rti",P75)),ISNUMBER(SEARCH("transparency",P75)),ISNUMBER(SEARCH("corruption",P75)),ISNUMBER(SEARCH("governance",P75))),"Governance &amp; transparency",IF(OR(ISNUMBER(SEARCH("police",P75)),ISNUMBER(SEARCH("detention",P75)),ISNUMBER(SEARCH("civil rights",P75)),ISNUMBER(SEARCH("justice",P75))),"Civil rights &amp; justice",IF(OR(ISNUMBER(SEARCH("road",P75)),ISNUMBER(SEARCH("utility",P75)),ISNUMBER(SEARCH("infrastructure",P75)),ISNUMBER(SEARCH("public service",P75))),"Infrastructure &amp; public services","Other"))))))))))))</x:f>
      </x:c>
      <x:c r="J75" s="16" t="str">
        <x:f>IF(A75="","",IF(OR(ISNUMBER(SEARCH("fatal",Q75)),ISNUMBER(SEARCH("death",Q75)),ISNUMBER(SEARCH("riot",Q75)),ISNUMBER(SEARCH("curfew",Q75)),ISNUMBER(SEARCH("internet shutdown",Q75))),5,MIN(4,1+IF(H75&gt;=7,1,0)+IF(OR(ISNUMBER(SEARCH("hunger strike",Q75)),ISNUMBER(SEARCH("blockade",Q75)),ISNUMBER(SEARCH("strike",Q75)),ISNUMBER(SEARCH("jal satyagraha",Q75)),ISNUMBER(SEARCH("survey",Q75)),ISNUMBER(SEARCH("human chain",Q75)),ISNUMBER(SEARCH("march",Q75))),1,0)+IF(OR(ISNUMBER(SEARCH("fir",Q75)),ISNUMBER(SEARCH("confrontation",Q75)),ISNUMBER(SEARCH("violence",Q75)),ISNUMBER(SEARCH("detention",Q75)),ISNUMBER(SEARCH("arrest",Q75)),ISNUMBER(SEARCH("demolition",Q75)),ISNUMBER(SEARCH("injury",Q75))),1,0)+IF(OR(D75="Ongoing",D75="Unresolved"),1,0))))</x:f>
      </x:c>
      <x:c r="K75" s="16" t="str">
        <x:f>IF(J75="","",IF(J75=1,"Limited",IF(J75=2,"Local",IF(J75=3,"Significant",IF(J75=4,"High","Critical")))))</x:f>
      </x:c>
      <x:c r="L75" s="16" t="str">
        <x:f>IF(A75="","",Events!U74)</x:f>
      </x:c>
      <x:c r="M75" s="16" t="str">
        <x:f>IF(A75="","",Events!V74)</x:f>
      </x:c>
      <x:c r="N75" s="16" t="str">
        <x:f>IF(A75="","",Events!Q74)</x:f>
      </x:c>
      <x:c r="O75" s="16" t="str">
        <x:f>IF(A75="","",Events!R74)</x:f>
      </x:c>
      <x:c r="P75" s="16" t="str">
        <x:f>IF(A75="","",LOWER(Events!B74&amp;" "&amp;Events!D74&amp;" "&amp;Events!K74))</x:f>
      </x:c>
      <x:c r="Q75" s="16" t="str">
        <x:f>IF(A75="","",LOWER(Events!C74&amp;" "&amp;Events!K74&amp;" "&amp;Events!T74))</x:f>
      </x:c>
      <x:c r="R75" s="16" t="str">
        <x:f>IF(A75="","",IF(ISNUMBER(SEARCH("Occurrence verified",E75)),"Occurrence verified",E75))</x:f>
      </x:c>
      <x:c r="S75" s="79" t="str">
        <x:f>IF(A75="","",Events!X74)</x:f>
      </x:c>
      <x:c r="T75" t="str">
        <x:f>IF($A$10="","",$A$10)</x:f>
        <x:v>IO-CM-MH-0001</x:v>
      </x:c>
      <x:c r="U75" t="n">
        <x:f>IF($A$10="","",$J$10)</x:f>
        <x:v>2</x:v>
      </x:c>
      <x:c r="V75" t="n">
        <x:f>IF($A$10="","",$L$10)</x:f>
        <x:v>7</x:v>
      </x:c>
      <x:c r="W75" t="n">
        <x:f>IF($A$10="","",$M$10)</x:f>
        <x:v>4</x:v>
      </x:c>
      <x:c r="Z75" s="79" t="str">
        <x:f>IF(A75="","",Events!AD74)</x:f>
      </x:c>
      <x:c r="AA75" s="79" t="str">
        <x:f>IF(A75="","",Events!AE74)</x:f>
      </x:c>
    </x:row>
    <x:row r="76">
      <x:c r="A76" s="16" t="str">
        <x:f>IF(Events!A75="","",Events!A75)</x:f>
      </x:c>
      <x:c r="B76" s="16" t="str">
        <x:f>IF(A76="","",Events!B75)</x:f>
      </x:c>
      <x:c r="C76" s="16" t="str">
        <x:f>IF(A76="","",Events!E75)</x:f>
      </x:c>
      <x:c r="D76" s="16" t="str">
        <x:f>IF(A76="","",Events!J75)</x:f>
      </x:c>
      <x:c r="E76" s="16" t="str">
        <x:f>IF(A76="","",Events!N75)</x:f>
      </x:c>
      <x:c r="F76" s="109" t="str">
        <x:f>IF(OR(A76="",Events!H75=""),"",Events!H75)</x:f>
      </x:c>
      <x:c r="G76" s="109" t="str">
        <x:f>IF(A76="","",IF(Events!I75&lt;&gt;"",Events!I75,IF(Events!S75&lt;&gt;"",Events!S75,"")))</x:f>
      </x:c>
      <x:c r="H76" s="16" t="str">
        <x:f>IF(A76="","",Events!W75)</x:f>
      </x:c>
      <x:c r="I76" s="16" t="str">
        <x:f>IF(A76="","",IF(Events!Y75&lt;&gt;"",Events!Y75,IF(OR(ISNUMBER(SEARCH("education",P76)),ISNUMBER(SEARCH("exam",P76)),ISNUMBER(SEARCH("school",P76))),"Education",IF(OR(ISNUMBER(SEARCH("trade agreement",P76)),ISNUMBER(SEARCH("economic",P76)),ISNUMBER(SEARCH("import",P76))),"Trade &amp; economic policy",IF(OR(ISNUMBER(SEARCH("land acquisition",P76)),ISNUMBER(SEARCH("rehabilitation",P76)),ISNUMBER(SEARCH("displacement",P76)),ISNUMBER(SEARCH("township",P76))),"Land &amp; rehabilitation",IF(OR(ISNUMBER(SEARCH("forest",P76)),ISNUMBER(SEARCH("environment",P76)),ISNUMBER(SEARCH("ecological",P76)),ISNUMBER(SEARCH("biodiversity",P76)),ISNUMBER(SEARCH("green cover",P76))),"Environment",IF(OR(ISNUMBER(SEARCH("irrigation",P76)),ISNUMBER(SEARCH("water",P76)),ISNUMBER(SEARCH("crop",P76)),ISNUMBER(SEARCH("farmer",P76)),ISNUMBER(SEARCH("agriculture",P76))),"Agriculture &amp; water",IF(OR(ISNUMBER(SEARCH("health",P76)),ISNUMBER(SEARCH("hospital",P76)),ISNUMBER(SEARCH("medicine",P76))),"Public health",IF(OR(ISNUMBER(SEARCH("employee",P76)),ISNUMBER(SEARCH("labour",P76)),ISNUMBER(SEARCH("worker",P76)),ISNUMBER(SEARCH("salary",P76))),"Labour &amp; employment",IF(OR(ISNUMBER(SEARCH("rti",P76)),ISNUMBER(SEARCH("transparency",P76)),ISNUMBER(SEARCH("corruption",P76)),ISNUMBER(SEARCH("governance",P76))),"Governance &amp; transparency",IF(OR(ISNUMBER(SEARCH("police",P76)),ISNUMBER(SEARCH("detention",P76)),ISNUMBER(SEARCH("civil rights",P76)),ISNUMBER(SEARCH("justice",P76))),"Civil rights &amp; justice",IF(OR(ISNUMBER(SEARCH("road",P76)),ISNUMBER(SEARCH("utility",P76)),ISNUMBER(SEARCH("infrastructure",P76)),ISNUMBER(SEARCH("public service",P76))),"Infrastructure &amp; public services","Other"))))))))))))</x:f>
      </x:c>
      <x:c r="J76" s="16" t="str">
        <x:f>IF(A76="","",IF(OR(ISNUMBER(SEARCH("fatal",Q76)),ISNUMBER(SEARCH("death",Q76)),ISNUMBER(SEARCH("riot",Q76)),ISNUMBER(SEARCH("curfew",Q76)),ISNUMBER(SEARCH("internet shutdown",Q76))),5,MIN(4,1+IF(H76&gt;=7,1,0)+IF(OR(ISNUMBER(SEARCH("hunger strike",Q76)),ISNUMBER(SEARCH("blockade",Q76)),ISNUMBER(SEARCH("strike",Q76)),ISNUMBER(SEARCH("jal satyagraha",Q76)),ISNUMBER(SEARCH("survey",Q76)),ISNUMBER(SEARCH("human chain",Q76)),ISNUMBER(SEARCH("march",Q76))),1,0)+IF(OR(ISNUMBER(SEARCH("fir",Q76)),ISNUMBER(SEARCH("confrontation",Q76)),ISNUMBER(SEARCH("violence",Q76)),ISNUMBER(SEARCH("detention",Q76)),ISNUMBER(SEARCH("arrest",Q76)),ISNUMBER(SEARCH("demolition",Q76)),ISNUMBER(SEARCH("injury",Q76))),1,0)+IF(OR(D76="Ongoing",D76="Unresolved"),1,0))))</x:f>
      </x:c>
      <x:c r="K76" s="16" t="str">
        <x:f>IF(J76="","",IF(J76=1,"Limited",IF(J76=2,"Local",IF(J76=3,"Significant",IF(J76=4,"High","Critical")))))</x:f>
      </x:c>
      <x:c r="L76" s="16" t="str">
        <x:f>IF(A76="","",Events!U75)</x:f>
      </x:c>
      <x:c r="M76" s="16" t="str">
        <x:f>IF(A76="","",Events!V75)</x:f>
      </x:c>
      <x:c r="N76" s="16" t="str">
        <x:f>IF(A76="","",Events!Q75)</x:f>
      </x:c>
      <x:c r="O76" s="16" t="str">
        <x:f>IF(A76="","",Events!R75)</x:f>
      </x:c>
      <x:c r="P76" s="16" t="str">
        <x:f>IF(A76="","",LOWER(Events!B75&amp;" "&amp;Events!D75&amp;" "&amp;Events!K75))</x:f>
      </x:c>
      <x:c r="Q76" s="16" t="str">
        <x:f>IF(A76="","",LOWER(Events!C75&amp;" "&amp;Events!K75&amp;" "&amp;Events!T75))</x:f>
      </x:c>
      <x:c r="R76" s="16" t="str">
        <x:f>IF(A76="","",IF(ISNUMBER(SEARCH("Occurrence verified",E76)),"Occurrence verified",E76))</x:f>
      </x:c>
      <x:c r="S76" s="79" t="str">
        <x:f>IF(A76="","",Events!X75)</x:f>
      </x:c>
      <x:c r="T76" t="str">
        <x:f>IF($A$11="","",$A$11)</x:f>
        <x:v>IO-CM-KA-0002</x:v>
      </x:c>
      <x:c r="U76" t="n">
        <x:f>IF($A$11="","",$J$11)</x:f>
        <x:v>4</x:v>
      </x:c>
      <x:c r="V76" t="n">
        <x:f>IF($A$11="","",$L$11)</x:f>
        <x:v>13</x:v>
      </x:c>
      <x:c r="W76" t="n">
        <x:f>IF($A$11="","",$M$11)</x:f>
        <x:v>8</x:v>
      </x:c>
      <x:c r="Z76" s="79" t="str">
        <x:f>IF(A76="","",Events!AD75)</x:f>
      </x:c>
      <x:c r="AA76" s="79" t="str">
        <x:f>IF(A76="","",Events!AE75)</x:f>
      </x:c>
    </x:row>
    <x:row r="77">
      <x:c r="A77" s="16" t="str">
        <x:f>IF(Events!A76="","",Events!A76)</x:f>
      </x:c>
      <x:c r="B77" s="16" t="str">
        <x:f>IF(A77="","",Events!B76)</x:f>
      </x:c>
      <x:c r="C77" s="16" t="str">
        <x:f>IF(A77="","",Events!E76)</x:f>
      </x:c>
      <x:c r="D77" s="16" t="str">
        <x:f>IF(A77="","",Events!J76)</x:f>
      </x:c>
      <x:c r="E77" s="16" t="str">
        <x:f>IF(A77="","",Events!N76)</x:f>
      </x:c>
      <x:c r="F77" s="109" t="str">
        <x:f>IF(OR(A77="",Events!H76=""),"",Events!H76)</x:f>
      </x:c>
      <x:c r="G77" s="109" t="str">
        <x:f>IF(A77="","",IF(Events!I76&lt;&gt;"",Events!I76,IF(Events!S76&lt;&gt;"",Events!S76,"")))</x:f>
      </x:c>
      <x:c r="H77" s="16" t="str">
        <x:f>IF(A77="","",Events!W76)</x:f>
      </x:c>
      <x:c r="I77" s="16" t="str">
        <x:f>IF(A77="","",IF(Events!Y76&lt;&gt;"",Events!Y76,IF(OR(ISNUMBER(SEARCH("education",P77)),ISNUMBER(SEARCH("exam",P77)),ISNUMBER(SEARCH("school",P77))),"Education",IF(OR(ISNUMBER(SEARCH("trade agreement",P77)),ISNUMBER(SEARCH("economic",P77)),ISNUMBER(SEARCH("import",P77))),"Trade &amp; economic policy",IF(OR(ISNUMBER(SEARCH("land acquisition",P77)),ISNUMBER(SEARCH("rehabilitation",P77)),ISNUMBER(SEARCH("displacement",P77)),ISNUMBER(SEARCH("township",P77))),"Land &amp; rehabilitation",IF(OR(ISNUMBER(SEARCH("forest",P77)),ISNUMBER(SEARCH("environment",P77)),ISNUMBER(SEARCH("ecological",P77)),ISNUMBER(SEARCH("biodiversity",P77)),ISNUMBER(SEARCH("green cover",P77))),"Environment",IF(OR(ISNUMBER(SEARCH("irrigation",P77)),ISNUMBER(SEARCH("water",P77)),ISNUMBER(SEARCH("crop",P77)),ISNUMBER(SEARCH("farmer",P77)),ISNUMBER(SEARCH("agriculture",P77))),"Agriculture &amp; water",IF(OR(ISNUMBER(SEARCH("health",P77)),ISNUMBER(SEARCH("hospital",P77)),ISNUMBER(SEARCH("medicine",P77))),"Public health",IF(OR(ISNUMBER(SEARCH("employee",P77)),ISNUMBER(SEARCH("labour",P77)),ISNUMBER(SEARCH("worker",P77)),ISNUMBER(SEARCH("salary",P77))),"Labour &amp; employment",IF(OR(ISNUMBER(SEARCH("rti",P77)),ISNUMBER(SEARCH("transparency",P77)),ISNUMBER(SEARCH("corruption",P77)),ISNUMBER(SEARCH("governance",P77))),"Governance &amp; transparency",IF(OR(ISNUMBER(SEARCH("police",P77)),ISNUMBER(SEARCH("detention",P77)),ISNUMBER(SEARCH("civil rights",P77)),ISNUMBER(SEARCH("justice",P77))),"Civil rights &amp; justice",IF(OR(ISNUMBER(SEARCH("road",P77)),ISNUMBER(SEARCH("utility",P77)),ISNUMBER(SEARCH("infrastructure",P77)),ISNUMBER(SEARCH("public service",P77))),"Infrastructure &amp; public services","Other"))))))))))))</x:f>
      </x:c>
      <x:c r="J77" s="16" t="str">
        <x:f>IF(A77="","",IF(OR(ISNUMBER(SEARCH("fatal",Q77)),ISNUMBER(SEARCH("death",Q77)),ISNUMBER(SEARCH("riot",Q77)),ISNUMBER(SEARCH("curfew",Q77)),ISNUMBER(SEARCH("internet shutdown",Q77))),5,MIN(4,1+IF(H77&gt;=7,1,0)+IF(OR(ISNUMBER(SEARCH("hunger strike",Q77)),ISNUMBER(SEARCH("blockade",Q77)),ISNUMBER(SEARCH("strike",Q77)),ISNUMBER(SEARCH("jal satyagraha",Q77)),ISNUMBER(SEARCH("survey",Q77)),ISNUMBER(SEARCH("human chain",Q77)),ISNUMBER(SEARCH("march",Q77))),1,0)+IF(OR(ISNUMBER(SEARCH("fir",Q77)),ISNUMBER(SEARCH("confrontation",Q77)),ISNUMBER(SEARCH("violence",Q77)),ISNUMBER(SEARCH("detention",Q77)),ISNUMBER(SEARCH("arrest",Q77)),ISNUMBER(SEARCH("demolition",Q77)),ISNUMBER(SEARCH("injury",Q77))),1,0)+IF(OR(D77="Ongoing",D77="Unresolved"),1,0))))</x:f>
      </x:c>
      <x:c r="K77" s="16" t="str">
        <x:f>IF(J77="","",IF(J77=1,"Limited",IF(J77=2,"Local",IF(J77=3,"Significant",IF(J77=4,"High","Critical")))))</x:f>
      </x:c>
      <x:c r="L77" s="16" t="str">
        <x:f>IF(A77="","",Events!U76)</x:f>
      </x:c>
      <x:c r="M77" s="16" t="str">
        <x:f>IF(A77="","",Events!V76)</x:f>
      </x:c>
      <x:c r="N77" s="16" t="str">
        <x:f>IF(A77="","",Events!Q76)</x:f>
      </x:c>
      <x:c r="O77" s="16" t="str">
        <x:f>IF(A77="","",Events!R76)</x:f>
      </x:c>
      <x:c r="P77" s="16" t="str">
        <x:f>IF(A77="","",LOWER(Events!B76&amp;" "&amp;Events!D76&amp;" "&amp;Events!K76))</x:f>
      </x:c>
      <x:c r="Q77" s="16" t="str">
        <x:f>IF(A77="","",LOWER(Events!C76&amp;" "&amp;Events!K76&amp;" "&amp;Events!T76))</x:f>
      </x:c>
      <x:c r="R77" s="16" t="str">
        <x:f>IF(A77="","",IF(ISNUMBER(SEARCH("Occurrence verified",E77)),"Occurrence verified",E77))</x:f>
      </x:c>
      <x:c r="S77" s="79" t="str">
        <x:f>IF(A77="","",Events!X76)</x:f>
      </x:c>
      <x:c r="T77" t="str">
        <x:f>IF($A$12="","",$A$12)</x:f>
        <x:v>IO-CM-GJ-0001</x:v>
      </x:c>
      <x:c r="U77" t="n">
        <x:f>IF($A$12="","",$J$12)</x:f>
        <x:v>4</x:v>
      </x:c>
      <x:c r="V77" t="n">
        <x:f>IF($A$12="","",$L$12)</x:f>
        <x:v>8</x:v>
      </x:c>
      <x:c r="W77" t="n">
        <x:f>IF($A$12="","",$M$12)</x:f>
        <x:v>4</x:v>
      </x:c>
      <x:c r="Z77" s="79" t="str">
        <x:f>IF(A77="","",Events!AD76)</x:f>
      </x:c>
      <x:c r="AA77" s="79" t="str">
        <x:f>IF(A77="","",Events!AE76)</x:f>
      </x:c>
    </x:row>
    <x:row r="78">
      <x:c r="A78" s="16" t="str">
        <x:f>IF(Events!A77="","",Events!A77)</x:f>
      </x:c>
      <x:c r="B78" s="16" t="str">
        <x:f>IF(A78="","",Events!B77)</x:f>
      </x:c>
      <x:c r="C78" s="16" t="str">
        <x:f>IF(A78="","",Events!E77)</x:f>
      </x:c>
      <x:c r="D78" s="16" t="str">
        <x:f>IF(A78="","",Events!J77)</x:f>
      </x:c>
      <x:c r="E78" s="16" t="str">
        <x:f>IF(A78="","",Events!N77)</x:f>
      </x:c>
      <x:c r="F78" s="109" t="str">
        <x:f>IF(OR(A78="",Events!H77=""),"",Events!H77)</x:f>
      </x:c>
      <x:c r="G78" s="109" t="str">
        <x:f>IF(A78="","",IF(Events!I77&lt;&gt;"",Events!I77,IF(Events!S77&lt;&gt;"",Events!S77,"")))</x:f>
      </x:c>
      <x:c r="H78" s="16" t="str">
        <x:f>IF(A78="","",Events!W77)</x:f>
      </x:c>
      <x:c r="I78" s="16" t="str">
        <x:f>IF(A78="","",IF(Events!Y77&lt;&gt;"",Events!Y77,IF(OR(ISNUMBER(SEARCH("education",P78)),ISNUMBER(SEARCH("exam",P78)),ISNUMBER(SEARCH("school",P78))),"Education",IF(OR(ISNUMBER(SEARCH("trade agreement",P78)),ISNUMBER(SEARCH("economic",P78)),ISNUMBER(SEARCH("import",P78))),"Trade &amp; economic policy",IF(OR(ISNUMBER(SEARCH("land acquisition",P78)),ISNUMBER(SEARCH("rehabilitation",P78)),ISNUMBER(SEARCH("displacement",P78)),ISNUMBER(SEARCH("township",P78))),"Land &amp; rehabilitation",IF(OR(ISNUMBER(SEARCH("forest",P78)),ISNUMBER(SEARCH("environment",P78)),ISNUMBER(SEARCH("ecological",P78)),ISNUMBER(SEARCH("biodiversity",P78)),ISNUMBER(SEARCH("green cover",P78))),"Environment",IF(OR(ISNUMBER(SEARCH("irrigation",P78)),ISNUMBER(SEARCH("water",P78)),ISNUMBER(SEARCH("crop",P78)),ISNUMBER(SEARCH("farmer",P78)),ISNUMBER(SEARCH("agriculture",P78))),"Agriculture &amp; water",IF(OR(ISNUMBER(SEARCH("health",P78)),ISNUMBER(SEARCH("hospital",P78)),ISNUMBER(SEARCH("medicine",P78))),"Public health",IF(OR(ISNUMBER(SEARCH("employee",P78)),ISNUMBER(SEARCH("labour",P78)),ISNUMBER(SEARCH("worker",P78)),ISNUMBER(SEARCH("salary",P78))),"Labour &amp; employment",IF(OR(ISNUMBER(SEARCH("rti",P78)),ISNUMBER(SEARCH("transparency",P78)),ISNUMBER(SEARCH("corruption",P78)),ISNUMBER(SEARCH("governance",P78))),"Governance &amp; transparency",IF(OR(ISNUMBER(SEARCH("police",P78)),ISNUMBER(SEARCH("detention",P78)),ISNUMBER(SEARCH("civil rights",P78)),ISNUMBER(SEARCH("justice",P78))),"Civil rights &amp; justice",IF(OR(ISNUMBER(SEARCH("road",P78)),ISNUMBER(SEARCH("utility",P78)),ISNUMBER(SEARCH("infrastructure",P78)),ISNUMBER(SEARCH("public service",P78))),"Infrastructure &amp; public services","Other"))))))))))))</x:f>
      </x:c>
      <x:c r="J78" s="16" t="str">
        <x:f>IF(A78="","",IF(OR(ISNUMBER(SEARCH("fatal",Q78)),ISNUMBER(SEARCH("death",Q78)),ISNUMBER(SEARCH("riot",Q78)),ISNUMBER(SEARCH("curfew",Q78)),ISNUMBER(SEARCH("internet shutdown",Q78))),5,MIN(4,1+IF(H78&gt;=7,1,0)+IF(OR(ISNUMBER(SEARCH("hunger strike",Q78)),ISNUMBER(SEARCH("blockade",Q78)),ISNUMBER(SEARCH("strike",Q78)),ISNUMBER(SEARCH("jal satyagraha",Q78)),ISNUMBER(SEARCH("survey",Q78)),ISNUMBER(SEARCH("human chain",Q78)),ISNUMBER(SEARCH("march",Q78))),1,0)+IF(OR(ISNUMBER(SEARCH("fir",Q78)),ISNUMBER(SEARCH("confrontation",Q78)),ISNUMBER(SEARCH("violence",Q78)),ISNUMBER(SEARCH("detention",Q78)),ISNUMBER(SEARCH("arrest",Q78)),ISNUMBER(SEARCH("demolition",Q78)),ISNUMBER(SEARCH("injury",Q78))),1,0)+IF(OR(D78="Ongoing",D78="Unresolved"),1,0))))</x:f>
      </x:c>
      <x:c r="K78" s="16" t="str">
        <x:f>IF(J78="","",IF(J78=1,"Limited",IF(J78=2,"Local",IF(J78=3,"Significant",IF(J78=4,"High","Critical")))))</x:f>
      </x:c>
      <x:c r="L78" s="16" t="str">
        <x:f>IF(A78="","",Events!U77)</x:f>
      </x:c>
      <x:c r="M78" s="16" t="str">
        <x:f>IF(A78="","",Events!V77)</x:f>
      </x:c>
      <x:c r="N78" s="16" t="str">
        <x:f>IF(A78="","",Events!Q77)</x:f>
      </x:c>
      <x:c r="O78" s="16" t="str">
        <x:f>IF(A78="","",Events!R77)</x:f>
      </x:c>
      <x:c r="P78" s="16" t="str">
        <x:f>IF(A78="","",LOWER(Events!B77&amp;" "&amp;Events!D77&amp;" "&amp;Events!K77))</x:f>
      </x:c>
      <x:c r="Q78" s="16" t="str">
        <x:f>IF(A78="","",LOWER(Events!C77&amp;" "&amp;Events!K77&amp;" "&amp;Events!T77))</x:f>
      </x:c>
      <x:c r="R78" s="16" t="str">
        <x:f>IF(A78="","",IF(ISNUMBER(SEARCH("Occurrence verified",E78)),"Occurrence verified",E78))</x:f>
      </x:c>
      <x:c r="S78" s="79" t="str">
        <x:f>IF(A78="","",Events!X77)</x:f>
      </x:c>
      <x:c r="T78" t="str">
        <x:f>IF($A$13="","",$A$13)</x:f>
        <x:v>IO-CM-UP-0001</x:v>
      </x:c>
      <x:c r="U78" t="n">
        <x:f>IF($A$13="","",$J$13)</x:f>
        <x:v>4</x:v>
      </x:c>
      <x:c r="V78" t="n">
        <x:f>IF($A$13="","",$L$13)</x:f>
        <x:v>8</x:v>
      </x:c>
      <x:c r="W78" t="n">
        <x:f>IF($A$13="","",$M$13)</x:f>
        <x:v>4</x:v>
      </x:c>
      <x:c r="Z78" s="79" t="str">
        <x:f>IF(A78="","",Events!AD77)</x:f>
      </x:c>
      <x:c r="AA78" s="79" t="str">
        <x:f>IF(A78="","",Events!AE77)</x:f>
      </x:c>
    </x:row>
    <x:row r="79">
      <x:c r="A79" s="16" t="str">
        <x:f>IF(Events!A78="","",Events!A78)</x:f>
      </x:c>
      <x:c r="B79" s="16" t="str">
        <x:f>IF(A79="","",Events!B78)</x:f>
      </x:c>
      <x:c r="C79" s="16" t="str">
        <x:f>IF(A79="","",Events!E78)</x:f>
      </x:c>
      <x:c r="D79" s="16" t="str">
        <x:f>IF(A79="","",Events!J78)</x:f>
      </x:c>
      <x:c r="E79" s="16" t="str">
        <x:f>IF(A79="","",Events!N78)</x:f>
      </x:c>
      <x:c r="F79" s="109" t="str">
        <x:f>IF(OR(A79="",Events!H78=""),"",Events!H78)</x:f>
      </x:c>
      <x:c r="G79" s="109" t="str">
        <x:f>IF(A79="","",IF(Events!I78&lt;&gt;"",Events!I78,IF(Events!S78&lt;&gt;"",Events!S78,"")))</x:f>
      </x:c>
      <x:c r="H79" s="16" t="str">
        <x:f>IF(A79="","",Events!W78)</x:f>
      </x:c>
      <x:c r="I79" s="16" t="str">
        <x:f>IF(A79="","",IF(Events!Y78&lt;&gt;"",Events!Y78,IF(OR(ISNUMBER(SEARCH("education",P79)),ISNUMBER(SEARCH("exam",P79)),ISNUMBER(SEARCH("school",P79))),"Education",IF(OR(ISNUMBER(SEARCH("trade agreement",P79)),ISNUMBER(SEARCH("economic",P79)),ISNUMBER(SEARCH("import",P79))),"Trade &amp; economic policy",IF(OR(ISNUMBER(SEARCH("land acquisition",P79)),ISNUMBER(SEARCH("rehabilitation",P79)),ISNUMBER(SEARCH("displacement",P79)),ISNUMBER(SEARCH("township",P79))),"Land &amp; rehabilitation",IF(OR(ISNUMBER(SEARCH("forest",P79)),ISNUMBER(SEARCH("environment",P79)),ISNUMBER(SEARCH("ecological",P79)),ISNUMBER(SEARCH("biodiversity",P79)),ISNUMBER(SEARCH("green cover",P79))),"Environment",IF(OR(ISNUMBER(SEARCH("irrigation",P79)),ISNUMBER(SEARCH("water",P79)),ISNUMBER(SEARCH("crop",P79)),ISNUMBER(SEARCH("farmer",P79)),ISNUMBER(SEARCH("agriculture",P79))),"Agriculture &amp; water",IF(OR(ISNUMBER(SEARCH("health",P79)),ISNUMBER(SEARCH("hospital",P79)),ISNUMBER(SEARCH("medicine",P79))),"Public health",IF(OR(ISNUMBER(SEARCH("employee",P79)),ISNUMBER(SEARCH("labour",P79)),ISNUMBER(SEARCH("worker",P79)),ISNUMBER(SEARCH("salary",P79))),"Labour &amp; employment",IF(OR(ISNUMBER(SEARCH("rti",P79)),ISNUMBER(SEARCH("transparency",P79)),ISNUMBER(SEARCH("corruption",P79)),ISNUMBER(SEARCH("governance",P79))),"Governance &amp; transparency",IF(OR(ISNUMBER(SEARCH("police",P79)),ISNUMBER(SEARCH("detention",P79)),ISNUMBER(SEARCH("civil rights",P79)),ISNUMBER(SEARCH("justice",P79))),"Civil rights &amp; justice",IF(OR(ISNUMBER(SEARCH("road",P79)),ISNUMBER(SEARCH("utility",P79)),ISNUMBER(SEARCH("infrastructure",P79)),ISNUMBER(SEARCH("public service",P79))),"Infrastructure &amp; public services","Other"))))))))))))</x:f>
      </x:c>
      <x:c r="J79" s="16" t="str">
        <x:f>IF(A79="","",IF(OR(ISNUMBER(SEARCH("fatal",Q79)),ISNUMBER(SEARCH("death",Q79)),ISNUMBER(SEARCH("riot",Q79)),ISNUMBER(SEARCH("curfew",Q79)),ISNUMBER(SEARCH("internet shutdown",Q79))),5,MIN(4,1+IF(H79&gt;=7,1,0)+IF(OR(ISNUMBER(SEARCH("hunger strike",Q79)),ISNUMBER(SEARCH("blockade",Q79)),ISNUMBER(SEARCH("strike",Q79)),ISNUMBER(SEARCH("jal satyagraha",Q79)),ISNUMBER(SEARCH("survey",Q79)),ISNUMBER(SEARCH("human chain",Q79)),ISNUMBER(SEARCH("march",Q79))),1,0)+IF(OR(ISNUMBER(SEARCH("fir",Q79)),ISNUMBER(SEARCH("confrontation",Q79)),ISNUMBER(SEARCH("violence",Q79)),ISNUMBER(SEARCH("detention",Q79)),ISNUMBER(SEARCH("arrest",Q79)),ISNUMBER(SEARCH("demolition",Q79)),ISNUMBER(SEARCH("injury",Q79))),1,0)+IF(OR(D79="Ongoing",D79="Unresolved"),1,0))))</x:f>
      </x:c>
      <x:c r="K79" s="16" t="str">
        <x:f>IF(J79="","",IF(J79=1,"Limited",IF(J79=2,"Local",IF(J79=3,"Significant",IF(J79=4,"High","Critical")))))</x:f>
      </x:c>
      <x:c r="L79" s="16" t="str">
        <x:f>IF(A79="","",Events!U78)</x:f>
      </x:c>
      <x:c r="M79" s="16" t="str">
        <x:f>IF(A79="","",Events!V78)</x:f>
      </x:c>
      <x:c r="N79" s="16" t="str">
        <x:f>IF(A79="","",Events!Q78)</x:f>
      </x:c>
      <x:c r="O79" s="16" t="str">
        <x:f>IF(A79="","",Events!R78)</x:f>
      </x:c>
      <x:c r="P79" s="16" t="str">
        <x:f>IF(A79="","",LOWER(Events!B78&amp;" "&amp;Events!D78&amp;" "&amp;Events!K78))</x:f>
      </x:c>
      <x:c r="Q79" s="16" t="str">
        <x:f>IF(A79="","",LOWER(Events!C78&amp;" "&amp;Events!K78&amp;" "&amp;Events!T78))</x:f>
      </x:c>
      <x:c r="R79" s="16" t="str">
        <x:f>IF(A79="","",IF(ISNUMBER(SEARCH("Occurrence verified",E79)),"Occurrence verified",E79))</x:f>
      </x:c>
      <x:c r="S79" s="79" t="str">
        <x:f>IF(A79="","",Events!X78)</x:f>
      </x:c>
      <x:c r="T79" t="str">
        <x:f>IF($A$14="","",$A$14)</x:f>
        <x:v>IO-CM-AS-0001</x:v>
      </x:c>
      <x:c r="U79" t="n">
        <x:f>IF($A$14="","",$J$14)</x:f>
        <x:v>1</x:v>
      </x:c>
      <x:c r="V79" t="n">
        <x:f>IF($A$14="","",$L$14)</x:f>
        <x:v>7</x:v>
      </x:c>
      <x:c r="W79" t="n">
        <x:f>IF($A$14="","",$M$14)</x:f>
        <x:v>3</x:v>
      </x:c>
      <x:c r="Z79" s="79" t="str">
        <x:f>IF(A79="","",Events!AD78)</x:f>
      </x:c>
      <x:c r="AA79" s="79" t="str">
        <x:f>IF(A79="","",Events!AE78)</x:f>
      </x:c>
    </x:row>
    <x:row r="80">
      <x:c r="A80" s="16" t="str">
        <x:f>IF(Events!A79="","",Events!A79)</x:f>
      </x:c>
      <x:c r="B80" s="16" t="str">
        <x:f>IF(A80="","",Events!B79)</x:f>
      </x:c>
      <x:c r="C80" s="16" t="str">
        <x:f>IF(A80="","",Events!E79)</x:f>
      </x:c>
      <x:c r="D80" s="16" t="str">
        <x:f>IF(A80="","",Events!J79)</x:f>
      </x:c>
      <x:c r="E80" s="16" t="str">
        <x:f>IF(A80="","",Events!N79)</x:f>
      </x:c>
      <x:c r="F80" s="109" t="str">
        <x:f>IF(OR(A80="",Events!H79=""),"",Events!H79)</x:f>
      </x:c>
      <x:c r="G80" s="109" t="str">
        <x:f>IF(A80="","",IF(Events!I79&lt;&gt;"",Events!I79,IF(Events!S79&lt;&gt;"",Events!S79,"")))</x:f>
      </x:c>
      <x:c r="H80" s="16" t="str">
        <x:f>IF(A80="","",Events!W79)</x:f>
      </x:c>
      <x:c r="I80" s="16" t="str">
        <x:f>IF(A80="","",IF(Events!Y79&lt;&gt;"",Events!Y79,IF(OR(ISNUMBER(SEARCH("education",P80)),ISNUMBER(SEARCH("exam",P80)),ISNUMBER(SEARCH("school",P80))),"Education",IF(OR(ISNUMBER(SEARCH("trade agreement",P80)),ISNUMBER(SEARCH("economic",P80)),ISNUMBER(SEARCH("import",P80))),"Trade &amp; economic policy",IF(OR(ISNUMBER(SEARCH("land acquisition",P80)),ISNUMBER(SEARCH("rehabilitation",P80)),ISNUMBER(SEARCH("displacement",P80)),ISNUMBER(SEARCH("township",P80))),"Land &amp; rehabilitation",IF(OR(ISNUMBER(SEARCH("forest",P80)),ISNUMBER(SEARCH("environment",P80)),ISNUMBER(SEARCH("ecological",P80)),ISNUMBER(SEARCH("biodiversity",P80)),ISNUMBER(SEARCH("green cover",P80))),"Environment",IF(OR(ISNUMBER(SEARCH("irrigation",P80)),ISNUMBER(SEARCH("water",P80)),ISNUMBER(SEARCH("crop",P80)),ISNUMBER(SEARCH("farmer",P80)),ISNUMBER(SEARCH("agriculture",P80))),"Agriculture &amp; water",IF(OR(ISNUMBER(SEARCH("health",P80)),ISNUMBER(SEARCH("hospital",P80)),ISNUMBER(SEARCH("medicine",P80))),"Public health",IF(OR(ISNUMBER(SEARCH("employee",P80)),ISNUMBER(SEARCH("labour",P80)),ISNUMBER(SEARCH("worker",P80)),ISNUMBER(SEARCH("salary",P80))),"Labour &amp; employment",IF(OR(ISNUMBER(SEARCH("rti",P80)),ISNUMBER(SEARCH("transparency",P80)),ISNUMBER(SEARCH("corruption",P80)),ISNUMBER(SEARCH("governance",P80))),"Governance &amp; transparency",IF(OR(ISNUMBER(SEARCH("police",P80)),ISNUMBER(SEARCH("detention",P80)),ISNUMBER(SEARCH("civil rights",P80)),ISNUMBER(SEARCH("justice",P80))),"Civil rights &amp; justice",IF(OR(ISNUMBER(SEARCH("road",P80)),ISNUMBER(SEARCH("utility",P80)),ISNUMBER(SEARCH("infrastructure",P80)),ISNUMBER(SEARCH("public service",P80))),"Infrastructure &amp; public services","Other"))))))))))))</x:f>
      </x:c>
      <x:c r="J80" s="16" t="str">
        <x:f>IF(A80="","",IF(OR(ISNUMBER(SEARCH("fatal",Q80)),ISNUMBER(SEARCH("death",Q80)),ISNUMBER(SEARCH("riot",Q80)),ISNUMBER(SEARCH("curfew",Q80)),ISNUMBER(SEARCH("internet shutdown",Q80))),5,MIN(4,1+IF(H80&gt;=7,1,0)+IF(OR(ISNUMBER(SEARCH("hunger strike",Q80)),ISNUMBER(SEARCH("blockade",Q80)),ISNUMBER(SEARCH("strike",Q80)),ISNUMBER(SEARCH("jal satyagraha",Q80)),ISNUMBER(SEARCH("survey",Q80)),ISNUMBER(SEARCH("human chain",Q80)),ISNUMBER(SEARCH("march",Q80))),1,0)+IF(OR(ISNUMBER(SEARCH("fir",Q80)),ISNUMBER(SEARCH("confrontation",Q80)),ISNUMBER(SEARCH("violence",Q80)),ISNUMBER(SEARCH("detention",Q80)),ISNUMBER(SEARCH("arrest",Q80)),ISNUMBER(SEARCH("demolition",Q80)),ISNUMBER(SEARCH("injury",Q80))),1,0)+IF(OR(D80="Ongoing",D80="Unresolved"),1,0))))</x:f>
      </x:c>
      <x:c r="K80" s="16" t="str">
        <x:f>IF(J80="","",IF(J80=1,"Limited",IF(J80=2,"Local",IF(J80=3,"Significant",IF(J80=4,"High","Critical")))))</x:f>
      </x:c>
      <x:c r="L80" s="16" t="str">
        <x:f>IF(A80="","",Events!U79)</x:f>
      </x:c>
      <x:c r="M80" s="16" t="str">
        <x:f>IF(A80="","",Events!V79)</x:f>
      </x:c>
      <x:c r="N80" s="16" t="str">
        <x:f>IF(A80="","",Events!Q79)</x:f>
      </x:c>
      <x:c r="O80" s="16" t="str">
        <x:f>IF(A80="","",Events!R79)</x:f>
      </x:c>
      <x:c r="P80" s="16" t="str">
        <x:f>IF(A80="","",LOWER(Events!B79&amp;" "&amp;Events!D79&amp;" "&amp;Events!K79))</x:f>
      </x:c>
      <x:c r="Q80" s="16" t="str">
        <x:f>IF(A80="","",LOWER(Events!C79&amp;" "&amp;Events!K79&amp;" "&amp;Events!T79))</x:f>
      </x:c>
      <x:c r="R80" s="16" t="str">
        <x:f>IF(A80="","",IF(ISNUMBER(SEARCH("Occurrence verified",E80)),"Occurrence verified",E80))</x:f>
      </x:c>
      <x:c r="S80" s="79" t="str">
        <x:f>IF(A80="","",Events!X79)</x:f>
      </x:c>
      <x:c r="T80" t="str">
        <x:f>IF($A$15="","",$A$15)</x:f>
        <x:v>IO-CM-MN-0001</x:v>
      </x:c>
      <x:c r="U80" t="n">
        <x:f>IF($A$15="","",$J$15)</x:f>
        <x:v>4</x:v>
      </x:c>
      <x:c r="V80" t="n">
        <x:f>IF($A$15="","",$L$15)</x:f>
        <x:v>8</x:v>
      </x:c>
      <x:c r="W80" t="n">
        <x:f>IF($A$15="","",$M$15)</x:f>
        <x:v>5</x:v>
      </x:c>
      <x:c r="Z80" s="79" t="str">
        <x:f>IF(A80="","",Events!AD79)</x:f>
      </x:c>
      <x:c r="AA80" s="79" t="str">
        <x:f>IF(A80="","",Events!AE79)</x:f>
      </x:c>
    </x:row>
    <x:row r="81">
      <x:c r="A81" s="16" t="str">
        <x:f>IF(Events!A80="","",Events!A80)</x:f>
      </x:c>
      <x:c r="B81" s="16" t="str">
        <x:f>IF(A81="","",Events!B80)</x:f>
      </x:c>
      <x:c r="C81" s="16" t="str">
        <x:f>IF(A81="","",Events!E80)</x:f>
      </x:c>
      <x:c r="D81" s="16" t="str">
        <x:f>IF(A81="","",Events!J80)</x:f>
      </x:c>
      <x:c r="E81" s="16" t="str">
        <x:f>IF(A81="","",Events!N80)</x:f>
      </x:c>
      <x:c r="F81" s="109" t="str">
        <x:f>IF(OR(A81="",Events!H80=""),"",Events!H80)</x:f>
      </x:c>
      <x:c r="G81" s="109" t="str">
        <x:f>IF(A81="","",IF(Events!I80&lt;&gt;"",Events!I80,IF(Events!S80&lt;&gt;"",Events!S80,"")))</x:f>
      </x:c>
      <x:c r="H81" s="16" t="str">
        <x:f>IF(A81="","",Events!W80)</x:f>
      </x:c>
      <x:c r="I81" s="16" t="str">
        <x:f>IF(A81="","",IF(Events!Y80&lt;&gt;"",Events!Y80,IF(OR(ISNUMBER(SEARCH("education",P81)),ISNUMBER(SEARCH("exam",P81)),ISNUMBER(SEARCH("school",P81))),"Education",IF(OR(ISNUMBER(SEARCH("trade agreement",P81)),ISNUMBER(SEARCH("economic",P81)),ISNUMBER(SEARCH("import",P81))),"Trade &amp; economic policy",IF(OR(ISNUMBER(SEARCH("land acquisition",P81)),ISNUMBER(SEARCH("rehabilitation",P81)),ISNUMBER(SEARCH("displacement",P81)),ISNUMBER(SEARCH("township",P81))),"Land &amp; rehabilitation",IF(OR(ISNUMBER(SEARCH("forest",P81)),ISNUMBER(SEARCH("environment",P81)),ISNUMBER(SEARCH("ecological",P81)),ISNUMBER(SEARCH("biodiversity",P81)),ISNUMBER(SEARCH("green cover",P81))),"Environment",IF(OR(ISNUMBER(SEARCH("irrigation",P81)),ISNUMBER(SEARCH("water",P81)),ISNUMBER(SEARCH("crop",P81)),ISNUMBER(SEARCH("farmer",P81)),ISNUMBER(SEARCH("agriculture",P81))),"Agriculture &amp; water",IF(OR(ISNUMBER(SEARCH("health",P81)),ISNUMBER(SEARCH("hospital",P81)),ISNUMBER(SEARCH("medicine",P81))),"Public health",IF(OR(ISNUMBER(SEARCH("employee",P81)),ISNUMBER(SEARCH("labour",P81)),ISNUMBER(SEARCH("worker",P81)),ISNUMBER(SEARCH("salary",P81))),"Labour &amp; employment",IF(OR(ISNUMBER(SEARCH("rti",P81)),ISNUMBER(SEARCH("transparency",P81)),ISNUMBER(SEARCH("corruption",P81)),ISNUMBER(SEARCH("governance",P81))),"Governance &amp; transparency",IF(OR(ISNUMBER(SEARCH("police",P81)),ISNUMBER(SEARCH("detention",P81)),ISNUMBER(SEARCH("civil rights",P81)),ISNUMBER(SEARCH("justice",P81))),"Civil rights &amp; justice",IF(OR(ISNUMBER(SEARCH("road",P81)),ISNUMBER(SEARCH("utility",P81)),ISNUMBER(SEARCH("infrastructure",P81)),ISNUMBER(SEARCH("public service",P81))),"Infrastructure &amp; public services","Other"))))))))))))</x:f>
      </x:c>
      <x:c r="J81" s="16" t="str">
        <x:f>IF(A81="","",IF(OR(ISNUMBER(SEARCH("fatal",Q81)),ISNUMBER(SEARCH("death",Q81)),ISNUMBER(SEARCH("riot",Q81)),ISNUMBER(SEARCH("curfew",Q81)),ISNUMBER(SEARCH("internet shutdown",Q81))),5,MIN(4,1+IF(H81&gt;=7,1,0)+IF(OR(ISNUMBER(SEARCH("hunger strike",Q81)),ISNUMBER(SEARCH("blockade",Q81)),ISNUMBER(SEARCH("strike",Q81)),ISNUMBER(SEARCH("jal satyagraha",Q81)),ISNUMBER(SEARCH("survey",Q81)),ISNUMBER(SEARCH("human chain",Q81)),ISNUMBER(SEARCH("march",Q81))),1,0)+IF(OR(ISNUMBER(SEARCH("fir",Q81)),ISNUMBER(SEARCH("confrontation",Q81)),ISNUMBER(SEARCH("violence",Q81)),ISNUMBER(SEARCH("detention",Q81)),ISNUMBER(SEARCH("arrest",Q81)),ISNUMBER(SEARCH("demolition",Q81)),ISNUMBER(SEARCH("injury",Q81))),1,0)+IF(OR(D81="Ongoing",D81="Unresolved"),1,0))))</x:f>
      </x:c>
      <x:c r="K81" s="16" t="str">
        <x:f>IF(J81="","",IF(J81=1,"Limited",IF(J81=2,"Local",IF(J81=3,"Significant",IF(J81=4,"High","Critical")))))</x:f>
      </x:c>
      <x:c r="L81" s="16" t="str">
        <x:f>IF(A81="","",Events!U80)</x:f>
      </x:c>
      <x:c r="M81" s="16" t="str">
        <x:f>IF(A81="","",Events!V80)</x:f>
      </x:c>
      <x:c r="N81" s="16" t="str">
        <x:f>IF(A81="","",Events!Q80)</x:f>
      </x:c>
      <x:c r="O81" s="16" t="str">
        <x:f>IF(A81="","",Events!R80)</x:f>
      </x:c>
      <x:c r="P81" s="16" t="str">
        <x:f>IF(A81="","",LOWER(Events!B80&amp;" "&amp;Events!D80&amp;" "&amp;Events!K80))</x:f>
      </x:c>
      <x:c r="Q81" s="16" t="str">
        <x:f>IF(A81="","",LOWER(Events!C80&amp;" "&amp;Events!K80&amp;" "&amp;Events!T80))</x:f>
      </x:c>
      <x:c r="R81" s="16" t="str">
        <x:f>IF(A81="","",IF(ISNUMBER(SEARCH("Occurrence verified",E81)),"Occurrence verified",E81))</x:f>
      </x:c>
      <x:c r="S81" s="79" t="str">
        <x:f>IF(A81="","",Events!X80)</x:f>
      </x:c>
      <x:c r="T81" t="str">
        <x:f>IF($A$16="","",$A$16)</x:f>
        <x:v>IO-CM-OD-0001</x:v>
      </x:c>
      <x:c r="U81" t="n">
        <x:f>IF($A$16="","",$J$16)</x:f>
        <x:v>1</x:v>
      </x:c>
      <x:c r="V81" t="n">
        <x:f>IF($A$16="","",$L$16)</x:f>
        <x:v>7</x:v>
      </x:c>
      <x:c r="W81" t="n">
        <x:f>IF($A$16="","",$M$16)</x:f>
        <x:v>2</x:v>
      </x:c>
      <x:c r="Z81" s="79" t="str">
        <x:f>IF(A81="","",Events!AD80)</x:f>
      </x:c>
      <x:c r="AA81" s="79" t="str">
        <x:f>IF(A81="","",Events!AE80)</x:f>
      </x:c>
    </x:row>
    <x:row r="82">
      <x:c r="A82" s="16" t="str">
        <x:f>IF(Events!A81="","",Events!A81)</x:f>
      </x:c>
      <x:c r="B82" s="16" t="str">
        <x:f>IF(A82="","",Events!B81)</x:f>
      </x:c>
      <x:c r="C82" s="16" t="str">
        <x:f>IF(A82="","",Events!E81)</x:f>
      </x:c>
      <x:c r="D82" s="16" t="str">
        <x:f>IF(A82="","",Events!J81)</x:f>
      </x:c>
      <x:c r="E82" s="16" t="str">
        <x:f>IF(A82="","",Events!N81)</x:f>
      </x:c>
      <x:c r="F82" s="109" t="str">
        <x:f>IF(OR(A82="",Events!H81=""),"",Events!H81)</x:f>
      </x:c>
      <x:c r="G82" s="109" t="str">
        <x:f>IF(A82="","",IF(Events!I81&lt;&gt;"",Events!I81,IF(Events!S81&lt;&gt;"",Events!S81,"")))</x:f>
      </x:c>
      <x:c r="H82" s="16" t="str">
        <x:f>IF(A82="","",Events!W81)</x:f>
      </x:c>
      <x:c r="I82" s="16" t="str">
        <x:f>IF(A82="","",IF(Events!Y81&lt;&gt;"",Events!Y81,IF(OR(ISNUMBER(SEARCH("education",P82)),ISNUMBER(SEARCH("exam",P82)),ISNUMBER(SEARCH("school",P82))),"Education",IF(OR(ISNUMBER(SEARCH("trade agreement",P82)),ISNUMBER(SEARCH("economic",P82)),ISNUMBER(SEARCH("import",P82))),"Trade &amp; economic policy",IF(OR(ISNUMBER(SEARCH("land acquisition",P82)),ISNUMBER(SEARCH("rehabilitation",P82)),ISNUMBER(SEARCH("displacement",P82)),ISNUMBER(SEARCH("township",P82))),"Land &amp; rehabilitation",IF(OR(ISNUMBER(SEARCH("forest",P82)),ISNUMBER(SEARCH("environment",P82)),ISNUMBER(SEARCH("ecological",P82)),ISNUMBER(SEARCH("biodiversity",P82)),ISNUMBER(SEARCH("green cover",P82))),"Environment",IF(OR(ISNUMBER(SEARCH("irrigation",P82)),ISNUMBER(SEARCH("water",P82)),ISNUMBER(SEARCH("crop",P82)),ISNUMBER(SEARCH("farmer",P82)),ISNUMBER(SEARCH("agriculture",P82))),"Agriculture &amp; water",IF(OR(ISNUMBER(SEARCH("health",P82)),ISNUMBER(SEARCH("hospital",P82)),ISNUMBER(SEARCH("medicine",P82))),"Public health",IF(OR(ISNUMBER(SEARCH("employee",P82)),ISNUMBER(SEARCH("labour",P82)),ISNUMBER(SEARCH("worker",P82)),ISNUMBER(SEARCH("salary",P82))),"Labour &amp; employment",IF(OR(ISNUMBER(SEARCH("rti",P82)),ISNUMBER(SEARCH("transparency",P82)),ISNUMBER(SEARCH("corruption",P82)),ISNUMBER(SEARCH("governance",P82))),"Governance &amp; transparency",IF(OR(ISNUMBER(SEARCH("police",P82)),ISNUMBER(SEARCH("detention",P82)),ISNUMBER(SEARCH("civil rights",P82)),ISNUMBER(SEARCH("justice",P82))),"Civil rights &amp; justice",IF(OR(ISNUMBER(SEARCH("road",P82)),ISNUMBER(SEARCH("utility",P82)),ISNUMBER(SEARCH("infrastructure",P82)),ISNUMBER(SEARCH("public service",P82))),"Infrastructure &amp; public services","Other"))))))))))))</x:f>
      </x:c>
      <x:c r="J82" s="16" t="str">
        <x:f>IF(A82="","",IF(OR(ISNUMBER(SEARCH("fatal",Q82)),ISNUMBER(SEARCH("death",Q82)),ISNUMBER(SEARCH("riot",Q82)),ISNUMBER(SEARCH("curfew",Q82)),ISNUMBER(SEARCH("internet shutdown",Q82))),5,MIN(4,1+IF(H82&gt;=7,1,0)+IF(OR(ISNUMBER(SEARCH("hunger strike",Q82)),ISNUMBER(SEARCH("blockade",Q82)),ISNUMBER(SEARCH("strike",Q82)),ISNUMBER(SEARCH("jal satyagraha",Q82)),ISNUMBER(SEARCH("survey",Q82)),ISNUMBER(SEARCH("human chain",Q82)),ISNUMBER(SEARCH("march",Q82))),1,0)+IF(OR(ISNUMBER(SEARCH("fir",Q82)),ISNUMBER(SEARCH("confrontation",Q82)),ISNUMBER(SEARCH("violence",Q82)),ISNUMBER(SEARCH("detention",Q82)),ISNUMBER(SEARCH("arrest",Q82)),ISNUMBER(SEARCH("demolition",Q82)),ISNUMBER(SEARCH("injury",Q82))),1,0)+IF(OR(D82="Ongoing",D82="Unresolved"),1,0))))</x:f>
      </x:c>
      <x:c r="K82" s="16" t="str">
        <x:f>IF(J82="","",IF(J82=1,"Limited",IF(J82=2,"Local",IF(J82=3,"Significant",IF(J82=4,"High","Critical")))))</x:f>
      </x:c>
      <x:c r="L82" s="16" t="str">
        <x:f>IF(A82="","",Events!U81)</x:f>
      </x:c>
      <x:c r="M82" s="16" t="str">
        <x:f>IF(A82="","",Events!V81)</x:f>
      </x:c>
      <x:c r="N82" s="16" t="str">
        <x:f>IF(A82="","",Events!Q81)</x:f>
      </x:c>
      <x:c r="O82" s="16" t="str">
        <x:f>IF(A82="","",Events!R81)</x:f>
      </x:c>
      <x:c r="P82" s="16" t="str">
        <x:f>IF(A82="","",LOWER(Events!B81&amp;" "&amp;Events!D81&amp;" "&amp;Events!K81))</x:f>
      </x:c>
      <x:c r="Q82" s="16" t="str">
        <x:f>IF(A82="","",LOWER(Events!C81&amp;" "&amp;Events!K81&amp;" "&amp;Events!T81))</x:f>
      </x:c>
      <x:c r="R82" s="16" t="str">
        <x:f>IF(A82="","",IF(ISNUMBER(SEARCH("Occurrence verified",E82)),"Occurrence verified",E82))</x:f>
      </x:c>
      <x:c r="S82" s="79" t="str">
        <x:f>IF(A82="","",Events!X81)</x:f>
      </x:c>
      <x:c r="T82" t="str">
        <x:f>IF($A$17="","",$A$17)</x:f>
      </x:c>
      <x:c r="U82" t="str">
        <x:f>IF($A$17="","",$J$17)</x:f>
      </x:c>
      <x:c r="V82" t="str">
        <x:f>IF($A$17="","",$L$17)</x:f>
      </x:c>
      <x:c r="W82" t="str">
        <x:f>IF($A$17="","",$M$17)</x:f>
      </x:c>
      <x:c r="Z82" s="79" t="str">
        <x:f>IF(A82="","",Events!AD81)</x:f>
      </x:c>
      <x:c r="AA82" s="79" t="str">
        <x:f>IF(A82="","",Events!AE81)</x:f>
      </x:c>
    </x:row>
    <x:row r="83">
      <x:c r="A83" s="16" t="str">
        <x:f>IF(Events!A82="","",Events!A82)</x:f>
      </x:c>
      <x:c r="B83" s="16" t="str">
        <x:f>IF(A83="","",Events!B82)</x:f>
      </x:c>
      <x:c r="C83" s="16" t="str">
        <x:f>IF(A83="","",Events!E82)</x:f>
      </x:c>
      <x:c r="D83" s="16" t="str">
        <x:f>IF(A83="","",Events!J82)</x:f>
      </x:c>
      <x:c r="E83" s="16" t="str">
        <x:f>IF(A83="","",Events!N82)</x:f>
      </x:c>
      <x:c r="F83" s="109" t="str">
        <x:f>IF(OR(A83="",Events!H82=""),"",Events!H82)</x:f>
      </x:c>
      <x:c r="G83" s="109" t="str">
        <x:f>IF(A83="","",IF(Events!I82&lt;&gt;"",Events!I82,IF(Events!S82&lt;&gt;"",Events!S82,"")))</x:f>
      </x:c>
      <x:c r="H83" s="16" t="str">
        <x:f>IF(A83="","",Events!W82)</x:f>
      </x:c>
      <x:c r="I83" s="16" t="str">
        <x:f>IF(A83="","",IF(Events!Y82&lt;&gt;"",Events!Y82,IF(OR(ISNUMBER(SEARCH("education",P83)),ISNUMBER(SEARCH("exam",P83)),ISNUMBER(SEARCH("school",P83))),"Education",IF(OR(ISNUMBER(SEARCH("trade agreement",P83)),ISNUMBER(SEARCH("economic",P83)),ISNUMBER(SEARCH("import",P83))),"Trade &amp; economic policy",IF(OR(ISNUMBER(SEARCH("land acquisition",P83)),ISNUMBER(SEARCH("rehabilitation",P83)),ISNUMBER(SEARCH("displacement",P83)),ISNUMBER(SEARCH("township",P83))),"Land &amp; rehabilitation",IF(OR(ISNUMBER(SEARCH("forest",P83)),ISNUMBER(SEARCH("environment",P83)),ISNUMBER(SEARCH("ecological",P83)),ISNUMBER(SEARCH("biodiversity",P83)),ISNUMBER(SEARCH("green cover",P83))),"Environment",IF(OR(ISNUMBER(SEARCH("irrigation",P83)),ISNUMBER(SEARCH("water",P83)),ISNUMBER(SEARCH("crop",P83)),ISNUMBER(SEARCH("farmer",P83)),ISNUMBER(SEARCH("agriculture",P83))),"Agriculture &amp; water",IF(OR(ISNUMBER(SEARCH("health",P83)),ISNUMBER(SEARCH("hospital",P83)),ISNUMBER(SEARCH("medicine",P83))),"Public health",IF(OR(ISNUMBER(SEARCH("employee",P83)),ISNUMBER(SEARCH("labour",P83)),ISNUMBER(SEARCH("worker",P83)),ISNUMBER(SEARCH("salary",P83))),"Labour &amp; employment",IF(OR(ISNUMBER(SEARCH("rti",P83)),ISNUMBER(SEARCH("transparency",P83)),ISNUMBER(SEARCH("corruption",P83)),ISNUMBER(SEARCH("governance",P83))),"Governance &amp; transparency",IF(OR(ISNUMBER(SEARCH("police",P83)),ISNUMBER(SEARCH("detention",P83)),ISNUMBER(SEARCH("civil rights",P83)),ISNUMBER(SEARCH("justice",P83))),"Civil rights &amp; justice",IF(OR(ISNUMBER(SEARCH("road",P83)),ISNUMBER(SEARCH("utility",P83)),ISNUMBER(SEARCH("infrastructure",P83)),ISNUMBER(SEARCH("public service",P83))),"Infrastructure &amp; public services","Other"))))))))))))</x:f>
      </x:c>
      <x:c r="J83" s="16" t="str">
        <x:f>IF(A83="","",IF(OR(ISNUMBER(SEARCH("fatal",Q83)),ISNUMBER(SEARCH("death",Q83)),ISNUMBER(SEARCH("riot",Q83)),ISNUMBER(SEARCH("curfew",Q83)),ISNUMBER(SEARCH("internet shutdown",Q83))),5,MIN(4,1+IF(H83&gt;=7,1,0)+IF(OR(ISNUMBER(SEARCH("hunger strike",Q83)),ISNUMBER(SEARCH("blockade",Q83)),ISNUMBER(SEARCH("strike",Q83)),ISNUMBER(SEARCH("jal satyagraha",Q83)),ISNUMBER(SEARCH("survey",Q83)),ISNUMBER(SEARCH("human chain",Q83)),ISNUMBER(SEARCH("march",Q83))),1,0)+IF(OR(ISNUMBER(SEARCH("fir",Q83)),ISNUMBER(SEARCH("confrontation",Q83)),ISNUMBER(SEARCH("violence",Q83)),ISNUMBER(SEARCH("detention",Q83)),ISNUMBER(SEARCH("arrest",Q83)),ISNUMBER(SEARCH("demolition",Q83)),ISNUMBER(SEARCH("injury",Q83))),1,0)+IF(OR(D83="Ongoing",D83="Unresolved"),1,0))))</x:f>
      </x:c>
      <x:c r="K83" s="16" t="str">
        <x:f>IF(J83="","",IF(J83=1,"Limited",IF(J83=2,"Local",IF(J83=3,"Significant",IF(J83=4,"High","Critical")))))</x:f>
      </x:c>
      <x:c r="L83" s="16" t="str">
        <x:f>IF(A83="","",Events!U82)</x:f>
      </x:c>
      <x:c r="M83" s="16" t="str">
        <x:f>IF(A83="","",Events!V82)</x:f>
      </x:c>
      <x:c r="N83" s="16" t="str">
        <x:f>IF(A83="","",Events!Q82)</x:f>
      </x:c>
      <x:c r="O83" s="16" t="str">
        <x:f>IF(A83="","",Events!R82)</x:f>
      </x:c>
      <x:c r="P83" s="16" t="str">
        <x:f>IF(A83="","",LOWER(Events!B82&amp;" "&amp;Events!D82&amp;" "&amp;Events!K82))</x:f>
      </x:c>
      <x:c r="Q83" s="16" t="str">
        <x:f>IF(A83="","",LOWER(Events!C82&amp;" "&amp;Events!K82&amp;" "&amp;Events!T82))</x:f>
      </x:c>
      <x:c r="R83" s="16" t="str">
        <x:f>IF(A83="","",IF(ISNUMBER(SEARCH("Occurrence verified",E83)),"Occurrence verified",E83))</x:f>
      </x:c>
      <x:c r="S83" s="79" t="str">
        <x:f>IF(A83="","",Events!X82)</x:f>
      </x:c>
      <x:c r="Z83" s="79" t="str">
        <x:f>IF(A83="","",Events!AD82)</x:f>
      </x:c>
      <x:c r="AA83" s="79" t="str">
        <x:f>IF(A83="","",Events!AE82)</x:f>
      </x:c>
    </x:row>
    <x:row r="84">
      <x:c r="A84" s="16" t="str">
        <x:f>IF(Events!A83="","",Events!A83)</x:f>
      </x:c>
      <x:c r="B84" s="16" t="str">
        <x:f>IF(A84="","",Events!B83)</x:f>
      </x:c>
      <x:c r="C84" s="16" t="str">
        <x:f>IF(A84="","",Events!E83)</x:f>
      </x:c>
      <x:c r="D84" s="16" t="str">
        <x:f>IF(A84="","",Events!J83)</x:f>
      </x:c>
      <x:c r="E84" s="16" t="str">
        <x:f>IF(A84="","",Events!N83)</x:f>
      </x:c>
      <x:c r="F84" s="109" t="str">
        <x:f>IF(OR(A84="",Events!H83=""),"",Events!H83)</x:f>
      </x:c>
      <x:c r="G84" s="109" t="str">
        <x:f>IF(A84="","",IF(Events!I83&lt;&gt;"",Events!I83,IF(Events!S83&lt;&gt;"",Events!S83,"")))</x:f>
      </x:c>
      <x:c r="H84" s="16" t="str">
        <x:f>IF(A84="","",Events!W83)</x:f>
      </x:c>
      <x:c r="I84" s="16" t="str">
        <x:f>IF(A84="","",IF(Events!Y83&lt;&gt;"",Events!Y83,IF(OR(ISNUMBER(SEARCH("education",P84)),ISNUMBER(SEARCH("exam",P84)),ISNUMBER(SEARCH("school",P84))),"Education",IF(OR(ISNUMBER(SEARCH("trade agreement",P84)),ISNUMBER(SEARCH("economic",P84)),ISNUMBER(SEARCH("import",P84))),"Trade &amp; economic policy",IF(OR(ISNUMBER(SEARCH("land acquisition",P84)),ISNUMBER(SEARCH("rehabilitation",P84)),ISNUMBER(SEARCH("displacement",P84)),ISNUMBER(SEARCH("township",P84))),"Land &amp; rehabilitation",IF(OR(ISNUMBER(SEARCH("forest",P84)),ISNUMBER(SEARCH("environment",P84)),ISNUMBER(SEARCH("ecological",P84)),ISNUMBER(SEARCH("biodiversity",P84)),ISNUMBER(SEARCH("green cover",P84))),"Environment",IF(OR(ISNUMBER(SEARCH("irrigation",P84)),ISNUMBER(SEARCH("water",P84)),ISNUMBER(SEARCH("crop",P84)),ISNUMBER(SEARCH("farmer",P84)),ISNUMBER(SEARCH("agriculture",P84))),"Agriculture &amp; water",IF(OR(ISNUMBER(SEARCH("health",P84)),ISNUMBER(SEARCH("hospital",P84)),ISNUMBER(SEARCH("medicine",P84))),"Public health",IF(OR(ISNUMBER(SEARCH("employee",P84)),ISNUMBER(SEARCH("labour",P84)),ISNUMBER(SEARCH("worker",P84)),ISNUMBER(SEARCH("salary",P84))),"Labour &amp; employment",IF(OR(ISNUMBER(SEARCH("rti",P84)),ISNUMBER(SEARCH("transparency",P84)),ISNUMBER(SEARCH("corruption",P84)),ISNUMBER(SEARCH("governance",P84))),"Governance &amp; transparency",IF(OR(ISNUMBER(SEARCH("police",P84)),ISNUMBER(SEARCH("detention",P84)),ISNUMBER(SEARCH("civil rights",P84)),ISNUMBER(SEARCH("justice",P84))),"Civil rights &amp; justice",IF(OR(ISNUMBER(SEARCH("road",P84)),ISNUMBER(SEARCH("utility",P84)),ISNUMBER(SEARCH("infrastructure",P84)),ISNUMBER(SEARCH("public service",P84))),"Infrastructure &amp; public services","Other"))))))))))))</x:f>
      </x:c>
      <x:c r="J84" s="16" t="str">
        <x:f>IF(A84="","",IF(OR(ISNUMBER(SEARCH("fatal",Q84)),ISNUMBER(SEARCH("death",Q84)),ISNUMBER(SEARCH("riot",Q84)),ISNUMBER(SEARCH("curfew",Q84)),ISNUMBER(SEARCH("internet shutdown",Q84))),5,MIN(4,1+IF(H84&gt;=7,1,0)+IF(OR(ISNUMBER(SEARCH("hunger strike",Q84)),ISNUMBER(SEARCH("blockade",Q84)),ISNUMBER(SEARCH("strike",Q84)),ISNUMBER(SEARCH("jal satyagraha",Q84)),ISNUMBER(SEARCH("survey",Q84)),ISNUMBER(SEARCH("human chain",Q84)),ISNUMBER(SEARCH("march",Q84))),1,0)+IF(OR(ISNUMBER(SEARCH("fir",Q84)),ISNUMBER(SEARCH("confrontation",Q84)),ISNUMBER(SEARCH("violence",Q84)),ISNUMBER(SEARCH("detention",Q84)),ISNUMBER(SEARCH("arrest",Q84)),ISNUMBER(SEARCH("demolition",Q84)),ISNUMBER(SEARCH("injury",Q84))),1,0)+IF(OR(D84="Ongoing",D84="Unresolved"),1,0))))</x:f>
      </x:c>
      <x:c r="K84" s="16" t="str">
        <x:f>IF(J84="","",IF(J84=1,"Limited",IF(J84=2,"Local",IF(J84=3,"Significant",IF(J84=4,"High","Critical")))))</x:f>
      </x:c>
      <x:c r="L84" s="16" t="str">
        <x:f>IF(A84="","",Events!U83)</x:f>
      </x:c>
      <x:c r="M84" s="16" t="str">
        <x:f>IF(A84="","",Events!V83)</x:f>
      </x:c>
      <x:c r="N84" s="16" t="str">
        <x:f>IF(A84="","",Events!Q83)</x:f>
      </x:c>
      <x:c r="O84" s="16" t="str">
        <x:f>IF(A84="","",Events!R83)</x:f>
      </x:c>
      <x:c r="P84" s="16" t="str">
        <x:f>IF(A84="","",LOWER(Events!B83&amp;" "&amp;Events!D83&amp;" "&amp;Events!K83))</x:f>
      </x:c>
      <x:c r="Q84" s="16" t="str">
        <x:f>IF(A84="","",LOWER(Events!C83&amp;" "&amp;Events!K83&amp;" "&amp;Events!T83))</x:f>
      </x:c>
      <x:c r="R84" s="16" t="str">
        <x:f>IF(A84="","",IF(ISNUMBER(SEARCH("Occurrence verified",E84)),"Occurrence verified",E84))</x:f>
      </x:c>
      <x:c r="S84" s="79" t="str">
        <x:f>IF(A84="","",Events!X83)</x:f>
      </x:c>
      <x:c r="Z84" s="79" t="str">
        <x:f>IF(A84="","",Events!AD83)</x:f>
      </x:c>
      <x:c r="AA84" s="79" t="str">
        <x:f>IF(A84="","",Events!AE83)</x:f>
      </x:c>
    </x:row>
    <x:row r="85">
      <x:c r="A85" s="16" t="str">
        <x:f>IF(Events!A84="","",Events!A84)</x:f>
      </x:c>
      <x:c r="B85" s="16" t="str">
        <x:f>IF(A85="","",Events!B84)</x:f>
      </x:c>
      <x:c r="C85" s="16" t="str">
        <x:f>IF(A85="","",Events!E84)</x:f>
      </x:c>
      <x:c r="D85" s="16" t="str">
        <x:f>IF(A85="","",Events!J84)</x:f>
      </x:c>
      <x:c r="E85" s="16" t="str">
        <x:f>IF(A85="","",Events!N84)</x:f>
      </x:c>
      <x:c r="F85" s="109" t="str">
        <x:f>IF(OR(A85="",Events!H84=""),"",Events!H84)</x:f>
      </x:c>
      <x:c r="G85" s="109" t="str">
        <x:f>IF(A85="","",IF(Events!I84&lt;&gt;"",Events!I84,IF(Events!S84&lt;&gt;"",Events!S84,"")))</x:f>
      </x:c>
      <x:c r="H85" s="16" t="str">
        <x:f>IF(A85="","",Events!W84)</x:f>
      </x:c>
      <x:c r="I85" s="16" t="str">
        <x:f>IF(A85="","",IF(Events!Y84&lt;&gt;"",Events!Y84,IF(OR(ISNUMBER(SEARCH("education",P85)),ISNUMBER(SEARCH("exam",P85)),ISNUMBER(SEARCH("school",P85))),"Education",IF(OR(ISNUMBER(SEARCH("trade agreement",P85)),ISNUMBER(SEARCH("economic",P85)),ISNUMBER(SEARCH("import",P85))),"Trade &amp; economic policy",IF(OR(ISNUMBER(SEARCH("land acquisition",P85)),ISNUMBER(SEARCH("rehabilitation",P85)),ISNUMBER(SEARCH("displacement",P85)),ISNUMBER(SEARCH("township",P85))),"Land &amp; rehabilitation",IF(OR(ISNUMBER(SEARCH("forest",P85)),ISNUMBER(SEARCH("environment",P85)),ISNUMBER(SEARCH("ecological",P85)),ISNUMBER(SEARCH("biodiversity",P85)),ISNUMBER(SEARCH("green cover",P85))),"Environment",IF(OR(ISNUMBER(SEARCH("irrigation",P85)),ISNUMBER(SEARCH("water",P85)),ISNUMBER(SEARCH("crop",P85)),ISNUMBER(SEARCH("farmer",P85)),ISNUMBER(SEARCH("agriculture",P85))),"Agriculture &amp; water",IF(OR(ISNUMBER(SEARCH("health",P85)),ISNUMBER(SEARCH("hospital",P85)),ISNUMBER(SEARCH("medicine",P85))),"Public health",IF(OR(ISNUMBER(SEARCH("employee",P85)),ISNUMBER(SEARCH("labour",P85)),ISNUMBER(SEARCH("worker",P85)),ISNUMBER(SEARCH("salary",P85))),"Labour &amp; employment",IF(OR(ISNUMBER(SEARCH("rti",P85)),ISNUMBER(SEARCH("transparency",P85)),ISNUMBER(SEARCH("corruption",P85)),ISNUMBER(SEARCH("governance",P85))),"Governance &amp; transparency",IF(OR(ISNUMBER(SEARCH("police",P85)),ISNUMBER(SEARCH("detention",P85)),ISNUMBER(SEARCH("civil rights",P85)),ISNUMBER(SEARCH("justice",P85))),"Civil rights &amp; justice",IF(OR(ISNUMBER(SEARCH("road",P85)),ISNUMBER(SEARCH("utility",P85)),ISNUMBER(SEARCH("infrastructure",P85)),ISNUMBER(SEARCH("public service",P85))),"Infrastructure &amp; public services","Other"))))))))))))</x:f>
      </x:c>
      <x:c r="J85" s="16" t="str">
        <x:f>IF(A85="","",IF(OR(ISNUMBER(SEARCH("fatal",Q85)),ISNUMBER(SEARCH("death",Q85)),ISNUMBER(SEARCH("riot",Q85)),ISNUMBER(SEARCH("curfew",Q85)),ISNUMBER(SEARCH("internet shutdown",Q85))),5,MIN(4,1+IF(H85&gt;=7,1,0)+IF(OR(ISNUMBER(SEARCH("hunger strike",Q85)),ISNUMBER(SEARCH("blockade",Q85)),ISNUMBER(SEARCH("strike",Q85)),ISNUMBER(SEARCH("jal satyagraha",Q85)),ISNUMBER(SEARCH("survey",Q85)),ISNUMBER(SEARCH("human chain",Q85)),ISNUMBER(SEARCH("march",Q85))),1,0)+IF(OR(ISNUMBER(SEARCH("fir",Q85)),ISNUMBER(SEARCH("confrontation",Q85)),ISNUMBER(SEARCH("violence",Q85)),ISNUMBER(SEARCH("detention",Q85)),ISNUMBER(SEARCH("arrest",Q85)),ISNUMBER(SEARCH("demolition",Q85)),ISNUMBER(SEARCH("injury",Q85))),1,0)+IF(OR(D85="Ongoing",D85="Unresolved"),1,0))))</x:f>
      </x:c>
      <x:c r="K85" s="16" t="str">
        <x:f>IF(J85="","",IF(J85=1,"Limited",IF(J85=2,"Local",IF(J85=3,"Significant",IF(J85=4,"High","Critical")))))</x:f>
      </x:c>
      <x:c r="L85" s="16" t="str">
        <x:f>IF(A85="","",Events!U84)</x:f>
      </x:c>
      <x:c r="M85" s="16" t="str">
        <x:f>IF(A85="","",Events!V84)</x:f>
      </x:c>
      <x:c r="N85" s="16" t="str">
        <x:f>IF(A85="","",Events!Q84)</x:f>
      </x:c>
      <x:c r="O85" s="16" t="str">
        <x:f>IF(A85="","",Events!R84)</x:f>
      </x:c>
      <x:c r="P85" s="16" t="str">
        <x:f>IF(A85="","",LOWER(Events!B84&amp;" "&amp;Events!D84&amp;" "&amp;Events!K84))</x:f>
      </x:c>
      <x:c r="Q85" s="16" t="str">
        <x:f>IF(A85="","",LOWER(Events!C84&amp;" "&amp;Events!K84&amp;" "&amp;Events!T84))</x:f>
      </x:c>
      <x:c r="R85" s="16" t="str">
        <x:f>IF(A85="","",IF(ISNUMBER(SEARCH("Occurrence verified",E85)),"Occurrence verified",E85))</x:f>
      </x:c>
      <x:c r="S85" s="79" t="str">
        <x:f>IF(A85="","",Events!X84)</x:f>
      </x:c>
      <x:c r="Z85" s="79" t="str">
        <x:f>IF(A85="","",Events!AD84)</x:f>
      </x:c>
      <x:c r="AA85" s="79" t="str">
        <x:f>IF(A85="","",Events!AE84)</x:f>
      </x:c>
    </x:row>
    <x:row r="86">
      <x:c r="A86" s="16" t="str">
        <x:f>IF(Events!A85="","",Events!A85)</x:f>
      </x:c>
      <x:c r="B86" s="16" t="str">
        <x:f>IF(A86="","",Events!B85)</x:f>
      </x:c>
      <x:c r="C86" s="16" t="str">
        <x:f>IF(A86="","",Events!E85)</x:f>
      </x:c>
      <x:c r="D86" s="16" t="str">
        <x:f>IF(A86="","",Events!J85)</x:f>
      </x:c>
      <x:c r="E86" s="16" t="str">
        <x:f>IF(A86="","",Events!N85)</x:f>
      </x:c>
      <x:c r="F86" s="109" t="str">
        <x:f>IF(OR(A86="",Events!H85=""),"",Events!H85)</x:f>
      </x:c>
      <x:c r="G86" s="109" t="str">
        <x:f>IF(A86="","",IF(Events!I85&lt;&gt;"",Events!I85,IF(Events!S85&lt;&gt;"",Events!S85,"")))</x:f>
      </x:c>
      <x:c r="H86" s="16" t="str">
        <x:f>IF(A86="","",Events!W85)</x:f>
      </x:c>
      <x:c r="I86" s="16" t="str">
        <x:f>IF(A86="","",IF(Events!Y85&lt;&gt;"",Events!Y85,IF(OR(ISNUMBER(SEARCH("education",P86)),ISNUMBER(SEARCH("exam",P86)),ISNUMBER(SEARCH("school",P86))),"Education",IF(OR(ISNUMBER(SEARCH("trade agreement",P86)),ISNUMBER(SEARCH("economic",P86)),ISNUMBER(SEARCH("import",P86))),"Trade &amp; economic policy",IF(OR(ISNUMBER(SEARCH("land acquisition",P86)),ISNUMBER(SEARCH("rehabilitation",P86)),ISNUMBER(SEARCH("displacement",P86)),ISNUMBER(SEARCH("township",P86))),"Land &amp; rehabilitation",IF(OR(ISNUMBER(SEARCH("forest",P86)),ISNUMBER(SEARCH("environment",P86)),ISNUMBER(SEARCH("ecological",P86)),ISNUMBER(SEARCH("biodiversity",P86)),ISNUMBER(SEARCH("green cover",P86))),"Environment",IF(OR(ISNUMBER(SEARCH("irrigation",P86)),ISNUMBER(SEARCH("water",P86)),ISNUMBER(SEARCH("crop",P86)),ISNUMBER(SEARCH("farmer",P86)),ISNUMBER(SEARCH("agriculture",P86))),"Agriculture &amp; water",IF(OR(ISNUMBER(SEARCH("health",P86)),ISNUMBER(SEARCH("hospital",P86)),ISNUMBER(SEARCH("medicine",P86))),"Public health",IF(OR(ISNUMBER(SEARCH("employee",P86)),ISNUMBER(SEARCH("labour",P86)),ISNUMBER(SEARCH("worker",P86)),ISNUMBER(SEARCH("salary",P86))),"Labour &amp; employment",IF(OR(ISNUMBER(SEARCH("rti",P86)),ISNUMBER(SEARCH("transparency",P86)),ISNUMBER(SEARCH("corruption",P86)),ISNUMBER(SEARCH("governance",P86))),"Governance &amp; transparency",IF(OR(ISNUMBER(SEARCH("police",P86)),ISNUMBER(SEARCH("detention",P86)),ISNUMBER(SEARCH("civil rights",P86)),ISNUMBER(SEARCH("justice",P86))),"Civil rights &amp; justice",IF(OR(ISNUMBER(SEARCH("road",P86)),ISNUMBER(SEARCH("utility",P86)),ISNUMBER(SEARCH("infrastructure",P86)),ISNUMBER(SEARCH("public service",P86))),"Infrastructure &amp; public services","Other"))))))))))))</x:f>
      </x:c>
      <x:c r="J86" s="16" t="str">
        <x:f>IF(A86="","",IF(OR(ISNUMBER(SEARCH("fatal",Q86)),ISNUMBER(SEARCH("death",Q86)),ISNUMBER(SEARCH("riot",Q86)),ISNUMBER(SEARCH("curfew",Q86)),ISNUMBER(SEARCH("internet shutdown",Q86))),5,MIN(4,1+IF(H86&gt;=7,1,0)+IF(OR(ISNUMBER(SEARCH("hunger strike",Q86)),ISNUMBER(SEARCH("blockade",Q86)),ISNUMBER(SEARCH("strike",Q86)),ISNUMBER(SEARCH("jal satyagraha",Q86)),ISNUMBER(SEARCH("survey",Q86)),ISNUMBER(SEARCH("human chain",Q86)),ISNUMBER(SEARCH("march",Q86))),1,0)+IF(OR(ISNUMBER(SEARCH("fir",Q86)),ISNUMBER(SEARCH("confrontation",Q86)),ISNUMBER(SEARCH("violence",Q86)),ISNUMBER(SEARCH("detention",Q86)),ISNUMBER(SEARCH("arrest",Q86)),ISNUMBER(SEARCH("demolition",Q86)),ISNUMBER(SEARCH("injury",Q86))),1,0)+IF(OR(D86="Ongoing",D86="Unresolved"),1,0))))</x:f>
      </x:c>
      <x:c r="K86" s="16" t="str">
        <x:f>IF(J86="","",IF(J86=1,"Limited",IF(J86=2,"Local",IF(J86=3,"Significant",IF(J86=4,"High","Critical")))))</x:f>
      </x:c>
      <x:c r="L86" s="16" t="str">
        <x:f>IF(A86="","",Events!U85)</x:f>
      </x:c>
      <x:c r="M86" s="16" t="str">
        <x:f>IF(A86="","",Events!V85)</x:f>
      </x:c>
      <x:c r="N86" s="16" t="str">
        <x:f>IF(A86="","",Events!Q85)</x:f>
      </x:c>
      <x:c r="O86" s="16" t="str">
        <x:f>IF(A86="","",Events!R85)</x:f>
      </x:c>
      <x:c r="P86" s="16" t="str">
        <x:f>IF(A86="","",LOWER(Events!B85&amp;" "&amp;Events!D85&amp;" "&amp;Events!K85))</x:f>
      </x:c>
      <x:c r="Q86" s="16" t="str">
        <x:f>IF(A86="","",LOWER(Events!C85&amp;" "&amp;Events!K85&amp;" "&amp;Events!T85))</x:f>
      </x:c>
      <x:c r="R86" s="16" t="str">
        <x:f>IF(A86="","",IF(ISNUMBER(SEARCH("Occurrence verified",E86)),"Occurrence verified",E86))</x:f>
      </x:c>
      <x:c r="S86" s="79" t="str">
        <x:f>IF(A86="","",Events!X85)</x:f>
      </x:c>
      <x:c r="Z86" s="79" t="str">
        <x:f>IF(A86="","",Events!AD85)</x:f>
      </x:c>
      <x:c r="AA86" s="79" t="str">
        <x:f>IF(A86="","",Events!AE85)</x:f>
      </x:c>
    </x:row>
    <x:row r="87">
      <x:c r="A87" s="16" t="str">
        <x:f>IF(Events!A86="","",Events!A86)</x:f>
      </x:c>
      <x:c r="B87" s="16" t="str">
        <x:f>IF(A87="","",Events!B86)</x:f>
      </x:c>
      <x:c r="C87" s="16" t="str">
        <x:f>IF(A87="","",Events!E86)</x:f>
      </x:c>
      <x:c r="D87" s="16" t="str">
        <x:f>IF(A87="","",Events!J86)</x:f>
      </x:c>
      <x:c r="E87" s="16" t="str">
        <x:f>IF(A87="","",Events!N86)</x:f>
      </x:c>
      <x:c r="F87" s="109" t="str">
        <x:f>IF(OR(A87="",Events!H86=""),"",Events!H86)</x:f>
      </x:c>
      <x:c r="G87" s="109" t="str">
        <x:f>IF(A87="","",IF(Events!I86&lt;&gt;"",Events!I86,IF(Events!S86&lt;&gt;"",Events!S86,"")))</x:f>
      </x:c>
      <x:c r="H87" s="16" t="str">
        <x:f>IF(A87="","",Events!W86)</x:f>
      </x:c>
      <x:c r="I87" s="16" t="str">
        <x:f>IF(A87="","",IF(Events!Y86&lt;&gt;"",Events!Y86,IF(OR(ISNUMBER(SEARCH("education",P87)),ISNUMBER(SEARCH("exam",P87)),ISNUMBER(SEARCH("school",P87))),"Education",IF(OR(ISNUMBER(SEARCH("trade agreement",P87)),ISNUMBER(SEARCH("economic",P87)),ISNUMBER(SEARCH("import",P87))),"Trade &amp; economic policy",IF(OR(ISNUMBER(SEARCH("land acquisition",P87)),ISNUMBER(SEARCH("rehabilitation",P87)),ISNUMBER(SEARCH("displacement",P87)),ISNUMBER(SEARCH("township",P87))),"Land &amp; rehabilitation",IF(OR(ISNUMBER(SEARCH("forest",P87)),ISNUMBER(SEARCH("environment",P87)),ISNUMBER(SEARCH("ecological",P87)),ISNUMBER(SEARCH("biodiversity",P87)),ISNUMBER(SEARCH("green cover",P87))),"Environment",IF(OR(ISNUMBER(SEARCH("irrigation",P87)),ISNUMBER(SEARCH("water",P87)),ISNUMBER(SEARCH("crop",P87)),ISNUMBER(SEARCH("farmer",P87)),ISNUMBER(SEARCH("agriculture",P87))),"Agriculture &amp; water",IF(OR(ISNUMBER(SEARCH("health",P87)),ISNUMBER(SEARCH("hospital",P87)),ISNUMBER(SEARCH("medicine",P87))),"Public health",IF(OR(ISNUMBER(SEARCH("employee",P87)),ISNUMBER(SEARCH("labour",P87)),ISNUMBER(SEARCH("worker",P87)),ISNUMBER(SEARCH("salary",P87))),"Labour &amp; employment",IF(OR(ISNUMBER(SEARCH("rti",P87)),ISNUMBER(SEARCH("transparency",P87)),ISNUMBER(SEARCH("corruption",P87)),ISNUMBER(SEARCH("governance",P87))),"Governance &amp; transparency",IF(OR(ISNUMBER(SEARCH("police",P87)),ISNUMBER(SEARCH("detention",P87)),ISNUMBER(SEARCH("civil rights",P87)),ISNUMBER(SEARCH("justice",P87))),"Civil rights &amp; justice",IF(OR(ISNUMBER(SEARCH("road",P87)),ISNUMBER(SEARCH("utility",P87)),ISNUMBER(SEARCH("infrastructure",P87)),ISNUMBER(SEARCH("public service",P87))),"Infrastructure &amp; public services","Other"))))))))))))</x:f>
      </x:c>
      <x:c r="J87" s="16" t="str">
        <x:f>IF(A87="","",IF(OR(ISNUMBER(SEARCH("fatal",Q87)),ISNUMBER(SEARCH("death",Q87)),ISNUMBER(SEARCH("riot",Q87)),ISNUMBER(SEARCH("curfew",Q87)),ISNUMBER(SEARCH("internet shutdown",Q87))),5,MIN(4,1+IF(H87&gt;=7,1,0)+IF(OR(ISNUMBER(SEARCH("hunger strike",Q87)),ISNUMBER(SEARCH("blockade",Q87)),ISNUMBER(SEARCH("strike",Q87)),ISNUMBER(SEARCH("jal satyagraha",Q87)),ISNUMBER(SEARCH("survey",Q87)),ISNUMBER(SEARCH("human chain",Q87)),ISNUMBER(SEARCH("march",Q87))),1,0)+IF(OR(ISNUMBER(SEARCH("fir",Q87)),ISNUMBER(SEARCH("confrontation",Q87)),ISNUMBER(SEARCH("violence",Q87)),ISNUMBER(SEARCH("detention",Q87)),ISNUMBER(SEARCH("arrest",Q87)),ISNUMBER(SEARCH("demolition",Q87)),ISNUMBER(SEARCH("injury",Q87))),1,0)+IF(OR(D87="Ongoing",D87="Unresolved"),1,0))))</x:f>
      </x:c>
      <x:c r="K87" s="16" t="str">
        <x:f>IF(J87="","",IF(J87=1,"Limited",IF(J87=2,"Local",IF(J87=3,"Significant",IF(J87=4,"High","Critical")))))</x:f>
      </x:c>
      <x:c r="L87" s="16" t="str">
        <x:f>IF(A87="","",Events!U86)</x:f>
      </x:c>
      <x:c r="M87" s="16" t="str">
        <x:f>IF(A87="","",Events!V86)</x:f>
      </x:c>
      <x:c r="N87" s="16" t="str">
        <x:f>IF(A87="","",Events!Q86)</x:f>
      </x:c>
      <x:c r="O87" s="16" t="str">
        <x:f>IF(A87="","",Events!R86)</x:f>
      </x:c>
      <x:c r="P87" s="16" t="str">
        <x:f>IF(A87="","",LOWER(Events!B86&amp;" "&amp;Events!D86&amp;" "&amp;Events!K86))</x:f>
      </x:c>
      <x:c r="Q87" s="16" t="str">
        <x:f>IF(A87="","",LOWER(Events!C86&amp;" "&amp;Events!K86&amp;" "&amp;Events!T86))</x:f>
      </x:c>
      <x:c r="R87" s="16" t="str">
        <x:f>IF(A87="","",IF(ISNUMBER(SEARCH("Occurrence verified",E87)),"Occurrence verified",E87))</x:f>
      </x:c>
      <x:c r="S87" s="79" t="str">
        <x:f>IF(A87="","",Events!X86)</x:f>
      </x:c>
      <x:c r="Z87" s="79" t="str">
        <x:f>IF(A87="","",Events!AD86)</x:f>
      </x:c>
      <x:c r="AA87" s="79" t="str">
        <x:f>IF(A87="","",Events!AE86)</x:f>
      </x:c>
    </x:row>
    <x:row r="88">
      <x:c r="A88" s="16" t="str">
        <x:f>IF(Events!A87="","",Events!A87)</x:f>
      </x:c>
      <x:c r="B88" s="16" t="str">
        <x:f>IF(A88="","",Events!B87)</x:f>
      </x:c>
      <x:c r="C88" s="16" t="str">
        <x:f>IF(A88="","",Events!E87)</x:f>
      </x:c>
      <x:c r="D88" s="16" t="str">
        <x:f>IF(A88="","",Events!J87)</x:f>
      </x:c>
      <x:c r="E88" s="16" t="str">
        <x:f>IF(A88="","",Events!N87)</x:f>
      </x:c>
      <x:c r="F88" s="109" t="str">
        <x:f>IF(OR(A88="",Events!H87=""),"",Events!H87)</x:f>
      </x:c>
      <x:c r="G88" s="109" t="str">
        <x:f>IF(A88="","",IF(Events!I87&lt;&gt;"",Events!I87,IF(Events!S87&lt;&gt;"",Events!S87,"")))</x:f>
      </x:c>
      <x:c r="H88" s="16" t="str">
        <x:f>IF(A88="","",Events!W87)</x:f>
      </x:c>
      <x:c r="I88" s="16" t="str">
        <x:f>IF(A88="","",IF(Events!Y87&lt;&gt;"",Events!Y87,IF(OR(ISNUMBER(SEARCH("education",P88)),ISNUMBER(SEARCH("exam",P88)),ISNUMBER(SEARCH("school",P88))),"Education",IF(OR(ISNUMBER(SEARCH("trade agreement",P88)),ISNUMBER(SEARCH("economic",P88)),ISNUMBER(SEARCH("import",P88))),"Trade &amp; economic policy",IF(OR(ISNUMBER(SEARCH("land acquisition",P88)),ISNUMBER(SEARCH("rehabilitation",P88)),ISNUMBER(SEARCH("displacement",P88)),ISNUMBER(SEARCH("township",P88))),"Land &amp; rehabilitation",IF(OR(ISNUMBER(SEARCH("forest",P88)),ISNUMBER(SEARCH("environment",P88)),ISNUMBER(SEARCH("ecological",P88)),ISNUMBER(SEARCH("biodiversity",P88)),ISNUMBER(SEARCH("green cover",P88))),"Environment",IF(OR(ISNUMBER(SEARCH("irrigation",P88)),ISNUMBER(SEARCH("water",P88)),ISNUMBER(SEARCH("crop",P88)),ISNUMBER(SEARCH("farmer",P88)),ISNUMBER(SEARCH("agriculture",P88))),"Agriculture &amp; water",IF(OR(ISNUMBER(SEARCH("health",P88)),ISNUMBER(SEARCH("hospital",P88)),ISNUMBER(SEARCH("medicine",P88))),"Public health",IF(OR(ISNUMBER(SEARCH("employee",P88)),ISNUMBER(SEARCH("labour",P88)),ISNUMBER(SEARCH("worker",P88)),ISNUMBER(SEARCH("salary",P88))),"Labour &amp; employment",IF(OR(ISNUMBER(SEARCH("rti",P88)),ISNUMBER(SEARCH("transparency",P88)),ISNUMBER(SEARCH("corruption",P88)),ISNUMBER(SEARCH("governance",P88))),"Governance &amp; transparency",IF(OR(ISNUMBER(SEARCH("police",P88)),ISNUMBER(SEARCH("detention",P88)),ISNUMBER(SEARCH("civil rights",P88)),ISNUMBER(SEARCH("justice",P88))),"Civil rights &amp; justice",IF(OR(ISNUMBER(SEARCH("road",P88)),ISNUMBER(SEARCH("utility",P88)),ISNUMBER(SEARCH("infrastructure",P88)),ISNUMBER(SEARCH("public service",P88))),"Infrastructure &amp; public services","Other"))))))))))))</x:f>
      </x:c>
      <x:c r="J88" s="16" t="str">
        <x:f>IF(A88="","",IF(OR(ISNUMBER(SEARCH("fatal",Q88)),ISNUMBER(SEARCH("death",Q88)),ISNUMBER(SEARCH("riot",Q88)),ISNUMBER(SEARCH("curfew",Q88)),ISNUMBER(SEARCH("internet shutdown",Q88))),5,MIN(4,1+IF(H88&gt;=7,1,0)+IF(OR(ISNUMBER(SEARCH("hunger strike",Q88)),ISNUMBER(SEARCH("blockade",Q88)),ISNUMBER(SEARCH("strike",Q88)),ISNUMBER(SEARCH("jal satyagraha",Q88)),ISNUMBER(SEARCH("survey",Q88)),ISNUMBER(SEARCH("human chain",Q88)),ISNUMBER(SEARCH("march",Q88))),1,0)+IF(OR(ISNUMBER(SEARCH("fir",Q88)),ISNUMBER(SEARCH("confrontation",Q88)),ISNUMBER(SEARCH("violence",Q88)),ISNUMBER(SEARCH("detention",Q88)),ISNUMBER(SEARCH("arrest",Q88)),ISNUMBER(SEARCH("demolition",Q88)),ISNUMBER(SEARCH("injury",Q88))),1,0)+IF(OR(D88="Ongoing",D88="Unresolved"),1,0))))</x:f>
      </x:c>
      <x:c r="K88" s="16" t="str">
        <x:f>IF(J88="","",IF(J88=1,"Limited",IF(J88=2,"Local",IF(J88=3,"Significant",IF(J88=4,"High","Critical")))))</x:f>
      </x:c>
      <x:c r="L88" s="16" t="str">
        <x:f>IF(A88="","",Events!U87)</x:f>
      </x:c>
      <x:c r="M88" s="16" t="str">
        <x:f>IF(A88="","",Events!V87)</x:f>
      </x:c>
      <x:c r="N88" s="16" t="str">
        <x:f>IF(A88="","",Events!Q87)</x:f>
      </x:c>
      <x:c r="O88" s="16" t="str">
        <x:f>IF(A88="","",Events!R87)</x:f>
      </x:c>
      <x:c r="P88" s="16" t="str">
        <x:f>IF(A88="","",LOWER(Events!B87&amp;" "&amp;Events!D87&amp;" "&amp;Events!K87))</x:f>
      </x:c>
      <x:c r="Q88" s="16" t="str">
        <x:f>IF(A88="","",LOWER(Events!C87&amp;" "&amp;Events!K87&amp;" "&amp;Events!T87))</x:f>
      </x:c>
      <x:c r="R88" s="16" t="str">
        <x:f>IF(A88="","",IF(ISNUMBER(SEARCH("Occurrence verified",E88)),"Occurrence verified",E88))</x:f>
      </x:c>
      <x:c r="S88" s="79" t="str">
        <x:f>IF(A88="","",Events!X87)</x:f>
      </x:c>
      <x:c r="Z88" s="79" t="str">
        <x:f>IF(A88="","",Events!AD87)</x:f>
      </x:c>
      <x:c r="AA88" s="79" t="str">
        <x:f>IF(A88="","",Events!AE87)</x:f>
      </x:c>
    </x:row>
    <x:row r="89">
      <x:c r="A89" s="16" t="str">
        <x:f>IF(Events!A88="","",Events!A88)</x:f>
      </x:c>
      <x:c r="B89" s="16" t="str">
        <x:f>IF(A89="","",Events!B88)</x:f>
      </x:c>
      <x:c r="C89" s="16" t="str">
        <x:f>IF(A89="","",Events!E88)</x:f>
      </x:c>
      <x:c r="D89" s="16" t="str">
        <x:f>IF(A89="","",Events!J88)</x:f>
      </x:c>
      <x:c r="E89" s="16" t="str">
        <x:f>IF(A89="","",Events!N88)</x:f>
      </x:c>
      <x:c r="F89" s="109" t="str">
        <x:f>IF(OR(A89="",Events!H88=""),"",Events!H88)</x:f>
      </x:c>
      <x:c r="G89" s="109" t="str">
        <x:f>IF(A89="","",IF(Events!I88&lt;&gt;"",Events!I88,IF(Events!S88&lt;&gt;"",Events!S88,"")))</x:f>
      </x:c>
      <x:c r="H89" s="16" t="str">
        <x:f>IF(A89="","",Events!W88)</x:f>
      </x:c>
      <x:c r="I89" s="16" t="str">
        <x:f>IF(A89="","",IF(Events!Y88&lt;&gt;"",Events!Y88,IF(OR(ISNUMBER(SEARCH("education",P89)),ISNUMBER(SEARCH("exam",P89)),ISNUMBER(SEARCH("school",P89))),"Education",IF(OR(ISNUMBER(SEARCH("trade agreement",P89)),ISNUMBER(SEARCH("economic",P89)),ISNUMBER(SEARCH("import",P89))),"Trade &amp; economic policy",IF(OR(ISNUMBER(SEARCH("land acquisition",P89)),ISNUMBER(SEARCH("rehabilitation",P89)),ISNUMBER(SEARCH("displacement",P89)),ISNUMBER(SEARCH("township",P89))),"Land &amp; rehabilitation",IF(OR(ISNUMBER(SEARCH("forest",P89)),ISNUMBER(SEARCH("environment",P89)),ISNUMBER(SEARCH("ecological",P89)),ISNUMBER(SEARCH("biodiversity",P89)),ISNUMBER(SEARCH("green cover",P89))),"Environment",IF(OR(ISNUMBER(SEARCH("irrigation",P89)),ISNUMBER(SEARCH("water",P89)),ISNUMBER(SEARCH("crop",P89)),ISNUMBER(SEARCH("farmer",P89)),ISNUMBER(SEARCH("agriculture",P89))),"Agriculture &amp; water",IF(OR(ISNUMBER(SEARCH("health",P89)),ISNUMBER(SEARCH("hospital",P89)),ISNUMBER(SEARCH("medicine",P89))),"Public health",IF(OR(ISNUMBER(SEARCH("employee",P89)),ISNUMBER(SEARCH("labour",P89)),ISNUMBER(SEARCH("worker",P89)),ISNUMBER(SEARCH("salary",P89))),"Labour &amp; employment",IF(OR(ISNUMBER(SEARCH("rti",P89)),ISNUMBER(SEARCH("transparency",P89)),ISNUMBER(SEARCH("corruption",P89)),ISNUMBER(SEARCH("governance",P89))),"Governance &amp; transparency",IF(OR(ISNUMBER(SEARCH("police",P89)),ISNUMBER(SEARCH("detention",P89)),ISNUMBER(SEARCH("civil rights",P89)),ISNUMBER(SEARCH("justice",P89))),"Civil rights &amp; justice",IF(OR(ISNUMBER(SEARCH("road",P89)),ISNUMBER(SEARCH("utility",P89)),ISNUMBER(SEARCH("infrastructure",P89)),ISNUMBER(SEARCH("public service",P89))),"Infrastructure &amp; public services","Other"))))))))))))</x:f>
      </x:c>
      <x:c r="J89" s="16" t="str">
        <x:f>IF(A89="","",IF(OR(ISNUMBER(SEARCH("fatal",Q89)),ISNUMBER(SEARCH("death",Q89)),ISNUMBER(SEARCH("riot",Q89)),ISNUMBER(SEARCH("curfew",Q89)),ISNUMBER(SEARCH("internet shutdown",Q89))),5,MIN(4,1+IF(H89&gt;=7,1,0)+IF(OR(ISNUMBER(SEARCH("hunger strike",Q89)),ISNUMBER(SEARCH("blockade",Q89)),ISNUMBER(SEARCH("strike",Q89)),ISNUMBER(SEARCH("jal satyagraha",Q89)),ISNUMBER(SEARCH("survey",Q89)),ISNUMBER(SEARCH("human chain",Q89)),ISNUMBER(SEARCH("march",Q89))),1,0)+IF(OR(ISNUMBER(SEARCH("fir",Q89)),ISNUMBER(SEARCH("confrontation",Q89)),ISNUMBER(SEARCH("violence",Q89)),ISNUMBER(SEARCH("detention",Q89)),ISNUMBER(SEARCH("arrest",Q89)),ISNUMBER(SEARCH("demolition",Q89)),ISNUMBER(SEARCH("injury",Q89))),1,0)+IF(OR(D89="Ongoing",D89="Unresolved"),1,0))))</x:f>
      </x:c>
      <x:c r="K89" s="16" t="str">
        <x:f>IF(J89="","",IF(J89=1,"Limited",IF(J89=2,"Local",IF(J89=3,"Significant",IF(J89=4,"High","Critical")))))</x:f>
      </x:c>
      <x:c r="L89" s="16" t="str">
        <x:f>IF(A89="","",Events!U88)</x:f>
      </x:c>
      <x:c r="M89" s="16" t="str">
        <x:f>IF(A89="","",Events!V88)</x:f>
      </x:c>
      <x:c r="N89" s="16" t="str">
        <x:f>IF(A89="","",Events!Q88)</x:f>
      </x:c>
      <x:c r="O89" s="16" t="str">
        <x:f>IF(A89="","",Events!R88)</x:f>
      </x:c>
      <x:c r="P89" s="16" t="str">
        <x:f>IF(A89="","",LOWER(Events!B88&amp;" "&amp;Events!D88&amp;" "&amp;Events!K88))</x:f>
      </x:c>
      <x:c r="Q89" s="16" t="str">
        <x:f>IF(A89="","",LOWER(Events!C88&amp;" "&amp;Events!K88&amp;" "&amp;Events!T88))</x:f>
      </x:c>
      <x:c r="R89" s="16" t="str">
        <x:f>IF(A89="","",IF(ISNUMBER(SEARCH("Occurrence verified",E89)),"Occurrence verified",E89))</x:f>
      </x:c>
      <x:c r="S89" s="79" t="str">
        <x:f>IF(A89="","",Events!X88)</x:f>
      </x:c>
      <x:c r="Z89" s="79" t="str">
        <x:f>IF(A89="","",Events!AD88)</x:f>
      </x:c>
      <x:c r="AA89" s="79" t="str">
        <x:f>IF(A89="","",Events!AE88)</x:f>
      </x:c>
    </x:row>
    <x:row r="90">
      <x:c r="A90" s="16" t="str">
        <x:f>IF(Events!A89="","",Events!A89)</x:f>
      </x:c>
      <x:c r="B90" s="16" t="str">
        <x:f>IF(A90="","",Events!B89)</x:f>
      </x:c>
      <x:c r="C90" s="16" t="str">
        <x:f>IF(A90="","",Events!E89)</x:f>
      </x:c>
      <x:c r="D90" s="16" t="str">
        <x:f>IF(A90="","",Events!J89)</x:f>
      </x:c>
      <x:c r="E90" s="16" t="str">
        <x:f>IF(A90="","",Events!N89)</x:f>
      </x:c>
      <x:c r="F90" s="109" t="str">
        <x:f>IF(OR(A90="",Events!H89=""),"",Events!H89)</x:f>
      </x:c>
      <x:c r="G90" s="109" t="str">
        <x:f>IF(A90="","",IF(Events!I89&lt;&gt;"",Events!I89,IF(Events!S89&lt;&gt;"",Events!S89,"")))</x:f>
      </x:c>
      <x:c r="H90" s="16" t="str">
        <x:f>IF(A90="","",Events!W89)</x:f>
      </x:c>
      <x:c r="I90" s="16" t="str">
        <x:f>IF(A90="","",IF(Events!Y89&lt;&gt;"",Events!Y89,IF(OR(ISNUMBER(SEARCH("education",P90)),ISNUMBER(SEARCH("exam",P90)),ISNUMBER(SEARCH("school",P90))),"Education",IF(OR(ISNUMBER(SEARCH("trade agreement",P90)),ISNUMBER(SEARCH("economic",P90)),ISNUMBER(SEARCH("import",P90))),"Trade &amp; economic policy",IF(OR(ISNUMBER(SEARCH("land acquisition",P90)),ISNUMBER(SEARCH("rehabilitation",P90)),ISNUMBER(SEARCH("displacement",P90)),ISNUMBER(SEARCH("township",P90))),"Land &amp; rehabilitation",IF(OR(ISNUMBER(SEARCH("forest",P90)),ISNUMBER(SEARCH("environment",P90)),ISNUMBER(SEARCH("ecological",P90)),ISNUMBER(SEARCH("biodiversity",P90)),ISNUMBER(SEARCH("green cover",P90))),"Environment",IF(OR(ISNUMBER(SEARCH("irrigation",P90)),ISNUMBER(SEARCH("water",P90)),ISNUMBER(SEARCH("crop",P90)),ISNUMBER(SEARCH("farmer",P90)),ISNUMBER(SEARCH("agriculture",P90))),"Agriculture &amp; water",IF(OR(ISNUMBER(SEARCH("health",P90)),ISNUMBER(SEARCH("hospital",P90)),ISNUMBER(SEARCH("medicine",P90))),"Public health",IF(OR(ISNUMBER(SEARCH("employee",P90)),ISNUMBER(SEARCH("labour",P90)),ISNUMBER(SEARCH("worker",P90)),ISNUMBER(SEARCH("salary",P90))),"Labour &amp; employment",IF(OR(ISNUMBER(SEARCH("rti",P90)),ISNUMBER(SEARCH("transparency",P90)),ISNUMBER(SEARCH("corruption",P90)),ISNUMBER(SEARCH("governance",P90))),"Governance &amp; transparency",IF(OR(ISNUMBER(SEARCH("police",P90)),ISNUMBER(SEARCH("detention",P90)),ISNUMBER(SEARCH("civil rights",P90)),ISNUMBER(SEARCH("justice",P90))),"Civil rights &amp; justice",IF(OR(ISNUMBER(SEARCH("road",P90)),ISNUMBER(SEARCH("utility",P90)),ISNUMBER(SEARCH("infrastructure",P90)),ISNUMBER(SEARCH("public service",P90))),"Infrastructure &amp; public services","Other"))))))))))))</x:f>
      </x:c>
      <x:c r="J90" s="16" t="str">
        <x:f>IF(A90="","",IF(OR(ISNUMBER(SEARCH("fatal",Q90)),ISNUMBER(SEARCH("death",Q90)),ISNUMBER(SEARCH("riot",Q90)),ISNUMBER(SEARCH("curfew",Q90)),ISNUMBER(SEARCH("internet shutdown",Q90))),5,MIN(4,1+IF(H90&gt;=7,1,0)+IF(OR(ISNUMBER(SEARCH("hunger strike",Q90)),ISNUMBER(SEARCH("blockade",Q90)),ISNUMBER(SEARCH("strike",Q90)),ISNUMBER(SEARCH("jal satyagraha",Q90)),ISNUMBER(SEARCH("survey",Q90)),ISNUMBER(SEARCH("human chain",Q90)),ISNUMBER(SEARCH("march",Q90))),1,0)+IF(OR(ISNUMBER(SEARCH("fir",Q90)),ISNUMBER(SEARCH("confrontation",Q90)),ISNUMBER(SEARCH("violence",Q90)),ISNUMBER(SEARCH("detention",Q90)),ISNUMBER(SEARCH("arrest",Q90)),ISNUMBER(SEARCH("demolition",Q90)),ISNUMBER(SEARCH("injury",Q90))),1,0)+IF(OR(D90="Ongoing",D90="Unresolved"),1,0))))</x:f>
      </x:c>
      <x:c r="K90" s="16" t="str">
        <x:f>IF(J90="","",IF(J90=1,"Limited",IF(J90=2,"Local",IF(J90=3,"Significant",IF(J90=4,"High","Critical")))))</x:f>
      </x:c>
      <x:c r="L90" s="16" t="str">
        <x:f>IF(A90="","",Events!U89)</x:f>
      </x:c>
      <x:c r="M90" s="16" t="str">
        <x:f>IF(A90="","",Events!V89)</x:f>
      </x:c>
      <x:c r="N90" s="16" t="str">
        <x:f>IF(A90="","",Events!Q89)</x:f>
      </x:c>
      <x:c r="O90" s="16" t="str">
        <x:f>IF(A90="","",Events!R89)</x:f>
      </x:c>
      <x:c r="P90" s="16" t="str">
        <x:f>IF(A90="","",LOWER(Events!B89&amp;" "&amp;Events!D89&amp;" "&amp;Events!K89))</x:f>
      </x:c>
      <x:c r="Q90" s="16" t="str">
        <x:f>IF(A90="","",LOWER(Events!C89&amp;" "&amp;Events!K89&amp;" "&amp;Events!T89))</x:f>
      </x:c>
      <x:c r="R90" s="16" t="str">
        <x:f>IF(A90="","",IF(ISNUMBER(SEARCH("Occurrence verified",E90)),"Occurrence verified",E90))</x:f>
      </x:c>
      <x:c r="S90" s="79" t="str">
        <x:f>IF(A90="","",Events!X89)</x:f>
      </x:c>
      <x:c r="Z90" s="79" t="str">
        <x:f>IF(A90="","",Events!AD89)</x:f>
      </x:c>
      <x:c r="AA90" s="79" t="str">
        <x:f>IF(A90="","",Events!AE89)</x:f>
      </x:c>
    </x:row>
    <x:row r="91">
      <x:c r="A91" s="16" t="str">
        <x:f>IF(Events!A90="","",Events!A90)</x:f>
      </x:c>
      <x:c r="B91" s="16" t="str">
        <x:f>IF(A91="","",Events!B90)</x:f>
      </x:c>
      <x:c r="C91" s="16" t="str">
        <x:f>IF(A91="","",Events!E90)</x:f>
      </x:c>
      <x:c r="D91" s="16" t="str">
        <x:f>IF(A91="","",Events!J90)</x:f>
      </x:c>
      <x:c r="E91" s="16" t="str">
        <x:f>IF(A91="","",Events!N90)</x:f>
      </x:c>
      <x:c r="F91" s="109" t="str">
        <x:f>IF(OR(A91="",Events!H90=""),"",Events!H90)</x:f>
      </x:c>
      <x:c r="G91" s="109" t="str">
        <x:f>IF(A91="","",IF(Events!I90&lt;&gt;"",Events!I90,IF(Events!S90&lt;&gt;"",Events!S90,"")))</x:f>
      </x:c>
      <x:c r="H91" s="16" t="str">
        <x:f>IF(A91="","",Events!W90)</x:f>
      </x:c>
      <x:c r="I91" s="16" t="str">
        <x:f>IF(A91="","",IF(Events!Y90&lt;&gt;"",Events!Y90,IF(OR(ISNUMBER(SEARCH("education",P91)),ISNUMBER(SEARCH("exam",P91)),ISNUMBER(SEARCH("school",P91))),"Education",IF(OR(ISNUMBER(SEARCH("trade agreement",P91)),ISNUMBER(SEARCH("economic",P91)),ISNUMBER(SEARCH("import",P91))),"Trade &amp; economic policy",IF(OR(ISNUMBER(SEARCH("land acquisition",P91)),ISNUMBER(SEARCH("rehabilitation",P91)),ISNUMBER(SEARCH("displacement",P91)),ISNUMBER(SEARCH("township",P91))),"Land &amp; rehabilitation",IF(OR(ISNUMBER(SEARCH("forest",P91)),ISNUMBER(SEARCH("environment",P91)),ISNUMBER(SEARCH("ecological",P91)),ISNUMBER(SEARCH("biodiversity",P91)),ISNUMBER(SEARCH("green cover",P91))),"Environment",IF(OR(ISNUMBER(SEARCH("irrigation",P91)),ISNUMBER(SEARCH("water",P91)),ISNUMBER(SEARCH("crop",P91)),ISNUMBER(SEARCH("farmer",P91)),ISNUMBER(SEARCH("agriculture",P91))),"Agriculture &amp; water",IF(OR(ISNUMBER(SEARCH("health",P91)),ISNUMBER(SEARCH("hospital",P91)),ISNUMBER(SEARCH("medicine",P91))),"Public health",IF(OR(ISNUMBER(SEARCH("employee",P91)),ISNUMBER(SEARCH("labour",P91)),ISNUMBER(SEARCH("worker",P91)),ISNUMBER(SEARCH("salary",P91))),"Labour &amp; employment",IF(OR(ISNUMBER(SEARCH("rti",P91)),ISNUMBER(SEARCH("transparency",P91)),ISNUMBER(SEARCH("corruption",P91)),ISNUMBER(SEARCH("governance",P91))),"Governance &amp; transparency",IF(OR(ISNUMBER(SEARCH("police",P91)),ISNUMBER(SEARCH("detention",P91)),ISNUMBER(SEARCH("civil rights",P91)),ISNUMBER(SEARCH("justice",P91))),"Civil rights &amp; justice",IF(OR(ISNUMBER(SEARCH("road",P91)),ISNUMBER(SEARCH("utility",P91)),ISNUMBER(SEARCH("infrastructure",P91)),ISNUMBER(SEARCH("public service",P91))),"Infrastructure &amp; public services","Other"))))))))))))</x:f>
      </x:c>
      <x:c r="J91" s="16" t="str">
        <x:f>IF(A91="","",IF(OR(ISNUMBER(SEARCH("fatal",Q91)),ISNUMBER(SEARCH("death",Q91)),ISNUMBER(SEARCH("riot",Q91)),ISNUMBER(SEARCH("curfew",Q91)),ISNUMBER(SEARCH("internet shutdown",Q91))),5,MIN(4,1+IF(H91&gt;=7,1,0)+IF(OR(ISNUMBER(SEARCH("hunger strike",Q91)),ISNUMBER(SEARCH("blockade",Q91)),ISNUMBER(SEARCH("strike",Q91)),ISNUMBER(SEARCH("jal satyagraha",Q91)),ISNUMBER(SEARCH("survey",Q91)),ISNUMBER(SEARCH("human chain",Q91)),ISNUMBER(SEARCH("march",Q91))),1,0)+IF(OR(ISNUMBER(SEARCH("fir",Q91)),ISNUMBER(SEARCH("confrontation",Q91)),ISNUMBER(SEARCH("violence",Q91)),ISNUMBER(SEARCH("detention",Q91)),ISNUMBER(SEARCH("arrest",Q91)),ISNUMBER(SEARCH("demolition",Q91)),ISNUMBER(SEARCH("injury",Q91))),1,0)+IF(OR(D91="Ongoing",D91="Unresolved"),1,0))))</x:f>
      </x:c>
      <x:c r="K91" s="16" t="str">
        <x:f>IF(J91="","",IF(J91=1,"Limited",IF(J91=2,"Local",IF(J91=3,"Significant",IF(J91=4,"High","Critical")))))</x:f>
      </x:c>
      <x:c r="L91" s="16" t="str">
        <x:f>IF(A91="","",Events!U90)</x:f>
      </x:c>
      <x:c r="M91" s="16" t="str">
        <x:f>IF(A91="","",Events!V90)</x:f>
      </x:c>
      <x:c r="N91" s="16" t="str">
        <x:f>IF(A91="","",Events!Q90)</x:f>
      </x:c>
      <x:c r="O91" s="16" t="str">
        <x:f>IF(A91="","",Events!R90)</x:f>
      </x:c>
      <x:c r="P91" s="16" t="str">
        <x:f>IF(A91="","",LOWER(Events!B90&amp;" "&amp;Events!D90&amp;" "&amp;Events!K90))</x:f>
      </x:c>
      <x:c r="Q91" s="16" t="str">
        <x:f>IF(A91="","",LOWER(Events!C90&amp;" "&amp;Events!K90&amp;" "&amp;Events!T90))</x:f>
      </x:c>
      <x:c r="R91" s="16" t="str">
        <x:f>IF(A91="","",IF(ISNUMBER(SEARCH("Occurrence verified",E91)),"Occurrence verified",E91))</x:f>
      </x:c>
      <x:c r="S91" s="79" t="str">
        <x:f>IF(A91="","",Events!X90)</x:f>
      </x:c>
      <x:c r="Z91" s="79" t="str">
        <x:f>IF(A91="","",Events!AD90)</x:f>
      </x:c>
      <x:c r="AA91" s="79" t="str">
        <x:f>IF(A91="","",Events!AE90)</x:f>
      </x:c>
    </x:row>
    <x:row r="92">
      <x:c r="A92" s="16" t="str">
        <x:f>IF(Events!A91="","",Events!A91)</x:f>
      </x:c>
      <x:c r="B92" s="16" t="str">
        <x:f>IF(A92="","",Events!B91)</x:f>
      </x:c>
      <x:c r="C92" s="16" t="str">
        <x:f>IF(A92="","",Events!E91)</x:f>
      </x:c>
      <x:c r="D92" s="16" t="str">
        <x:f>IF(A92="","",Events!J91)</x:f>
      </x:c>
      <x:c r="E92" s="16" t="str">
        <x:f>IF(A92="","",Events!N91)</x:f>
      </x:c>
      <x:c r="F92" s="109" t="str">
        <x:f>IF(OR(A92="",Events!H91=""),"",Events!H91)</x:f>
      </x:c>
      <x:c r="G92" s="109" t="str">
        <x:f>IF(A92="","",IF(Events!I91&lt;&gt;"",Events!I91,IF(Events!S91&lt;&gt;"",Events!S91,"")))</x:f>
      </x:c>
      <x:c r="H92" s="16" t="str">
        <x:f>IF(A92="","",Events!W91)</x:f>
      </x:c>
      <x:c r="I92" s="16" t="str">
        <x:f>IF(A92="","",IF(Events!Y91&lt;&gt;"",Events!Y91,IF(OR(ISNUMBER(SEARCH("education",P92)),ISNUMBER(SEARCH("exam",P92)),ISNUMBER(SEARCH("school",P92))),"Education",IF(OR(ISNUMBER(SEARCH("trade agreement",P92)),ISNUMBER(SEARCH("economic",P92)),ISNUMBER(SEARCH("import",P92))),"Trade &amp; economic policy",IF(OR(ISNUMBER(SEARCH("land acquisition",P92)),ISNUMBER(SEARCH("rehabilitation",P92)),ISNUMBER(SEARCH("displacement",P92)),ISNUMBER(SEARCH("township",P92))),"Land &amp; rehabilitation",IF(OR(ISNUMBER(SEARCH("forest",P92)),ISNUMBER(SEARCH("environment",P92)),ISNUMBER(SEARCH("ecological",P92)),ISNUMBER(SEARCH("biodiversity",P92)),ISNUMBER(SEARCH("green cover",P92))),"Environment",IF(OR(ISNUMBER(SEARCH("irrigation",P92)),ISNUMBER(SEARCH("water",P92)),ISNUMBER(SEARCH("crop",P92)),ISNUMBER(SEARCH("farmer",P92)),ISNUMBER(SEARCH("agriculture",P92))),"Agriculture &amp; water",IF(OR(ISNUMBER(SEARCH("health",P92)),ISNUMBER(SEARCH("hospital",P92)),ISNUMBER(SEARCH("medicine",P92))),"Public health",IF(OR(ISNUMBER(SEARCH("employee",P92)),ISNUMBER(SEARCH("labour",P92)),ISNUMBER(SEARCH("worker",P92)),ISNUMBER(SEARCH("salary",P92))),"Labour &amp; employment",IF(OR(ISNUMBER(SEARCH("rti",P92)),ISNUMBER(SEARCH("transparency",P92)),ISNUMBER(SEARCH("corruption",P92)),ISNUMBER(SEARCH("governance",P92))),"Governance &amp; transparency",IF(OR(ISNUMBER(SEARCH("police",P92)),ISNUMBER(SEARCH("detention",P92)),ISNUMBER(SEARCH("civil rights",P92)),ISNUMBER(SEARCH("justice",P92))),"Civil rights &amp; justice",IF(OR(ISNUMBER(SEARCH("road",P92)),ISNUMBER(SEARCH("utility",P92)),ISNUMBER(SEARCH("infrastructure",P92)),ISNUMBER(SEARCH("public service",P92))),"Infrastructure &amp; public services","Other"))))))))))))</x:f>
      </x:c>
      <x:c r="J92" s="16" t="str">
        <x:f>IF(A92="","",IF(OR(ISNUMBER(SEARCH("fatal",Q92)),ISNUMBER(SEARCH("death",Q92)),ISNUMBER(SEARCH("riot",Q92)),ISNUMBER(SEARCH("curfew",Q92)),ISNUMBER(SEARCH("internet shutdown",Q92))),5,MIN(4,1+IF(H92&gt;=7,1,0)+IF(OR(ISNUMBER(SEARCH("hunger strike",Q92)),ISNUMBER(SEARCH("blockade",Q92)),ISNUMBER(SEARCH("strike",Q92)),ISNUMBER(SEARCH("jal satyagraha",Q92)),ISNUMBER(SEARCH("survey",Q92)),ISNUMBER(SEARCH("human chain",Q92)),ISNUMBER(SEARCH("march",Q92))),1,0)+IF(OR(ISNUMBER(SEARCH("fir",Q92)),ISNUMBER(SEARCH("confrontation",Q92)),ISNUMBER(SEARCH("violence",Q92)),ISNUMBER(SEARCH("detention",Q92)),ISNUMBER(SEARCH("arrest",Q92)),ISNUMBER(SEARCH("demolition",Q92)),ISNUMBER(SEARCH("injury",Q92))),1,0)+IF(OR(D92="Ongoing",D92="Unresolved"),1,0))))</x:f>
      </x:c>
      <x:c r="K92" s="16" t="str">
        <x:f>IF(J92="","",IF(J92=1,"Limited",IF(J92=2,"Local",IF(J92=3,"Significant",IF(J92=4,"High","Critical")))))</x:f>
      </x:c>
      <x:c r="L92" s="16" t="str">
        <x:f>IF(A92="","",Events!U91)</x:f>
      </x:c>
      <x:c r="M92" s="16" t="str">
        <x:f>IF(A92="","",Events!V91)</x:f>
      </x:c>
      <x:c r="N92" s="16" t="str">
        <x:f>IF(A92="","",Events!Q91)</x:f>
      </x:c>
      <x:c r="O92" s="16" t="str">
        <x:f>IF(A92="","",Events!R91)</x:f>
      </x:c>
      <x:c r="P92" s="16" t="str">
        <x:f>IF(A92="","",LOWER(Events!B91&amp;" "&amp;Events!D91&amp;" "&amp;Events!K91))</x:f>
      </x:c>
      <x:c r="Q92" s="16" t="str">
        <x:f>IF(A92="","",LOWER(Events!C91&amp;" "&amp;Events!K91&amp;" "&amp;Events!T91))</x:f>
      </x:c>
      <x:c r="R92" s="16" t="str">
        <x:f>IF(A92="","",IF(ISNUMBER(SEARCH("Occurrence verified",E92)),"Occurrence verified",E92))</x:f>
      </x:c>
      <x:c r="S92" s="79" t="str">
        <x:f>IF(A92="","",Events!X91)</x:f>
      </x:c>
      <x:c r="Z92" s="79" t="str">
        <x:f>IF(A92="","",Events!AD91)</x:f>
      </x:c>
      <x:c r="AA92" s="79" t="str">
        <x:f>IF(A92="","",Events!AE91)</x:f>
      </x:c>
    </x:row>
    <x:row r="93">
      <x:c r="A93" s="16" t="str">
        <x:f>IF(Events!A92="","",Events!A92)</x:f>
      </x:c>
      <x:c r="B93" s="16" t="str">
        <x:f>IF(A93="","",Events!B92)</x:f>
      </x:c>
      <x:c r="C93" s="16" t="str">
        <x:f>IF(A93="","",Events!E92)</x:f>
      </x:c>
      <x:c r="D93" s="16" t="str">
        <x:f>IF(A93="","",Events!J92)</x:f>
      </x:c>
      <x:c r="E93" s="16" t="str">
        <x:f>IF(A93="","",Events!N92)</x:f>
      </x:c>
      <x:c r="F93" s="109" t="str">
        <x:f>IF(OR(A93="",Events!H92=""),"",Events!H92)</x:f>
      </x:c>
      <x:c r="G93" s="109" t="str">
        <x:f>IF(A93="","",IF(Events!I92&lt;&gt;"",Events!I92,IF(Events!S92&lt;&gt;"",Events!S92,"")))</x:f>
      </x:c>
      <x:c r="H93" s="16" t="str">
        <x:f>IF(A93="","",Events!W92)</x:f>
      </x:c>
      <x:c r="I93" s="16" t="str">
        <x:f>IF(A93="","",IF(Events!Y92&lt;&gt;"",Events!Y92,IF(OR(ISNUMBER(SEARCH("education",P93)),ISNUMBER(SEARCH("exam",P93)),ISNUMBER(SEARCH("school",P93))),"Education",IF(OR(ISNUMBER(SEARCH("trade agreement",P93)),ISNUMBER(SEARCH("economic",P93)),ISNUMBER(SEARCH("import",P93))),"Trade &amp; economic policy",IF(OR(ISNUMBER(SEARCH("land acquisition",P93)),ISNUMBER(SEARCH("rehabilitation",P93)),ISNUMBER(SEARCH("displacement",P93)),ISNUMBER(SEARCH("township",P93))),"Land &amp; rehabilitation",IF(OR(ISNUMBER(SEARCH("forest",P93)),ISNUMBER(SEARCH("environment",P93)),ISNUMBER(SEARCH("ecological",P93)),ISNUMBER(SEARCH("biodiversity",P93)),ISNUMBER(SEARCH("green cover",P93))),"Environment",IF(OR(ISNUMBER(SEARCH("irrigation",P93)),ISNUMBER(SEARCH("water",P93)),ISNUMBER(SEARCH("crop",P93)),ISNUMBER(SEARCH("farmer",P93)),ISNUMBER(SEARCH("agriculture",P93))),"Agriculture &amp; water",IF(OR(ISNUMBER(SEARCH("health",P93)),ISNUMBER(SEARCH("hospital",P93)),ISNUMBER(SEARCH("medicine",P93))),"Public health",IF(OR(ISNUMBER(SEARCH("employee",P93)),ISNUMBER(SEARCH("labour",P93)),ISNUMBER(SEARCH("worker",P93)),ISNUMBER(SEARCH("salary",P93))),"Labour &amp; employment",IF(OR(ISNUMBER(SEARCH("rti",P93)),ISNUMBER(SEARCH("transparency",P93)),ISNUMBER(SEARCH("corruption",P93)),ISNUMBER(SEARCH("governance",P93))),"Governance &amp; transparency",IF(OR(ISNUMBER(SEARCH("police",P93)),ISNUMBER(SEARCH("detention",P93)),ISNUMBER(SEARCH("civil rights",P93)),ISNUMBER(SEARCH("justice",P93))),"Civil rights &amp; justice",IF(OR(ISNUMBER(SEARCH("road",P93)),ISNUMBER(SEARCH("utility",P93)),ISNUMBER(SEARCH("infrastructure",P93)),ISNUMBER(SEARCH("public service",P93))),"Infrastructure &amp; public services","Other"))))))))))))</x:f>
      </x:c>
      <x:c r="J93" s="16" t="str">
        <x:f>IF(A93="","",IF(OR(ISNUMBER(SEARCH("fatal",Q93)),ISNUMBER(SEARCH("death",Q93)),ISNUMBER(SEARCH("riot",Q93)),ISNUMBER(SEARCH("curfew",Q93)),ISNUMBER(SEARCH("internet shutdown",Q93))),5,MIN(4,1+IF(H93&gt;=7,1,0)+IF(OR(ISNUMBER(SEARCH("hunger strike",Q93)),ISNUMBER(SEARCH("blockade",Q93)),ISNUMBER(SEARCH("strike",Q93)),ISNUMBER(SEARCH("jal satyagraha",Q93)),ISNUMBER(SEARCH("survey",Q93)),ISNUMBER(SEARCH("human chain",Q93)),ISNUMBER(SEARCH("march",Q93))),1,0)+IF(OR(ISNUMBER(SEARCH("fir",Q93)),ISNUMBER(SEARCH("confrontation",Q93)),ISNUMBER(SEARCH("violence",Q93)),ISNUMBER(SEARCH("detention",Q93)),ISNUMBER(SEARCH("arrest",Q93)),ISNUMBER(SEARCH("demolition",Q93)),ISNUMBER(SEARCH("injury",Q93))),1,0)+IF(OR(D93="Ongoing",D93="Unresolved"),1,0))))</x:f>
      </x:c>
      <x:c r="K93" s="16" t="str">
        <x:f>IF(J93="","",IF(J93=1,"Limited",IF(J93=2,"Local",IF(J93=3,"Significant",IF(J93=4,"High","Critical")))))</x:f>
      </x:c>
      <x:c r="L93" s="16" t="str">
        <x:f>IF(A93="","",Events!U92)</x:f>
      </x:c>
      <x:c r="M93" s="16" t="str">
        <x:f>IF(A93="","",Events!V92)</x:f>
      </x:c>
      <x:c r="N93" s="16" t="str">
        <x:f>IF(A93="","",Events!Q92)</x:f>
      </x:c>
      <x:c r="O93" s="16" t="str">
        <x:f>IF(A93="","",Events!R92)</x:f>
      </x:c>
      <x:c r="P93" s="16" t="str">
        <x:f>IF(A93="","",LOWER(Events!B92&amp;" "&amp;Events!D92&amp;" "&amp;Events!K92))</x:f>
      </x:c>
      <x:c r="Q93" s="16" t="str">
        <x:f>IF(A93="","",LOWER(Events!C92&amp;" "&amp;Events!K92&amp;" "&amp;Events!T92))</x:f>
      </x:c>
      <x:c r="R93" s="16" t="str">
        <x:f>IF(A93="","",IF(ISNUMBER(SEARCH("Occurrence verified",E93)),"Occurrence verified",E93))</x:f>
      </x:c>
      <x:c r="S93" s="79" t="str">
        <x:f>IF(A93="","",Events!X92)</x:f>
      </x:c>
      <x:c r="Z93" s="79" t="str">
        <x:f>IF(A93="","",Events!AD92)</x:f>
      </x:c>
      <x:c r="AA93" s="79" t="str">
        <x:f>IF(A93="","",Events!AE92)</x:f>
      </x:c>
    </x:row>
    <x:row r="94">
      <x:c r="A94" s="16" t="str">
        <x:f>IF(Events!A93="","",Events!A93)</x:f>
      </x:c>
      <x:c r="B94" s="16" t="str">
        <x:f>IF(A94="","",Events!B93)</x:f>
      </x:c>
      <x:c r="C94" s="16" t="str">
        <x:f>IF(A94="","",Events!E93)</x:f>
      </x:c>
      <x:c r="D94" s="16" t="str">
        <x:f>IF(A94="","",Events!J93)</x:f>
      </x:c>
      <x:c r="E94" s="16" t="str">
        <x:f>IF(A94="","",Events!N93)</x:f>
      </x:c>
      <x:c r="F94" s="109" t="str">
        <x:f>IF(OR(A94="",Events!H93=""),"",Events!H93)</x:f>
      </x:c>
      <x:c r="G94" s="109" t="str">
        <x:f>IF(A94="","",IF(Events!I93&lt;&gt;"",Events!I93,IF(Events!S93&lt;&gt;"",Events!S93,"")))</x:f>
      </x:c>
      <x:c r="H94" s="16" t="str">
        <x:f>IF(A94="","",Events!W93)</x:f>
      </x:c>
      <x:c r="I94" s="16" t="str">
        <x:f>IF(A94="","",IF(Events!Y93&lt;&gt;"",Events!Y93,IF(OR(ISNUMBER(SEARCH("education",P94)),ISNUMBER(SEARCH("exam",P94)),ISNUMBER(SEARCH("school",P94))),"Education",IF(OR(ISNUMBER(SEARCH("trade agreement",P94)),ISNUMBER(SEARCH("economic",P94)),ISNUMBER(SEARCH("import",P94))),"Trade &amp; economic policy",IF(OR(ISNUMBER(SEARCH("land acquisition",P94)),ISNUMBER(SEARCH("rehabilitation",P94)),ISNUMBER(SEARCH("displacement",P94)),ISNUMBER(SEARCH("township",P94))),"Land &amp; rehabilitation",IF(OR(ISNUMBER(SEARCH("forest",P94)),ISNUMBER(SEARCH("environment",P94)),ISNUMBER(SEARCH("ecological",P94)),ISNUMBER(SEARCH("biodiversity",P94)),ISNUMBER(SEARCH("green cover",P94))),"Environment",IF(OR(ISNUMBER(SEARCH("irrigation",P94)),ISNUMBER(SEARCH("water",P94)),ISNUMBER(SEARCH("crop",P94)),ISNUMBER(SEARCH("farmer",P94)),ISNUMBER(SEARCH("agriculture",P94))),"Agriculture &amp; water",IF(OR(ISNUMBER(SEARCH("health",P94)),ISNUMBER(SEARCH("hospital",P94)),ISNUMBER(SEARCH("medicine",P94))),"Public health",IF(OR(ISNUMBER(SEARCH("employee",P94)),ISNUMBER(SEARCH("labour",P94)),ISNUMBER(SEARCH("worker",P94)),ISNUMBER(SEARCH("salary",P94))),"Labour &amp; employment",IF(OR(ISNUMBER(SEARCH("rti",P94)),ISNUMBER(SEARCH("transparency",P94)),ISNUMBER(SEARCH("corruption",P94)),ISNUMBER(SEARCH("governance",P94))),"Governance &amp; transparency",IF(OR(ISNUMBER(SEARCH("police",P94)),ISNUMBER(SEARCH("detention",P94)),ISNUMBER(SEARCH("civil rights",P94)),ISNUMBER(SEARCH("justice",P94))),"Civil rights &amp; justice",IF(OR(ISNUMBER(SEARCH("road",P94)),ISNUMBER(SEARCH("utility",P94)),ISNUMBER(SEARCH("infrastructure",P94)),ISNUMBER(SEARCH("public service",P94))),"Infrastructure &amp; public services","Other"))))))))))))</x:f>
      </x:c>
      <x:c r="J94" s="16" t="str">
        <x:f>IF(A94="","",IF(OR(ISNUMBER(SEARCH("fatal",Q94)),ISNUMBER(SEARCH("death",Q94)),ISNUMBER(SEARCH("riot",Q94)),ISNUMBER(SEARCH("curfew",Q94)),ISNUMBER(SEARCH("internet shutdown",Q94))),5,MIN(4,1+IF(H94&gt;=7,1,0)+IF(OR(ISNUMBER(SEARCH("hunger strike",Q94)),ISNUMBER(SEARCH("blockade",Q94)),ISNUMBER(SEARCH("strike",Q94)),ISNUMBER(SEARCH("jal satyagraha",Q94)),ISNUMBER(SEARCH("survey",Q94)),ISNUMBER(SEARCH("human chain",Q94)),ISNUMBER(SEARCH("march",Q94))),1,0)+IF(OR(ISNUMBER(SEARCH("fir",Q94)),ISNUMBER(SEARCH("confrontation",Q94)),ISNUMBER(SEARCH("violence",Q94)),ISNUMBER(SEARCH("detention",Q94)),ISNUMBER(SEARCH("arrest",Q94)),ISNUMBER(SEARCH("demolition",Q94)),ISNUMBER(SEARCH("injury",Q94))),1,0)+IF(OR(D94="Ongoing",D94="Unresolved"),1,0))))</x:f>
      </x:c>
      <x:c r="K94" s="16" t="str">
        <x:f>IF(J94="","",IF(J94=1,"Limited",IF(J94=2,"Local",IF(J94=3,"Significant",IF(J94=4,"High","Critical")))))</x:f>
      </x:c>
      <x:c r="L94" s="16" t="str">
        <x:f>IF(A94="","",Events!U93)</x:f>
      </x:c>
      <x:c r="M94" s="16" t="str">
        <x:f>IF(A94="","",Events!V93)</x:f>
      </x:c>
      <x:c r="N94" s="16" t="str">
        <x:f>IF(A94="","",Events!Q93)</x:f>
      </x:c>
      <x:c r="O94" s="16" t="str">
        <x:f>IF(A94="","",Events!R93)</x:f>
      </x:c>
      <x:c r="P94" s="16" t="str">
        <x:f>IF(A94="","",LOWER(Events!B93&amp;" "&amp;Events!D93&amp;" "&amp;Events!K93))</x:f>
      </x:c>
      <x:c r="Q94" s="16" t="str">
        <x:f>IF(A94="","",LOWER(Events!C93&amp;" "&amp;Events!K93&amp;" "&amp;Events!T93))</x:f>
      </x:c>
      <x:c r="R94" s="16" t="str">
        <x:f>IF(A94="","",IF(ISNUMBER(SEARCH("Occurrence verified",E94)),"Occurrence verified",E94))</x:f>
      </x:c>
      <x:c r="S94" s="79" t="str">
        <x:f>IF(A94="","",Events!X93)</x:f>
      </x:c>
      <x:c r="Z94" s="79" t="str">
        <x:f>IF(A94="","",Events!AD93)</x:f>
      </x:c>
      <x:c r="AA94" s="79" t="str">
        <x:f>IF(A94="","",Events!AE93)</x:f>
      </x:c>
    </x:row>
    <x:row r="95">
      <x:c r="A95" s="16" t="str">
        <x:f>IF(Events!A94="","",Events!A94)</x:f>
      </x:c>
      <x:c r="B95" s="16" t="str">
        <x:f>IF(A95="","",Events!B94)</x:f>
      </x:c>
      <x:c r="C95" s="16" t="str">
        <x:f>IF(A95="","",Events!E94)</x:f>
      </x:c>
      <x:c r="D95" s="16" t="str">
        <x:f>IF(A95="","",Events!J94)</x:f>
      </x:c>
      <x:c r="E95" s="16" t="str">
        <x:f>IF(A95="","",Events!N94)</x:f>
      </x:c>
      <x:c r="F95" s="109" t="str">
        <x:f>IF(OR(A95="",Events!H94=""),"",Events!H94)</x:f>
      </x:c>
      <x:c r="G95" s="109" t="str">
        <x:f>IF(A95="","",IF(Events!I94&lt;&gt;"",Events!I94,IF(Events!S94&lt;&gt;"",Events!S94,"")))</x:f>
      </x:c>
      <x:c r="H95" s="16" t="str">
        <x:f>IF(A95="","",Events!W94)</x:f>
      </x:c>
      <x:c r="I95" s="16" t="str">
        <x:f>IF(A95="","",IF(Events!Y94&lt;&gt;"",Events!Y94,IF(OR(ISNUMBER(SEARCH("education",P95)),ISNUMBER(SEARCH("exam",P95)),ISNUMBER(SEARCH("school",P95))),"Education",IF(OR(ISNUMBER(SEARCH("trade agreement",P95)),ISNUMBER(SEARCH("economic",P95)),ISNUMBER(SEARCH("import",P95))),"Trade &amp; economic policy",IF(OR(ISNUMBER(SEARCH("land acquisition",P95)),ISNUMBER(SEARCH("rehabilitation",P95)),ISNUMBER(SEARCH("displacement",P95)),ISNUMBER(SEARCH("township",P95))),"Land &amp; rehabilitation",IF(OR(ISNUMBER(SEARCH("forest",P95)),ISNUMBER(SEARCH("environment",P95)),ISNUMBER(SEARCH("ecological",P95)),ISNUMBER(SEARCH("biodiversity",P95)),ISNUMBER(SEARCH("green cover",P95))),"Environment",IF(OR(ISNUMBER(SEARCH("irrigation",P95)),ISNUMBER(SEARCH("water",P95)),ISNUMBER(SEARCH("crop",P95)),ISNUMBER(SEARCH("farmer",P95)),ISNUMBER(SEARCH("agriculture",P95))),"Agriculture &amp; water",IF(OR(ISNUMBER(SEARCH("health",P95)),ISNUMBER(SEARCH("hospital",P95)),ISNUMBER(SEARCH("medicine",P95))),"Public health",IF(OR(ISNUMBER(SEARCH("employee",P95)),ISNUMBER(SEARCH("labour",P95)),ISNUMBER(SEARCH("worker",P95)),ISNUMBER(SEARCH("salary",P95))),"Labour &amp; employment",IF(OR(ISNUMBER(SEARCH("rti",P95)),ISNUMBER(SEARCH("transparency",P95)),ISNUMBER(SEARCH("corruption",P95)),ISNUMBER(SEARCH("governance",P95))),"Governance &amp; transparency",IF(OR(ISNUMBER(SEARCH("police",P95)),ISNUMBER(SEARCH("detention",P95)),ISNUMBER(SEARCH("civil rights",P95)),ISNUMBER(SEARCH("justice",P95))),"Civil rights &amp; justice",IF(OR(ISNUMBER(SEARCH("road",P95)),ISNUMBER(SEARCH("utility",P95)),ISNUMBER(SEARCH("infrastructure",P95)),ISNUMBER(SEARCH("public service",P95))),"Infrastructure &amp; public services","Other"))))))))))))</x:f>
      </x:c>
      <x:c r="J95" s="16" t="str">
        <x:f>IF(A95="","",IF(OR(ISNUMBER(SEARCH("fatal",Q95)),ISNUMBER(SEARCH("death",Q95)),ISNUMBER(SEARCH("riot",Q95)),ISNUMBER(SEARCH("curfew",Q95)),ISNUMBER(SEARCH("internet shutdown",Q95))),5,MIN(4,1+IF(H95&gt;=7,1,0)+IF(OR(ISNUMBER(SEARCH("hunger strike",Q95)),ISNUMBER(SEARCH("blockade",Q95)),ISNUMBER(SEARCH("strike",Q95)),ISNUMBER(SEARCH("jal satyagraha",Q95)),ISNUMBER(SEARCH("survey",Q95)),ISNUMBER(SEARCH("human chain",Q95)),ISNUMBER(SEARCH("march",Q95))),1,0)+IF(OR(ISNUMBER(SEARCH("fir",Q95)),ISNUMBER(SEARCH("confrontation",Q95)),ISNUMBER(SEARCH("violence",Q95)),ISNUMBER(SEARCH("detention",Q95)),ISNUMBER(SEARCH("arrest",Q95)),ISNUMBER(SEARCH("demolition",Q95)),ISNUMBER(SEARCH("injury",Q95))),1,0)+IF(OR(D95="Ongoing",D95="Unresolved"),1,0))))</x:f>
      </x:c>
      <x:c r="K95" s="16" t="str">
        <x:f>IF(J95="","",IF(J95=1,"Limited",IF(J95=2,"Local",IF(J95=3,"Significant",IF(J95=4,"High","Critical")))))</x:f>
      </x:c>
      <x:c r="L95" s="16" t="str">
        <x:f>IF(A95="","",Events!U94)</x:f>
      </x:c>
      <x:c r="M95" s="16" t="str">
        <x:f>IF(A95="","",Events!V94)</x:f>
      </x:c>
      <x:c r="N95" s="16" t="str">
        <x:f>IF(A95="","",Events!Q94)</x:f>
      </x:c>
      <x:c r="O95" s="16" t="str">
        <x:f>IF(A95="","",Events!R94)</x:f>
      </x:c>
      <x:c r="P95" s="16" t="str">
        <x:f>IF(A95="","",LOWER(Events!B94&amp;" "&amp;Events!D94&amp;" "&amp;Events!K94))</x:f>
      </x:c>
      <x:c r="Q95" s="16" t="str">
        <x:f>IF(A95="","",LOWER(Events!C94&amp;" "&amp;Events!K94&amp;" "&amp;Events!T94))</x:f>
      </x:c>
      <x:c r="R95" s="16" t="str">
        <x:f>IF(A95="","",IF(ISNUMBER(SEARCH("Occurrence verified",E95)),"Occurrence verified",E95))</x:f>
      </x:c>
      <x:c r="S95" s="79" t="str">
        <x:f>IF(A95="","",Events!X94)</x:f>
      </x:c>
      <x:c r="Z95" s="79" t="str">
        <x:f>IF(A95="","",Events!AD94)</x:f>
      </x:c>
      <x:c r="AA95" s="79" t="str">
        <x:f>IF(A95="","",Events!AE94)</x:f>
      </x:c>
    </x:row>
    <x:row r="96">
      <x:c r="A96" s="16" t="str">
        <x:f>IF(Events!A95="","",Events!A95)</x:f>
      </x:c>
      <x:c r="B96" s="16" t="str">
        <x:f>IF(A96="","",Events!B95)</x:f>
      </x:c>
      <x:c r="C96" s="16" t="str">
        <x:f>IF(A96="","",Events!E95)</x:f>
      </x:c>
      <x:c r="D96" s="16" t="str">
        <x:f>IF(A96="","",Events!J95)</x:f>
      </x:c>
      <x:c r="E96" s="16" t="str">
        <x:f>IF(A96="","",Events!N95)</x:f>
      </x:c>
      <x:c r="F96" s="109" t="str">
        <x:f>IF(OR(A96="",Events!H95=""),"",Events!H95)</x:f>
      </x:c>
      <x:c r="G96" s="109" t="str">
        <x:f>IF(A96="","",IF(Events!I95&lt;&gt;"",Events!I95,IF(Events!S95&lt;&gt;"",Events!S95,"")))</x:f>
      </x:c>
      <x:c r="H96" s="16" t="str">
        <x:f>IF(A96="","",Events!W95)</x:f>
      </x:c>
      <x:c r="I96" s="16" t="str">
        <x:f>IF(A96="","",IF(Events!Y95&lt;&gt;"",Events!Y95,IF(OR(ISNUMBER(SEARCH("education",P96)),ISNUMBER(SEARCH("exam",P96)),ISNUMBER(SEARCH("school",P96))),"Education",IF(OR(ISNUMBER(SEARCH("trade agreement",P96)),ISNUMBER(SEARCH("economic",P96)),ISNUMBER(SEARCH("import",P96))),"Trade &amp; economic policy",IF(OR(ISNUMBER(SEARCH("land acquisition",P96)),ISNUMBER(SEARCH("rehabilitation",P96)),ISNUMBER(SEARCH("displacement",P96)),ISNUMBER(SEARCH("township",P96))),"Land &amp; rehabilitation",IF(OR(ISNUMBER(SEARCH("forest",P96)),ISNUMBER(SEARCH("environment",P96)),ISNUMBER(SEARCH("ecological",P96)),ISNUMBER(SEARCH("biodiversity",P96)),ISNUMBER(SEARCH("green cover",P96))),"Environment",IF(OR(ISNUMBER(SEARCH("irrigation",P96)),ISNUMBER(SEARCH("water",P96)),ISNUMBER(SEARCH("crop",P96)),ISNUMBER(SEARCH("farmer",P96)),ISNUMBER(SEARCH("agriculture",P96))),"Agriculture &amp; water",IF(OR(ISNUMBER(SEARCH("health",P96)),ISNUMBER(SEARCH("hospital",P96)),ISNUMBER(SEARCH("medicine",P96))),"Public health",IF(OR(ISNUMBER(SEARCH("employee",P96)),ISNUMBER(SEARCH("labour",P96)),ISNUMBER(SEARCH("worker",P96)),ISNUMBER(SEARCH("salary",P96))),"Labour &amp; employment",IF(OR(ISNUMBER(SEARCH("rti",P96)),ISNUMBER(SEARCH("transparency",P96)),ISNUMBER(SEARCH("corruption",P96)),ISNUMBER(SEARCH("governance",P96))),"Governance &amp; transparency",IF(OR(ISNUMBER(SEARCH("police",P96)),ISNUMBER(SEARCH("detention",P96)),ISNUMBER(SEARCH("civil rights",P96)),ISNUMBER(SEARCH("justice",P96))),"Civil rights &amp; justice",IF(OR(ISNUMBER(SEARCH("road",P96)),ISNUMBER(SEARCH("utility",P96)),ISNUMBER(SEARCH("infrastructure",P96)),ISNUMBER(SEARCH("public service",P96))),"Infrastructure &amp; public services","Other"))))))))))))</x:f>
      </x:c>
      <x:c r="J96" s="16" t="str">
        <x:f>IF(A96="","",IF(OR(ISNUMBER(SEARCH("fatal",Q96)),ISNUMBER(SEARCH("death",Q96)),ISNUMBER(SEARCH("riot",Q96)),ISNUMBER(SEARCH("curfew",Q96)),ISNUMBER(SEARCH("internet shutdown",Q96))),5,MIN(4,1+IF(H96&gt;=7,1,0)+IF(OR(ISNUMBER(SEARCH("hunger strike",Q96)),ISNUMBER(SEARCH("blockade",Q96)),ISNUMBER(SEARCH("strike",Q96)),ISNUMBER(SEARCH("jal satyagraha",Q96)),ISNUMBER(SEARCH("survey",Q96)),ISNUMBER(SEARCH("human chain",Q96)),ISNUMBER(SEARCH("march",Q96))),1,0)+IF(OR(ISNUMBER(SEARCH("fir",Q96)),ISNUMBER(SEARCH("confrontation",Q96)),ISNUMBER(SEARCH("violence",Q96)),ISNUMBER(SEARCH("detention",Q96)),ISNUMBER(SEARCH("arrest",Q96)),ISNUMBER(SEARCH("demolition",Q96)),ISNUMBER(SEARCH("injury",Q96))),1,0)+IF(OR(D96="Ongoing",D96="Unresolved"),1,0))))</x:f>
      </x:c>
      <x:c r="K96" s="16" t="str">
        <x:f>IF(J96="","",IF(J96=1,"Limited",IF(J96=2,"Local",IF(J96=3,"Significant",IF(J96=4,"High","Critical")))))</x:f>
      </x:c>
      <x:c r="L96" s="16" t="str">
        <x:f>IF(A96="","",Events!U95)</x:f>
      </x:c>
      <x:c r="M96" s="16" t="str">
        <x:f>IF(A96="","",Events!V95)</x:f>
      </x:c>
      <x:c r="N96" s="16" t="str">
        <x:f>IF(A96="","",Events!Q95)</x:f>
      </x:c>
      <x:c r="O96" s="16" t="str">
        <x:f>IF(A96="","",Events!R95)</x:f>
      </x:c>
      <x:c r="P96" s="16" t="str">
        <x:f>IF(A96="","",LOWER(Events!B95&amp;" "&amp;Events!D95&amp;" "&amp;Events!K95))</x:f>
      </x:c>
      <x:c r="Q96" s="16" t="str">
        <x:f>IF(A96="","",LOWER(Events!C95&amp;" "&amp;Events!K95&amp;" "&amp;Events!T95))</x:f>
      </x:c>
      <x:c r="R96" s="16" t="str">
        <x:f>IF(A96="","",IF(ISNUMBER(SEARCH("Occurrence verified",E96)),"Occurrence verified",E96))</x:f>
      </x:c>
      <x:c r="S96" s="79" t="str">
        <x:f>IF(A96="","",Events!X95)</x:f>
      </x:c>
      <x:c r="Z96" s="79" t="str">
        <x:f>IF(A96="","",Events!AD95)</x:f>
      </x:c>
      <x:c r="AA96" s="79" t="str">
        <x:f>IF(A96="","",Events!AE95)</x:f>
      </x:c>
    </x:row>
    <x:row r="97">
      <x:c r="A97" s="16" t="str">
        <x:f>IF(Events!A96="","",Events!A96)</x:f>
      </x:c>
      <x:c r="B97" s="16" t="str">
        <x:f>IF(A97="","",Events!B96)</x:f>
      </x:c>
      <x:c r="C97" s="16" t="str">
        <x:f>IF(A97="","",Events!E96)</x:f>
      </x:c>
      <x:c r="D97" s="16" t="str">
        <x:f>IF(A97="","",Events!J96)</x:f>
      </x:c>
      <x:c r="E97" s="16" t="str">
        <x:f>IF(A97="","",Events!N96)</x:f>
      </x:c>
      <x:c r="F97" s="109" t="str">
        <x:f>IF(OR(A97="",Events!H96=""),"",Events!H96)</x:f>
      </x:c>
      <x:c r="G97" s="109" t="str">
        <x:f>IF(A97="","",IF(Events!I96&lt;&gt;"",Events!I96,IF(Events!S96&lt;&gt;"",Events!S96,"")))</x:f>
      </x:c>
      <x:c r="H97" s="16" t="str">
        <x:f>IF(A97="","",Events!W96)</x:f>
      </x:c>
      <x:c r="I97" s="16" t="str">
        <x:f>IF(A97="","",IF(Events!Y96&lt;&gt;"",Events!Y96,IF(OR(ISNUMBER(SEARCH("education",P97)),ISNUMBER(SEARCH("exam",P97)),ISNUMBER(SEARCH("school",P97))),"Education",IF(OR(ISNUMBER(SEARCH("trade agreement",P97)),ISNUMBER(SEARCH("economic",P97)),ISNUMBER(SEARCH("import",P97))),"Trade &amp; economic policy",IF(OR(ISNUMBER(SEARCH("land acquisition",P97)),ISNUMBER(SEARCH("rehabilitation",P97)),ISNUMBER(SEARCH("displacement",P97)),ISNUMBER(SEARCH("township",P97))),"Land &amp; rehabilitation",IF(OR(ISNUMBER(SEARCH("forest",P97)),ISNUMBER(SEARCH("environment",P97)),ISNUMBER(SEARCH("ecological",P97)),ISNUMBER(SEARCH("biodiversity",P97)),ISNUMBER(SEARCH("green cover",P97))),"Environment",IF(OR(ISNUMBER(SEARCH("irrigation",P97)),ISNUMBER(SEARCH("water",P97)),ISNUMBER(SEARCH("crop",P97)),ISNUMBER(SEARCH("farmer",P97)),ISNUMBER(SEARCH("agriculture",P97))),"Agriculture &amp; water",IF(OR(ISNUMBER(SEARCH("health",P97)),ISNUMBER(SEARCH("hospital",P97)),ISNUMBER(SEARCH("medicine",P97))),"Public health",IF(OR(ISNUMBER(SEARCH("employee",P97)),ISNUMBER(SEARCH("labour",P97)),ISNUMBER(SEARCH("worker",P97)),ISNUMBER(SEARCH("salary",P97))),"Labour &amp; employment",IF(OR(ISNUMBER(SEARCH("rti",P97)),ISNUMBER(SEARCH("transparency",P97)),ISNUMBER(SEARCH("corruption",P97)),ISNUMBER(SEARCH("governance",P97))),"Governance &amp; transparency",IF(OR(ISNUMBER(SEARCH("police",P97)),ISNUMBER(SEARCH("detention",P97)),ISNUMBER(SEARCH("civil rights",P97)),ISNUMBER(SEARCH("justice",P97))),"Civil rights &amp; justice",IF(OR(ISNUMBER(SEARCH("road",P97)),ISNUMBER(SEARCH("utility",P97)),ISNUMBER(SEARCH("infrastructure",P97)),ISNUMBER(SEARCH("public service",P97))),"Infrastructure &amp; public services","Other"))))))))))))</x:f>
      </x:c>
      <x:c r="J97" s="16" t="str">
        <x:f>IF(A97="","",IF(OR(ISNUMBER(SEARCH("fatal",Q97)),ISNUMBER(SEARCH("death",Q97)),ISNUMBER(SEARCH("riot",Q97)),ISNUMBER(SEARCH("curfew",Q97)),ISNUMBER(SEARCH("internet shutdown",Q97))),5,MIN(4,1+IF(H97&gt;=7,1,0)+IF(OR(ISNUMBER(SEARCH("hunger strike",Q97)),ISNUMBER(SEARCH("blockade",Q97)),ISNUMBER(SEARCH("strike",Q97)),ISNUMBER(SEARCH("jal satyagraha",Q97)),ISNUMBER(SEARCH("survey",Q97)),ISNUMBER(SEARCH("human chain",Q97)),ISNUMBER(SEARCH("march",Q97))),1,0)+IF(OR(ISNUMBER(SEARCH("fir",Q97)),ISNUMBER(SEARCH("confrontation",Q97)),ISNUMBER(SEARCH("violence",Q97)),ISNUMBER(SEARCH("detention",Q97)),ISNUMBER(SEARCH("arrest",Q97)),ISNUMBER(SEARCH("demolition",Q97)),ISNUMBER(SEARCH("injury",Q97))),1,0)+IF(OR(D97="Ongoing",D97="Unresolved"),1,0))))</x:f>
      </x:c>
      <x:c r="K97" s="16" t="str">
        <x:f>IF(J97="","",IF(J97=1,"Limited",IF(J97=2,"Local",IF(J97=3,"Significant",IF(J97=4,"High","Critical")))))</x:f>
      </x:c>
      <x:c r="L97" s="16" t="str">
        <x:f>IF(A97="","",Events!U96)</x:f>
      </x:c>
      <x:c r="M97" s="16" t="str">
        <x:f>IF(A97="","",Events!V96)</x:f>
      </x:c>
      <x:c r="N97" s="16" t="str">
        <x:f>IF(A97="","",Events!Q96)</x:f>
      </x:c>
      <x:c r="O97" s="16" t="str">
        <x:f>IF(A97="","",Events!R96)</x:f>
      </x:c>
      <x:c r="P97" s="16" t="str">
        <x:f>IF(A97="","",LOWER(Events!B96&amp;" "&amp;Events!D96&amp;" "&amp;Events!K96))</x:f>
      </x:c>
      <x:c r="Q97" s="16" t="str">
        <x:f>IF(A97="","",LOWER(Events!C96&amp;" "&amp;Events!K96&amp;" "&amp;Events!T96))</x:f>
      </x:c>
      <x:c r="R97" s="16" t="str">
        <x:f>IF(A97="","",IF(ISNUMBER(SEARCH("Occurrence verified",E97)),"Occurrence verified",E97))</x:f>
      </x:c>
      <x:c r="S97" s="79" t="str">
        <x:f>IF(A97="","",Events!X96)</x:f>
      </x:c>
      <x:c r="Z97" s="79" t="str">
        <x:f>IF(A97="","",Events!AD96)</x:f>
      </x:c>
      <x:c r="AA97" s="79" t="str">
        <x:f>IF(A97="","",Events!AE96)</x:f>
      </x:c>
    </x:row>
    <x:row r="98">
      <x:c r="A98" s="16" t="str">
        <x:f>IF(Events!A97="","",Events!A97)</x:f>
      </x:c>
      <x:c r="B98" s="16" t="str">
        <x:f>IF(A98="","",Events!B97)</x:f>
      </x:c>
      <x:c r="C98" s="16" t="str">
        <x:f>IF(A98="","",Events!E97)</x:f>
      </x:c>
      <x:c r="D98" s="16" t="str">
        <x:f>IF(A98="","",Events!J97)</x:f>
      </x:c>
      <x:c r="E98" s="16" t="str">
        <x:f>IF(A98="","",Events!N97)</x:f>
      </x:c>
      <x:c r="F98" s="109" t="str">
        <x:f>IF(OR(A98="",Events!H97=""),"",Events!H97)</x:f>
      </x:c>
      <x:c r="G98" s="109" t="str">
        <x:f>IF(A98="","",IF(Events!I97&lt;&gt;"",Events!I97,IF(Events!S97&lt;&gt;"",Events!S97,"")))</x:f>
      </x:c>
      <x:c r="H98" s="16" t="str">
        <x:f>IF(A98="","",Events!W97)</x:f>
      </x:c>
      <x:c r="I98" s="16" t="str">
        <x:f>IF(A98="","",IF(Events!Y97&lt;&gt;"",Events!Y97,IF(OR(ISNUMBER(SEARCH("education",P98)),ISNUMBER(SEARCH("exam",P98)),ISNUMBER(SEARCH("school",P98))),"Education",IF(OR(ISNUMBER(SEARCH("trade agreement",P98)),ISNUMBER(SEARCH("economic",P98)),ISNUMBER(SEARCH("import",P98))),"Trade &amp; economic policy",IF(OR(ISNUMBER(SEARCH("land acquisition",P98)),ISNUMBER(SEARCH("rehabilitation",P98)),ISNUMBER(SEARCH("displacement",P98)),ISNUMBER(SEARCH("township",P98))),"Land &amp; rehabilitation",IF(OR(ISNUMBER(SEARCH("forest",P98)),ISNUMBER(SEARCH("environment",P98)),ISNUMBER(SEARCH("ecological",P98)),ISNUMBER(SEARCH("biodiversity",P98)),ISNUMBER(SEARCH("green cover",P98))),"Environment",IF(OR(ISNUMBER(SEARCH("irrigation",P98)),ISNUMBER(SEARCH("water",P98)),ISNUMBER(SEARCH("crop",P98)),ISNUMBER(SEARCH("farmer",P98)),ISNUMBER(SEARCH("agriculture",P98))),"Agriculture &amp; water",IF(OR(ISNUMBER(SEARCH("health",P98)),ISNUMBER(SEARCH("hospital",P98)),ISNUMBER(SEARCH("medicine",P98))),"Public health",IF(OR(ISNUMBER(SEARCH("employee",P98)),ISNUMBER(SEARCH("labour",P98)),ISNUMBER(SEARCH("worker",P98)),ISNUMBER(SEARCH("salary",P98))),"Labour &amp; employment",IF(OR(ISNUMBER(SEARCH("rti",P98)),ISNUMBER(SEARCH("transparency",P98)),ISNUMBER(SEARCH("corruption",P98)),ISNUMBER(SEARCH("governance",P98))),"Governance &amp; transparency",IF(OR(ISNUMBER(SEARCH("police",P98)),ISNUMBER(SEARCH("detention",P98)),ISNUMBER(SEARCH("civil rights",P98)),ISNUMBER(SEARCH("justice",P98))),"Civil rights &amp; justice",IF(OR(ISNUMBER(SEARCH("road",P98)),ISNUMBER(SEARCH("utility",P98)),ISNUMBER(SEARCH("infrastructure",P98)),ISNUMBER(SEARCH("public service",P98))),"Infrastructure &amp; public services","Other"))))))))))))</x:f>
      </x:c>
      <x:c r="J98" s="16" t="str">
        <x:f>IF(A98="","",IF(OR(ISNUMBER(SEARCH("fatal",Q98)),ISNUMBER(SEARCH("death",Q98)),ISNUMBER(SEARCH("riot",Q98)),ISNUMBER(SEARCH("curfew",Q98)),ISNUMBER(SEARCH("internet shutdown",Q98))),5,MIN(4,1+IF(H98&gt;=7,1,0)+IF(OR(ISNUMBER(SEARCH("hunger strike",Q98)),ISNUMBER(SEARCH("blockade",Q98)),ISNUMBER(SEARCH("strike",Q98)),ISNUMBER(SEARCH("jal satyagraha",Q98)),ISNUMBER(SEARCH("survey",Q98)),ISNUMBER(SEARCH("human chain",Q98)),ISNUMBER(SEARCH("march",Q98))),1,0)+IF(OR(ISNUMBER(SEARCH("fir",Q98)),ISNUMBER(SEARCH("confrontation",Q98)),ISNUMBER(SEARCH("violence",Q98)),ISNUMBER(SEARCH("detention",Q98)),ISNUMBER(SEARCH("arrest",Q98)),ISNUMBER(SEARCH("demolition",Q98)),ISNUMBER(SEARCH("injury",Q98))),1,0)+IF(OR(D98="Ongoing",D98="Unresolved"),1,0))))</x:f>
      </x:c>
      <x:c r="K98" s="16" t="str">
        <x:f>IF(J98="","",IF(J98=1,"Limited",IF(J98=2,"Local",IF(J98=3,"Significant",IF(J98=4,"High","Critical")))))</x:f>
      </x:c>
      <x:c r="L98" s="16" t="str">
        <x:f>IF(A98="","",Events!U97)</x:f>
      </x:c>
      <x:c r="M98" s="16" t="str">
        <x:f>IF(A98="","",Events!V97)</x:f>
      </x:c>
      <x:c r="N98" s="16" t="str">
        <x:f>IF(A98="","",Events!Q97)</x:f>
      </x:c>
      <x:c r="O98" s="16" t="str">
        <x:f>IF(A98="","",Events!R97)</x:f>
      </x:c>
      <x:c r="P98" s="16" t="str">
        <x:f>IF(A98="","",LOWER(Events!B97&amp;" "&amp;Events!D97&amp;" "&amp;Events!K97))</x:f>
      </x:c>
      <x:c r="Q98" s="16" t="str">
        <x:f>IF(A98="","",LOWER(Events!C97&amp;" "&amp;Events!K97&amp;" "&amp;Events!T97))</x:f>
      </x:c>
      <x:c r="R98" s="16" t="str">
        <x:f>IF(A98="","",IF(ISNUMBER(SEARCH("Occurrence verified",E98)),"Occurrence verified",E98))</x:f>
      </x:c>
      <x:c r="S98" s="79" t="str">
        <x:f>IF(A98="","",Events!X97)</x:f>
      </x:c>
      <x:c r="Z98" s="79" t="str">
        <x:f>IF(A98="","",Events!AD97)</x:f>
      </x:c>
      <x:c r="AA98" s="79" t="str">
        <x:f>IF(A98="","",Events!AE97)</x:f>
      </x:c>
    </x:row>
    <x:row r="99">
      <x:c r="A99" s="16" t="str">
        <x:f>IF(Events!A98="","",Events!A98)</x:f>
      </x:c>
      <x:c r="B99" s="16" t="str">
        <x:f>IF(A99="","",Events!B98)</x:f>
      </x:c>
      <x:c r="C99" s="16" t="str">
        <x:f>IF(A99="","",Events!E98)</x:f>
      </x:c>
      <x:c r="D99" s="16" t="str">
        <x:f>IF(A99="","",Events!J98)</x:f>
      </x:c>
      <x:c r="E99" s="16" t="str">
        <x:f>IF(A99="","",Events!N98)</x:f>
      </x:c>
      <x:c r="F99" s="109" t="str">
        <x:f>IF(OR(A99="",Events!H98=""),"",Events!H98)</x:f>
      </x:c>
      <x:c r="G99" s="109" t="str">
        <x:f>IF(A99="","",IF(Events!I98&lt;&gt;"",Events!I98,IF(Events!S98&lt;&gt;"",Events!S98,"")))</x:f>
      </x:c>
      <x:c r="H99" s="16" t="str">
        <x:f>IF(A99="","",Events!W98)</x:f>
      </x:c>
      <x:c r="I99" s="16" t="str">
        <x:f>IF(A99="","",IF(Events!Y98&lt;&gt;"",Events!Y98,IF(OR(ISNUMBER(SEARCH("education",P99)),ISNUMBER(SEARCH("exam",P99)),ISNUMBER(SEARCH("school",P99))),"Education",IF(OR(ISNUMBER(SEARCH("trade agreement",P99)),ISNUMBER(SEARCH("economic",P99)),ISNUMBER(SEARCH("import",P99))),"Trade &amp; economic policy",IF(OR(ISNUMBER(SEARCH("land acquisition",P99)),ISNUMBER(SEARCH("rehabilitation",P99)),ISNUMBER(SEARCH("displacement",P99)),ISNUMBER(SEARCH("township",P99))),"Land &amp; rehabilitation",IF(OR(ISNUMBER(SEARCH("forest",P99)),ISNUMBER(SEARCH("environment",P99)),ISNUMBER(SEARCH("ecological",P99)),ISNUMBER(SEARCH("biodiversity",P99)),ISNUMBER(SEARCH("green cover",P99))),"Environment",IF(OR(ISNUMBER(SEARCH("irrigation",P99)),ISNUMBER(SEARCH("water",P99)),ISNUMBER(SEARCH("crop",P99)),ISNUMBER(SEARCH("farmer",P99)),ISNUMBER(SEARCH("agriculture",P99))),"Agriculture &amp; water",IF(OR(ISNUMBER(SEARCH("health",P99)),ISNUMBER(SEARCH("hospital",P99)),ISNUMBER(SEARCH("medicine",P99))),"Public health",IF(OR(ISNUMBER(SEARCH("employee",P99)),ISNUMBER(SEARCH("labour",P99)),ISNUMBER(SEARCH("worker",P99)),ISNUMBER(SEARCH("salary",P99))),"Labour &amp; employment",IF(OR(ISNUMBER(SEARCH("rti",P99)),ISNUMBER(SEARCH("transparency",P99)),ISNUMBER(SEARCH("corruption",P99)),ISNUMBER(SEARCH("governance",P99))),"Governance &amp; transparency",IF(OR(ISNUMBER(SEARCH("police",P99)),ISNUMBER(SEARCH("detention",P99)),ISNUMBER(SEARCH("civil rights",P99)),ISNUMBER(SEARCH("justice",P99))),"Civil rights &amp; justice",IF(OR(ISNUMBER(SEARCH("road",P99)),ISNUMBER(SEARCH("utility",P99)),ISNUMBER(SEARCH("infrastructure",P99)),ISNUMBER(SEARCH("public service",P99))),"Infrastructure &amp; public services","Other"))))))))))))</x:f>
      </x:c>
      <x:c r="J99" s="16" t="str">
        <x:f>IF(A99="","",IF(OR(ISNUMBER(SEARCH("fatal",Q99)),ISNUMBER(SEARCH("death",Q99)),ISNUMBER(SEARCH("riot",Q99)),ISNUMBER(SEARCH("curfew",Q99)),ISNUMBER(SEARCH("internet shutdown",Q99))),5,MIN(4,1+IF(H99&gt;=7,1,0)+IF(OR(ISNUMBER(SEARCH("hunger strike",Q99)),ISNUMBER(SEARCH("blockade",Q99)),ISNUMBER(SEARCH("strike",Q99)),ISNUMBER(SEARCH("jal satyagraha",Q99)),ISNUMBER(SEARCH("survey",Q99)),ISNUMBER(SEARCH("human chain",Q99)),ISNUMBER(SEARCH("march",Q99))),1,0)+IF(OR(ISNUMBER(SEARCH("fir",Q99)),ISNUMBER(SEARCH("confrontation",Q99)),ISNUMBER(SEARCH("violence",Q99)),ISNUMBER(SEARCH("detention",Q99)),ISNUMBER(SEARCH("arrest",Q99)),ISNUMBER(SEARCH("demolition",Q99)),ISNUMBER(SEARCH("injury",Q99))),1,0)+IF(OR(D99="Ongoing",D99="Unresolved"),1,0))))</x:f>
      </x:c>
      <x:c r="K99" s="16" t="str">
        <x:f>IF(J99="","",IF(J99=1,"Limited",IF(J99=2,"Local",IF(J99=3,"Significant",IF(J99=4,"High","Critical")))))</x:f>
      </x:c>
      <x:c r="L99" s="16" t="str">
        <x:f>IF(A99="","",Events!U98)</x:f>
      </x:c>
      <x:c r="M99" s="16" t="str">
        <x:f>IF(A99="","",Events!V98)</x:f>
      </x:c>
      <x:c r="N99" s="16" t="str">
        <x:f>IF(A99="","",Events!Q98)</x:f>
      </x:c>
      <x:c r="O99" s="16" t="str">
        <x:f>IF(A99="","",Events!R98)</x:f>
      </x:c>
      <x:c r="P99" s="16" t="str">
        <x:f>IF(A99="","",LOWER(Events!B98&amp;" "&amp;Events!D98&amp;" "&amp;Events!K98))</x:f>
      </x:c>
      <x:c r="Q99" s="16" t="str">
        <x:f>IF(A99="","",LOWER(Events!C98&amp;" "&amp;Events!K98&amp;" "&amp;Events!T98))</x:f>
      </x:c>
      <x:c r="R99" s="16" t="str">
        <x:f>IF(A99="","",IF(ISNUMBER(SEARCH("Occurrence verified",E99)),"Occurrence verified",E99))</x:f>
      </x:c>
      <x:c r="S99" s="79" t="str">
        <x:f>IF(A99="","",Events!X98)</x:f>
      </x:c>
      <x:c r="Z99" s="79" t="str">
        <x:f>IF(A99="","",Events!AD98)</x:f>
      </x:c>
      <x:c r="AA99" s="79" t="str">
        <x:f>IF(A99="","",Events!AE98)</x:f>
      </x:c>
    </x:row>
    <x:row r="100">
      <x:c r="A100" s="16" t="str">
        <x:f>IF(Events!A99="","",Events!A99)</x:f>
      </x:c>
      <x:c r="B100" s="16" t="str">
        <x:f>IF(A100="","",Events!B99)</x:f>
      </x:c>
      <x:c r="C100" s="16" t="str">
        <x:f>IF(A100="","",Events!E99)</x:f>
      </x:c>
      <x:c r="D100" s="16" t="str">
        <x:f>IF(A100="","",Events!J99)</x:f>
      </x:c>
      <x:c r="E100" s="16" t="str">
        <x:f>IF(A100="","",Events!N99)</x:f>
      </x:c>
      <x:c r="F100" s="109" t="str">
        <x:f>IF(OR(A100="",Events!H99=""),"",Events!H99)</x:f>
      </x:c>
      <x:c r="G100" s="109" t="str">
        <x:f>IF(A100="","",IF(Events!I99&lt;&gt;"",Events!I99,IF(Events!S99&lt;&gt;"",Events!S99,"")))</x:f>
      </x:c>
      <x:c r="H100" s="16" t="str">
        <x:f>IF(A100="","",Events!W99)</x:f>
      </x:c>
      <x:c r="I100" s="16" t="str">
        <x:f>IF(A100="","",IF(Events!Y99&lt;&gt;"",Events!Y99,IF(OR(ISNUMBER(SEARCH("education",P100)),ISNUMBER(SEARCH("exam",P100)),ISNUMBER(SEARCH("school",P100))),"Education",IF(OR(ISNUMBER(SEARCH("trade agreement",P100)),ISNUMBER(SEARCH("economic",P100)),ISNUMBER(SEARCH("import",P100))),"Trade &amp; economic policy",IF(OR(ISNUMBER(SEARCH("land acquisition",P100)),ISNUMBER(SEARCH("rehabilitation",P100)),ISNUMBER(SEARCH("displacement",P100)),ISNUMBER(SEARCH("township",P100))),"Land &amp; rehabilitation",IF(OR(ISNUMBER(SEARCH("forest",P100)),ISNUMBER(SEARCH("environment",P100)),ISNUMBER(SEARCH("ecological",P100)),ISNUMBER(SEARCH("biodiversity",P100)),ISNUMBER(SEARCH("green cover",P100))),"Environment",IF(OR(ISNUMBER(SEARCH("irrigation",P100)),ISNUMBER(SEARCH("water",P100)),ISNUMBER(SEARCH("crop",P100)),ISNUMBER(SEARCH("farmer",P100)),ISNUMBER(SEARCH("agriculture",P100))),"Agriculture &amp; water",IF(OR(ISNUMBER(SEARCH("health",P100)),ISNUMBER(SEARCH("hospital",P100)),ISNUMBER(SEARCH("medicine",P100))),"Public health",IF(OR(ISNUMBER(SEARCH("employee",P100)),ISNUMBER(SEARCH("labour",P100)),ISNUMBER(SEARCH("worker",P100)),ISNUMBER(SEARCH("salary",P100))),"Labour &amp; employment",IF(OR(ISNUMBER(SEARCH("rti",P100)),ISNUMBER(SEARCH("transparency",P100)),ISNUMBER(SEARCH("corruption",P100)),ISNUMBER(SEARCH("governance",P100))),"Governance &amp; transparency",IF(OR(ISNUMBER(SEARCH("police",P100)),ISNUMBER(SEARCH("detention",P100)),ISNUMBER(SEARCH("civil rights",P100)),ISNUMBER(SEARCH("justice",P100))),"Civil rights &amp; justice",IF(OR(ISNUMBER(SEARCH("road",P100)),ISNUMBER(SEARCH("utility",P100)),ISNUMBER(SEARCH("infrastructure",P100)),ISNUMBER(SEARCH("public service",P100))),"Infrastructure &amp; public services","Other"))))))))))))</x:f>
      </x:c>
      <x:c r="J100" s="16" t="str">
        <x:f>IF(A100="","",IF(OR(ISNUMBER(SEARCH("fatal",Q100)),ISNUMBER(SEARCH("death",Q100)),ISNUMBER(SEARCH("riot",Q100)),ISNUMBER(SEARCH("curfew",Q100)),ISNUMBER(SEARCH("internet shutdown",Q100))),5,MIN(4,1+IF(H100&gt;=7,1,0)+IF(OR(ISNUMBER(SEARCH("hunger strike",Q100)),ISNUMBER(SEARCH("blockade",Q100)),ISNUMBER(SEARCH("strike",Q100)),ISNUMBER(SEARCH("jal satyagraha",Q100)),ISNUMBER(SEARCH("survey",Q100)),ISNUMBER(SEARCH("human chain",Q100)),ISNUMBER(SEARCH("march",Q100))),1,0)+IF(OR(ISNUMBER(SEARCH("fir",Q100)),ISNUMBER(SEARCH("confrontation",Q100)),ISNUMBER(SEARCH("violence",Q100)),ISNUMBER(SEARCH("detention",Q100)),ISNUMBER(SEARCH("arrest",Q100)),ISNUMBER(SEARCH("demolition",Q100)),ISNUMBER(SEARCH("injury",Q100))),1,0)+IF(OR(D100="Ongoing",D100="Unresolved"),1,0))))</x:f>
      </x:c>
      <x:c r="K100" s="16" t="str">
        <x:f>IF(J100="","",IF(J100=1,"Limited",IF(J100=2,"Local",IF(J100=3,"Significant",IF(J100=4,"High","Critical")))))</x:f>
      </x:c>
      <x:c r="L100" s="16" t="str">
        <x:f>IF(A100="","",Events!U99)</x:f>
      </x:c>
      <x:c r="M100" s="16" t="str">
        <x:f>IF(A100="","",Events!V99)</x:f>
      </x:c>
      <x:c r="N100" s="16" t="str">
        <x:f>IF(A100="","",Events!Q99)</x:f>
      </x:c>
      <x:c r="O100" s="16" t="str">
        <x:f>IF(A100="","",Events!R99)</x:f>
      </x:c>
      <x:c r="P100" s="16" t="str">
        <x:f>IF(A100="","",LOWER(Events!B99&amp;" "&amp;Events!D99&amp;" "&amp;Events!K99))</x:f>
      </x:c>
      <x:c r="Q100" s="16" t="str">
        <x:f>IF(A100="","",LOWER(Events!C99&amp;" "&amp;Events!K99&amp;" "&amp;Events!T99))</x:f>
      </x:c>
      <x:c r="R100" s="16" t="str">
        <x:f>IF(A100="","",IF(ISNUMBER(SEARCH("Occurrence verified",E100)),"Occurrence verified",E100))</x:f>
      </x:c>
      <x:c r="S100" s="79" t="str">
        <x:f>IF(A100="","",Events!X99)</x:f>
      </x:c>
      <x:c r="Z100" s="79" t="str">
        <x:f>IF(A100="","",Events!AD99)</x:f>
      </x:c>
      <x:c r="AA100" s="79" t="str">
        <x:f>IF(A100="","",Events!AE99)</x:f>
      </x:c>
    </x:row>
    <x:row r="101">
      <x:c r="A101" s="16" t="str">
        <x:f>IF(Events!A100="","",Events!A100)</x:f>
      </x:c>
      <x:c r="B101" s="16" t="str">
        <x:f>IF(A101="","",Events!B100)</x:f>
      </x:c>
      <x:c r="C101" s="16" t="str">
        <x:f>IF(A101="","",Events!E100)</x:f>
      </x:c>
      <x:c r="D101" s="16" t="str">
        <x:f>IF(A101="","",Events!J100)</x:f>
      </x:c>
      <x:c r="E101" s="16" t="str">
        <x:f>IF(A101="","",Events!N100)</x:f>
      </x:c>
      <x:c r="F101" s="109" t="str">
        <x:f>IF(OR(A101="",Events!H100=""),"",Events!H100)</x:f>
      </x:c>
      <x:c r="G101" s="109" t="str">
        <x:f>IF(A101="","",IF(Events!I100&lt;&gt;"",Events!I100,IF(Events!S100&lt;&gt;"",Events!S100,"")))</x:f>
      </x:c>
      <x:c r="H101" s="16" t="str">
        <x:f>IF(A101="","",Events!W100)</x:f>
      </x:c>
      <x:c r="I101" s="16" t="str">
        <x:f>IF(A101="","",IF(Events!Y100&lt;&gt;"",Events!Y100,IF(OR(ISNUMBER(SEARCH("education",P101)),ISNUMBER(SEARCH("exam",P101)),ISNUMBER(SEARCH("school",P101))),"Education",IF(OR(ISNUMBER(SEARCH("trade agreement",P101)),ISNUMBER(SEARCH("economic",P101)),ISNUMBER(SEARCH("import",P101))),"Trade &amp; economic policy",IF(OR(ISNUMBER(SEARCH("land acquisition",P101)),ISNUMBER(SEARCH("rehabilitation",P101)),ISNUMBER(SEARCH("displacement",P101)),ISNUMBER(SEARCH("township",P101))),"Land &amp; rehabilitation",IF(OR(ISNUMBER(SEARCH("forest",P101)),ISNUMBER(SEARCH("environment",P101)),ISNUMBER(SEARCH("ecological",P101)),ISNUMBER(SEARCH("biodiversity",P101)),ISNUMBER(SEARCH("green cover",P101))),"Environment",IF(OR(ISNUMBER(SEARCH("irrigation",P101)),ISNUMBER(SEARCH("water",P101)),ISNUMBER(SEARCH("crop",P101)),ISNUMBER(SEARCH("farmer",P101)),ISNUMBER(SEARCH("agriculture",P101))),"Agriculture &amp; water",IF(OR(ISNUMBER(SEARCH("health",P101)),ISNUMBER(SEARCH("hospital",P101)),ISNUMBER(SEARCH("medicine",P101))),"Public health",IF(OR(ISNUMBER(SEARCH("employee",P101)),ISNUMBER(SEARCH("labour",P101)),ISNUMBER(SEARCH("worker",P101)),ISNUMBER(SEARCH("salary",P101))),"Labour &amp; employment",IF(OR(ISNUMBER(SEARCH("rti",P101)),ISNUMBER(SEARCH("transparency",P101)),ISNUMBER(SEARCH("corruption",P101)),ISNUMBER(SEARCH("governance",P101))),"Governance &amp; transparency",IF(OR(ISNUMBER(SEARCH("police",P101)),ISNUMBER(SEARCH("detention",P101)),ISNUMBER(SEARCH("civil rights",P101)),ISNUMBER(SEARCH("justice",P101))),"Civil rights &amp; justice",IF(OR(ISNUMBER(SEARCH("road",P101)),ISNUMBER(SEARCH("utility",P101)),ISNUMBER(SEARCH("infrastructure",P101)),ISNUMBER(SEARCH("public service",P101))),"Infrastructure &amp; public services","Other"))))))))))))</x:f>
      </x:c>
      <x:c r="J101" s="16" t="str">
        <x:f>IF(A101="","",IF(OR(ISNUMBER(SEARCH("fatal",Q101)),ISNUMBER(SEARCH("death",Q101)),ISNUMBER(SEARCH("riot",Q101)),ISNUMBER(SEARCH("curfew",Q101)),ISNUMBER(SEARCH("internet shutdown",Q101))),5,MIN(4,1+IF(H101&gt;=7,1,0)+IF(OR(ISNUMBER(SEARCH("hunger strike",Q101)),ISNUMBER(SEARCH("blockade",Q101)),ISNUMBER(SEARCH("strike",Q101)),ISNUMBER(SEARCH("jal satyagraha",Q101)),ISNUMBER(SEARCH("survey",Q101)),ISNUMBER(SEARCH("human chain",Q101)),ISNUMBER(SEARCH("march",Q101))),1,0)+IF(OR(ISNUMBER(SEARCH("fir",Q101)),ISNUMBER(SEARCH("confrontation",Q101)),ISNUMBER(SEARCH("violence",Q101)),ISNUMBER(SEARCH("detention",Q101)),ISNUMBER(SEARCH("arrest",Q101)),ISNUMBER(SEARCH("demolition",Q101)),ISNUMBER(SEARCH("injury",Q101))),1,0)+IF(OR(D101="Ongoing",D101="Unresolved"),1,0))))</x:f>
      </x:c>
      <x:c r="K101" s="16" t="str">
        <x:f>IF(J101="","",IF(J101=1,"Limited",IF(J101=2,"Local",IF(J101=3,"Significant",IF(J101=4,"High","Critical")))))</x:f>
      </x:c>
      <x:c r="L101" s="16" t="str">
        <x:f>IF(A101="","",Events!U100)</x:f>
      </x:c>
      <x:c r="M101" s="16" t="str">
        <x:f>IF(A101="","",Events!V100)</x:f>
      </x:c>
      <x:c r="N101" s="16" t="str">
        <x:f>IF(A101="","",Events!Q100)</x:f>
      </x:c>
      <x:c r="O101" s="16" t="str">
        <x:f>IF(A101="","",Events!R100)</x:f>
      </x:c>
      <x:c r="P101" s="16" t="str">
        <x:f>IF(A101="","",LOWER(Events!B100&amp;" "&amp;Events!D100&amp;" "&amp;Events!K100))</x:f>
      </x:c>
      <x:c r="Q101" s="16" t="str">
        <x:f>IF(A101="","",LOWER(Events!C100&amp;" "&amp;Events!K100&amp;" "&amp;Events!T100))</x:f>
      </x:c>
      <x:c r="R101" s="16" t="str">
        <x:f>IF(A101="","",IF(ISNUMBER(SEARCH("Occurrence verified",E101)),"Occurrence verified",E101))</x:f>
      </x:c>
      <x:c r="S101" s="79" t="str">
        <x:f>IF(A101="","",Events!X100)</x:f>
      </x:c>
      <x:c r="Z101" s="79" t="str">
        <x:f>IF(A101="","",Events!AD100)</x:f>
      </x:c>
      <x:c r="AA101" s="79" t="str">
        <x:f>IF(A101="","",Events!AE100)</x:f>
      </x:c>
    </x:row>
    <x:row r="102">
      <x:c r="A102" s="16" t="str">
        <x:f>IF(Events!A101="","",Events!A101)</x:f>
      </x:c>
      <x:c r="B102" s="16" t="str">
        <x:f>IF(A102="","",Events!B101)</x:f>
      </x:c>
      <x:c r="C102" s="16" t="str">
        <x:f>IF(A102="","",Events!E101)</x:f>
      </x:c>
      <x:c r="D102" s="16" t="str">
        <x:f>IF(A102="","",Events!J101)</x:f>
      </x:c>
      <x:c r="E102" s="16" t="str">
        <x:f>IF(A102="","",Events!N101)</x:f>
      </x:c>
      <x:c r="F102" s="109" t="str">
        <x:f>IF(OR(A102="",Events!H101=""),"",Events!H101)</x:f>
      </x:c>
      <x:c r="G102" s="109" t="str">
        <x:f>IF(A102="","",IF(Events!I101&lt;&gt;"",Events!I101,IF(Events!S101&lt;&gt;"",Events!S101,"")))</x:f>
      </x:c>
      <x:c r="H102" s="16" t="str">
        <x:f>IF(A102="","",Events!W101)</x:f>
      </x:c>
      <x:c r="I102" s="16" t="str">
        <x:f>IF(A102="","",IF(Events!Y101&lt;&gt;"",Events!Y101,IF(OR(ISNUMBER(SEARCH("education",P102)),ISNUMBER(SEARCH("exam",P102)),ISNUMBER(SEARCH("school",P102))),"Education",IF(OR(ISNUMBER(SEARCH("trade agreement",P102)),ISNUMBER(SEARCH("economic",P102)),ISNUMBER(SEARCH("import",P102))),"Trade &amp; economic policy",IF(OR(ISNUMBER(SEARCH("land acquisition",P102)),ISNUMBER(SEARCH("rehabilitation",P102)),ISNUMBER(SEARCH("displacement",P102)),ISNUMBER(SEARCH("township",P102))),"Land &amp; rehabilitation",IF(OR(ISNUMBER(SEARCH("forest",P102)),ISNUMBER(SEARCH("environment",P102)),ISNUMBER(SEARCH("ecological",P102)),ISNUMBER(SEARCH("biodiversity",P102)),ISNUMBER(SEARCH("green cover",P102))),"Environment",IF(OR(ISNUMBER(SEARCH("irrigation",P102)),ISNUMBER(SEARCH("water",P102)),ISNUMBER(SEARCH("crop",P102)),ISNUMBER(SEARCH("farmer",P102)),ISNUMBER(SEARCH("agriculture",P102))),"Agriculture &amp; water",IF(OR(ISNUMBER(SEARCH("health",P102)),ISNUMBER(SEARCH("hospital",P102)),ISNUMBER(SEARCH("medicine",P102))),"Public health",IF(OR(ISNUMBER(SEARCH("employee",P102)),ISNUMBER(SEARCH("labour",P102)),ISNUMBER(SEARCH("worker",P102)),ISNUMBER(SEARCH("salary",P102))),"Labour &amp; employment",IF(OR(ISNUMBER(SEARCH("rti",P102)),ISNUMBER(SEARCH("transparency",P102)),ISNUMBER(SEARCH("corruption",P102)),ISNUMBER(SEARCH("governance",P102))),"Governance &amp; transparency",IF(OR(ISNUMBER(SEARCH("police",P102)),ISNUMBER(SEARCH("detention",P102)),ISNUMBER(SEARCH("civil rights",P102)),ISNUMBER(SEARCH("justice",P102))),"Civil rights &amp; justice",IF(OR(ISNUMBER(SEARCH("road",P102)),ISNUMBER(SEARCH("utility",P102)),ISNUMBER(SEARCH("infrastructure",P102)),ISNUMBER(SEARCH("public service",P102))),"Infrastructure &amp; public services","Other"))))))))))))</x:f>
      </x:c>
      <x:c r="J102" s="16" t="str">
        <x:f>IF(A102="","",IF(OR(ISNUMBER(SEARCH("fatal",Q102)),ISNUMBER(SEARCH("death",Q102)),ISNUMBER(SEARCH("riot",Q102)),ISNUMBER(SEARCH("curfew",Q102)),ISNUMBER(SEARCH("internet shutdown",Q102))),5,MIN(4,1+IF(H102&gt;=7,1,0)+IF(OR(ISNUMBER(SEARCH("hunger strike",Q102)),ISNUMBER(SEARCH("blockade",Q102)),ISNUMBER(SEARCH("strike",Q102)),ISNUMBER(SEARCH("jal satyagraha",Q102)),ISNUMBER(SEARCH("survey",Q102)),ISNUMBER(SEARCH("human chain",Q102)),ISNUMBER(SEARCH("march",Q102))),1,0)+IF(OR(ISNUMBER(SEARCH("fir",Q102)),ISNUMBER(SEARCH("confrontation",Q102)),ISNUMBER(SEARCH("violence",Q102)),ISNUMBER(SEARCH("detention",Q102)),ISNUMBER(SEARCH("arrest",Q102)),ISNUMBER(SEARCH("demolition",Q102)),ISNUMBER(SEARCH("injury",Q102))),1,0)+IF(OR(D102="Ongoing",D102="Unresolved"),1,0))))</x:f>
      </x:c>
      <x:c r="K102" s="16" t="str">
        <x:f>IF(J102="","",IF(J102=1,"Limited",IF(J102=2,"Local",IF(J102=3,"Significant",IF(J102=4,"High","Critical")))))</x:f>
      </x:c>
      <x:c r="L102" s="16" t="str">
        <x:f>IF(A102="","",Events!U101)</x:f>
      </x:c>
      <x:c r="M102" s="16" t="str">
        <x:f>IF(A102="","",Events!V101)</x:f>
      </x:c>
      <x:c r="N102" s="16" t="str">
        <x:f>IF(A102="","",Events!Q101)</x:f>
      </x:c>
      <x:c r="O102" s="16" t="str">
        <x:f>IF(A102="","",Events!R101)</x:f>
      </x:c>
      <x:c r="P102" s="16" t="str">
        <x:f>IF(A102="","",LOWER(Events!B101&amp;" "&amp;Events!D101&amp;" "&amp;Events!K101))</x:f>
      </x:c>
      <x:c r="Q102" s="16" t="str">
        <x:f>IF(A102="","",LOWER(Events!C101&amp;" "&amp;Events!K101&amp;" "&amp;Events!T101))</x:f>
      </x:c>
      <x:c r="R102" s="16" t="str">
        <x:f>IF(A102="","",IF(ISNUMBER(SEARCH("Occurrence verified",E102)),"Occurrence verified",E102))</x:f>
      </x:c>
      <x:c r="S102" s="79" t="str">
        <x:f>IF(A102="","",Events!X101)</x:f>
      </x:c>
      <x:c r="Z102" s="79" t="str">
        <x:f>IF(A102="","",Events!AD101)</x:f>
      </x:c>
      <x:c r="AA102" s="79" t="str">
        <x:f>IF(A102="","",Events!AE101)</x:f>
      </x:c>
    </x:row>
    <x:row r="103">
      <x:c r="A103" s="16" t="str">
        <x:f>IF(Events!A102="","",Events!A102)</x:f>
      </x:c>
      <x:c r="B103" s="16" t="str">
        <x:f>IF(A103="","",Events!B102)</x:f>
      </x:c>
      <x:c r="C103" s="16" t="str">
        <x:f>IF(A103="","",Events!E102)</x:f>
      </x:c>
      <x:c r="D103" s="16" t="str">
        <x:f>IF(A103="","",Events!J102)</x:f>
      </x:c>
      <x:c r="E103" s="16" t="str">
        <x:f>IF(A103="","",Events!N102)</x:f>
      </x:c>
      <x:c r="F103" s="109" t="str">
        <x:f>IF(OR(A103="",Events!H102=""),"",Events!H102)</x:f>
      </x:c>
      <x:c r="G103" s="109" t="str">
        <x:f>IF(A103="","",IF(Events!I102&lt;&gt;"",Events!I102,IF(Events!S102&lt;&gt;"",Events!S102,"")))</x:f>
      </x:c>
      <x:c r="H103" s="16" t="str">
        <x:f>IF(A103="","",Events!W102)</x:f>
      </x:c>
      <x:c r="I103" s="16" t="str">
        <x:f>IF(A103="","",IF(Events!Y102&lt;&gt;"",Events!Y102,IF(OR(ISNUMBER(SEARCH("education",P103)),ISNUMBER(SEARCH("exam",P103)),ISNUMBER(SEARCH("school",P103))),"Education",IF(OR(ISNUMBER(SEARCH("trade agreement",P103)),ISNUMBER(SEARCH("economic",P103)),ISNUMBER(SEARCH("import",P103))),"Trade &amp; economic policy",IF(OR(ISNUMBER(SEARCH("land acquisition",P103)),ISNUMBER(SEARCH("rehabilitation",P103)),ISNUMBER(SEARCH("displacement",P103)),ISNUMBER(SEARCH("township",P103))),"Land &amp; rehabilitation",IF(OR(ISNUMBER(SEARCH("forest",P103)),ISNUMBER(SEARCH("environment",P103)),ISNUMBER(SEARCH("ecological",P103)),ISNUMBER(SEARCH("biodiversity",P103)),ISNUMBER(SEARCH("green cover",P103))),"Environment",IF(OR(ISNUMBER(SEARCH("irrigation",P103)),ISNUMBER(SEARCH("water",P103)),ISNUMBER(SEARCH("crop",P103)),ISNUMBER(SEARCH("farmer",P103)),ISNUMBER(SEARCH("agriculture",P103))),"Agriculture &amp; water",IF(OR(ISNUMBER(SEARCH("health",P103)),ISNUMBER(SEARCH("hospital",P103)),ISNUMBER(SEARCH("medicine",P103))),"Public health",IF(OR(ISNUMBER(SEARCH("employee",P103)),ISNUMBER(SEARCH("labour",P103)),ISNUMBER(SEARCH("worker",P103)),ISNUMBER(SEARCH("salary",P103))),"Labour &amp; employment",IF(OR(ISNUMBER(SEARCH("rti",P103)),ISNUMBER(SEARCH("transparency",P103)),ISNUMBER(SEARCH("corruption",P103)),ISNUMBER(SEARCH("governance",P103))),"Governance &amp; transparency",IF(OR(ISNUMBER(SEARCH("police",P103)),ISNUMBER(SEARCH("detention",P103)),ISNUMBER(SEARCH("civil rights",P103)),ISNUMBER(SEARCH("justice",P103))),"Civil rights &amp; justice",IF(OR(ISNUMBER(SEARCH("road",P103)),ISNUMBER(SEARCH("utility",P103)),ISNUMBER(SEARCH("infrastructure",P103)),ISNUMBER(SEARCH("public service",P103))),"Infrastructure &amp; public services","Other"))))))))))))</x:f>
      </x:c>
      <x:c r="J103" s="16" t="str">
        <x:f>IF(A103="","",IF(OR(ISNUMBER(SEARCH("fatal",Q103)),ISNUMBER(SEARCH("death",Q103)),ISNUMBER(SEARCH("riot",Q103)),ISNUMBER(SEARCH("curfew",Q103)),ISNUMBER(SEARCH("internet shutdown",Q103))),5,MIN(4,1+IF(H103&gt;=7,1,0)+IF(OR(ISNUMBER(SEARCH("hunger strike",Q103)),ISNUMBER(SEARCH("blockade",Q103)),ISNUMBER(SEARCH("strike",Q103)),ISNUMBER(SEARCH("jal satyagraha",Q103)),ISNUMBER(SEARCH("survey",Q103)),ISNUMBER(SEARCH("human chain",Q103)),ISNUMBER(SEARCH("march",Q103))),1,0)+IF(OR(ISNUMBER(SEARCH("fir",Q103)),ISNUMBER(SEARCH("confrontation",Q103)),ISNUMBER(SEARCH("violence",Q103)),ISNUMBER(SEARCH("detention",Q103)),ISNUMBER(SEARCH("arrest",Q103)),ISNUMBER(SEARCH("demolition",Q103)),ISNUMBER(SEARCH("injury",Q103))),1,0)+IF(OR(D103="Ongoing",D103="Unresolved"),1,0))))</x:f>
      </x:c>
      <x:c r="K103" s="16" t="str">
        <x:f>IF(J103="","",IF(J103=1,"Limited",IF(J103=2,"Local",IF(J103=3,"Significant",IF(J103=4,"High","Critical")))))</x:f>
      </x:c>
      <x:c r="L103" s="16" t="str">
        <x:f>IF(A103="","",Events!U102)</x:f>
      </x:c>
      <x:c r="M103" s="16" t="str">
        <x:f>IF(A103="","",Events!V102)</x:f>
      </x:c>
      <x:c r="N103" s="16" t="str">
        <x:f>IF(A103="","",Events!Q102)</x:f>
      </x:c>
      <x:c r="O103" s="16" t="str">
        <x:f>IF(A103="","",Events!R102)</x:f>
      </x:c>
      <x:c r="P103" s="16" t="str">
        <x:f>IF(A103="","",LOWER(Events!B102&amp;" "&amp;Events!D102&amp;" "&amp;Events!K102))</x:f>
      </x:c>
      <x:c r="Q103" s="16" t="str">
        <x:f>IF(A103="","",LOWER(Events!C102&amp;" "&amp;Events!K102&amp;" "&amp;Events!T102))</x:f>
      </x:c>
      <x:c r="R103" s="16" t="str">
        <x:f>IF(A103="","",IF(ISNUMBER(SEARCH("Occurrence verified",E103)),"Occurrence verified",E103))</x:f>
      </x:c>
      <x:c r="S103" s="79" t="str">
        <x:f>IF(A103="","",Events!X102)</x:f>
      </x:c>
      <x:c r="Z103" s="79" t="str">
        <x:f>IF(A103="","",Events!AD102)</x:f>
      </x:c>
      <x:c r="AA103" s="79" t="str">
        <x:f>IF(A103="","",Events!AE102)</x:f>
      </x:c>
    </x:row>
    <x:row r="104">
      <x:c r="A104" s="16" t="str">
        <x:f>IF(Events!A103="","",Events!A103)</x:f>
      </x:c>
      <x:c r="B104" s="16" t="str">
        <x:f>IF(A104="","",Events!B103)</x:f>
      </x:c>
      <x:c r="C104" s="16" t="str">
        <x:f>IF(A104="","",Events!E103)</x:f>
      </x:c>
      <x:c r="D104" s="16" t="str">
        <x:f>IF(A104="","",Events!J103)</x:f>
      </x:c>
      <x:c r="E104" s="16" t="str">
        <x:f>IF(A104="","",Events!N103)</x:f>
      </x:c>
      <x:c r="F104" s="109" t="str">
        <x:f>IF(OR(A104="",Events!H103=""),"",Events!H103)</x:f>
      </x:c>
      <x:c r="G104" s="109" t="str">
        <x:f>IF(A104="","",IF(Events!I103&lt;&gt;"",Events!I103,IF(Events!S103&lt;&gt;"",Events!S103,"")))</x:f>
      </x:c>
      <x:c r="H104" s="16" t="str">
        <x:f>IF(A104="","",Events!W103)</x:f>
      </x:c>
      <x:c r="I104" s="16" t="str">
        <x:f>IF(A104="","",IF(Events!Y103&lt;&gt;"",Events!Y103,IF(OR(ISNUMBER(SEARCH("education",P104)),ISNUMBER(SEARCH("exam",P104)),ISNUMBER(SEARCH("school",P104))),"Education",IF(OR(ISNUMBER(SEARCH("trade agreement",P104)),ISNUMBER(SEARCH("economic",P104)),ISNUMBER(SEARCH("import",P104))),"Trade &amp; economic policy",IF(OR(ISNUMBER(SEARCH("land acquisition",P104)),ISNUMBER(SEARCH("rehabilitation",P104)),ISNUMBER(SEARCH("displacement",P104)),ISNUMBER(SEARCH("township",P104))),"Land &amp; rehabilitation",IF(OR(ISNUMBER(SEARCH("forest",P104)),ISNUMBER(SEARCH("environment",P104)),ISNUMBER(SEARCH("ecological",P104)),ISNUMBER(SEARCH("biodiversity",P104)),ISNUMBER(SEARCH("green cover",P104))),"Environment",IF(OR(ISNUMBER(SEARCH("irrigation",P104)),ISNUMBER(SEARCH("water",P104)),ISNUMBER(SEARCH("crop",P104)),ISNUMBER(SEARCH("farmer",P104)),ISNUMBER(SEARCH("agriculture",P104))),"Agriculture &amp; water",IF(OR(ISNUMBER(SEARCH("health",P104)),ISNUMBER(SEARCH("hospital",P104)),ISNUMBER(SEARCH("medicine",P104))),"Public health",IF(OR(ISNUMBER(SEARCH("employee",P104)),ISNUMBER(SEARCH("labour",P104)),ISNUMBER(SEARCH("worker",P104)),ISNUMBER(SEARCH("salary",P104))),"Labour &amp; employment",IF(OR(ISNUMBER(SEARCH("rti",P104)),ISNUMBER(SEARCH("transparency",P104)),ISNUMBER(SEARCH("corruption",P104)),ISNUMBER(SEARCH("governance",P104))),"Governance &amp; transparency",IF(OR(ISNUMBER(SEARCH("police",P104)),ISNUMBER(SEARCH("detention",P104)),ISNUMBER(SEARCH("civil rights",P104)),ISNUMBER(SEARCH("justice",P104))),"Civil rights &amp; justice",IF(OR(ISNUMBER(SEARCH("road",P104)),ISNUMBER(SEARCH("utility",P104)),ISNUMBER(SEARCH("infrastructure",P104)),ISNUMBER(SEARCH("public service",P104))),"Infrastructure &amp; public services","Other"))))))))))))</x:f>
      </x:c>
      <x:c r="J104" s="16" t="str">
        <x:f>IF(A104="","",IF(OR(ISNUMBER(SEARCH("fatal",Q104)),ISNUMBER(SEARCH("death",Q104)),ISNUMBER(SEARCH("riot",Q104)),ISNUMBER(SEARCH("curfew",Q104)),ISNUMBER(SEARCH("internet shutdown",Q104))),5,MIN(4,1+IF(H104&gt;=7,1,0)+IF(OR(ISNUMBER(SEARCH("hunger strike",Q104)),ISNUMBER(SEARCH("blockade",Q104)),ISNUMBER(SEARCH("strike",Q104)),ISNUMBER(SEARCH("jal satyagraha",Q104)),ISNUMBER(SEARCH("survey",Q104)),ISNUMBER(SEARCH("human chain",Q104)),ISNUMBER(SEARCH("march",Q104))),1,0)+IF(OR(ISNUMBER(SEARCH("fir",Q104)),ISNUMBER(SEARCH("confrontation",Q104)),ISNUMBER(SEARCH("violence",Q104)),ISNUMBER(SEARCH("detention",Q104)),ISNUMBER(SEARCH("arrest",Q104)),ISNUMBER(SEARCH("demolition",Q104)),ISNUMBER(SEARCH("injury",Q104))),1,0)+IF(OR(D104="Ongoing",D104="Unresolved"),1,0))))</x:f>
      </x:c>
      <x:c r="K104" s="16" t="str">
        <x:f>IF(J104="","",IF(J104=1,"Limited",IF(J104=2,"Local",IF(J104=3,"Significant",IF(J104=4,"High","Critical")))))</x:f>
      </x:c>
      <x:c r="L104" s="16" t="str">
        <x:f>IF(A104="","",Events!U103)</x:f>
      </x:c>
      <x:c r="M104" s="16" t="str">
        <x:f>IF(A104="","",Events!V103)</x:f>
      </x:c>
      <x:c r="N104" s="16" t="str">
        <x:f>IF(A104="","",Events!Q103)</x:f>
      </x:c>
      <x:c r="O104" s="16" t="str">
        <x:f>IF(A104="","",Events!R103)</x:f>
      </x:c>
      <x:c r="P104" s="16" t="str">
        <x:f>IF(A104="","",LOWER(Events!B103&amp;" "&amp;Events!D103&amp;" "&amp;Events!K103))</x:f>
      </x:c>
      <x:c r="Q104" s="16" t="str">
        <x:f>IF(A104="","",LOWER(Events!C103&amp;" "&amp;Events!K103&amp;" "&amp;Events!T103))</x:f>
      </x:c>
      <x:c r="R104" s="16" t="str">
        <x:f>IF(A104="","",IF(ISNUMBER(SEARCH("Occurrence verified",E104)),"Occurrence verified",E104))</x:f>
      </x:c>
      <x:c r="S104" s="79" t="str">
        <x:f>IF(A104="","",Events!X103)</x:f>
      </x:c>
      <x:c r="Z104" s="79" t="str">
        <x:f>IF(A104="","",Events!AD103)</x:f>
      </x:c>
      <x:c r="AA104" s="79" t="str">
        <x:f>IF(A104="","",Events!AE103)</x:f>
      </x:c>
    </x:row>
    <x:row r="105">
      <x:c r="A105" s="16" t="str">
        <x:f>IF(Events!A104="","",Events!A104)</x:f>
      </x:c>
      <x:c r="B105" s="16" t="str">
        <x:f>IF(A105="","",Events!B104)</x:f>
      </x:c>
      <x:c r="C105" s="16" t="str">
        <x:f>IF(A105="","",Events!E104)</x:f>
      </x:c>
      <x:c r="D105" s="16" t="str">
        <x:f>IF(A105="","",Events!J104)</x:f>
      </x:c>
      <x:c r="E105" s="16" t="str">
        <x:f>IF(A105="","",Events!N104)</x:f>
      </x:c>
      <x:c r="F105" s="109" t="str">
        <x:f>IF(OR(A105="",Events!H104=""),"",Events!H104)</x:f>
      </x:c>
      <x:c r="G105" s="109" t="str">
        <x:f>IF(A105="","",IF(Events!I104&lt;&gt;"",Events!I104,IF(Events!S104&lt;&gt;"",Events!S104,"")))</x:f>
      </x:c>
      <x:c r="H105" s="16" t="str">
        <x:f>IF(A105="","",Events!W104)</x:f>
      </x:c>
      <x:c r="I105" s="16" t="str">
        <x:f>IF(A105="","",IF(Events!Y104&lt;&gt;"",Events!Y104,IF(OR(ISNUMBER(SEARCH("education",P105)),ISNUMBER(SEARCH("exam",P105)),ISNUMBER(SEARCH("school",P105))),"Education",IF(OR(ISNUMBER(SEARCH("trade agreement",P105)),ISNUMBER(SEARCH("economic",P105)),ISNUMBER(SEARCH("import",P105))),"Trade &amp; economic policy",IF(OR(ISNUMBER(SEARCH("land acquisition",P105)),ISNUMBER(SEARCH("rehabilitation",P105)),ISNUMBER(SEARCH("displacement",P105)),ISNUMBER(SEARCH("township",P105))),"Land &amp; rehabilitation",IF(OR(ISNUMBER(SEARCH("forest",P105)),ISNUMBER(SEARCH("environment",P105)),ISNUMBER(SEARCH("ecological",P105)),ISNUMBER(SEARCH("biodiversity",P105)),ISNUMBER(SEARCH("green cover",P105))),"Environment",IF(OR(ISNUMBER(SEARCH("irrigation",P105)),ISNUMBER(SEARCH("water",P105)),ISNUMBER(SEARCH("crop",P105)),ISNUMBER(SEARCH("farmer",P105)),ISNUMBER(SEARCH("agriculture",P105))),"Agriculture &amp; water",IF(OR(ISNUMBER(SEARCH("health",P105)),ISNUMBER(SEARCH("hospital",P105)),ISNUMBER(SEARCH("medicine",P105))),"Public health",IF(OR(ISNUMBER(SEARCH("employee",P105)),ISNUMBER(SEARCH("labour",P105)),ISNUMBER(SEARCH("worker",P105)),ISNUMBER(SEARCH("salary",P105))),"Labour &amp; employment",IF(OR(ISNUMBER(SEARCH("rti",P105)),ISNUMBER(SEARCH("transparency",P105)),ISNUMBER(SEARCH("corruption",P105)),ISNUMBER(SEARCH("governance",P105))),"Governance &amp; transparency",IF(OR(ISNUMBER(SEARCH("police",P105)),ISNUMBER(SEARCH("detention",P105)),ISNUMBER(SEARCH("civil rights",P105)),ISNUMBER(SEARCH("justice",P105))),"Civil rights &amp; justice",IF(OR(ISNUMBER(SEARCH("road",P105)),ISNUMBER(SEARCH("utility",P105)),ISNUMBER(SEARCH("infrastructure",P105)),ISNUMBER(SEARCH("public service",P105))),"Infrastructure &amp; public services","Other"))))))))))))</x:f>
      </x:c>
      <x:c r="J105" s="16" t="str">
        <x:f>IF(A105="","",IF(OR(ISNUMBER(SEARCH("fatal",Q105)),ISNUMBER(SEARCH("death",Q105)),ISNUMBER(SEARCH("riot",Q105)),ISNUMBER(SEARCH("curfew",Q105)),ISNUMBER(SEARCH("internet shutdown",Q105))),5,MIN(4,1+IF(H105&gt;=7,1,0)+IF(OR(ISNUMBER(SEARCH("hunger strike",Q105)),ISNUMBER(SEARCH("blockade",Q105)),ISNUMBER(SEARCH("strike",Q105)),ISNUMBER(SEARCH("jal satyagraha",Q105)),ISNUMBER(SEARCH("survey",Q105)),ISNUMBER(SEARCH("human chain",Q105)),ISNUMBER(SEARCH("march",Q105))),1,0)+IF(OR(ISNUMBER(SEARCH("fir",Q105)),ISNUMBER(SEARCH("confrontation",Q105)),ISNUMBER(SEARCH("violence",Q105)),ISNUMBER(SEARCH("detention",Q105)),ISNUMBER(SEARCH("arrest",Q105)),ISNUMBER(SEARCH("demolition",Q105)),ISNUMBER(SEARCH("injury",Q105))),1,0)+IF(OR(D105="Ongoing",D105="Unresolved"),1,0))))</x:f>
      </x:c>
      <x:c r="K105" s="16" t="str">
        <x:f>IF(J105="","",IF(J105=1,"Limited",IF(J105=2,"Local",IF(J105=3,"Significant",IF(J105=4,"High","Critical")))))</x:f>
      </x:c>
      <x:c r="L105" s="16" t="str">
        <x:f>IF(A105="","",Events!U104)</x:f>
      </x:c>
      <x:c r="M105" s="16" t="str">
        <x:f>IF(A105="","",Events!V104)</x:f>
      </x:c>
      <x:c r="N105" s="16" t="str">
        <x:f>IF(A105="","",Events!Q104)</x:f>
      </x:c>
      <x:c r="O105" s="16" t="str">
        <x:f>IF(A105="","",Events!R104)</x:f>
      </x:c>
      <x:c r="P105" s="16" t="str">
        <x:f>IF(A105="","",LOWER(Events!B104&amp;" "&amp;Events!D104&amp;" "&amp;Events!K104))</x:f>
      </x:c>
      <x:c r="Q105" s="16" t="str">
        <x:f>IF(A105="","",LOWER(Events!C104&amp;" "&amp;Events!K104&amp;" "&amp;Events!T104))</x:f>
      </x:c>
      <x:c r="R105" s="16" t="str">
        <x:f>IF(A105="","",IF(ISNUMBER(SEARCH("Occurrence verified",E105)),"Occurrence verified",E105))</x:f>
      </x:c>
      <x:c r="S105" s="79" t="str">
        <x:f>IF(A105="","",Events!X104)</x:f>
      </x:c>
      <x:c r="Z105" s="79" t="str">
        <x:f>IF(A105="","",Events!AD104)</x:f>
      </x:c>
      <x:c r="AA105" s="79" t="str">
        <x:f>IF(A105="","",Events!AE104)</x:f>
      </x:c>
    </x:row>
    <x:row r="106">
      <x:c r="A106" s="16" t="str">
        <x:f>IF(Events!A105="","",Events!A105)</x:f>
      </x:c>
      <x:c r="B106" s="16" t="str">
        <x:f>IF(A106="","",Events!B105)</x:f>
      </x:c>
      <x:c r="C106" s="16" t="str">
        <x:f>IF(A106="","",Events!E105)</x:f>
      </x:c>
      <x:c r="D106" s="16" t="str">
        <x:f>IF(A106="","",Events!J105)</x:f>
      </x:c>
      <x:c r="E106" s="16" t="str">
        <x:f>IF(A106="","",Events!N105)</x:f>
      </x:c>
      <x:c r="F106" s="109" t="str">
        <x:f>IF(OR(A106="",Events!H105=""),"",Events!H105)</x:f>
      </x:c>
      <x:c r="G106" s="109" t="str">
        <x:f>IF(A106="","",IF(Events!I105&lt;&gt;"",Events!I105,IF(Events!S105&lt;&gt;"",Events!S105,"")))</x:f>
      </x:c>
      <x:c r="H106" s="16" t="str">
        <x:f>IF(A106="","",Events!W105)</x:f>
      </x:c>
      <x:c r="I106" s="16" t="str">
        <x:f>IF(A106="","",IF(Events!Y105&lt;&gt;"",Events!Y105,IF(OR(ISNUMBER(SEARCH("education",P106)),ISNUMBER(SEARCH("exam",P106)),ISNUMBER(SEARCH("school",P106))),"Education",IF(OR(ISNUMBER(SEARCH("trade agreement",P106)),ISNUMBER(SEARCH("economic",P106)),ISNUMBER(SEARCH("import",P106))),"Trade &amp; economic policy",IF(OR(ISNUMBER(SEARCH("land acquisition",P106)),ISNUMBER(SEARCH("rehabilitation",P106)),ISNUMBER(SEARCH("displacement",P106)),ISNUMBER(SEARCH("township",P106))),"Land &amp; rehabilitation",IF(OR(ISNUMBER(SEARCH("forest",P106)),ISNUMBER(SEARCH("environment",P106)),ISNUMBER(SEARCH("ecological",P106)),ISNUMBER(SEARCH("biodiversity",P106)),ISNUMBER(SEARCH("green cover",P106))),"Environment",IF(OR(ISNUMBER(SEARCH("irrigation",P106)),ISNUMBER(SEARCH("water",P106)),ISNUMBER(SEARCH("crop",P106)),ISNUMBER(SEARCH("farmer",P106)),ISNUMBER(SEARCH("agriculture",P106))),"Agriculture &amp; water",IF(OR(ISNUMBER(SEARCH("health",P106)),ISNUMBER(SEARCH("hospital",P106)),ISNUMBER(SEARCH("medicine",P106))),"Public health",IF(OR(ISNUMBER(SEARCH("employee",P106)),ISNUMBER(SEARCH("labour",P106)),ISNUMBER(SEARCH("worker",P106)),ISNUMBER(SEARCH("salary",P106))),"Labour &amp; employment",IF(OR(ISNUMBER(SEARCH("rti",P106)),ISNUMBER(SEARCH("transparency",P106)),ISNUMBER(SEARCH("corruption",P106)),ISNUMBER(SEARCH("governance",P106))),"Governance &amp; transparency",IF(OR(ISNUMBER(SEARCH("police",P106)),ISNUMBER(SEARCH("detention",P106)),ISNUMBER(SEARCH("civil rights",P106)),ISNUMBER(SEARCH("justice",P106))),"Civil rights &amp; justice",IF(OR(ISNUMBER(SEARCH("road",P106)),ISNUMBER(SEARCH("utility",P106)),ISNUMBER(SEARCH("infrastructure",P106)),ISNUMBER(SEARCH("public service",P106))),"Infrastructure &amp; public services","Other"))))))))))))</x:f>
      </x:c>
      <x:c r="J106" s="16" t="str">
        <x:f>IF(A106="","",IF(OR(ISNUMBER(SEARCH("fatal",Q106)),ISNUMBER(SEARCH("death",Q106)),ISNUMBER(SEARCH("riot",Q106)),ISNUMBER(SEARCH("curfew",Q106)),ISNUMBER(SEARCH("internet shutdown",Q106))),5,MIN(4,1+IF(H106&gt;=7,1,0)+IF(OR(ISNUMBER(SEARCH("hunger strike",Q106)),ISNUMBER(SEARCH("blockade",Q106)),ISNUMBER(SEARCH("strike",Q106)),ISNUMBER(SEARCH("jal satyagraha",Q106)),ISNUMBER(SEARCH("survey",Q106)),ISNUMBER(SEARCH("human chain",Q106)),ISNUMBER(SEARCH("march",Q106))),1,0)+IF(OR(ISNUMBER(SEARCH("fir",Q106)),ISNUMBER(SEARCH("confrontation",Q106)),ISNUMBER(SEARCH("violence",Q106)),ISNUMBER(SEARCH("detention",Q106)),ISNUMBER(SEARCH("arrest",Q106)),ISNUMBER(SEARCH("demolition",Q106)),ISNUMBER(SEARCH("injury",Q106))),1,0)+IF(OR(D106="Ongoing",D106="Unresolved"),1,0))))</x:f>
      </x:c>
      <x:c r="K106" s="16" t="str">
        <x:f>IF(J106="","",IF(J106=1,"Limited",IF(J106=2,"Local",IF(J106=3,"Significant",IF(J106=4,"High","Critical")))))</x:f>
      </x:c>
      <x:c r="L106" s="16" t="str">
        <x:f>IF(A106="","",Events!U105)</x:f>
      </x:c>
      <x:c r="M106" s="16" t="str">
        <x:f>IF(A106="","",Events!V105)</x:f>
      </x:c>
      <x:c r="N106" s="16" t="str">
        <x:f>IF(A106="","",Events!Q105)</x:f>
      </x:c>
      <x:c r="O106" s="16" t="str">
        <x:f>IF(A106="","",Events!R105)</x:f>
      </x:c>
      <x:c r="P106" s="16" t="str">
        <x:f>IF(A106="","",LOWER(Events!B105&amp;" "&amp;Events!D105&amp;" "&amp;Events!K105))</x:f>
      </x:c>
      <x:c r="Q106" s="16" t="str">
        <x:f>IF(A106="","",LOWER(Events!C105&amp;" "&amp;Events!K105&amp;" "&amp;Events!T105))</x:f>
      </x:c>
      <x:c r="R106" s="16" t="str">
        <x:f>IF(A106="","",IF(ISNUMBER(SEARCH("Occurrence verified",E106)),"Occurrence verified",E106))</x:f>
      </x:c>
      <x:c r="S106" s="79" t="str">
        <x:f>IF(A106="","",Events!X105)</x:f>
      </x:c>
      <x:c r="Z106" s="79" t="str">
        <x:f>IF(A106="","",Events!AD105)</x:f>
      </x:c>
      <x:c r="AA106" s="79" t="str">
        <x:f>IF(A106="","",Events!AE105)</x:f>
      </x:c>
    </x:row>
    <x:row r="107">
      <x:c r="A107" s="16" t="str">
        <x:f>IF(Events!A106="","",Events!A106)</x:f>
      </x:c>
      <x:c r="B107" s="16" t="str">
        <x:f>IF(A107="","",Events!B106)</x:f>
      </x:c>
      <x:c r="C107" s="16" t="str">
        <x:f>IF(A107="","",Events!E106)</x:f>
      </x:c>
      <x:c r="D107" s="16" t="str">
        <x:f>IF(A107="","",Events!J106)</x:f>
      </x:c>
      <x:c r="E107" s="16" t="str">
        <x:f>IF(A107="","",Events!N106)</x:f>
      </x:c>
      <x:c r="F107" s="109" t="str">
        <x:f>IF(OR(A107="",Events!H106=""),"",Events!H106)</x:f>
      </x:c>
      <x:c r="G107" s="109" t="str">
        <x:f>IF(A107="","",IF(Events!I106&lt;&gt;"",Events!I106,IF(Events!S106&lt;&gt;"",Events!S106,"")))</x:f>
      </x:c>
      <x:c r="H107" s="16" t="str">
        <x:f>IF(A107="","",Events!W106)</x:f>
      </x:c>
      <x:c r="I107" s="16" t="str">
        <x:f>IF(A107="","",IF(Events!Y106&lt;&gt;"",Events!Y106,IF(OR(ISNUMBER(SEARCH("education",P107)),ISNUMBER(SEARCH("exam",P107)),ISNUMBER(SEARCH("school",P107))),"Education",IF(OR(ISNUMBER(SEARCH("trade agreement",P107)),ISNUMBER(SEARCH("economic",P107)),ISNUMBER(SEARCH("import",P107))),"Trade &amp; economic policy",IF(OR(ISNUMBER(SEARCH("land acquisition",P107)),ISNUMBER(SEARCH("rehabilitation",P107)),ISNUMBER(SEARCH("displacement",P107)),ISNUMBER(SEARCH("township",P107))),"Land &amp; rehabilitation",IF(OR(ISNUMBER(SEARCH("forest",P107)),ISNUMBER(SEARCH("environment",P107)),ISNUMBER(SEARCH("ecological",P107)),ISNUMBER(SEARCH("biodiversity",P107)),ISNUMBER(SEARCH("green cover",P107))),"Environment",IF(OR(ISNUMBER(SEARCH("irrigation",P107)),ISNUMBER(SEARCH("water",P107)),ISNUMBER(SEARCH("crop",P107)),ISNUMBER(SEARCH("farmer",P107)),ISNUMBER(SEARCH("agriculture",P107))),"Agriculture &amp; water",IF(OR(ISNUMBER(SEARCH("health",P107)),ISNUMBER(SEARCH("hospital",P107)),ISNUMBER(SEARCH("medicine",P107))),"Public health",IF(OR(ISNUMBER(SEARCH("employee",P107)),ISNUMBER(SEARCH("labour",P107)),ISNUMBER(SEARCH("worker",P107)),ISNUMBER(SEARCH("salary",P107))),"Labour &amp; employment",IF(OR(ISNUMBER(SEARCH("rti",P107)),ISNUMBER(SEARCH("transparency",P107)),ISNUMBER(SEARCH("corruption",P107)),ISNUMBER(SEARCH("governance",P107))),"Governance &amp; transparency",IF(OR(ISNUMBER(SEARCH("police",P107)),ISNUMBER(SEARCH("detention",P107)),ISNUMBER(SEARCH("civil rights",P107)),ISNUMBER(SEARCH("justice",P107))),"Civil rights &amp; justice",IF(OR(ISNUMBER(SEARCH("road",P107)),ISNUMBER(SEARCH("utility",P107)),ISNUMBER(SEARCH("infrastructure",P107)),ISNUMBER(SEARCH("public service",P107))),"Infrastructure &amp; public services","Other"))))))))))))</x:f>
      </x:c>
      <x:c r="J107" s="16" t="str">
        <x:f>IF(A107="","",IF(OR(ISNUMBER(SEARCH("fatal",Q107)),ISNUMBER(SEARCH("death",Q107)),ISNUMBER(SEARCH("riot",Q107)),ISNUMBER(SEARCH("curfew",Q107)),ISNUMBER(SEARCH("internet shutdown",Q107))),5,MIN(4,1+IF(H107&gt;=7,1,0)+IF(OR(ISNUMBER(SEARCH("hunger strike",Q107)),ISNUMBER(SEARCH("blockade",Q107)),ISNUMBER(SEARCH("strike",Q107)),ISNUMBER(SEARCH("jal satyagraha",Q107)),ISNUMBER(SEARCH("survey",Q107)),ISNUMBER(SEARCH("human chain",Q107)),ISNUMBER(SEARCH("march",Q107))),1,0)+IF(OR(ISNUMBER(SEARCH("fir",Q107)),ISNUMBER(SEARCH("confrontation",Q107)),ISNUMBER(SEARCH("violence",Q107)),ISNUMBER(SEARCH("detention",Q107)),ISNUMBER(SEARCH("arrest",Q107)),ISNUMBER(SEARCH("demolition",Q107)),ISNUMBER(SEARCH("injury",Q107))),1,0)+IF(OR(D107="Ongoing",D107="Unresolved"),1,0))))</x:f>
      </x:c>
      <x:c r="K107" s="16" t="str">
        <x:f>IF(J107="","",IF(J107=1,"Limited",IF(J107=2,"Local",IF(J107=3,"Significant",IF(J107=4,"High","Critical")))))</x:f>
      </x:c>
      <x:c r="L107" s="16" t="str">
        <x:f>IF(A107="","",Events!U106)</x:f>
      </x:c>
      <x:c r="M107" s="16" t="str">
        <x:f>IF(A107="","",Events!V106)</x:f>
      </x:c>
      <x:c r="N107" s="16" t="str">
        <x:f>IF(A107="","",Events!Q106)</x:f>
      </x:c>
      <x:c r="O107" s="16" t="str">
        <x:f>IF(A107="","",Events!R106)</x:f>
      </x:c>
      <x:c r="P107" s="16" t="str">
        <x:f>IF(A107="","",LOWER(Events!B106&amp;" "&amp;Events!D106&amp;" "&amp;Events!K106))</x:f>
      </x:c>
      <x:c r="Q107" s="16" t="str">
        <x:f>IF(A107="","",LOWER(Events!C106&amp;" "&amp;Events!K106&amp;" "&amp;Events!T106))</x:f>
      </x:c>
      <x:c r="R107" s="16" t="str">
        <x:f>IF(A107="","",IF(ISNUMBER(SEARCH("Occurrence verified",E107)),"Occurrence verified",E107))</x:f>
      </x:c>
      <x:c r="S107" s="79" t="str">
        <x:f>IF(A107="","",Events!X106)</x:f>
      </x:c>
      <x:c r="Z107" s="79" t="str">
        <x:f>IF(A107="","",Events!AD106)</x:f>
      </x:c>
      <x:c r="AA107" s="79" t="str">
        <x:f>IF(A107="","",Events!AE106)</x:f>
      </x:c>
    </x:row>
    <x:row r="108">
      <x:c r="A108" s="16" t="str">
        <x:f>IF(Events!A107="","",Events!A107)</x:f>
      </x:c>
      <x:c r="B108" s="16" t="str">
        <x:f>IF(A108="","",Events!B107)</x:f>
      </x:c>
      <x:c r="C108" s="16" t="str">
        <x:f>IF(A108="","",Events!E107)</x:f>
      </x:c>
      <x:c r="D108" s="16" t="str">
        <x:f>IF(A108="","",Events!J107)</x:f>
      </x:c>
      <x:c r="E108" s="16" t="str">
        <x:f>IF(A108="","",Events!N107)</x:f>
      </x:c>
      <x:c r="F108" s="109" t="str">
        <x:f>IF(OR(A108="",Events!H107=""),"",Events!H107)</x:f>
      </x:c>
      <x:c r="G108" s="109" t="str">
        <x:f>IF(A108="","",IF(Events!I107&lt;&gt;"",Events!I107,IF(Events!S107&lt;&gt;"",Events!S107,"")))</x:f>
      </x:c>
      <x:c r="H108" s="16" t="str">
        <x:f>IF(A108="","",Events!W107)</x:f>
      </x:c>
      <x:c r="I108" s="16" t="str">
        <x:f>IF(A108="","",IF(Events!Y107&lt;&gt;"",Events!Y107,IF(OR(ISNUMBER(SEARCH("education",P108)),ISNUMBER(SEARCH("exam",P108)),ISNUMBER(SEARCH("school",P108))),"Education",IF(OR(ISNUMBER(SEARCH("trade agreement",P108)),ISNUMBER(SEARCH("economic",P108)),ISNUMBER(SEARCH("import",P108))),"Trade &amp; economic policy",IF(OR(ISNUMBER(SEARCH("land acquisition",P108)),ISNUMBER(SEARCH("rehabilitation",P108)),ISNUMBER(SEARCH("displacement",P108)),ISNUMBER(SEARCH("township",P108))),"Land &amp; rehabilitation",IF(OR(ISNUMBER(SEARCH("forest",P108)),ISNUMBER(SEARCH("environment",P108)),ISNUMBER(SEARCH("ecological",P108)),ISNUMBER(SEARCH("biodiversity",P108)),ISNUMBER(SEARCH("green cover",P108))),"Environment",IF(OR(ISNUMBER(SEARCH("irrigation",P108)),ISNUMBER(SEARCH("water",P108)),ISNUMBER(SEARCH("crop",P108)),ISNUMBER(SEARCH("farmer",P108)),ISNUMBER(SEARCH("agriculture",P108))),"Agriculture &amp; water",IF(OR(ISNUMBER(SEARCH("health",P108)),ISNUMBER(SEARCH("hospital",P108)),ISNUMBER(SEARCH("medicine",P108))),"Public health",IF(OR(ISNUMBER(SEARCH("employee",P108)),ISNUMBER(SEARCH("labour",P108)),ISNUMBER(SEARCH("worker",P108)),ISNUMBER(SEARCH("salary",P108))),"Labour &amp; employment",IF(OR(ISNUMBER(SEARCH("rti",P108)),ISNUMBER(SEARCH("transparency",P108)),ISNUMBER(SEARCH("corruption",P108)),ISNUMBER(SEARCH("governance",P108))),"Governance &amp; transparency",IF(OR(ISNUMBER(SEARCH("police",P108)),ISNUMBER(SEARCH("detention",P108)),ISNUMBER(SEARCH("civil rights",P108)),ISNUMBER(SEARCH("justice",P108))),"Civil rights &amp; justice",IF(OR(ISNUMBER(SEARCH("road",P108)),ISNUMBER(SEARCH("utility",P108)),ISNUMBER(SEARCH("infrastructure",P108)),ISNUMBER(SEARCH("public service",P108))),"Infrastructure &amp; public services","Other"))))))))))))</x:f>
      </x:c>
      <x:c r="J108" s="16" t="str">
        <x:f>IF(A108="","",IF(OR(ISNUMBER(SEARCH("fatal",Q108)),ISNUMBER(SEARCH("death",Q108)),ISNUMBER(SEARCH("riot",Q108)),ISNUMBER(SEARCH("curfew",Q108)),ISNUMBER(SEARCH("internet shutdown",Q108))),5,MIN(4,1+IF(H108&gt;=7,1,0)+IF(OR(ISNUMBER(SEARCH("hunger strike",Q108)),ISNUMBER(SEARCH("blockade",Q108)),ISNUMBER(SEARCH("strike",Q108)),ISNUMBER(SEARCH("jal satyagraha",Q108)),ISNUMBER(SEARCH("survey",Q108)),ISNUMBER(SEARCH("human chain",Q108)),ISNUMBER(SEARCH("march",Q108))),1,0)+IF(OR(ISNUMBER(SEARCH("fir",Q108)),ISNUMBER(SEARCH("confrontation",Q108)),ISNUMBER(SEARCH("violence",Q108)),ISNUMBER(SEARCH("detention",Q108)),ISNUMBER(SEARCH("arrest",Q108)),ISNUMBER(SEARCH("demolition",Q108)),ISNUMBER(SEARCH("injury",Q108))),1,0)+IF(OR(D108="Ongoing",D108="Unresolved"),1,0))))</x:f>
      </x:c>
      <x:c r="K108" s="16" t="str">
        <x:f>IF(J108="","",IF(J108=1,"Limited",IF(J108=2,"Local",IF(J108=3,"Significant",IF(J108=4,"High","Critical")))))</x:f>
      </x:c>
      <x:c r="L108" s="16" t="str">
        <x:f>IF(A108="","",Events!U107)</x:f>
      </x:c>
      <x:c r="M108" s="16" t="str">
        <x:f>IF(A108="","",Events!V107)</x:f>
      </x:c>
      <x:c r="N108" s="16" t="str">
        <x:f>IF(A108="","",Events!Q107)</x:f>
      </x:c>
      <x:c r="O108" s="16" t="str">
        <x:f>IF(A108="","",Events!R107)</x:f>
      </x:c>
      <x:c r="P108" s="16" t="str">
        <x:f>IF(A108="","",LOWER(Events!B107&amp;" "&amp;Events!D107&amp;" "&amp;Events!K107))</x:f>
      </x:c>
      <x:c r="Q108" s="16" t="str">
        <x:f>IF(A108="","",LOWER(Events!C107&amp;" "&amp;Events!K107&amp;" "&amp;Events!T107))</x:f>
      </x:c>
      <x:c r="R108" s="16" t="str">
        <x:f>IF(A108="","",IF(ISNUMBER(SEARCH("Occurrence verified",E108)),"Occurrence verified",E108))</x:f>
      </x:c>
      <x:c r="S108" s="79" t="str">
        <x:f>IF(A108="","",Events!X107)</x:f>
      </x:c>
      <x:c r="Z108" s="79" t="str">
        <x:f>IF(A108="","",Events!AD107)</x:f>
      </x:c>
      <x:c r="AA108" s="79" t="str">
        <x:f>IF(A108="","",Events!AE107)</x:f>
      </x:c>
    </x:row>
    <x:row r="109">
      <x:c r="A109" s="16" t="str">
        <x:f>IF(Events!A108="","",Events!A108)</x:f>
      </x:c>
      <x:c r="B109" s="16" t="str">
        <x:f>IF(A109="","",Events!B108)</x:f>
      </x:c>
      <x:c r="C109" s="16" t="str">
        <x:f>IF(A109="","",Events!E108)</x:f>
      </x:c>
      <x:c r="D109" s="16" t="str">
        <x:f>IF(A109="","",Events!J108)</x:f>
      </x:c>
      <x:c r="E109" s="16" t="str">
        <x:f>IF(A109="","",Events!N108)</x:f>
      </x:c>
      <x:c r="F109" s="109" t="str">
        <x:f>IF(OR(A109="",Events!H108=""),"",Events!H108)</x:f>
      </x:c>
      <x:c r="G109" s="109" t="str">
        <x:f>IF(A109="","",IF(Events!I108&lt;&gt;"",Events!I108,IF(Events!S108&lt;&gt;"",Events!S108,"")))</x:f>
      </x:c>
      <x:c r="H109" s="16" t="str">
        <x:f>IF(A109="","",Events!W108)</x:f>
      </x:c>
      <x:c r="I109" s="16" t="str">
        <x:f>IF(A109="","",IF(Events!Y108&lt;&gt;"",Events!Y108,IF(OR(ISNUMBER(SEARCH("education",P109)),ISNUMBER(SEARCH("exam",P109)),ISNUMBER(SEARCH("school",P109))),"Education",IF(OR(ISNUMBER(SEARCH("trade agreement",P109)),ISNUMBER(SEARCH("economic",P109)),ISNUMBER(SEARCH("import",P109))),"Trade &amp; economic policy",IF(OR(ISNUMBER(SEARCH("land acquisition",P109)),ISNUMBER(SEARCH("rehabilitation",P109)),ISNUMBER(SEARCH("displacement",P109)),ISNUMBER(SEARCH("township",P109))),"Land &amp; rehabilitation",IF(OR(ISNUMBER(SEARCH("forest",P109)),ISNUMBER(SEARCH("environment",P109)),ISNUMBER(SEARCH("ecological",P109)),ISNUMBER(SEARCH("biodiversity",P109)),ISNUMBER(SEARCH("green cover",P109))),"Environment",IF(OR(ISNUMBER(SEARCH("irrigation",P109)),ISNUMBER(SEARCH("water",P109)),ISNUMBER(SEARCH("crop",P109)),ISNUMBER(SEARCH("farmer",P109)),ISNUMBER(SEARCH("agriculture",P109))),"Agriculture &amp; water",IF(OR(ISNUMBER(SEARCH("health",P109)),ISNUMBER(SEARCH("hospital",P109)),ISNUMBER(SEARCH("medicine",P109))),"Public health",IF(OR(ISNUMBER(SEARCH("employee",P109)),ISNUMBER(SEARCH("labour",P109)),ISNUMBER(SEARCH("worker",P109)),ISNUMBER(SEARCH("salary",P109))),"Labour &amp; employment",IF(OR(ISNUMBER(SEARCH("rti",P109)),ISNUMBER(SEARCH("transparency",P109)),ISNUMBER(SEARCH("corruption",P109)),ISNUMBER(SEARCH("governance",P109))),"Governance &amp; transparency",IF(OR(ISNUMBER(SEARCH("police",P109)),ISNUMBER(SEARCH("detention",P109)),ISNUMBER(SEARCH("civil rights",P109)),ISNUMBER(SEARCH("justice",P109))),"Civil rights &amp; justice",IF(OR(ISNUMBER(SEARCH("road",P109)),ISNUMBER(SEARCH("utility",P109)),ISNUMBER(SEARCH("infrastructure",P109)),ISNUMBER(SEARCH("public service",P109))),"Infrastructure &amp; public services","Other"))))))))))))</x:f>
      </x:c>
      <x:c r="J109" s="16" t="str">
        <x:f>IF(A109="","",IF(OR(ISNUMBER(SEARCH("fatal",Q109)),ISNUMBER(SEARCH("death",Q109)),ISNUMBER(SEARCH("riot",Q109)),ISNUMBER(SEARCH("curfew",Q109)),ISNUMBER(SEARCH("internet shutdown",Q109))),5,MIN(4,1+IF(H109&gt;=7,1,0)+IF(OR(ISNUMBER(SEARCH("hunger strike",Q109)),ISNUMBER(SEARCH("blockade",Q109)),ISNUMBER(SEARCH("strike",Q109)),ISNUMBER(SEARCH("jal satyagraha",Q109)),ISNUMBER(SEARCH("survey",Q109)),ISNUMBER(SEARCH("human chain",Q109)),ISNUMBER(SEARCH("march",Q109))),1,0)+IF(OR(ISNUMBER(SEARCH("fir",Q109)),ISNUMBER(SEARCH("confrontation",Q109)),ISNUMBER(SEARCH("violence",Q109)),ISNUMBER(SEARCH("detention",Q109)),ISNUMBER(SEARCH("arrest",Q109)),ISNUMBER(SEARCH("demolition",Q109)),ISNUMBER(SEARCH("injury",Q109))),1,0)+IF(OR(D109="Ongoing",D109="Unresolved"),1,0))))</x:f>
      </x:c>
      <x:c r="K109" s="16" t="str">
        <x:f>IF(J109="","",IF(J109=1,"Limited",IF(J109=2,"Local",IF(J109=3,"Significant",IF(J109=4,"High","Critical")))))</x:f>
      </x:c>
      <x:c r="L109" s="16" t="str">
        <x:f>IF(A109="","",Events!U108)</x:f>
      </x:c>
      <x:c r="M109" s="16" t="str">
        <x:f>IF(A109="","",Events!V108)</x:f>
      </x:c>
      <x:c r="N109" s="16" t="str">
        <x:f>IF(A109="","",Events!Q108)</x:f>
      </x:c>
      <x:c r="O109" s="16" t="str">
        <x:f>IF(A109="","",Events!R108)</x:f>
      </x:c>
      <x:c r="P109" s="16" t="str">
        <x:f>IF(A109="","",LOWER(Events!B108&amp;" "&amp;Events!D108&amp;" "&amp;Events!K108))</x:f>
      </x:c>
      <x:c r="Q109" s="16" t="str">
        <x:f>IF(A109="","",LOWER(Events!C108&amp;" "&amp;Events!K108&amp;" "&amp;Events!T108))</x:f>
      </x:c>
      <x:c r="R109" s="16" t="str">
        <x:f>IF(A109="","",IF(ISNUMBER(SEARCH("Occurrence verified",E109)),"Occurrence verified",E109))</x:f>
      </x:c>
      <x:c r="S109" s="79" t="str">
        <x:f>IF(A109="","",Events!X108)</x:f>
      </x:c>
      <x:c r="Z109" s="79" t="str">
        <x:f>IF(A109="","",Events!AD108)</x:f>
      </x:c>
      <x:c r="AA109" s="79" t="str">
        <x:f>IF(A109="","",Events!AE108)</x:f>
      </x:c>
    </x:row>
    <x:row r="110">
      <x:c r="A110" s="16" t="str">
        <x:f>IF(Events!A109="","",Events!A109)</x:f>
      </x:c>
      <x:c r="B110" s="16" t="str">
        <x:f>IF(A110="","",Events!B109)</x:f>
      </x:c>
      <x:c r="C110" s="16" t="str">
        <x:f>IF(A110="","",Events!E109)</x:f>
      </x:c>
      <x:c r="D110" s="16" t="str">
        <x:f>IF(A110="","",Events!J109)</x:f>
      </x:c>
      <x:c r="E110" s="16" t="str">
        <x:f>IF(A110="","",Events!N109)</x:f>
      </x:c>
      <x:c r="F110" s="109" t="str">
        <x:f>IF(OR(A110="",Events!H109=""),"",Events!H109)</x:f>
      </x:c>
      <x:c r="G110" s="109" t="str">
        <x:f>IF(A110="","",IF(Events!I109&lt;&gt;"",Events!I109,IF(Events!S109&lt;&gt;"",Events!S109,"")))</x:f>
      </x:c>
      <x:c r="H110" s="16" t="str">
        <x:f>IF(A110="","",Events!W109)</x:f>
      </x:c>
      <x:c r="I110" s="16" t="str">
        <x:f>IF(A110="","",IF(Events!Y109&lt;&gt;"",Events!Y109,IF(OR(ISNUMBER(SEARCH("education",P110)),ISNUMBER(SEARCH("exam",P110)),ISNUMBER(SEARCH("school",P110))),"Education",IF(OR(ISNUMBER(SEARCH("trade agreement",P110)),ISNUMBER(SEARCH("economic",P110)),ISNUMBER(SEARCH("import",P110))),"Trade &amp; economic policy",IF(OR(ISNUMBER(SEARCH("land acquisition",P110)),ISNUMBER(SEARCH("rehabilitation",P110)),ISNUMBER(SEARCH("displacement",P110)),ISNUMBER(SEARCH("township",P110))),"Land &amp; rehabilitation",IF(OR(ISNUMBER(SEARCH("forest",P110)),ISNUMBER(SEARCH("environment",P110)),ISNUMBER(SEARCH("ecological",P110)),ISNUMBER(SEARCH("biodiversity",P110)),ISNUMBER(SEARCH("green cover",P110))),"Environment",IF(OR(ISNUMBER(SEARCH("irrigation",P110)),ISNUMBER(SEARCH("water",P110)),ISNUMBER(SEARCH("crop",P110)),ISNUMBER(SEARCH("farmer",P110)),ISNUMBER(SEARCH("agriculture",P110))),"Agriculture &amp; water",IF(OR(ISNUMBER(SEARCH("health",P110)),ISNUMBER(SEARCH("hospital",P110)),ISNUMBER(SEARCH("medicine",P110))),"Public health",IF(OR(ISNUMBER(SEARCH("employee",P110)),ISNUMBER(SEARCH("labour",P110)),ISNUMBER(SEARCH("worker",P110)),ISNUMBER(SEARCH("salary",P110))),"Labour &amp; employment",IF(OR(ISNUMBER(SEARCH("rti",P110)),ISNUMBER(SEARCH("transparency",P110)),ISNUMBER(SEARCH("corruption",P110)),ISNUMBER(SEARCH("governance",P110))),"Governance &amp; transparency",IF(OR(ISNUMBER(SEARCH("police",P110)),ISNUMBER(SEARCH("detention",P110)),ISNUMBER(SEARCH("civil rights",P110)),ISNUMBER(SEARCH("justice",P110))),"Civil rights &amp; justice",IF(OR(ISNUMBER(SEARCH("road",P110)),ISNUMBER(SEARCH("utility",P110)),ISNUMBER(SEARCH("infrastructure",P110)),ISNUMBER(SEARCH("public service",P110))),"Infrastructure &amp; public services","Other"))))))))))))</x:f>
      </x:c>
      <x:c r="J110" s="16" t="str">
        <x:f>IF(A110="","",IF(OR(ISNUMBER(SEARCH("fatal",Q110)),ISNUMBER(SEARCH("death",Q110)),ISNUMBER(SEARCH("riot",Q110)),ISNUMBER(SEARCH("curfew",Q110)),ISNUMBER(SEARCH("internet shutdown",Q110))),5,MIN(4,1+IF(H110&gt;=7,1,0)+IF(OR(ISNUMBER(SEARCH("hunger strike",Q110)),ISNUMBER(SEARCH("blockade",Q110)),ISNUMBER(SEARCH("strike",Q110)),ISNUMBER(SEARCH("jal satyagraha",Q110)),ISNUMBER(SEARCH("survey",Q110)),ISNUMBER(SEARCH("human chain",Q110)),ISNUMBER(SEARCH("march",Q110))),1,0)+IF(OR(ISNUMBER(SEARCH("fir",Q110)),ISNUMBER(SEARCH("confrontation",Q110)),ISNUMBER(SEARCH("violence",Q110)),ISNUMBER(SEARCH("detention",Q110)),ISNUMBER(SEARCH("arrest",Q110)),ISNUMBER(SEARCH("demolition",Q110)),ISNUMBER(SEARCH("injury",Q110))),1,0)+IF(OR(D110="Ongoing",D110="Unresolved"),1,0))))</x:f>
      </x:c>
      <x:c r="K110" s="16" t="str">
        <x:f>IF(J110="","",IF(J110=1,"Limited",IF(J110=2,"Local",IF(J110=3,"Significant",IF(J110=4,"High","Critical")))))</x:f>
      </x:c>
      <x:c r="L110" s="16" t="str">
        <x:f>IF(A110="","",Events!U109)</x:f>
      </x:c>
      <x:c r="M110" s="16" t="str">
        <x:f>IF(A110="","",Events!V109)</x:f>
      </x:c>
      <x:c r="N110" s="16" t="str">
        <x:f>IF(A110="","",Events!Q109)</x:f>
      </x:c>
      <x:c r="O110" s="16" t="str">
        <x:f>IF(A110="","",Events!R109)</x:f>
      </x:c>
      <x:c r="P110" s="16" t="str">
        <x:f>IF(A110="","",LOWER(Events!B109&amp;" "&amp;Events!D109&amp;" "&amp;Events!K109))</x:f>
      </x:c>
      <x:c r="Q110" s="16" t="str">
        <x:f>IF(A110="","",LOWER(Events!C109&amp;" "&amp;Events!K109&amp;" "&amp;Events!T109))</x:f>
      </x:c>
      <x:c r="R110" s="16" t="str">
        <x:f>IF(A110="","",IF(ISNUMBER(SEARCH("Occurrence verified",E110)),"Occurrence verified",E110))</x:f>
      </x:c>
      <x:c r="S110" s="79" t="str">
        <x:f>IF(A110="","",Events!X109)</x:f>
      </x:c>
      <x:c r="Z110" s="79" t="str">
        <x:f>IF(A110="","",Events!AD109)</x:f>
      </x:c>
      <x:c r="AA110" s="79" t="str">
        <x:f>IF(A110="","",Events!AE109)</x:f>
      </x:c>
    </x:row>
    <x:row r="111">
      <x:c r="A111" s="16" t="str">
        <x:f>IF(Events!A110="","",Events!A110)</x:f>
      </x:c>
      <x:c r="B111" s="16" t="str">
        <x:f>IF(A111="","",Events!B110)</x:f>
      </x:c>
      <x:c r="C111" s="16" t="str">
        <x:f>IF(A111="","",Events!E110)</x:f>
      </x:c>
      <x:c r="D111" s="16" t="str">
        <x:f>IF(A111="","",Events!J110)</x:f>
      </x:c>
      <x:c r="E111" s="16" t="str">
        <x:f>IF(A111="","",Events!N110)</x:f>
      </x:c>
      <x:c r="F111" s="109" t="str">
        <x:f>IF(OR(A111="",Events!H110=""),"",Events!H110)</x:f>
      </x:c>
      <x:c r="G111" s="109" t="str">
        <x:f>IF(A111="","",IF(Events!I110&lt;&gt;"",Events!I110,IF(Events!S110&lt;&gt;"",Events!S110,"")))</x:f>
      </x:c>
      <x:c r="H111" s="16" t="str">
        <x:f>IF(A111="","",Events!W110)</x:f>
      </x:c>
      <x:c r="I111" s="16" t="str">
        <x:f>IF(A111="","",IF(Events!Y110&lt;&gt;"",Events!Y110,IF(OR(ISNUMBER(SEARCH("education",P111)),ISNUMBER(SEARCH("exam",P111)),ISNUMBER(SEARCH("school",P111))),"Education",IF(OR(ISNUMBER(SEARCH("trade agreement",P111)),ISNUMBER(SEARCH("economic",P111)),ISNUMBER(SEARCH("import",P111))),"Trade &amp; economic policy",IF(OR(ISNUMBER(SEARCH("land acquisition",P111)),ISNUMBER(SEARCH("rehabilitation",P111)),ISNUMBER(SEARCH("displacement",P111)),ISNUMBER(SEARCH("township",P111))),"Land &amp; rehabilitation",IF(OR(ISNUMBER(SEARCH("forest",P111)),ISNUMBER(SEARCH("environment",P111)),ISNUMBER(SEARCH("ecological",P111)),ISNUMBER(SEARCH("biodiversity",P111)),ISNUMBER(SEARCH("green cover",P111))),"Environment",IF(OR(ISNUMBER(SEARCH("irrigation",P111)),ISNUMBER(SEARCH("water",P111)),ISNUMBER(SEARCH("crop",P111)),ISNUMBER(SEARCH("farmer",P111)),ISNUMBER(SEARCH("agriculture",P111))),"Agriculture &amp; water",IF(OR(ISNUMBER(SEARCH("health",P111)),ISNUMBER(SEARCH("hospital",P111)),ISNUMBER(SEARCH("medicine",P111))),"Public health",IF(OR(ISNUMBER(SEARCH("employee",P111)),ISNUMBER(SEARCH("labour",P111)),ISNUMBER(SEARCH("worker",P111)),ISNUMBER(SEARCH("salary",P111))),"Labour &amp; employment",IF(OR(ISNUMBER(SEARCH("rti",P111)),ISNUMBER(SEARCH("transparency",P111)),ISNUMBER(SEARCH("corruption",P111)),ISNUMBER(SEARCH("governance",P111))),"Governance &amp; transparency",IF(OR(ISNUMBER(SEARCH("police",P111)),ISNUMBER(SEARCH("detention",P111)),ISNUMBER(SEARCH("civil rights",P111)),ISNUMBER(SEARCH("justice",P111))),"Civil rights &amp; justice",IF(OR(ISNUMBER(SEARCH("road",P111)),ISNUMBER(SEARCH("utility",P111)),ISNUMBER(SEARCH("infrastructure",P111)),ISNUMBER(SEARCH("public service",P111))),"Infrastructure &amp; public services","Other"))))))))))))</x:f>
      </x:c>
      <x:c r="J111" s="16" t="str">
        <x:f>IF(A111="","",IF(OR(ISNUMBER(SEARCH("fatal",Q111)),ISNUMBER(SEARCH("death",Q111)),ISNUMBER(SEARCH("riot",Q111)),ISNUMBER(SEARCH("curfew",Q111)),ISNUMBER(SEARCH("internet shutdown",Q111))),5,MIN(4,1+IF(H111&gt;=7,1,0)+IF(OR(ISNUMBER(SEARCH("hunger strike",Q111)),ISNUMBER(SEARCH("blockade",Q111)),ISNUMBER(SEARCH("strike",Q111)),ISNUMBER(SEARCH("jal satyagraha",Q111)),ISNUMBER(SEARCH("survey",Q111)),ISNUMBER(SEARCH("human chain",Q111)),ISNUMBER(SEARCH("march",Q111))),1,0)+IF(OR(ISNUMBER(SEARCH("fir",Q111)),ISNUMBER(SEARCH("confrontation",Q111)),ISNUMBER(SEARCH("violence",Q111)),ISNUMBER(SEARCH("detention",Q111)),ISNUMBER(SEARCH("arrest",Q111)),ISNUMBER(SEARCH("demolition",Q111)),ISNUMBER(SEARCH("injury",Q111))),1,0)+IF(OR(D111="Ongoing",D111="Unresolved"),1,0))))</x:f>
      </x:c>
      <x:c r="K111" s="16" t="str">
        <x:f>IF(J111="","",IF(J111=1,"Limited",IF(J111=2,"Local",IF(J111=3,"Significant",IF(J111=4,"High","Critical")))))</x:f>
      </x:c>
      <x:c r="L111" s="16" t="str">
        <x:f>IF(A111="","",Events!U110)</x:f>
      </x:c>
      <x:c r="M111" s="16" t="str">
        <x:f>IF(A111="","",Events!V110)</x:f>
      </x:c>
      <x:c r="N111" s="16" t="str">
        <x:f>IF(A111="","",Events!Q110)</x:f>
      </x:c>
      <x:c r="O111" s="16" t="str">
        <x:f>IF(A111="","",Events!R110)</x:f>
      </x:c>
      <x:c r="P111" s="16" t="str">
        <x:f>IF(A111="","",LOWER(Events!B110&amp;" "&amp;Events!D110&amp;" "&amp;Events!K110))</x:f>
      </x:c>
      <x:c r="Q111" s="16" t="str">
        <x:f>IF(A111="","",LOWER(Events!C110&amp;" "&amp;Events!K110&amp;" "&amp;Events!T110))</x:f>
      </x:c>
      <x:c r="R111" s="16" t="str">
        <x:f>IF(A111="","",IF(ISNUMBER(SEARCH("Occurrence verified",E111)),"Occurrence verified",E111))</x:f>
      </x:c>
      <x:c r="S111" s="79" t="str">
        <x:f>IF(A111="","",Events!X110)</x:f>
      </x:c>
      <x:c r="Z111" s="79" t="str">
        <x:f>IF(A111="","",Events!AD110)</x:f>
      </x:c>
      <x:c r="AA111" s="79" t="str">
        <x:f>IF(A111="","",Events!AE110)</x:f>
      </x:c>
    </x:row>
    <x:row r="112">
      <x:c r="A112" s="16" t="str">
        <x:f>IF(Events!A111="","",Events!A111)</x:f>
      </x:c>
      <x:c r="B112" s="16" t="str">
        <x:f>IF(A112="","",Events!B111)</x:f>
      </x:c>
      <x:c r="C112" s="16" t="str">
        <x:f>IF(A112="","",Events!E111)</x:f>
      </x:c>
      <x:c r="D112" s="16" t="str">
        <x:f>IF(A112="","",Events!J111)</x:f>
      </x:c>
      <x:c r="E112" s="16" t="str">
        <x:f>IF(A112="","",Events!N111)</x:f>
      </x:c>
      <x:c r="F112" s="109" t="str">
        <x:f>IF(OR(A112="",Events!H111=""),"",Events!H111)</x:f>
      </x:c>
      <x:c r="G112" s="109" t="str">
        <x:f>IF(A112="","",IF(Events!I111&lt;&gt;"",Events!I111,IF(Events!S111&lt;&gt;"",Events!S111,"")))</x:f>
      </x:c>
      <x:c r="H112" s="16" t="str">
        <x:f>IF(A112="","",Events!W111)</x:f>
      </x:c>
      <x:c r="I112" s="16" t="str">
        <x:f>IF(A112="","",IF(Events!Y111&lt;&gt;"",Events!Y111,IF(OR(ISNUMBER(SEARCH("education",P112)),ISNUMBER(SEARCH("exam",P112)),ISNUMBER(SEARCH("school",P112))),"Education",IF(OR(ISNUMBER(SEARCH("trade agreement",P112)),ISNUMBER(SEARCH("economic",P112)),ISNUMBER(SEARCH("import",P112))),"Trade &amp; economic policy",IF(OR(ISNUMBER(SEARCH("land acquisition",P112)),ISNUMBER(SEARCH("rehabilitation",P112)),ISNUMBER(SEARCH("displacement",P112)),ISNUMBER(SEARCH("township",P112))),"Land &amp; rehabilitation",IF(OR(ISNUMBER(SEARCH("forest",P112)),ISNUMBER(SEARCH("environment",P112)),ISNUMBER(SEARCH("ecological",P112)),ISNUMBER(SEARCH("biodiversity",P112)),ISNUMBER(SEARCH("green cover",P112))),"Environment",IF(OR(ISNUMBER(SEARCH("irrigation",P112)),ISNUMBER(SEARCH("water",P112)),ISNUMBER(SEARCH("crop",P112)),ISNUMBER(SEARCH("farmer",P112)),ISNUMBER(SEARCH("agriculture",P112))),"Agriculture &amp; water",IF(OR(ISNUMBER(SEARCH("health",P112)),ISNUMBER(SEARCH("hospital",P112)),ISNUMBER(SEARCH("medicine",P112))),"Public health",IF(OR(ISNUMBER(SEARCH("employee",P112)),ISNUMBER(SEARCH("labour",P112)),ISNUMBER(SEARCH("worker",P112)),ISNUMBER(SEARCH("salary",P112))),"Labour &amp; employment",IF(OR(ISNUMBER(SEARCH("rti",P112)),ISNUMBER(SEARCH("transparency",P112)),ISNUMBER(SEARCH("corruption",P112)),ISNUMBER(SEARCH("governance",P112))),"Governance &amp; transparency",IF(OR(ISNUMBER(SEARCH("police",P112)),ISNUMBER(SEARCH("detention",P112)),ISNUMBER(SEARCH("civil rights",P112)),ISNUMBER(SEARCH("justice",P112))),"Civil rights &amp; justice",IF(OR(ISNUMBER(SEARCH("road",P112)),ISNUMBER(SEARCH("utility",P112)),ISNUMBER(SEARCH("infrastructure",P112)),ISNUMBER(SEARCH("public service",P112))),"Infrastructure &amp; public services","Other"))))))))))))</x:f>
      </x:c>
      <x:c r="J112" s="16" t="str">
        <x:f>IF(A112="","",IF(OR(ISNUMBER(SEARCH("fatal",Q112)),ISNUMBER(SEARCH("death",Q112)),ISNUMBER(SEARCH("riot",Q112)),ISNUMBER(SEARCH("curfew",Q112)),ISNUMBER(SEARCH("internet shutdown",Q112))),5,MIN(4,1+IF(H112&gt;=7,1,0)+IF(OR(ISNUMBER(SEARCH("hunger strike",Q112)),ISNUMBER(SEARCH("blockade",Q112)),ISNUMBER(SEARCH("strike",Q112)),ISNUMBER(SEARCH("jal satyagraha",Q112)),ISNUMBER(SEARCH("survey",Q112)),ISNUMBER(SEARCH("human chain",Q112)),ISNUMBER(SEARCH("march",Q112))),1,0)+IF(OR(ISNUMBER(SEARCH("fir",Q112)),ISNUMBER(SEARCH("confrontation",Q112)),ISNUMBER(SEARCH("violence",Q112)),ISNUMBER(SEARCH("detention",Q112)),ISNUMBER(SEARCH("arrest",Q112)),ISNUMBER(SEARCH("demolition",Q112)),ISNUMBER(SEARCH("injury",Q112))),1,0)+IF(OR(D112="Ongoing",D112="Unresolved"),1,0))))</x:f>
      </x:c>
      <x:c r="K112" s="16" t="str">
        <x:f>IF(J112="","",IF(J112=1,"Limited",IF(J112=2,"Local",IF(J112=3,"Significant",IF(J112=4,"High","Critical")))))</x:f>
      </x:c>
      <x:c r="L112" s="16" t="str">
        <x:f>IF(A112="","",Events!U111)</x:f>
      </x:c>
      <x:c r="M112" s="16" t="str">
        <x:f>IF(A112="","",Events!V111)</x:f>
      </x:c>
      <x:c r="N112" s="16" t="str">
        <x:f>IF(A112="","",Events!Q111)</x:f>
      </x:c>
      <x:c r="O112" s="16" t="str">
        <x:f>IF(A112="","",Events!R111)</x:f>
      </x:c>
      <x:c r="P112" s="16" t="str">
        <x:f>IF(A112="","",LOWER(Events!B111&amp;" "&amp;Events!D111&amp;" "&amp;Events!K111))</x:f>
      </x:c>
      <x:c r="Q112" s="16" t="str">
        <x:f>IF(A112="","",LOWER(Events!C111&amp;" "&amp;Events!K111&amp;" "&amp;Events!T111))</x:f>
      </x:c>
      <x:c r="R112" s="16" t="str">
        <x:f>IF(A112="","",IF(ISNUMBER(SEARCH("Occurrence verified",E112)),"Occurrence verified",E112))</x:f>
      </x:c>
      <x:c r="S112" s="79" t="str">
        <x:f>IF(A112="","",Events!X111)</x:f>
      </x:c>
      <x:c r="Z112" s="79" t="str">
        <x:f>IF(A112="","",Events!AD111)</x:f>
      </x:c>
      <x:c r="AA112" s="79" t="str">
        <x:f>IF(A112="","",Events!AE111)</x:f>
      </x:c>
    </x:row>
    <x:row r="113">
      <x:c r="A113" s="16" t="str">
        <x:f>IF(Events!A112="","",Events!A112)</x:f>
      </x:c>
      <x:c r="B113" s="16" t="str">
        <x:f>IF(A113="","",Events!B112)</x:f>
      </x:c>
      <x:c r="C113" s="16" t="str">
        <x:f>IF(A113="","",Events!E112)</x:f>
      </x:c>
      <x:c r="D113" s="16" t="str">
        <x:f>IF(A113="","",Events!J112)</x:f>
      </x:c>
      <x:c r="E113" s="16" t="str">
        <x:f>IF(A113="","",Events!N112)</x:f>
      </x:c>
      <x:c r="F113" s="109" t="str">
        <x:f>IF(OR(A113="",Events!H112=""),"",Events!H112)</x:f>
      </x:c>
      <x:c r="G113" s="109" t="str">
        <x:f>IF(A113="","",IF(Events!I112&lt;&gt;"",Events!I112,IF(Events!S112&lt;&gt;"",Events!S112,"")))</x:f>
      </x:c>
      <x:c r="H113" s="16" t="str">
        <x:f>IF(A113="","",Events!W112)</x:f>
      </x:c>
      <x:c r="I113" s="16" t="str">
        <x:f>IF(A113="","",IF(Events!Y112&lt;&gt;"",Events!Y112,IF(OR(ISNUMBER(SEARCH("education",P113)),ISNUMBER(SEARCH("exam",P113)),ISNUMBER(SEARCH("school",P113))),"Education",IF(OR(ISNUMBER(SEARCH("trade agreement",P113)),ISNUMBER(SEARCH("economic",P113)),ISNUMBER(SEARCH("import",P113))),"Trade &amp; economic policy",IF(OR(ISNUMBER(SEARCH("land acquisition",P113)),ISNUMBER(SEARCH("rehabilitation",P113)),ISNUMBER(SEARCH("displacement",P113)),ISNUMBER(SEARCH("township",P113))),"Land &amp; rehabilitation",IF(OR(ISNUMBER(SEARCH("forest",P113)),ISNUMBER(SEARCH("environment",P113)),ISNUMBER(SEARCH("ecological",P113)),ISNUMBER(SEARCH("biodiversity",P113)),ISNUMBER(SEARCH("green cover",P113))),"Environment",IF(OR(ISNUMBER(SEARCH("irrigation",P113)),ISNUMBER(SEARCH("water",P113)),ISNUMBER(SEARCH("crop",P113)),ISNUMBER(SEARCH("farmer",P113)),ISNUMBER(SEARCH("agriculture",P113))),"Agriculture &amp; water",IF(OR(ISNUMBER(SEARCH("health",P113)),ISNUMBER(SEARCH("hospital",P113)),ISNUMBER(SEARCH("medicine",P113))),"Public health",IF(OR(ISNUMBER(SEARCH("employee",P113)),ISNUMBER(SEARCH("labour",P113)),ISNUMBER(SEARCH("worker",P113)),ISNUMBER(SEARCH("salary",P113))),"Labour &amp; employment",IF(OR(ISNUMBER(SEARCH("rti",P113)),ISNUMBER(SEARCH("transparency",P113)),ISNUMBER(SEARCH("corruption",P113)),ISNUMBER(SEARCH("governance",P113))),"Governance &amp; transparency",IF(OR(ISNUMBER(SEARCH("police",P113)),ISNUMBER(SEARCH("detention",P113)),ISNUMBER(SEARCH("civil rights",P113)),ISNUMBER(SEARCH("justice",P113))),"Civil rights &amp; justice",IF(OR(ISNUMBER(SEARCH("road",P113)),ISNUMBER(SEARCH("utility",P113)),ISNUMBER(SEARCH("infrastructure",P113)),ISNUMBER(SEARCH("public service",P113))),"Infrastructure &amp; public services","Other"))))))))))))</x:f>
      </x:c>
      <x:c r="J113" s="16" t="str">
        <x:f>IF(A113="","",IF(OR(ISNUMBER(SEARCH("fatal",Q113)),ISNUMBER(SEARCH("death",Q113)),ISNUMBER(SEARCH("riot",Q113)),ISNUMBER(SEARCH("curfew",Q113)),ISNUMBER(SEARCH("internet shutdown",Q113))),5,MIN(4,1+IF(H113&gt;=7,1,0)+IF(OR(ISNUMBER(SEARCH("hunger strike",Q113)),ISNUMBER(SEARCH("blockade",Q113)),ISNUMBER(SEARCH("strike",Q113)),ISNUMBER(SEARCH("jal satyagraha",Q113)),ISNUMBER(SEARCH("survey",Q113)),ISNUMBER(SEARCH("human chain",Q113)),ISNUMBER(SEARCH("march",Q113))),1,0)+IF(OR(ISNUMBER(SEARCH("fir",Q113)),ISNUMBER(SEARCH("confrontation",Q113)),ISNUMBER(SEARCH("violence",Q113)),ISNUMBER(SEARCH("detention",Q113)),ISNUMBER(SEARCH("arrest",Q113)),ISNUMBER(SEARCH("demolition",Q113)),ISNUMBER(SEARCH("injury",Q113))),1,0)+IF(OR(D113="Ongoing",D113="Unresolved"),1,0))))</x:f>
      </x:c>
      <x:c r="K113" s="16" t="str">
        <x:f>IF(J113="","",IF(J113=1,"Limited",IF(J113=2,"Local",IF(J113=3,"Significant",IF(J113=4,"High","Critical")))))</x:f>
      </x:c>
      <x:c r="L113" s="16" t="str">
        <x:f>IF(A113="","",Events!U112)</x:f>
      </x:c>
      <x:c r="M113" s="16" t="str">
        <x:f>IF(A113="","",Events!V112)</x:f>
      </x:c>
      <x:c r="N113" s="16" t="str">
        <x:f>IF(A113="","",Events!Q112)</x:f>
      </x:c>
      <x:c r="O113" s="16" t="str">
        <x:f>IF(A113="","",Events!R112)</x:f>
      </x:c>
      <x:c r="P113" s="16" t="str">
        <x:f>IF(A113="","",LOWER(Events!B112&amp;" "&amp;Events!D112&amp;" "&amp;Events!K112))</x:f>
      </x:c>
      <x:c r="Q113" s="16" t="str">
        <x:f>IF(A113="","",LOWER(Events!C112&amp;" "&amp;Events!K112&amp;" "&amp;Events!T112))</x:f>
      </x:c>
      <x:c r="R113" s="16" t="str">
        <x:f>IF(A113="","",IF(ISNUMBER(SEARCH("Occurrence verified",E113)),"Occurrence verified",E113))</x:f>
      </x:c>
      <x:c r="S113" s="79" t="str">
        <x:f>IF(A113="","",Events!X112)</x:f>
      </x:c>
      <x:c r="Z113" s="79" t="str">
        <x:f>IF(A113="","",Events!AD112)</x:f>
      </x:c>
      <x:c r="AA113" s="79" t="str">
        <x:f>IF(A113="","",Events!AE112)</x:f>
      </x:c>
    </x:row>
    <x:row r="114">
      <x:c r="A114" s="16" t="str">
        <x:f>IF(Events!A113="","",Events!A113)</x:f>
      </x:c>
      <x:c r="B114" s="16" t="str">
        <x:f>IF(A114="","",Events!B113)</x:f>
      </x:c>
      <x:c r="C114" s="16" t="str">
        <x:f>IF(A114="","",Events!E113)</x:f>
      </x:c>
      <x:c r="D114" s="16" t="str">
        <x:f>IF(A114="","",Events!J113)</x:f>
      </x:c>
      <x:c r="E114" s="16" t="str">
        <x:f>IF(A114="","",Events!N113)</x:f>
      </x:c>
      <x:c r="F114" s="109" t="str">
        <x:f>IF(OR(A114="",Events!H113=""),"",Events!H113)</x:f>
      </x:c>
      <x:c r="G114" s="109" t="str">
        <x:f>IF(A114="","",IF(Events!I113&lt;&gt;"",Events!I113,IF(Events!S113&lt;&gt;"",Events!S113,"")))</x:f>
      </x:c>
      <x:c r="H114" s="16" t="str">
        <x:f>IF(A114="","",Events!W113)</x:f>
      </x:c>
      <x:c r="I114" s="16" t="str">
        <x:f>IF(A114="","",IF(Events!Y113&lt;&gt;"",Events!Y113,IF(OR(ISNUMBER(SEARCH("education",P114)),ISNUMBER(SEARCH("exam",P114)),ISNUMBER(SEARCH("school",P114))),"Education",IF(OR(ISNUMBER(SEARCH("trade agreement",P114)),ISNUMBER(SEARCH("economic",P114)),ISNUMBER(SEARCH("import",P114))),"Trade &amp; economic policy",IF(OR(ISNUMBER(SEARCH("land acquisition",P114)),ISNUMBER(SEARCH("rehabilitation",P114)),ISNUMBER(SEARCH("displacement",P114)),ISNUMBER(SEARCH("township",P114))),"Land &amp; rehabilitation",IF(OR(ISNUMBER(SEARCH("forest",P114)),ISNUMBER(SEARCH("environment",P114)),ISNUMBER(SEARCH("ecological",P114)),ISNUMBER(SEARCH("biodiversity",P114)),ISNUMBER(SEARCH("green cover",P114))),"Environment",IF(OR(ISNUMBER(SEARCH("irrigation",P114)),ISNUMBER(SEARCH("water",P114)),ISNUMBER(SEARCH("crop",P114)),ISNUMBER(SEARCH("farmer",P114)),ISNUMBER(SEARCH("agriculture",P114))),"Agriculture &amp; water",IF(OR(ISNUMBER(SEARCH("health",P114)),ISNUMBER(SEARCH("hospital",P114)),ISNUMBER(SEARCH("medicine",P114))),"Public health",IF(OR(ISNUMBER(SEARCH("employee",P114)),ISNUMBER(SEARCH("labour",P114)),ISNUMBER(SEARCH("worker",P114)),ISNUMBER(SEARCH("salary",P114))),"Labour &amp; employment",IF(OR(ISNUMBER(SEARCH("rti",P114)),ISNUMBER(SEARCH("transparency",P114)),ISNUMBER(SEARCH("corruption",P114)),ISNUMBER(SEARCH("governance",P114))),"Governance &amp; transparency",IF(OR(ISNUMBER(SEARCH("police",P114)),ISNUMBER(SEARCH("detention",P114)),ISNUMBER(SEARCH("civil rights",P114)),ISNUMBER(SEARCH("justice",P114))),"Civil rights &amp; justice",IF(OR(ISNUMBER(SEARCH("road",P114)),ISNUMBER(SEARCH("utility",P114)),ISNUMBER(SEARCH("infrastructure",P114)),ISNUMBER(SEARCH("public service",P114))),"Infrastructure &amp; public services","Other"))))))))))))</x:f>
      </x:c>
      <x:c r="J114" s="16" t="str">
        <x:f>IF(A114="","",IF(OR(ISNUMBER(SEARCH("fatal",Q114)),ISNUMBER(SEARCH("death",Q114)),ISNUMBER(SEARCH("riot",Q114)),ISNUMBER(SEARCH("curfew",Q114)),ISNUMBER(SEARCH("internet shutdown",Q114))),5,MIN(4,1+IF(H114&gt;=7,1,0)+IF(OR(ISNUMBER(SEARCH("hunger strike",Q114)),ISNUMBER(SEARCH("blockade",Q114)),ISNUMBER(SEARCH("strike",Q114)),ISNUMBER(SEARCH("jal satyagraha",Q114)),ISNUMBER(SEARCH("survey",Q114)),ISNUMBER(SEARCH("human chain",Q114)),ISNUMBER(SEARCH("march",Q114))),1,0)+IF(OR(ISNUMBER(SEARCH("fir",Q114)),ISNUMBER(SEARCH("confrontation",Q114)),ISNUMBER(SEARCH("violence",Q114)),ISNUMBER(SEARCH("detention",Q114)),ISNUMBER(SEARCH("arrest",Q114)),ISNUMBER(SEARCH("demolition",Q114)),ISNUMBER(SEARCH("injury",Q114))),1,0)+IF(OR(D114="Ongoing",D114="Unresolved"),1,0))))</x:f>
      </x:c>
      <x:c r="K114" s="16" t="str">
        <x:f>IF(J114="","",IF(J114=1,"Limited",IF(J114=2,"Local",IF(J114=3,"Significant",IF(J114=4,"High","Critical")))))</x:f>
      </x:c>
      <x:c r="L114" s="16" t="str">
        <x:f>IF(A114="","",Events!U113)</x:f>
      </x:c>
      <x:c r="M114" s="16" t="str">
        <x:f>IF(A114="","",Events!V113)</x:f>
      </x:c>
      <x:c r="N114" s="16" t="str">
        <x:f>IF(A114="","",Events!Q113)</x:f>
      </x:c>
      <x:c r="O114" s="16" t="str">
        <x:f>IF(A114="","",Events!R113)</x:f>
      </x:c>
      <x:c r="P114" s="16" t="str">
        <x:f>IF(A114="","",LOWER(Events!B113&amp;" "&amp;Events!D113&amp;" "&amp;Events!K113))</x:f>
      </x:c>
      <x:c r="Q114" s="16" t="str">
        <x:f>IF(A114="","",LOWER(Events!C113&amp;" "&amp;Events!K113&amp;" "&amp;Events!T113))</x:f>
      </x:c>
      <x:c r="R114" s="16" t="str">
        <x:f>IF(A114="","",IF(ISNUMBER(SEARCH("Occurrence verified",E114)),"Occurrence verified",E114))</x:f>
      </x:c>
      <x:c r="S114" s="79" t="str">
        <x:f>IF(A114="","",Events!X113)</x:f>
      </x:c>
      <x:c r="Z114" s="79" t="str">
        <x:f>IF(A114="","",Events!AD113)</x:f>
      </x:c>
      <x:c r="AA114" s="79" t="str">
        <x:f>IF(A114="","",Events!AE113)</x:f>
      </x:c>
    </x:row>
    <x:row r="115">
      <x:c r="A115" s="16" t="str">
        <x:f>IF(Events!A114="","",Events!A114)</x:f>
      </x:c>
      <x:c r="B115" s="16" t="str">
        <x:f>IF(A115="","",Events!B114)</x:f>
      </x:c>
      <x:c r="C115" s="16" t="str">
        <x:f>IF(A115="","",Events!E114)</x:f>
      </x:c>
      <x:c r="D115" s="16" t="str">
        <x:f>IF(A115="","",Events!J114)</x:f>
      </x:c>
      <x:c r="E115" s="16" t="str">
        <x:f>IF(A115="","",Events!N114)</x:f>
      </x:c>
      <x:c r="F115" s="109" t="str">
        <x:f>IF(OR(A115="",Events!H114=""),"",Events!H114)</x:f>
      </x:c>
      <x:c r="G115" s="109" t="str">
        <x:f>IF(A115="","",IF(Events!I114&lt;&gt;"",Events!I114,IF(Events!S114&lt;&gt;"",Events!S114,"")))</x:f>
      </x:c>
      <x:c r="H115" s="16" t="str">
        <x:f>IF(A115="","",Events!W114)</x:f>
      </x:c>
      <x:c r="I115" s="16" t="str">
        <x:f>IF(A115="","",IF(Events!Y114&lt;&gt;"",Events!Y114,IF(OR(ISNUMBER(SEARCH("education",P115)),ISNUMBER(SEARCH("exam",P115)),ISNUMBER(SEARCH("school",P115))),"Education",IF(OR(ISNUMBER(SEARCH("trade agreement",P115)),ISNUMBER(SEARCH("economic",P115)),ISNUMBER(SEARCH("import",P115))),"Trade &amp; economic policy",IF(OR(ISNUMBER(SEARCH("land acquisition",P115)),ISNUMBER(SEARCH("rehabilitation",P115)),ISNUMBER(SEARCH("displacement",P115)),ISNUMBER(SEARCH("township",P115))),"Land &amp; rehabilitation",IF(OR(ISNUMBER(SEARCH("forest",P115)),ISNUMBER(SEARCH("environment",P115)),ISNUMBER(SEARCH("ecological",P115)),ISNUMBER(SEARCH("biodiversity",P115)),ISNUMBER(SEARCH("green cover",P115))),"Environment",IF(OR(ISNUMBER(SEARCH("irrigation",P115)),ISNUMBER(SEARCH("water",P115)),ISNUMBER(SEARCH("crop",P115)),ISNUMBER(SEARCH("farmer",P115)),ISNUMBER(SEARCH("agriculture",P115))),"Agriculture &amp; water",IF(OR(ISNUMBER(SEARCH("health",P115)),ISNUMBER(SEARCH("hospital",P115)),ISNUMBER(SEARCH("medicine",P115))),"Public health",IF(OR(ISNUMBER(SEARCH("employee",P115)),ISNUMBER(SEARCH("labour",P115)),ISNUMBER(SEARCH("worker",P115)),ISNUMBER(SEARCH("salary",P115))),"Labour &amp; employment",IF(OR(ISNUMBER(SEARCH("rti",P115)),ISNUMBER(SEARCH("transparency",P115)),ISNUMBER(SEARCH("corruption",P115)),ISNUMBER(SEARCH("governance",P115))),"Governance &amp; transparency",IF(OR(ISNUMBER(SEARCH("police",P115)),ISNUMBER(SEARCH("detention",P115)),ISNUMBER(SEARCH("civil rights",P115)),ISNUMBER(SEARCH("justice",P115))),"Civil rights &amp; justice",IF(OR(ISNUMBER(SEARCH("road",P115)),ISNUMBER(SEARCH("utility",P115)),ISNUMBER(SEARCH("infrastructure",P115)),ISNUMBER(SEARCH("public service",P115))),"Infrastructure &amp; public services","Other"))))))))))))</x:f>
      </x:c>
      <x:c r="J115" s="16" t="str">
        <x:f>IF(A115="","",IF(OR(ISNUMBER(SEARCH("fatal",Q115)),ISNUMBER(SEARCH("death",Q115)),ISNUMBER(SEARCH("riot",Q115)),ISNUMBER(SEARCH("curfew",Q115)),ISNUMBER(SEARCH("internet shutdown",Q115))),5,MIN(4,1+IF(H115&gt;=7,1,0)+IF(OR(ISNUMBER(SEARCH("hunger strike",Q115)),ISNUMBER(SEARCH("blockade",Q115)),ISNUMBER(SEARCH("strike",Q115)),ISNUMBER(SEARCH("jal satyagraha",Q115)),ISNUMBER(SEARCH("survey",Q115)),ISNUMBER(SEARCH("human chain",Q115)),ISNUMBER(SEARCH("march",Q115))),1,0)+IF(OR(ISNUMBER(SEARCH("fir",Q115)),ISNUMBER(SEARCH("confrontation",Q115)),ISNUMBER(SEARCH("violence",Q115)),ISNUMBER(SEARCH("detention",Q115)),ISNUMBER(SEARCH("arrest",Q115)),ISNUMBER(SEARCH("demolition",Q115)),ISNUMBER(SEARCH("injury",Q115))),1,0)+IF(OR(D115="Ongoing",D115="Unresolved"),1,0))))</x:f>
      </x:c>
      <x:c r="K115" s="16" t="str">
        <x:f>IF(J115="","",IF(J115=1,"Limited",IF(J115=2,"Local",IF(J115=3,"Significant",IF(J115=4,"High","Critical")))))</x:f>
      </x:c>
      <x:c r="L115" s="16" t="str">
        <x:f>IF(A115="","",Events!U114)</x:f>
      </x:c>
      <x:c r="M115" s="16" t="str">
        <x:f>IF(A115="","",Events!V114)</x:f>
      </x:c>
      <x:c r="N115" s="16" t="str">
        <x:f>IF(A115="","",Events!Q114)</x:f>
      </x:c>
      <x:c r="O115" s="16" t="str">
        <x:f>IF(A115="","",Events!R114)</x:f>
      </x:c>
      <x:c r="P115" s="16" t="str">
        <x:f>IF(A115="","",LOWER(Events!B114&amp;" "&amp;Events!D114&amp;" "&amp;Events!K114))</x:f>
      </x:c>
      <x:c r="Q115" s="16" t="str">
        <x:f>IF(A115="","",LOWER(Events!C114&amp;" "&amp;Events!K114&amp;" "&amp;Events!T114))</x:f>
      </x:c>
      <x:c r="R115" s="16" t="str">
        <x:f>IF(A115="","",IF(ISNUMBER(SEARCH("Occurrence verified",E115)),"Occurrence verified",E115))</x:f>
      </x:c>
      <x:c r="S115" s="79" t="str">
        <x:f>IF(A115="","",Events!X114)</x:f>
      </x:c>
      <x:c r="Z115" s="79" t="str">
        <x:f>IF(A115="","",Events!AD114)</x:f>
      </x:c>
      <x:c r="AA115" s="79" t="str">
        <x:f>IF(A115="","",Events!AE114)</x:f>
      </x:c>
    </x:row>
    <x:row r="116">
      <x:c r="A116" s="16" t="str">
        <x:f>IF(Events!A115="","",Events!A115)</x:f>
      </x:c>
      <x:c r="B116" s="16" t="str">
        <x:f>IF(A116="","",Events!B115)</x:f>
      </x:c>
      <x:c r="C116" s="16" t="str">
        <x:f>IF(A116="","",Events!E115)</x:f>
      </x:c>
      <x:c r="D116" s="16" t="str">
        <x:f>IF(A116="","",Events!J115)</x:f>
      </x:c>
      <x:c r="E116" s="16" t="str">
        <x:f>IF(A116="","",Events!N115)</x:f>
      </x:c>
      <x:c r="F116" s="109" t="str">
        <x:f>IF(OR(A116="",Events!H115=""),"",Events!H115)</x:f>
      </x:c>
      <x:c r="G116" s="109" t="str">
        <x:f>IF(A116="","",IF(Events!I115&lt;&gt;"",Events!I115,IF(Events!S115&lt;&gt;"",Events!S115,"")))</x:f>
      </x:c>
      <x:c r="H116" s="16" t="str">
        <x:f>IF(A116="","",Events!W115)</x:f>
      </x:c>
      <x:c r="I116" s="16" t="str">
        <x:f>IF(A116="","",IF(Events!Y115&lt;&gt;"",Events!Y115,IF(OR(ISNUMBER(SEARCH("education",P116)),ISNUMBER(SEARCH("exam",P116)),ISNUMBER(SEARCH("school",P116))),"Education",IF(OR(ISNUMBER(SEARCH("trade agreement",P116)),ISNUMBER(SEARCH("economic",P116)),ISNUMBER(SEARCH("import",P116))),"Trade &amp; economic policy",IF(OR(ISNUMBER(SEARCH("land acquisition",P116)),ISNUMBER(SEARCH("rehabilitation",P116)),ISNUMBER(SEARCH("displacement",P116)),ISNUMBER(SEARCH("township",P116))),"Land &amp; rehabilitation",IF(OR(ISNUMBER(SEARCH("forest",P116)),ISNUMBER(SEARCH("environment",P116)),ISNUMBER(SEARCH("ecological",P116)),ISNUMBER(SEARCH("biodiversity",P116)),ISNUMBER(SEARCH("green cover",P116))),"Environment",IF(OR(ISNUMBER(SEARCH("irrigation",P116)),ISNUMBER(SEARCH("water",P116)),ISNUMBER(SEARCH("crop",P116)),ISNUMBER(SEARCH("farmer",P116)),ISNUMBER(SEARCH("agriculture",P116))),"Agriculture &amp; water",IF(OR(ISNUMBER(SEARCH("health",P116)),ISNUMBER(SEARCH("hospital",P116)),ISNUMBER(SEARCH("medicine",P116))),"Public health",IF(OR(ISNUMBER(SEARCH("employee",P116)),ISNUMBER(SEARCH("labour",P116)),ISNUMBER(SEARCH("worker",P116)),ISNUMBER(SEARCH("salary",P116))),"Labour &amp; employment",IF(OR(ISNUMBER(SEARCH("rti",P116)),ISNUMBER(SEARCH("transparency",P116)),ISNUMBER(SEARCH("corruption",P116)),ISNUMBER(SEARCH("governance",P116))),"Governance &amp; transparency",IF(OR(ISNUMBER(SEARCH("police",P116)),ISNUMBER(SEARCH("detention",P116)),ISNUMBER(SEARCH("civil rights",P116)),ISNUMBER(SEARCH("justice",P116))),"Civil rights &amp; justice",IF(OR(ISNUMBER(SEARCH("road",P116)),ISNUMBER(SEARCH("utility",P116)),ISNUMBER(SEARCH("infrastructure",P116)),ISNUMBER(SEARCH("public service",P116))),"Infrastructure &amp; public services","Other"))))))))))))</x:f>
      </x:c>
      <x:c r="J116" s="16" t="str">
        <x:f>IF(A116="","",IF(OR(ISNUMBER(SEARCH("fatal",Q116)),ISNUMBER(SEARCH("death",Q116)),ISNUMBER(SEARCH("riot",Q116)),ISNUMBER(SEARCH("curfew",Q116)),ISNUMBER(SEARCH("internet shutdown",Q116))),5,MIN(4,1+IF(H116&gt;=7,1,0)+IF(OR(ISNUMBER(SEARCH("hunger strike",Q116)),ISNUMBER(SEARCH("blockade",Q116)),ISNUMBER(SEARCH("strike",Q116)),ISNUMBER(SEARCH("jal satyagraha",Q116)),ISNUMBER(SEARCH("survey",Q116)),ISNUMBER(SEARCH("human chain",Q116)),ISNUMBER(SEARCH("march",Q116))),1,0)+IF(OR(ISNUMBER(SEARCH("fir",Q116)),ISNUMBER(SEARCH("confrontation",Q116)),ISNUMBER(SEARCH("violence",Q116)),ISNUMBER(SEARCH("detention",Q116)),ISNUMBER(SEARCH("arrest",Q116)),ISNUMBER(SEARCH("demolition",Q116)),ISNUMBER(SEARCH("injury",Q116))),1,0)+IF(OR(D116="Ongoing",D116="Unresolved"),1,0))))</x:f>
      </x:c>
      <x:c r="K116" s="16" t="str">
        <x:f>IF(J116="","",IF(J116=1,"Limited",IF(J116=2,"Local",IF(J116=3,"Significant",IF(J116=4,"High","Critical")))))</x:f>
      </x:c>
      <x:c r="L116" s="16" t="str">
        <x:f>IF(A116="","",Events!U115)</x:f>
      </x:c>
      <x:c r="M116" s="16" t="str">
        <x:f>IF(A116="","",Events!V115)</x:f>
      </x:c>
      <x:c r="N116" s="16" t="str">
        <x:f>IF(A116="","",Events!Q115)</x:f>
      </x:c>
      <x:c r="O116" s="16" t="str">
        <x:f>IF(A116="","",Events!R115)</x:f>
      </x:c>
      <x:c r="P116" s="16" t="str">
        <x:f>IF(A116="","",LOWER(Events!B115&amp;" "&amp;Events!D115&amp;" "&amp;Events!K115))</x:f>
      </x:c>
      <x:c r="Q116" s="16" t="str">
        <x:f>IF(A116="","",LOWER(Events!C115&amp;" "&amp;Events!K115&amp;" "&amp;Events!T115))</x:f>
      </x:c>
      <x:c r="R116" s="16" t="str">
        <x:f>IF(A116="","",IF(ISNUMBER(SEARCH("Occurrence verified",E116)),"Occurrence verified",E116))</x:f>
      </x:c>
      <x:c r="S116" s="79" t="str">
        <x:f>IF(A116="","",Events!X115)</x:f>
      </x:c>
      <x:c r="Z116" s="79" t="str">
        <x:f>IF(A116="","",Events!AD115)</x:f>
      </x:c>
      <x:c r="AA116" s="79" t="str">
        <x:f>IF(A116="","",Events!AE115)</x:f>
      </x:c>
    </x:row>
    <x:row r="117">
      <x:c r="A117" s="16" t="str">
        <x:f>IF(Events!A116="","",Events!A116)</x:f>
      </x:c>
      <x:c r="B117" s="16" t="str">
        <x:f>IF(A117="","",Events!B116)</x:f>
      </x:c>
      <x:c r="C117" s="16" t="str">
        <x:f>IF(A117="","",Events!E116)</x:f>
      </x:c>
      <x:c r="D117" s="16" t="str">
        <x:f>IF(A117="","",Events!J116)</x:f>
      </x:c>
      <x:c r="E117" s="16" t="str">
        <x:f>IF(A117="","",Events!N116)</x:f>
      </x:c>
      <x:c r="F117" s="109" t="str">
        <x:f>IF(OR(A117="",Events!H116=""),"",Events!H116)</x:f>
      </x:c>
      <x:c r="G117" s="109" t="str">
        <x:f>IF(A117="","",IF(Events!I116&lt;&gt;"",Events!I116,IF(Events!S116&lt;&gt;"",Events!S116,"")))</x:f>
      </x:c>
      <x:c r="H117" s="16" t="str">
        <x:f>IF(A117="","",Events!W116)</x:f>
      </x:c>
      <x:c r="I117" s="16" t="str">
        <x:f>IF(A117="","",IF(Events!Y116&lt;&gt;"",Events!Y116,IF(OR(ISNUMBER(SEARCH("education",P117)),ISNUMBER(SEARCH("exam",P117)),ISNUMBER(SEARCH("school",P117))),"Education",IF(OR(ISNUMBER(SEARCH("trade agreement",P117)),ISNUMBER(SEARCH("economic",P117)),ISNUMBER(SEARCH("import",P117))),"Trade &amp; economic policy",IF(OR(ISNUMBER(SEARCH("land acquisition",P117)),ISNUMBER(SEARCH("rehabilitation",P117)),ISNUMBER(SEARCH("displacement",P117)),ISNUMBER(SEARCH("township",P117))),"Land &amp; rehabilitation",IF(OR(ISNUMBER(SEARCH("forest",P117)),ISNUMBER(SEARCH("environment",P117)),ISNUMBER(SEARCH("ecological",P117)),ISNUMBER(SEARCH("biodiversity",P117)),ISNUMBER(SEARCH("green cover",P117))),"Environment",IF(OR(ISNUMBER(SEARCH("irrigation",P117)),ISNUMBER(SEARCH("water",P117)),ISNUMBER(SEARCH("crop",P117)),ISNUMBER(SEARCH("farmer",P117)),ISNUMBER(SEARCH("agriculture",P117))),"Agriculture &amp; water",IF(OR(ISNUMBER(SEARCH("health",P117)),ISNUMBER(SEARCH("hospital",P117)),ISNUMBER(SEARCH("medicine",P117))),"Public health",IF(OR(ISNUMBER(SEARCH("employee",P117)),ISNUMBER(SEARCH("labour",P117)),ISNUMBER(SEARCH("worker",P117)),ISNUMBER(SEARCH("salary",P117))),"Labour &amp; employment",IF(OR(ISNUMBER(SEARCH("rti",P117)),ISNUMBER(SEARCH("transparency",P117)),ISNUMBER(SEARCH("corruption",P117)),ISNUMBER(SEARCH("governance",P117))),"Governance &amp; transparency",IF(OR(ISNUMBER(SEARCH("police",P117)),ISNUMBER(SEARCH("detention",P117)),ISNUMBER(SEARCH("civil rights",P117)),ISNUMBER(SEARCH("justice",P117))),"Civil rights &amp; justice",IF(OR(ISNUMBER(SEARCH("road",P117)),ISNUMBER(SEARCH("utility",P117)),ISNUMBER(SEARCH("infrastructure",P117)),ISNUMBER(SEARCH("public service",P117))),"Infrastructure &amp; public services","Other"))))))))))))</x:f>
      </x:c>
      <x:c r="J117" s="16" t="str">
        <x:f>IF(A117="","",IF(OR(ISNUMBER(SEARCH("fatal",Q117)),ISNUMBER(SEARCH("death",Q117)),ISNUMBER(SEARCH("riot",Q117)),ISNUMBER(SEARCH("curfew",Q117)),ISNUMBER(SEARCH("internet shutdown",Q117))),5,MIN(4,1+IF(H117&gt;=7,1,0)+IF(OR(ISNUMBER(SEARCH("hunger strike",Q117)),ISNUMBER(SEARCH("blockade",Q117)),ISNUMBER(SEARCH("strike",Q117)),ISNUMBER(SEARCH("jal satyagraha",Q117)),ISNUMBER(SEARCH("survey",Q117)),ISNUMBER(SEARCH("human chain",Q117)),ISNUMBER(SEARCH("march",Q117))),1,0)+IF(OR(ISNUMBER(SEARCH("fir",Q117)),ISNUMBER(SEARCH("confrontation",Q117)),ISNUMBER(SEARCH("violence",Q117)),ISNUMBER(SEARCH("detention",Q117)),ISNUMBER(SEARCH("arrest",Q117)),ISNUMBER(SEARCH("demolition",Q117)),ISNUMBER(SEARCH("injury",Q117))),1,0)+IF(OR(D117="Ongoing",D117="Unresolved"),1,0))))</x:f>
      </x:c>
      <x:c r="K117" s="16" t="str">
        <x:f>IF(J117="","",IF(J117=1,"Limited",IF(J117=2,"Local",IF(J117=3,"Significant",IF(J117=4,"High","Critical")))))</x:f>
      </x:c>
      <x:c r="L117" s="16" t="str">
        <x:f>IF(A117="","",Events!U116)</x:f>
      </x:c>
      <x:c r="M117" s="16" t="str">
        <x:f>IF(A117="","",Events!V116)</x:f>
      </x:c>
      <x:c r="N117" s="16" t="str">
        <x:f>IF(A117="","",Events!Q116)</x:f>
      </x:c>
      <x:c r="O117" s="16" t="str">
        <x:f>IF(A117="","",Events!R116)</x:f>
      </x:c>
      <x:c r="P117" s="16" t="str">
        <x:f>IF(A117="","",LOWER(Events!B116&amp;" "&amp;Events!D116&amp;" "&amp;Events!K116))</x:f>
      </x:c>
      <x:c r="Q117" s="16" t="str">
        <x:f>IF(A117="","",LOWER(Events!C116&amp;" "&amp;Events!K116&amp;" "&amp;Events!T116))</x:f>
      </x:c>
      <x:c r="R117" s="16" t="str">
        <x:f>IF(A117="","",IF(ISNUMBER(SEARCH("Occurrence verified",E117)),"Occurrence verified",E117))</x:f>
      </x:c>
      <x:c r="S117" s="79" t="str">
        <x:f>IF(A117="","",Events!X116)</x:f>
      </x:c>
      <x:c r="Z117" s="79" t="str">
        <x:f>IF(A117="","",Events!AD116)</x:f>
      </x:c>
      <x:c r="AA117" s="79" t="str">
        <x:f>IF(A117="","",Events!AE116)</x:f>
      </x:c>
    </x:row>
    <x:row r="118">
      <x:c r="A118" s="16" t="str">
        <x:f>IF(Events!A117="","",Events!A117)</x:f>
      </x:c>
      <x:c r="B118" s="16" t="str">
        <x:f>IF(A118="","",Events!B117)</x:f>
      </x:c>
      <x:c r="C118" s="16" t="str">
        <x:f>IF(A118="","",Events!E117)</x:f>
      </x:c>
      <x:c r="D118" s="16" t="str">
        <x:f>IF(A118="","",Events!J117)</x:f>
      </x:c>
      <x:c r="E118" s="16" t="str">
        <x:f>IF(A118="","",Events!N117)</x:f>
      </x:c>
      <x:c r="F118" s="109" t="str">
        <x:f>IF(OR(A118="",Events!H117=""),"",Events!H117)</x:f>
      </x:c>
      <x:c r="G118" s="109" t="str">
        <x:f>IF(A118="","",IF(Events!I117&lt;&gt;"",Events!I117,IF(Events!S117&lt;&gt;"",Events!S117,"")))</x:f>
      </x:c>
      <x:c r="H118" s="16" t="str">
        <x:f>IF(A118="","",Events!W117)</x:f>
      </x:c>
      <x:c r="I118" s="16" t="str">
        <x:f>IF(A118="","",IF(Events!Y117&lt;&gt;"",Events!Y117,IF(OR(ISNUMBER(SEARCH("education",P118)),ISNUMBER(SEARCH("exam",P118)),ISNUMBER(SEARCH("school",P118))),"Education",IF(OR(ISNUMBER(SEARCH("trade agreement",P118)),ISNUMBER(SEARCH("economic",P118)),ISNUMBER(SEARCH("import",P118))),"Trade &amp; economic policy",IF(OR(ISNUMBER(SEARCH("land acquisition",P118)),ISNUMBER(SEARCH("rehabilitation",P118)),ISNUMBER(SEARCH("displacement",P118)),ISNUMBER(SEARCH("township",P118))),"Land &amp; rehabilitation",IF(OR(ISNUMBER(SEARCH("forest",P118)),ISNUMBER(SEARCH("environment",P118)),ISNUMBER(SEARCH("ecological",P118)),ISNUMBER(SEARCH("biodiversity",P118)),ISNUMBER(SEARCH("green cover",P118))),"Environment",IF(OR(ISNUMBER(SEARCH("irrigation",P118)),ISNUMBER(SEARCH("water",P118)),ISNUMBER(SEARCH("crop",P118)),ISNUMBER(SEARCH("farmer",P118)),ISNUMBER(SEARCH("agriculture",P118))),"Agriculture &amp; water",IF(OR(ISNUMBER(SEARCH("health",P118)),ISNUMBER(SEARCH("hospital",P118)),ISNUMBER(SEARCH("medicine",P118))),"Public health",IF(OR(ISNUMBER(SEARCH("employee",P118)),ISNUMBER(SEARCH("labour",P118)),ISNUMBER(SEARCH("worker",P118)),ISNUMBER(SEARCH("salary",P118))),"Labour &amp; employment",IF(OR(ISNUMBER(SEARCH("rti",P118)),ISNUMBER(SEARCH("transparency",P118)),ISNUMBER(SEARCH("corruption",P118)),ISNUMBER(SEARCH("governance",P118))),"Governance &amp; transparency",IF(OR(ISNUMBER(SEARCH("police",P118)),ISNUMBER(SEARCH("detention",P118)),ISNUMBER(SEARCH("civil rights",P118)),ISNUMBER(SEARCH("justice",P118))),"Civil rights &amp; justice",IF(OR(ISNUMBER(SEARCH("road",P118)),ISNUMBER(SEARCH("utility",P118)),ISNUMBER(SEARCH("infrastructure",P118)),ISNUMBER(SEARCH("public service",P118))),"Infrastructure &amp; public services","Other"))))))))))))</x:f>
      </x:c>
      <x:c r="J118" s="16" t="str">
        <x:f>IF(A118="","",IF(OR(ISNUMBER(SEARCH("fatal",Q118)),ISNUMBER(SEARCH("death",Q118)),ISNUMBER(SEARCH("riot",Q118)),ISNUMBER(SEARCH("curfew",Q118)),ISNUMBER(SEARCH("internet shutdown",Q118))),5,MIN(4,1+IF(H118&gt;=7,1,0)+IF(OR(ISNUMBER(SEARCH("hunger strike",Q118)),ISNUMBER(SEARCH("blockade",Q118)),ISNUMBER(SEARCH("strike",Q118)),ISNUMBER(SEARCH("jal satyagraha",Q118)),ISNUMBER(SEARCH("survey",Q118)),ISNUMBER(SEARCH("human chain",Q118)),ISNUMBER(SEARCH("march",Q118))),1,0)+IF(OR(ISNUMBER(SEARCH("fir",Q118)),ISNUMBER(SEARCH("confrontation",Q118)),ISNUMBER(SEARCH("violence",Q118)),ISNUMBER(SEARCH("detention",Q118)),ISNUMBER(SEARCH("arrest",Q118)),ISNUMBER(SEARCH("demolition",Q118)),ISNUMBER(SEARCH("injury",Q118))),1,0)+IF(OR(D118="Ongoing",D118="Unresolved"),1,0))))</x:f>
      </x:c>
      <x:c r="K118" s="16" t="str">
        <x:f>IF(J118="","",IF(J118=1,"Limited",IF(J118=2,"Local",IF(J118=3,"Significant",IF(J118=4,"High","Critical")))))</x:f>
      </x:c>
      <x:c r="L118" s="16" t="str">
        <x:f>IF(A118="","",Events!U117)</x:f>
      </x:c>
      <x:c r="M118" s="16" t="str">
        <x:f>IF(A118="","",Events!V117)</x:f>
      </x:c>
      <x:c r="N118" s="16" t="str">
        <x:f>IF(A118="","",Events!Q117)</x:f>
      </x:c>
      <x:c r="O118" s="16" t="str">
        <x:f>IF(A118="","",Events!R117)</x:f>
      </x:c>
      <x:c r="P118" s="16" t="str">
        <x:f>IF(A118="","",LOWER(Events!B117&amp;" "&amp;Events!D117&amp;" "&amp;Events!K117))</x:f>
      </x:c>
      <x:c r="Q118" s="16" t="str">
        <x:f>IF(A118="","",LOWER(Events!C117&amp;" "&amp;Events!K117&amp;" "&amp;Events!T117))</x:f>
      </x:c>
      <x:c r="R118" s="16" t="str">
        <x:f>IF(A118="","",IF(ISNUMBER(SEARCH("Occurrence verified",E118)),"Occurrence verified",E118))</x:f>
      </x:c>
      <x:c r="S118" s="79" t="str">
        <x:f>IF(A118="","",Events!X117)</x:f>
      </x:c>
      <x:c r="Z118" s="79" t="str">
        <x:f>IF(A118="","",Events!AD117)</x:f>
      </x:c>
      <x:c r="AA118" s="79" t="str">
        <x:f>IF(A118="","",Events!AE117)</x:f>
      </x:c>
    </x:row>
    <x:row r="119">
      <x:c r="A119" s="16" t="str">
        <x:f>IF(Events!A118="","",Events!A118)</x:f>
      </x:c>
      <x:c r="B119" s="16" t="str">
        <x:f>IF(A119="","",Events!B118)</x:f>
      </x:c>
      <x:c r="C119" s="16" t="str">
        <x:f>IF(A119="","",Events!E118)</x:f>
      </x:c>
      <x:c r="D119" s="16" t="str">
        <x:f>IF(A119="","",Events!J118)</x:f>
      </x:c>
      <x:c r="E119" s="16" t="str">
        <x:f>IF(A119="","",Events!N118)</x:f>
      </x:c>
      <x:c r="F119" s="109" t="str">
        <x:f>IF(OR(A119="",Events!H118=""),"",Events!H118)</x:f>
      </x:c>
      <x:c r="G119" s="109" t="str">
        <x:f>IF(A119="","",IF(Events!I118&lt;&gt;"",Events!I118,IF(Events!S118&lt;&gt;"",Events!S118,"")))</x:f>
      </x:c>
      <x:c r="H119" s="16" t="str">
        <x:f>IF(A119="","",Events!W118)</x:f>
      </x:c>
      <x:c r="I119" s="16" t="str">
        <x:f>IF(A119="","",IF(Events!Y118&lt;&gt;"",Events!Y118,IF(OR(ISNUMBER(SEARCH("education",P119)),ISNUMBER(SEARCH("exam",P119)),ISNUMBER(SEARCH("school",P119))),"Education",IF(OR(ISNUMBER(SEARCH("trade agreement",P119)),ISNUMBER(SEARCH("economic",P119)),ISNUMBER(SEARCH("import",P119))),"Trade &amp; economic policy",IF(OR(ISNUMBER(SEARCH("land acquisition",P119)),ISNUMBER(SEARCH("rehabilitation",P119)),ISNUMBER(SEARCH("displacement",P119)),ISNUMBER(SEARCH("township",P119))),"Land &amp; rehabilitation",IF(OR(ISNUMBER(SEARCH("forest",P119)),ISNUMBER(SEARCH("environment",P119)),ISNUMBER(SEARCH("ecological",P119)),ISNUMBER(SEARCH("biodiversity",P119)),ISNUMBER(SEARCH("green cover",P119))),"Environment",IF(OR(ISNUMBER(SEARCH("irrigation",P119)),ISNUMBER(SEARCH("water",P119)),ISNUMBER(SEARCH("crop",P119)),ISNUMBER(SEARCH("farmer",P119)),ISNUMBER(SEARCH("agriculture",P119))),"Agriculture &amp; water",IF(OR(ISNUMBER(SEARCH("health",P119)),ISNUMBER(SEARCH("hospital",P119)),ISNUMBER(SEARCH("medicine",P119))),"Public health",IF(OR(ISNUMBER(SEARCH("employee",P119)),ISNUMBER(SEARCH("labour",P119)),ISNUMBER(SEARCH("worker",P119)),ISNUMBER(SEARCH("salary",P119))),"Labour &amp; employment",IF(OR(ISNUMBER(SEARCH("rti",P119)),ISNUMBER(SEARCH("transparency",P119)),ISNUMBER(SEARCH("corruption",P119)),ISNUMBER(SEARCH("governance",P119))),"Governance &amp; transparency",IF(OR(ISNUMBER(SEARCH("police",P119)),ISNUMBER(SEARCH("detention",P119)),ISNUMBER(SEARCH("civil rights",P119)),ISNUMBER(SEARCH("justice",P119))),"Civil rights &amp; justice",IF(OR(ISNUMBER(SEARCH("road",P119)),ISNUMBER(SEARCH("utility",P119)),ISNUMBER(SEARCH("infrastructure",P119)),ISNUMBER(SEARCH("public service",P119))),"Infrastructure &amp; public services","Other"))))))))))))</x:f>
      </x:c>
      <x:c r="J119" s="16" t="str">
        <x:f>IF(A119="","",IF(OR(ISNUMBER(SEARCH("fatal",Q119)),ISNUMBER(SEARCH("death",Q119)),ISNUMBER(SEARCH("riot",Q119)),ISNUMBER(SEARCH("curfew",Q119)),ISNUMBER(SEARCH("internet shutdown",Q119))),5,MIN(4,1+IF(H119&gt;=7,1,0)+IF(OR(ISNUMBER(SEARCH("hunger strike",Q119)),ISNUMBER(SEARCH("blockade",Q119)),ISNUMBER(SEARCH("strike",Q119)),ISNUMBER(SEARCH("jal satyagraha",Q119)),ISNUMBER(SEARCH("survey",Q119)),ISNUMBER(SEARCH("human chain",Q119)),ISNUMBER(SEARCH("march",Q119))),1,0)+IF(OR(ISNUMBER(SEARCH("fir",Q119)),ISNUMBER(SEARCH("confrontation",Q119)),ISNUMBER(SEARCH("violence",Q119)),ISNUMBER(SEARCH("detention",Q119)),ISNUMBER(SEARCH("arrest",Q119)),ISNUMBER(SEARCH("demolition",Q119)),ISNUMBER(SEARCH("injury",Q119))),1,0)+IF(OR(D119="Ongoing",D119="Unresolved"),1,0))))</x:f>
      </x:c>
      <x:c r="K119" s="16" t="str">
        <x:f>IF(J119="","",IF(J119=1,"Limited",IF(J119=2,"Local",IF(J119=3,"Significant",IF(J119=4,"High","Critical")))))</x:f>
      </x:c>
      <x:c r="L119" s="16" t="str">
        <x:f>IF(A119="","",Events!U118)</x:f>
      </x:c>
      <x:c r="M119" s="16" t="str">
        <x:f>IF(A119="","",Events!V118)</x:f>
      </x:c>
      <x:c r="N119" s="16" t="str">
        <x:f>IF(A119="","",Events!Q118)</x:f>
      </x:c>
      <x:c r="O119" s="16" t="str">
        <x:f>IF(A119="","",Events!R118)</x:f>
      </x:c>
      <x:c r="P119" s="16" t="str">
        <x:f>IF(A119="","",LOWER(Events!B118&amp;" "&amp;Events!D118&amp;" "&amp;Events!K118))</x:f>
      </x:c>
      <x:c r="Q119" s="16" t="str">
        <x:f>IF(A119="","",LOWER(Events!C118&amp;" "&amp;Events!K118&amp;" "&amp;Events!T118))</x:f>
      </x:c>
      <x:c r="R119" s="16" t="str">
        <x:f>IF(A119="","",IF(ISNUMBER(SEARCH("Occurrence verified",E119)),"Occurrence verified",E119))</x:f>
      </x:c>
      <x:c r="S119" s="79" t="str">
        <x:f>IF(A119="","",Events!X118)</x:f>
      </x:c>
      <x:c r="Z119" s="79" t="str">
        <x:f>IF(A119="","",Events!AD118)</x:f>
      </x:c>
      <x:c r="AA119" s="79" t="str">
        <x:f>IF(A119="","",Events!AE118)</x:f>
      </x:c>
    </x:row>
    <x:row r="120">
      <x:c r="A120" s="16" t="str">
        <x:f>IF(Events!A119="","",Events!A119)</x:f>
      </x:c>
      <x:c r="B120" s="16" t="str">
        <x:f>IF(A120="","",Events!B119)</x:f>
      </x:c>
      <x:c r="C120" s="16" t="str">
        <x:f>IF(A120="","",Events!E119)</x:f>
      </x:c>
      <x:c r="D120" s="16" t="str">
        <x:f>IF(A120="","",Events!J119)</x:f>
      </x:c>
      <x:c r="E120" s="16" t="str">
        <x:f>IF(A120="","",Events!N119)</x:f>
      </x:c>
      <x:c r="F120" s="109" t="str">
        <x:f>IF(OR(A120="",Events!H119=""),"",Events!H119)</x:f>
      </x:c>
      <x:c r="G120" s="109" t="str">
        <x:f>IF(A120="","",IF(Events!I119&lt;&gt;"",Events!I119,IF(Events!S119&lt;&gt;"",Events!S119,"")))</x:f>
      </x:c>
      <x:c r="H120" s="16" t="str">
        <x:f>IF(A120="","",Events!W119)</x:f>
      </x:c>
      <x:c r="I120" s="16" t="str">
        <x:f>IF(A120="","",IF(Events!Y119&lt;&gt;"",Events!Y119,IF(OR(ISNUMBER(SEARCH("education",P120)),ISNUMBER(SEARCH("exam",P120)),ISNUMBER(SEARCH("school",P120))),"Education",IF(OR(ISNUMBER(SEARCH("trade agreement",P120)),ISNUMBER(SEARCH("economic",P120)),ISNUMBER(SEARCH("import",P120))),"Trade &amp; economic policy",IF(OR(ISNUMBER(SEARCH("land acquisition",P120)),ISNUMBER(SEARCH("rehabilitation",P120)),ISNUMBER(SEARCH("displacement",P120)),ISNUMBER(SEARCH("township",P120))),"Land &amp; rehabilitation",IF(OR(ISNUMBER(SEARCH("forest",P120)),ISNUMBER(SEARCH("environment",P120)),ISNUMBER(SEARCH("ecological",P120)),ISNUMBER(SEARCH("biodiversity",P120)),ISNUMBER(SEARCH("green cover",P120))),"Environment",IF(OR(ISNUMBER(SEARCH("irrigation",P120)),ISNUMBER(SEARCH("water",P120)),ISNUMBER(SEARCH("crop",P120)),ISNUMBER(SEARCH("farmer",P120)),ISNUMBER(SEARCH("agriculture",P120))),"Agriculture &amp; water",IF(OR(ISNUMBER(SEARCH("health",P120)),ISNUMBER(SEARCH("hospital",P120)),ISNUMBER(SEARCH("medicine",P120))),"Public health",IF(OR(ISNUMBER(SEARCH("employee",P120)),ISNUMBER(SEARCH("labour",P120)),ISNUMBER(SEARCH("worker",P120)),ISNUMBER(SEARCH("salary",P120))),"Labour &amp; employment",IF(OR(ISNUMBER(SEARCH("rti",P120)),ISNUMBER(SEARCH("transparency",P120)),ISNUMBER(SEARCH("corruption",P120)),ISNUMBER(SEARCH("governance",P120))),"Governance &amp; transparency",IF(OR(ISNUMBER(SEARCH("police",P120)),ISNUMBER(SEARCH("detention",P120)),ISNUMBER(SEARCH("civil rights",P120)),ISNUMBER(SEARCH("justice",P120))),"Civil rights &amp; justice",IF(OR(ISNUMBER(SEARCH("road",P120)),ISNUMBER(SEARCH("utility",P120)),ISNUMBER(SEARCH("infrastructure",P120)),ISNUMBER(SEARCH("public service",P120))),"Infrastructure &amp; public services","Other"))))))))))))</x:f>
      </x:c>
      <x:c r="J120" s="16" t="str">
        <x:f>IF(A120="","",IF(OR(ISNUMBER(SEARCH("fatal",Q120)),ISNUMBER(SEARCH("death",Q120)),ISNUMBER(SEARCH("riot",Q120)),ISNUMBER(SEARCH("curfew",Q120)),ISNUMBER(SEARCH("internet shutdown",Q120))),5,MIN(4,1+IF(H120&gt;=7,1,0)+IF(OR(ISNUMBER(SEARCH("hunger strike",Q120)),ISNUMBER(SEARCH("blockade",Q120)),ISNUMBER(SEARCH("strike",Q120)),ISNUMBER(SEARCH("jal satyagraha",Q120)),ISNUMBER(SEARCH("survey",Q120)),ISNUMBER(SEARCH("human chain",Q120)),ISNUMBER(SEARCH("march",Q120))),1,0)+IF(OR(ISNUMBER(SEARCH("fir",Q120)),ISNUMBER(SEARCH("confrontation",Q120)),ISNUMBER(SEARCH("violence",Q120)),ISNUMBER(SEARCH("detention",Q120)),ISNUMBER(SEARCH("arrest",Q120)),ISNUMBER(SEARCH("demolition",Q120)),ISNUMBER(SEARCH("injury",Q120))),1,0)+IF(OR(D120="Ongoing",D120="Unresolved"),1,0))))</x:f>
      </x:c>
      <x:c r="K120" s="16" t="str">
        <x:f>IF(J120="","",IF(J120=1,"Limited",IF(J120=2,"Local",IF(J120=3,"Significant",IF(J120=4,"High","Critical")))))</x:f>
      </x:c>
      <x:c r="L120" s="16" t="str">
        <x:f>IF(A120="","",Events!U119)</x:f>
      </x:c>
      <x:c r="M120" s="16" t="str">
        <x:f>IF(A120="","",Events!V119)</x:f>
      </x:c>
      <x:c r="N120" s="16" t="str">
        <x:f>IF(A120="","",Events!Q119)</x:f>
      </x:c>
      <x:c r="O120" s="16" t="str">
        <x:f>IF(A120="","",Events!R119)</x:f>
      </x:c>
      <x:c r="P120" s="16" t="str">
        <x:f>IF(A120="","",LOWER(Events!B119&amp;" "&amp;Events!D119&amp;" "&amp;Events!K119))</x:f>
      </x:c>
      <x:c r="Q120" s="16" t="str">
        <x:f>IF(A120="","",LOWER(Events!C119&amp;" "&amp;Events!K119&amp;" "&amp;Events!T119))</x:f>
      </x:c>
      <x:c r="R120" s="16" t="str">
        <x:f>IF(A120="","",IF(ISNUMBER(SEARCH("Occurrence verified",E120)),"Occurrence verified",E120))</x:f>
      </x:c>
      <x:c r="S120" s="79" t="str">
        <x:f>IF(A120="","",Events!X119)</x:f>
      </x:c>
      <x:c r="Z120" s="79" t="str">
        <x:f>IF(A120="","",Events!AD119)</x:f>
      </x:c>
      <x:c r="AA120" s="79" t="str">
        <x:f>IF(A120="","",Events!AE119)</x:f>
      </x:c>
    </x:row>
    <x:row r="121">
      <x:c r="A121" s="16" t="str">
        <x:f>IF(Events!A120="","",Events!A120)</x:f>
      </x:c>
      <x:c r="B121" s="16" t="str">
        <x:f>IF(A121="","",Events!B120)</x:f>
      </x:c>
      <x:c r="C121" s="16" t="str">
        <x:f>IF(A121="","",Events!E120)</x:f>
      </x:c>
      <x:c r="D121" s="16" t="str">
        <x:f>IF(A121="","",Events!J120)</x:f>
      </x:c>
      <x:c r="E121" s="16" t="str">
        <x:f>IF(A121="","",Events!N120)</x:f>
      </x:c>
      <x:c r="F121" s="109" t="str">
        <x:f>IF(OR(A121="",Events!H120=""),"",Events!H120)</x:f>
      </x:c>
      <x:c r="G121" s="109" t="str">
        <x:f>IF(A121="","",IF(Events!I120&lt;&gt;"",Events!I120,IF(Events!S120&lt;&gt;"",Events!S120,"")))</x:f>
      </x:c>
      <x:c r="H121" s="16" t="str">
        <x:f>IF(A121="","",Events!W120)</x:f>
      </x:c>
      <x:c r="I121" s="16" t="str">
        <x:f>IF(A121="","",IF(Events!Y120&lt;&gt;"",Events!Y120,IF(OR(ISNUMBER(SEARCH("education",P121)),ISNUMBER(SEARCH("exam",P121)),ISNUMBER(SEARCH("school",P121))),"Education",IF(OR(ISNUMBER(SEARCH("trade agreement",P121)),ISNUMBER(SEARCH("economic",P121)),ISNUMBER(SEARCH("import",P121))),"Trade &amp; economic policy",IF(OR(ISNUMBER(SEARCH("land acquisition",P121)),ISNUMBER(SEARCH("rehabilitation",P121)),ISNUMBER(SEARCH("displacement",P121)),ISNUMBER(SEARCH("township",P121))),"Land &amp; rehabilitation",IF(OR(ISNUMBER(SEARCH("forest",P121)),ISNUMBER(SEARCH("environment",P121)),ISNUMBER(SEARCH("ecological",P121)),ISNUMBER(SEARCH("biodiversity",P121)),ISNUMBER(SEARCH("green cover",P121))),"Environment",IF(OR(ISNUMBER(SEARCH("irrigation",P121)),ISNUMBER(SEARCH("water",P121)),ISNUMBER(SEARCH("crop",P121)),ISNUMBER(SEARCH("farmer",P121)),ISNUMBER(SEARCH("agriculture",P121))),"Agriculture &amp; water",IF(OR(ISNUMBER(SEARCH("health",P121)),ISNUMBER(SEARCH("hospital",P121)),ISNUMBER(SEARCH("medicine",P121))),"Public health",IF(OR(ISNUMBER(SEARCH("employee",P121)),ISNUMBER(SEARCH("labour",P121)),ISNUMBER(SEARCH("worker",P121)),ISNUMBER(SEARCH("salary",P121))),"Labour &amp; employment",IF(OR(ISNUMBER(SEARCH("rti",P121)),ISNUMBER(SEARCH("transparency",P121)),ISNUMBER(SEARCH("corruption",P121)),ISNUMBER(SEARCH("governance",P121))),"Governance &amp; transparency",IF(OR(ISNUMBER(SEARCH("police",P121)),ISNUMBER(SEARCH("detention",P121)),ISNUMBER(SEARCH("civil rights",P121)),ISNUMBER(SEARCH("justice",P121))),"Civil rights &amp; justice",IF(OR(ISNUMBER(SEARCH("road",P121)),ISNUMBER(SEARCH("utility",P121)),ISNUMBER(SEARCH("infrastructure",P121)),ISNUMBER(SEARCH("public service",P121))),"Infrastructure &amp; public services","Other"))))))))))))</x:f>
      </x:c>
      <x:c r="J121" s="16" t="str">
        <x:f>IF(A121="","",IF(OR(ISNUMBER(SEARCH("fatal",Q121)),ISNUMBER(SEARCH("death",Q121)),ISNUMBER(SEARCH("riot",Q121)),ISNUMBER(SEARCH("curfew",Q121)),ISNUMBER(SEARCH("internet shutdown",Q121))),5,MIN(4,1+IF(H121&gt;=7,1,0)+IF(OR(ISNUMBER(SEARCH("hunger strike",Q121)),ISNUMBER(SEARCH("blockade",Q121)),ISNUMBER(SEARCH("strike",Q121)),ISNUMBER(SEARCH("jal satyagraha",Q121)),ISNUMBER(SEARCH("survey",Q121)),ISNUMBER(SEARCH("human chain",Q121)),ISNUMBER(SEARCH("march",Q121))),1,0)+IF(OR(ISNUMBER(SEARCH("fir",Q121)),ISNUMBER(SEARCH("confrontation",Q121)),ISNUMBER(SEARCH("violence",Q121)),ISNUMBER(SEARCH("detention",Q121)),ISNUMBER(SEARCH("arrest",Q121)),ISNUMBER(SEARCH("demolition",Q121)),ISNUMBER(SEARCH("injury",Q121))),1,0)+IF(OR(D121="Ongoing",D121="Unresolved"),1,0))))</x:f>
      </x:c>
      <x:c r="K121" s="16" t="str">
        <x:f>IF(J121="","",IF(J121=1,"Limited",IF(J121=2,"Local",IF(J121=3,"Significant",IF(J121=4,"High","Critical")))))</x:f>
      </x:c>
      <x:c r="L121" s="16" t="str">
        <x:f>IF(A121="","",Events!U120)</x:f>
      </x:c>
      <x:c r="M121" s="16" t="str">
        <x:f>IF(A121="","",Events!V120)</x:f>
      </x:c>
      <x:c r="N121" s="16" t="str">
        <x:f>IF(A121="","",Events!Q120)</x:f>
      </x:c>
      <x:c r="O121" s="16" t="str">
        <x:f>IF(A121="","",Events!R120)</x:f>
      </x:c>
      <x:c r="P121" s="16" t="str">
        <x:f>IF(A121="","",LOWER(Events!B120&amp;" "&amp;Events!D120&amp;" "&amp;Events!K120))</x:f>
      </x:c>
      <x:c r="Q121" s="16" t="str">
        <x:f>IF(A121="","",LOWER(Events!C120&amp;" "&amp;Events!K120&amp;" "&amp;Events!T120))</x:f>
      </x:c>
      <x:c r="R121" s="16" t="str">
        <x:f>IF(A121="","",IF(ISNUMBER(SEARCH("Occurrence verified",E121)),"Occurrence verified",E121))</x:f>
      </x:c>
      <x:c r="S121" s="79" t="str">
        <x:f>IF(A121="","",Events!X120)</x:f>
      </x:c>
      <x:c r="Z121" s="79" t="str">
        <x:f>IF(A121="","",Events!AD120)</x:f>
      </x:c>
      <x:c r="AA121" s="79" t="str">
        <x:f>IF(A121="","",Events!AE120)</x:f>
      </x:c>
    </x:row>
    <x:row r="122">
      <x:c r="A122" s="16" t="str">
        <x:f>IF(Events!A121="","",Events!A121)</x:f>
      </x:c>
      <x:c r="B122" s="16" t="str">
        <x:f>IF(A122="","",Events!B121)</x:f>
      </x:c>
      <x:c r="C122" s="16" t="str">
        <x:f>IF(A122="","",Events!E121)</x:f>
      </x:c>
      <x:c r="D122" s="16" t="str">
        <x:f>IF(A122="","",Events!J121)</x:f>
      </x:c>
      <x:c r="E122" s="16" t="str">
        <x:f>IF(A122="","",Events!N121)</x:f>
      </x:c>
      <x:c r="F122" s="109" t="str">
        <x:f>IF(OR(A122="",Events!H121=""),"",Events!H121)</x:f>
      </x:c>
      <x:c r="G122" s="109" t="str">
        <x:f>IF(A122="","",IF(Events!I121&lt;&gt;"",Events!I121,IF(Events!S121&lt;&gt;"",Events!S121,"")))</x:f>
      </x:c>
      <x:c r="H122" s="16" t="str">
        <x:f>IF(A122="","",Events!W121)</x:f>
      </x:c>
      <x:c r="I122" s="16" t="str">
        <x:f>IF(A122="","",IF(Events!Y121&lt;&gt;"",Events!Y121,IF(OR(ISNUMBER(SEARCH("education",P122)),ISNUMBER(SEARCH("exam",P122)),ISNUMBER(SEARCH("school",P122))),"Education",IF(OR(ISNUMBER(SEARCH("trade agreement",P122)),ISNUMBER(SEARCH("economic",P122)),ISNUMBER(SEARCH("import",P122))),"Trade &amp; economic policy",IF(OR(ISNUMBER(SEARCH("land acquisition",P122)),ISNUMBER(SEARCH("rehabilitation",P122)),ISNUMBER(SEARCH("displacement",P122)),ISNUMBER(SEARCH("township",P122))),"Land &amp; rehabilitation",IF(OR(ISNUMBER(SEARCH("forest",P122)),ISNUMBER(SEARCH("environment",P122)),ISNUMBER(SEARCH("ecological",P122)),ISNUMBER(SEARCH("biodiversity",P122)),ISNUMBER(SEARCH("green cover",P122))),"Environment",IF(OR(ISNUMBER(SEARCH("irrigation",P122)),ISNUMBER(SEARCH("water",P122)),ISNUMBER(SEARCH("crop",P122)),ISNUMBER(SEARCH("farmer",P122)),ISNUMBER(SEARCH("agriculture",P122))),"Agriculture &amp; water",IF(OR(ISNUMBER(SEARCH("health",P122)),ISNUMBER(SEARCH("hospital",P122)),ISNUMBER(SEARCH("medicine",P122))),"Public health",IF(OR(ISNUMBER(SEARCH("employee",P122)),ISNUMBER(SEARCH("labour",P122)),ISNUMBER(SEARCH("worker",P122)),ISNUMBER(SEARCH("salary",P122))),"Labour &amp; employment",IF(OR(ISNUMBER(SEARCH("rti",P122)),ISNUMBER(SEARCH("transparency",P122)),ISNUMBER(SEARCH("corruption",P122)),ISNUMBER(SEARCH("governance",P122))),"Governance &amp; transparency",IF(OR(ISNUMBER(SEARCH("police",P122)),ISNUMBER(SEARCH("detention",P122)),ISNUMBER(SEARCH("civil rights",P122)),ISNUMBER(SEARCH("justice",P122))),"Civil rights &amp; justice",IF(OR(ISNUMBER(SEARCH("road",P122)),ISNUMBER(SEARCH("utility",P122)),ISNUMBER(SEARCH("infrastructure",P122)),ISNUMBER(SEARCH("public service",P122))),"Infrastructure &amp; public services","Other"))))))))))))</x:f>
      </x:c>
      <x:c r="J122" s="16" t="str">
        <x:f>IF(A122="","",IF(OR(ISNUMBER(SEARCH("fatal",Q122)),ISNUMBER(SEARCH("death",Q122)),ISNUMBER(SEARCH("riot",Q122)),ISNUMBER(SEARCH("curfew",Q122)),ISNUMBER(SEARCH("internet shutdown",Q122))),5,MIN(4,1+IF(H122&gt;=7,1,0)+IF(OR(ISNUMBER(SEARCH("hunger strike",Q122)),ISNUMBER(SEARCH("blockade",Q122)),ISNUMBER(SEARCH("strike",Q122)),ISNUMBER(SEARCH("jal satyagraha",Q122)),ISNUMBER(SEARCH("survey",Q122)),ISNUMBER(SEARCH("human chain",Q122)),ISNUMBER(SEARCH("march",Q122))),1,0)+IF(OR(ISNUMBER(SEARCH("fir",Q122)),ISNUMBER(SEARCH("confrontation",Q122)),ISNUMBER(SEARCH("violence",Q122)),ISNUMBER(SEARCH("detention",Q122)),ISNUMBER(SEARCH("arrest",Q122)),ISNUMBER(SEARCH("demolition",Q122)),ISNUMBER(SEARCH("injury",Q122))),1,0)+IF(OR(D122="Ongoing",D122="Unresolved"),1,0))))</x:f>
      </x:c>
      <x:c r="K122" s="16" t="str">
        <x:f>IF(J122="","",IF(J122=1,"Limited",IF(J122=2,"Local",IF(J122=3,"Significant",IF(J122=4,"High","Critical")))))</x:f>
      </x:c>
      <x:c r="L122" s="16" t="str">
        <x:f>IF(A122="","",Events!U121)</x:f>
      </x:c>
      <x:c r="M122" s="16" t="str">
        <x:f>IF(A122="","",Events!V121)</x:f>
      </x:c>
      <x:c r="N122" s="16" t="str">
        <x:f>IF(A122="","",Events!Q121)</x:f>
      </x:c>
      <x:c r="O122" s="16" t="str">
        <x:f>IF(A122="","",Events!R121)</x:f>
      </x:c>
      <x:c r="P122" s="16" t="str">
        <x:f>IF(A122="","",LOWER(Events!B121&amp;" "&amp;Events!D121&amp;" "&amp;Events!K121))</x:f>
      </x:c>
      <x:c r="Q122" s="16" t="str">
        <x:f>IF(A122="","",LOWER(Events!C121&amp;" "&amp;Events!K121&amp;" "&amp;Events!T121))</x:f>
      </x:c>
      <x:c r="R122" s="16" t="str">
        <x:f>IF(A122="","",IF(ISNUMBER(SEARCH("Occurrence verified",E122)),"Occurrence verified",E122))</x:f>
      </x:c>
      <x:c r="S122" s="79" t="str">
        <x:f>IF(A122="","",Events!X121)</x:f>
      </x:c>
      <x:c r="Z122" s="79" t="str">
        <x:f>IF(A122="","",Events!AD121)</x:f>
      </x:c>
      <x:c r="AA122" s="79" t="str">
        <x:f>IF(A122="","",Events!AE121)</x:f>
      </x:c>
    </x:row>
    <x:row r="123">
      <x:c r="A123" s="16" t="str">
        <x:f>IF(Events!A122="","",Events!A122)</x:f>
      </x:c>
      <x:c r="B123" s="16" t="str">
        <x:f>IF(A123="","",Events!B122)</x:f>
      </x:c>
      <x:c r="C123" s="16" t="str">
        <x:f>IF(A123="","",Events!E122)</x:f>
      </x:c>
      <x:c r="D123" s="16" t="str">
        <x:f>IF(A123="","",Events!J122)</x:f>
      </x:c>
      <x:c r="E123" s="16" t="str">
        <x:f>IF(A123="","",Events!N122)</x:f>
      </x:c>
      <x:c r="F123" s="109" t="str">
        <x:f>IF(OR(A123="",Events!H122=""),"",Events!H122)</x:f>
      </x:c>
      <x:c r="G123" s="109" t="str">
        <x:f>IF(A123="","",IF(Events!I122&lt;&gt;"",Events!I122,IF(Events!S122&lt;&gt;"",Events!S122,"")))</x:f>
      </x:c>
      <x:c r="H123" s="16" t="str">
        <x:f>IF(A123="","",Events!W122)</x:f>
      </x:c>
      <x:c r="I123" s="16" t="str">
        <x:f>IF(A123="","",IF(Events!Y122&lt;&gt;"",Events!Y122,IF(OR(ISNUMBER(SEARCH("education",P123)),ISNUMBER(SEARCH("exam",P123)),ISNUMBER(SEARCH("school",P123))),"Education",IF(OR(ISNUMBER(SEARCH("trade agreement",P123)),ISNUMBER(SEARCH("economic",P123)),ISNUMBER(SEARCH("import",P123))),"Trade &amp; economic policy",IF(OR(ISNUMBER(SEARCH("land acquisition",P123)),ISNUMBER(SEARCH("rehabilitation",P123)),ISNUMBER(SEARCH("displacement",P123)),ISNUMBER(SEARCH("township",P123))),"Land &amp; rehabilitation",IF(OR(ISNUMBER(SEARCH("forest",P123)),ISNUMBER(SEARCH("environment",P123)),ISNUMBER(SEARCH("ecological",P123)),ISNUMBER(SEARCH("biodiversity",P123)),ISNUMBER(SEARCH("green cover",P123))),"Environment",IF(OR(ISNUMBER(SEARCH("irrigation",P123)),ISNUMBER(SEARCH("water",P123)),ISNUMBER(SEARCH("crop",P123)),ISNUMBER(SEARCH("farmer",P123)),ISNUMBER(SEARCH("agriculture",P123))),"Agriculture &amp; water",IF(OR(ISNUMBER(SEARCH("health",P123)),ISNUMBER(SEARCH("hospital",P123)),ISNUMBER(SEARCH("medicine",P123))),"Public health",IF(OR(ISNUMBER(SEARCH("employee",P123)),ISNUMBER(SEARCH("labour",P123)),ISNUMBER(SEARCH("worker",P123)),ISNUMBER(SEARCH("salary",P123))),"Labour &amp; employment",IF(OR(ISNUMBER(SEARCH("rti",P123)),ISNUMBER(SEARCH("transparency",P123)),ISNUMBER(SEARCH("corruption",P123)),ISNUMBER(SEARCH("governance",P123))),"Governance &amp; transparency",IF(OR(ISNUMBER(SEARCH("police",P123)),ISNUMBER(SEARCH("detention",P123)),ISNUMBER(SEARCH("civil rights",P123)),ISNUMBER(SEARCH("justice",P123))),"Civil rights &amp; justice",IF(OR(ISNUMBER(SEARCH("road",P123)),ISNUMBER(SEARCH("utility",P123)),ISNUMBER(SEARCH("infrastructure",P123)),ISNUMBER(SEARCH("public service",P123))),"Infrastructure &amp; public services","Other"))))))))))))</x:f>
      </x:c>
      <x:c r="J123" s="16" t="str">
        <x:f>IF(A123="","",IF(OR(ISNUMBER(SEARCH("fatal",Q123)),ISNUMBER(SEARCH("death",Q123)),ISNUMBER(SEARCH("riot",Q123)),ISNUMBER(SEARCH("curfew",Q123)),ISNUMBER(SEARCH("internet shutdown",Q123))),5,MIN(4,1+IF(H123&gt;=7,1,0)+IF(OR(ISNUMBER(SEARCH("hunger strike",Q123)),ISNUMBER(SEARCH("blockade",Q123)),ISNUMBER(SEARCH("strike",Q123)),ISNUMBER(SEARCH("jal satyagraha",Q123)),ISNUMBER(SEARCH("survey",Q123)),ISNUMBER(SEARCH("human chain",Q123)),ISNUMBER(SEARCH("march",Q123))),1,0)+IF(OR(ISNUMBER(SEARCH("fir",Q123)),ISNUMBER(SEARCH("confrontation",Q123)),ISNUMBER(SEARCH("violence",Q123)),ISNUMBER(SEARCH("detention",Q123)),ISNUMBER(SEARCH("arrest",Q123)),ISNUMBER(SEARCH("demolition",Q123)),ISNUMBER(SEARCH("injury",Q123))),1,0)+IF(OR(D123="Ongoing",D123="Unresolved"),1,0))))</x:f>
      </x:c>
      <x:c r="K123" s="16" t="str">
        <x:f>IF(J123="","",IF(J123=1,"Limited",IF(J123=2,"Local",IF(J123=3,"Significant",IF(J123=4,"High","Critical")))))</x:f>
      </x:c>
      <x:c r="L123" s="16" t="str">
        <x:f>IF(A123="","",Events!U122)</x:f>
      </x:c>
      <x:c r="M123" s="16" t="str">
        <x:f>IF(A123="","",Events!V122)</x:f>
      </x:c>
      <x:c r="N123" s="16" t="str">
        <x:f>IF(A123="","",Events!Q122)</x:f>
      </x:c>
      <x:c r="O123" s="16" t="str">
        <x:f>IF(A123="","",Events!R122)</x:f>
      </x:c>
      <x:c r="P123" s="16" t="str">
        <x:f>IF(A123="","",LOWER(Events!B122&amp;" "&amp;Events!D122&amp;" "&amp;Events!K122))</x:f>
      </x:c>
      <x:c r="Q123" s="16" t="str">
        <x:f>IF(A123="","",LOWER(Events!C122&amp;" "&amp;Events!K122&amp;" "&amp;Events!T122))</x:f>
      </x:c>
      <x:c r="R123" s="16" t="str">
        <x:f>IF(A123="","",IF(ISNUMBER(SEARCH("Occurrence verified",E123)),"Occurrence verified",E123))</x:f>
      </x:c>
      <x:c r="S123" s="79" t="str">
        <x:f>IF(A123="","",Events!X122)</x:f>
      </x:c>
      <x:c r="Z123" s="79" t="str">
        <x:f>IF(A123="","",Events!AD122)</x:f>
      </x:c>
      <x:c r="AA123" s="79" t="str">
        <x:f>IF(A123="","",Events!AE122)</x:f>
      </x:c>
    </x:row>
    <x:row r="124">
      <x:c r="A124" s="16" t="str">
        <x:f>IF(Events!A123="","",Events!A123)</x:f>
      </x:c>
      <x:c r="B124" s="16" t="str">
        <x:f>IF(A124="","",Events!B123)</x:f>
      </x:c>
      <x:c r="C124" s="16" t="str">
        <x:f>IF(A124="","",Events!E123)</x:f>
      </x:c>
      <x:c r="D124" s="16" t="str">
        <x:f>IF(A124="","",Events!J123)</x:f>
      </x:c>
      <x:c r="E124" s="16" t="str">
        <x:f>IF(A124="","",Events!N123)</x:f>
      </x:c>
      <x:c r="F124" s="109" t="str">
        <x:f>IF(OR(A124="",Events!H123=""),"",Events!H123)</x:f>
      </x:c>
      <x:c r="G124" s="109" t="str">
        <x:f>IF(A124="","",IF(Events!I123&lt;&gt;"",Events!I123,IF(Events!S123&lt;&gt;"",Events!S123,"")))</x:f>
      </x:c>
      <x:c r="H124" s="16" t="str">
        <x:f>IF(A124="","",Events!W123)</x:f>
      </x:c>
      <x:c r="I124" s="16" t="str">
        <x:f>IF(A124="","",IF(Events!Y123&lt;&gt;"",Events!Y123,IF(OR(ISNUMBER(SEARCH("education",P124)),ISNUMBER(SEARCH("exam",P124)),ISNUMBER(SEARCH("school",P124))),"Education",IF(OR(ISNUMBER(SEARCH("trade agreement",P124)),ISNUMBER(SEARCH("economic",P124)),ISNUMBER(SEARCH("import",P124))),"Trade &amp; economic policy",IF(OR(ISNUMBER(SEARCH("land acquisition",P124)),ISNUMBER(SEARCH("rehabilitation",P124)),ISNUMBER(SEARCH("displacement",P124)),ISNUMBER(SEARCH("township",P124))),"Land &amp; rehabilitation",IF(OR(ISNUMBER(SEARCH("forest",P124)),ISNUMBER(SEARCH("environment",P124)),ISNUMBER(SEARCH("ecological",P124)),ISNUMBER(SEARCH("biodiversity",P124)),ISNUMBER(SEARCH("green cover",P124))),"Environment",IF(OR(ISNUMBER(SEARCH("irrigation",P124)),ISNUMBER(SEARCH("water",P124)),ISNUMBER(SEARCH("crop",P124)),ISNUMBER(SEARCH("farmer",P124)),ISNUMBER(SEARCH("agriculture",P124))),"Agriculture &amp; water",IF(OR(ISNUMBER(SEARCH("health",P124)),ISNUMBER(SEARCH("hospital",P124)),ISNUMBER(SEARCH("medicine",P124))),"Public health",IF(OR(ISNUMBER(SEARCH("employee",P124)),ISNUMBER(SEARCH("labour",P124)),ISNUMBER(SEARCH("worker",P124)),ISNUMBER(SEARCH("salary",P124))),"Labour &amp; employment",IF(OR(ISNUMBER(SEARCH("rti",P124)),ISNUMBER(SEARCH("transparency",P124)),ISNUMBER(SEARCH("corruption",P124)),ISNUMBER(SEARCH("governance",P124))),"Governance &amp; transparency",IF(OR(ISNUMBER(SEARCH("police",P124)),ISNUMBER(SEARCH("detention",P124)),ISNUMBER(SEARCH("civil rights",P124)),ISNUMBER(SEARCH("justice",P124))),"Civil rights &amp; justice",IF(OR(ISNUMBER(SEARCH("road",P124)),ISNUMBER(SEARCH("utility",P124)),ISNUMBER(SEARCH("infrastructure",P124)),ISNUMBER(SEARCH("public service",P124))),"Infrastructure &amp; public services","Other"))))))))))))</x:f>
      </x:c>
      <x:c r="J124" s="16" t="str">
        <x:f>IF(A124="","",IF(OR(ISNUMBER(SEARCH("fatal",Q124)),ISNUMBER(SEARCH("death",Q124)),ISNUMBER(SEARCH("riot",Q124)),ISNUMBER(SEARCH("curfew",Q124)),ISNUMBER(SEARCH("internet shutdown",Q124))),5,MIN(4,1+IF(H124&gt;=7,1,0)+IF(OR(ISNUMBER(SEARCH("hunger strike",Q124)),ISNUMBER(SEARCH("blockade",Q124)),ISNUMBER(SEARCH("strike",Q124)),ISNUMBER(SEARCH("jal satyagraha",Q124)),ISNUMBER(SEARCH("survey",Q124)),ISNUMBER(SEARCH("human chain",Q124)),ISNUMBER(SEARCH("march",Q124))),1,0)+IF(OR(ISNUMBER(SEARCH("fir",Q124)),ISNUMBER(SEARCH("confrontation",Q124)),ISNUMBER(SEARCH("violence",Q124)),ISNUMBER(SEARCH("detention",Q124)),ISNUMBER(SEARCH("arrest",Q124)),ISNUMBER(SEARCH("demolition",Q124)),ISNUMBER(SEARCH("injury",Q124))),1,0)+IF(OR(D124="Ongoing",D124="Unresolved"),1,0))))</x:f>
      </x:c>
      <x:c r="K124" s="16" t="str">
        <x:f>IF(J124="","",IF(J124=1,"Limited",IF(J124=2,"Local",IF(J124=3,"Significant",IF(J124=4,"High","Critical")))))</x:f>
      </x:c>
      <x:c r="L124" s="16" t="str">
        <x:f>IF(A124="","",Events!U123)</x:f>
      </x:c>
      <x:c r="M124" s="16" t="str">
        <x:f>IF(A124="","",Events!V123)</x:f>
      </x:c>
      <x:c r="N124" s="16" t="str">
        <x:f>IF(A124="","",Events!Q123)</x:f>
      </x:c>
      <x:c r="O124" s="16" t="str">
        <x:f>IF(A124="","",Events!R123)</x:f>
      </x:c>
      <x:c r="P124" s="16" t="str">
        <x:f>IF(A124="","",LOWER(Events!B123&amp;" "&amp;Events!D123&amp;" "&amp;Events!K123))</x:f>
      </x:c>
      <x:c r="Q124" s="16" t="str">
        <x:f>IF(A124="","",LOWER(Events!C123&amp;" "&amp;Events!K123&amp;" "&amp;Events!T123))</x:f>
      </x:c>
      <x:c r="R124" s="16" t="str">
        <x:f>IF(A124="","",IF(ISNUMBER(SEARCH("Occurrence verified",E124)),"Occurrence verified",E124))</x:f>
      </x:c>
      <x:c r="S124" s="79" t="str">
        <x:f>IF(A124="","",Events!X123)</x:f>
      </x:c>
      <x:c r="Z124" s="79" t="str">
        <x:f>IF(A124="","",Events!AD123)</x:f>
      </x:c>
      <x:c r="AA124" s="79" t="str">
        <x:f>IF(A124="","",Events!AE123)</x:f>
      </x:c>
    </x:row>
    <x:row r="125">
      <x:c r="A125" s="16" t="str">
        <x:f>IF(Events!A124="","",Events!A124)</x:f>
      </x:c>
      <x:c r="B125" s="16" t="str">
        <x:f>IF(A125="","",Events!B124)</x:f>
      </x:c>
      <x:c r="C125" s="16" t="str">
        <x:f>IF(A125="","",Events!E124)</x:f>
      </x:c>
      <x:c r="D125" s="16" t="str">
        <x:f>IF(A125="","",Events!J124)</x:f>
      </x:c>
      <x:c r="E125" s="16" t="str">
        <x:f>IF(A125="","",Events!N124)</x:f>
      </x:c>
      <x:c r="F125" s="109" t="str">
        <x:f>IF(OR(A125="",Events!H124=""),"",Events!H124)</x:f>
      </x:c>
      <x:c r="G125" s="109" t="str">
        <x:f>IF(A125="","",IF(Events!I124&lt;&gt;"",Events!I124,IF(Events!S124&lt;&gt;"",Events!S124,"")))</x:f>
      </x:c>
      <x:c r="H125" s="16" t="str">
        <x:f>IF(A125="","",Events!W124)</x:f>
      </x:c>
      <x:c r="I125" s="16" t="str">
        <x:f>IF(A125="","",IF(Events!Y124&lt;&gt;"",Events!Y124,IF(OR(ISNUMBER(SEARCH("education",P125)),ISNUMBER(SEARCH("exam",P125)),ISNUMBER(SEARCH("school",P125))),"Education",IF(OR(ISNUMBER(SEARCH("trade agreement",P125)),ISNUMBER(SEARCH("economic",P125)),ISNUMBER(SEARCH("import",P125))),"Trade &amp; economic policy",IF(OR(ISNUMBER(SEARCH("land acquisition",P125)),ISNUMBER(SEARCH("rehabilitation",P125)),ISNUMBER(SEARCH("displacement",P125)),ISNUMBER(SEARCH("township",P125))),"Land &amp; rehabilitation",IF(OR(ISNUMBER(SEARCH("forest",P125)),ISNUMBER(SEARCH("environment",P125)),ISNUMBER(SEARCH("ecological",P125)),ISNUMBER(SEARCH("biodiversity",P125)),ISNUMBER(SEARCH("green cover",P125))),"Environment",IF(OR(ISNUMBER(SEARCH("irrigation",P125)),ISNUMBER(SEARCH("water",P125)),ISNUMBER(SEARCH("crop",P125)),ISNUMBER(SEARCH("farmer",P125)),ISNUMBER(SEARCH("agriculture",P125))),"Agriculture &amp; water",IF(OR(ISNUMBER(SEARCH("health",P125)),ISNUMBER(SEARCH("hospital",P125)),ISNUMBER(SEARCH("medicine",P125))),"Public health",IF(OR(ISNUMBER(SEARCH("employee",P125)),ISNUMBER(SEARCH("labour",P125)),ISNUMBER(SEARCH("worker",P125)),ISNUMBER(SEARCH("salary",P125))),"Labour &amp; employment",IF(OR(ISNUMBER(SEARCH("rti",P125)),ISNUMBER(SEARCH("transparency",P125)),ISNUMBER(SEARCH("corruption",P125)),ISNUMBER(SEARCH("governance",P125))),"Governance &amp; transparency",IF(OR(ISNUMBER(SEARCH("police",P125)),ISNUMBER(SEARCH("detention",P125)),ISNUMBER(SEARCH("civil rights",P125)),ISNUMBER(SEARCH("justice",P125))),"Civil rights &amp; justice",IF(OR(ISNUMBER(SEARCH("road",P125)),ISNUMBER(SEARCH("utility",P125)),ISNUMBER(SEARCH("infrastructure",P125)),ISNUMBER(SEARCH("public service",P125))),"Infrastructure &amp; public services","Other"))))))))))))</x:f>
      </x:c>
      <x:c r="J125" s="16" t="str">
        <x:f>IF(A125="","",IF(OR(ISNUMBER(SEARCH("fatal",Q125)),ISNUMBER(SEARCH("death",Q125)),ISNUMBER(SEARCH("riot",Q125)),ISNUMBER(SEARCH("curfew",Q125)),ISNUMBER(SEARCH("internet shutdown",Q125))),5,MIN(4,1+IF(H125&gt;=7,1,0)+IF(OR(ISNUMBER(SEARCH("hunger strike",Q125)),ISNUMBER(SEARCH("blockade",Q125)),ISNUMBER(SEARCH("strike",Q125)),ISNUMBER(SEARCH("jal satyagraha",Q125)),ISNUMBER(SEARCH("survey",Q125)),ISNUMBER(SEARCH("human chain",Q125)),ISNUMBER(SEARCH("march",Q125))),1,0)+IF(OR(ISNUMBER(SEARCH("fir",Q125)),ISNUMBER(SEARCH("confrontation",Q125)),ISNUMBER(SEARCH("violence",Q125)),ISNUMBER(SEARCH("detention",Q125)),ISNUMBER(SEARCH("arrest",Q125)),ISNUMBER(SEARCH("demolition",Q125)),ISNUMBER(SEARCH("injury",Q125))),1,0)+IF(OR(D125="Ongoing",D125="Unresolved"),1,0))))</x:f>
      </x:c>
      <x:c r="K125" s="16" t="str">
        <x:f>IF(J125="","",IF(J125=1,"Limited",IF(J125=2,"Local",IF(J125=3,"Significant",IF(J125=4,"High","Critical")))))</x:f>
      </x:c>
      <x:c r="L125" s="16" t="str">
        <x:f>IF(A125="","",Events!U124)</x:f>
      </x:c>
      <x:c r="M125" s="16" t="str">
        <x:f>IF(A125="","",Events!V124)</x:f>
      </x:c>
      <x:c r="N125" s="16" t="str">
        <x:f>IF(A125="","",Events!Q124)</x:f>
      </x:c>
      <x:c r="O125" s="16" t="str">
        <x:f>IF(A125="","",Events!R124)</x:f>
      </x:c>
      <x:c r="P125" s="16" t="str">
        <x:f>IF(A125="","",LOWER(Events!B124&amp;" "&amp;Events!D124&amp;" "&amp;Events!K124))</x:f>
      </x:c>
      <x:c r="Q125" s="16" t="str">
        <x:f>IF(A125="","",LOWER(Events!C124&amp;" "&amp;Events!K124&amp;" "&amp;Events!T124))</x:f>
      </x:c>
      <x:c r="R125" s="16" t="str">
        <x:f>IF(A125="","",IF(ISNUMBER(SEARCH("Occurrence verified",E125)),"Occurrence verified",E125))</x:f>
      </x:c>
      <x:c r="S125" s="79" t="str">
        <x:f>IF(A125="","",Events!X124)</x:f>
      </x:c>
      <x:c r="Z125" s="79" t="str">
        <x:f>IF(A125="","",Events!AD124)</x:f>
      </x:c>
      <x:c r="AA125" s="79" t="str">
        <x:f>IF(A125="","",Events!AE124)</x:f>
      </x:c>
    </x:row>
    <x:row r="126">
      <x:c r="A126" s="16" t="str">
        <x:f>IF(Events!A125="","",Events!A125)</x:f>
      </x:c>
      <x:c r="B126" s="16" t="str">
        <x:f>IF(A126="","",Events!B125)</x:f>
      </x:c>
      <x:c r="C126" s="16" t="str">
        <x:f>IF(A126="","",Events!E125)</x:f>
      </x:c>
      <x:c r="D126" s="16" t="str">
        <x:f>IF(A126="","",Events!J125)</x:f>
      </x:c>
      <x:c r="E126" s="16" t="str">
        <x:f>IF(A126="","",Events!N125)</x:f>
      </x:c>
      <x:c r="F126" s="109" t="str">
        <x:f>IF(OR(A126="",Events!H125=""),"",Events!H125)</x:f>
      </x:c>
      <x:c r="G126" s="109" t="str">
        <x:f>IF(A126="","",IF(Events!I125&lt;&gt;"",Events!I125,IF(Events!S125&lt;&gt;"",Events!S125,"")))</x:f>
      </x:c>
      <x:c r="H126" s="16" t="str">
        <x:f>IF(A126="","",Events!W125)</x:f>
      </x:c>
      <x:c r="I126" s="16" t="str">
        <x:f>IF(A126="","",IF(Events!Y125&lt;&gt;"",Events!Y125,IF(OR(ISNUMBER(SEARCH("education",P126)),ISNUMBER(SEARCH("exam",P126)),ISNUMBER(SEARCH("school",P126))),"Education",IF(OR(ISNUMBER(SEARCH("trade agreement",P126)),ISNUMBER(SEARCH("economic",P126)),ISNUMBER(SEARCH("import",P126))),"Trade &amp; economic policy",IF(OR(ISNUMBER(SEARCH("land acquisition",P126)),ISNUMBER(SEARCH("rehabilitation",P126)),ISNUMBER(SEARCH("displacement",P126)),ISNUMBER(SEARCH("township",P126))),"Land &amp; rehabilitation",IF(OR(ISNUMBER(SEARCH("forest",P126)),ISNUMBER(SEARCH("environment",P126)),ISNUMBER(SEARCH("ecological",P126)),ISNUMBER(SEARCH("biodiversity",P126)),ISNUMBER(SEARCH("green cover",P126))),"Environment",IF(OR(ISNUMBER(SEARCH("irrigation",P126)),ISNUMBER(SEARCH("water",P126)),ISNUMBER(SEARCH("crop",P126)),ISNUMBER(SEARCH("farmer",P126)),ISNUMBER(SEARCH("agriculture",P126))),"Agriculture &amp; water",IF(OR(ISNUMBER(SEARCH("health",P126)),ISNUMBER(SEARCH("hospital",P126)),ISNUMBER(SEARCH("medicine",P126))),"Public health",IF(OR(ISNUMBER(SEARCH("employee",P126)),ISNUMBER(SEARCH("labour",P126)),ISNUMBER(SEARCH("worker",P126)),ISNUMBER(SEARCH("salary",P126))),"Labour &amp; employment",IF(OR(ISNUMBER(SEARCH("rti",P126)),ISNUMBER(SEARCH("transparency",P126)),ISNUMBER(SEARCH("corruption",P126)),ISNUMBER(SEARCH("governance",P126))),"Governance &amp; transparency",IF(OR(ISNUMBER(SEARCH("police",P126)),ISNUMBER(SEARCH("detention",P126)),ISNUMBER(SEARCH("civil rights",P126)),ISNUMBER(SEARCH("justice",P126))),"Civil rights &amp; justice",IF(OR(ISNUMBER(SEARCH("road",P126)),ISNUMBER(SEARCH("utility",P126)),ISNUMBER(SEARCH("infrastructure",P126)),ISNUMBER(SEARCH("public service",P126))),"Infrastructure &amp; public services","Other"))))))))))))</x:f>
      </x:c>
      <x:c r="J126" s="16" t="str">
        <x:f>IF(A126="","",IF(OR(ISNUMBER(SEARCH("fatal",Q126)),ISNUMBER(SEARCH("death",Q126)),ISNUMBER(SEARCH("riot",Q126)),ISNUMBER(SEARCH("curfew",Q126)),ISNUMBER(SEARCH("internet shutdown",Q126))),5,MIN(4,1+IF(H126&gt;=7,1,0)+IF(OR(ISNUMBER(SEARCH("hunger strike",Q126)),ISNUMBER(SEARCH("blockade",Q126)),ISNUMBER(SEARCH("strike",Q126)),ISNUMBER(SEARCH("jal satyagraha",Q126)),ISNUMBER(SEARCH("survey",Q126)),ISNUMBER(SEARCH("human chain",Q126)),ISNUMBER(SEARCH("march",Q126))),1,0)+IF(OR(ISNUMBER(SEARCH("fir",Q126)),ISNUMBER(SEARCH("confrontation",Q126)),ISNUMBER(SEARCH("violence",Q126)),ISNUMBER(SEARCH("detention",Q126)),ISNUMBER(SEARCH("arrest",Q126)),ISNUMBER(SEARCH("demolition",Q126)),ISNUMBER(SEARCH("injury",Q126))),1,0)+IF(OR(D126="Ongoing",D126="Unresolved"),1,0))))</x:f>
      </x:c>
      <x:c r="K126" s="16" t="str">
        <x:f>IF(J126="","",IF(J126=1,"Limited",IF(J126=2,"Local",IF(J126=3,"Significant",IF(J126=4,"High","Critical")))))</x:f>
      </x:c>
      <x:c r="L126" s="16" t="str">
        <x:f>IF(A126="","",Events!U125)</x:f>
      </x:c>
      <x:c r="M126" s="16" t="str">
        <x:f>IF(A126="","",Events!V125)</x:f>
      </x:c>
      <x:c r="N126" s="16" t="str">
        <x:f>IF(A126="","",Events!Q125)</x:f>
      </x:c>
      <x:c r="O126" s="16" t="str">
        <x:f>IF(A126="","",Events!R125)</x:f>
      </x:c>
      <x:c r="P126" s="16" t="str">
        <x:f>IF(A126="","",LOWER(Events!B125&amp;" "&amp;Events!D125&amp;" "&amp;Events!K125))</x:f>
      </x:c>
      <x:c r="Q126" s="16" t="str">
        <x:f>IF(A126="","",LOWER(Events!C125&amp;" "&amp;Events!K125&amp;" "&amp;Events!T125))</x:f>
      </x:c>
      <x:c r="R126" s="16" t="str">
        <x:f>IF(A126="","",IF(ISNUMBER(SEARCH("Occurrence verified",E126)),"Occurrence verified",E126))</x:f>
      </x:c>
      <x:c r="S126" s="79" t="str">
        <x:f>IF(A126="","",Events!X125)</x:f>
      </x:c>
      <x:c r="Z126" s="79" t="str">
        <x:f>IF(A126="","",Events!AD125)</x:f>
      </x:c>
      <x:c r="AA126" s="79" t="str">
        <x:f>IF(A126="","",Events!AE125)</x:f>
      </x:c>
    </x:row>
    <x:row r="127">
      <x:c r="A127" s="16" t="str">
        <x:f>IF(Events!A126="","",Events!A126)</x:f>
      </x:c>
      <x:c r="B127" s="16" t="str">
        <x:f>IF(A127="","",Events!B126)</x:f>
      </x:c>
      <x:c r="C127" s="16" t="str">
        <x:f>IF(A127="","",Events!E126)</x:f>
      </x:c>
      <x:c r="D127" s="16" t="str">
        <x:f>IF(A127="","",Events!J126)</x:f>
      </x:c>
      <x:c r="E127" s="16" t="str">
        <x:f>IF(A127="","",Events!N126)</x:f>
      </x:c>
      <x:c r="F127" s="109" t="str">
        <x:f>IF(OR(A127="",Events!H126=""),"",Events!H126)</x:f>
      </x:c>
      <x:c r="G127" s="109" t="str">
        <x:f>IF(A127="","",IF(Events!I126&lt;&gt;"",Events!I126,IF(Events!S126&lt;&gt;"",Events!S126,"")))</x:f>
      </x:c>
      <x:c r="H127" s="16" t="str">
        <x:f>IF(A127="","",Events!W126)</x:f>
      </x:c>
      <x:c r="I127" s="16" t="str">
        <x:f>IF(A127="","",IF(Events!Y126&lt;&gt;"",Events!Y126,IF(OR(ISNUMBER(SEARCH("education",P127)),ISNUMBER(SEARCH("exam",P127)),ISNUMBER(SEARCH("school",P127))),"Education",IF(OR(ISNUMBER(SEARCH("trade agreement",P127)),ISNUMBER(SEARCH("economic",P127)),ISNUMBER(SEARCH("import",P127))),"Trade &amp; economic policy",IF(OR(ISNUMBER(SEARCH("land acquisition",P127)),ISNUMBER(SEARCH("rehabilitation",P127)),ISNUMBER(SEARCH("displacement",P127)),ISNUMBER(SEARCH("township",P127))),"Land &amp; rehabilitation",IF(OR(ISNUMBER(SEARCH("forest",P127)),ISNUMBER(SEARCH("environment",P127)),ISNUMBER(SEARCH("ecological",P127)),ISNUMBER(SEARCH("biodiversity",P127)),ISNUMBER(SEARCH("green cover",P127))),"Environment",IF(OR(ISNUMBER(SEARCH("irrigation",P127)),ISNUMBER(SEARCH("water",P127)),ISNUMBER(SEARCH("crop",P127)),ISNUMBER(SEARCH("farmer",P127)),ISNUMBER(SEARCH("agriculture",P127))),"Agriculture &amp; water",IF(OR(ISNUMBER(SEARCH("health",P127)),ISNUMBER(SEARCH("hospital",P127)),ISNUMBER(SEARCH("medicine",P127))),"Public health",IF(OR(ISNUMBER(SEARCH("employee",P127)),ISNUMBER(SEARCH("labour",P127)),ISNUMBER(SEARCH("worker",P127)),ISNUMBER(SEARCH("salary",P127))),"Labour &amp; employment",IF(OR(ISNUMBER(SEARCH("rti",P127)),ISNUMBER(SEARCH("transparency",P127)),ISNUMBER(SEARCH("corruption",P127)),ISNUMBER(SEARCH("governance",P127))),"Governance &amp; transparency",IF(OR(ISNUMBER(SEARCH("police",P127)),ISNUMBER(SEARCH("detention",P127)),ISNUMBER(SEARCH("civil rights",P127)),ISNUMBER(SEARCH("justice",P127))),"Civil rights &amp; justice",IF(OR(ISNUMBER(SEARCH("road",P127)),ISNUMBER(SEARCH("utility",P127)),ISNUMBER(SEARCH("infrastructure",P127)),ISNUMBER(SEARCH("public service",P127))),"Infrastructure &amp; public services","Other"))))))))))))</x:f>
      </x:c>
      <x:c r="J127" s="16" t="str">
        <x:f>IF(A127="","",IF(OR(ISNUMBER(SEARCH("fatal",Q127)),ISNUMBER(SEARCH("death",Q127)),ISNUMBER(SEARCH("riot",Q127)),ISNUMBER(SEARCH("curfew",Q127)),ISNUMBER(SEARCH("internet shutdown",Q127))),5,MIN(4,1+IF(H127&gt;=7,1,0)+IF(OR(ISNUMBER(SEARCH("hunger strike",Q127)),ISNUMBER(SEARCH("blockade",Q127)),ISNUMBER(SEARCH("strike",Q127)),ISNUMBER(SEARCH("jal satyagraha",Q127)),ISNUMBER(SEARCH("survey",Q127)),ISNUMBER(SEARCH("human chain",Q127)),ISNUMBER(SEARCH("march",Q127))),1,0)+IF(OR(ISNUMBER(SEARCH("fir",Q127)),ISNUMBER(SEARCH("confrontation",Q127)),ISNUMBER(SEARCH("violence",Q127)),ISNUMBER(SEARCH("detention",Q127)),ISNUMBER(SEARCH("arrest",Q127)),ISNUMBER(SEARCH("demolition",Q127)),ISNUMBER(SEARCH("injury",Q127))),1,0)+IF(OR(D127="Ongoing",D127="Unresolved"),1,0))))</x:f>
      </x:c>
      <x:c r="K127" s="16" t="str">
        <x:f>IF(J127="","",IF(J127=1,"Limited",IF(J127=2,"Local",IF(J127=3,"Significant",IF(J127=4,"High","Critical")))))</x:f>
      </x:c>
      <x:c r="L127" s="16" t="str">
        <x:f>IF(A127="","",Events!U126)</x:f>
      </x:c>
      <x:c r="M127" s="16" t="str">
        <x:f>IF(A127="","",Events!V126)</x:f>
      </x:c>
      <x:c r="N127" s="16" t="str">
        <x:f>IF(A127="","",Events!Q126)</x:f>
      </x:c>
      <x:c r="O127" s="16" t="str">
        <x:f>IF(A127="","",Events!R126)</x:f>
      </x:c>
      <x:c r="P127" s="16" t="str">
        <x:f>IF(A127="","",LOWER(Events!B126&amp;" "&amp;Events!D126&amp;" "&amp;Events!K126))</x:f>
      </x:c>
      <x:c r="Q127" s="16" t="str">
        <x:f>IF(A127="","",LOWER(Events!C126&amp;" "&amp;Events!K126&amp;" "&amp;Events!T126))</x:f>
      </x:c>
      <x:c r="R127" s="16" t="str">
        <x:f>IF(A127="","",IF(ISNUMBER(SEARCH("Occurrence verified",E127)),"Occurrence verified",E127))</x:f>
      </x:c>
      <x:c r="S127" s="79" t="str">
        <x:f>IF(A127="","",Events!X126)</x:f>
      </x:c>
      <x:c r="Z127" s="79" t="str">
        <x:f>IF(A127="","",Events!AD126)</x:f>
      </x:c>
      <x:c r="AA127" s="79" t="str">
        <x:f>IF(A127="","",Events!AE126)</x:f>
      </x:c>
    </x:row>
    <x:row r="128">
      <x:c r="A128" s="16" t="str">
        <x:f>IF(Events!A127="","",Events!A127)</x:f>
      </x:c>
      <x:c r="B128" s="16" t="str">
        <x:f>IF(A128="","",Events!B127)</x:f>
      </x:c>
      <x:c r="C128" s="16" t="str">
        <x:f>IF(A128="","",Events!E127)</x:f>
      </x:c>
      <x:c r="D128" s="16" t="str">
        <x:f>IF(A128="","",Events!J127)</x:f>
      </x:c>
      <x:c r="E128" s="16" t="str">
        <x:f>IF(A128="","",Events!N127)</x:f>
      </x:c>
      <x:c r="F128" s="109" t="str">
        <x:f>IF(OR(A128="",Events!H127=""),"",Events!H127)</x:f>
      </x:c>
      <x:c r="G128" s="109" t="str">
        <x:f>IF(A128="","",IF(Events!I127&lt;&gt;"",Events!I127,IF(Events!S127&lt;&gt;"",Events!S127,"")))</x:f>
      </x:c>
      <x:c r="H128" s="16" t="str">
        <x:f>IF(A128="","",Events!W127)</x:f>
      </x:c>
      <x:c r="I128" s="16" t="str">
        <x:f>IF(A128="","",IF(Events!Y127&lt;&gt;"",Events!Y127,IF(OR(ISNUMBER(SEARCH("education",P128)),ISNUMBER(SEARCH("exam",P128)),ISNUMBER(SEARCH("school",P128))),"Education",IF(OR(ISNUMBER(SEARCH("trade agreement",P128)),ISNUMBER(SEARCH("economic",P128)),ISNUMBER(SEARCH("import",P128))),"Trade &amp; economic policy",IF(OR(ISNUMBER(SEARCH("land acquisition",P128)),ISNUMBER(SEARCH("rehabilitation",P128)),ISNUMBER(SEARCH("displacement",P128)),ISNUMBER(SEARCH("township",P128))),"Land &amp; rehabilitation",IF(OR(ISNUMBER(SEARCH("forest",P128)),ISNUMBER(SEARCH("environment",P128)),ISNUMBER(SEARCH("ecological",P128)),ISNUMBER(SEARCH("biodiversity",P128)),ISNUMBER(SEARCH("green cover",P128))),"Environment",IF(OR(ISNUMBER(SEARCH("irrigation",P128)),ISNUMBER(SEARCH("water",P128)),ISNUMBER(SEARCH("crop",P128)),ISNUMBER(SEARCH("farmer",P128)),ISNUMBER(SEARCH("agriculture",P128))),"Agriculture &amp; water",IF(OR(ISNUMBER(SEARCH("health",P128)),ISNUMBER(SEARCH("hospital",P128)),ISNUMBER(SEARCH("medicine",P128))),"Public health",IF(OR(ISNUMBER(SEARCH("employee",P128)),ISNUMBER(SEARCH("labour",P128)),ISNUMBER(SEARCH("worker",P128)),ISNUMBER(SEARCH("salary",P128))),"Labour &amp; employment",IF(OR(ISNUMBER(SEARCH("rti",P128)),ISNUMBER(SEARCH("transparency",P128)),ISNUMBER(SEARCH("corruption",P128)),ISNUMBER(SEARCH("governance",P128))),"Governance &amp; transparency",IF(OR(ISNUMBER(SEARCH("police",P128)),ISNUMBER(SEARCH("detention",P128)),ISNUMBER(SEARCH("civil rights",P128)),ISNUMBER(SEARCH("justice",P128))),"Civil rights &amp; justice",IF(OR(ISNUMBER(SEARCH("road",P128)),ISNUMBER(SEARCH("utility",P128)),ISNUMBER(SEARCH("infrastructure",P128)),ISNUMBER(SEARCH("public service",P128))),"Infrastructure &amp; public services","Other"))))))))))))</x:f>
      </x:c>
      <x:c r="J128" s="16" t="str">
        <x:f>IF(A128="","",IF(OR(ISNUMBER(SEARCH("fatal",Q128)),ISNUMBER(SEARCH("death",Q128)),ISNUMBER(SEARCH("riot",Q128)),ISNUMBER(SEARCH("curfew",Q128)),ISNUMBER(SEARCH("internet shutdown",Q128))),5,MIN(4,1+IF(H128&gt;=7,1,0)+IF(OR(ISNUMBER(SEARCH("hunger strike",Q128)),ISNUMBER(SEARCH("blockade",Q128)),ISNUMBER(SEARCH("strike",Q128)),ISNUMBER(SEARCH("jal satyagraha",Q128)),ISNUMBER(SEARCH("survey",Q128)),ISNUMBER(SEARCH("human chain",Q128)),ISNUMBER(SEARCH("march",Q128))),1,0)+IF(OR(ISNUMBER(SEARCH("fir",Q128)),ISNUMBER(SEARCH("confrontation",Q128)),ISNUMBER(SEARCH("violence",Q128)),ISNUMBER(SEARCH("detention",Q128)),ISNUMBER(SEARCH("arrest",Q128)),ISNUMBER(SEARCH("demolition",Q128)),ISNUMBER(SEARCH("injury",Q128))),1,0)+IF(OR(D128="Ongoing",D128="Unresolved"),1,0))))</x:f>
      </x:c>
      <x:c r="K128" s="16" t="str">
        <x:f>IF(J128="","",IF(J128=1,"Limited",IF(J128=2,"Local",IF(J128=3,"Significant",IF(J128=4,"High","Critical")))))</x:f>
      </x:c>
      <x:c r="L128" s="16" t="str">
        <x:f>IF(A128="","",Events!U127)</x:f>
      </x:c>
      <x:c r="M128" s="16" t="str">
        <x:f>IF(A128="","",Events!V127)</x:f>
      </x:c>
      <x:c r="N128" s="16" t="str">
        <x:f>IF(A128="","",Events!Q127)</x:f>
      </x:c>
      <x:c r="O128" s="16" t="str">
        <x:f>IF(A128="","",Events!R127)</x:f>
      </x:c>
      <x:c r="P128" s="16" t="str">
        <x:f>IF(A128="","",LOWER(Events!B127&amp;" "&amp;Events!D127&amp;" "&amp;Events!K127))</x:f>
      </x:c>
      <x:c r="Q128" s="16" t="str">
        <x:f>IF(A128="","",LOWER(Events!C127&amp;" "&amp;Events!K127&amp;" "&amp;Events!T127))</x:f>
      </x:c>
      <x:c r="R128" s="16" t="str">
        <x:f>IF(A128="","",IF(ISNUMBER(SEARCH("Occurrence verified",E128)),"Occurrence verified",E128))</x:f>
      </x:c>
      <x:c r="S128" s="79" t="str">
        <x:f>IF(A128="","",Events!X127)</x:f>
      </x:c>
      <x:c r="Z128" s="79" t="str">
        <x:f>IF(A128="","",Events!AD127)</x:f>
      </x:c>
      <x:c r="AA128" s="79" t="str">
        <x:f>IF(A128="","",Events!AE127)</x:f>
      </x:c>
    </x:row>
    <x:row r="129">
      <x:c r="A129" s="16" t="str">
        <x:f>IF(Events!A128="","",Events!A128)</x:f>
      </x:c>
      <x:c r="B129" s="16" t="str">
        <x:f>IF(A129="","",Events!B128)</x:f>
      </x:c>
      <x:c r="C129" s="16" t="str">
        <x:f>IF(A129="","",Events!E128)</x:f>
      </x:c>
      <x:c r="D129" s="16" t="str">
        <x:f>IF(A129="","",Events!J128)</x:f>
      </x:c>
      <x:c r="E129" s="16" t="str">
        <x:f>IF(A129="","",Events!N128)</x:f>
      </x:c>
      <x:c r="F129" s="109" t="str">
        <x:f>IF(OR(A129="",Events!H128=""),"",Events!H128)</x:f>
      </x:c>
      <x:c r="G129" s="109" t="str">
        <x:f>IF(A129="","",IF(Events!I128&lt;&gt;"",Events!I128,IF(Events!S128&lt;&gt;"",Events!S128,"")))</x:f>
      </x:c>
      <x:c r="H129" s="16" t="str">
        <x:f>IF(A129="","",Events!W128)</x:f>
      </x:c>
      <x:c r="I129" s="16" t="str">
        <x:f>IF(A129="","",IF(Events!Y128&lt;&gt;"",Events!Y128,IF(OR(ISNUMBER(SEARCH("education",P129)),ISNUMBER(SEARCH("exam",P129)),ISNUMBER(SEARCH("school",P129))),"Education",IF(OR(ISNUMBER(SEARCH("trade agreement",P129)),ISNUMBER(SEARCH("economic",P129)),ISNUMBER(SEARCH("import",P129))),"Trade &amp; economic policy",IF(OR(ISNUMBER(SEARCH("land acquisition",P129)),ISNUMBER(SEARCH("rehabilitation",P129)),ISNUMBER(SEARCH("displacement",P129)),ISNUMBER(SEARCH("township",P129))),"Land &amp; rehabilitation",IF(OR(ISNUMBER(SEARCH("forest",P129)),ISNUMBER(SEARCH("environment",P129)),ISNUMBER(SEARCH("ecological",P129)),ISNUMBER(SEARCH("biodiversity",P129)),ISNUMBER(SEARCH("green cover",P129))),"Environment",IF(OR(ISNUMBER(SEARCH("irrigation",P129)),ISNUMBER(SEARCH("water",P129)),ISNUMBER(SEARCH("crop",P129)),ISNUMBER(SEARCH("farmer",P129)),ISNUMBER(SEARCH("agriculture",P129))),"Agriculture &amp; water",IF(OR(ISNUMBER(SEARCH("health",P129)),ISNUMBER(SEARCH("hospital",P129)),ISNUMBER(SEARCH("medicine",P129))),"Public health",IF(OR(ISNUMBER(SEARCH("employee",P129)),ISNUMBER(SEARCH("labour",P129)),ISNUMBER(SEARCH("worker",P129)),ISNUMBER(SEARCH("salary",P129))),"Labour &amp; employment",IF(OR(ISNUMBER(SEARCH("rti",P129)),ISNUMBER(SEARCH("transparency",P129)),ISNUMBER(SEARCH("corruption",P129)),ISNUMBER(SEARCH("governance",P129))),"Governance &amp; transparency",IF(OR(ISNUMBER(SEARCH("police",P129)),ISNUMBER(SEARCH("detention",P129)),ISNUMBER(SEARCH("civil rights",P129)),ISNUMBER(SEARCH("justice",P129))),"Civil rights &amp; justice",IF(OR(ISNUMBER(SEARCH("road",P129)),ISNUMBER(SEARCH("utility",P129)),ISNUMBER(SEARCH("infrastructure",P129)),ISNUMBER(SEARCH("public service",P129))),"Infrastructure &amp; public services","Other"))))))))))))</x:f>
      </x:c>
      <x:c r="J129" s="16" t="str">
        <x:f>IF(A129="","",IF(OR(ISNUMBER(SEARCH("fatal",Q129)),ISNUMBER(SEARCH("death",Q129)),ISNUMBER(SEARCH("riot",Q129)),ISNUMBER(SEARCH("curfew",Q129)),ISNUMBER(SEARCH("internet shutdown",Q129))),5,MIN(4,1+IF(H129&gt;=7,1,0)+IF(OR(ISNUMBER(SEARCH("hunger strike",Q129)),ISNUMBER(SEARCH("blockade",Q129)),ISNUMBER(SEARCH("strike",Q129)),ISNUMBER(SEARCH("jal satyagraha",Q129)),ISNUMBER(SEARCH("survey",Q129)),ISNUMBER(SEARCH("human chain",Q129)),ISNUMBER(SEARCH("march",Q129))),1,0)+IF(OR(ISNUMBER(SEARCH("fir",Q129)),ISNUMBER(SEARCH("confrontation",Q129)),ISNUMBER(SEARCH("violence",Q129)),ISNUMBER(SEARCH("detention",Q129)),ISNUMBER(SEARCH("arrest",Q129)),ISNUMBER(SEARCH("demolition",Q129)),ISNUMBER(SEARCH("injury",Q129))),1,0)+IF(OR(D129="Ongoing",D129="Unresolved"),1,0))))</x:f>
      </x:c>
      <x:c r="K129" s="16" t="str">
        <x:f>IF(J129="","",IF(J129=1,"Limited",IF(J129=2,"Local",IF(J129=3,"Significant",IF(J129=4,"High","Critical")))))</x:f>
      </x:c>
      <x:c r="L129" s="16" t="str">
        <x:f>IF(A129="","",Events!U128)</x:f>
      </x:c>
      <x:c r="M129" s="16" t="str">
        <x:f>IF(A129="","",Events!V128)</x:f>
      </x:c>
      <x:c r="N129" s="16" t="str">
        <x:f>IF(A129="","",Events!Q128)</x:f>
      </x:c>
      <x:c r="O129" s="16" t="str">
        <x:f>IF(A129="","",Events!R128)</x:f>
      </x:c>
      <x:c r="P129" s="16" t="str">
        <x:f>IF(A129="","",LOWER(Events!B128&amp;" "&amp;Events!D128&amp;" "&amp;Events!K128))</x:f>
      </x:c>
      <x:c r="Q129" s="16" t="str">
        <x:f>IF(A129="","",LOWER(Events!C128&amp;" "&amp;Events!K128&amp;" "&amp;Events!T128))</x:f>
      </x:c>
      <x:c r="R129" s="16" t="str">
        <x:f>IF(A129="","",IF(ISNUMBER(SEARCH("Occurrence verified",E129)),"Occurrence verified",E129))</x:f>
      </x:c>
      <x:c r="S129" s="79" t="str">
        <x:f>IF(A129="","",Events!X128)</x:f>
      </x:c>
      <x:c r="Z129" s="79" t="str">
        <x:f>IF(A129="","",Events!AD128)</x:f>
      </x:c>
      <x:c r="AA129" s="79" t="str">
        <x:f>IF(A129="","",Events!AE128)</x:f>
      </x:c>
    </x:row>
    <x:row r="130">
      <x:c r="A130" s="16" t="str">
        <x:f>IF(Events!A129="","",Events!A129)</x:f>
      </x:c>
      <x:c r="B130" s="16" t="str">
        <x:f>IF(A130="","",Events!B129)</x:f>
      </x:c>
      <x:c r="C130" s="16" t="str">
        <x:f>IF(A130="","",Events!E129)</x:f>
      </x:c>
      <x:c r="D130" s="16" t="str">
        <x:f>IF(A130="","",Events!J129)</x:f>
      </x:c>
      <x:c r="E130" s="16" t="str">
        <x:f>IF(A130="","",Events!N129)</x:f>
      </x:c>
      <x:c r="F130" s="109" t="str">
        <x:f>IF(OR(A130="",Events!H129=""),"",Events!H129)</x:f>
      </x:c>
      <x:c r="G130" s="109" t="str">
        <x:f>IF(A130="","",IF(Events!I129&lt;&gt;"",Events!I129,IF(Events!S129&lt;&gt;"",Events!S129,"")))</x:f>
      </x:c>
      <x:c r="H130" s="16" t="str">
        <x:f>IF(A130="","",Events!W129)</x:f>
      </x:c>
      <x:c r="I130" s="16" t="str">
        <x:f>IF(A130="","",IF(Events!Y129&lt;&gt;"",Events!Y129,IF(OR(ISNUMBER(SEARCH("education",P130)),ISNUMBER(SEARCH("exam",P130)),ISNUMBER(SEARCH("school",P130))),"Education",IF(OR(ISNUMBER(SEARCH("trade agreement",P130)),ISNUMBER(SEARCH("economic",P130)),ISNUMBER(SEARCH("import",P130))),"Trade &amp; economic policy",IF(OR(ISNUMBER(SEARCH("land acquisition",P130)),ISNUMBER(SEARCH("rehabilitation",P130)),ISNUMBER(SEARCH("displacement",P130)),ISNUMBER(SEARCH("township",P130))),"Land &amp; rehabilitation",IF(OR(ISNUMBER(SEARCH("forest",P130)),ISNUMBER(SEARCH("environment",P130)),ISNUMBER(SEARCH("ecological",P130)),ISNUMBER(SEARCH("biodiversity",P130)),ISNUMBER(SEARCH("green cover",P130))),"Environment",IF(OR(ISNUMBER(SEARCH("irrigation",P130)),ISNUMBER(SEARCH("water",P130)),ISNUMBER(SEARCH("crop",P130)),ISNUMBER(SEARCH("farmer",P130)),ISNUMBER(SEARCH("agriculture",P130))),"Agriculture &amp; water",IF(OR(ISNUMBER(SEARCH("health",P130)),ISNUMBER(SEARCH("hospital",P130)),ISNUMBER(SEARCH("medicine",P130))),"Public health",IF(OR(ISNUMBER(SEARCH("employee",P130)),ISNUMBER(SEARCH("labour",P130)),ISNUMBER(SEARCH("worker",P130)),ISNUMBER(SEARCH("salary",P130))),"Labour &amp; employment",IF(OR(ISNUMBER(SEARCH("rti",P130)),ISNUMBER(SEARCH("transparency",P130)),ISNUMBER(SEARCH("corruption",P130)),ISNUMBER(SEARCH("governance",P130))),"Governance &amp; transparency",IF(OR(ISNUMBER(SEARCH("police",P130)),ISNUMBER(SEARCH("detention",P130)),ISNUMBER(SEARCH("civil rights",P130)),ISNUMBER(SEARCH("justice",P130))),"Civil rights &amp; justice",IF(OR(ISNUMBER(SEARCH("road",P130)),ISNUMBER(SEARCH("utility",P130)),ISNUMBER(SEARCH("infrastructure",P130)),ISNUMBER(SEARCH("public service",P130))),"Infrastructure &amp; public services","Other"))))))))))))</x:f>
      </x:c>
      <x:c r="J130" s="16" t="str">
        <x:f>IF(A130="","",IF(OR(ISNUMBER(SEARCH("fatal",Q130)),ISNUMBER(SEARCH("death",Q130)),ISNUMBER(SEARCH("riot",Q130)),ISNUMBER(SEARCH("curfew",Q130)),ISNUMBER(SEARCH("internet shutdown",Q130))),5,MIN(4,1+IF(H130&gt;=7,1,0)+IF(OR(ISNUMBER(SEARCH("hunger strike",Q130)),ISNUMBER(SEARCH("blockade",Q130)),ISNUMBER(SEARCH("strike",Q130)),ISNUMBER(SEARCH("jal satyagraha",Q130)),ISNUMBER(SEARCH("survey",Q130)),ISNUMBER(SEARCH("human chain",Q130)),ISNUMBER(SEARCH("march",Q130))),1,0)+IF(OR(ISNUMBER(SEARCH("fir",Q130)),ISNUMBER(SEARCH("confrontation",Q130)),ISNUMBER(SEARCH("violence",Q130)),ISNUMBER(SEARCH("detention",Q130)),ISNUMBER(SEARCH("arrest",Q130)),ISNUMBER(SEARCH("demolition",Q130)),ISNUMBER(SEARCH("injury",Q130))),1,0)+IF(OR(D130="Ongoing",D130="Unresolved"),1,0))))</x:f>
      </x:c>
      <x:c r="K130" s="16" t="str">
        <x:f>IF(J130="","",IF(J130=1,"Limited",IF(J130=2,"Local",IF(J130=3,"Significant",IF(J130=4,"High","Critical")))))</x:f>
      </x:c>
      <x:c r="L130" s="16" t="str">
        <x:f>IF(A130="","",Events!U129)</x:f>
      </x:c>
      <x:c r="M130" s="16" t="str">
        <x:f>IF(A130="","",Events!V129)</x:f>
      </x:c>
      <x:c r="N130" s="16" t="str">
        <x:f>IF(A130="","",Events!Q129)</x:f>
      </x:c>
      <x:c r="O130" s="16" t="str">
        <x:f>IF(A130="","",Events!R129)</x:f>
      </x:c>
      <x:c r="P130" s="16" t="str">
        <x:f>IF(A130="","",LOWER(Events!B129&amp;" "&amp;Events!D129&amp;" "&amp;Events!K129))</x:f>
      </x:c>
      <x:c r="Q130" s="16" t="str">
        <x:f>IF(A130="","",LOWER(Events!C129&amp;" "&amp;Events!K129&amp;" "&amp;Events!T129))</x:f>
      </x:c>
      <x:c r="R130" s="16" t="str">
        <x:f>IF(A130="","",IF(ISNUMBER(SEARCH("Occurrence verified",E130)),"Occurrence verified",E130))</x:f>
      </x:c>
      <x:c r="S130" s="79" t="str">
        <x:f>IF(A130="","",Events!X129)</x:f>
      </x:c>
      <x:c r="Z130" s="79" t="str">
        <x:f>IF(A130="","",Events!AD129)</x:f>
      </x:c>
      <x:c r="AA130" s="79" t="str">
        <x:f>IF(A130="","",Events!AE129)</x:f>
      </x:c>
    </x:row>
    <x:row r="131">
      <x:c r="A131" s="16" t="str">
        <x:f>IF(Events!A130="","",Events!A130)</x:f>
      </x:c>
      <x:c r="B131" s="16" t="str">
        <x:f>IF(A131="","",Events!B130)</x:f>
      </x:c>
      <x:c r="C131" s="16" t="str">
        <x:f>IF(A131="","",Events!E130)</x:f>
      </x:c>
      <x:c r="D131" s="16" t="str">
        <x:f>IF(A131="","",Events!J130)</x:f>
      </x:c>
      <x:c r="E131" s="16" t="str">
        <x:f>IF(A131="","",Events!N130)</x:f>
      </x:c>
      <x:c r="F131" s="109" t="str">
        <x:f>IF(OR(A131="",Events!H130=""),"",Events!H130)</x:f>
      </x:c>
      <x:c r="G131" s="109" t="str">
        <x:f>IF(A131="","",IF(Events!I130&lt;&gt;"",Events!I130,IF(Events!S130&lt;&gt;"",Events!S130,"")))</x:f>
      </x:c>
      <x:c r="H131" s="16" t="str">
        <x:f>IF(A131="","",Events!W130)</x:f>
      </x:c>
      <x:c r="I131" s="16" t="str">
        <x:f>IF(A131="","",IF(Events!Y130&lt;&gt;"",Events!Y130,IF(OR(ISNUMBER(SEARCH("education",P131)),ISNUMBER(SEARCH("exam",P131)),ISNUMBER(SEARCH("school",P131))),"Education",IF(OR(ISNUMBER(SEARCH("trade agreement",P131)),ISNUMBER(SEARCH("economic",P131)),ISNUMBER(SEARCH("import",P131))),"Trade &amp; economic policy",IF(OR(ISNUMBER(SEARCH("land acquisition",P131)),ISNUMBER(SEARCH("rehabilitation",P131)),ISNUMBER(SEARCH("displacement",P131)),ISNUMBER(SEARCH("township",P131))),"Land &amp; rehabilitation",IF(OR(ISNUMBER(SEARCH("forest",P131)),ISNUMBER(SEARCH("environment",P131)),ISNUMBER(SEARCH("ecological",P131)),ISNUMBER(SEARCH("biodiversity",P131)),ISNUMBER(SEARCH("green cover",P131))),"Environment",IF(OR(ISNUMBER(SEARCH("irrigation",P131)),ISNUMBER(SEARCH("water",P131)),ISNUMBER(SEARCH("crop",P131)),ISNUMBER(SEARCH("farmer",P131)),ISNUMBER(SEARCH("agriculture",P131))),"Agriculture &amp; water",IF(OR(ISNUMBER(SEARCH("health",P131)),ISNUMBER(SEARCH("hospital",P131)),ISNUMBER(SEARCH("medicine",P131))),"Public health",IF(OR(ISNUMBER(SEARCH("employee",P131)),ISNUMBER(SEARCH("labour",P131)),ISNUMBER(SEARCH("worker",P131)),ISNUMBER(SEARCH("salary",P131))),"Labour &amp; employment",IF(OR(ISNUMBER(SEARCH("rti",P131)),ISNUMBER(SEARCH("transparency",P131)),ISNUMBER(SEARCH("corruption",P131)),ISNUMBER(SEARCH("governance",P131))),"Governance &amp; transparency",IF(OR(ISNUMBER(SEARCH("police",P131)),ISNUMBER(SEARCH("detention",P131)),ISNUMBER(SEARCH("civil rights",P131)),ISNUMBER(SEARCH("justice",P131))),"Civil rights &amp; justice",IF(OR(ISNUMBER(SEARCH("road",P131)),ISNUMBER(SEARCH("utility",P131)),ISNUMBER(SEARCH("infrastructure",P131)),ISNUMBER(SEARCH("public service",P131))),"Infrastructure &amp; public services","Other"))))))))))))</x:f>
      </x:c>
      <x:c r="J131" s="16" t="str">
        <x:f>IF(A131="","",IF(OR(ISNUMBER(SEARCH("fatal",Q131)),ISNUMBER(SEARCH("death",Q131)),ISNUMBER(SEARCH("riot",Q131)),ISNUMBER(SEARCH("curfew",Q131)),ISNUMBER(SEARCH("internet shutdown",Q131))),5,MIN(4,1+IF(H131&gt;=7,1,0)+IF(OR(ISNUMBER(SEARCH("hunger strike",Q131)),ISNUMBER(SEARCH("blockade",Q131)),ISNUMBER(SEARCH("strike",Q131)),ISNUMBER(SEARCH("jal satyagraha",Q131)),ISNUMBER(SEARCH("survey",Q131)),ISNUMBER(SEARCH("human chain",Q131)),ISNUMBER(SEARCH("march",Q131))),1,0)+IF(OR(ISNUMBER(SEARCH("fir",Q131)),ISNUMBER(SEARCH("confrontation",Q131)),ISNUMBER(SEARCH("violence",Q131)),ISNUMBER(SEARCH("detention",Q131)),ISNUMBER(SEARCH("arrest",Q131)),ISNUMBER(SEARCH("demolition",Q131)),ISNUMBER(SEARCH("injury",Q131))),1,0)+IF(OR(D131="Ongoing",D131="Unresolved"),1,0))))</x:f>
      </x:c>
      <x:c r="K131" s="16" t="str">
        <x:f>IF(J131="","",IF(J131=1,"Limited",IF(J131=2,"Local",IF(J131=3,"Significant",IF(J131=4,"High","Critical")))))</x:f>
      </x:c>
      <x:c r="L131" s="16" t="str">
        <x:f>IF(A131="","",Events!U130)</x:f>
      </x:c>
      <x:c r="M131" s="16" t="str">
        <x:f>IF(A131="","",Events!V130)</x:f>
      </x:c>
      <x:c r="N131" s="16" t="str">
        <x:f>IF(A131="","",Events!Q130)</x:f>
      </x:c>
      <x:c r="O131" s="16" t="str">
        <x:f>IF(A131="","",Events!R130)</x:f>
      </x:c>
      <x:c r="P131" s="16" t="str">
        <x:f>IF(A131="","",LOWER(Events!B130&amp;" "&amp;Events!D130&amp;" "&amp;Events!K130))</x:f>
      </x:c>
      <x:c r="Q131" s="16" t="str">
        <x:f>IF(A131="","",LOWER(Events!C130&amp;" "&amp;Events!K130&amp;" "&amp;Events!T130))</x:f>
      </x:c>
      <x:c r="R131" s="16" t="str">
        <x:f>IF(A131="","",IF(ISNUMBER(SEARCH("Occurrence verified",E131)),"Occurrence verified",E131))</x:f>
      </x:c>
      <x:c r="S131" s="79" t="str">
        <x:f>IF(A131="","",Events!X130)</x:f>
      </x:c>
      <x:c r="Z131" s="79" t="str">
        <x:f>IF(A131="","",Events!AD130)</x:f>
      </x:c>
      <x:c r="AA131" s="79" t="str">
        <x:f>IF(A131="","",Events!AE130)</x:f>
      </x:c>
    </x:row>
    <x:row r="132">
      <x:c r="A132" s="16" t="str">
        <x:f>IF(Events!A131="","",Events!A131)</x:f>
      </x:c>
      <x:c r="B132" s="16" t="str">
        <x:f>IF(A132="","",Events!B131)</x:f>
      </x:c>
      <x:c r="C132" s="16" t="str">
        <x:f>IF(A132="","",Events!E131)</x:f>
      </x:c>
      <x:c r="D132" s="16" t="str">
        <x:f>IF(A132="","",Events!J131)</x:f>
      </x:c>
      <x:c r="E132" s="16" t="str">
        <x:f>IF(A132="","",Events!N131)</x:f>
      </x:c>
      <x:c r="F132" s="109" t="str">
        <x:f>IF(OR(A132="",Events!H131=""),"",Events!H131)</x:f>
      </x:c>
      <x:c r="G132" s="109" t="str">
        <x:f>IF(A132="","",IF(Events!I131&lt;&gt;"",Events!I131,IF(Events!S131&lt;&gt;"",Events!S131,"")))</x:f>
      </x:c>
      <x:c r="H132" s="16" t="str">
        <x:f>IF(A132="","",Events!W131)</x:f>
      </x:c>
      <x:c r="I132" s="16" t="str">
        <x:f>IF(A132="","",IF(Events!Y131&lt;&gt;"",Events!Y131,IF(OR(ISNUMBER(SEARCH("education",P132)),ISNUMBER(SEARCH("exam",P132)),ISNUMBER(SEARCH("school",P132))),"Education",IF(OR(ISNUMBER(SEARCH("trade agreement",P132)),ISNUMBER(SEARCH("economic",P132)),ISNUMBER(SEARCH("import",P132))),"Trade &amp; economic policy",IF(OR(ISNUMBER(SEARCH("land acquisition",P132)),ISNUMBER(SEARCH("rehabilitation",P132)),ISNUMBER(SEARCH("displacement",P132)),ISNUMBER(SEARCH("township",P132))),"Land &amp; rehabilitation",IF(OR(ISNUMBER(SEARCH("forest",P132)),ISNUMBER(SEARCH("environment",P132)),ISNUMBER(SEARCH("ecological",P132)),ISNUMBER(SEARCH("biodiversity",P132)),ISNUMBER(SEARCH("green cover",P132))),"Environment",IF(OR(ISNUMBER(SEARCH("irrigation",P132)),ISNUMBER(SEARCH("water",P132)),ISNUMBER(SEARCH("crop",P132)),ISNUMBER(SEARCH("farmer",P132)),ISNUMBER(SEARCH("agriculture",P132))),"Agriculture &amp; water",IF(OR(ISNUMBER(SEARCH("health",P132)),ISNUMBER(SEARCH("hospital",P132)),ISNUMBER(SEARCH("medicine",P132))),"Public health",IF(OR(ISNUMBER(SEARCH("employee",P132)),ISNUMBER(SEARCH("labour",P132)),ISNUMBER(SEARCH("worker",P132)),ISNUMBER(SEARCH("salary",P132))),"Labour &amp; employment",IF(OR(ISNUMBER(SEARCH("rti",P132)),ISNUMBER(SEARCH("transparency",P132)),ISNUMBER(SEARCH("corruption",P132)),ISNUMBER(SEARCH("governance",P132))),"Governance &amp; transparency",IF(OR(ISNUMBER(SEARCH("police",P132)),ISNUMBER(SEARCH("detention",P132)),ISNUMBER(SEARCH("civil rights",P132)),ISNUMBER(SEARCH("justice",P132))),"Civil rights &amp; justice",IF(OR(ISNUMBER(SEARCH("road",P132)),ISNUMBER(SEARCH("utility",P132)),ISNUMBER(SEARCH("infrastructure",P132)),ISNUMBER(SEARCH("public service",P132))),"Infrastructure &amp; public services","Other"))))))))))))</x:f>
      </x:c>
      <x:c r="J132" s="16" t="str">
        <x:f>IF(A132="","",IF(OR(ISNUMBER(SEARCH("fatal",Q132)),ISNUMBER(SEARCH("death",Q132)),ISNUMBER(SEARCH("riot",Q132)),ISNUMBER(SEARCH("curfew",Q132)),ISNUMBER(SEARCH("internet shutdown",Q132))),5,MIN(4,1+IF(H132&gt;=7,1,0)+IF(OR(ISNUMBER(SEARCH("hunger strike",Q132)),ISNUMBER(SEARCH("blockade",Q132)),ISNUMBER(SEARCH("strike",Q132)),ISNUMBER(SEARCH("jal satyagraha",Q132)),ISNUMBER(SEARCH("survey",Q132)),ISNUMBER(SEARCH("human chain",Q132)),ISNUMBER(SEARCH("march",Q132))),1,0)+IF(OR(ISNUMBER(SEARCH("fir",Q132)),ISNUMBER(SEARCH("confrontation",Q132)),ISNUMBER(SEARCH("violence",Q132)),ISNUMBER(SEARCH("detention",Q132)),ISNUMBER(SEARCH("arrest",Q132)),ISNUMBER(SEARCH("demolition",Q132)),ISNUMBER(SEARCH("injury",Q132))),1,0)+IF(OR(D132="Ongoing",D132="Unresolved"),1,0))))</x:f>
      </x:c>
      <x:c r="K132" s="16" t="str">
        <x:f>IF(J132="","",IF(J132=1,"Limited",IF(J132=2,"Local",IF(J132=3,"Significant",IF(J132=4,"High","Critical")))))</x:f>
      </x:c>
      <x:c r="L132" s="16" t="str">
        <x:f>IF(A132="","",Events!U131)</x:f>
      </x:c>
      <x:c r="M132" s="16" t="str">
        <x:f>IF(A132="","",Events!V131)</x:f>
      </x:c>
      <x:c r="N132" s="16" t="str">
        <x:f>IF(A132="","",Events!Q131)</x:f>
      </x:c>
      <x:c r="O132" s="16" t="str">
        <x:f>IF(A132="","",Events!R131)</x:f>
      </x:c>
      <x:c r="P132" s="16" t="str">
        <x:f>IF(A132="","",LOWER(Events!B131&amp;" "&amp;Events!D131&amp;" "&amp;Events!K131))</x:f>
      </x:c>
      <x:c r="Q132" s="16" t="str">
        <x:f>IF(A132="","",LOWER(Events!C131&amp;" "&amp;Events!K131&amp;" "&amp;Events!T131))</x:f>
      </x:c>
      <x:c r="R132" s="16" t="str">
        <x:f>IF(A132="","",IF(ISNUMBER(SEARCH("Occurrence verified",E132)),"Occurrence verified",E132))</x:f>
      </x:c>
      <x:c r="S132" s="79" t="str">
        <x:f>IF(A132="","",Events!X131)</x:f>
      </x:c>
      <x:c r="Z132" s="79" t="str">
        <x:f>IF(A132="","",Events!AD131)</x:f>
      </x:c>
      <x:c r="AA132" s="79" t="str">
        <x:f>IF(A132="","",Events!AE131)</x:f>
      </x:c>
    </x:row>
    <x:row r="133">
      <x:c r="A133" s="16" t="str">
        <x:f>IF(Events!A132="","",Events!A132)</x:f>
      </x:c>
      <x:c r="B133" s="16" t="str">
        <x:f>IF(A133="","",Events!B132)</x:f>
      </x:c>
      <x:c r="C133" s="16" t="str">
        <x:f>IF(A133="","",Events!E132)</x:f>
      </x:c>
      <x:c r="D133" s="16" t="str">
        <x:f>IF(A133="","",Events!J132)</x:f>
      </x:c>
      <x:c r="E133" s="16" t="str">
        <x:f>IF(A133="","",Events!N132)</x:f>
      </x:c>
      <x:c r="F133" s="109" t="str">
        <x:f>IF(OR(A133="",Events!H132=""),"",Events!H132)</x:f>
      </x:c>
      <x:c r="G133" s="109" t="str">
        <x:f>IF(A133="","",IF(Events!I132&lt;&gt;"",Events!I132,IF(Events!S132&lt;&gt;"",Events!S132,"")))</x:f>
      </x:c>
      <x:c r="H133" s="16" t="str">
        <x:f>IF(A133="","",Events!W132)</x:f>
      </x:c>
      <x:c r="I133" s="16" t="str">
        <x:f>IF(A133="","",IF(Events!Y132&lt;&gt;"",Events!Y132,IF(OR(ISNUMBER(SEARCH("education",P133)),ISNUMBER(SEARCH("exam",P133)),ISNUMBER(SEARCH("school",P133))),"Education",IF(OR(ISNUMBER(SEARCH("trade agreement",P133)),ISNUMBER(SEARCH("economic",P133)),ISNUMBER(SEARCH("import",P133))),"Trade &amp; economic policy",IF(OR(ISNUMBER(SEARCH("land acquisition",P133)),ISNUMBER(SEARCH("rehabilitation",P133)),ISNUMBER(SEARCH("displacement",P133)),ISNUMBER(SEARCH("township",P133))),"Land &amp; rehabilitation",IF(OR(ISNUMBER(SEARCH("forest",P133)),ISNUMBER(SEARCH("environment",P133)),ISNUMBER(SEARCH("ecological",P133)),ISNUMBER(SEARCH("biodiversity",P133)),ISNUMBER(SEARCH("green cover",P133))),"Environment",IF(OR(ISNUMBER(SEARCH("irrigation",P133)),ISNUMBER(SEARCH("water",P133)),ISNUMBER(SEARCH("crop",P133)),ISNUMBER(SEARCH("farmer",P133)),ISNUMBER(SEARCH("agriculture",P133))),"Agriculture &amp; water",IF(OR(ISNUMBER(SEARCH("health",P133)),ISNUMBER(SEARCH("hospital",P133)),ISNUMBER(SEARCH("medicine",P133))),"Public health",IF(OR(ISNUMBER(SEARCH("employee",P133)),ISNUMBER(SEARCH("labour",P133)),ISNUMBER(SEARCH("worker",P133)),ISNUMBER(SEARCH("salary",P133))),"Labour &amp; employment",IF(OR(ISNUMBER(SEARCH("rti",P133)),ISNUMBER(SEARCH("transparency",P133)),ISNUMBER(SEARCH("corruption",P133)),ISNUMBER(SEARCH("governance",P133))),"Governance &amp; transparency",IF(OR(ISNUMBER(SEARCH("police",P133)),ISNUMBER(SEARCH("detention",P133)),ISNUMBER(SEARCH("civil rights",P133)),ISNUMBER(SEARCH("justice",P133))),"Civil rights &amp; justice",IF(OR(ISNUMBER(SEARCH("road",P133)),ISNUMBER(SEARCH("utility",P133)),ISNUMBER(SEARCH("infrastructure",P133)),ISNUMBER(SEARCH("public service",P133))),"Infrastructure &amp; public services","Other"))))))))))))</x:f>
      </x:c>
      <x:c r="J133" s="16" t="str">
        <x:f>IF(A133="","",IF(OR(ISNUMBER(SEARCH("fatal",Q133)),ISNUMBER(SEARCH("death",Q133)),ISNUMBER(SEARCH("riot",Q133)),ISNUMBER(SEARCH("curfew",Q133)),ISNUMBER(SEARCH("internet shutdown",Q133))),5,MIN(4,1+IF(H133&gt;=7,1,0)+IF(OR(ISNUMBER(SEARCH("hunger strike",Q133)),ISNUMBER(SEARCH("blockade",Q133)),ISNUMBER(SEARCH("strike",Q133)),ISNUMBER(SEARCH("jal satyagraha",Q133)),ISNUMBER(SEARCH("survey",Q133)),ISNUMBER(SEARCH("human chain",Q133)),ISNUMBER(SEARCH("march",Q133))),1,0)+IF(OR(ISNUMBER(SEARCH("fir",Q133)),ISNUMBER(SEARCH("confrontation",Q133)),ISNUMBER(SEARCH("violence",Q133)),ISNUMBER(SEARCH("detention",Q133)),ISNUMBER(SEARCH("arrest",Q133)),ISNUMBER(SEARCH("demolition",Q133)),ISNUMBER(SEARCH("injury",Q133))),1,0)+IF(OR(D133="Ongoing",D133="Unresolved"),1,0))))</x:f>
      </x:c>
      <x:c r="K133" s="16" t="str">
        <x:f>IF(J133="","",IF(J133=1,"Limited",IF(J133=2,"Local",IF(J133=3,"Significant",IF(J133=4,"High","Critical")))))</x:f>
      </x:c>
      <x:c r="L133" s="16" t="str">
        <x:f>IF(A133="","",Events!U132)</x:f>
      </x:c>
      <x:c r="M133" s="16" t="str">
        <x:f>IF(A133="","",Events!V132)</x:f>
      </x:c>
      <x:c r="N133" s="16" t="str">
        <x:f>IF(A133="","",Events!Q132)</x:f>
      </x:c>
      <x:c r="O133" s="16" t="str">
        <x:f>IF(A133="","",Events!R132)</x:f>
      </x:c>
      <x:c r="P133" s="16" t="str">
        <x:f>IF(A133="","",LOWER(Events!B132&amp;" "&amp;Events!D132&amp;" "&amp;Events!K132))</x:f>
      </x:c>
      <x:c r="Q133" s="16" t="str">
        <x:f>IF(A133="","",LOWER(Events!C132&amp;" "&amp;Events!K132&amp;" "&amp;Events!T132))</x:f>
      </x:c>
      <x:c r="R133" s="16" t="str">
        <x:f>IF(A133="","",IF(ISNUMBER(SEARCH("Occurrence verified",E133)),"Occurrence verified",E133))</x:f>
      </x:c>
      <x:c r="S133" s="79" t="str">
        <x:f>IF(A133="","",Events!X132)</x:f>
      </x:c>
      <x:c r="Z133" s="79" t="str">
        <x:f>IF(A133="","",Events!AD132)</x:f>
      </x:c>
      <x:c r="AA133" s="79" t="str">
        <x:f>IF(A133="","",Events!AE132)</x:f>
      </x:c>
    </x:row>
    <x:row r="134">
      <x:c r="A134" s="16" t="str">
        <x:f>IF(Events!A133="","",Events!A133)</x:f>
      </x:c>
      <x:c r="B134" s="16" t="str">
        <x:f>IF(A134="","",Events!B133)</x:f>
      </x:c>
      <x:c r="C134" s="16" t="str">
        <x:f>IF(A134="","",Events!E133)</x:f>
      </x:c>
      <x:c r="D134" s="16" t="str">
        <x:f>IF(A134="","",Events!J133)</x:f>
      </x:c>
      <x:c r="E134" s="16" t="str">
        <x:f>IF(A134="","",Events!N133)</x:f>
      </x:c>
      <x:c r="F134" s="109" t="str">
        <x:f>IF(OR(A134="",Events!H133=""),"",Events!H133)</x:f>
      </x:c>
      <x:c r="G134" s="109" t="str">
        <x:f>IF(A134="","",IF(Events!I133&lt;&gt;"",Events!I133,IF(Events!S133&lt;&gt;"",Events!S133,"")))</x:f>
      </x:c>
      <x:c r="H134" s="16" t="str">
        <x:f>IF(A134="","",Events!W133)</x:f>
      </x:c>
      <x:c r="I134" s="16" t="str">
        <x:f>IF(A134="","",IF(Events!Y133&lt;&gt;"",Events!Y133,IF(OR(ISNUMBER(SEARCH("education",P134)),ISNUMBER(SEARCH("exam",P134)),ISNUMBER(SEARCH("school",P134))),"Education",IF(OR(ISNUMBER(SEARCH("trade agreement",P134)),ISNUMBER(SEARCH("economic",P134)),ISNUMBER(SEARCH("import",P134))),"Trade &amp; economic policy",IF(OR(ISNUMBER(SEARCH("land acquisition",P134)),ISNUMBER(SEARCH("rehabilitation",P134)),ISNUMBER(SEARCH("displacement",P134)),ISNUMBER(SEARCH("township",P134))),"Land &amp; rehabilitation",IF(OR(ISNUMBER(SEARCH("forest",P134)),ISNUMBER(SEARCH("environment",P134)),ISNUMBER(SEARCH("ecological",P134)),ISNUMBER(SEARCH("biodiversity",P134)),ISNUMBER(SEARCH("green cover",P134))),"Environment",IF(OR(ISNUMBER(SEARCH("irrigation",P134)),ISNUMBER(SEARCH("water",P134)),ISNUMBER(SEARCH("crop",P134)),ISNUMBER(SEARCH("farmer",P134)),ISNUMBER(SEARCH("agriculture",P134))),"Agriculture &amp; water",IF(OR(ISNUMBER(SEARCH("health",P134)),ISNUMBER(SEARCH("hospital",P134)),ISNUMBER(SEARCH("medicine",P134))),"Public health",IF(OR(ISNUMBER(SEARCH("employee",P134)),ISNUMBER(SEARCH("labour",P134)),ISNUMBER(SEARCH("worker",P134)),ISNUMBER(SEARCH("salary",P134))),"Labour &amp; employment",IF(OR(ISNUMBER(SEARCH("rti",P134)),ISNUMBER(SEARCH("transparency",P134)),ISNUMBER(SEARCH("corruption",P134)),ISNUMBER(SEARCH("governance",P134))),"Governance &amp; transparency",IF(OR(ISNUMBER(SEARCH("police",P134)),ISNUMBER(SEARCH("detention",P134)),ISNUMBER(SEARCH("civil rights",P134)),ISNUMBER(SEARCH("justice",P134))),"Civil rights &amp; justice",IF(OR(ISNUMBER(SEARCH("road",P134)),ISNUMBER(SEARCH("utility",P134)),ISNUMBER(SEARCH("infrastructure",P134)),ISNUMBER(SEARCH("public service",P134))),"Infrastructure &amp; public services","Other"))))))))))))</x:f>
      </x:c>
      <x:c r="J134" s="16" t="str">
        <x:f>IF(A134="","",IF(OR(ISNUMBER(SEARCH("fatal",Q134)),ISNUMBER(SEARCH("death",Q134)),ISNUMBER(SEARCH("riot",Q134)),ISNUMBER(SEARCH("curfew",Q134)),ISNUMBER(SEARCH("internet shutdown",Q134))),5,MIN(4,1+IF(H134&gt;=7,1,0)+IF(OR(ISNUMBER(SEARCH("hunger strike",Q134)),ISNUMBER(SEARCH("blockade",Q134)),ISNUMBER(SEARCH("strike",Q134)),ISNUMBER(SEARCH("jal satyagraha",Q134)),ISNUMBER(SEARCH("survey",Q134)),ISNUMBER(SEARCH("human chain",Q134)),ISNUMBER(SEARCH("march",Q134))),1,0)+IF(OR(ISNUMBER(SEARCH("fir",Q134)),ISNUMBER(SEARCH("confrontation",Q134)),ISNUMBER(SEARCH("violence",Q134)),ISNUMBER(SEARCH("detention",Q134)),ISNUMBER(SEARCH("arrest",Q134)),ISNUMBER(SEARCH("demolition",Q134)),ISNUMBER(SEARCH("injury",Q134))),1,0)+IF(OR(D134="Ongoing",D134="Unresolved"),1,0))))</x:f>
      </x:c>
      <x:c r="K134" s="16" t="str">
        <x:f>IF(J134="","",IF(J134=1,"Limited",IF(J134=2,"Local",IF(J134=3,"Significant",IF(J134=4,"High","Critical")))))</x:f>
      </x:c>
      <x:c r="L134" s="16" t="str">
        <x:f>IF(A134="","",Events!U133)</x:f>
      </x:c>
      <x:c r="M134" s="16" t="str">
        <x:f>IF(A134="","",Events!V133)</x:f>
      </x:c>
      <x:c r="N134" s="16" t="str">
        <x:f>IF(A134="","",Events!Q133)</x:f>
      </x:c>
      <x:c r="O134" s="16" t="str">
        <x:f>IF(A134="","",Events!R133)</x:f>
      </x:c>
      <x:c r="P134" s="16" t="str">
        <x:f>IF(A134="","",LOWER(Events!B133&amp;" "&amp;Events!D133&amp;" "&amp;Events!K133))</x:f>
      </x:c>
      <x:c r="Q134" s="16" t="str">
        <x:f>IF(A134="","",LOWER(Events!C133&amp;" "&amp;Events!K133&amp;" "&amp;Events!T133))</x:f>
      </x:c>
      <x:c r="R134" s="16" t="str">
        <x:f>IF(A134="","",IF(ISNUMBER(SEARCH("Occurrence verified",E134)),"Occurrence verified",E134))</x:f>
      </x:c>
      <x:c r="S134" s="79" t="str">
        <x:f>IF(A134="","",Events!X133)</x:f>
      </x:c>
      <x:c r="Z134" s="79" t="str">
        <x:f>IF(A134="","",Events!AD133)</x:f>
      </x:c>
      <x:c r="AA134" s="79" t="str">
        <x:f>IF(A134="","",Events!AE133)</x:f>
      </x:c>
    </x:row>
    <x:row r="135">
      <x:c r="A135" s="16" t="str">
        <x:f>IF(Events!A134="","",Events!A134)</x:f>
      </x:c>
      <x:c r="B135" s="16" t="str">
        <x:f>IF(A135="","",Events!B134)</x:f>
      </x:c>
      <x:c r="C135" s="16" t="str">
        <x:f>IF(A135="","",Events!E134)</x:f>
      </x:c>
      <x:c r="D135" s="16" t="str">
        <x:f>IF(A135="","",Events!J134)</x:f>
      </x:c>
      <x:c r="E135" s="16" t="str">
        <x:f>IF(A135="","",Events!N134)</x:f>
      </x:c>
      <x:c r="F135" s="109" t="str">
        <x:f>IF(OR(A135="",Events!H134=""),"",Events!H134)</x:f>
      </x:c>
      <x:c r="G135" s="109" t="str">
        <x:f>IF(A135="","",IF(Events!I134&lt;&gt;"",Events!I134,IF(Events!S134&lt;&gt;"",Events!S134,"")))</x:f>
      </x:c>
      <x:c r="H135" s="16" t="str">
        <x:f>IF(A135="","",Events!W134)</x:f>
      </x:c>
      <x:c r="I135" s="16" t="str">
        <x:f>IF(A135="","",IF(Events!Y134&lt;&gt;"",Events!Y134,IF(OR(ISNUMBER(SEARCH("education",P135)),ISNUMBER(SEARCH("exam",P135)),ISNUMBER(SEARCH("school",P135))),"Education",IF(OR(ISNUMBER(SEARCH("trade agreement",P135)),ISNUMBER(SEARCH("economic",P135)),ISNUMBER(SEARCH("import",P135))),"Trade &amp; economic policy",IF(OR(ISNUMBER(SEARCH("land acquisition",P135)),ISNUMBER(SEARCH("rehabilitation",P135)),ISNUMBER(SEARCH("displacement",P135)),ISNUMBER(SEARCH("township",P135))),"Land &amp; rehabilitation",IF(OR(ISNUMBER(SEARCH("forest",P135)),ISNUMBER(SEARCH("environment",P135)),ISNUMBER(SEARCH("ecological",P135)),ISNUMBER(SEARCH("biodiversity",P135)),ISNUMBER(SEARCH("green cover",P135))),"Environment",IF(OR(ISNUMBER(SEARCH("irrigation",P135)),ISNUMBER(SEARCH("water",P135)),ISNUMBER(SEARCH("crop",P135)),ISNUMBER(SEARCH("farmer",P135)),ISNUMBER(SEARCH("agriculture",P135))),"Agriculture &amp; water",IF(OR(ISNUMBER(SEARCH("health",P135)),ISNUMBER(SEARCH("hospital",P135)),ISNUMBER(SEARCH("medicine",P135))),"Public health",IF(OR(ISNUMBER(SEARCH("employee",P135)),ISNUMBER(SEARCH("labour",P135)),ISNUMBER(SEARCH("worker",P135)),ISNUMBER(SEARCH("salary",P135))),"Labour &amp; employment",IF(OR(ISNUMBER(SEARCH("rti",P135)),ISNUMBER(SEARCH("transparency",P135)),ISNUMBER(SEARCH("corruption",P135)),ISNUMBER(SEARCH("governance",P135))),"Governance &amp; transparency",IF(OR(ISNUMBER(SEARCH("police",P135)),ISNUMBER(SEARCH("detention",P135)),ISNUMBER(SEARCH("civil rights",P135)),ISNUMBER(SEARCH("justice",P135))),"Civil rights &amp; justice",IF(OR(ISNUMBER(SEARCH("road",P135)),ISNUMBER(SEARCH("utility",P135)),ISNUMBER(SEARCH("infrastructure",P135)),ISNUMBER(SEARCH("public service",P135))),"Infrastructure &amp; public services","Other"))))))))))))</x:f>
      </x:c>
      <x:c r="J135" s="16" t="str">
        <x:f>IF(A135="","",IF(OR(ISNUMBER(SEARCH("fatal",Q135)),ISNUMBER(SEARCH("death",Q135)),ISNUMBER(SEARCH("riot",Q135)),ISNUMBER(SEARCH("curfew",Q135)),ISNUMBER(SEARCH("internet shutdown",Q135))),5,MIN(4,1+IF(H135&gt;=7,1,0)+IF(OR(ISNUMBER(SEARCH("hunger strike",Q135)),ISNUMBER(SEARCH("blockade",Q135)),ISNUMBER(SEARCH("strike",Q135)),ISNUMBER(SEARCH("jal satyagraha",Q135)),ISNUMBER(SEARCH("survey",Q135)),ISNUMBER(SEARCH("human chain",Q135)),ISNUMBER(SEARCH("march",Q135))),1,0)+IF(OR(ISNUMBER(SEARCH("fir",Q135)),ISNUMBER(SEARCH("confrontation",Q135)),ISNUMBER(SEARCH("violence",Q135)),ISNUMBER(SEARCH("detention",Q135)),ISNUMBER(SEARCH("arrest",Q135)),ISNUMBER(SEARCH("demolition",Q135)),ISNUMBER(SEARCH("injury",Q135))),1,0)+IF(OR(D135="Ongoing",D135="Unresolved"),1,0))))</x:f>
      </x:c>
      <x:c r="K135" s="16" t="str">
        <x:f>IF(J135="","",IF(J135=1,"Limited",IF(J135=2,"Local",IF(J135=3,"Significant",IF(J135=4,"High","Critical")))))</x:f>
      </x:c>
      <x:c r="L135" s="16" t="str">
        <x:f>IF(A135="","",Events!U134)</x:f>
      </x:c>
      <x:c r="M135" s="16" t="str">
        <x:f>IF(A135="","",Events!V134)</x:f>
      </x:c>
      <x:c r="N135" s="16" t="str">
        <x:f>IF(A135="","",Events!Q134)</x:f>
      </x:c>
      <x:c r="O135" s="16" t="str">
        <x:f>IF(A135="","",Events!R134)</x:f>
      </x:c>
      <x:c r="P135" s="16" t="str">
        <x:f>IF(A135="","",LOWER(Events!B134&amp;" "&amp;Events!D134&amp;" "&amp;Events!K134))</x:f>
      </x:c>
      <x:c r="Q135" s="16" t="str">
        <x:f>IF(A135="","",LOWER(Events!C134&amp;" "&amp;Events!K134&amp;" "&amp;Events!T134))</x:f>
      </x:c>
      <x:c r="R135" s="16" t="str">
        <x:f>IF(A135="","",IF(ISNUMBER(SEARCH("Occurrence verified",E135)),"Occurrence verified",E135))</x:f>
      </x:c>
      <x:c r="S135" s="79" t="str">
        <x:f>IF(A135="","",Events!X134)</x:f>
      </x:c>
      <x:c r="Z135" s="79" t="str">
        <x:f>IF(A135="","",Events!AD134)</x:f>
      </x:c>
      <x:c r="AA135" s="79" t="str">
        <x:f>IF(A135="","",Events!AE134)</x:f>
      </x:c>
    </x:row>
    <x:row r="136">
      <x:c r="A136" s="16" t="str">
        <x:f>IF(Events!A135="","",Events!A135)</x:f>
      </x:c>
      <x:c r="B136" s="16" t="str">
        <x:f>IF(A136="","",Events!B135)</x:f>
      </x:c>
      <x:c r="C136" s="16" t="str">
        <x:f>IF(A136="","",Events!E135)</x:f>
      </x:c>
      <x:c r="D136" s="16" t="str">
        <x:f>IF(A136="","",Events!J135)</x:f>
      </x:c>
      <x:c r="E136" s="16" t="str">
        <x:f>IF(A136="","",Events!N135)</x:f>
      </x:c>
      <x:c r="F136" s="109" t="str">
        <x:f>IF(OR(A136="",Events!H135=""),"",Events!H135)</x:f>
      </x:c>
      <x:c r="G136" s="109" t="str">
        <x:f>IF(A136="","",IF(Events!I135&lt;&gt;"",Events!I135,IF(Events!S135&lt;&gt;"",Events!S135,"")))</x:f>
      </x:c>
      <x:c r="H136" s="16" t="str">
        <x:f>IF(A136="","",Events!W135)</x:f>
      </x:c>
      <x:c r="I136" s="16" t="str">
        <x:f>IF(A136="","",IF(Events!Y135&lt;&gt;"",Events!Y135,IF(OR(ISNUMBER(SEARCH("education",P136)),ISNUMBER(SEARCH("exam",P136)),ISNUMBER(SEARCH("school",P136))),"Education",IF(OR(ISNUMBER(SEARCH("trade agreement",P136)),ISNUMBER(SEARCH("economic",P136)),ISNUMBER(SEARCH("import",P136))),"Trade &amp; economic policy",IF(OR(ISNUMBER(SEARCH("land acquisition",P136)),ISNUMBER(SEARCH("rehabilitation",P136)),ISNUMBER(SEARCH("displacement",P136)),ISNUMBER(SEARCH("township",P136))),"Land &amp; rehabilitation",IF(OR(ISNUMBER(SEARCH("forest",P136)),ISNUMBER(SEARCH("environment",P136)),ISNUMBER(SEARCH("ecological",P136)),ISNUMBER(SEARCH("biodiversity",P136)),ISNUMBER(SEARCH("green cover",P136))),"Environment",IF(OR(ISNUMBER(SEARCH("irrigation",P136)),ISNUMBER(SEARCH("water",P136)),ISNUMBER(SEARCH("crop",P136)),ISNUMBER(SEARCH("farmer",P136)),ISNUMBER(SEARCH("agriculture",P136))),"Agriculture &amp; water",IF(OR(ISNUMBER(SEARCH("health",P136)),ISNUMBER(SEARCH("hospital",P136)),ISNUMBER(SEARCH("medicine",P136))),"Public health",IF(OR(ISNUMBER(SEARCH("employee",P136)),ISNUMBER(SEARCH("labour",P136)),ISNUMBER(SEARCH("worker",P136)),ISNUMBER(SEARCH("salary",P136))),"Labour &amp; employment",IF(OR(ISNUMBER(SEARCH("rti",P136)),ISNUMBER(SEARCH("transparency",P136)),ISNUMBER(SEARCH("corruption",P136)),ISNUMBER(SEARCH("governance",P136))),"Governance &amp; transparency",IF(OR(ISNUMBER(SEARCH("police",P136)),ISNUMBER(SEARCH("detention",P136)),ISNUMBER(SEARCH("civil rights",P136)),ISNUMBER(SEARCH("justice",P136))),"Civil rights &amp; justice",IF(OR(ISNUMBER(SEARCH("road",P136)),ISNUMBER(SEARCH("utility",P136)),ISNUMBER(SEARCH("infrastructure",P136)),ISNUMBER(SEARCH("public service",P136))),"Infrastructure &amp; public services","Other"))))))))))))</x:f>
      </x:c>
      <x:c r="J136" s="16" t="str">
        <x:f>IF(A136="","",IF(OR(ISNUMBER(SEARCH("fatal",Q136)),ISNUMBER(SEARCH("death",Q136)),ISNUMBER(SEARCH("riot",Q136)),ISNUMBER(SEARCH("curfew",Q136)),ISNUMBER(SEARCH("internet shutdown",Q136))),5,MIN(4,1+IF(H136&gt;=7,1,0)+IF(OR(ISNUMBER(SEARCH("hunger strike",Q136)),ISNUMBER(SEARCH("blockade",Q136)),ISNUMBER(SEARCH("strike",Q136)),ISNUMBER(SEARCH("jal satyagraha",Q136)),ISNUMBER(SEARCH("survey",Q136)),ISNUMBER(SEARCH("human chain",Q136)),ISNUMBER(SEARCH("march",Q136))),1,0)+IF(OR(ISNUMBER(SEARCH("fir",Q136)),ISNUMBER(SEARCH("confrontation",Q136)),ISNUMBER(SEARCH("violence",Q136)),ISNUMBER(SEARCH("detention",Q136)),ISNUMBER(SEARCH("arrest",Q136)),ISNUMBER(SEARCH("demolition",Q136)),ISNUMBER(SEARCH("injury",Q136))),1,0)+IF(OR(D136="Ongoing",D136="Unresolved"),1,0))))</x:f>
      </x:c>
      <x:c r="K136" s="16" t="str">
        <x:f>IF(J136="","",IF(J136=1,"Limited",IF(J136=2,"Local",IF(J136=3,"Significant",IF(J136=4,"High","Critical")))))</x:f>
      </x:c>
      <x:c r="L136" s="16" t="str">
        <x:f>IF(A136="","",Events!U135)</x:f>
      </x:c>
      <x:c r="M136" s="16" t="str">
        <x:f>IF(A136="","",Events!V135)</x:f>
      </x:c>
      <x:c r="N136" s="16" t="str">
        <x:f>IF(A136="","",Events!Q135)</x:f>
      </x:c>
      <x:c r="O136" s="16" t="str">
        <x:f>IF(A136="","",Events!R135)</x:f>
      </x:c>
      <x:c r="P136" s="16" t="str">
        <x:f>IF(A136="","",LOWER(Events!B135&amp;" "&amp;Events!D135&amp;" "&amp;Events!K135))</x:f>
      </x:c>
      <x:c r="Q136" s="16" t="str">
        <x:f>IF(A136="","",LOWER(Events!C135&amp;" "&amp;Events!K135&amp;" "&amp;Events!T135))</x:f>
      </x:c>
      <x:c r="R136" s="16" t="str">
        <x:f>IF(A136="","",IF(ISNUMBER(SEARCH("Occurrence verified",E136)),"Occurrence verified",E136))</x:f>
      </x:c>
      <x:c r="S136" s="79" t="str">
        <x:f>IF(A136="","",Events!X135)</x:f>
      </x:c>
      <x:c r="Z136" s="79" t="str">
        <x:f>IF(A136="","",Events!AD135)</x:f>
      </x:c>
      <x:c r="AA136" s="79" t="str">
        <x:f>IF(A136="","",Events!AE135)</x:f>
      </x:c>
    </x:row>
    <x:row r="137">
      <x:c r="A137" s="16" t="str">
        <x:f>IF(Events!A136="","",Events!A136)</x:f>
      </x:c>
      <x:c r="B137" s="16" t="str">
        <x:f>IF(A137="","",Events!B136)</x:f>
      </x:c>
      <x:c r="C137" s="16" t="str">
        <x:f>IF(A137="","",Events!E136)</x:f>
      </x:c>
      <x:c r="D137" s="16" t="str">
        <x:f>IF(A137="","",Events!J136)</x:f>
      </x:c>
      <x:c r="E137" s="16" t="str">
        <x:f>IF(A137="","",Events!N136)</x:f>
      </x:c>
      <x:c r="F137" s="109" t="str">
        <x:f>IF(OR(A137="",Events!H136=""),"",Events!H136)</x:f>
      </x:c>
      <x:c r="G137" s="109" t="str">
        <x:f>IF(A137="","",IF(Events!I136&lt;&gt;"",Events!I136,IF(Events!S136&lt;&gt;"",Events!S136,"")))</x:f>
      </x:c>
      <x:c r="H137" s="16" t="str">
        <x:f>IF(A137="","",Events!W136)</x:f>
      </x:c>
      <x:c r="I137" s="16" t="str">
        <x:f>IF(A137="","",IF(Events!Y136&lt;&gt;"",Events!Y136,IF(OR(ISNUMBER(SEARCH("education",P137)),ISNUMBER(SEARCH("exam",P137)),ISNUMBER(SEARCH("school",P137))),"Education",IF(OR(ISNUMBER(SEARCH("trade agreement",P137)),ISNUMBER(SEARCH("economic",P137)),ISNUMBER(SEARCH("import",P137))),"Trade &amp; economic policy",IF(OR(ISNUMBER(SEARCH("land acquisition",P137)),ISNUMBER(SEARCH("rehabilitation",P137)),ISNUMBER(SEARCH("displacement",P137)),ISNUMBER(SEARCH("township",P137))),"Land &amp; rehabilitation",IF(OR(ISNUMBER(SEARCH("forest",P137)),ISNUMBER(SEARCH("environment",P137)),ISNUMBER(SEARCH("ecological",P137)),ISNUMBER(SEARCH("biodiversity",P137)),ISNUMBER(SEARCH("green cover",P137))),"Environment",IF(OR(ISNUMBER(SEARCH("irrigation",P137)),ISNUMBER(SEARCH("water",P137)),ISNUMBER(SEARCH("crop",P137)),ISNUMBER(SEARCH("farmer",P137)),ISNUMBER(SEARCH("agriculture",P137))),"Agriculture &amp; water",IF(OR(ISNUMBER(SEARCH("health",P137)),ISNUMBER(SEARCH("hospital",P137)),ISNUMBER(SEARCH("medicine",P137))),"Public health",IF(OR(ISNUMBER(SEARCH("employee",P137)),ISNUMBER(SEARCH("labour",P137)),ISNUMBER(SEARCH("worker",P137)),ISNUMBER(SEARCH("salary",P137))),"Labour &amp; employment",IF(OR(ISNUMBER(SEARCH("rti",P137)),ISNUMBER(SEARCH("transparency",P137)),ISNUMBER(SEARCH("corruption",P137)),ISNUMBER(SEARCH("governance",P137))),"Governance &amp; transparency",IF(OR(ISNUMBER(SEARCH("police",P137)),ISNUMBER(SEARCH("detention",P137)),ISNUMBER(SEARCH("civil rights",P137)),ISNUMBER(SEARCH("justice",P137))),"Civil rights &amp; justice",IF(OR(ISNUMBER(SEARCH("road",P137)),ISNUMBER(SEARCH("utility",P137)),ISNUMBER(SEARCH("infrastructure",P137)),ISNUMBER(SEARCH("public service",P137))),"Infrastructure &amp; public services","Other"))))))))))))</x:f>
      </x:c>
      <x:c r="J137" s="16" t="str">
        <x:f>IF(A137="","",IF(OR(ISNUMBER(SEARCH("fatal",Q137)),ISNUMBER(SEARCH("death",Q137)),ISNUMBER(SEARCH("riot",Q137)),ISNUMBER(SEARCH("curfew",Q137)),ISNUMBER(SEARCH("internet shutdown",Q137))),5,MIN(4,1+IF(H137&gt;=7,1,0)+IF(OR(ISNUMBER(SEARCH("hunger strike",Q137)),ISNUMBER(SEARCH("blockade",Q137)),ISNUMBER(SEARCH("strike",Q137)),ISNUMBER(SEARCH("jal satyagraha",Q137)),ISNUMBER(SEARCH("survey",Q137)),ISNUMBER(SEARCH("human chain",Q137)),ISNUMBER(SEARCH("march",Q137))),1,0)+IF(OR(ISNUMBER(SEARCH("fir",Q137)),ISNUMBER(SEARCH("confrontation",Q137)),ISNUMBER(SEARCH("violence",Q137)),ISNUMBER(SEARCH("detention",Q137)),ISNUMBER(SEARCH("arrest",Q137)),ISNUMBER(SEARCH("demolition",Q137)),ISNUMBER(SEARCH("injury",Q137))),1,0)+IF(OR(D137="Ongoing",D137="Unresolved"),1,0))))</x:f>
      </x:c>
      <x:c r="K137" s="16" t="str">
        <x:f>IF(J137="","",IF(J137=1,"Limited",IF(J137=2,"Local",IF(J137=3,"Significant",IF(J137=4,"High","Critical")))))</x:f>
      </x:c>
      <x:c r="L137" s="16" t="str">
        <x:f>IF(A137="","",Events!U136)</x:f>
      </x:c>
      <x:c r="M137" s="16" t="str">
        <x:f>IF(A137="","",Events!V136)</x:f>
      </x:c>
      <x:c r="N137" s="16" t="str">
        <x:f>IF(A137="","",Events!Q136)</x:f>
      </x:c>
      <x:c r="O137" s="16" t="str">
        <x:f>IF(A137="","",Events!R136)</x:f>
      </x:c>
      <x:c r="P137" s="16" t="str">
        <x:f>IF(A137="","",LOWER(Events!B136&amp;" "&amp;Events!D136&amp;" "&amp;Events!K136))</x:f>
      </x:c>
      <x:c r="Q137" s="16" t="str">
        <x:f>IF(A137="","",LOWER(Events!C136&amp;" "&amp;Events!K136&amp;" "&amp;Events!T136))</x:f>
      </x:c>
      <x:c r="R137" s="16" t="str">
        <x:f>IF(A137="","",IF(ISNUMBER(SEARCH("Occurrence verified",E137)),"Occurrence verified",E137))</x:f>
      </x:c>
      <x:c r="S137" s="79" t="str">
        <x:f>IF(A137="","",Events!X136)</x:f>
      </x:c>
      <x:c r="Z137" s="79" t="str">
        <x:f>IF(A137="","",Events!AD136)</x:f>
      </x:c>
      <x:c r="AA137" s="79" t="str">
        <x:f>IF(A137="","",Events!AE136)</x:f>
      </x:c>
    </x:row>
    <x:row r="138">
      <x:c r="A138" s="16" t="str">
        <x:f>IF(Events!A137="","",Events!A137)</x:f>
      </x:c>
      <x:c r="B138" s="16" t="str">
        <x:f>IF(A138="","",Events!B137)</x:f>
      </x:c>
      <x:c r="C138" s="16" t="str">
        <x:f>IF(A138="","",Events!E137)</x:f>
      </x:c>
      <x:c r="D138" s="16" t="str">
        <x:f>IF(A138="","",Events!J137)</x:f>
      </x:c>
      <x:c r="E138" s="16" t="str">
        <x:f>IF(A138="","",Events!N137)</x:f>
      </x:c>
      <x:c r="F138" s="109" t="str">
        <x:f>IF(OR(A138="",Events!H137=""),"",Events!H137)</x:f>
      </x:c>
      <x:c r="G138" s="109" t="str">
        <x:f>IF(A138="","",IF(Events!I137&lt;&gt;"",Events!I137,IF(Events!S137&lt;&gt;"",Events!S137,"")))</x:f>
      </x:c>
      <x:c r="H138" s="16" t="str">
        <x:f>IF(A138="","",Events!W137)</x:f>
      </x:c>
      <x:c r="I138" s="16" t="str">
        <x:f>IF(A138="","",IF(Events!Y137&lt;&gt;"",Events!Y137,IF(OR(ISNUMBER(SEARCH("education",P138)),ISNUMBER(SEARCH("exam",P138)),ISNUMBER(SEARCH("school",P138))),"Education",IF(OR(ISNUMBER(SEARCH("trade agreement",P138)),ISNUMBER(SEARCH("economic",P138)),ISNUMBER(SEARCH("import",P138))),"Trade &amp; economic policy",IF(OR(ISNUMBER(SEARCH("land acquisition",P138)),ISNUMBER(SEARCH("rehabilitation",P138)),ISNUMBER(SEARCH("displacement",P138)),ISNUMBER(SEARCH("township",P138))),"Land &amp; rehabilitation",IF(OR(ISNUMBER(SEARCH("forest",P138)),ISNUMBER(SEARCH("environment",P138)),ISNUMBER(SEARCH("ecological",P138)),ISNUMBER(SEARCH("biodiversity",P138)),ISNUMBER(SEARCH("green cover",P138))),"Environment",IF(OR(ISNUMBER(SEARCH("irrigation",P138)),ISNUMBER(SEARCH("water",P138)),ISNUMBER(SEARCH("crop",P138)),ISNUMBER(SEARCH("farmer",P138)),ISNUMBER(SEARCH("agriculture",P138))),"Agriculture &amp; water",IF(OR(ISNUMBER(SEARCH("health",P138)),ISNUMBER(SEARCH("hospital",P138)),ISNUMBER(SEARCH("medicine",P138))),"Public health",IF(OR(ISNUMBER(SEARCH("employee",P138)),ISNUMBER(SEARCH("labour",P138)),ISNUMBER(SEARCH("worker",P138)),ISNUMBER(SEARCH("salary",P138))),"Labour &amp; employment",IF(OR(ISNUMBER(SEARCH("rti",P138)),ISNUMBER(SEARCH("transparency",P138)),ISNUMBER(SEARCH("corruption",P138)),ISNUMBER(SEARCH("governance",P138))),"Governance &amp; transparency",IF(OR(ISNUMBER(SEARCH("police",P138)),ISNUMBER(SEARCH("detention",P138)),ISNUMBER(SEARCH("civil rights",P138)),ISNUMBER(SEARCH("justice",P138))),"Civil rights &amp; justice",IF(OR(ISNUMBER(SEARCH("road",P138)),ISNUMBER(SEARCH("utility",P138)),ISNUMBER(SEARCH("infrastructure",P138)),ISNUMBER(SEARCH("public service",P138))),"Infrastructure &amp; public services","Other"))))))))))))</x:f>
      </x:c>
      <x:c r="J138" s="16" t="str">
        <x:f>IF(A138="","",IF(OR(ISNUMBER(SEARCH("fatal",Q138)),ISNUMBER(SEARCH("death",Q138)),ISNUMBER(SEARCH("riot",Q138)),ISNUMBER(SEARCH("curfew",Q138)),ISNUMBER(SEARCH("internet shutdown",Q138))),5,MIN(4,1+IF(H138&gt;=7,1,0)+IF(OR(ISNUMBER(SEARCH("hunger strike",Q138)),ISNUMBER(SEARCH("blockade",Q138)),ISNUMBER(SEARCH("strike",Q138)),ISNUMBER(SEARCH("jal satyagraha",Q138)),ISNUMBER(SEARCH("survey",Q138)),ISNUMBER(SEARCH("human chain",Q138)),ISNUMBER(SEARCH("march",Q138))),1,0)+IF(OR(ISNUMBER(SEARCH("fir",Q138)),ISNUMBER(SEARCH("confrontation",Q138)),ISNUMBER(SEARCH("violence",Q138)),ISNUMBER(SEARCH("detention",Q138)),ISNUMBER(SEARCH("arrest",Q138)),ISNUMBER(SEARCH("demolition",Q138)),ISNUMBER(SEARCH("injury",Q138))),1,0)+IF(OR(D138="Ongoing",D138="Unresolved"),1,0))))</x:f>
      </x:c>
      <x:c r="K138" s="16" t="str">
        <x:f>IF(J138="","",IF(J138=1,"Limited",IF(J138=2,"Local",IF(J138=3,"Significant",IF(J138=4,"High","Critical")))))</x:f>
      </x:c>
      <x:c r="L138" s="16" t="str">
        <x:f>IF(A138="","",Events!U137)</x:f>
      </x:c>
      <x:c r="M138" s="16" t="str">
        <x:f>IF(A138="","",Events!V137)</x:f>
      </x:c>
      <x:c r="N138" s="16" t="str">
        <x:f>IF(A138="","",Events!Q137)</x:f>
      </x:c>
      <x:c r="O138" s="16" t="str">
        <x:f>IF(A138="","",Events!R137)</x:f>
      </x:c>
      <x:c r="P138" s="16" t="str">
        <x:f>IF(A138="","",LOWER(Events!B137&amp;" "&amp;Events!D137&amp;" "&amp;Events!K137))</x:f>
      </x:c>
      <x:c r="Q138" s="16" t="str">
        <x:f>IF(A138="","",LOWER(Events!C137&amp;" "&amp;Events!K137&amp;" "&amp;Events!T137))</x:f>
      </x:c>
      <x:c r="R138" s="16" t="str">
        <x:f>IF(A138="","",IF(ISNUMBER(SEARCH("Occurrence verified",E138)),"Occurrence verified",E138))</x:f>
      </x:c>
      <x:c r="S138" s="79" t="str">
        <x:f>IF(A138="","",Events!X137)</x:f>
      </x:c>
      <x:c r="Z138" s="79" t="str">
        <x:f>IF(A138="","",Events!AD137)</x:f>
      </x:c>
      <x:c r="AA138" s="79" t="str">
        <x:f>IF(A138="","",Events!AE137)</x:f>
      </x:c>
    </x:row>
    <x:row r="139">
      <x:c r="A139" s="16" t="str">
        <x:f>IF(Events!A138="","",Events!A138)</x:f>
      </x:c>
      <x:c r="B139" s="16" t="str">
        <x:f>IF(A139="","",Events!B138)</x:f>
      </x:c>
      <x:c r="C139" s="16" t="str">
        <x:f>IF(A139="","",Events!E138)</x:f>
      </x:c>
      <x:c r="D139" s="16" t="str">
        <x:f>IF(A139="","",Events!J138)</x:f>
      </x:c>
      <x:c r="E139" s="16" t="str">
        <x:f>IF(A139="","",Events!N138)</x:f>
      </x:c>
      <x:c r="F139" s="109" t="str">
        <x:f>IF(OR(A139="",Events!H138=""),"",Events!H138)</x:f>
      </x:c>
      <x:c r="G139" s="109" t="str">
        <x:f>IF(A139="","",IF(Events!I138&lt;&gt;"",Events!I138,IF(Events!S138&lt;&gt;"",Events!S138,"")))</x:f>
      </x:c>
      <x:c r="H139" s="16" t="str">
        <x:f>IF(A139="","",Events!W138)</x:f>
      </x:c>
      <x:c r="I139" s="16" t="str">
        <x:f>IF(A139="","",IF(Events!Y138&lt;&gt;"",Events!Y138,IF(OR(ISNUMBER(SEARCH("education",P139)),ISNUMBER(SEARCH("exam",P139)),ISNUMBER(SEARCH("school",P139))),"Education",IF(OR(ISNUMBER(SEARCH("trade agreement",P139)),ISNUMBER(SEARCH("economic",P139)),ISNUMBER(SEARCH("import",P139))),"Trade &amp; economic policy",IF(OR(ISNUMBER(SEARCH("land acquisition",P139)),ISNUMBER(SEARCH("rehabilitation",P139)),ISNUMBER(SEARCH("displacement",P139)),ISNUMBER(SEARCH("township",P139))),"Land &amp; rehabilitation",IF(OR(ISNUMBER(SEARCH("forest",P139)),ISNUMBER(SEARCH("environment",P139)),ISNUMBER(SEARCH("ecological",P139)),ISNUMBER(SEARCH("biodiversity",P139)),ISNUMBER(SEARCH("green cover",P139))),"Environment",IF(OR(ISNUMBER(SEARCH("irrigation",P139)),ISNUMBER(SEARCH("water",P139)),ISNUMBER(SEARCH("crop",P139)),ISNUMBER(SEARCH("farmer",P139)),ISNUMBER(SEARCH("agriculture",P139))),"Agriculture &amp; water",IF(OR(ISNUMBER(SEARCH("health",P139)),ISNUMBER(SEARCH("hospital",P139)),ISNUMBER(SEARCH("medicine",P139))),"Public health",IF(OR(ISNUMBER(SEARCH("employee",P139)),ISNUMBER(SEARCH("labour",P139)),ISNUMBER(SEARCH("worker",P139)),ISNUMBER(SEARCH("salary",P139))),"Labour &amp; employment",IF(OR(ISNUMBER(SEARCH("rti",P139)),ISNUMBER(SEARCH("transparency",P139)),ISNUMBER(SEARCH("corruption",P139)),ISNUMBER(SEARCH("governance",P139))),"Governance &amp; transparency",IF(OR(ISNUMBER(SEARCH("police",P139)),ISNUMBER(SEARCH("detention",P139)),ISNUMBER(SEARCH("civil rights",P139)),ISNUMBER(SEARCH("justice",P139))),"Civil rights &amp; justice",IF(OR(ISNUMBER(SEARCH("road",P139)),ISNUMBER(SEARCH("utility",P139)),ISNUMBER(SEARCH("infrastructure",P139)),ISNUMBER(SEARCH("public service",P139))),"Infrastructure &amp; public services","Other"))))))))))))</x:f>
      </x:c>
      <x:c r="J139" s="16" t="str">
        <x:f>IF(A139="","",IF(OR(ISNUMBER(SEARCH("fatal",Q139)),ISNUMBER(SEARCH("death",Q139)),ISNUMBER(SEARCH("riot",Q139)),ISNUMBER(SEARCH("curfew",Q139)),ISNUMBER(SEARCH("internet shutdown",Q139))),5,MIN(4,1+IF(H139&gt;=7,1,0)+IF(OR(ISNUMBER(SEARCH("hunger strike",Q139)),ISNUMBER(SEARCH("blockade",Q139)),ISNUMBER(SEARCH("strike",Q139)),ISNUMBER(SEARCH("jal satyagraha",Q139)),ISNUMBER(SEARCH("survey",Q139)),ISNUMBER(SEARCH("human chain",Q139)),ISNUMBER(SEARCH("march",Q139))),1,0)+IF(OR(ISNUMBER(SEARCH("fir",Q139)),ISNUMBER(SEARCH("confrontation",Q139)),ISNUMBER(SEARCH("violence",Q139)),ISNUMBER(SEARCH("detention",Q139)),ISNUMBER(SEARCH("arrest",Q139)),ISNUMBER(SEARCH("demolition",Q139)),ISNUMBER(SEARCH("injury",Q139))),1,0)+IF(OR(D139="Ongoing",D139="Unresolved"),1,0))))</x:f>
      </x:c>
      <x:c r="K139" s="16" t="str">
        <x:f>IF(J139="","",IF(J139=1,"Limited",IF(J139=2,"Local",IF(J139=3,"Significant",IF(J139=4,"High","Critical")))))</x:f>
      </x:c>
      <x:c r="L139" s="16" t="str">
        <x:f>IF(A139="","",Events!U138)</x:f>
      </x:c>
      <x:c r="M139" s="16" t="str">
        <x:f>IF(A139="","",Events!V138)</x:f>
      </x:c>
      <x:c r="N139" s="16" t="str">
        <x:f>IF(A139="","",Events!Q138)</x:f>
      </x:c>
      <x:c r="O139" s="16" t="str">
        <x:f>IF(A139="","",Events!R138)</x:f>
      </x:c>
      <x:c r="P139" s="16" t="str">
        <x:f>IF(A139="","",LOWER(Events!B138&amp;" "&amp;Events!D138&amp;" "&amp;Events!K138))</x:f>
      </x:c>
      <x:c r="Q139" s="16" t="str">
        <x:f>IF(A139="","",LOWER(Events!C138&amp;" "&amp;Events!K138&amp;" "&amp;Events!T138))</x:f>
      </x:c>
      <x:c r="R139" s="16" t="str">
        <x:f>IF(A139="","",IF(ISNUMBER(SEARCH("Occurrence verified",E139)),"Occurrence verified",E139))</x:f>
      </x:c>
      <x:c r="S139" s="79" t="str">
        <x:f>IF(A139="","",Events!X138)</x:f>
      </x:c>
      <x:c r="Z139" s="79" t="str">
        <x:f>IF(A139="","",Events!AD138)</x:f>
      </x:c>
      <x:c r="AA139" s="79" t="str">
        <x:f>IF(A139="","",Events!AE138)</x:f>
      </x:c>
    </x:row>
    <x:row r="140">
      <x:c r="A140" s="16" t="str">
        <x:f>IF(Events!A139="","",Events!A139)</x:f>
      </x:c>
      <x:c r="B140" s="16" t="str">
        <x:f>IF(A140="","",Events!B139)</x:f>
      </x:c>
      <x:c r="C140" s="16" t="str">
        <x:f>IF(A140="","",Events!E139)</x:f>
      </x:c>
      <x:c r="D140" s="16" t="str">
        <x:f>IF(A140="","",Events!J139)</x:f>
      </x:c>
      <x:c r="E140" s="16" t="str">
        <x:f>IF(A140="","",Events!N139)</x:f>
      </x:c>
      <x:c r="F140" s="109" t="str">
        <x:f>IF(OR(A140="",Events!H139=""),"",Events!H139)</x:f>
      </x:c>
      <x:c r="G140" s="109" t="str">
        <x:f>IF(A140="","",IF(Events!I139&lt;&gt;"",Events!I139,IF(Events!S139&lt;&gt;"",Events!S139,"")))</x:f>
      </x:c>
      <x:c r="H140" s="16" t="str">
        <x:f>IF(A140="","",Events!W139)</x:f>
      </x:c>
      <x:c r="I140" s="16" t="str">
        <x:f>IF(A140="","",IF(Events!Y139&lt;&gt;"",Events!Y139,IF(OR(ISNUMBER(SEARCH("education",P140)),ISNUMBER(SEARCH("exam",P140)),ISNUMBER(SEARCH("school",P140))),"Education",IF(OR(ISNUMBER(SEARCH("trade agreement",P140)),ISNUMBER(SEARCH("economic",P140)),ISNUMBER(SEARCH("import",P140))),"Trade &amp; economic policy",IF(OR(ISNUMBER(SEARCH("land acquisition",P140)),ISNUMBER(SEARCH("rehabilitation",P140)),ISNUMBER(SEARCH("displacement",P140)),ISNUMBER(SEARCH("township",P140))),"Land &amp; rehabilitation",IF(OR(ISNUMBER(SEARCH("forest",P140)),ISNUMBER(SEARCH("environment",P140)),ISNUMBER(SEARCH("ecological",P140)),ISNUMBER(SEARCH("biodiversity",P140)),ISNUMBER(SEARCH("green cover",P140))),"Environment",IF(OR(ISNUMBER(SEARCH("irrigation",P140)),ISNUMBER(SEARCH("water",P140)),ISNUMBER(SEARCH("crop",P140)),ISNUMBER(SEARCH("farmer",P140)),ISNUMBER(SEARCH("agriculture",P140))),"Agriculture &amp; water",IF(OR(ISNUMBER(SEARCH("health",P140)),ISNUMBER(SEARCH("hospital",P140)),ISNUMBER(SEARCH("medicine",P140))),"Public health",IF(OR(ISNUMBER(SEARCH("employee",P140)),ISNUMBER(SEARCH("labour",P140)),ISNUMBER(SEARCH("worker",P140)),ISNUMBER(SEARCH("salary",P140))),"Labour &amp; employment",IF(OR(ISNUMBER(SEARCH("rti",P140)),ISNUMBER(SEARCH("transparency",P140)),ISNUMBER(SEARCH("corruption",P140)),ISNUMBER(SEARCH("governance",P140))),"Governance &amp; transparency",IF(OR(ISNUMBER(SEARCH("police",P140)),ISNUMBER(SEARCH("detention",P140)),ISNUMBER(SEARCH("civil rights",P140)),ISNUMBER(SEARCH("justice",P140))),"Civil rights &amp; justice",IF(OR(ISNUMBER(SEARCH("road",P140)),ISNUMBER(SEARCH("utility",P140)),ISNUMBER(SEARCH("infrastructure",P140)),ISNUMBER(SEARCH("public service",P140))),"Infrastructure &amp; public services","Other"))))))))))))</x:f>
      </x:c>
      <x:c r="J140" s="16" t="str">
        <x:f>IF(A140="","",IF(OR(ISNUMBER(SEARCH("fatal",Q140)),ISNUMBER(SEARCH("death",Q140)),ISNUMBER(SEARCH("riot",Q140)),ISNUMBER(SEARCH("curfew",Q140)),ISNUMBER(SEARCH("internet shutdown",Q140))),5,MIN(4,1+IF(H140&gt;=7,1,0)+IF(OR(ISNUMBER(SEARCH("hunger strike",Q140)),ISNUMBER(SEARCH("blockade",Q140)),ISNUMBER(SEARCH("strike",Q140)),ISNUMBER(SEARCH("jal satyagraha",Q140)),ISNUMBER(SEARCH("survey",Q140)),ISNUMBER(SEARCH("human chain",Q140)),ISNUMBER(SEARCH("march",Q140))),1,0)+IF(OR(ISNUMBER(SEARCH("fir",Q140)),ISNUMBER(SEARCH("confrontation",Q140)),ISNUMBER(SEARCH("violence",Q140)),ISNUMBER(SEARCH("detention",Q140)),ISNUMBER(SEARCH("arrest",Q140)),ISNUMBER(SEARCH("demolition",Q140)),ISNUMBER(SEARCH("injury",Q140))),1,0)+IF(OR(D140="Ongoing",D140="Unresolved"),1,0))))</x:f>
      </x:c>
      <x:c r="K140" s="16" t="str">
        <x:f>IF(J140="","",IF(J140=1,"Limited",IF(J140=2,"Local",IF(J140=3,"Significant",IF(J140=4,"High","Critical")))))</x:f>
      </x:c>
      <x:c r="L140" s="16" t="str">
        <x:f>IF(A140="","",Events!U139)</x:f>
      </x:c>
      <x:c r="M140" s="16" t="str">
        <x:f>IF(A140="","",Events!V139)</x:f>
      </x:c>
      <x:c r="N140" s="16" t="str">
        <x:f>IF(A140="","",Events!Q139)</x:f>
      </x:c>
      <x:c r="O140" s="16" t="str">
        <x:f>IF(A140="","",Events!R139)</x:f>
      </x:c>
      <x:c r="P140" s="16" t="str">
        <x:f>IF(A140="","",LOWER(Events!B139&amp;" "&amp;Events!D139&amp;" "&amp;Events!K139))</x:f>
      </x:c>
      <x:c r="Q140" s="16" t="str">
        <x:f>IF(A140="","",LOWER(Events!C139&amp;" "&amp;Events!K139&amp;" "&amp;Events!T139))</x:f>
      </x:c>
      <x:c r="R140" s="16" t="str">
        <x:f>IF(A140="","",IF(ISNUMBER(SEARCH("Occurrence verified",E140)),"Occurrence verified",E140))</x:f>
      </x:c>
      <x:c r="S140" s="79" t="str">
        <x:f>IF(A140="","",Events!X139)</x:f>
      </x:c>
      <x:c r="Z140" s="79" t="str">
        <x:f>IF(A140="","",Events!AD139)</x:f>
      </x:c>
      <x:c r="AA140" s="79" t="str">
        <x:f>IF(A140="","",Events!AE139)</x:f>
      </x:c>
    </x:row>
    <x:row r="141">
      <x:c r="A141" s="16" t="str">
        <x:f>IF(Events!A140="","",Events!A140)</x:f>
      </x:c>
      <x:c r="B141" s="16" t="str">
        <x:f>IF(A141="","",Events!B140)</x:f>
      </x:c>
      <x:c r="C141" s="16" t="str">
        <x:f>IF(A141="","",Events!E140)</x:f>
      </x:c>
      <x:c r="D141" s="16" t="str">
        <x:f>IF(A141="","",Events!J140)</x:f>
      </x:c>
      <x:c r="E141" s="16" t="str">
        <x:f>IF(A141="","",Events!N140)</x:f>
      </x:c>
      <x:c r="F141" s="109" t="str">
        <x:f>IF(OR(A141="",Events!H140=""),"",Events!H140)</x:f>
      </x:c>
      <x:c r="G141" s="109" t="str">
        <x:f>IF(A141="","",IF(Events!I140&lt;&gt;"",Events!I140,IF(Events!S140&lt;&gt;"",Events!S140,"")))</x:f>
      </x:c>
      <x:c r="H141" s="16" t="str">
        <x:f>IF(A141="","",Events!W140)</x:f>
      </x:c>
      <x:c r="I141" s="16" t="str">
        <x:f>IF(A141="","",IF(Events!Y140&lt;&gt;"",Events!Y140,IF(OR(ISNUMBER(SEARCH("education",P141)),ISNUMBER(SEARCH("exam",P141)),ISNUMBER(SEARCH("school",P141))),"Education",IF(OR(ISNUMBER(SEARCH("trade agreement",P141)),ISNUMBER(SEARCH("economic",P141)),ISNUMBER(SEARCH("import",P141))),"Trade &amp; economic policy",IF(OR(ISNUMBER(SEARCH("land acquisition",P141)),ISNUMBER(SEARCH("rehabilitation",P141)),ISNUMBER(SEARCH("displacement",P141)),ISNUMBER(SEARCH("township",P141))),"Land &amp; rehabilitation",IF(OR(ISNUMBER(SEARCH("forest",P141)),ISNUMBER(SEARCH("environment",P141)),ISNUMBER(SEARCH("ecological",P141)),ISNUMBER(SEARCH("biodiversity",P141)),ISNUMBER(SEARCH("green cover",P141))),"Environment",IF(OR(ISNUMBER(SEARCH("irrigation",P141)),ISNUMBER(SEARCH("water",P141)),ISNUMBER(SEARCH("crop",P141)),ISNUMBER(SEARCH("farmer",P141)),ISNUMBER(SEARCH("agriculture",P141))),"Agriculture &amp; water",IF(OR(ISNUMBER(SEARCH("health",P141)),ISNUMBER(SEARCH("hospital",P141)),ISNUMBER(SEARCH("medicine",P141))),"Public health",IF(OR(ISNUMBER(SEARCH("employee",P141)),ISNUMBER(SEARCH("labour",P141)),ISNUMBER(SEARCH("worker",P141)),ISNUMBER(SEARCH("salary",P141))),"Labour &amp; employment",IF(OR(ISNUMBER(SEARCH("rti",P141)),ISNUMBER(SEARCH("transparency",P141)),ISNUMBER(SEARCH("corruption",P141)),ISNUMBER(SEARCH("governance",P141))),"Governance &amp; transparency",IF(OR(ISNUMBER(SEARCH("police",P141)),ISNUMBER(SEARCH("detention",P141)),ISNUMBER(SEARCH("civil rights",P141)),ISNUMBER(SEARCH("justice",P141))),"Civil rights &amp; justice",IF(OR(ISNUMBER(SEARCH("road",P141)),ISNUMBER(SEARCH("utility",P141)),ISNUMBER(SEARCH("infrastructure",P141)),ISNUMBER(SEARCH("public service",P141))),"Infrastructure &amp; public services","Other"))))))))))))</x:f>
      </x:c>
      <x:c r="J141" s="16" t="str">
        <x:f>IF(A141="","",IF(OR(ISNUMBER(SEARCH("fatal",Q141)),ISNUMBER(SEARCH("death",Q141)),ISNUMBER(SEARCH("riot",Q141)),ISNUMBER(SEARCH("curfew",Q141)),ISNUMBER(SEARCH("internet shutdown",Q141))),5,MIN(4,1+IF(H141&gt;=7,1,0)+IF(OR(ISNUMBER(SEARCH("hunger strike",Q141)),ISNUMBER(SEARCH("blockade",Q141)),ISNUMBER(SEARCH("strike",Q141)),ISNUMBER(SEARCH("jal satyagraha",Q141)),ISNUMBER(SEARCH("survey",Q141)),ISNUMBER(SEARCH("human chain",Q141)),ISNUMBER(SEARCH("march",Q141))),1,0)+IF(OR(ISNUMBER(SEARCH("fir",Q141)),ISNUMBER(SEARCH("confrontation",Q141)),ISNUMBER(SEARCH("violence",Q141)),ISNUMBER(SEARCH("detention",Q141)),ISNUMBER(SEARCH("arrest",Q141)),ISNUMBER(SEARCH("demolition",Q141)),ISNUMBER(SEARCH("injury",Q141))),1,0)+IF(OR(D141="Ongoing",D141="Unresolved"),1,0))))</x:f>
      </x:c>
      <x:c r="K141" s="16" t="str">
        <x:f>IF(J141="","",IF(J141=1,"Limited",IF(J141=2,"Local",IF(J141=3,"Significant",IF(J141=4,"High","Critical")))))</x:f>
      </x:c>
      <x:c r="L141" s="16" t="str">
        <x:f>IF(A141="","",Events!U140)</x:f>
      </x:c>
      <x:c r="M141" s="16" t="str">
        <x:f>IF(A141="","",Events!V140)</x:f>
      </x:c>
      <x:c r="N141" s="16" t="str">
        <x:f>IF(A141="","",Events!Q140)</x:f>
      </x:c>
      <x:c r="O141" s="16" t="str">
        <x:f>IF(A141="","",Events!R140)</x:f>
      </x:c>
      <x:c r="P141" s="16" t="str">
        <x:f>IF(A141="","",LOWER(Events!B140&amp;" "&amp;Events!D140&amp;" "&amp;Events!K140))</x:f>
      </x:c>
      <x:c r="Q141" s="16" t="str">
        <x:f>IF(A141="","",LOWER(Events!C140&amp;" "&amp;Events!K140&amp;" "&amp;Events!T140))</x:f>
      </x:c>
      <x:c r="R141" s="16" t="str">
        <x:f>IF(A141="","",IF(ISNUMBER(SEARCH("Occurrence verified",E141)),"Occurrence verified",E141))</x:f>
      </x:c>
      <x:c r="S141" s="79" t="str">
        <x:f>IF(A141="","",Events!X140)</x:f>
      </x:c>
      <x:c r="Z141" s="79" t="str">
        <x:f>IF(A141="","",Events!AD140)</x:f>
      </x:c>
      <x:c r="AA141" s="79" t="str">
        <x:f>IF(A141="","",Events!AE140)</x:f>
      </x:c>
    </x:row>
    <x:row r="142">
      <x:c r="A142" s="16" t="str">
        <x:f>IF(Events!A141="","",Events!A141)</x:f>
      </x:c>
      <x:c r="B142" s="16" t="str">
        <x:f>IF(A142="","",Events!B141)</x:f>
      </x:c>
      <x:c r="C142" s="16" t="str">
        <x:f>IF(A142="","",Events!E141)</x:f>
      </x:c>
      <x:c r="D142" s="16" t="str">
        <x:f>IF(A142="","",Events!J141)</x:f>
      </x:c>
      <x:c r="E142" s="16" t="str">
        <x:f>IF(A142="","",Events!N141)</x:f>
      </x:c>
      <x:c r="F142" s="109" t="str">
        <x:f>IF(OR(A142="",Events!H141=""),"",Events!H141)</x:f>
      </x:c>
      <x:c r="G142" s="109" t="str">
        <x:f>IF(A142="","",IF(Events!I141&lt;&gt;"",Events!I141,IF(Events!S141&lt;&gt;"",Events!S141,"")))</x:f>
      </x:c>
      <x:c r="H142" s="16" t="str">
        <x:f>IF(A142="","",Events!W141)</x:f>
      </x:c>
      <x:c r="I142" s="16" t="str">
        <x:f>IF(A142="","",IF(Events!Y141&lt;&gt;"",Events!Y141,IF(OR(ISNUMBER(SEARCH("education",P142)),ISNUMBER(SEARCH("exam",P142)),ISNUMBER(SEARCH("school",P142))),"Education",IF(OR(ISNUMBER(SEARCH("trade agreement",P142)),ISNUMBER(SEARCH("economic",P142)),ISNUMBER(SEARCH("import",P142))),"Trade &amp; economic policy",IF(OR(ISNUMBER(SEARCH("land acquisition",P142)),ISNUMBER(SEARCH("rehabilitation",P142)),ISNUMBER(SEARCH("displacement",P142)),ISNUMBER(SEARCH("township",P142))),"Land &amp; rehabilitation",IF(OR(ISNUMBER(SEARCH("forest",P142)),ISNUMBER(SEARCH("environment",P142)),ISNUMBER(SEARCH("ecological",P142)),ISNUMBER(SEARCH("biodiversity",P142)),ISNUMBER(SEARCH("green cover",P142))),"Environment",IF(OR(ISNUMBER(SEARCH("irrigation",P142)),ISNUMBER(SEARCH("water",P142)),ISNUMBER(SEARCH("crop",P142)),ISNUMBER(SEARCH("farmer",P142)),ISNUMBER(SEARCH("agriculture",P142))),"Agriculture &amp; water",IF(OR(ISNUMBER(SEARCH("health",P142)),ISNUMBER(SEARCH("hospital",P142)),ISNUMBER(SEARCH("medicine",P142))),"Public health",IF(OR(ISNUMBER(SEARCH("employee",P142)),ISNUMBER(SEARCH("labour",P142)),ISNUMBER(SEARCH("worker",P142)),ISNUMBER(SEARCH("salary",P142))),"Labour &amp; employment",IF(OR(ISNUMBER(SEARCH("rti",P142)),ISNUMBER(SEARCH("transparency",P142)),ISNUMBER(SEARCH("corruption",P142)),ISNUMBER(SEARCH("governance",P142))),"Governance &amp; transparency",IF(OR(ISNUMBER(SEARCH("police",P142)),ISNUMBER(SEARCH("detention",P142)),ISNUMBER(SEARCH("civil rights",P142)),ISNUMBER(SEARCH("justice",P142))),"Civil rights &amp; justice",IF(OR(ISNUMBER(SEARCH("road",P142)),ISNUMBER(SEARCH("utility",P142)),ISNUMBER(SEARCH("infrastructure",P142)),ISNUMBER(SEARCH("public service",P142))),"Infrastructure &amp; public services","Other"))))))))))))</x:f>
      </x:c>
      <x:c r="J142" s="16" t="str">
        <x:f>IF(A142="","",IF(OR(ISNUMBER(SEARCH("fatal",Q142)),ISNUMBER(SEARCH("death",Q142)),ISNUMBER(SEARCH("riot",Q142)),ISNUMBER(SEARCH("curfew",Q142)),ISNUMBER(SEARCH("internet shutdown",Q142))),5,MIN(4,1+IF(H142&gt;=7,1,0)+IF(OR(ISNUMBER(SEARCH("hunger strike",Q142)),ISNUMBER(SEARCH("blockade",Q142)),ISNUMBER(SEARCH("strike",Q142)),ISNUMBER(SEARCH("jal satyagraha",Q142)),ISNUMBER(SEARCH("survey",Q142)),ISNUMBER(SEARCH("human chain",Q142)),ISNUMBER(SEARCH("march",Q142))),1,0)+IF(OR(ISNUMBER(SEARCH("fir",Q142)),ISNUMBER(SEARCH("confrontation",Q142)),ISNUMBER(SEARCH("violence",Q142)),ISNUMBER(SEARCH("detention",Q142)),ISNUMBER(SEARCH("arrest",Q142)),ISNUMBER(SEARCH("demolition",Q142)),ISNUMBER(SEARCH("injury",Q142))),1,0)+IF(OR(D142="Ongoing",D142="Unresolved"),1,0))))</x:f>
      </x:c>
      <x:c r="K142" s="16" t="str">
        <x:f>IF(J142="","",IF(J142=1,"Limited",IF(J142=2,"Local",IF(J142=3,"Significant",IF(J142=4,"High","Critical")))))</x:f>
      </x:c>
      <x:c r="L142" s="16" t="str">
        <x:f>IF(A142="","",Events!U141)</x:f>
      </x:c>
      <x:c r="M142" s="16" t="str">
        <x:f>IF(A142="","",Events!V141)</x:f>
      </x:c>
      <x:c r="N142" s="16" t="str">
        <x:f>IF(A142="","",Events!Q141)</x:f>
      </x:c>
      <x:c r="O142" s="16" t="str">
        <x:f>IF(A142="","",Events!R141)</x:f>
      </x:c>
      <x:c r="P142" s="16" t="str">
        <x:f>IF(A142="","",LOWER(Events!B141&amp;" "&amp;Events!D141&amp;" "&amp;Events!K141))</x:f>
      </x:c>
      <x:c r="Q142" s="16" t="str">
        <x:f>IF(A142="","",LOWER(Events!C141&amp;" "&amp;Events!K141&amp;" "&amp;Events!T141))</x:f>
      </x:c>
      <x:c r="R142" s="16" t="str">
        <x:f>IF(A142="","",IF(ISNUMBER(SEARCH("Occurrence verified",E142)),"Occurrence verified",E142))</x:f>
      </x:c>
      <x:c r="S142" s="79" t="str">
        <x:f>IF(A142="","",Events!X141)</x:f>
      </x:c>
      <x:c r="Z142" s="79" t="str">
        <x:f>IF(A142="","",Events!AD141)</x:f>
      </x:c>
      <x:c r="AA142" s="79" t="str">
        <x:f>IF(A142="","",Events!AE141)</x:f>
      </x:c>
    </x:row>
    <x:row r="143">
      <x:c r="A143" s="16" t="str">
        <x:f>IF(Events!A142="","",Events!A142)</x:f>
      </x:c>
      <x:c r="B143" s="16" t="str">
        <x:f>IF(A143="","",Events!B142)</x:f>
      </x:c>
      <x:c r="C143" s="16" t="str">
        <x:f>IF(A143="","",Events!E142)</x:f>
      </x:c>
      <x:c r="D143" s="16" t="str">
        <x:f>IF(A143="","",Events!J142)</x:f>
      </x:c>
      <x:c r="E143" s="16" t="str">
        <x:f>IF(A143="","",Events!N142)</x:f>
      </x:c>
      <x:c r="F143" s="109" t="str">
        <x:f>IF(OR(A143="",Events!H142=""),"",Events!H142)</x:f>
      </x:c>
      <x:c r="G143" s="109" t="str">
        <x:f>IF(A143="","",IF(Events!I142&lt;&gt;"",Events!I142,IF(Events!S142&lt;&gt;"",Events!S142,"")))</x:f>
      </x:c>
      <x:c r="H143" s="16" t="str">
        <x:f>IF(A143="","",Events!W142)</x:f>
      </x:c>
      <x:c r="I143" s="16" t="str">
        <x:f>IF(A143="","",IF(Events!Y142&lt;&gt;"",Events!Y142,IF(OR(ISNUMBER(SEARCH("education",P143)),ISNUMBER(SEARCH("exam",P143)),ISNUMBER(SEARCH("school",P143))),"Education",IF(OR(ISNUMBER(SEARCH("trade agreement",P143)),ISNUMBER(SEARCH("economic",P143)),ISNUMBER(SEARCH("import",P143))),"Trade &amp; economic policy",IF(OR(ISNUMBER(SEARCH("land acquisition",P143)),ISNUMBER(SEARCH("rehabilitation",P143)),ISNUMBER(SEARCH("displacement",P143)),ISNUMBER(SEARCH("township",P143))),"Land &amp; rehabilitation",IF(OR(ISNUMBER(SEARCH("forest",P143)),ISNUMBER(SEARCH("environment",P143)),ISNUMBER(SEARCH("ecological",P143)),ISNUMBER(SEARCH("biodiversity",P143)),ISNUMBER(SEARCH("green cover",P143))),"Environment",IF(OR(ISNUMBER(SEARCH("irrigation",P143)),ISNUMBER(SEARCH("water",P143)),ISNUMBER(SEARCH("crop",P143)),ISNUMBER(SEARCH("farmer",P143)),ISNUMBER(SEARCH("agriculture",P143))),"Agriculture &amp; water",IF(OR(ISNUMBER(SEARCH("health",P143)),ISNUMBER(SEARCH("hospital",P143)),ISNUMBER(SEARCH("medicine",P143))),"Public health",IF(OR(ISNUMBER(SEARCH("employee",P143)),ISNUMBER(SEARCH("labour",P143)),ISNUMBER(SEARCH("worker",P143)),ISNUMBER(SEARCH("salary",P143))),"Labour &amp; employment",IF(OR(ISNUMBER(SEARCH("rti",P143)),ISNUMBER(SEARCH("transparency",P143)),ISNUMBER(SEARCH("corruption",P143)),ISNUMBER(SEARCH("governance",P143))),"Governance &amp; transparency",IF(OR(ISNUMBER(SEARCH("police",P143)),ISNUMBER(SEARCH("detention",P143)),ISNUMBER(SEARCH("civil rights",P143)),ISNUMBER(SEARCH("justice",P143))),"Civil rights &amp; justice",IF(OR(ISNUMBER(SEARCH("road",P143)),ISNUMBER(SEARCH("utility",P143)),ISNUMBER(SEARCH("infrastructure",P143)),ISNUMBER(SEARCH("public service",P143))),"Infrastructure &amp; public services","Other"))))))))))))</x:f>
      </x:c>
      <x:c r="J143" s="16" t="str">
        <x:f>IF(A143="","",IF(OR(ISNUMBER(SEARCH("fatal",Q143)),ISNUMBER(SEARCH("death",Q143)),ISNUMBER(SEARCH("riot",Q143)),ISNUMBER(SEARCH("curfew",Q143)),ISNUMBER(SEARCH("internet shutdown",Q143))),5,MIN(4,1+IF(H143&gt;=7,1,0)+IF(OR(ISNUMBER(SEARCH("hunger strike",Q143)),ISNUMBER(SEARCH("blockade",Q143)),ISNUMBER(SEARCH("strike",Q143)),ISNUMBER(SEARCH("jal satyagraha",Q143)),ISNUMBER(SEARCH("survey",Q143)),ISNUMBER(SEARCH("human chain",Q143)),ISNUMBER(SEARCH("march",Q143))),1,0)+IF(OR(ISNUMBER(SEARCH("fir",Q143)),ISNUMBER(SEARCH("confrontation",Q143)),ISNUMBER(SEARCH("violence",Q143)),ISNUMBER(SEARCH("detention",Q143)),ISNUMBER(SEARCH("arrest",Q143)),ISNUMBER(SEARCH("demolition",Q143)),ISNUMBER(SEARCH("injury",Q143))),1,0)+IF(OR(D143="Ongoing",D143="Unresolved"),1,0))))</x:f>
      </x:c>
      <x:c r="K143" s="16" t="str">
        <x:f>IF(J143="","",IF(J143=1,"Limited",IF(J143=2,"Local",IF(J143=3,"Significant",IF(J143=4,"High","Critical")))))</x:f>
      </x:c>
      <x:c r="L143" s="16" t="str">
        <x:f>IF(A143="","",Events!U142)</x:f>
      </x:c>
      <x:c r="M143" s="16" t="str">
        <x:f>IF(A143="","",Events!V142)</x:f>
      </x:c>
      <x:c r="N143" s="16" t="str">
        <x:f>IF(A143="","",Events!Q142)</x:f>
      </x:c>
      <x:c r="O143" s="16" t="str">
        <x:f>IF(A143="","",Events!R142)</x:f>
      </x:c>
      <x:c r="P143" s="16" t="str">
        <x:f>IF(A143="","",LOWER(Events!B142&amp;" "&amp;Events!D142&amp;" "&amp;Events!K142))</x:f>
      </x:c>
      <x:c r="Q143" s="16" t="str">
        <x:f>IF(A143="","",LOWER(Events!C142&amp;" "&amp;Events!K142&amp;" "&amp;Events!T142))</x:f>
      </x:c>
      <x:c r="R143" s="16" t="str">
        <x:f>IF(A143="","",IF(ISNUMBER(SEARCH("Occurrence verified",E143)),"Occurrence verified",E143))</x:f>
      </x:c>
      <x:c r="S143" s="79" t="str">
        <x:f>IF(A143="","",Events!X142)</x:f>
      </x:c>
      <x:c r="Z143" s="79" t="str">
        <x:f>IF(A143="","",Events!AD142)</x:f>
      </x:c>
      <x:c r="AA143" s="79" t="str">
        <x:f>IF(A143="","",Events!AE142)</x:f>
      </x:c>
    </x:row>
    <x:row r="144">
      <x:c r="A144" s="16" t="str">
        <x:f>IF(Events!A143="","",Events!A143)</x:f>
      </x:c>
      <x:c r="B144" s="16" t="str">
        <x:f>IF(A144="","",Events!B143)</x:f>
      </x:c>
      <x:c r="C144" s="16" t="str">
        <x:f>IF(A144="","",Events!E143)</x:f>
      </x:c>
      <x:c r="D144" s="16" t="str">
        <x:f>IF(A144="","",Events!J143)</x:f>
      </x:c>
      <x:c r="E144" s="16" t="str">
        <x:f>IF(A144="","",Events!N143)</x:f>
      </x:c>
      <x:c r="F144" s="109" t="str">
        <x:f>IF(OR(A144="",Events!H143=""),"",Events!H143)</x:f>
      </x:c>
      <x:c r="G144" s="109" t="str">
        <x:f>IF(A144="","",IF(Events!I143&lt;&gt;"",Events!I143,IF(Events!S143&lt;&gt;"",Events!S143,"")))</x:f>
      </x:c>
      <x:c r="H144" s="16" t="str">
        <x:f>IF(A144="","",Events!W143)</x:f>
      </x:c>
      <x:c r="I144" s="16" t="str">
        <x:f>IF(A144="","",IF(Events!Y143&lt;&gt;"",Events!Y143,IF(OR(ISNUMBER(SEARCH("education",P144)),ISNUMBER(SEARCH("exam",P144)),ISNUMBER(SEARCH("school",P144))),"Education",IF(OR(ISNUMBER(SEARCH("trade agreement",P144)),ISNUMBER(SEARCH("economic",P144)),ISNUMBER(SEARCH("import",P144))),"Trade &amp; economic policy",IF(OR(ISNUMBER(SEARCH("land acquisition",P144)),ISNUMBER(SEARCH("rehabilitation",P144)),ISNUMBER(SEARCH("displacement",P144)),ISNUMBER(SEARCH("township",P144))),"Land &amp; rehabilitation",IF(OR(ISNUMBER(SEARCH("forest",P144)),ISNUMBER(SEARCH("environment",P144)),ISNUMBER(SEARCH("ecological",P144)),ISNUMBER(SEARCH("biodiversity",P144)),ISNUMBER(SEARCH("green cover",P144))),"Environment",IF(OR(ISNUMBER(SEARCH("irrigation",P144)),ISNUMBER(SEARCH("water",P144)),ISNUMBER(SEARCH("crop",P144)),ISNUMBER(SEARCH("farmer",P144)),ISNUMBER(SEARCH("agriculture",P144))),"Agriculture &amp; water",IF(OR(ISNUMBER(SEARCH("health",P144)),ISNUMBER(SEARCH("hospital",P144)),ISNUMBER(SEARCH("medicine",P144))),"Public health",IF(OR(ISNUMBER(SEARCH("employee",P144)),ISNUMBER(SEARCH("labour",P144)),ISNUMBER(SEARCH("worker",P144)),ISNUMBER(SEARCH("salary",P144))),"Labour &amp; employment",IF(OR(ISNUMBER(SEARCH("rti",P144)),ISNUMBER(SEARCH("transparency",P144)),ISNUMBER(SEARCH("corruption",P144)),ISNUMBER(SEARCH("governance",P144))),"Governance &amp; transparency",IF(OR(ISNUMBER(SEARCH("police",P144)),ISNUMBER(SEARCH("detention",P144)),ISNUMBER(SEARCH("civil rights",P144)),ISNUMBER(SEARCH("justice",P144))),"Civil rights &amp; justice",IF(OR(ISNUMBER(SEARCH("road",P144)),ISNUMBER(SEARCH("utility",P144)),ISNUMBER(SEARCH("infrastructure",P144)),ISNUMBER(SEARCH("public service",P144))),"Infrastructure &amp; public services","Other"))))))))))))</x:f>
      </x:c>
      <x:c r="J144" s="16" t="str">
        <x:f>IF(A144="","",IF(OR(ISNUMBER(SEARCH("fatal",Q144)),ISNUMBER(SEARCH("death",Q144)),ISNUMBER(SEARCH("riot",Q144)),ISNUMBER(SEARCH("curfew",Q144)),ISNUMBER(SEARCH("internet shutdown",Q144))),5,MIN(4,1+IF(H144&gt;=7,1,0)+IF(OR(ISNUMBER(SEARCH("hunger strike",Q144)),ISNUMBER(SEARCH("blockade",Q144)),ISNUMBER(SEARCH("strike",Q144)),ISNUMBER(SEARCH("jal satyagraha",Q144)),ISNUMBER(SEARCH("survey",Q144)),ISNUMBER(SEARCH("human chain",Q144)),ISNUMBER(SEARCH("march",Q144))),1,0)+IF(OR(ISNUMBER(SEARCH("fir",Q144)),ISNUMBER(SEARCH("confrontation",Q144)),ISNUMBER(SEARCH("violence",Q144)),ISNUMBER(SEARCH("detention",Q144)),ISNUMBER(SEARCH("arrest",Q144)),ISNUMBER(SEARCH("demolition",Q144)),ISNUMBER(SEARCH("injury",Q144))),1,0)+IF(OR(D144="Ongoing",D144="Unresolved"),1,0))))</x:f>
      </x:c>
      <x:c r="K144" s="16" t="str">
        <x:f>IF(J144="","",IF(J144=1,"Limited",IF(J144=2,"Local",IF(J144=3,"Significant",IF(J144=4,"High","Critical")))))</x:f>
      </x:c>
      <x:c r="L144" s="16" t="str">
        <x:f>IF(A144="","",Events!U143)</x:f>
      </x:c>
      <x:c r="M144" s="16" t="str">
        <x:f>IF(A144="","",Events!V143)</x:f>
      </x:c>
      <x:c r="N144" s="16" t="str">
        <x:f>IF(A144="","",Events!Q143)</x:f>
      </x:c>
      <x:c r="O144" s="16" t="str">
        <x:f>IF(A144="","",Events!R143)</x:f>
      </x:c>
      <x:c r="P144" s="16" t="str">
        <x:f>IF(A144="","",LOWER(Events!B143&amp;" "&amp;Events!D143&amp;" "&amp;Events!K143))</x:f>
      </x:c>
      <x:c r="Q144" s="16" t="str">
        <x:f>IF(A144="","",LOWER(Events!C143&amp;" "&amp;Events!K143&amp;" "&amp;Events!T143))</x:f>
      </x:c>
      <x:c r="R144" s="16" t="str">
        <x:f>IF(A144="","",IF(ISNUMBER(SEARCH("Occurrence verified",E144)),"Occurrence verified",E144))</x:f>
      </x:c>
      <x:c r="S144" s="79" t="str">
        <x:f>IF(A144="","",Events!X143)</x:f>
      </x:c>
      <x:c r="Z144" s="79" t="str">
        <x:f>IF(A144="","",Events!AD143)</x:f>
      </x:c>
      <x:c r="AA144" s="79" t="str">
        <x:f>IF(A144="","",Events!AE143)</x:f>
      </x:c>
    </x:row>
    <x:row r="145">
      <x:c r="A145" s="16" t="str">
        <x:f>IF(Events!A144="","",Events!A144)</x:f>
      </x:c>
      <x:c r="B145" s="16" t="str">
        <x:f>IF(A145="","",Events!B144)</x:f>
      </x:c>
      <x:c r="C145" s="16" t="str">
        <x:f>IF(A145="","",Events!E144)</x:f>
      </x:c>
      <x:c r="D145" s="16" t="str">
        <x:f>IF(A145="","",Events!J144)</x:f>
      </x:c>
      <x:c r="E145" s="16" t="str">
        <x:f>IF(A145="","",Events!N144)</x:f>
      </x:c>
      <x:c r="F145" s="109" t="str">
        <x:f>IF(OR(A145="",Events!H144=""),"",Events!H144)</x:f>
      </x:c>
      <x:c r="G145" s="109" t="str">
        <x:f>IF(A145="","",IF(Events!I144&lt;&gt;"",Events!I144,IF(Events!S144&lt;&gt;"",Events!S144,"")))</x:f>
      </x:c>
      <x:c r="H145" s="16" t="str">
        <x:f>IF(A145="","",Events!W144)</x:f>
      </x:c>
      <x:c r="I145" s="16" t="str">
        <x:f>IF(A145="","",IF(Events!Y144&lt;&gt;"",Events!Y144,IF(OR(ISNUMBER(SEARCH("education",P145)),ISNUMBER(SEARCH("exam",P145)),ISNUMBER(SEARCH("school",P145))),"Education",IF(OR(ISNUMBER(SEARCH("trade agreement",P145)),ISNUMBER(SEARCH("economic",P145)),ISNUMBER(SEARCH("import",P145))),"Trade &amp; economic policy",IF(OR(ISNUMBER(SEARCH("land acquisition",P145)),ISNUMBER(SEARCH("rehabilitation",P145)),ISNUMBER(SEARCH("displacement",P145)),ISNUMBER(SEARCH("township",P145))),"Land &amp; rehabilitation",IF(OR(ISNUMBER(SEARCH("forest",P145)),ISNUMBER(SEARCH("environment",P145)),ISNUMBER(SEARCH("ecological",P145)),ISNUMBER(SEARCH("biodiversity",P145)),ISNUMBER(SEARCH("green cover",P145))),"Environment",IF(OR(ISNUMBER(SEARCH("irrigation",P145)),ISNUMBER(SEARCH("water",P145)),ISNUMBER(SEARCH("crop",P145)),ISNUMBER(SEARCH("farmer",P145)),ISNUMBER(SEARCH("agriculture",P145))),"Agriculture &amp; water",IF(OR(ISNUMBER(SEARCH("health",P145)),ISNUMBER(SEARCH("hospital",P145)),ISNUMBER(SEARCH("medicine",P145))),"Public health",IF(OR(ISNUMBER(SEARCH("employee",P145)),ISNUMBER(SEARCH("labour",P145)),ISNUMBER(SEARCH("worker",P145)),ISNUMBER(SEARCH("salary",P145))),"Labour &amp; employment",IF(OR(ISNUMBER(SEARCH("rti",P145)),ISNUMBER(SEARCH("transparency",P145)),ISNUMBER(SEARCH("corruption",P145)),ISNUMBER(SEARCH("governance",P145))),"Governance &amp; transparency",IF(OR(ISNUMBER(SEARCH("police",P145)),ISNUMBER(SEARCH("detention",P145)),ISNUMBER(SEARCH("civil rights",P145)),ISNUMBER(SEARCH("justice",P145))),"Civil rights &amp; justice",IF(OR(ISNUMBER(SEARCH("road",P145)),ISNUMBER(SEARCH("utility",P145)),ISNUMBER(SEARCH("infrastructure",P145)),ISNUMBER(SEARCH("public service",P145))),"Infrastructure &amp; public services","Other"))))))))))))</x:f>
      </x:c>
      <x:c r="J145" s="16" t="str">
        <x:f>IF(A145="","",IF(OR(ISNUMBER(SEARCH("fatal",Q145)),ISNUMBER(SEARCH("death",Q145)),ISNUMBER(SEARCH("riot",Q145)),ISNUMBER(SEARCH("curfew",Q145)),ISNUMBER(SEARCH("internet shutdown",Q145))),5,MIN(4,1+IF(H145&gt;=7,1,0)+IF(OR(ISNUMBER(SEARCH("hunger strike",Q145)),ISNUMBER(SEARCH("blockade",Q145)),ISNUMBER(SEARCH("strike",Q145)),ISNUMBER(SEARCH("jal satyagraha",Q145)),ISNUMBER(SEARCH("survey",Q145)),ISNUMBER(SEARCH("human chain",Q145)),ISNUMBER(SEARCH("march",Q145))),1,0)+IF(OR(ISNUMBER(SEARCH("fir",Q145)),ISNUMBER(SEARCH("confrontation",Q145)),ISNUMBER(SEARCH("violence",Q145)),ISNUMBER(SEARCH("detention",Q145)),ISNUMBER(SEARCH("arrest",Q145)),ISNUMBER(SEARCH("demolition",Q145)),ISNUMBER(SEARCH("injury",Q145))),1,0)+IF(OR(D145="Ongoing",D145="Unresolved"),1,0))))</x:f>
      </x:c>
      <x:c r="K145" s="16" t="str">
        <x:f>IF(J145="","",IF(J145=1,"Limited",IF(J145=2,"Local",IF(J145=3,"Significant",IF(J145=4,"High","Critical")))))</x:f>
      </x:c>
      <x:c r="L145" s="16" t="str">
        <x:f>IF(A145="","",Events!U144)</x:f>
      </x:c>
      <x:c r="M145" s="16" t="str">
        <x:f>IF(A145="","",Events!V144)</x:f>
      </x:c>
      <x:c r="N145" s="16" t="str">
        <x:f>IF(A145="","",Events!Q144)</x:f>
      </x:c>
      <x:c r="O145" s="16" t="str">
        <x:f>IF(A145="","",Events!R144)</x:f>
      </x:c>
      <x:c r="P145" s="16" t="str">
        <x:f>IF(A145="","",LOWER(Events!B144&amp;" "&amp;Events!D144&amp;" "&amp;Events!K144))</x:f>
      </x:c>
      <x:c r="Q145" s="16" t="str">
        <x:f>IF(A145="","",LOWER(Events!C144&amp;" "&amp;Events!K144&amp;" "&amp;Events!T144))</x:f>
      </x:c>
      <x:c r="R145" s="16" t="str">
        <x:f>IF(A145="","",IF(ISNUMBER(SEARCH("Occurrence verified",E145)),"Occurrence verified",E145))</x:f>
      </x:c>
      <x:c r="S145" s="79" t="str">
        <x:f>IF(A145="","",Events!X144)</x:f>
      </x:c>
      <x:c r="Z145" s="79" t="str">
        <x:f>IF(A145="","",Events!AD144)</x:f>
      </x:c>
      <x:c r="AA145" s="79" t="str">
        <x:f>IF(A145="","",Events!AE144)</x:f>
      </x:c>
    </x:row>
    <x:row r="146">
      <x:c r="A146" s="16" t="str">
        <x:f>IF(Events!A145="","",Events!A145)</x:f>
      </x:c>
      <x:c r="B146" s="16" t="str">
        <x:f>IF(A146="","",Events!B145)</x:f>
      </x:c>
      <x:c r="C146" s="16" t="str">
        <x:f>IF(A146="","",Events!E145)</x:f>
      </x:c>
      <x:c r="D146" s="16" t="str">
        <x:f>IF(A146="","",Events!J145)</x:f>
      </x:c>
      <x:c r="E146" s="16" t="str">
        <x:f>IF(A146="","",Events!N145)</x:f>
      </x:c>
      <x:c r="F146" s="109" t="str">
        <x:f>IF(OR(A146="",Events!H145=""),"",Events!H145)</x:f>
      </x:c>
      <x:c r="G146" s="109" t="str">
        <x:f>IF(A146="","",IF(Events!I145&lt;&gt;"",Events!I145,IF(Events!S145&lt;&gt;"",Events!S145,"")))</x:f>
      </x:c>
      <x:c r="H146" s="16" t="str">
        <x:f>IF(A146="","",Events!W145)</x:f>
      </x:c>
      <x:c r="I146" s="16" t="str">
        <x:f>IF(A146="","",IF(Events!Y145&lt;&gt;"",Events!Y145,IF(OR(ISNUMBER(SEARCH("education",P146)),ISNUMBER(SEARCH("exam",P146)),ISNUMBER(SEARCH("school",P146))),"Education",IF(OR(ISNUMBER(SEARCH("trade agreement",P146)),ISNUMBER(SEARCH("economic",P146)),ISNUMBER(SEARCH("import",P146))),"Trade &amp; economic policy",IF(OR(ISNUMBER(SEARCH("land acquisition",P146)),ISNUMBER(SEARCH("rehabilitation",P146)),ISNUMBER(SEARCH("displacement",P146)),ISNUMBER(SEARCH("township",P146))),"Land &amp; rehabilitation",IF(OR(ISNUMBER(SEARCH("forest",P146)),ISNUMBER(SEARCH("environment",P146)),ISNUMBER(SEARCH("ecological",P146)),ISNUMBER(SEARCH("biodiversity",P146)),ISNUMBER(SEARCH("green cover",P146))),"Environment",IF(OR(ISNUMBER(SEARCH("irrigation",P146)),ISNUMBER(SEARCH("water",P146)),ISNUMBER(SEARCH("crop",P146)),ISNUMBER(SEARCH("farmer",P146)),ISNUMBER(SEARCH("agriculture",P146))),"Agriculture &amp; water",IF(OR(ISNUMBER(SEARCH("health",P146)),ISNUMBER(SEARCH("hospital",P146)),ISNUMBER(SEARCH("medicine",P146))),"Public health",IF(OR(ISNUMBER(SEARCH("employee",P146)),ISNUMBER(SEARCH("labour",P146)),ISNUMBER(SEARCH("worker",P146)),ISNUMBER(SEARCH("salary",P146))),"Labour &amp; employment",IF(OR(ISNUMBER(SEARCH("rti",P146)),ISNUMBER(SEARCH("transparency",P146)),ISNUMBER(SEARCH("corruption",P146)),ISNUMBER(SEARCH("governance",P146))),"Governance &amp; transparency",IF(OR(ISNUMBER(SEARCH("police",P146)),ISNUMBER(SEARCH("detention",P146)),ISNUMBER(SEARCH("civil rights",P146)),ISNUMBER(SEARCH("justice",P146))),"Civil rights &amp; justice",IF(OR(ISNUMBER(SEARCH("road",P146)),ISNUMBER(SEARCH("utility",P146)),ISNUMBER(SEARCH("infrastructure",P146)),ISNUMBER(SEARCH("public service",P146))),"Infrastructure &amp; public services","Other"))))))))))))</x:f>
      </x:c>
      <x:c r="J146" s="16" t="str">
        <x:f>IF(A146="","",IF(OR(ISNUMBER(SEARCH("fatal",Q146)),ISNUMBER(SEARCH("death",Q146)),ISNUMBER(SEARCH("riot",Q146)),ISNUMBER(SEARCH("curfew",Q146)),ISNUMBER(SEARCH("internet shutdown",Q146))),5,MIN(4,1+IF(H146&gt;=7,1,0)+IF(OR(ISNUMBER(SEARCH("hunger strike",Q146)),ISNUMBER(SEARCH("blockade",Q146)),ISNUMBER(SEARCH("strike",Q146)),ISNUMBER(SEARCH("jal satyagraha",Q146)),ISNUMBER(SEARCH("survey",Q146)),ISNUMBER(SEARCH("human chain",Q146)),ISNUMBER(SEARCH("march",Q146))),1,0)+IF(OR(ISNUMBER(SEARCH("fir",Q146)),ISNUMBER(SEARCH("confrontation",Q146)),ISNUMBER(SEARCH("violence",Q146)),ISNUMBER(SEARCH("detention",Q146)),ISNUMBER(SEARCH("arrest",Q146)),ISNUMBER(SEARCH("demolition",Q146)),ISNUMBER(SEARCH("injury",Q146))),1,0)+IF(OR(D146="Ongoing",D146="Unresolved"),1,0))))</x:f>
      </x:c>
      <x:c r="K146" s="16" t="str">
        <x:f>IF(J146="","",IF(J146=1,"Limited",IF(J146=2,"Local",IF(J146=3,"Significant",IF(J146=4,"High","Critical")))))</x:f>
      </x:c>
      <x:c r="L146" s="16" t="str">
        <x:f>IF(A146="","",Events!U145)</x:f>
      </x:c>
      <x:c r="M146" s="16" t="str">
        <x:f>IF(A146="","",Events!V145)</x:f>
      </x:c>
      <x:c r="N146" s="16" t="str">
        <x:f>IF(A146="","",Events!Q145)</x:f>
      </x:c>
      <x:c r="O146" s="16" t="str">
        <x:f>IF(A146="","",Events!R145)</x:f>
      </x:c>
      <x:c r="P146" s="16" t="str">
        <x:f>IF(A146="","",LOWER(Events!B145&amp;" "&amp;Events!D145&amp;" "&amp;Events!K145))</x:f>
      </x:c>
      <x:c r="Q146" s="16" t="str">
        <x:f>IF(A146="","",LOWER(Events!C145&amp;" "&amp;Events!K145&amp;" "&amp;Events!T145))</x:f>
      </x:c>
      <x:c r="R146" s="16" t="str">
        <x:f>IF(A146="","",IF(ISNUMBER(SEARCH("Occurrence verified",E146)),"Occurrence verified",E146))</x:f>
      </x:c>
      <x:c r="S146" s="79" t="str">
        <x:f>IF(A146="","",Events!X145)</x:f>
      </x:c>
      <x:c r="Z146" s="79" t="str">
        <x:f>IF(A146="","",Events!AD145)</x:f>
      </x:c>
      <x:c r="AA146" s="79" t="str">
        <x:f>IF(A146="","",Events!AE145)</x:f>
      </x:c>
    </x:row>
    <x:row r="147">
      <x:c r="A147" s="16" t="str">
        <x:f>IF(Events!A146="","",Events!A146)</x:f>
      </x:c>
      <x:c r="B147" s="16" t="str">
        <x:f>IF(A147="","",Events!B146)</x:f>
      </x:c>
      <x:c r="C147" s="16" t="str">
        <x:f>IF(A147="","",Events!E146)</x:f>
      </x:c>
      <x:c r="D147" s="16" t="str">
        <x:f>IF(A147="","",Events!J146)</x:f>
      </x:c>
      <x:c r="E147" s="16" t="str">
        <x:f>IF(A147="","",Events!N146)</x:f>
      </x:c>
      <x:c r="F147" s="109" t="str">
        <x:f>IF(OR(A147="",Events!H146=""),"",Events!H146)</x:f>
      </x:c>
      <x:c r="G147" s="109" t="str">
        <x:f>IF(A147="","",IF(Events!I146&lt;&gt;"",Events!I146,IF(Events!S146&lt;&gt;"",Events!S146,"")))</x:f>
      </x:c>
      <x:c r="H147" s="16" t="str">
        <x:f>IF(A147="","",Events!W146)</x:f>
      </x:c>
      <x:c r="I147" s="16" t="str">
        <x:f>IF(A147="","",IF(Events!Y146&lt;&gt;"",Events!Y146,IF(OR(ISNUMBER(SEARCH("education",P147)),ISNUMBER(SEARCH("exam",P147)),ISNUMBER(SEARCH("school",P147))),"Education",IF(OR(ISNUMBER(SEARCH("trade agreement",P147)),ISNUMBER(SEARCH("economic",P147)),ISNUMBER(SEARCH("import",P147))),"Trade &amp; economic policy",IF(OR(ISNUMBER(SEARCH("land acquisition",P147)),ISNUMBER(SEARCH("rehabilitation",P147)),ISNUMBER(SEARCH("displacement",P147)),ISNUMBER(SEARCH("township",P147))),"Land &amp; rehabilitation",IF(OR(ISNUMBER(SEARCH("forest",P147)),ISNUMBER(SEARCH("environment",P147)),ISNUMBER(SEARCH("ecological",P147)),ISNUMBER(SEARCH("biodiversity",P147)),ISNUMBER(SEARCH("green cover",P147))),"Environment",IF(OR(ISNUMBER(SEARCH("irrigation",P147)),ISNUMBER(SEARCH("water",P147)),ISNUMBER(SEARCH("crop",P147)),ISNUMBER(SEARCH("farmer",P147)),ISNUMBER(SEARCH("agriculture",P147))),"Agriculture &amp; water",IF(OR(ISNUMBER(SEARCH("health",P147)),ISNUMBER(SEARCH("hospital",P147)),ISNUMBER(SEARCH("medicine",P147))),"Public health",IF(OR(ISNUMBER(SEARCH("employee",P147)),ISNUMBER(SEARCH("labour",P147)),ISNUMBER(SEARCH("worker",P147)),ISNUMBER(SEARCH("salary",P147))),"Labour &amp; employment",IF(OR(ISNUMBER(SEARCH("rti",P147)),ISNUMBER(SEARCH("transparency",P147)),ISNUMBER(SEARCH("corruption",P147)),ISNUMBER(SEARCH("governance",P147))),"Governance &amp; transparency",IF(OR(ISNUMBER(SEARCH("police",P147)),ISNUMBER(SEARCH("detention",P147)),ISNUMBER(SEARCH("civil rights",P147)),ISNUMBER(SEARCH("justice",P147))),"Civil rights &amp; justice",IF(OR(ISNUMBER(SEARCH("road",P147)),ISNUMBER(SEARCH("utility",P147)),ISNUMBER(SEARCH("infrastructure",P147)),ISNUMBER(SEARCH("public service",P147))),"Infrastructure &amp; public services","Other"))))))))))))</x:f>
      </x:c>
      <x:c r="J147" s="16" t="str">
        <x:f>IF(A147="","",IF(OR(ISNUMBER(SEARCH("fatal",Q147)),ISNUMBER(SEARCH("death",Q147)),ISNUMBER(SEARCH("riot",Q147)),ISNUMBER(SEARCH("curfew",Q147)),ISNUMBER(SEARCH("internet shutdown",Q147))),5,MIN(4,1+IF(H147&gt;=7,1,0)+IF(OR(ISNUMBER(SEARCH("hunger strike",Q147)),ISNUMBER(SEARCH("blockade",Q147)),ISNUMBER(SEARCH("strike",Q147)),ISNUMBER(SEARCH("jal satyagraha",Q147)),ISNUMBER(SEARCH("survey",Q147)),ISNUMBER(SEARCH("human chain",Q147)),ISNUMBER(SEARCH("march",Q147))),1,0)+IF(OR(ISNUMBER(SEARCH("fir",Q147)),ISNUMBER(SEARCH("confrontation",Q147)),ISNUMBER(SEARCH("violence",Q147)),ISNUMBER(SEARCH("detention",Q147)),ISNUMBER(SEARCH("arrest",Q147)),ISNUMBER(SEARCH("demolition",Q147)),ISNUMBER(SEARCH("injury",Q147))),1,0)+IF(OR(D147="Ongoing",D147="Unresolved"),1,0))))</x:f>
      </x:c>
      <x:c r="K147" s="16" t="str">
        <x:f>IF(J147="","",IF(J147=1,"Limited",IF(J147=2,"Local",IF(J147=3,"Significant",IF(J147=4,"High","Critical")))))</x:f>
      </x:c>
      <x:c r="L147" s="16" t="str">
        <x:f>IF(A147="","",Events!U146)</x:f>
      </x:c>
      <x:c r="M147" s="16" t="str">
        <x:f>IF(A147="","",Events!V146)</x:f>
      </x:c>
      <x:c r="N147" s="16" t="str">
        <x:f>IF(A147="","",Events!Q146)</x:f>
      </x:c>
      <x:c r="O147" s="16" t="str">
        <x:f>IF(A147="","",Events!R146)</x:f>
      </x:c>
      <x:c r="P147" s="16" t="str">
        <x:f>IF(A147="","",LOWER(Events!B146&amp;" "&amp;Events!D146&amp;" "&amp;Events!K146))</x:f>
      </x:c>
      <x:c r="Q147" s="16" t="str">
        <x:f>IF(A147="","",LOWER(Events!C146&amp;" "&amp;Events!K146&amp;" "&amp;Events!T146))</x:f>
      </x:c>
      <x:c r="R147" s="16" t="str">
        <x:f>IF(A147="","",IF(ISNUMBER(SEARCH("Occurrence verified",E147)),"Occurrence verified",E147))</x:f>
      </x:c>
      <x:c r="S147" s="79" t="str">
        <x:f>IF(A147="","",Events!X146)</x:f>
      </x:c>
      <x:c r="Z147" s="79" t="str">
        <x:f>IF(A147="","",Events!AD146)</x:f>
      </x:c>
      <x:c r="AA147" s="79" t="str">
        <x:f>IF(A147="","",Events!AE146)</x:f>
      </x:c>
    </x:row>
    <x:row r="148">
      <x:c r="A148" s="16" t="str">
        <x:f>IF(Events!A147="","",Events!A147)</x:f>
      </x:c>
      <x:c r="B148" s="16" t="str">
        <x:f>IF(A148="","",Events!B147)</x:f>
      </x:c>
      <x:c r="C148" s="16" t="str">
        <x:f>IF(A148="","",Events!E147)</x:f>
      </x:c>
      <x:c r="D148" s="16" t="str">
        <x:f>IF(A148="","",Events!J147)</x:f>
      </x:c>
      <x:c r="E148" s="16" t="str">
        <x:f>IF(A148="","",Events!N147)</x:f>
      </x:c>
      <x:c r="F148" s="109" t="str">
        <x:f>IF(OR(A148="",Events!H147=""),"",Events!H147)</x:f>
      </x:c>
      <x:c r="G148" s="109" t="str">
        <x:f>IF(A148="","",IF(Events!I147&lt;&gt;"",Events!I147,IF(Events!S147&lt;&gt;"",Events!S147,"")))</x:f>
      </x:c>
      <x:c r="H148" s="16" t="str">
        <x:f>IF(A148="","",Events!W147)</x:f>
      </x:c>
      <x:c r="I148" s="16" t="str">
        <x:f>IF(A148="","",IF(Events!Y147&lt;&gt;"",Events!Y147,IF(OR(ISNUMBER(SEARCH("education",P148)),ISNUMBER(SEARCH("exam",P148)),ISNUMBER(SEARCH("school",P148))),"Education",IF(OR(ISNUMBER(SEARCH("trade agreement",P148)),ISNUMBER(SEARCH("economic",P148)),ISNUMBER(SEARCH("import",P148))),"Trade &amp; economic policy",IF(OR(ISNUMBER(SEARCH("land acquisition",P148)),ISNUMBER(SEARCH("rehabilitation",P148)),ISNUMBER(SEARCH("displacement",P148)),ISNUMBER(SEARCH("township",P148))),"Land &amp; rehabilitation",IF(OR(ISNUMBER(SEARCH("forest",P148)),ISNUMBER(SEARCH("environment",P148)),ISNUMBER(SEARCH("ecological",P148)),ISNUMBER(SEARCH("biodiversity",P148)),ISNUMBER(SEARCH("green cover",P148))),"Environment",IF(OR(ISNUMBER(SEARCH("irrigation",P148)),ISNUMBER(SEARCH("water",P148)),ISNUMBER(SEARCH("crop",P148)),ISNUMBER(SEARCH("farmer",P148)),ISNUMBER(SEARCH("agriculture",P148))),"Agriculture &amp; water",IF(OR(ISNUMBER(SEARCH("health",P148)),ISNUMBER(SEARCH("hospital",P148)),ISNUMBER(SEARCH("medicine",P148))),"Public health",IF(OR(ISNUMBER(SEARCH("employee",P148)),ISNUMBER(SEARCH("labour",P148)),ISNUMBER(SEARCH("worker",P148)),ISNUMBER(SEARCH("salary",P148))),"Labour &amp; employment",IF(OR(ISNUMBER(SEARCH("rti",P148)),ISNUMBER(SEARCH("transparency",P148)),ISNUMBER(SEARCH("corruption",P148)),ISNUMBER(SEARCH("governance",P148))),"Governance &amp; transparency",IF(OR(ISNUMBER(SEARCH("police",P148)),ISNUMBER(SEARCH("detention",P148)),ISNUMBER(SEARCH("civil rights",P148)),ISNUMBER(SEARCH("justice",P148))),"Civil rights &amp; justice",IF(OR(ISNUMBER(SEARCH("road",P148)),ISNUMBER(SEARCH("utility",P148)),ISNUMBER(SEARCH("infrastructure",P148)),ISNUMBER(SEARCH("public service",P148))),"Infrastructure &amp; public services","Other"))))))))))))</x:f>
      </x:c>
      <x:c r="J148" s="16" t="str">
        <x:f>IF(A148="","",IF(OR(ISNUMBER(SEARCH("fatal",Q148)),ISNUMBER(SEARCH("death",Q148)),ISNUMBER(SEARCH("riot",Q148)),ISNUMBER(SEARCH("curfew",Q148)),ISNUMBER(SEARCH("internet shutdown",Q148))),5,MIN(4,1+IF(H148&gt;=7,1,0)+IF(OR(ISNUMBER(SEARCH("hunger strike",Q148)),ISNUMBER(SEARCH("blockade",Q148)),ISNUMBER(SEARCH("strike",Q148)),ISNUMBER(SEARCH("jal satyagraha",Q148)),ISNUMBER(SEARCH("survey",Q148)),ISNUMBER(SEARCH("human chain",Q148)),ISNUMBER(SEARCH("march",Q148))),1,0)+IF(OR(ISNUMBER(SEARCH("fir",Q148)),ISNUMBER(SEARCH("confrontation",Q148)),ISNUMBER(SEARCH("violence",Q148)),ISNUMBER(SEARCH("detention",Q148)),ISNUMBER(SEARCH("arrest",Q148)),ISNUMBER(SEARCH("demolition",Q148)),ISNUMBER(SEARCH("injury",Q148))),1,0)+IF(OR(D148="Ongoing",D148="Unresolved"),1,0))))</x:f>
      </x:c>
      <x:c r="K148" s="16" t="str">
        <x:f>IF(J148="","",IF(J148=1,"Limited",IF(J148=2,"Local",IF(J148=3,"Significant",IF(J148=4,"High","Critical")))))</x:f>
      </x:c>
      <x:c r="L148" s="16" t="str">
        <x:f>IF(A148="","",Events!U147)</x:f>
      </x:c>
      <x:c r="M148" s="16" t="str">
        <x:f>IF(A148="","",Events!V147)</x:f>
      </x:c>
      <x:c r="N148" s="16" t="str">
        <x:f>IF(A148="","",Events!Q147)</x:f>
      </x:c>
      <x:c r="O148" s="16" t="str">
        <x:f>IF(A148="","",Events!R147)</x:f>
      </x:c>
      <x:c r="P148" s="16" t="str">
        <x:f>IF(A148="","",LOWER(Events!B147&amp;" "&amp;Events!D147&amp;" "&amp;Events!K147))</x:f>
      </x:c>
      <x:c r="Q148" s="16" t="str">
        <x:f>IF(A148="","",LOWER(Events!C147&amp;" "&amp;Events!K147&amp;" "&amp;Events!T147))</x:f>
      </x:c>
      <x:c r="R148" s="16" t="str">
        <x:f>IF(A148="","",IF(ISNUMBER(SEARCH("Occurrence verified",E148)),"Occurrence verified",E148))</x:f>
      </x:c>
      <x:c r="S148" s="79" t="str">
        <x:f>IF(A148="","",Events!X147)</x:f>
      </x:c>
      <x:c r="Z148" s="79" t="str">
        <x:f>IF(A148="","",Events!AD147)</x:f>
      </x:c>
      <x:c r="AA148" s="79" t="str">
        <x:f>IF(A148="","",Events!AE147)</x:f>
      </x:c>
    </x:row>
    <x:row r="149">
      <x:c r="A149" s="16" t="str">
        <x:f>IF(Events!A148="","",Events!A148)</x:f>
      </x:c>
      <x:c r="B149" s="16" t="str">
        <x:f>IF(A149="","",Events!B148)</x:f>
      </x:c>
      <x:c r="C149" s="16" t="str">
        <x:f>IF(A149="","",Events!E148)</x:f>
      </x:c>
      <x:c r="D149" s="16" t="str">
        <x:f>IF(A149="","",Events!J148)</x:f>
      </x:c>
      <x:c r="E149" s="16" t="str">
        <x:f>IF(A149="","",Events!N148)</x:f>
      </x:c>
      <x:c r="F149" s="109" t="str">
        <x:f>IF(OR(A149="",Events!H148=""),"",Events!H148)</x:f>
      </x:c>
      <x:c r="G149" s="109" t="str">
        <x:f>IF(A149="","",IF(Events!I148&lt;&gt;"",Events!I148,IF(Events!S148&lt;&gt;"",Events!S148,"")))</x:f>
      </x:c>
      <x:c r="H149" s="16" t="str">
        <x:f>IF(A149="","",Events!W148)</x:f>
      </x:c>
      <x:c r="I149" s="16" t="str">
        <x:f>IF(A149="","",IF(Events!Y148&lt;&gt;"",Events!Y148,IF(OR(ISNUMBER(SEARCH("education",P149)),ISNUMBER(SEARCH("exam",P149)),ISNUMBER(SEARCH("school",P149))),"Education",IF(OR(ISNUMBER(SEARCH("trade agreement",P149)),ISNUMBER(SEARCH("economic",P149)),ISNUMBER(SEARCH("import",P149))),"Trade &amp; economic policy",IF(OR(ISNUMBER(SEARCH("land acquisition",P149)),ISNUMBER(SEARCH("rehabilitation",P149)),ISNUMBER(SEARCH("displacement",P149)),ISNUMBER(SEARCH("township",P149))),"Land &amp; rehabilitation",IF(OR(ISNUMBER(SEARCH("forest",P149)),ISNUMBER(SEARCH("environment",P149)),ISNUMBER(SEARCH("ecological",P149)),ISNUMBER(SEARCH("biodiversity",P149)),ISNUMBER(SEARCH("green cover",P149))),"Environment",IF(OR(ISNUMBER(SEARCH("irrigation",P149)),ISNUMBER(SEARCH("water",P149)),ISNUMBER(SEARCH("crop",P149)),ISNUMBER(SEARCH("farmer",P149)),ISNUMBER(SEARCH("agriculture",P149))),"Agriculture &amp; water",IF(OR(ISNUMBER(SEARCH("health",P149)),ISNUMBER(SEARCH("hospital",P149)),ISNUMBER(SEARCH("medicine",P149))),"Public health",IF(OR(ISNUMBER(SEARCH("employee",P149)),ISNUMBER(SEARCH("labour",P149)),ISNUMBER(SEARCH("worker",P149)),ISNUMBER(SEARCH("salary",P149))),"Labour &amp; employment",IF(OR(ISNUMBER(SEARCH("rti",P149)),ISNUMBER(SEARCH("transparency",P149)),ISNUMBER(SEARCH("corruption",P149)),ISNUMBER(SEARCH("governance",P149))),"Governance &amp; transparency",IF(OR(ISNUMBER(SEARCH("police",P149)),ISNUMBER(SEARCH("detention",P149)),ISNUMBER(SEARCH("civil rights",P149)),ISNUMBER(SEARCH("justice",P149))),"Civil rights &amp; justice",IF(OR(ISNUMBER(SEARCH("road",P149)),ISNUMBER(SEARCH("utility",P149)),ISNUMBER(SEARCH("infrastructure",P149)),ISNUMBER(SEARCH("public service",P149))),"Infrastructure &amp; public services","Other"))))))))))))</x:f>
      </x:c>
      <x:c r="J149" s="16" t="str">
        <x:f>IF(A149="","",IF(OR(ISNUMBER(SEARCH("fatal",Q149)),ISNUMBER(SEARCH("death",Q149)),ISNUMBER(SEARCH("riot",Q149)),ISNUMBER(SEARCH("curfew",Q149)),ISNUMBER(SEARCH("internet shutdown",Q149))),5,MIN(4,1+IF(H149&gt;=7,1,0)+IF(OR(ISNUMBER(SEARCH("hunger strike",Q149)),ISNUMBER(SEARCH("blockade",Q149)),ISNUMBER(SEARCH("strike",Q149)),ISNUMBER(SEARCH("jal satyagraha",Q149)),ISNUMBER(SEARCH("survey",Q149)),ISNUMBER(SEARCH("human chain",Q149)),ISNUMBER(SEARCH("march",Q149))),1,0)+IF(OR(ISNUMBER(SEARCH("fir",Q149)),ISNUMBER(SEARCH("confrontation",Q149)),ISNUMBER(SEARCH("violence",Q149)),ISNUMBER(SEARCH("detention",Q149)),ISNUMBER(SEARCH("arrest",Q149)),ISNUMBER(SEARCH("demolition",Q149)),ISNUMBER(SEARCH("injury",Q149))),1,0)+IF(OR(D149="Ongoing",D149="Unresolved"),1,0))))</x:f>
      </x:c>
      <x:c r="K149" s="16" t="str">
        <x:f>IF(J149="","",IF(J149=1,"Limited",IF(J149=2,"Local",IF(J149=3,"Significant",IF(J149=4,"High","Critical")))))</x:f>
      </x:c>
      <x:c r="L149" s="16" t="str">
        <x:f>IF(A149="","",Events!U148)</x:f>
      </x:c>
      <x:c r="M149" s="16" t="str">
        <x:f>IF(A149="","",Events!V148)</x:f>
      </x:c>
      <x:c r="N149" s="16" t="str">
        <x:f>IF(A149="","",Events!Q148)</x:f>
      </x:c>
      <x:c r="O149" s="16" t="str">
        <x:f>IF(A149="","",Events!R148)</x:f>
      </x:c>
      <x:c r="P149" s="16" t="str">
        <x:f>IF(A149="","",LOWER(Events!B148&amp;" "&amp;Events!D148&amp;" "&amp;Events!K148))</x:f>
      </x:c>
      <x:c r="Q149" s="16" t="str">
        <x:f>IF(A149="","",LOWER(Events!C148&amp;" "&amp;Events!K148&amp;" "&amp;Events!T148))</x:f>
      </x:c>
      <x:c r="R149" s="16" t="str">
        <x:f>IF(A149="","",IF(ISNUMBER(SEARCH("Occurrence verified",E149)),"Occurrence verified",E149))</x:f>
      </x:c>
      <x:c r="S149" s="79" t="str">
        <x:f>IF(A149="","",Events!X148)</x:f>
      </x:c>
      <x:c r="Z149" s="79" t="str">
        <x:f>IF(A149="","",Events!AD148)</x:f>
      </x:c>
      <x:c r="AA149" s="79" t="str">
        <x:f>IF(A149="","",Events!AE148)</x:f>
      </x:c>
    </x:row>
    <x:row r="150">
      <x:c r="A150" s="16" t="str">
        <x:f>IF(Events!A149="","",Events!A149)</x:f>
      </x:c>
      <x:c r="B150" s="16" t="str">
        <x:f>IF(A150="","",Events!B149)</x:f>
      </x:c>
      <x:c r="C150" s="16" t="str">
        <x:f>IF(A150="","",Events!E149)</x:f>
      </x:c>
      <x:c r="D150" s="16" t="str">
        <x:f>IF(A150="","",Events!J149)</x:f>
      </x:c>
      <x:c r="E150" s="16" t="str">
        <x:f>IF(A150="","",Events!N149)</x:f>
      </x:c>
      <x:c r="F150" s="109" t="str">
        <x:f>IF(OR(A150="",Events!H149=""),"",Events!H149)</x:f>
      </x:c>
      <x:c r="G150" s="109" t="str">
        <x:f>IF(A150="","",IF(Events!I149&lt;&gt;"",Events!I149,IF(Events!S149&lt;&gt;"",Events!S149,"")))</x:f>
      </x:c>
      <x:c r="H150" s="16" t="str">
        <x:f>IF(A150="","",Events!W149)</x:f>
      </x:c>
      <x:c r="I150" s="16" t="str">
        <x:f>IF(A150="","",IF(Events!Y149&lt;&gt;"",Events!Y149,IF(OR(ISNUMBER(SEARCH("education",P150)),ISNUMBER(SEARCH("exam",P150)),ISNUMBER(SEARCH("school",P150))),"Education",IF(OR(ISNUMBER(SEARCH("trade agreement",P150)),ISNUMBER(SEARCH("economic",P150)),ISNUMBER(SEARCH("import",P150))),"Trade &amp; economic policy",IF(OR(ISNUMBER(SEARCH("land acquisition",P150)),ISNUMBER(SEARCH("rehabilitation",P150)),ISNUMBER(SEARCH("displacement",P150)),ISNUMBER(SEARCH("township",P150))),"Land &amp; rehabilitation",IF(OR(ISNUMBER(SEARCH("forest",P150)),ISNUMBER(SEARCH("environment",P150)),ISNUMBER(SEARCH("ecological",P150)),ISNUMBER(SEARCH("biodiversity",P150)),ISNUMBER(SEARCH("green cover",P150))),"Environment",IF(OR(ISNUMBER(SEARCH("irrigation",P150)),ISNUMBER(SEARCH("water",P150)),ISNUMBER(SEARCH("crop",P150)),ISNUMBER(SEARCH("farmer",P150)),ISNUMBER(SEARCH("agriculture",P150))),"Agriculture &amp; water",IF(OR(ISNUMBER(SEARCH("health",P150)),ISNUMBER(SEARCH("hospital",P150)),ISNUMBER(SEARCH("medicine",P150))),"Public health",IF(OR(ISNUMBER(SEARCH("employee",P150)),ISNUMBER(SEARCH("labour",P150)),ISNUMBER(SEARCH("worker",P150)),ISNUMBER(SEARCH("salary",P150))),"Labour &amp; employment",IF(OR(ISNUMBER(SEARCH("rti",P150)),ISNUMBER(SEARCH("transparency",P150)),ISNUMBER(SEARCH("corruption",P150)),ISNUMBER(SEARCH("governance",P150))),"Governance &amp; transparency",IF(OR(ISNUMBER(SEARCH("police",P150)),ISNUMBER(SEARCH("detention",P150)),ISNUMBER(SEARCH("civil rights",P150)),ISNUMBER(SEARCH("justice",P150))),"Civil rights &amp; justice",IF(OR(ISNUMBER(SEARCH("road",P150)),ISNUMBER(SEARCH("utility",P150)),ISNUMBER(SEARCH("infrastructure",P150)),ISNUMBER(SEARCH("public service",P150))),"Infrastructure &amp; public services","Other"))))))))))))</x:f>
      </x:c>
      <x:c r="J150" s="16" t="str">
        <x:f>IF(A150="","",IF(OR(ISNUMBER(SEARCH("fatal",Q150)),ISNUMBER(SEARCH("death",Q150)),ISNUMBER(SEARCH("riot",Q150)),ISNUMBER(SEARCH("curfew",Q150)),ISNUMBER(SEARCH("internet shutdown",Q150))),5,MIN(4,1+IF(H150&gt;=7,1,0)+IF(OR(ISNUMBER(SEARCH("hunger strike",Q150)),ISNUMBER(SEARCH("blockade",Q150)),ISNUMBER(SEARCH("strike",Q150)),ISNUMBER(SEARCH("jal satyagraha",Q150)),ISNUMBER(SEARCH("survey",Q150)),ISNUMBER(SEARCH("human chain",Q150)),ISNUMBER(SEARCH("march",Q150))),1,0)+IF(OR(ISNUMBER(SEARCH("fir",Q150)),ISNUMBER(SEARCH("confrontation",Q150)),ISNUMBER(SEARCH("violence",Q150)),ISNUMBER(SEARCH("detention",Q150)),ISNUMBER(SEARCH("arrest",Q150)),ISNUMBER(SEARCH("demolition",Q150)),ISNUMBER(SEARCH("injury",Q150))),1,0)+IF(OR(D150="Ongoing",D150="Unresolved"),1,0))))</x:f>
      </x:c>
      <x:c r="K150" s="16" t="str">
        <x:f>IF(J150="","",IF(J150=1,"Limited",IF(J150=2,"Local",IF(J150=3,"Significant",IF(J150=4,"High","Critical")))))</x:f>
      </x:c>
      <x:c r="L150" s="16" t="str">
        <x:f>IF(A150="","",Events!U149)</x:f>
      </x:c>
      <x:c r="M150" s="16" t="str">
        <x:f>IF(A150="","",Events!V149)</x:f>
      </x:c>
      <x:c r="N150" s="16" t="str">
        <x:f>IF(A150="","",Events!Q149)</x:f>
      </x:c>
      <x:c r="O150" s="16" t="str">
        <x:f>IF(A150="","",Events!R149)</x:f>
      </x:c>
      <x:c r="P150" s="16" t="str">
        <x:f>IF(A150="","",LOWER(Events!B149&amp;" "&amp;Events!D149&amp;" "&amp;Events!K149))</x:f>
      </x:c>
      <x:c r="Q150" s="16" t="str">
        <x:f>IF(A150="","",LOWER(Events!C149&amp;" "&amp;Events!K149&amp;" "&amp;Events!T149))</x:f>
      </x:c>
      <x:c r="R150" s="16" t="str">
        <x:f>IF(A150="","",IF(ISNUMBER(SEARCH("Occurrence verified",E150)),"Occurrence verified",E150))</x:f>
      </x:c>
      <x:c r="S150" s="79" t="str">
        <x:f>IF(A150="","",Events!X149)</x:f>
      </x:c>
      <x:c r="Z150" s="79" t="str">
        <x:f>IF(A150="","",Events!AD149)</x:f>
      </x:c>
      <x:c r="AA150" s="79" t="str">
        <x:f>IF(A150="","",Events!AE149)</x:f>
      </x:c>
    </x:row>
    <x:row r="151">
      <x:c r="A151" s="16" t="str">
        <x:f>IF(Events!A150="","",Events!A150)</x:f>
      </x:c>
      <x:c r="B151" s="16" t="str">
        <x:f>IF(A151="","",Events!B150)</x:f>
      </x:c>
      <x:c r="C151" s="16" t="str">
        <x:f>IF(A151="","",Events!E150)</x:f>
      </x:c>
      <x:c r="D151" s="16" t="str">
        <x:f>IF(A151="","",Events!J150)</x:f>
      </x:c>
      <x:c r="E151" s="16" t="str">
        <x:f>IF(A151="","",Events!N150)</x:f>
      </x:c>
      <x:c r="F151" s="109" t="str">
        <x:f>IF(OR(A151="",Events!H150=""),"",Events!H150)</x:f>
      </x:c>
      <x:c r="G151" s="109" t="str">
        <x:f>IF(A151="","",IF(Events!I150&lt;&gt;"",Events!I150,IF(Events!S150&lt;&gt;"",Events!S150,"")))</x:f>
      </x:c>
      <x:c r="H151" s="16" t="str">
        <x:f>IF(A151="","",Events!W150)</x:f>
      </x:c>
      <x:c r="I151" s="16" t="str">
        <x:f>IF(A151="","",IF(Events!Y150&lt;&gt;"",Events!Y150,IF(OR(ISNUMBER(SEARCH("education",P151)),ISNUMBER(SEARCH("exam",P151)),ISNUMBER(SEARCH("school",P151))),"Education",IF(OR(ISNUMBER(SEARCH("trade agreement",P151)),ISNUMBER(SEARCH("economic",P151)),ISNUMBER(SEARCH("import",P151))),"Trade &amp; economic policy",IF(OR(ISNUMBER(SEARCH("land acquisition",P151)),ISNUMBER(SEARCH("rehabilitation",P151)),ISNUMBER(SEARCH("displacement",P151)),ISNUMBER(SEARCH("township",P151))),"Land &amp; rehabilitation",IF(OR(ISNUMBER(SEARCH("forest",P151)),ISNUMBER(SEARCH("environment",P151)),ISNUMBER(SEARCH("ecological",P151)),ISNUMBER(SEARCH("biodiversity",P151)),ISNUMBER(SEARCH("green cover",P151))),"Environment",IF(OR(ISNUMBER(SEARCH("irrigation",P151)),ISNUMBER(SEARCH("water",P151)),ISNUMBER(SEARCH("crop",P151)),ISNUMBER(SEARCH("farmer",P151)),ISNUMBER(SEARCH("agriculture",P151))),"Agriculture &amp; water",IF(OR(ISNUMBER(SEARCH("health",P151)),ISNUMBER(SEARCH("hospital",P151)),ISNUMBER(SEARCH("medicine",P151))),"Public health",IF(OR(ISNUMBER(SEARCH("employee",P151)),ISNUMBER(SEARCH("labour",P151)),ISNUMBER(SEARCH("worker",P151)),ISNUMBER(SEARCH("salary",P151))),"Labour &amp; employment",IF(OR(ISNUMBER(SEARCH("rti",P151)),ISNUMBER(SEARCH("transparency",P151)),ISNUMBER(SEARCH("corruption",P151)),ISNUMBER(SEARCH("governance",P151))),"Governance &amp; transparency",IF(OR(ISNUMBER(SEARCH("police",P151)),ISNUMBER(SEARCH("detention",P151)),ISNUMBER(SEARCH("civil rights",P151)),ISNUMBER(SEARCH("justice",P151))),"Civil rights &amp; justice",IF(OR(ISNUMBER(SEARCH("road",P151)),ISNUMBER(SEARCH("utility",P151)),ISNUMBER(SEARCH("infrastructure",P151)),ISNUMBER(SEARCH("public service",P151))),"Infrastructure &amp; public services","Other"))))))))))))</x:f>
      </x:c>
      <x:c r="J151" s="16" t="str">
        <x:f>IF(A151="","",IF(OR(ISNUMBER(SEARCH("fatal",Q151)),ISNUMBER(SEARCH("death",Q151)),ISNUMBER(SEARCH("riot",Q151)),ISNUMBER(SEARCH("curfew",Q151)),ISNUMBER(SEARCH("internet shutdown",Q151))),5,MIN(4,1+IF(H151&gt;=7,1,0)+IF(OR(ISNUMBER(SEARCH("hunger strike",Q151)),ISNUMBER(SEARCH("blockade",Q151)),ISNUMBER(SEARCH("strike",Q151)),ISNUMBER(SEARCH("jal satyagraha",Q151)),ISNUMBER(SEARCH("survey",Q151)),ISNUMBER(SEARCH("human chain",Q151)),ISNUMBER(SEARCH("march",Q151))),1,0)+IF(OR(ISNUMBER(SEARCH("fir",Q151)),ISNUMBER(SEARCH("confrontation",Q151)),ISNUMBER(SEARCH("violence",Q151)),ISNUMBER(SEARCH("detention",Q151)),ISNUMBER(SEARCH("arrest",Q151)),ISNUMBER(SEARCH("demolition",Q151)),ISNUMBER(SEARCH("injury",Q151))),1,0)+IF(OR(D151="Ongoing",D151="Unresolved"),1,0))))</x:f>
      </x:c>
      <x:c r="K151" s="16" t="str">
        <x:f>IF(J151="","",IF(J151=1,"Limited",IF(J151=2,"Local",IF(J151=3,"Significant",IF(J151=4,"High","Critical")))))</x:f>
      </x:c>
      <x:c r="L151" s="16" t="str">
        <x:f>IF(A151="","",Events!U150)</x:f>
      </x:c>
      <x:c r="M151" s="16" t="str">
        <x:f>IF(A151="","",Events!V150)</x:f>
      </x:c>
      <x:c r="N151" s="16" t="str">
        <x:f>IF(A151="","",Events!Q150)</x:f>
      </x:c>
      <x:c r="O151" s="16" t="str">
        <x:f>IF(A151="","",Events!R150)</x:f>
      </x:c>
      <x:c r="P151" s="16" t="str">
        <x:f>IF(A151="","",LOWER(Events!B150&amp;" "&amp;Events!D150&amp;" "&amp;Events!K150))</x:f>
      </x:c>
      <x:c r="Q151" s="16" t="str">
        <x:f>IF(A151="","",LOWER(Events!C150&amp;" "&amp;Events!K150&amp;" "&amp;Events!T150))</x:f>
      </x:c>
      <x:c r="R151" s="16" t="str">
        <x:f>IF(A151="","",IF(ISNUMBER(SEARCH("Occurrence verified",E151)),"Occurrence verified",E151))</x:f>
      </x:c>
      <x:c r="S151" s="79" t="str">
        <x:f>IF(A151="","",Events!X150)</x:f>
      </x:c>
      <x:c r="Z151" s="79" t="str">
        <x:f>IF(A151="","",Events!AD150)</x:f>
      </x:c>
      <x:c r="AA151" s="79" t="str">
        <x:f>IF(A151="","",Events!AE150)</x:f>
      </x:c>
    </x:row>
    <x:row r="152">
      <x:c r="A152" s="16" t="str">
        <x:f>IF(Events!A151="","",Events!A151)</x:f>
      </x:c>
      <x:c r="B152" s="16" t="str">
        <x:f>IF(A152="","",Events!B151)</x:f>
      </x:c>
      <x:c r="C152" s="16" t="str">
        <x:f>IF(A152="","",Events!E151)</x:f>
      </x:c>
      <x:c r="D152" s="16" t="str">
        <x:f>IF(A152="","",Events!J151)</x:f>
      </x:c>
      <x:c r="E152" s="16" t="str">
        <x:f>IF(A152="","",Events!N151)</x:f>
      </x:c>
      <x:c r="F152" s="109" t="str">
        <x:f>IF(OR(A152="",Events!H151=""),"",Events!H151)</x:f>
      </x:c>
      <x:c r="G152" s="109" t="str">
        <x:f>IF(A152="","",IF(Events!I151&lt;&gt;"",Events!I151,IF(Events!S151&lt;&gt;"",Events!S151,"")))</x:f>
      </x:c>
      <x:c r="H152" s="16" t="str">
        <x:f>IF(A152="","",Events!W151)</x:f>
      </x:c>
      <x:c r="I152" s="16" t="str">
        <x:f>IF(A152="","",IF(Events!Y151&lt;&gt;"",Events!Y151,IF(OR(ISNUMBER(SEARCH("education",P152)),ISNUMBER(SEARCH("exam",P152)),ISNUMBER(SEARCH("school",P152))),"Education",IF(OR(ISNUMBER(SEARCH("trade agreement",P152)),ISNUMBER(SEARCH("economic",P152)),ISNUMBER(SEARCH("import",P152))),"Trade &amp; economic policy",IF(OR(ISNUMBER(SEARCH("land acquisition",P152)),ISNUMBER(SEARCH("rehabilitation",P152)),ISNUMBER(SEARCH("displacement",P152)),ISNUMBER(SEARCH("township",P152))),"Land &amp; rehabilitation",IF(OR(ISNUMBER(SEARCH("forest",P152)),ISNUMBER(SEARCH("environment",P152)),ISNUMBER(SEARCH("ecological",P152)),ISNUMBER(SEARCH("biodiversity",P152)),ISNUMBER(SEARCH("green cover",P152))),"Environment",IF(OR(ISNUMBER(SEARCH("irrigation",P152)),ISNUMBER(SEARCH("water",P152)),ISNUMBER(SEARCH("crop",P152)),ISNUMBER(SEARCH("farmer",P152)),ISNUMBER(SEARCH("agriculture",P152))),"Agriculture &amp; water",IF(OR(ISNUMBER(SEARCH("health",P152)),ISNUMBER(SEARCH("hospital",P152)),ISNUMBER(SEARCH("medicine",P152))),"Public health",IF(OR(ISNUMBER(SEARCH("employee",P152)),ISNUMBER(SEARCH("labour",P152)),ISNUMBER(SEARCH("worker",P152)),ISNUMBER(SEARCH("salary",P152))),"Labour &amp; employment",IF(OR(ISNUMBER(SEARCH("rti",P152)),ISNUMBER(SEARCH("transparency",P152)),ISNUMBER(SEARCH("corruption",P152)),ISNUMBER(SEARCH("governance",P152))),"Governance &amp; transparency",IF(OR(ISNUMBER(SEARCH("police",P152)),ISNUMBER(SEARCH("detention",P152)),ISNUMBER(SEARCH("civil rights",P152)),ISNUMBER(SEARCH("justice",P152))),"Civil rights &amp; justice",IF(OR(ISNUMBER(SEARCH("road",P152)),ISNUMBER(SEARCH("utility",P152)),ISNUMBER(SEARCH("infrastructure",P152)),ISNUMBER(SEARCH("public service",P152))),"Infrastructure &amp; public services","Other"))))))))))))</x:f>
      </x:c>
      <x:c r="J152" s="16" t="str">
        <x:f>IF(A152="","",IF(OR(ISNUMBER(SEARCH("fatal",Q152)),ISNUMBER(SEARCH("death",Q152)),ISNUMBER(SEARCH("riot",Q152)),ISNUMBER(SEARCH("curfew",Q152)),ISNUMBER(SEARCH("internet shutdown",Q152))),5,MIN(4,1+IF(H152&gt;=7,1,0)+IF(OR(ISNUMBER(SEARCH("hunger strike",Q152)),ISNUMBER(SEARCH("blockade",Q152)),ISNUMBER(SEARCH("strike",Q152)),ISNUMBER(SEARCH("jal satyagraha",Q152)),ISNUMBER(SEARCH("survey",Q152)),ISNUMBER(SEARCH("human chain",Q152)),ISNUMBER(SEARCH("march",Q152))),1,0)+IF(OR(ISNUMBER(SEARCH("fir",Q152)),ISNUMBER(SEARCH("confrontation",Q152)),ISNUMBER(SEARCH("violence",Q152)),ISNUMBER(SEARCH("detention",Q152)),ISNUMBER(SEARCH("arrest",Q152)),ISNUMBER(SEARCH("demolition",Q152)),ISNUMBER(SEARCH("injury",Q152))),1,0)+IF(OR(D152="Ongoing",D152="Unresolved"),1,0))))</x:f>
      </x:c>
      <x:c r="K152" s="16" t="str">
        <x:f>IF(J152="","",IF(J152=1,"Limited",IF(J152=2,"Local",IF(J152=3,"Significant",IF(J152=4,"High","Critical")))))</x:f>
      </x:c>
      <x:c r="L152" s="16" t="str">
        <x:f>IF(A152="","",Events!U151)</x:f>
      </x:c>
      <x:c r="M152" s="16" t="str">
        <x:f>IF(A152="","",Events!V151)</x:f>
      </x:c>
      <x:c r="N152" s="16" t="str">
        <x:f>IF(A152="","",Events!Q151)</x:f>
      </x:c>
      <x:c r="O152" s="16" t="str">
        <x:f>IF(A152="","",Events!R151)</x:f>
      </x:c>
      <x:c r="P152" s="16" t="str">
        <x:f>IF(A152="","",LOWER(Events!B151&amp;" "&amp;Events!D151&amp;" "&amp;Events!K151))</x:f>
      </x:c>
      <x:c r="Q152" s="16" t="str">
        <x:f>IF(A152="","",LOWER(Events!C151&amp;" "&amp;Events!K151&amp;" "&amp;Events!T151))</x:f>
      </x:c>
      <x:c r="R152" s="16" t="str">
        <x:f>IF(A152="","",IF(ISNUMBER(SEARCH("Occurrence verified",E152)),"Occurrence verified",E152))</x:f>
      </x:c>
      <x:c r="S152" s="79" t="str">
        <x:f>IF(A152="","",Events!X151)</x:f>
      </x:c>
      <x:c r="Z152" s="79" t="str">
        <x:f>IF(A152="","",Events!AD151)</x:f>
      </x:c>
      <x:c r="AA152" s="79" t="str">
        <x:f>IF(A152="","",Events!AE151)</x:f>
      </x:c>
    </x:row>
    <x:row r="153">
      <x:c r="A153" s="16" t="str">
        <x:f>IF(Events!A152="","",Events!A152)</x:f>
      </x:c>
      <x:c r="B153" s="16" t="str">
        <x:f>IF(A153="","",Events!B152)</x:f>
      </x:c>
      <x:c r="C153" s="16" t="str">
        <x:f>IF(A153="","",Events!E152)</x:f>
      </x:c>
      <x:c r="D153" s="16" t="str">
        <x:f>IF(A153="","",Events!J152)</x:f>
      </x:c>
      <x:c r="E153" s="16" t="str">
        <x:f>IF(A153="","",Events!N152)</x:f>
      </x:c>
      <x:c r="F153" s="109" t="str">
        <x:f>IF(OR(A153="",Events!H152=""),"",Events!H152)</x:f>
      </x:c>
      <x:c r="G153" s="109" t="str">
        <x:f>IF(A153="","",IF(Events!I152&lt;&gt;"",Events!I152,IF(Events!S152&lt;&gt;"",Events!S152,"")))</x:f>
      </x:c>
      <x:c r="H153" s="16" t="str">
        <x:f>IF(A153="","",Events!W152)</x:f>
      </x:c>
      <x:c r="I153" s="16" t="str">
        <x:f>IF(A153="","",IF(Events!Y152&lt;&gt;"",Events!Y152,IF(OR(ISNUMBER(SEARCH("education",P153)),ISNUMBER(SEARCH("exam",P153)),ISNUMBER(SEARCH("school",P153))),"Education",IF(OR(ISNUMBER(SEARCH("trade agreement",P153)),ISNUMBER(SEARCH("economic",P153)),ISNUMBER(SEARCH("import",P153))),"Trade &amp; economic policy",IF(OR(ISNUMBER(SEARCH("land acquisition",P153)),ISNUMBER(SEARCH("rehabilitation",P153)),ISNUMBER(SEARCH("displacement",P153)),ISNUMBER(SEARCH("township",P153))),"Land &amp; rehabilitation",IF(OR(ISNUMBER(SEARCH("forest",P153)),ISNUMBER(SEARCH("environment",P153)),ISNUMBER(SEARCH("ecological",P153)),ISNUMBER(SEARCH("biodiversity",P153)),ISNUMBER(SEARCH("green cover",P153))),"Environment",IF(OR(ISNUMBER(SEARCH("irrigation",P153)),ISNUMBER(SEARCH("water",P153)),ISNUMBER(SEARCH("crop",P153)),ISNUMBER(SEARCH("farmer",P153)),ISNUMBER(SEARCH("agriculture",P153))),"Agriculture &amp; water",IF(OR(ISNUMBER(SEARCH("health",P153)),ISNUMBER(SEARCH("hospital",P153)),ISNUMBER(SEARCH("medicine",P153))),"Public health",IF(OR(ISNUMBER(SEARCH("employee",P153)),ISNUMBER(SEARCH("labour",P153)),ISNUMBER(SEARCH("worker",P153)),ISNUMBER(SEARCH("salary",P153))),"Labour &amp; employment",IF(OR(ISNUMBER(SEARCH("rti",P153)),ISNUMBER(SEARCH("transparency",P153)),ISNUMBER(SEARCH("corruption",P153)),ISNUMBER(SEARCH("governance",P153))),"Governance &amp; transparency",IF(OR(ISNUMBER(SEARCH("police",P153)),ISNUMBER(SEARCH("detention",P153)),ISNUMBER(SEARCH("civil rights",P153)),ISNUMBER(SEARCH("justice",P153))),"Civil rights &amp; justice",IF(OR(ISNUMBER(SEARCH("road",P153)),ISNUMBER(SEARCH("utility",P153)),ISNUMBER(SEARCH("infrastructure",P153)),ISNUMBER(SEARCH("public service",P153))),"Infrastructure &amp; public services","Other"))))))))))))</x:f>
      </x:c>
      <x:c r="J153" s="16" t="str">
        <x:f>IF(A153="","",IF(OR(ISNUMBER(SEARCH("fatal",Q153)),ISNUMBER(SEARCH("death",Q153)),ISNUMBER(SEARCH("riot",Q153)),ISNUMBER(SEARCH("curfew",Q153)),ISNUMBER(SEARCH("internet shutdown",Q153))),5,MIN(4,1+IF(H153&gt;=7,1,0)+IF(OR(ISNUMBER(SEARCH("hunger strike",Q153)),ISNUMBER(SEARCH("blockade",Q153)),ISNUMBER(SEARCH("strike",Q153)),ISNUMBER(SEARCH("jal satyagraha",Q153)),ISNUMBER(SEARCH("survey",Q153)),ISNUMBER(SEARCH("human chain",Q153)),ISNUMBER(SEARCH("march",Q153))),1,0)+IF(OR(ISNUMBER(SEARCH("fir",Q153)),ISNUMBER(SEARCH("confrontation",Q153)),ISNUMBER(SEARCH("violence",Q153)),ISNUMBER(SEARCH("detention",Q153)),ISNUMBER(SEARCH("arrest",Q153)),ISNUMBER(SEARCH("demolition",Q153)),ISNUMBER(SEARCH("injury",Q153))),1,0)+IF(OR(D153="Ongoing",D153="Unresolved"),1,0))))</x:f>
      </x:c>
      <x:c r="K153" s="16" t="str">
        <x:f>IF(J153="","",IF(J153=1,"Limited",IF(J153=2,"Local",IF(J153=3,"Significant",IF(J153=4,"High","Critical")))))</x:f>
      </x:c>
      <x:c r="L153" s="16" t="str">
        <x:f>IF(A153="","",Events!U152)</x:f>
      </x:c>
      <x:c r="M153" s="16" t="str">
        <x:f>IF(A153="","",Events!V152)</x:f>
      </x:c>
      <x:c r="N153" s="16" t="str">
        <x:f>IF(A153="","",Events!Q152)</x:f>
      </x:c>
      <x:c r="O153" s="16" t="str">
        <x:f>IF(A153="","",Events!R152)</x:f>
      </x:c>
      <x:c r="P153" s="16" t="str">
        <x:f>IF(A153="","",LOWER(Events!B152&amp;" "&amp;Events!D152&amp;" "&amp;Events!K152))</x:f>
      </x:c>
      <x:c r="Q153" s="16" t="str">
        <x:f>IF(A153="","",LOWER(Events!C152&amp;" "&amp;Events!K152&amp;" "&amp;Events!T152))</x:f>
      </x:c>
      <x:c r="R153" s="16" t="str">
        <x:f>IF(A153="","",IF(ISNUMBER(SEARCH("Occurrence verified",E153)),"Occurrence verified",E153))</x:f>
      </x:c>
      <x:c r="S153" s="79" t="str">
        <x:f>IF(A153="","",Events!X152)</x:f>
      </x:c>
      <x:c r="Z153" s="79" t="str">
        <x:f>IF(A153="","",Events!AD152)</x:f>
      </x:c>
      <x:c r="AA153" s="79" t="str">
        <x:f>IF(A153="","",Events!AE152)</x:f>
      </x:c>
    </x:row>
    <x:row r="154">
      <x:c r="A154" s="16" t="str">
        <x:f>IF(Events!A153="","",Events!A153)</x:f>
      </x:c>
      <x:c r="B154" s="16" t="str">
        <x:f>IF(A154="","",Events!B153)</x:f>
      </x:c>
      <x:c r="C154" s="16" t="str">
        <x:f>IF(A154="","",Events!E153)</x:f>
      </x:c>
      <x:c r="D154" s="16" t="str">
        <x:f>IF(A154="","",Events!J153)</x:f>
      </x:c>
      <x:c r="E154" s="16" t="str">
        <x:f>IF(A154="","",Events!N153)</x:f>
      </x:c>
      <x:c r="F154" s="109" t="str">
        <x:f>IF(OR(A154="",Events!H153=""),"",Events!H153)</x:f>
      </x:c>
      <x:c r="G154" s="109" t="str">
        <x:f>IF(A154="","",IF(Events!I153&lt;&gt;"",Events!I153,IF(Events!S153&lt;&gt;"",Events!S153,"")))</x:f>
      </x:c>
      <x:c r="H154" s="16" t="str">
        <x:f>IF(A154="","",Events!W153)</x:f>
      </x:c>
      <x:c r="I154" s="16" t="str">
        <x:f>IF(A154="","",IF(Events!Y153&lt;&gt;"",Events!Y153,IF(OR(ISNUMBER(SEARCH("education",P154)),ISNUMBER(SEARCH("exam",P154)),ISNUMBER(SEARCH("school",P154))),"Education",IF(OR(ISNUMBER(SEARCH("trade agreement",P154)),ISNUMBER(SEARCH("economic",P154)),ISNUMBER(SEARCH("import",P154))),"Trade &amp; economic policy",IF(OR(ISNUMBER(SEARCH("land acquisition",P154)),ISNUMBER(SEARCH("rehabilitation",P154)),ISNUMBER(SEARCH("displacement",P154)),ISNUMBER(SEARCH("township",P154))),"Land &amp; rehabilitation",IF(OR(ISNUMBER(SEARCH("forest",P154)),ISNUMBER(SEARCH("environment",P154)),ISNUMBER(SEARCH("ecological",P154)),ISNUMBER(SEARCH("biodiversity",P154)),ISNUMBER(SEARCH("green cover",P154))),"Environment",IF(OR(ISNUMBER(SEARCH("irrigation",P154)),ISNUMBER(SEARCH("water",P154)),ISNUMBER(SEARCH("crop",P154)),ISNUMBER(SEARCH("farmer",P154)),ISNUMBER(SEARCH("agriculture",P154))),"Agriculture &amp; water",IF(OR(ISNUMBER(SEARCH("health",P154)),ISNUMBER(SEARCH("hospital",P154)),ISNUMBER(SEARCH("medicine",P154))),"Public health",IF(OR(ISNUMBER(SEARCH("employee",P154)),ISNUMBER(SEARCH("labour",P154)),ISNUMBER(SEARCH("worker",P154)),ISNUMBER(SEARCH("salary",P154))),"Labour &amp; employment",IF(OR(ISNUMBER(SEARCH("rti",P154)),ISNUMBER(SEARCH("transparency",P154)),ISNUMBER(SEARCH("corruption",P154)),ISNUMBER(SEARCH("governance",P154))),"Governance &amp; transparency",IF(OR(ISNUMBER(SEARCH("police",P154)),ISNUMBER(SEARCH("detention",P154)),ISNUMBER(SEARCH("civil rights",P154)),ISNUMBER(SEARCH("justice",P154))),"Civil rights &amp; justice",IF(OR(ISNUMBER(SEARCH("road",P154)),ISNUMBER(SEARCH("utility",P154)),ISNUMBER(SEARCH("infrastructure",P154)),ISNUMBER(SEARCH("public service",P154))),"Infrastructure &amp; public services","Other"))))))))))))</x:f>
      </x:c>
      <x:c r="J154" s="16" t="str">
        <x:f>IF(A154="","",IF(OR(ISNUMBER(SEARCH("fatal",Q154)),ISNUMBER(SEARCH("death",Q154)),ISNUMBER(SEARCH("riot",Q154)),ISNUMBER(SEARCH("curfew",Q154)),ISNUMBER(SEARCH("internet shutdown",Q154))),5,MIN(4,1+IF(H154&gt;=7,1,0)+IF(OR(ISNUMBER(SEARCH("hunger strike",Q154)),ISNUMBER(SEARCH("blockade",Q154)),ISNUMBER(SEARCH("strike",Q154)),ISNUMBER(SEARCH("jal satyagraha",Q154)),ISNUMBER(SEARCH("survey",Q154)),ISNUMBER(SEARCH("human chain",Q154)),ISNUMBER(SEARCH("march",Q154))),1,0)+IF(OR(ISNUMBER(SEARCH("fir",Q154)),ISNUMBER(SEARCH("confrontation",Q154)),ISNUMBER(SEARCH("violence",Q154)),ISNUMBER(SEARCH("detention",Q154)),ISNUMBER(SEARCH("arrest",Q154)),ISNUMBER(SEARCH("demolition",Q154)),ISNUMBER(SEARCH("injury",Q154))),1,0)+IF(OR(D154="Ongoing",D154="Unresolved"),1,0))))</x:f>
      </x:c>
      <x:c r="K154" s="16" t="str">
        <x:f>IF(J154="","",IF(J154=1,"Limited",IF(J154=2,"Local",IF(J154=3,"Significant",IF(J154=4,"High","Critical")))))</x:f>
      </x:c>
      <x:c r="L154" s="16" t="str">
        <x:f>IF(A154="","",Events!U153)</x:f>
      </x:c>
      <x:c r="M154" s="16" t="str">
        <x:f>IF(A154="","",Events!V153)</x:f>
      </x:c>
      <x:c r="N154" s="16" t="str">
        <x:f>IF(A154="","",Events!Q153)</x:f>
      </x:c>
      <x:c r="O154" s="16" t="str">
        <x:f>IF(A154="","",Events!R153)</x:f>
      </x:c>
      <x:c r="P154" s="16" t="str">
        <x:f>IF(A154="","",LOWER(Events!B153&amp;" "&amp;Events!D153&amp;" "&amp;Events!K153))</x:f>
      </x:c>
      <x:c r="Q154" s="16" t="str">
        <x:f>IF(A154="","",LOWER(Events!C153&amp;" "&amp;Events!K153&amp;" "&amp;Events!T153))</x:f>
      </x:c>
      <x:c r="R154" s="16" t="str">
        <x:f>IF(A154="","",IF(ISNUMBER(SEARCH("Occurrence verified",E154)),"Occurrence verified",E154))</x:f>
      </x:c>
      <x:c r="S154" s="79" t="str">
        <x:f>IF(A154="","",Events!X153)</x:f>
      </x:c>
      <x:c r="Z154" s="79" t="str">
        <x:f>IF(A154="","",Events!AD153)</x:f>
      </x:c>
      <x:c r="AA154" s="79" t="str">
        <x:f>IF(A154="","",Events!AE153)</x:f>
      </x:c>
    </x:row>
    <x:row r="155">
      <x:c r="A155" s="16" t="str">
        <x:f>IF(Events!A154="","",Events!A154)</x:f>
      </x:c>
      <x:c r="B155" s="16" t="str">
        <x:f>IF(A155="","",Events!B154)</x:f>
      </x:c>
      <x:c r="C155" s="16" t="str">
        <x:f>IF(A155="","",Events!E154)</x:f>
      </x:c>
      <x:c r="D155" s="16" t="str">
        <x:f>IF(A155="","",Events!J154)</x:f>
      </x:c>
      <x:c r="E155" s="16" t="str">
        <x:f>IF(A155="","",Events!N154)</x:f>
      </x:c>
      <x:c r="F155" s="109" t="str">
        <x:f>IF(OR(A155="",Events!H154=""),"",Events!H154)</x:f>
      </x:c>
      <x:c r="G155" s="109" t="str">
        <x:f>IF(A155="","",IF(Events!I154&lt;&gt;"",Events!I154,IF(Events!S154&lt;&gt;"",Events!S154,"")))</x:f>
      </x:c>
      <x:c r="H155" s="16" t="str">
        <x:f>IF(A155="","",Events!W154)</x:f>
      </x:c>
      <x:c r="I155" s="16" t="str">
        <x:f>IF(A155="","",IF(Events!Y154&lt;&gt;"",Events!Y154,IF(OR(ISNUMBER(SEARCH("education",P155)),ISNUMBER(SEARCH("exam",P155)),ISNUMBER(SEARCH("school",P155))),"Education",IF(OR(ISNUMBER(SEARCH("trade agreement",P155)),ISNUMBER(SEARCH("economic",P155)),ISNUMBER(SEARCH("import",P155))),"Trade &amp; economic policy",IF(OR(ISNUMBER(SEARCH("land acquisition",P155)),ISNUMBER(SEARCH("rehabilitation",P155)),ISNUMBER(SEARCH("displacement",P155)),ISNUMBER(SEARCH("township",P155))),"Land &amp; rehabilitation",IF(OR(ISNUMBER(SEARCH("forest",P155)),ISNUMBER(SEARCH("environment",P155)),ISNUMBER(SEARCH("ecological",P155)),ISNUMBER(SEARCH("biodiversity",P155)),ISNUMBER(SEARCH("green cover",P155))),"Environment",IF(OR(ISNUMBER(SEARCH("irrigation",P155)),ISNUMBER(SEARCH("water",P155)),ISNUMBER(SEARCH("crop",P155)),ISNUMBER(SEARCH("farmer",P155)),ISNUMBER(SEARCH("agriculture",P155))),"Agriculture &amp; water",IF(OR(ISNUMBER(SEARCH("health",P155)),ISNUMBER(SEARCH("hospital",P155)),ISNUMBER(SEARCH("medicine",P155))),"Public health",IF(OR(ISNUMBER(SEARCH("employee",P155)),ISNUMBER(SEARCH("labour",P155)),ISNUMBER(SEARCH("worker",P155)),ISNUMBER(SEARCH("salary",P155))),"Labour &amp; employment",IF(OR(ISNUMBER(SEARCH("rti",P155)),ISNUMBER(SEARCH("transparency",P155)),ISNUMBER(SEARCH("corruption",P155)),ISNUMBER(SEARCH("governance",P155))),"Governance &amp; transparency",IF(OR(ISNUMBER(SEARCH("police",P155)),ISNUMBER(SEARCH("detention",P155)),ISNUMBER(SEARCH("civil rights",P155)),ISNUMBER(SEARCH("justice",P155))),"Civil rights &amp; justice",IF(OR(ISNUMBER(SEARCH("road",P155)),ISNUMBER(SEARCH("utility",P155)),ISNUMBER(SEARCH("infrastructure",P155)),ISNUMBER(SEARCH("public service",P155))),"Infrastructure &amp; public services","Other"))))))))))))</x:f>
      </x:c>
      <x:c r="J155" s="16" t="str">
        <x:f>IF(A155="","",IF(OR(ISNUMBER(SEARCH("fatal",Q155)),ISNUMBER(SEARCH("death",Q155)),ISNUMBER(SEARCH("riot",Q155)),ISNUMBER(SEARCH("curfew",Q155)),ISNUMBER(SEARCH("internet shutdown",Q155))),5,MIN(4,1+IF(H155&gt;=7,1,0)+IF(OR(ISNUMBER(SEARCH("hunger strike",Q155)),ISNUMBER(SEARCH("blockade",Q155)),ISNUMBER(SEARCH("strike",Q155)),ISNUMBER(SEARCH("jal satyagraha",Q155)),ISNUMBER(SEARCH("survey",Q155)),ISNUMBER(SEARCH("human chain",Q155)),ISNUMBER(SEARCH("march",Q155))),1,0)+IF(OR(ISNUMBER(SEARCH("fir",Q155)),ISNUMBER(SEARCH("confrontation",Q155)),ISNUMBER(SEARCH("violence",Q155)),ISNUMBER(SEARCH("detention",Q155)),ISNUMBER(SEARCH("arrest",Q155)),ISNUMBER(SEARCH("demolition",Q155)),ISNUMBER(SEARCH("injury",Q155))),1,0)+IF(OR(D155="Ongoing",D155="Unresolved"),1,0))))</x:f>
      </x:c>
      <x:c r="K155" s="16" t="str">
        <x:f>IF(J155="","",IF(J155=1,"Limited",IF(J155=2,"Local",IF(J155=3,"Significant",IF(J155=4,"High","Critical")))))</x:f>
      </x:c>
      <x:c r="L155" s="16" t="str">
        <x:f>IF(A155="","",Events!U154)</x:f>
      </x:c>
      <x:c r="M155" s="16" t="str">
        <x:f>IF(A155="","",Events!V154)</x:f>
      </x:c>
      <x:c r="N155" s="16" t="str">
        <x:f>IF(A155="","",Events!Q154)</x:f>
      </x:c>
      <x:c r="O155" s="16" t="str">
        <x:f>IF(A155="","",Events!R154)</x:f>
      </x:c>
      <x:c r="P155" s="16" t="str">
        <x:f>IF(A155="","",LOWER(Events!B154&amp;" "&amp;Events!D154&amp;" "&amp;Events!K154))</x:f>
      </x:c>
      <x:c r="Q155" s="16" t="str">
        <x:f>IF(A155="","",LOWER(Events!C154&amp;" "&amp;Events!K154&amp;" "&amp;Events!T154))</x:f>
      </x:c>
      <x:c r="R155" s="16" t="str">
        <x:f>IF(A155="","",IF(ISNUMBER(SEARCH("Occurrence verified",E155)),"Occurrence verified",E155))</x:f>
      </x:c>
      <x:c r="S155" s="79" t="str">
        <x:f>IF(A155="","",Events!X154)</x:f>
      </x:c>
      <x:c r="Z155" s="79" t="str">
        <x:f>IF(A155="","",Events!AD154)</x:f>
      </x:c>
      <x:c r="AA155" s="79" t="str">
        <x:f>IF(A155="","",Events!AE154)</x:f>
      </x:c>
    </x:row>
    <x:row r="156">
      <x:c r="A156" s="16" t="str">
        <x:f>IF(Events!A155="","",Events!A155)</x:f>
      </x:c>
      <x:c r="B156" s="16" t="str">
        <x:f>IF(A156="","",Events!B155)</x:f>
      </x:c>
      <x:c r="C156" s="16" t="str">
        <x:f>IF(A156="","",Events!E155)</x:f>
      </x:c>
      <x:c r="D156" s="16" t="str">
        <x:f>IF(A156="","",Events!J155)</x:f>
      </x:c>
      <x:c r="E156" s="16" t="str">
        <x:f>IF(A156="","",Events!N155)</x:f>
      </x:c>
      <x:c r="F156" s="109" t="str">
        <x:f>IF(OR(A156="",Events!H155=""),"",Events!H155)</x:f>
      </x:c>
      <x:c r="G156" s="109" t="str">
        <x:f>IF(A156="","",IF(Events!I155&lt;&gt;"",Events!I155,IF(Events!S155&lt;&gt;"",Events!S155,"")))</x:f>
      </x:c>
      <x:c r="H156" s="16" t="str">
        <x:f>IF(A156="","",Events!W155)</x:f>
      </x:c>
      <x:c r="I156" s="16" t="str">
        <x:f>IF(A156="","",IF(Events!Y155&lt;&gt;"",Events!Y155,IF(OR(ISNUMBER(SEARCH("education",P156)),ISNUMBER(SEARCH("exam",P156)),ISNUMBER(SEARCH("school",P156))),"Education",IF(OR(ISNUMBER(SEARCH("trade agreement",P156)),ISNUMBER(SEARCH("economic",P156)),ISNUMBER(SEARCH("import",P156))),"Trade &amp; economic policy",IF(OR(ISNUMBER(SEARCH("land acquisition",P156)),ISNUMBER(SEARCH("rehabilitation",P156)),ISNUMBER(SEARCH("displacement",P156)),ISNUMBER(SEARCH("township",P156))),"Land &amp; rehabilitation",IF(OR(ISNUMBER(SEARCH("forest",P156)),ISNUMBER(SEARCH("environment",P156)),ISNUMBER(SEARCH("ecological",P156)),ISNUMBER(SEARCH("biodiversity",P156)),ISNUMBER(SEARCH("green cover",P156))),"Environment",IF(OR(ISNUMBER(SEARCH("irrigation",P156)),ISNUMBER(SEARCH("water",P156)),ISNUMBER(SEARCH("crop",P156)),ISNUMBER(SEARCH("farmer",P156)),ISNUMBER(SEARCH("agriculture",P156))),"Agriculture &amp; water",IF(OR(ISNUMBER(SEARCH("health",P156)),ISNUMBER(SEARCH("hospital",P156)),ISNUMBER(SEARCH("medicine",P156))),"Public health",IF(OR(ISNUMBER(SEARCH("employee",P156)),ISNUMBER(SEARCH("labour",P156)),ISNUMBER(SEARCH("worker",P156)),ISNUMBER(SEARCH("salary",P156))),"Labour &amp; employment",IF(OR(ISNUMBER(SEARCH("rti",P156)),ISNUMBER(SEARCH("transparency",P156)),ISNUMBER(SEARCH("corruption",P156)),ISNUMBER(SEARCH("governance",P156))),"Governance &amp; transparency",IF(OR(ISNUMBER(SEARCH("police",P156)),ISNUMBER(SEARCH("detention",P156)),ISNUMBER(SEARCH("civil rights",P156)),ISNUMBER(SEARCH("justice",P156))),"Civil rights &amp; justice",IF(OR(ISNUMBER(SEARCH("road",P156)),ISNUMBER(SEARCH("utility",P156)),ISNUMBER(SEARCH("infrastructure",P156)),ISNUMBER(SEARCH("public service",P156))),"Infrastructure &amp; public services","Other"))))))))))))</x:f>
      </x:c>
      <x:c r="J156" s="16" t="str">
        <x:f>IF(A156="","",IF(OR(ISNUMBER(SEARCH("fatal",Q156)),ISNUMBER(SEARCH("death",Q156)),ISNUMBER(SEARCH("riot",Q156)),ISNUMBER(SEARCH("curfew",Q156)),ISNUMBER(SEARCH("internet shutdown",Q156))),5,MIN(4,1+IF(H156&gt;=7,1,0)+IF(OR(ISNUMBER(SEARCH("hunger strike",Q156)),ISNUMBER(SEARCH("blockade",Q156)),ISNUMBER(SEARCH("strike",Q156)),ISNUMBER(SEARCH("jal satyagraha",Q156)),ISNUMBER(SEARCH("survey",Q156)),ISNUMBER(SEARCH("human chain",Q156)),ISNUMBER(SEARCH("march",Q156))),1,0)+IF(OR(ISNUMBER(SEARCH("fir",Q156)),ISNUMBER(SEARCH("confrontation",Q156)),ISNUMBER(SEARCH("violence",Q156)),ISNUMBER(SEARCH("detention",Q156)),ISNUMBER(SEARCH("arrest",Q156)),ISNUMBER(SEARCH("demolition",Q156)),ISNUMBER(SEARCH("injury",Q156))),1,0)+IF(OR(D156="Ongoing",D156="Unresolved"),1,0))))</x:f>
      </x:c>
      <x:c r="K156" s="16" t="str">
        <x:f>IF(J156="","",IF(J156=1,"Limited",IF(J156=2,"Local",IF(J156=3,"Significant",IF(J156=4,"High","Critical")))))</x:f>
      </x:c>
      <x:c r="L156" s="16" t="str">
        <x:f>IF(A156="","",Events!U155)</x:f>
      </x:c>
      <x:c r="M156" s="16" t="str">
        <x:f>IF(A156="","",Events!V155)</x:f>
      </x:c>
      <x:c r="N156" s="16" t="str">
        <x:f>IF(A156="","",Events!Q155)</x:f>
      </x:c>
      <x:c r="O156" s="16" t="str">
        <x:f>IF(A156="","",Events!R155)</x:f>
      </x:c>
      <x:c r="P156" s="16" t="str">
        <x:f>IF(A156="","",LOWER(Events!B155&amp;" "&amp;Events!D155&amp;" "&amp;Events!K155))</x:f>
      </x:c>
      <x:c r="Q156" s="16" t="str">
        <x:f>IF(A156="","",LOWER(Events!C155&amp;" "&amp;Events!K155&amp;" "&amp;Events!T155))</x:f>
      </x:c>
      <x:c r="R156" s="16" t="str">
        <x:f>IF(A156="","",IF(ISNUMBER(SEARCH("Occurrence verified",E156)),"Occurrence verified",E156))</x:f>
      </x:c>
      <x:c r="S156" s="79" t="str">
        <x:f>IF(A156="","",Events!X155)</x:f>
      </x:c>
      <x:c r="Z156" s="79" t="str">
        <x:f>IF(A156="","",Events!AD155)</x:f>
      </x:c>
      <x:c r="AA156" s="79" t="str">
        <x:f>IF(A156="","",Events!AE155)</x:f>
      </x:c>
    </x:row>
    <x:row r="157">
      <x:c r="A157" s="16" t="str">
        <x:f>IF(Events!A156="","",Events!A156)</x:f>
      </x:c>
      <x:c r="B157" s="16" t="str">
        <x:f>IF(A157="","",Events!B156)</x:f>
      </x:c>
      <x:c r="C157" s="16" t="str">
        <x:f>IF(A157="","",Events!E156)</x:f>
      </x:c>
      <x:c r="D157" s="16" t="str">
        <x:f>IF(A157="","",Events!J156)</x:f>
      </x:c>
      <x:c r="E157" s="16" t="str">
        <x:f>IF(A157="","",Events!N156)</x:f>
      </x:c>
      <x:c r="F157" s="109" t="str">
        <x:f>IF(OR(A157="",Events!H156=""),"",Events!H156)</x:f>
      </x:c>
      <x:c r="G157" s="109" t="str">
        <x:f>IF(A157="","",IF(Events!I156&lt;&gt;"",Events!I156,IF(Events!S156&lt;&gt;"",Events!S156,"")))</x:f>
      </x:c>
      <x:c r="H157" s="16" t="str">
        <x:f>IF(A157="","",Events!W156)</x:f>
      </x:c>
      <x:c r="I157" s="16" t="str">
        <x:f>IF(A157="","",IF(Events!Y156&lt;&gt;"",Events!Y156,IF(OR(ISNUMBER(SEARCH("education",P157)),ISNUMBER(SEARCH("exam",P157)),ISNUMBER(SEARCH("school",P157))),"Education",IF(OR(ISNUMBER(SEARCH("trade agreement",P157)),ISNUMBER(SEARCH("economic",P157)),ISNUMBER(SEARCH("import",P157))),"Trade &amp; economic policy",IF(OR(ISNUMBER(SEARCH("land acquisition",P157)),ISNUMBER(SEARCH("rehabilitation",P157)),ISNUMBER(SEARCH("displacement",P157)),ISNUMBER(SEARCH("township",P157))),"Land &amp; rehabilitation",IF(OR(ISNUMBER(SEARCH("forest",P157)),ISNUMBER(SEARCH("environment",P157)),ISNUMBER(SEARCH("ecological",P157)),ISNUMBER(SEARCH("biodiversity",P157)),ISNUMBER(SEARCH("green cover",P157))),"Environment",IF(OR(ISNUMBER(SEARCH("irrigation",P157)),ISNUMBER(SEARCH("water",P157)),ISNUMBER(SEARCH("crop",P157)),ISNUMBER(SEARCH("farmer",P157)),ISNUMBER(SEARCH("agriculture",P157))),"Agriculture &amp; water",IF(OR(ISNUMBER(SEARCH("health",P157)),ISNUMBER(SEARCH("hospital",P157)),ISNUMBER(SEARCH("medicine",P157))),"Public health",IF(OR(ISNUMBER(SEARCH("employee",P157)),ISNUMBER(SEARCH("labour",P157)),ISNUMBER(SEARCH("worker",P157)),ISNUMBER(SEARCH("salary",P157))),"Labour &amp; employment",IF(OR(ISNUMBER(SEARCH("rti",P157)),ISNUMBER(SEARCH("transparency",P157)),ISNUMBER(SEARCH("corruption",P157)),ISNUMBER(SEARCH("governance",P157))),"Governance &amp; transparency",IF(OR(ISNUMBER(SEARCH("police",P157)),ISNUMBER(SEARCH("detention",P157)),ISNUMBER(SEARCH("civil rights",P157)),ISNUMBER(SEARCH("justice",P157))),"Civil rights &amp; justice",IF(OR(ISNUMBER(SEARCH("road",P157)),ISNUMBER(SEARCH("utility",P157)),ISNUMBER(SEARCH("infrastructure",P157)),ISNUMBER(SEARCH("public service",P157))),"Infrastructure &amp; public services","Other"))))))))))))</x:f>
      </x:c>
      <x:c r="J157" s="16" t="str">
        <x:f>IF(A157="","",IF(OR(ISNUMBER(SEARCH("fatal",Q157)),ISNUMBER(SEARCH("death",Q157)),ISNUMBER(SEARCH("riot",Q157)),ISNUMBER(SEARCH("curfew",Q157)),ISNUMBER(SEARCH("internet shutdown",Q157))),5,MIN(4,1+IF(H157&gt;=7,1,0)+IF(OR(ISNUMBER(SEARCH("hunger strike",Q157)),ISNUMBER(SEARCH("blockade",Q157)),ISNUMBER(SEARCH("strike",Q157)),ISNUMBER(SEARCH("jal satyagraha",Q157)),ISNUMBER(SEARCH("survey",Q157)),ISNUMBER(SEARCH("human chain",Q157)),ISNUMBER(SEARCH("march",Q157))),1,0)+IF(OR(ISNUMBER(SEARCH("fir",Q157)),ISNUMBER(SEARCH("confrontation",Q157)),ISNUMBER(SEARCH("violence",Q157)),ISNUMBER(SEARCH("detention",Q157)),ISNUMBER(SEARCH("arrest",Q157)),ISNUMBER(SEARCH("demolition",Q157)),ISNUMBER(SEARCH("injury",Q157))),1,0)+IF(OR(D157="Ongoing",D157="Unresolved"),1,0))))</x:f>
      </x:c>
      <x:c r="K157" s="16" t="str">
        <x:f>IF(J157="","",IF(J157=1,"Limited",IF(J157=2,"Local",IF(J157=3,"Significant",IF(J157=4,"High","Critical")))))</x:f>
      </x:c>
      <x:c r="L157" s="16" t="str">
        <x:f>IF(A157="","",Events!U156)</x:f>
      </x:c>
      <x:c r="M157" s="16" t="str">
        <x:f>IF(A157="","",Events!V156)</x:f>
      </x:c>
      <x:c r="N157" s="16" t="str">
        <x:f>IF(A157="","",Events!Q156)</x:f>
      </x:c>
      <x:c r="O157" s="16" t="str">
        <x:f>IF(A157="","",Events!R156)</x:f>
      </x:c>
      <x:c r="P157" s="16" t="str">
        <x:f>IF(A157="","",LOWER(Events!B156&amp;" "&amp;Events!D156&amp;" "&amp;Events!K156))</x:f>
      </x:c>
      <x:c r="Q157" s="16" t="str">
        <x:f>IF(A157="","",LOWER(Events!C156&amp;" "&amp;Events!K156&amp;" "&amp;Events!T156))</x:f>
      </x:c>
      <x:c r="R157" s="16" t="str">
        <x:f>IF(A157="","",IF(ISNUMBER(SEARCH("Occurrence verified",E157)),"Occurrence verified",E157))</x:f>
      </x:c>
      <x:c r="S157" s="79" t="str">
        <x:f>IF(A157="","",Events!X156)</x:f>
      </x:c>
      <x:c r="Z157" s="79" t="str">
        <x:f>IF(A157="","",Events!AD156)</x:f>
      </x:c>
      <x:c r="AA157" s="79" t="str">
        <x:f>IF(A157="","",Events!AE156)</x:f>
      </x:c>
    </x:row>
    <x:row r="158">
      <x:c r="A158" s="16" t="str">
        <x:f>IF(Events!A157="","",Events!A157)</x:f>
      </x:c>
      <x:c r="B158" s="16" t="str">
        <x:f>IF(A158="","",Events!B157)</x:f>
      </x:c>
      <x:c r="C158" s="16" t="str">
        <x:f>IF(A158="","",Events!E157)</x:f>
      </x:c>
      <x:c r="D158" s="16" t="str">
        <x:f>IF(A158="","",Events!J157)</x:f>
      </x:c>
      <x:c r="E158" s="16" t="str">
        <x:f>IF(A158="","",Events!N157)</x:f>
      </x:c>
      <x:c r="F158" s="109" t="str">
        <x:f>IF(OR(A158="",Events!H157=""),"",Events!H157)</x:f>
      </x:c>
      <x:c r="G158" s="109" t="str">
        <x:f>IF(A158="","",IF(Events!I157&lt;&gt;"",Events!I157,IF(Events!S157&lt;&gt;"",Events!S157,"")))</x:f>
      </x:c>
      <x:c r="H158" s="16" t="str">
        <x:f>IF(A158="","",Events!W157)</x:f>
      </x:c>
      <x:c r="I158" s="16" t="str">
        <x:f>IF(A158="","",IF(Events!Y157&lt;&gt;"",Events!Y157,IF(OR(ISNUMBER(SEARCH("education",P158)),ISNUMBER(SEARCH("exam",P158)),ISNUMBER(SEARCH("school",P158))),"Education",IF(OR(ISNUMBER(SEARCH("trade agreement",P158)),ISNUMBER(SEARCH("economic",P158)),ISNUMBER(SEARCH("import",P158))),"Trade &amp; economic policy",IF(OR(ISNUMBER(SEARCH("land acquisition",P158)),ISNUMBER(SEARCH("rehabilitation",P158)),ISNUMBER(SEARCH("displacement",P158)),ISNUMBER(SEARCH("township",P158))),"Land &amp; rehabilitation",IF(OR(ISNUMBER(SEARCH("forest",P158)),ISNUMBER(SEARCH("environment",P158)),ISNUMBER(SEARCH("ecological",P158)),ISNUMBER(SEARCH("biodiversity",P158)),ISNUMBER(SEARCH("green cover",P158))),"Environment",IF(OR(ISNUMBER(SEARCH("irrigation",P158)),ISNUMBER(SEARCH("water",P158)),ISNUMBER(SEARCH("crop",P158)),ISNUMBER(SEARCH("farmer",P158)),ISNUMBER(SEARCH("agriculture",P158))),"Agriculture &amp; water",IF(OR(ISNUMBER(SEARCH("health",P158)),ISNUMBER(SEARCH("hospital",P158)),ISNUMBER(SEARCH("medicine",P158))),"Public health",IF(OR(ISNUMBER(SEARCH("employee",P158)),ISNUMBER(SEARCH("labour",P158)),ISNUMBER(SEARCH("worker",P158)),ISNUMBER(SEARCH("salary",P158))),"Labour &amp; employment",IF(OR(ISNUMBER(SEARCH("rti",P158)),ISNUMBER(SEARCH("transparency",P158)),ISNUMBER(SEARCH("corruption",P158)),ISNUMBER(SEARCH("governance",P158))),"Governance &amp; transparency",IF(OR(ISNUMBER(SEARCH("police",P158)),ISNUMBER(SEARCH("detention",P158)),ISNUMBER(SEARCH("civil rights",P158)),ISNUMBER(SEARCH("justice",P158))),"Civil rights &amp; justice",IF(OR(ISNUMBER(SEARCH("road",P158)),ISNUMBER(SEARCH("utility",P158)),ISNUMBER(SEARCH("infrastructure",P158)),ISNUMBER(SEARCH("public service",P158))),"Infrastructure &amp; public services","Other"))))))))))))</x:f>
      </x:c>
      <x:c r="J158" s="16" t="str">
        <x:f>IF(A158="","",IF(OR(ISNUMBER(SEARCH("fatal",Q158)),ISNUMBER(SEARCH("death",Q158)),ISNUMBER(SEARCH("riot",Q158)),ISNUMBER(SEARCH("curfew",Q158)),ISNUMBER(SEARCH("internet shutdown",Q158))),5,MIN(4,1+IF(H158&gt;=7,1,0)+IF(OR(ISNUMBER(SEARCH("hunger strike",Q158)),ISNUMBER(SEARCH("blockade",Q158)),ISNUMBER(SEARCH("strike",Q158)),ISNUMBER(SEARCH("jal satyagraha",Q158)),ISNUMBER(SEARCH("survey",Q158)),ISNUMBER(SEARCH("human chain",Q158)),ISNUMBER(SEARCH("march",Q158))),1,0)+IF(OR(ISNUMBER(SEARCH("fir",Q158)),ISNUMBER(SEARCH("confrontation",Q158)),ISNUMBER(SEARCH("violence",Q158)),ISNUMBER(SEARCH("detention",Q158)),ISNUMBER(SEARCH("arrest",Q158)),ISNUMBER(SEARCH("demolition",Q158)),ISNUMBER(SEARCH("injury",Q158))),1,0)+IF(OR(D158="Ongoing",D158="Unresolved"),1,0))))</x:f>
      </x:c>
      <x:c r="K158" s="16" t="str">
        <x:f>IF(J158="","",IF(J158=1,"Limited",IF(J158=2,"Local",IF(J158=3,"Significant",IF(J158=4,"High","Critical")))))</x:f>
      </x:c>
      <x:c r="L158" s="16" t="str">
        <x:f>IF(A158="","",Events!U157)</x:f>
      </x:c>
      <x:c r="M158" s="16" t="str">
        <x:f>IF(A158="","",Events!V157)</x:f>
      </x:c>
      <x:c r="N158" s="16" t="str">
        <x:f>IF(A158="","",Events!Q157)</x:f>
      </x:c>
      <x:c r="O158" s="16" t="str">
        <x:f>IF(A158="","",Events!R157)</x:f>
      </x:c>
      <x:c r="P158" s="16" t="str">
        <x:f>IF(A158="","",LOWER(Events!B157&amp;" "&amp;Events!D157&amp;" "&amp;Events!K157))</x:f>
      </x:c>
      <x:c r="Q158" s="16" t="str">
        <x:f>IF(A158="","",LOWER(Events!C157&amp;" "&amp;Events!K157&amp;" "&amp;Events!T157))</x:f>
      </x:c>
      <x:c r="R158" s="16" t="str">
        <x:f>IF(A158="","",IF(ISNUMBER(SEARCH("Occurrence verified",E158)),"Occurrence verified",E158))</x:f>
      </x:c>
      <x:c r="S158" s="79" t="str">
        <x:f>IF(A158="","",Events!X157)</x:f>
      </x:c>
      <x:c r="Z158" s="79" t="str">
        <x:f>IF(A158="","",Events!AD157)</x:f>
      </x:c>
      <x:c r="AA158" s="79" t="str">
        <x:f>IF(A158="","",Events!AE157)</x:f>
      </x:c>
    </x:row>
    <x:row r="159">
      <x:c r="A159" s="16" t="str">
        <x:f>IF(Events!A158="","",Events!A158)</x:f>
      </x:c>
      <x:c r="B159" s="16" t="str">
        <x:f>IF(A159="","",Events!B158)</x:f>
      </x:c>
      <x:c r="C159" s="16" t="str">
        <x:f>IF(A159="","",Events!E158)</x:f>
      </x:c>
      <x:c r="D159" s="16" t="str">
        <x:f>IF(A159="","",Events!J158)</x:f>
      </x:c>
      <x:c r="E159" s="16" t="str">
        <x:f>IF(A159="","",Events!N158)</x:f>
      </x:c>
      <x:c r="F159" s="109" t="str">
        <x:f>IF(OR(A159="",Events!H158=""),"",Events!H158)</x:f>
      </x:c>
      <x:c r="G159" s="109" t="str">
        <x:f>IF(A159="","",IF(Events!I158&lt;&gt;"",Events!I158,IF(Events!S158&lt;&gt;"",Events!S158,"")))</x:f>
      </x:c>
      <x:c r="H159" s="16" t="str">
        <x:f>IF(A159="","",Events!W158)</x:f>
      </x:c>
      <x:c r="I159" s="16" t="str">
        <x:f>IF(A159="","",IF(Events!Y158&lt;&gt;"",Events!Y158,IF(OR(ISNUMBER(SEARCH("education",P159)),ISNUMBER(SEARCH("exam",P159)),ISNUMBER(SEARCH("school",P159))),"Education",IF(OR(ISNUMBER(SEARCH("trade agreement",P159)),ISNUMBER(SEARCH("economic",P159)),ISNUMBER(SEARCH("import",P159))),"Trade &amp; economic policy",IF(OR(ISNUMBER(SEARCH("land acquisition",P159)),ISNUMBER(SEARCH("rehabilitation",P159)),ISNUMBER(SEARCH("displacement",P159)),ISNUMBER(SEARCH("township",P159))),"Land &amp; rehabilitation",IF(OR(ISNUMBER(SEARCH("forest",P159)),ISNUMBER(SEARCH("environment",P159)),ISNUMBER(SEARCH("ecological",P159)),ISNUMBER(SEARCH("biodiversity",P159)),ISNUMBER(SEARCH("green cover",P159))),"Environment",IF(OR(ISNUMBER(SEARCH("irrigation",P159)),ISNUMBER(SEARCH("water",P159)),ISNUMBER(SEARCH("crop",P159)),ISNUMBER(SEARCH("farmer",P159)),ISNUMBER(SEARCH("agriculture",P159))),"Agriculture &amp; water",IF(OR(ISNUMBER(SEARCH("health",P159)),ISNUMBER(SEARCH("hospital",P159)),ISNUMBER(SEARCH("medicine",P159))),"Public health",IF(OR(ISNUMBER(SEARCH("employee",P159)),ISNUMBER(SEARCH("labour",P159)),ISNUMBER(SEARCH("worker",P159)),ISNUMBER(SEARCH("salary",P159))),"Labour &amp; employment",IF(OR(ISNUMBER(SEARCH("rti",P159)),ISNUMBER(SEARCH("transparency",P159)),ISNUMBER(SEARCH("corruption",P159)),ISNUMBER(SEARCH("governance",P159))),"Governance &amp; transparency",IF(OR(ISNUMBER(SEARCH("police",P159)),ISNUMBER(SEARCH("detention",P159)),ISNUMBER(SEARCH("civil rights",P159)),ISNUMBER(SEARCH("justice",P159))),"Civil rights &amp; justice",IF(OR(ISNUMBER(SEARCH("road",P159)),ISNUMBER(SEARCH("utility",P159)),ISNUMBER(SEARCH("infrastructure",P159)),ISNUMBER(SEARCH("public service",P159))),"Infrastructure &amp; public services","Other"))))))))))))</x:f>
      </x:c>
      <x:c r="J159" s="16" t="str">
        <x:f>IF(A159="","",IF(OR(ISNUMBER(SEARCH("fatal",Q159)),ISNUMBER(SEARCH("death",Q159)),ISNUMBER(SEARCH("riot",Q159)),ISNUMBER(SEARCH("curfew",Q159)),ISNUMBER(SEARCH("internet shutdown",Q159))),5,MIN(4,1+IF(H159&gt;=7,1,0)+IF(OR(ISNUMBER(SEARCH("hunger strike",Q159)),ISNUMBER(SEARCH("blockade",Q159)),ISNUMBER(SEARCH("strike",Q159)),ISNUMBER(SEARCH("jal satyagraha",Q159)),ISNUMBER(SEARCH("survey",Q159)),ISNUMBER(SEARCH("human chain",Q159)),ISNUMBER(SEARCH("march",Q159))),1,0)+IF(OR(ISNUMBER(SEARCH("fir",Q159)),ISNUMBER(SEARCH("confrontation",Q159)),ISNUMBER(SEARCH("violence",Q159)),ISNUMBER(SEARCH("detention",Q159)),ISNUMBER(SEARCH("arrest",Q159)),ISNUMBER(SEARCH("demolition",Q159)),ISNUMBER(SEARCH("injury",Q159))),1,0)+IF(OR(D159="Ongoing",D159="Unresolved"),1,0))))</x:f>
      </x:c>
      <x:c r="K159" s="16" t="str">
        <x:f>IF(J159="","",IF(J159=1,"Limited",IF(J159=2,"Local",IF(J159=3,"Significant",IF(J159=4,"High","Critical")))))</x:f>
      </x:c>
      <x:c r="L159" s="16" t="str">
        <x:f>IF(A159="","",Events!U158)</x:f>
      </x:c>
      <x:c r="M159" s="16" t="str">
        <x:f>IF(A159="","",Events!V158)</x:f>
      </x:c>
      <x:c r="N159" s="16" t="str">
        <x:f>IF(A159="","",Events!Q158)</x:f>
      </x:c>
      <x:c r="O159" s="16" t="str">
        <x:f>IF(A159="","",Events!R158)</x:f>
      </x:c>
      <x:c r="P159" s="16" t="str">
        <x:f>IF(A159="","",LOWER(Events!B158&amp;" "&amp;Events!D158&amp;" "&amp;Events!K158))</x:f>
      </x:c>
      <x:c r="Q159" s="16" t="str">
        <x:f>IF(A159="","",LOWER(Events!C158&amp;" "&amp;Events!K158&amp;" "&amp;Events!T158))</x:f>
      </x:c>
      <x:c r="R159" s="16" t="str">
        <x:f>IF(A159="","",IF(ISNUMBER(SEARCH("Occurrence verified",E159)),"Occurrence verified",E159))</x:f>
      </x:c>
      <x:c r="S159" s="79" t="str">
        <x:f>IF(A159="","",Events!X158)</x:f>
      </x:c>
      <x:c r="Z159" s="79" t="str">
        <x:f>IF(A159="","",Events!AD158)</x:f>
      </x:c>
      <x:c r="AA159" s="79" t="str">
        <x:f>IF(A159="","",Events!AE158)</x:f>
      </x:c>
    </x:row>
    <x:row r="160">
      <x:c r="A160" s="16" t="str">
        <x:f>IF(Events!A159="","",Events!A159)</x:f>
      </x:c>
      <x:c r="B160" s="16" t="str">
        <x:f>IF(A160="","",Events!B159)</x:f>
      </x:c>
      <x:c r="C160" s="16" t="str">
        <x:f>IF(A160="","",Events!E159)</x:f>
      </x:c>
      <x:c r="D160" s="16" t="str">
        <x:f>IF(A160="","",Events!J159)</x:f>
      </x:c>
      <x:c r="E160" s="16" t="str">
        <x:f>IF(A160="","",Events!N159)</x:f>
      </x:c>
      <x:c r="F160" s="109" t="str">
        <x:f>IF(OR(A160="",Events!H159=""),"",Events!H159)</x:f>
      </x:c>
      <x:c r="G160" s="109" t="str">
        <x:f>IF(A160="","",IF(Events!I159&lt;&gt;"",Events!I159,IF(Events!S159&lt;&gt;"",Events!S159,"")))</x:f>
      </x:c>
      <x:c r="H160" s="16" t="str">
        <x:f>IF(A160="","",Events!W159)</x:f>
      </x:c>
      <x:c r="I160" s="16" t="str">
        <x:f>IF(A160="","",IF(Events!Y159&lt;&gt;"",Events!Y159,IF(OR(ISNUMBER(SEARCH("education",P160)),ISNUMBER(SEARCH("exam",P160)),ISNUMBER(SEARCH("school",P160))),"Education",IF(OR(ISNUMBER(SEARCH("trade agreement",P160)),ISNUMBER(SEARCH("economic",P160)),ISNUMBER(SEARCH("import",P160))),"Trade &amp; economic policy",IF(OR(ISNUMBER(SEARCH("land acquisition",P160)),ISNUMBER(SEARCH("rehabilitation",P160)),ISNUMBER(SEARCH("displacement",P160)),ISNUMBER(SEARCH("township",P160))),"Land &amp; rehabilitation",IF(OR(ISNUMBER(SEARCH("forest",P160)),ISNUMBER(SEARCH("environment",P160)),ISNUMBER(SEARCH("ecological",P160)),ISNUMBER(SEARCH("biodiversity",P160)),ISNUMBER(SEARCH("green cover",P160))),"Environment",IF(OR(ISNUMBER(SEARCH("irrigation",P160)),ISNUMBER(SEARCH("water",P160)),ISNUMBER(SEARCH("crop",P160)),ISNUMBER(SEARCH("farmer",P160)),ISNUMBER(SEARCH("agriculture",P160))),"Agriculture &amp; water",IF(OR(ISNUMBER(SEARCH("health",P160)),ISNUMBER(SEARCH("hospital",P160)),ISNUMBER(SEARCH("medicine",P160))),"Public health",IF(OR(ISNUMBER(SEARCH("employee",P160)),ISNUMBER(SEARCH("labour",P160)),ISNUMBER(SEARCH("worker",P160)),ISNUMBER(SEARCH("salary",P160))),"Labour &amp; employment",IF(OR(ISNUMBER(SEARCH("rti",P160)),ISNUMBER(SEARCH("transparency",P160)),ISNUMBER(SEARCH("corruption",P160)),ISNUMBER(SEARCH("governance",P160))),"Governance &amp; transparency",IF(OR(ISNUMBER(SEARCH("police",P160)),ISNUMBER(SEARCH("detention",P160)),ISNUMBER(SEARCH("civil rights",P160)),ISNUMBER(SEARCH("justice",P160))),"Civil rights &amp; justice",IF(OR(ISNUMBER(SEARCH("road",P160)),ISNUMBER(SEARCH("utility",P160)),ISNUMBER(SEARCH("infrastructure",P160)),ISNUMBER(SEARCH("public service",P160))),"Infrastructure &amp; public services","Other"))))))))))))</x:f>
      </x:c>
      <x:c r="J160" s="16" t="str">
        <x:f>IF(A160="","",IF(OR(ISNUMBER(SEARCH("fatal",Q160)),ISNUMBER(SEARCH("death",Q160)),ISNUMBER(SEARCH("riot",Q160)),ISNUMBER(SEARCH("curfew",Q160)),ISNUMBER(SEARCH("internet shutdown",Q160))),5,MIN(4,1+IF(H160&gt;=7,1,0)+IF(OR(ISNUMBER(SEARCH("hunger strike",Q160)),ISNUMBER(SEARCH("blockade",Q160)),ISNUMBER(SEARCH("strike",Q160)),ISNUMBER(SEARCH("jal satyagraha",Q160)),ISNUMBER(SEARCH("survey",Q160)),ISNUMBER(SEARCH("human chain",Q160)),ISNUMBER(SEARCH("march",Q160))),1,0)+IF(OR(ISNUMBER(SEARCH("fir",Q160)),ISNUMBER(SEARCH("confrontation",Q160)),ISNUMBER(SEARCH("violence",Q160)),ISNUMBER(SEARCH("detention",Q160)),ISNUMBER(SEARCH("arrest",Q160)),ISNUMBER(SEARCH("demolition",Q160)),ISNUMBER(SEARCH("injury",Q160))),1,0)+IF(OR(D160="Ongoing",D160="Unresolved"),1,0))))</x:f>
      </x:c>
      <x:c r="K160" s="16" t="str">
        <x:f>IF(J160="","",IF(J160=1,"Limited",IF(J160=2,"Local",IF(J160=3,"Significant",IF(J160=4,"High","Critical")))))</x:f>
      </x:c>
      <x:c r="L160" s="16" t="str">
        <x:f>IF(A160="","",Events!U159)</x:f>
      </x:c>
      <x:c r="M160" s="16" t="str">
        <x:f>IF(A160="","",Events!V159)</x:f>
      </x:c>
      <x:c r="N160" s="16" t="str">
        <x:f>IF(A160="","",Events!Q159)</x:f>
      </x:c>
      <x:c r="O160" s="16" t="str">
        <x:f>IF(A160="","",Events!R159)</x:f>
      </x:c>
      <x:c r="P160" s="16" t="str">
        <x:f>IF(A160="","",LOWER(Events!B159&amp;" "&amp;Events!D159&amp;" "&amp;Events!K159))</x:f>
      </x:c>
      <x:c r="Q160" s="16" t="str">
        <x:f>IF(A160="","",LOWER(Events!C159&amp;" "&amp;Events!K159&amp;" "&amp;Events!T159))</x:f>
      </x:c>
      <x:c r="R160" s="16" t="str">
        <x:f>IF(A160="","",IF(ISNUMBER(SEARCH("Occurrence verified",E160)),"Occurrence verified",E160))</x:f>
      </x:c>
      <x:c r="S160" s="79" t="str">
        <x:f>IF(A160="","",Events!X159)</x:f>
      </x:c>
      <x:c r="Z160" s="79" t="str">
        <x:f>IF(A160="","",Events!AD159)</x:f>
      </x:c>
      <x:c r="AA160" s="79" t="str">
        <x:f>IF(A160="","",Events!AE159)</x:f>
      </x:c>
    </x:row>
    <x:row r="161">
      <x:c r="A161" s="16" t="str">
        <x:f>IF(Events!A160="","",Events!A160)</x:f>
      </x:c>
      <x:c r="B161" s="16" t="str">
        <x:f>IF(A161="","",Events!B160)</x:f>
      </x:c>
      <x:c r="C161" s="16" t="str">
        <x:f>IF(A161="","",Events!E160)</x:f>
      </x:c>
      <x:c r="D161" s="16" t="str">
        <x:f>IF(A161="","",Events!J160)</x:f>
      </x:c>
      <x:c r="E161" s="16" t="str">
        <x:f>IF(A161="","",Events!N160)</x:f>
      </x:c>
      <x:c r="F161" s="109" t="str">
        <x:f>IF(OR(A161="",Events!H160=""),"",Events!H160)</x:f>
      </x:c>
      <x:c r="G161" s="109" t="str">
        <x:f>IF(A161="","",IF(Events!I160&lt;&gt;"",Events!I160,IF(Events!S160&lt;&gt;"",Events!S160,"")))</x:f>
      </x:c>
      <x:c r="H161" s="16" t="str">
        <x:f>IF(A161="","",Events!W160)</x:f>
      </x:c>
      <x:c r="I161" s="16" t="str">
        <x:f>IF(A161="","",IF(Events!Y160&lt;&gt;"",Events!Y160,IF(OR(ISNUMBER(SEARCH("education",P161)),ISNUMBER(SEARCH("exam",P161)),ISNUMBER(SEARCH("school",P161))),"Education",IF(OR(ISNUMBER(SEARCH("trade agreement",P161)),ISNUMBER(SEARCH("economic",P161)),ISNUMBER(SEARCH("import",P161))),"Trade &amp; economic policy",IF(OR(ISNUMBER(SEARCH("land acquisition",P161)),ISNUMBER(SEARCH("rehabilitation",P161)),ISNUMBER(SEARCH("displacement",P161)),ISNUMBER(SEARCH("township",P161))),"Land &amp; rehabilitation",IF(OR(ISNUMBER(SEARCH("forest",P161)),ISNUMBER(SEARCH("environment",P161)),ISNUMBER(SEARCH("ecological",P161)),ISNUMBER(SEARCH("biodiversity",P161)),ISNUMBER(SEARCH("green cover",P161))),"Environment",IF(OR(ISNUMBER(SEARCH("irrigation",P161)),ISNUMBER(SEARCH("water",P161)),ISNUMBER(SEARCH("crop",P161)),ISNUMBER(SEARCH("farmer",P161)),ISNUMBER(SEARCH("agriculture",P161))),"Agriculture &amp; water",IF(OR(ISNUMBER(SEARCH("health",P161)),ISNUMBER(SEARCH("hospital",P161)),ISNUMBER(SEARCH("medicine",P161))),"Public health",IF(OR(ISNUMBER(SEARCH("employee",P161)),ISNUMBER(SEARCH("labour",P161)),ISNUMBER(SEARCH("worker",P161)),ISNUMBER(SEARCH("salary",P161))),"Labour &amp; employment",IF(OR(ISNUMBER(SEARCH("rti",P161)),ISNUMBER(SEARCH("transparency",P161)),ISNUMBER(SEARCH("corruption",P161)),ISNUMBER(SEARCH("governance",P161))),"Governance &amp; transparency",IF(OR(ISNUMBER(SEARCH("police",P161)),ISNUMBER(SEARCH("detention",P161)),ISNUMBER(SEARCH("civil rights",P161)),ISNUMBER(SEARCH("justice",P161))),"Civil rights &amp; justice",IF(OR(ISNUMBER(SEARCH("road",P161)),ISNUMBER(SEARCH("utility",P161)),ISNUMBER(SEARCH("infrastructure",P161)),ISNUMBER(SEARCH("public service",P161))),"Infrastructure &amp; public services","Other"))))))))))))</x:f>
      </x:c>
      <x:c r="J161" s="16" t="str">
        <x:f>IF(A161="","",IF(OR(ISNUMBER(SEARCH("fatal",Q161)),ISNUMBER(SEARCH("death",Q161)),ISNUMBER(SEARCH("riot",Q161)),ISNUMBER(SEARCH("curfew",Q161)),ISNUMBER(SEARCH("internet shutdown",Q161))),5,MIN(4,1+IF(H161&gt;=7,1,0)+IF(OR(ISNUMBER(SEARCH("hunger strike",Q161)),ISNUMBER(SEARCH("blockade",Q161)),ISNUMBER(SEARCH("strike",Q161)),ISNUMBER(SEARCH("jal satyagraha",Q161)),ISNUMBER(SEARCH("survey",Q161)),ISNUMBER(SEARCH("human chain",Q161)),ISNUMBER(SEARCH("march",Q161))),1,0)+IF(OR(ISNUMBER(SEARCH("fir",Q161)),ISNUMBER(SEARCH("confrontation",Q161)),ISNUMBER(SEARCH("violence",Q161)),ISNUMBER(SEARCH("detention",Q161)),ISNUMBER(SEARCH("arrest",Q161)),ISNUMBER(SEARCH("demolition",Q161)),ISNUMBER(SEARCH("injury",Q161))),1,0)+IF(OR(D161="Ongoing",D161="Unresolved"),1,0))))</x:f>
      </x:c>
      <x:c r="K161" s="16" t="str">
        <x:f>IF(J161="","",IF(J161=1,"Limited",IF(J161=2,"Local",IF(J161=3,"Significant",IF(J161=4,"High","Critical")))))</x:f>
      </x:c>
      <x:c r="L161" s="16" t="str">
        <x:f>IF(A161="","",Events!U160)</x:f>
      </x:c>
      <x:c r="M161" s="16" t="str">
        <x:f>IF(A161="","",Events!V160)</x:f>
      </x:c>
      <x:c r="N161" s="16" t="str">
        <x:f>IF(A161="","",Events!Q160)</x:f>
      </x:c>
      <x:c r="O161" s="16" t="str">
        <x:f>IF(A161="","",Events!R160)</x:f>
      </x:c>
      <x:c r="P161" s="16" t="str">
        <x:f>IF(A161="","",LOWER(Events!B160&amp;" "&amp;Events!D160&amp;" "&amp;Events!K160))</x:f>
      </x:c>
      <x:c r="Q161" s="16" t="str">
        <x:f>IF(A161="","",LOWER(Events!C160&amp;" "&amp;Events!K160&amp;" "&amp;Events!T160))</x:f>
      </x:c>
      <x:c r="R161" s="16" t="str">
        <x:f>IF(A161="","",IF(ISNUMBER(SEARCH("Occurrence verified",E161)),"Occurrence verified",E161))</x:f>
      </x:c>
      <x:c r="S161" s="79" t="str">
        <x:f>IF(A161="","",Events!X160)</x:f>
      </x:c>
      <x:c r="Z161" s="79" t="str">
        <x:f>IF(A161="","",Events!AD160)</x:f>
      </x:c>
      <x:c r="AA161" s="79" t="str">
        <x:f>IF(A161="","",Events!AE160)</x:f>
      </x:c>
    </x:row>
    <x:row r="162">
      <x:c r="A162" s="16" t="str">
        <x:f>IF(Events!A161="","",Events!A161)</x:f>
      </x:c>
      <x:c r="B162" s="16" t="str">
        <x:f>IF(A162="","",Events!B161)</x:f>
      </x:c>
      <x:c r="C162" s="16" t="str">
        <x:f>IF(A162="","",Events!E161)</x:f>
      </x:c>
      <x:c r="D162" s="16" t="str">
        <x:f>IF(A162="","",Events!J161)</x:f>
      </x:c>
      <x:c r="E162" s="16" t="str">
        <x:f>IF(A162="","",Events!N161)</x:f>
      </x:c>
      <x:c r="F162" s="109" t="str">
        <x:f>IF(OR(A162="",Events!H161=""),"",Events!H161)</x:f>
      </x:c>
      <x:c r="G162" s="109" t="str">
        <x:f>IF(A162="","",IF(Events!I161&lt;&gt;"",Events!I161,IF(Events!S161&lt;&gt;"",Events!S161,"")))</x:f>
      </x:c>
      <x:c r="H162" s="16" t="str">
        <x:f>IF(A162="","",Events!W161)</x:f>
      </x:c>
      <x:c r="I162" s="16" t="str">
        <x:f>IF(A162="","",IF(Events!Y161&lt;&gt;"",Events!Y161,IF(OR(ISNUMBER(SEARCH("education",P162)),ISNUMBER(SEARCH("exam",P162)),ISNUMBER(SEARCH("school",P162))),"Education",IF(OR(ISNUMBER(SEARCH("trade agreement",P162)),ISNUMBER(SEARCH("economic",P162)),ISNUMBER(SEARCH("import",P162))),"Trade &amp; economic policy",IF(OR(ISNUMBER(SEARCH("land acquisition",P162)),ISNUMBER(SEARCH("rehabilitation",P162)),ISNUMBER(SEARCH("displacement",P162)),ISNUMBER(SEARCH("township",P162))),"Land &amp; rehabilitation",IF(OR(ISNUMBER(SEARCH("forest",P162)),ISNUMBER(SEARCH("environment",P162)),ISNUMBER(SEARCH("ecological",P162)),ISNUMBER(SEARCH("biodiversity",P162)),ISNUMBER(SEARCH("green cover",P162))),"Environment",IF(OR(ISNUMBER(SEARCH("irrigation",P162)),ISNUMBER(SEARCH("water",P162)),ISNUMBER(SEARCH("crop",P162)),ISNUMBER(SEARCH("farmer",P162)),ISNUMBER(SEARCH("agriculture",P162))),"Agriculture &amp; water",IF(OR(ISNUMBER(SEARCH("health",P162)),ISNUMBER(SEARCH("hospital",P162)),ISNUMBER(SEARCH("medicine",P162))),"Public health",IF(OR(ISNUMBER(SEARCH("employee",P162)),ISNUMBER(SEARCH("labour",P162)),ISNUMBER(SEARCH("worker",P162)),ISNUMBER(SEARCH("salary",P162))),"Labour &amp; employment",IF(OR(ISNUMBER(SEARCH("rti",P162)),ISNUMBER(SEARCH("transparency",P162)),ISNUMBER(SEARCH("corruption",P162)),ISNUMBER(SEARCH("governance",P162))),"Governance &amp; transparency",IF(OR(ISNUMBER(SEARCH("police",P162)),ISNUMBER(SEARCH("detention",P162)),ISNUMBER(SEARCH("civil rights",P162)),ISNUMBER(SEARCH("justice",P162))),"Civil rights &amp; justice",IF(OR(ISNUMBER(SEARCH("road",P162)),ISNUMBER(SEARCH("utility",P162)),ISNUMBER(SEARCH("infrastructure",P162)),ISNUMBER(SEARCH("public service",P162))),"Infrastructure &amp; public services","Other"))))))))))))</x:f>
      </x:c>
      <x:c r="J162" s="16" t="str">
        <x:f>IF(A162="","",IF(OR(ISNUMBER(SEARCH("fatal",Q162)),ISNUMBER(SEARCH("death",Q162)),ISNUMBER(SEARCH("riot",Q162)),ISNUMBER(SEARCH("curfew",Q162)),ISNUMBER(SEARCH("internet shutdown",Q162))),5,MIN(4,1+IF(H162&gt;=7,1,0)+IF(OR(ISNUMBER(SEARCH("hunger strike",Q162)),ISNUMBER(SEARCH("blockade",Q162)),ISNUMBER(SEARCH("strike",Q162)),ISNUMBER(SEARCH("jal satyagraha",Q162)),ISNUMBER(SEARCH("survey",Q162)),ISNUMBER(SEARCH("human chain",Q162)),ISNUMBER(SEARCH("march",Q162))),1,0)+IF(OR(ISNUMBER(SEARCH("fir",Q162)),ISNUMBER(SEARCH("confrontation",Q162)),ISNUMBER(SEARCH("violence",Q162)),ISNUMBER(SEARCH("detention",Q162)),ISNUMBER(SEARCH("arrest",Q162)),ISNUMBER(SEARCH("demolition",Q162)),ISNUMBER(SEARCH("injury",Q162))),1,0)+IF(OR(D162="Ongoing",D162="Unresolved"),1,0))))</x:f>
      </x:c>
      <x:c r="K162" s="16" t="str">
        <x:f>IF(J162="","",IF(J162=1,"Limited",IF(J162=2,"Local",IF(J162=3,"Significant",IF(J162=4,"High","Critical")))))</x:f>
      </x:c>
      <x:c r="L162" s="16" t="str">
        <x:f>IF(A162="","",Events!U161)</x:f>
      </x:c>
      <x:c r="M162" s="16" t="str">
        <x:f>IF(A162="","",Events!V161)</x:f>
      </x:c>
      <x:c r="N162" s="16" t="str">
        <x:f>IF(A162="","",Events!Q161)</x:f>
      </x:c>
      <x:c r="O162" s="16" t="str">
        <x:f>IF(A162="","",Events!R161)</x:f>
      </x:c>
      <x:c r="P162" s="16" t="str">
        <x:f>IF(A162="","",LOWER(Events!B161&amp;" "&amp;Events!D161&amp;" "&amp;Events!K161))</x:f>
      </x:c>
      <x:c r="Q162" s="16" t="str">
        <x:f>IF(A162="","",LOWER(Events!C161&amp;" "&amp;Events!K161&amp;" "&amp;Events!T161))</x:f>
      </x:c>
      <x:c r="R162" s="16" t="str">
        <x:f>IF(A162="","",IF(ISNUMBER(SEARCH("Occurrence verified",E162)),"Occurrence verified",E162))</x:f>
      </x:c>
      <x:c r="S162" s="79" t="str">
        <x:f>IF(A162="","",Events!X161)</x:f>
      </x:c>
      <x:c r="Z162" s="79" t="str">
        <x:f>IF(A162="","",Events!AD161)</x:f>
      </x:c>
      <x:c r="AA162" s="79" t="str">
        <x:f>IF(A162="","",Events!AE161)</x:f>
      </x:c>
    </x:row>
    <x:row r="163">
      <x:c r="A163" s="16" t="str">
        <x:f>IF(Events!A162="","",Events!A162)</x:f>
      </x:c>
      <x:c r="B163" s="16" t="str">
        <x:f>IF(A163="","",Events!B162)</x:f>
      </x:c>
      <x:c r="C163" s="16" t="str">
        <x:f>IF(A163="","",Events!E162)</x:f>
      </x:c>
      <x:c r="D163" s="16" t="str">
        <x:f>IF(A163="","",Events!J162)</x:f>
      </x:c>
      <x:c r="E163" s="16" t="str">
        <x:f>IF(A163="","",Events!N162)</x:f>
      </x:c>
      <x:c r="F163" s="109" t="str">
        <x:f>IF(OR(A163="",Events!H162=""),"",Events!H162)</x:f>
      </x:c>
      <x:c r="G163" s="109" t="str">
        <x:f>IF(A163="","",IF(Events!I162&lt;&gt;"",Events!I162,IF(Events!S162&lt;&gt;"",Events!S162,"")))</x:f>
      </x:c>
      <x:c r="H163" s="16" t="str">
        <x:f>IF(A163="","",Events!W162)</x:f>
      </x:c>
      <x:c r="I163" s="16" t="str">
        <x:f>IF(A163="","",IF(Events!Y162&lt;&gt;"",Events!Y162,IF(OR(ISNUMBER(SEARCH("education",P163)),ISNUMBER(SEARCH("exam",P163)),ISNUMBER(SEARCH("school",P163))),"Education",IF(OR(ISNUMBER(SEARCH("trade agreement",P163)),ISNUMBER(SEARCH("economic",P163)),ISNUMBER(SEARCH("import",P163))),"Trade &amp; economic policy",IF(OR(ISNUMBER(SEARCH("land acquisition",P163)),ISNUMBER(SEARCH("rehabilitation",P163)),ISNUMBER(SEARCH("displacement",P163)),ISNUMBER(SEARCH("township",P163))),"Land &amp; rehabilitation",IF(OR(ISNUMBER(SEARCH("forest",P163)),ISNUMBER(SEARCH("environment",P163)),ISNUMBER(SEARCH("ecological",P163)),ISNUMBER(SEARCH("biodiversity",P163)),ISNUMBER(SEARCH("green cover",P163))),"Environment",IF(OR(ISNUMBER(SEARCH("irrigation",P163)),ISNUMBER(SEARCH("water",P163)),ISNUMBER(SEARCH("crop",P163)),ISNUMBER(SEARCH("farmer",P163)),ISNUMBER(SEARCH("agriculture",P163))),"Agriculture &amp; water",IF(OR(ISNUMBER(SEARCH("health",P163)),ISNUMBER(SEARCH("hospital",P163)),ISNUMBER(SEARCH("medicine",P163))),"Public health",IF(OR(ISNUMBER(SEARCH("employee",P163)),ISNUMBER(SEARCH("labour",P163)),ISNUMBER(SEARCH("worker",P163)),ISNUMBER(SEARCH("salary",P163))),"Labour &amp; employment",IF(OR(ISNUMBER(SEARCH("rti",P163)),ISNUMBER(SEARCH("transparency",P163)),ISNUMBER(SEARCH("corruption",P163)),ISNUMBER(SEARCH("governance",P163))),"Governance &amp; transparency",IF(OR(ISNUMBER(SEARCH("police",P163)),ISNUMBER(SEARCH("detention",P163)),ISNUMBER(SEARCH("civil rights",P163)),ISNUMBER(SEARCH("justice",P163))),"Civil rights &amp; justice",IF(OR(ISNUMBER(SEARCH("road",P163)),ISNUMBER(SEARCH("utility",P163)),ISNUMBER(SEARCH("infrastructure",P163)),ISNUMBER(SEARCH("public service",P163))),"Infrastructure &amp; public services","Other"))))))))))))</x:f>
      </x:c>
      <x:c r="J163" s="16" t="str">
        <x:f>IF(A163="","",IF(OR(ISNUMBER(SEARCH("fatal",Q163)),ISNUMBER(SEARCH("death",Q163)),ISNUMBER(SEARCH("riot",Q163)),ISNUMBER(SEARCH("curfew",Q163)),ISNUMBER(SEARCH("internet shutdown",Q163))),5,MIN(4,1+IF(H163&gt;=7,1,0)+IF(OR(ISNUMBER(SEARCH("hunger strike",Q163)),ISNUMBER(SEARCH("blockade",Q163)),ISNUMBER(SEARCH("strike",Q163)),ISNUMBER(SEARCH("jal satyagraha",Q163)),ISNUMBER(SEARCH("survey",Q163)),ISNUMBER(SEARCH("human chain",Q163)),ISNUMBER(SEARCH("march",Q163))),1,0)+IF(OR(ISNUMBER(SEARCH("fir",Q163)),ISNUMBER(SEARCH("confrontation",Q163)),ISNUMBER(SEARCH("violence",Q163)),ISNUMBER(SEARCH("detention",Q163)),ISNUMBER(SEARCH("arrest",Q163)),ISNUMBER(SEARCH("demolition",Q163)),ISNUMBER(SEARCH("injury",Q163))),1,0)+IF(OR(D163="Ongoing",D163="Unresolved"),1,0))))</x:f>
      </x:c>
      <x:c r="K163" s="16" t="str">
        <x:f>IF(J163="","",IF(J163=1,"Limited",IF(J163=2,"Local",IF(J163=3,"Significant",IF(J163=4,"High","Critical")))))</x:f>
      </x:c>
      <x:c r="L163" s="16" t="str">
        <x:f>IF(A163="","",Events!U162)</x:f>
      </x:c>
      <x:c r="M163" s="16" t="str">
        <x:f>IF(A163="","",Events!V162)</x:f>
      </x:c>
      <x:c r="N163" s="16" t="str">
        <x:f>IF(A163="","",Events!Q162)</x:f>
      </x:c>
      <x:c r="O163" s="16" t="str">
        <x:f>IF(A163="","",Events!R162)</x:f>
      </x:c>
      <x:c r="P163" s="16" t="str">
        <x:f>IF(A163="","",LOWER(Events!B162&amp;" "&amp;Events!D162&amp;" "&amp;Events!K162))</x:f>
      </x:c>
      <x:c r="Q163" s="16" t="str">
        <x:f>IF(A163="","",LOWER(Events!C162&amp;" "&amp;Events!K162&amp;" "&amp;Events!T162))</x:f>
      </x:c>
      <x:c r="R163" s="16" t="str">
        <x:f>IF(A163="","",IF(ISNUMBER(SEARCH("Occurrence verified",E163)),"Occurrence verified",E163))</x:f>
      </x:c>
      <x:c r="S163" s="79" t="str">
        <x:f>IF(A163="","",Events!X162)</x:f>
      </x:c>
      <x:c r="Z163" s="79" t="str">
        <x:f>IF(A163="","",Events!AD162)</x:f>
      </x:c>
      <x:c r="AA163" s="79" t="str">
        <x:f>IF(A163="","",Events!AE162)</x:f>
      </x:c>
    </x:row>
    <x:row r="164">
      <x:c r="A164" s="16" t="str">
        <x:f>IF(Events!A163="","",Events!A163)</x:f>
      </x:c>
      <x:c r="B164" s="16" t="str">
        <x:f>IF(A164="","",Events!B163)</x:f>
      </x:c>
      <x:c r="C164" s="16" t="str">
        <x:f>IF(A164="","",Events!E163)</x:f>
      </x:c>
      <x:c r="D164" s="16" t="str">
        <x:f>IF(A164="","",Events!J163)</x:f>
      </x:c>
      <x:c r="E164" s="16" t="str">
        <x:f>IF(A164="","",Events!N163)</x:f>
      </x:c>
      <x:c r="F164" s="109" t="str">
        <x:f>IF(OR(A164="",Events!H163=""),"",Events!H163)</x:f>
      </x:c>
      <x:c r="G164" s="109" t="str">
        <x:f>IF(A164="","",IF(Events!I163&lt;&gt;"",Events!I163,IF(Events!S163&lt;&gt;"",Events!S163,"")))</x:f>
      </x:c>
      <x:c r="H164" s="16" t="str">
        <x:f>IF(A164="","",Events!W163)</x:f>
      </x:c>
      <x:c r="I164" s="16" t="str">
        <x:f>IF(A164="","",IF(Events!Y163&lt;&gt;"",Events!Y163,IF(OR(ISNUMBER(SEARCH("education",P164)),ISNUMBER(SEARCH("exam",P164)),ISNUMBER(SEARCH("school",P164))),"Education",IF(OR(ISNUMBER(SEARCH("trade agreement",P164)),ISNUMBER(SEARCH("economic",P164)),ISNUMBER(SEARCH("import",P164))),"Trade &amp; economic policy",IF(OR(ISNUMBER(SEARCH("land acquisition",P164)),ISNUMBER(SEARCH("rehabilitation",P164)),ISNUMBER(SEARCH("displacement",P164)),ISNUMBER(SEARCH("township",P164))),"Land &amp; rehabilitation",IF(OR(ISNUMBER(SEARCH("forest",P164)),ISNUMBER(SEARCH("environment",P164)),ISNUMBER(SEARCH("ecological",P164)),ISNUMBER(SEARCH("biodiversity",P164)),ISNUMBER(SEARCH("green cover",P164))),"Environment",IF(OR(ISNUMBER(SEARCH("irrigation",P164)),ISNUMBER(SEARCH("water",P164)),ISNUMBER(SEARCH("crop",P164)),ISNUMBER(SEARCH("farmer",P164)),ISNUMBER(SEARCH("agriculture",P164))),"Agriculture &amp; water",IF(OR(ISNUMBER(SEARCH("health",P164)),ISNUMBER(SEARCH("hospital",P164)),ISNUMBER(SEARCH("medicine",P164))),"Public health",IF(OR(ISNUMBER(SEARCH("employee",P164)),ISNUMBER(SEARCH("labour",P164)),ISNUMBER(SEARCH("worker",P164)),ISNUMBER(SEARCH("salary",P164))),"Labour &amp; employment",IF(OR(ISNUMBER(SEARCH("rti",P164)),ISNUMBER(SEARCH("transparency",P164)),ISNUMBER(SEARCH("corruption",P164)),ISNUMBER(SEARCH("governance",P164))),"Governance &amp; transparency",IF(OR(ISNUMBER(SEARCH("police",P164)),ISNUMBER(SEARCH("detention",P164)),ISNUMBER(SEARCH("civil rights",P164)),ISNUMBER(SEARCH("justice",P164))),"Civil rights &amp; justice",IF(OR(ISNUMBER(SEARCH("road",P164)),ISNUMBER(SEARCH("utility",P164)),ISNUMBER(SEARCH("infrastructure",P164)),ISNUMBER(SEARCH("public service",P164))),"Infrastructure &amp; public services","Other"))))))))))))</x:f>
      </x:c>
      <x:c r="J164" s="16" t="str">
        <x:f>IF(A164="","",IF(OR(ISNUMBER(SEARCH("fatal",Q164)),ISNUMBER(SEARCH("death",Q164)),ISNUMBER(SEARCH("riot",Q164)),ISNUMBER(SEARCH("curfew",Q164)),ISNUMBER(SEARCH("internet shutdown",Q164))),5,MIN(4,1+IF(H164&gt;=7,1,0)+IF(OR(ISNUMBER(SEARCH("hunger strike",Q164)),ISNUMBER(SEARCH("blockade",Q164)),ISNUMBER(SEARCH("strike",Q164)),ISNUMBER(SEARCH("jal satyagraha",Q164)),ISNUMBER(SEARCH("survey",Q164)),ISNUMBER(SEARCH("human chain",Q164)),ISNUMBER(SEARCH("march",Q164))),1,0)+IF(OR(ISNUMBER(SEARCH("fir",Q164)),ISNUMBER(SEARCH("confrontation",Q164)),ISNUMBER(SEARCH("violence",Q164)),ISNUMBER(SEARCH("detention",Q164)),ISNUMBER(SEARCH("arrest",Q164)),ISNUMBER(SEARCH("demolition",Q164)),ISNUMBER(SEARCH("injury",Q164))),1,0)+IF(OR(D164="Ongoing",D164="Unresolved"),1,0))))</x:f>
      </x:c>
      <x:c r="K164" s="16" t="str">
        <x:f>IF(J164="","",IF(J164=1,"Limited",IF(J164=2,"Local",IF(J164=3,"Significant",IF(J164=4,"High","Critical")))))</x:f>
      </x:c>
      <x:c r="L164" s="16" t="str">
        <x:f>IF(A164="","",Events!U163)</x:f>
      </x:c>
      <x:c r="M164" s="16" t="str">
        <x:f>IF(A164="","",Events!V163)</x:f>
      </x:c>
      <x:c r="N164" s="16" t="str">
        <x:f>IF(A164="","",Events!Q163)</x:f>
      </x:c>
      <x:c r="O164" s="16" t="str">
        <x:f>IF(A164="","",Events!R163)</x:f>
      </x:c>
      <x:c r="P164" s="16" t="str">
        <x:f>IF(A164="","",LOWER(Events!B163&amp;" "&amp;Events!D163&amp;" "&amp;Events!K163))</x:f>
      </x:c>
      <x:c r="Q164" s="16" t="str">
        <x:f>IF(A164="","",LOWER(Events!C163&amp;" "&amp;Events!K163&amp;" "&amp;Events!T163))</x:f>
      </x:c>
      <x:c r="R164" s="16" t="str">
        <x:f>IF(A164="","",IF(ISNUMBER(SEARCH("Occurrence verified",E164)),"Occurrence verified",E164))</x:f>
      </x:c>
      <x:c r="S164" s="79" t="str">
        <x:f>IF(A164="","",Events!X163)</x:f>
      </x:c>
      <x:c r="Z164" s="79" t="str">
        <x:f>IF(A164="","",Events!AD163)</x:f>
      </x:c>
      <x:c r="AA164" s="79" t="str">
        <x:f>IF(A164="","",Events!AE163)</x:f>
      </x:c>
    </x:row>
    <x:row r="165">
      <x:c r="A165" s="16" t="str">
        <x:f>IF(Events!A164="","",Events!A164)</x:f>
      </x:c>
      <x:c r="B165" s="16" t="str">
        <x:f>IF(A165="","",Events!B164)</x:f>
      </x:c>
      <x:c r="C165" s="16" t="str">
        <x:f>IF(A165="","",Events!E164)</x:f>
      </x:c>
      <x:c r="D165" s="16" t="str">
        <x:f>IF(A165="","",Events!J164)</x:f>
      </x:c>
      <x:c r="E165" s="16" t="str">
        <x:f>IF(A165="","",Events!N164)</x:f>
      </x:c>
      <x:c r="F165" s="109" t="str">
        <x:f>IF(OR(A165="",Events!H164=""),"",Events!H164)</x:f>
      </x:c>
      <x:c r="G165" s="109" t="str">
        <x:f>IF(A165="","",IF(Events!I164&lt;&gt;"",Events!I164,IF(Events!S164&lt;&gt;"",Events!S164,"")))</x:f>
      </x:c>
      <x:c r="H165" s="16" t="str">
        <x:f>IF(A165="","",Events!W164)</x:f>
      </x:c>
      <x:c r="I165" s="16" t="str">
        <x:f>IF(A165="","",IF(Events!Y164&lt;&gt;"",Events!Y164,IF(OR(ISNUMBER(SEARCH("education",P165)),ISNUMBER(SEARCH("exam",P165)),ISNUMBER(SEARCH("school",P165))),"Education",IF(OR(ISNUMBER(SEARCH("trade agreement",P165)),ISNUMBER(SEARCH("economic",P165)),ISNUMBER(SEARCH("import",P165))),"Trade &amp; economic policy",IF(OR(ISNUMBER(SEARCH("land acquisition",P165)),ISNUMBER(SEARCH("rehabilitation",P165)),ISNUMBER(SEARCH("displacement",P165)),ISNUMBER(SEARCH("township",P165))),"Land &amp; rehabilitation",IF(OR(ISNUMBER(SEARCH("forest",P165)),ISNUMBER(SEARCH("environment",P165)),ISNUMBER(SEARCH("ecological",P165)),ISNUMBER(SEARCH("biodiversity",P165)),ISNUMBER(SEARCH("green cover",P165))),"Environment",IF(OR(ISNUMBER(SEARCH("irrigation",P165)),ISNUMBER(SEARCH("water",P165)),ISNUMBER(SEARCH("crop",P165)),ISNUMBER(SEARCH("farmer",P165)),ISNUMBER(SEARCH("agriculture",P165))),"Agriculture &amp; water",IF(OR(ISNUMBER(SEARCH("health",P165)),ISNUMBER(SEARCH("hospital",P165)),ISNUMBER(SEARCH("medicine",P165))),"Public health",IF(OR(ISNUMBER(SEARCH("employee",P165)),ISNUMBER(SEARCH("labour",P165)),ISNUMBER(SEARCH("worker",P165)),ISNUMBER(SEARCH("salary",P165))),"Labour &amp; employment",IF(OR(ISNUMBER(SEARCH("rti",P165)),ISNUMBER(SEARCH("transparency",P165)),ISNUMBER(SEARCH("corruption",P165)),ISNUMBER(SEARCH("governance",P165))),"Governance &amp; transparency",IF(OR(ISNUMBER(SEARCH("police",P165)),ISNUMBER(SEARCH("detention",P165)),ISNUMBER(SEARCH("civil rights",P165)),ISNUMBER(SEARCH("justice",P165))),"Civil rights &amp; justice",IF(OR(ISNUMBER(SEARCH("road",P165)),ISNUMBER(SEARCH("utility",P165)),ISNUMBER(SEARCH("infrastructure",P165)),ISNUMBER(SEARCH("public service",P165))),"Infrastructure &amp; public services","Other"))))))))))))</x:f>
      </x:c>
      <x:c r="J165" s="16" t="str">
        <x:f>IF(A165="","",IF(OR(ISNUMBER(SEARCH("fatal",Q165)),ISNUMBER(SEARCH("death",Q165)),ISNUMBER(SEARCH("riot",Q165)),ISNUMBER(SEARCH("curfew",Q165)),ISNUMBER(SEARCH("internet shutdown",Q165))),5,MIN(4,1+IF(H165&gt;=7,1,0)+IF(OR(ISNUMBER(SEARCH("hunger strike",Q165)),ISNUMBER(SEARCH("blockade",Q165)),ISNUMBER(SEARCH("strike",Q165)),ISNUMBER(SEARCH("jal satyagraha",Q165)),ISNUMBER(SEARCH("survey",Q165)),ISNUMBER(SEARCH("human chain",Q165)),ISNUMBER(SEARCH("march",Q165))),1,0)+IF(OR(ISNUMBER(SEARCH("fir",Q165)),ISNUMBER(SEARCH("confrontation",Q165)),ISNUMBER(SEARCH("violence",Q165)),ISNUMBER(SEARCH("detention",Q165)),ISNUMBER(SEARCH("arrest",Q165)),ISNUMBER(SEARCH("demolition",Q165)),ISNUMBER(SEARCH("injury",Q165))),1,0)+IF(OR(D165="Ongoing",D165="Unresolved"),1,0))))</x:f>
      </x:c>
      <x:c r="K165" s="16" t="str">
        <x:f>IF(J165="","",IF(J165=1,"Limited",IF(J165=2,"Local",IF(J165=3,"Significant",IF(J165=4,"High","Critical")))))</x:f>
      </x:c>
      <x:c r="L165" s="16" t="str">
        <x:f>IF(A165="","",Events!U164)</x:f>
      </x:c>
      <x:c r="M165" s="16" t="str">
        <x:f>IF(A165="","",Events!V164)</x:f>
      </x:c>
      <x:c r="N165" s="16" t="str">
        <x:f>IF(A165="","",Events!Q164)</x:f>
      </x:c>
      <x:c r="O165" s="16" t="str">
        <x:f>IF(A165="","",Events!R164)</x:f>
      </x:c>
      <x:c r="P165" s="16" t="str">
        <x:f>IF(A165="","",LOWER(Events!B164&amp;" "&amp;Events!D164&amp;" "&amp;Events!K164))</x:f>
      </x:c>
      <x:c r="Q165" s="16" t="str">
        <x:f>IF(A165="","",LOWER(Events!C164&amp;" "&amp;Events!K164&amp;" "&amp;Events!T164))</x:f>
      </x:c>
      <x:c r="R165" s="16" t="str">
        <x:f>IF(A165="","",IF(ISNUMBER(SEARCH("Occurrence verified",E165)),"Occurrence verified",E165))</x:f>
      </x:c>
      <x:c r="S165" s="79" t="str">
        <x:f>IF(A165="","",Events!X164)</x:f>
      </x:c>
      <x:c r="Z165" s="79" t="str">
        <x:f>IF(A165="","",Events!AD164)</x:f>
      </x:c>
      <x:c r="AA165" s="79" t="str">
        <x:f>IF(A165="","",Events!AE164)</x:f>
      </x:c>
    </x:row>
    <x:row r="166">
      <x:c r="A166" s="16" t="str">
        <x:f>IF(Events!A165="","",Events!A165)</x:f>
      </x:c>
      <x:c r="B166" s="16" t="str">
        <x:f>IF(A166="","",Events!B165)</x:f>
      </x:c>
      <x:c r="C166" s="16" t="str">
        <x:f>IF(A166="","",Events!E165)</x:f>
      </x:c>
      <x:c r="D166" s="16" t="str">
        <x:f>IF(A166="","",Events!J165)</x:f>
      </x:c>
      <x:c r="E166" s="16" t="str">
        <x:f>IF(A166="","",Events!N165)</x:f>
      </x:c>
      <x:c r="F166" s="109" t="str">
        <x:f>IF(OR(A166="",Events!H165=""),"",Events!H165)</x:f>
      </x:c>
      <x:c r="G166" s="109" t="str">
        <x:f>IF(A166="","",IF(Events!I165&lt;&gt;"",Events!I165,IF(Events!S165&lt;&gt;"",Events!S165,"")))</x:f>
      </x:c>
      <x:c r="H166" s="16" t="str">
        <x:f>IF(A166="","",Events!W165)</x:f>
      </x:c>
      <x:c r="I166" s="16" t="str">
        <x:f>IF(A166="","",IF(Events!Y165&lt;&gt;"",Events!Y165,IF(OR(ISNUMBER(SEARCH("education",P166)),ISNUMBER(SEARCH("exam",P166)),ISNUMBER(SEARCH("school",P166))),"Education",IF(OR(ISNUMBER(SEARCH("trade agreement",P166)),ISNUMBER(SEARCH("economic",P166)),ISNUMBER(SEARCH("import",P166))),"Trade &amp; economic policy",IF(OR(ISNUMBER(SEARCH("land acquisition",P166)),ISNUMBER(SEARCH("rehabilitation",P166)),ISNUMBER(SEARCH("displacement",P166)),ISNUMBER(SEARCH("township",P166))),"Land &amp; rehabilitation",IF(OR(ISNUMBER(SEARCH("forest",P166)),ISNUMBER(SEARCH("environment",P166)),ISNUMBER(SEARCH("ecological",P166)),ISNUMBER(SEARCH("biodiversity",P166)),ISNUMBER(SEARCH("green cover",P166))),"Environment",IF(OR(ISNUMBER(SEARCH("irrigation",P166)),ISNUMBER(SEARCH("water",P166)),ISNUMBER(SEARCH("crop",P166)),ISNUMBER(SEARCH("farmer",P166)),ISNUMBER(SEARCH("agriculture",P166))),"Agriculture &amp; water",IF(OR(ISNUMBER(SEARCH("health",P166)),ISNUMBER(SEARCH("hospital",P166)),ISNUMBER(SEARCH("medicine",P166))),"Public health",IF(OR(ISNUMBER(SEARCH("employee",P166)),ISNUMBER(SEARCH("labour",P166)),ISNUMBER(SEARCH("worker",P166)),ISNUMBER(SEARCH("salary",P166))),"Labour &amp; employment",IF(OR(ISNUMBER(SEARCH("rti",P166)),ISNUMBER(SEARCH("transparency",P166)),ISNUMBER(SEARCH("corruption",P166)),ISNUMBER(SEARCH("governance",P166))),"Governance &amp; transparency",IF(OR(ISNUMBER(SEARCH("police",P166)),ISNUMBER(SEARCH("detention",P166)),ISNUMBER(SEARCH("civil rights",P166)),ISNUMBER(SEARCH("justice",P166))),"Civil rights &amp; justice",IF(OR(ISNUMBER(SEARCH("road",P166)),ISNUMBER(SEARCH("utility",P166)),ISNUMBER(SEARCH("infrastructure",P166)),ISNUMBER(SEARCH("public service",P166))),"Infrastructure &amp; public services","Other"))))))))))))</x:f>
      </x:c>
      <x:c r="J166" s="16" t="str">
        <x:f>IF(A166="","",IF(OR(ISNUMBER(SEARCH("fatal",Q166)),ISNUMBER(SEARCH("death",Q166)),ISNUMBER(SEARCH("riot",Q166)),ISNUMBER(SEARCH("curfew",Q166)),ISNUMBER(SEARCH("internet shutdown",Q166))),5,MIN(4,1+IF(H166&gt;=7,1,0)+IF(OR(ISNUMBER(SEARCH("hunger strike",Q166)),ISNUMBER(SEARCH("blockade",Q166)),ISNUMBER(SEARCH("strike",Q166)),ISNUMBER(SEARCH("jal satyagraha",Q166)),ISNUMBER(SEARCH("survey",Q166)),ISNUMBER(SEARCH("human chain",Q166)),ISNUMBER(SEARCH("march",Q166))),1,0)+IF(OR(ISNUMBER(SEARCH("fir",Q166)),ISNUMBER(SEARCH("confrontation",Q166)),ISNUMBER(SEARCH("violence",Q166)),ISNUMBER(SEARCH("detention",Q166)),ISNUMBER(SEARCH("arrest",Q166)),ISNUMBER(SEARCH("demolition",Q166)),ISNUMBER(SEARCH("injury",Q166))),1,0)+IF(OR(D166="Ongoing",D166="Unresolved"),1,0))))</x:f>
      </x:c>
      <x:c r="K166" s="16" t="str">
        <x:f>IF(J166="","",IF(J166=1,"Limited",IF(J166=2,"Local",IF(J166=3,"Significant",IF(J166=4,"High","Critical")))))</x:f>
      </x:c>
      <x:c r="L166" s="16" t="str">
        <x:f>IF(A166="","",Events!U165)</x:f>
      </x:c>
      <x:c r="M166" s="16" t="str">
        <x:f>IF(A166="","",Events!V165)</x:f>
      </x:c>
      <x:c r="N166" s="16" t="str">
        <x:f>IF(A166="","",Events!Q165)</x:f>
      </x:c>
      <x:c r="O166" s="16" t="str">
        <x:f>IF(A166="","",Events!R165)</x:f>
      </x:c>
      <x:c r="P166" s="16" t="str">
        <x:f>IF(A166="","",LOWER(Events!B165&amp;" "&amp;Events!D165&amp;" "&amp;Events!K165))</x:f>
      </x:c>
      <x:c r="Q166" s="16" t="str">
        <x:f>IF(A166="","",LOWER(Events!C165&amp;" "&amp;Events!K165&amp;" "&amp;Events!T165))</x:f>
      </x:c>
      <x:c r="R166" s="16" t="str">
        <x:f>IF(A166="","",IF(ISNUMBER(SEARCH("Occurrence verified",E166)),"Occurrence verified",E166))</x:f>
      </x:c>
      <x:c r="S166" s="79" t="str">
        <x:f>IF(A166="","",Events!X165)</x:f>
      </x:c>
      <x:c r="Z166" s="79" t="str">
        <x:f>IF(A166="","",Events!AD165)</x:f>
      </x:c>
      <x:c r="AA166" s="79" t="str">
        <x:f>IF(A166="","",Events!AE165)</x:f>
      </x:c>
    </x:row>
    <x:row r="167">
      <x:c r="A167" s="16" t="str">
        <x:f>IF(Events!A166="","",Events!A166)</x:f>
      </x:c>
      <x:c r="B167" s="16" t="str">
        <x:f>IF(A167="","",Events!B166)</x:f>
      </x:c>
      <x:c r="C167" s="16" t="str">
        <x:f>IF(A167="","",Events!E166)</x:f>
      </x:c>
      <x:c r="D167" s="16" t="str">
        <x:f>IF(A167="","",Events!J166)</x:f>
      </x:c>
      <x:c r="E167" s="16" t="str">
        <x:f>IF(A167="","",Events!N166)</x:f>
      </x:c>
      <x:c r="F167" s="109" t="str">
        <x:f>IF(OR(A167="",Events!H166=""),"",Events!H166)</x:f>
      </x:c>
      <x:c r="G167" s="109" t="str">
        <x:f>IF(A167="","",IF(Events!I166&lt;&gt;"",Events!I166,IF(Events!S166&lt;&gt;"",Events!S166,"")))</x:f>
      </x:c>
      <x:c r="H167" s="16" t="str">
        <x:f>IF(A167="","",Events!W166)</x:f>
      </x:c>
      <x:c r="I167" s="16" t="str">
        <x:f>IF(A167="","",IF(Events!Y166&lt;&gt;"",Events!Y166,IF(OR(ISNUMBER(SEARCH("education",P167)),ISNUMBER(SEARCH("exam",P167)),ISNUMBER(SEARCH("school",P167))),"Education",IF(OR(ISNUMBER(SEARCH("trade agreement",P167)),ISNUMBER(SEARCH("economic",P167)),ISNUMBER(SEARCH("import",P167))),"Trade &amp; economic policy",IF(OR(ISNUMBER(SEARCH("land acquisition",P167)),ISNUMBER(SEARCH("rehabilitation",P167)),ISNUMBER(SEARCH("displacement",P167)),ISNUMBER(SEARCH("township",P167))),"Land &amp; rehabilitation",IF(OR(ISNUMBER(SEARCH("forest",P167)),ISNUMBER(SEARCH("environment",P167)),ISNUMBER(SEARCH("ecological",P167)),ISNUMBER(SEARCH("biodiversity",P167)),ISNUMBER(SEARCH("green cover",P167))),"Environment",IF(OR(ISNUMBER(SEARCH("irrigation",P167)),ISNUMBER(SEARCH("water",P167)),ISNUMBER(SEARCH("crop",P167)),ISNUMBER(SEARCH("farmer",P167)),ISNUMBER(SEARCH("agriculture",P167))),"Agriculture &amp; water",IF(OR(ISNUMBER(SEARCH("health",P167)),ISNUMBER(SEARCH("hospital",P167)),ISNUMBER(SEARCH("medicine",P167))),"Public health",IF(OR(ISNUMBER(SEARCH("employee",P167)),ISNUMBER(SEARCH("labour",P167)),ISNUMBER(SEARCH("worker",P167)),ISNUMBER(SEARCH("salary",P167))),"Labour &amp; employment",IF(OR(ISNUMBER(SEARCH("rti",P167)),ISNUMBER(SEARCH("transparency",P167)),ISNUMBER(SEARCH("corruption",P167)),ISNUMBER(SEARCH("governance",P167))),"Governance &amp; transparency",IF(OR(ISNUMBER(SEARCH("police",P167)),ISNUMBER(SEARCH("detention",P167)),ISNUMBER(SEARCH("civil rights",P167)),ISNUMBER(SEARCH("justice",P167))),"Civil rights &amp; justice",IF(OR(ISNUMBER(SEARCH("road",P167)),ISNUMBER(SEARCH("utility",P167)),ISNUMBER(SEARCH("infrastructure",P167)),ISNUMBER(SEARCH("public service",P167))),"Infrastructure &amp; public services","Other"))))))))))))</x:f>
      </x:c>
      <x:c r="J167" s="16" t="str">
        <x:f>IF(A167="","",IF(OR(ISNUMBER(SEARCH("fatal",Q167)),ISNUMBER(SEARCH("death",Q167)),ISNUMBER(SEARCH("riot",Q167)),ISNUMBER(SEARCH("curfew",Q167)),ISNUMBER(SEARCH("internet shutdown",Q167))),5,MIN(4,1+IF(H167&gt;=7,1,0)+IF(OR(ISNUMBER(SEARCH("hunger strike",Q167)),ISNUMBER(SEARCH("blockade",Q167)),ISNUMBER(SEARCH("strike",Q167)),ISNUMBER(SEARCH("jal satyagraha",Q167)),ISNUMBER(SEARCH("survey",Q167)),ISNUMBER(SEARCH("human chain",Q167)),ISNUMBER(SEARCH("march",Q167))),1,0)+IF(OR(ISNUMBER(SEARCH("fir",Q167)),ISNUMBER(SEARCH("confrontation",Q167)),ISNUMBER(SEARCH("violence",Q167)),ISNUMBER(SEARCH("detention",Q167)),ISNUMBER(SEARCH("arrest",Q167)),ISNUMBER(SEARCH("demolition",Q167)),ISNUMBER(SEARCH("injury",Q167))),1,0)+IF(OR(D167="Ongoing",D167="Unresolved"),1,0))))</x:f>
      </x:c>
      <x:c r="K167" s="16" t="str">
        <x:f>IF(J167="","",IF(J167=1,"Limited",IF(J167=2,"Local",IF(J167=3,"Significant",IF(J167=4,"High","Critical")))))</x:f>
      </x:c>
      <x:c r="L167" s="16" t="str">
        <x:f>IF(A167="","",Events!U166)</x:f>
      </x:c>
      <x:c r="M167" s="16" t="str">
        <x:f>IF(A167="","",Events!V166)</x:f>
      </x:c>
      <x:c r="N167" s="16" t="str">
        <x:f>IF(A167="","",Events!Q166)</x:f>
      </x:c>
      <x:c r="O167" s="16" t="str">
        <x:f>IF(A167="","",Events!R166)</x:f>
      </x:c>
      <x:c r="P167" s="16" t="str">
        <x:f>IF(A167="","",LOWER(Events!B166&amp;" "&amp;Events!D166&amp;" "&amp;Events!K166))</x:f>
      </x:c>
      <x:c r="Q167" s="16" t="str">
        <x:f>IF(A167="","",LOWER(Events!C166&amp;" "&amp;Events!K166&amp;" "&amp;Events!T166))</x:f>
      </x:c>
      <x:c r="R167" s="16" t="str">
        <x:f>IF(A167="","",IF(ISNUMBER(SEARCH("Occurrence verified",E167)),"Occurrence verified",E167))</x:f>
      </x:c>
      <x:c r="S167" s="79" t="str">
        <x:f>IF(A167="","",Events!X166)</x:f>
      </x:c>
      <x:c r="Z167" s="79" t="str">
        <x:f>IF(A167="","",Events!AD166)</x:f>
      </x:c>
      <x:c r="AA167" s="79" t="str">
        <x:f>IF(A167="","",Events!AE166)</x:f>
      </x:c>
    </x:row>
    <x:row r="168">
      <x:c r="A168" s="16" t="str">
        <x:f>IF(Events!A167="","",Events!A167)</x:f>
      </x:c>
      <x:c r="B168" s="16" t="str">
        <x:f>IF(A168="","",Events!B167)</x:f>
      </x:c>
      <x:c r="C168" s="16" t="str">
        <x:f>IF(A168="","",Events!E167)</x:f>
      </x:c>
      <x:c r="D168" s="16" t="str">
        <x:f>IF(A168="","",Events!J167)</x:f>
      </x:c>
      <x:c r="E168" s="16" t="str">
        <x:f>IF(A168="","",Events!N167)</x:f>
      </x:c>
      <x:c r="F168" s="109" t="str">
        <x:f>IF(OR(A168="",Events!H167=""),"",Events!H167)</x:f>
      </x:c>
      <x:c r="G168" s="109" t="str">
        <x:f>IF(A168="","",IF(Events!I167&lt;&gt;"",Events!I167,IF(Events!S167&lt;&gt;"",Events!S167,"")))</x:f>
      </x:c>
      <x:c r="H168" s="16" t="str">
        <x:f>IF(A168="","",Events!W167)</x:f>
      </x:c>
      <x:c r="I168" s="16" t="str">
        <x:f>IF(A168="","",IF(Events!Y167&lt;&gt;"",Events!Y167,IF(OR(ISNUMBER(SEARCH("education",P168)),ISNUMBER(SEARCH("exam",P168)),ISNUMBER(SEARCH("school",P168))),"Education",IF(OR(ISNUMBER(SEARCH("trade agreement",P168)),ISNUMBER(SEARCH("economic",P168)),ISNUMBER(SEARCH("import",P168))),"Trade &amp; economic policy",IF(OR(ISNUMBER(SEARCH("land acquisition",P168)),ISNUMBER(SEARCH("rehabilitation",P168)),ISNUMBER(SEARCH("displacement",P168)),ISNUMBER(SEARCH("township",P168))),"Land &amp; rehabilitation",IF(OR(ISNUMBER(SEARCH("forest",P168)),ISNUMBER(SEARCH("environment",P168)),ISNUMBER(SEARCH("ecological",P168)),ISNUMBER(SEARCH("biodiversity",P168)),ISNUMBER(SEARCH("green cover",P168))),"Environment",IF(OR(ISNUMBER(SEARCH("irrigation",P168)),ISNUMBER(SEARCH("water",P168)),ISNUMBER(SEARCH("crop",P168)),ISNUMBER(SEARCH("farmer",P168)),ISNUMBER(SEARCH("agriculture",P168))),"Agriculture &amp; water",IF(OR(ISNUMBER(SEARCH("health",P168)),ISNUMBER(SEARCH("hospital",P168)),ISNUMBER(SEARCH("medicine",P168))),"Public health",IF(OR(ISNUMBER(SEARCH("employee",P168)),ISNUMBER(SEARCH("labour",P168)),ISNUMBER(SEARCH("worker",P168)),ISNUMBER(SEARCH("salary",P168))),"Labour &amp; employment",IF(OR(ISNUMBER(SEARCH("rti",P168)),ISNUMBER(SEARCH("transparency",P168)),ISNUMBER(SEARCH("corruption",P168)),ISNUMBER(SEARCH("governance",P168))),"Governance &amp; transparency",IF(OR(ISNUMBER(SEARCH("police",P168)),ISNUMBER(SEARCH("detention",P168)),ISNUMBER(SEARCH("civil rights",P168)),ISNUMBER(SEARCH("justice",P168))),"Civil rights &amp; justice",IF(OR(ISNUMBER(SEARCH("road",P168)),ISNUMBER(SEARCH("utility",P168)),ISNUMBER(SEARCH("infrastructure",P168)),ISNUMBER(SEARCH("public service",P168))),"Infrastructure &amp; public services","Other"))))))))))))</x:f>
      </x:c>
      <x:c r="J168" s="16" t="str">
        <x:f>IF(A168="","",IF(OR(ISNUMBER(SEARCH("fatal",Q168)),ISNUMBER(SEARCH("death",Q168)),ISNUMBER(SEARCH("riot",Q168)),ISNUMBER(SEARCH("curfew",Q168)),ISNUMBER(SEARCH("internet shutdown",Q168))),5,MIN(4,1+IF(H168&gt;=7,1,0)+IF(OR(ISNUMBER(SEARCH("hunger strike",Q168)),ISNUMBER(SEARCH("blockade",Q168)),ISNUMBER(SEARCH("strike",Q168)),ISNUMBER(SEARCH("jal satyagraha",Q168)),ISNUMBER(SEARCH("survey",Q168)),ISNUMBER(SEARCH("human chain",Q168)),ISNUMBER(SEARCH("march",Q168))),1,0)+IF(OR(ISNUMBER(SEARCH("fir",Q168)),ISNUMBER(SEARCH("confrontation",Q168)),ISNUMBER(SEARCH("violence",Q168)),ISNUMBER(SEARCH("detention",Q168)),ISNUMBER(SEARCH("arrest",Q168)),ISNUMBER(SEARCH("demolition",Q168)),ISNUMBER(SEARCH("injury",Q168))),1,0)+IF(OR(D168="Ongoing",D168="Unresolved"),1,0))))</x:f>
      </x:c>
      <x:c r="K168" s="16" t="str">
        <x:f>IF(J168="","",IF(J168=1,"Limited",IF(J168=2,"Local",IF(J168=3,"Significant",IF(J168=4,"High","Critical")))))</x:f>
      </x:c>
      <x:c r="L168" s="16" t="str">
        <x:f>IF(A168="","",Events!U167)</x:f>
      </x:c>
      <x:c r="M168" s="16" t="str">
        <x:f>IF(A168="","",Events!V167)</x:f>
      </x:c>
      <x:c r="N168" s="16" t="str">
        <x:f>IF(A168="","",Events!Q167)</x:f>
      </x:c>
      <x:c r="O168" s="16" t="str">
        <x:f>IF(A168="","",Events!R167)</x:f>
      </x:c>
      <x:c r="P168" s="16" t="str">
        <x:f>IF(A168="","",LOWER(Events!B167&amp;" "&amp;Events!D167&amp;" "&amp;Events!K167))</x:f>
      </x:c>
      <x:c r="Q168" s="16" t="str">
        <x:f>IF(A168="","",LOWER(Events!C167&amp;" "&amp;Events!K167&amp;" "&amp;Events!T167))</x:f>
      </x:c>
      <x:c r="R168" s="16" t="str">
        <x:f>IF(A168="","",IF(ISNUMBER(SEARCH("Occurrence verified",E168)),"Occurrence verified",E168))</x:f>
      </x:c>
      <x:c r="S168" s="79" t="str">
        <x:f>IF(A168="","",Events!X167)</x:f>
      </x:c>
      <x:c r="Z168" s="79" t="str">
        <x:f>IF(A168="","",Events!AD167)</x:f>
      </x:c>
      <x:c r="AA168" s="79" t="str">
        <x:f>IF(A168="","",Events!AE167)</x:f>
      </x:c>
    </x:row>
    <x:row r="169">
      <x:c r="A169" s="16" t="str">
        <x:f>IF(Events!A168="","",Events!A168)</x:f>
      </x:c>
      <x:c r="B169" s="16" t="str">
        <x:f>IF(A169="","",Events!B168)</x:f>
      </x:c>
      <x:c r="C169" s="16" t="str">
        <x:f>IF(A169="","",Events!E168)</x:f>
      </x:c>
      <x:c r="D169" s="16" t="str">
        <x:f>IF(A169="","",Events!J168)</x:f>
      </x:c>
      <x:c r="E169" s="16" t="str">
        <x:f>IF(A169="","",Events!N168)</x:f>
      </x:c>
      <x:c r="F169" s="109" t="str">
        <x:f>IF(OR(A169="",Events!H168=""),"",Events!H168)</x:f>
      </x:c>
      <x:c r="G169" s="109" t="str">
        <x:f>IF(A169="","",IF(Events!I168&lt;&gt;"",Events!I168,IF(Events!S168&lt;&gt;"",Events!S168,"")))</x:f>
      </x:c>
      <x:c r="H169" s="16" t="str">
        <x:f>IF(A169="","",Events!W168)</x:f>
      </x:c>
      <x:c r="I169" s="16" t="str">
        <x:f>IF(A169="","",IF(Events!Y168&lt;&gt;"",Events!Y168,IF(OR(ISNUMBER(SEARCH("education",P169)),ISNUMBER(SEARCH("exam",P169)),ISNUMBER(SEARCH("school",P169))),"Education",IF(OR(ISNUMBER(SEARCH("trade agreement",P169)),ISNUMBER(SEARCH("economic",P169)),ISNUMBER(SEARCH("import",P169))),"Trade &amp; economic policy",IF(OR(ISNUMBER(SEARCH("land acquisition",P169)),ISNUMBER(SEARCH("rehabilitation",P169)),ISNUMBER(SEARCH("displacement",P169)),ISNUMBER(SEARCH("township",P169))),"Land &amp; rehabilitation",IF(OR(ISNUMBER(SEARCH("forest",P169)),ISNUMBER(SEARCH("environment",P169)),ISNUMBER(SEARCH("ecological",P169)),ISNUMBER(SEARCH("biodiversity",P169)),ISNUMBER(SEARCH("green cover",P169))),"Environment",IF(OR(ISNUMBER(SEARCH("irrigation",P169)),ISNUMBER(SEARCH("water",P169)),ISNUMBER(SEARCH("crop",P169)),ISNUMBER(SEARCH("farmer",P169)),ISNUMBER(SEARCH("agriculture",P169))),"Agriculture &amp; water",IF(OR(ISNUMBER(SEARCH("health",P169)),ISNUMBER(SEARCH("hospital",P169)),ISNUMBER(SEARCH("medicine",P169))),"Public health",IF(OR(ISNUMBER(SEARCH("employee",P169)),ISNUMBER(SEARCH("labour",P169)),ISNUMBER(SEARCH("worker",P169)),ISNUMBER(SEARCH("salary",P169))),"Labour &amp; employment",IF(OR(ISNUMBER(SEARCH("rti",P169)),ISNUMBER(SEARCH("transparency",P169)),ISNUMBER(SEARCH("corruption",P169)),ISNUMBER(SEARCH("governance",P169))),"Governance &amp; transparency",IF(OR(ISNUMBER(SEARCH("police",P169)),ISNUMBER(SEARCH("detention",P169)),ISNUMBER(SEARCH("civil rights",P169)),ISNUMBER(SEARCH("justice",P169))),"Civil rights &amp; justice",IF(OR(ISNUMBER(SEARCH("road",P169)),ISNUMBER(SEARCH("utility",P169)),ISNUMBER(SEARCH("infrastructure",P169)),ISNUMBER(SEARCH("public service",P169))),"Infrastructure &amp; public services","Other"))))))))))))</x:f>
      </x:c>
      <x:c r="J169" s="16" t="str">
        <x:f>IF(A169="","",IF(OR(ISNUMBER(SEARCH("fatal",Q169)),ISNUMBER(SEARCH("death",Q169)),ISNUMBER(SEARCH("riot",Q169)),ISNUMBER(SEARCH("curfew",Q169)),ISNUMBER(SEARCH("internet shutdown",Q169))),5,MIN(4,1+IF(H169&gt;=7,1,0)+IF(OR(ISNUMBER(SEARCH("hunger strike",Q169)),ISNUMBER(SEARCH("blockade",Q169)),ISNUMBER(SEARCH("strike",Q169)),ISNUMBER(SEARCH("jal satyagraha",Q169)),ISNUMBER(SEARCH("survey",Q169)),ISNUMBER(SEARCH("human chain",Q169)),ISNUMBER(SEARCH("march",Q169))),1,0)+IF(OR(ISNUMBER(SEARCH("fir",Q169)),ISNUMBER(SEARCH("confrontation",Q169)),ISNUMBER(SEARCH("violence",Q169)),ISNUMBER(SEARCH("detention",Q169)),ISNUMBER(SEARCH("arrest",Q169)),ISNUMBER(SEARCH("demolition",Q169)),ISNUMBER(SEARCH("injury",Q169))),1,0)+IF(OR(D169="Ongoing",D169="Unresolved"),1,0))))</x:f>
      </x:c>
      <x:c r="K169" s="16" t="str">
        <x:f>IF(J169="","",IF(J169=1,"Limited",IF(J169=2,"Local",IF(J169=3,"Significant",IF(J169=4,"High","Critical")))))</x:f>
      </x:c>
      <x:c r="L169" s="16" t="str">
        <x:f>IF(A169="","",Events!U168)</x:f>
      </x:c>
      <x:c r="M169" s="16" t="str">
        <x:f>IF(A169="","",Events!V168)</x:f>
      </x:c>
      <x:c r="N169" s="16" t="str">
        <x:f>IF(A169="","",Events!Q168)</x:f>
      </x:c>
      <x:c r="O169" s="16" t="str">
        <x:f>IF(A169="","",Events!R168)</x:f>
      </x:c>
      <x:c r="P169" s="16" t="str">
        <x:f>IF(A169="","",LOWER(Events!B168&amp;" "&amp;Events!D168&amp;" "&amp;Events!K168))</x:f>
      </x:c>
      <x:c r="Q169" s="16" t="str">
        <x:f>IF(A169="","",LOWER(Events!C168&amp;" "&amp;Events!K168&amp;" "&amp;Events!T168))</x:f>
      </x:c>
      <x:c r="R169" s="16" t="str">
        <x:f>IF(A169="","",IF(ISNUMBER(SEARCH("Occurrence verified",E169)),"Occurrence verified",E169))</x:f>
      </x:c>
      <x:c r="S169" s="79" t="str">
        <x:f>IF(A169="","",Events!X168)</x:f>
      </x:c>
      <x:c r="Z169" s="79" t="str">
        <x:f>IF(A169="","",Events!AD168)</x:f>
      </x:c>
      <x:c r="AA169" s="79" t="str">
        <x:f>IF(A169="","",Events!AE168)</x:f>
      </x:c>
    </x:row>
    <x:row r="170">
      <x:c r="A170" s="16" t="str">
        <x:f>IF(Events!A169="","",Events!A169)</x:f>
      </x:c>
      <x:c r="B170" s="16" t="str">
        <x:f>IF(A170="","",Events!B169)</x:f>
      </x:c>
      <x:c r="C170" s="16" t="str">
        <x:f>IF(A170="","",Events!E169)</x:f>
      </x:c>
      <x:c r="D170" s="16" t="str">
        <x:f>IF(A170="","",Events!J169)</x:f>
      </x:c>
      <x:c r="E170" s="16" t="str">
        <x:f>IF(A170="","",Events!N169)</x:f>
      </x:c>
      <x:c r="F170" s="109" t="str">
        <x:f>IF(OR(A170="",Events!H169=""),"",Events!H169)</x:f>
      </x:c>
      <x:c r="G170" s="109" t="str">
        <x:f>IF(A170="","",IF(Events!I169&lt;&gt;"",Events!I169,IF(Events!S169&lt;&gt;"",Events!S169,"")))</x:f>
      </x:c>
      <x:c r="H170" s="16" t="str">
        <x:f>IF(A170="","",Events!W169)</x:f>
      </x:c>
      <x:c r="I170" s="16" t="str">
        <x:f>IF(A170="","",IF(Events!Y169&lt;&gt;"",Events!Y169,IF(OR(ISNUMBER(SEARCH("education",P170)),ISNUMBER(SEARCH("exam",P170)),ISNUMBER(SEARCH("school",P170))),"Education",IF(OR(ISNUMBER(SEARCH("trade agreement",P170)),ISNUMBER(SEARCH("economic",P170)),ISNUMBER(SEARCH("import",P170))),"Trade &amp; economic policy",IF(OR(ISNUMBER(SEARCH("land acquisition",P170)),ISNUMBER(SEARCH("rehabilitation",P170)),ISNUMBER(SEARCH("displacement",P170)),ISNUMBER(SEARCH("township",P170))),"Land &amp; rehabilitation",IF(OR(ISNUMBER(SEARCH("forest",P170)),ISNUMBER(SEARCH("environment",P170)),ISNUMBER(SEARCH("ecological",P170)),ISNUMBER(SEARCH("biodiversity",P170)),ISNUMBER(SEARCH("green cover",P170))),"Environment",IF(OR(ISNUMBER(SEARCH("irrigation",P170)),ISNUMBER(SEARCH("water",P170)),ISNUMBER(SEARCH("crop",P170)),ISNUMBER(SEARCH("farmer",P170)),ISNUMBER(SEARCH("agriculture",P170))),"Agriculture &amp; water",IF(OR(ISNUMBER(SEARCH("health",P170)),ISNUMBER(SEARCH("hospital",P170)),ISNUMBER(SEARCH("medicine",P170))),"Public health",IF(OR(ISNUMBER(SEARCH("employee",P170)),ISNUMBER(SEARCH("labour",P170)),ISNUMBER(SEARCH("worker",P170)),ISNUMBER(SEARCH("salary",P170))),"Labour &amp; employment",IF(OR(ISNUMBER(SEARCH("rti",P170)),ISNUMBER(SEARCH("transparency",P170)),ISNUMBER(SEARCH("corruption",P170)),ISNUMBER(SEARCH("governance",P170))),"Governance &amp; transparency",IF(OR(ISNUMBER(SEARCH("police",P170)),ISNUMBER(SEARCH("detention",P170)),ISNUMBER(SEARCH("civil rights",P170)),ISNUMBER(SEARCH("justice",P170))),"Civil rights &amp; justice",IF(OR(ISNUMBER(SEARCH("road",P170)),ISNUMBER(SEARCH("utility",P170)),ISNUMBER(SEARCH("infrastructure",P170)),ISNUMBER(SEARCH("public service",P170))),"Infrastructure &amp; public services","Other"))))))))))))</x:f>
      </x:c>
      <x:c r="J170" s="16" t="str">
        <x:f>IF(A170="","",IF(OR(ISNUMBER(SEARCH("fatal",Q170)),ISNUMBER(SEARCH("death",Q170)),ISNUMBER(SEARCH("riot",Q170)),ISNUMBER(SEARCH("curfew",Q170)),ISNUMBER(SEARCH("internet shutdown",Q170))),5,MIN(4,1+IF(H170&gt;=7,1,0)+IF(OR(ISNUMBER(SEARCH("hunger strike",Q170)),ISNUMBER(SEARCH("blockade",Q170)),ISNUMBER(SEARCH("strike",Q170)),ISNUMBER(SEARCH("jal satyagraha",Q170)),ISNUMBER(SEARCH("survey",Q170)),ISNUMBER(SEARCH("human chain",Q170)),ISNUMBER(SEARCH("march",Q170))),1,0)+IF(OR(ISNUMBER(SEARCH("fir",Q170)),ISNUMBER(SEARCH("confrontation",Q170)),ISNUMBER(SEARCH("violence",Q170)),ISNUMBER(SEARCH("detention",Q170)),ISNUMBER(SEARCH("arrest",Q170)),ISNUMBER(SEARCH("demolition",Q170)),ISNUMBER(SEARCH("injury",Q170))),1,0)+IF(OR(D170="Ongoing",D170="Unresolved"),1,0))))</x:f>
      </x:c>
      <x:c r="K170" s="16" t="str">
        <x:f>IF(J170="","",IF(J170=1,"Limited",IF(J170=2,"Local",IF(J170=3,"Significant",IF(J170=4,"High","Critical")))))</x:f>
      </x:c>
      <x:c r="L170" s="16" t="str">
        <x:f>IF(A170="","",Events!U169)</x:f>
      </x:c>
      <x:c r="M170" s="16" t="str">
        <x:f>IF(A170="","",Events!V169)</x:f>
      </x:c>
      <x:c r="N170" s="16" t="str">
        <x:f>IF(A170="","",Events!Q169)</x:f>
      </x:c>
      <x:c r="O170" s="16" t="str">
        <x:f>IF(A170="","",Events!R169)</x:f>
      </x:c>
      <x:c r="P170" s="16" t="str">
        <x:f>IF(A170="","",LOWER(Events!B169&amp;" "&amp;Events!D169&amp;" "&amp;Events!K169))</x:f>
      </x:c>
      <x:c r="Q170" s="16" t="str">
        <x:f>IF(A170="","",LOWER(Events!C169&amp;" "&amp;Events!K169&amp;" "&amp;Events!T169))</x:f>
      </x:c>
      <x:c r="R170" s="16" t="str">
        <x:f>IF(A170="","",IF(ISNUMBER(SEARCH("Occurrence verified",E170)),"Occurrence verified",E170))</x:f>
      </x:c>
      <x:c r="S170" s="79" t="str">
        <x:f>IF(A170="","",Events!X169)</x:f>
      </x:c>
      <x:c r="Z170" s="79" t="str">
        <x:f>IF(A170="","",Events!AD169)</x:f>
      </x:c>
      <x:c r="AA170" s="79" t="str">
        <x:f>IF(A170="","",Events!AE169)</x:f>
      </x:c>
    </x:row>
    <x:row r="171">
      <x:c r="A171" s="16" t="str">
        <x:f>IF(Events!A170="","",Events!A170)</x:f>
      </x:c>
      <x:c r="B171" s="16" t="str">
        <x:f>IF(A171="","",Events!B170)</x:f>
      </x:c>
      <x:c r="C171" s="16" t="str">
        <x:f>IF(A171="","",Events!E170)</x:f>
      </x:c>
      <x:c r="D171" s="16" t="str">
        <x:f>IF(A171="","",Events!J170)</x:f>
      </x:c>
      <x:c r="E171" s="16" t="str">
        <x:f>IF(A171="","",Events!N170)</x:f>
      </x:c>
      <x:c r="F171" s="109" t="str">
        <x:f>IF(OR(A171="",Events!H170=""),"",Events!H170)</x:f>
      </x:c>
      <x:c r="G171" s="109" t="str">
        <x:f>IF(A171="","",IF(Events!I170&lt;&gt;"",Events!I170,IF(Events!S170&lt;&gt;"",Events!S170,"")))</x:f>
      </x:c>
      <x:c r="H171" s="16" t="str">
        <x:f>IF(A171="","",Events!W170)</x:f>
      </x:c>
      <x:c r="I171" s="16" t="str">
        <x:f>IF(A171="","",IF(Events!Y170&lt;&gt;"",Events!Y170,IF(OR(ISNUMBER(SEARCH("education",P171)),ISNUMBER(SEARCH("exam",P171)),ISNUMBER(SEARCH("school",P171))),"Education",IF(OR(ISNUMBER(SEARCH("trade agreement",P171)),ISNUMBER(SEARCH("economic",P171)),ISNUMBER(SEARCH("import",P171))),"Trade &amp; economic policy",IF(OR(ISNUMBER(SEARCH("land acquisition",P171)),ISNUMBER(SEARCH("rehabilitation",P171)),ISNUMBER(SEARCH("displacement",P171)),ISNUMBER(SEARCH("township",P171))),"Land &amp; rehabilitation",IF(OR(ISNUMBER(SEARCH("forest",P171)),ISNUMBER(SEARCH("environment",P171)),ISNUMBER(SEARCH("ecological",P171)),ISNUMBER(SEARCH("biodiversity",P171)),ISNUMBER(SEARCH("green cover",P171))),"Environment",IF(OR(ISNUMBER(SEARCH("irrigation",P171)),ISNUMBER(SEARCH("water",P171)),ISNUMBER(SEARCH("crop",P171)),ISNUMBER(SEARCH("farmer",P171)),ISNUMBER(SEARCH("agriculture",P171))),"Agriculture &amp; water",IF(OR(ISNUMBER(SEARCH("health",P171)),ISNUMBER(SEARCH("hospital",P171)),ISNUMBER(SEARCH("medicine",P171))),"Public health",IF(OR(ISNUMBER(SEARCH("employee",P171)),ISNUMBER(SEARCH("labour",P171)),ISNUMBER(SEARCH("worker",P171)),ISNUMBER(SEARCH("salary",P171))),"Labour &amp; employment",IF(OR(ISNUMBER(SEARCH("rti",P171)),ISNUMBER(SEARCH("transparency",P171)),ISNUMBER(SEARCH("corruption",P171)),ISNUMBER(SEARCH("governance",P171))),"Governance &amp; transparency",IF(OR(ISNUMBER(SEARCH("police",P171)),ISNUMBER(SEARCH("detention",P171)),ISNUMBER(SEARCH("civil rights",P171)),ISNUMBER(SEARCH("justice",P171))),"Civil rights &amp; justice",IF(OR(ISNUMBER(SEARCH("road",P171)),ISNUMBER(SEARCH("utility",P171)),ISNUMBER(SEARCH("infrastructure",P171)),ISNUMBER(SEARCH("public service",P171))),"Infrastructure &amp; public services","Other"))))))))))))</x:f>
      </x:c>
      <x:c r="J171" s="16" t="str">
        <x:f>IF(A171="","",IF(OR(ISNUMBER(SEARCH("fatal",Q171)),ISNUMBER(SEARCH("death",Q171)),ISNUMBER(SEARCH("riot",Q171)),ISNUMBER(SEARCH("curfew",Q171)),ISNUMBER(SEARCH("internet shutdown",Q171))),5,MIN(4,1+IF(H171&gt;=7,1,0)+IF(OR(ISNUMBER(SEARCH("hunger strike",Q171)),ISNUMBER(SEARCH("blockade",Q171)),ISNUMBER(SEARCH("strike",Q171)),ISNUMBER(SEARCH("jal satyagraha",Q171)),ISNUMBER(SEARCH("survey",Q171)),ISNUMBER(SEARCH("human chain",Q171)),ISNUMBER(SEARCH("march",Q171))),1,0)+IF(OR(ISNUMBER(SEARCH("fir",Q171)),ISNUMBER(SEARCH("confrontation",Q171)),ISNUMBER(SEARCH("violence",Q171)),ISNUMBER(SEARCH("detention",Q171)),ISNUMBER(SEARCH("arrest",Q171)),ISNUMBER(SEARCH("demolition",Q171)),ISNUMBER(SEARCH("injury",Q171))),1,0)+IF(OR(D171="Ongoing",D171="Unresolved"),1,0))))</x:f>
      </x:c>
      <x:c r="K171" s="16" t="str">
        <x:f>IF(J171="","",IF(J171=1,"Limited",IF(J171=2,"Local",IF(J171=3,"Significant",IF(J171=4,"High","Critical")))))</x:f>
      </x:c>
      <x:c r="L171" s="16" t="str">
        <x:f>IF(A171="","",Events!U170)</x:f>
      </x:c>
      <x:c r="M171" s="16" t="str">
        <x:f>IF(A171="","",Events!V170)</x:f>
      </x:c>
      <x:c r="N171" s="16" t="str">
        <x:f>IF(A171="","",Events!Q170)</x:f>
      </x:c>
      <x:c r="O171" s="16" t="str">
        <x:f>IF(A171="","",Events!R170)</x:f>
      </x:c>
      <x:c r="P171" s="16" t="str">
        <x:f>IF(A171="","",LOWER(Events!B170&amp;" "&amp;Events!D170&amp;" "&amp;Events!K170))</x:f>
      </x:c>
      <x:c r="Q171" s="16" t="str">
        <x:f>IF(A171="","",LOWER(Events!C170&amp;" "&amp;Events!K170&amp;" "&amp;Events!T170))</x:f>
      </x:c>
      <x:c r="R171" s="16" t="str">
        <x:f>IF(A171="","",IF(ISNUMBER(SEARCH("Occurrence verified",E171)),"Occurrence verified",E171))</x:f>
      </x:c>
      <x:c r="S171" s="79" t="str">
        <x:f>IF(A171="","",Events!X170)</x:f>
      </x:c>
      <x:c r="Z171" s="79" t="str">
        <x:f>IF(A171="","",Events!AD170)</x:f>
      </x:c>
      <x:c r="AA171" s="79" t="str">
        <x:f>IF(A171="","",Events!AE170)</x:f>
      </x:c>
    </x:row>
    <x:row r="172">
      <x:c r="A172" s="16" t="str">
        <x:f>IF(Events!A171="","",Events!A171)</x:f>
      </x:c>
      <x:c r="B172" s="16" t="str">
        <x:f>IF(A172="","",Events!B171)</x:f>
      </x:c>
      <x:c r="C172" s="16" t="str">
        <x:f>IF(A172="","",Events!E171)</x:f>
      </x:c>
      <x:c r="D172" s="16" t="str">
        <x:f>IF(A172="","",Events!J171)</x:f>
      </x:c>
      <x:c r="E172" s="16" t="str">
        <x:f>IF(A172="","",Events!N171)</x:f>
      </x:c>
      <x:c r="F172" s="109" t="str">
        <x:f>IF(OR(A172="",Events!H171=""),"",Events!H171)</x:f>
      </x:c>
      <x:c r="G172" s="109" t="str">
        <x:f>IF(A172="","",IF(Events!I171&lt;&gt;"",Events!I171,IF(Events!S171&lt;&gt;"",Events!S171,"")))</x:f>
      </x:c>
      <x:c r="H172" s="16" t="str">
        <x:f>IF(A172="","",Events!W171)</x:f>
      </x:c>
      <x:c r="I172" s="16" t="str">
        <x:f>IF(A172="","",IF(Events!Y171&lt;&gt;"",Events!Y171,IF(OR(ISNUMBER(SEARCH("education",P172)),ISNUMBER(SEARCH("exam",P172)),ISNUMBER(SEARCH("school",P172))),"Education",IF(OR(ISNUMBER(SEARCH("trade agreement",P172)),ISNUMBER(SEARCH("economic",P172)),ISNUMBER(SEARCH("import",P172))),"Trade &amp; economic policy",IF(OR(ISNUMBER(SEARCH("land acquisition",P172)),ISNUMBER(SEARCH("rehabilitation",P172)),ISNUMBER(SEARCH("displacement",P172)),ISNUMBER(SEARCH("township",P172))),"Land &amp; rehabilitation",IF(OR(ISNUMBER(SEARCH("forest",P172)),ISNUMBER(SEARCH("environment",P172)),ISNUMBER(SEARCH("ecological",P172)),ISNUMBER(SEARCH("biodiversity",P172)),ISNUMBER(SEARCH("green cover",P172))),"Environment",IF(OR(ISNUMBER(SEARCH("irrigation",P172)),ISNUMBER(SEARCH("water",P172)),ISNUMBER(SEARCH("crop",P172)),ISNUMBER(SEARCH("farmer",P172)),ISNUMBER(SEARCH("agriculture",P172))),"Agriculture &amp; water",IF(OR(ISNUMBER(SEARCH("health",P172)),ISNUMBER(SEARCH("hospital",P172)),ISNUMBER(SEARCH("medicine",P172))),"Public health",IF(OR(ISNUMBER(SEARCH("employee",P172)),ISNUMBER(SEARCH("labour",P172)),ISNUMBER(SEARCH("worker",P172)),ISNUMBER(SEARCH("salary",P172))),"Labour &amp; employment",IF(OR(ISNUMBER(SEARCH("rti",P172)),ISNUMBER(SEARCH("transparency",P172)),ISNUMBER(SEARCH("corruption",P172)),ISNUMBER(SEARCH("governance",P172))),"Governance &amp; transparency",IF(OR(ISNUMBER(SEARCH("police",P172)),ISNUMBER(SEARCH("detention",P172)),ISNUMBER(SEARCH("civil rights",P172)),ISNUMBER(SEARCH("justice",P172))),"Civil rights &amp; justice",IF(OR(ISNUMBER(SEARCH("road",P172)),ISNUMBER(SEARCH("utility",P172)),ISNUMBER(SEARCH("infrastructure",P172)),ISNUMBER(SEARCH("public service",P172))),"Infrastructure &amp; public services","Other"))))))))))))</x:f>
      </x:c>
      <x:c r="J172" s="16" t="str">
        <x:f>IF(A172="","",IF(OR(ISNUMBER(SEARCH("fatal",Q172)),ISNUMBER(SEARCH("death",Q172)),ISNUMBER(SEARCH("riot",Q172)),ISNUMBER(SEARCH("curfew",Q172)),ISNUMBER(SEARCH("internet shutdown",Q172))),5,MIN(4,1+IF(H172&gt;=7,1,0)+IF(OR(ISNUMBER(SEARCH("hunger strike",Q172)),ISNUMBER(SEARCH("blockade",Q172)),ISNUMBER(SEARCH("strike",Q172)),ISNUMBER(SEARCH("jal satyagraha",Q172)),ISNUMBER(SEARCH("survey",Q172)),ISNUMBER(SEARCH("human chain",Q172)),ISNUMBER(SEARCH("march",Q172))),1,0)+IF(OR(ISNUMBER(SEARCH("fir",Q172)),ISNUMBER(SEARCH("confrontation",Q172)),ISNUMBER(SEARCH("violence",Q172)),ISNUMBER(SEARCH("detention",Q172)),ISNUMBER(SEARCH("arrest",Q172)),ISNUMBER(SEARCH("demolition",Q172)),ISNUMBER(SEARCH("injury",Q172))),1,0)+IF(OR(D172="Ongoing",D172="Unresolved"),1,0))))</x:f>
      </x:c>
      <x:c r="K172" s="16" t="str">
        <x:f>IF(J172="","",IF(J172=1,"Limited",IF(J172=2,"Local",IF(J172=3,"Significant",IF(J172=4,"High","Critical")))))</x:f>
      </x:c>
      <x:c r="L172" s="16" t="str">
        <x:f>IF(A172="","",Events!U171)</x:f>
      </x:c>
      <x:c r="M172" s="16" t="str">
        <x:f>IF(A172="","",Events!V171)</x:f>
      </x:c>
      <x:c r="N172" s="16" t="str">
        <x:f>IF(A172="","",Events!Q171)</x:f>
      </x:c>
      <x:c r="O172" s="16" t="str">
        <x:f>IF(A172="","",Events!R171)</x:f>
      </x:c>
      <x:c r="P172" s="16" t="str">
        <x:f>IF(A172="","",LOWER(Events!B171&amp;" "&amp;Events!D171&amp;" "&amp;Events!K171))</x:f>
      </x:c>
      <x:c r="Q172" s="16" t="str">
        <x:f>IF(A172="","",LOWER(Events!C171&amp;" "&amp;Events!K171&amp;" "&amp;Events!T171))</x:f>
      </x:c>
      <x:c r="R172" s="16" t="str">
        <x:f>IF(A172="","",IF(ISNUMBER(SEARCH("Occurrence verified",E172)),"Occurrence verified",E172))</x:f>
      </x:c>
      <x:c r="S172" s="79" t="str">
        <x:f>IF(A172="","",Events!X171)</x:f>
      </x:c>
      <x:c r="Z172" s="79" t="str">
        <x:f>IF(A172="","",Events!AD171)</x:f>
      </x:c>
      <x:c r="AA172" s="79" t="str">
        <x:f>IF(A172="","",Events!AE171)</x:f>
      </x:c>
    </x:row>
    <x:row r="173">
      <x:c r="A173" s="16" t="str">
        <x:f>IF(Events!A172="","",Events!A172)</x:f>
      </x:c>
      <x:c r="B173" s="16" t="str">
        <x:f>IF(A173="","",Events!B172)</x:f>
      </x:c>
      <x:c r="C173" s="16" t="str">
        <x:f>IF(A173="","",Events!E172)</x:f>
      </x:c>
      <x:c r="D173" s="16" t="str">
        <x:f>IF(A173="","",Events!J172)</x:f>
      </x:c>
      <x:c r="E173" s="16" t="str">
        <x:f>IF(A173="","",Events!N172)</x:f>
      </x:c>
      <x:c r="F173" s="109" t="str">
        <x:f>IF(OR(A173="",Events!H172=""),"",Events!H172)</x:f>
      </x:c>
      <x:c r="G173" s="109" t="str">
        <x:f>IF(A173="","",IF(Events!I172&lt;&gt;"",Events!I172,IF(Events!S172&lt;&gt;"",Events!S172,"")))</x:f>
      </x:c>
      <x:c r="H173" s="16" t="str">
        <x:f>IF(A173="","",Events!W172)</x:f>
      </x:c>
      <x:c r="I173" s="16" t="str">
        <x:f>IF(A173="","",IF(Events!Y172&lt;&gt;"",Events!Y172,IF(OR(ISNUMBER(SEARCH("education",P173)),ISNUMBER(SEARCH("exam",P173)),ISNUMBER(SEARCH("school",P173))),"Education",IF(OR(ISNUMBER(SEARCH("trade agreement",P173)),ISNUMBER(SEARCH("economic",P173)),ISNUMBER(SEARCH("import",P173))),"Trade &amp; economic policy",IF(OR(ISNUMBER(SEARCH("land acquisition",P173)),ISNUMBER(SEARCH("rehabilitation",P173)),ISNUMBER(SEARCH("displacement",P173)),ISNUMBER(SEARCH("township",P173))),"Land &amp; rehabilitation",IF(OR(ISNUMBER(SEARCH("forest",P173)),ISNUMBER(SEARCH("environment",P173)),ISNUMBER(SEARCH("ecological",P173)),ISNUMBER(SEARCH("biodiversity",P173)),ISNUMBER(SEARCH("green cover",P173))),"Environment",IF(OR(ISNUMBER(SEARCH("irrigation",P173)),ISNUMBER(SEARCH("water",P173)),ISNUMBER(SEARCH("crop",P173)),ISNUMBER(SEARCH("farmer",P173)),ISNUMBER(SEARCH("agriculture",P173))),"Agriculture &amp; water",IF(OR(ISNUMBER(SEARCH("health",P173)),ISNUMBER(SEARCH("hospital",P173)),ISNUMBER(SEARCH("medicine",P173))),"Public health",IF(OR(ISNUMBER(SEARCH("employee",P173)),ISNUMBER(SEARCH("labour",P173)),ISNUMBER(SEARCH("worker",P173)),ISNUMBER(SEARCH("salary",P173))),"Labour &amp; employment",IF(OR(ISNUMBER(SEARCH("rti",P173)),ISNUMBER(SEARCH("transparency",P173)),ISNUMBER(SEARCH("corruption",P173)),ISNUMBER(SEARCH("governance",P173))),"Governance &amp; transparency",IF(OR(ISNUMBER(SEARCH("police",P173)),ISNUMBER(SEARCH("detention",P173)),ISNUMBER(SEARCH("civil rights",P173)),ISNUMBER(SEARCH("justice",P173))),"Civil rights &amp; justice",IF(OR(ISNUMBER(SEARCH("road",P173)),ISNUMBER(SEARCH("utility",P173)),ISNUMBER(SEARCH("infrastructure",P173)),ISNUMBER(SEARCH("public service",P173))),"Infrastructure &amp; public services","Other"))))))))))))</x:f>
      </x:c>
      <x:c r="J173" s="16" t="str">
        <x:f>IF(A173="","",IF(OR(ISNUMBER(SEARCH("fatal",Q173)),ISNUMBER(SEARCH("death",Q173)),ISNUMBER(SEARCH("riot",Q173)),ISNUMBER(SEARCH("curfew",Q173)),ISNUMBER(SEARCH("internet shutdown",Q173))),5,MIN(4,1+IF(H173&gt;=7,1,0)+IF(OR(ISNUMBER(SEARCH("hunger strike",Q173)),ISNUMBER(SEARCH("blockade",Q173)),ISNUMBER(SEARCH("strike",Q173)),ISNUMBER(SEARCH("jal satyagraha",Q173)),ISNUMBER(SEARCH("survey",Q173)),ISNUMBER(SEARCH("human chain",Q173)),ISNUMBER(SEARCH("march",Q173))),1,0)+IF(OR(ISNUMBER(SEARCH("fir",Q173)),ISNUMBER(SEARCH("confrontation",Q173)),ISNUMBER(SEARCH("violence",Q173)),ISNUMBER(SEARCH("detention",Q173)),ISNUMBER(SEARCH("arrest",Q173)),ISNUMBER(SEARCH("demolition",Q173)),ISNUMBER(SEARCH("injury",Q173))),1,0)+IF(OR(D173="Ongoing",D173="Unresolved"),1,0))))</x:f>
      </x:c>
      <x:c r="K173" s="16" t="str">
        <x:f>IF(J173="","",IF(J173=1,"Limited",IF(J173=2,"Local",IF(J173=3,"Significant",IF(J173=4,"High","Critical")))))</x:f>
      </x:c>
      <x:c r="L173" s="16" t="str">
        <x:f>IF(A173="","",Events!U172)</x:f>
      </x:c>
      <x:c r="M173" s="16" t="str">
        <x:f>IF(A173="","",Events!V172)</x:f>
      </x:c>
      <x:c r="N173" s="16" t="str">
        <x:f>IF(A173="","",Events!Q172)</x:f>
      </x:c>
      <x:c r="O173" s="16" t="str">
        <x:f>IF(A173="","",Events!R172)</x:f>
      </x:c>
      <x:c r="P173" s="16" t="str">
        <x:f>IF(A173="","",LOWER(Events!B172&amp;" "&amp;Events!D172&amp;" "&amp;Events!K172))</x:f>
      </x:c>
      <x:c r="Q173" s="16" t="str">
        <x:f>IF(A173="","",LOWER(Events!C172&amp;" "&amp;Events!K172&amp;" "&amp;Events!T172))</x:f>
      </x:c>
      <x:c r="R173" s="16" t="str">
        <x:f>IF(A173="","",IF(ISNUMBER(SEARCH("Occurrence verified",E173)),"Occurrence verified",E173))</x:f>
      </x:c>
      <x:c r="S173" s="79" t="str">
        <x:f>IF(A173="","",Events!X172)</x:f>
      </x:c>
      <x:c r="Z173" s="79" t="str">
        <x:f>IF(A173="","",Events!AD172)</x:f>
      </x:c>
      <x:c r="AA173" s="79" t="str">
        <x:f>IF(A173="","",Events!AE172)</x:f>
      </x:c>
    </x:row>
    <x:row r="174">
      <x:c r="A174" s="16" t="str">
        <x:f>IF(Events!A173="","",Events!A173)</x:f>
      </x:c>
      <x:c r="B174" s="16" t="str">
        <x:f>IF(A174="","",Events!B173)</x:f>
      </x:c>
      <x:c r="C174" s="16" t="str">
        <x:f>IF(A174="","",Events!E173)</x:f>
      </x:c>
      <x:c r="D174" s="16" t="str">
        <x:f>IF(A174="","",Events!J173)</x:f>
      </x:c>
      <x:c r="E174" s="16" t="str">
        <x:f>IF(A174="","",Events!N173)</x:f>
      </x:c>
      <x:c r="F174" s="109" t="str">
        <x:f>IF(OR(A174="",Events!H173=""),"",Events!H173)</x:f>
      </x:c>
      <x:c r="G174" s="109" t="str">
        <x:f>IF(A174="","",IF(Events!I173&lt;&gt;"",Events!I173,IF(Events!S173&lt;&gt;"",Events!S173,"")))</x:f>
      </x:c>
      <x:c r="H174" s="16" t="str">
        <x:f>IF(A174="","",Events!W173)</x:f>
      </x:c>
      <x:c r="I174" s="16" t="str">
        <x:f>IF(A174="","",IF(Events!Y173&lt;&gt;"",Events!Y173,IF(OR(ISNUMBER(SEARCH("education",P174)),ISNUMBER(SEARCH("exam",P174)),ISNUMBER(SEARCH("school",P174))),"Education",IF(OR(ISNUMBER(SEARCH("trade agreement",P174)),ISNUMBER(SEARCH("economic",P174)),ISNUMBER(SEARCH("import",P174))),"Trade &amp; economic policy",IF(OR(ISNUMBER(SEARCH("land acquisition",P174)),ISNUMBER(SEARCH("rehabilitation",P174)),ISNUMBER(SEARCH("displacement",P174)),ISNUMBER(SEARCH("township",P174))),"Land &amp; rehabilitation",IF(OR(ISNUMBER(SEARCH("forest",P174)),ISNUMBER(SEARCH("environment",P174)),ISNUMBER(SEARCH("ecological",P174)),ISNUMBER(SEARCH("biodiversity",P174)),ISNUMBER(SEARCH("green cover",P174))),"Environment",IF(OR(ISNUMBER(SEARCH("irrigation",P174)),ISNUMBER(SEARCH("water",P174)),ISNUMBER(SEARCH("crop",P174)),ISNUMBER(SEARCH("farmer",P174)),ISNUMBER(SEARCH("agriculture",P174))),"Agriculture &amp; water",IF(OR(ISNUMBER(SEARCH("health",P174)),ISNUMBER(SEARCH("hospital",P174)),ISNUMBER(SEARCH("medicine",P174))),"Public health",IF(OR(ISNUMBER(SEARCH("employee",P174)),ISNUMBER(SEARCH("labour",P174)),ISNUMBER(SEARCH("worker",P174)),ISNUMBER(SEARCH("salary",P174))),"Labour &amp; employment",IF(OR(ISNUMBER(SEARCH("rti",P174)),ISNUMBER(SEARCH("transparency",P174)),ISNUMBER(SEARCH("corruption",P174)),ISNUMBER(SEARCH("governance",P174))),"Governance &amp; transparency",IF(OR(ISNUMBER(SEARCH("police",P174)),ISNUMBER(SEARCH("detention",P174)),ISNUMBER(SEARCH("civil rights",P174)),ISNUMBER(SEARCH("justice",P174))),"Civil rights &amp; justice",IF(OR(ISNUMBER(SEARCH("road",P174)),ISNUMBER(SEARCH("utility",P174)),ISNUMBER(SEARCH("infrastructure",P174)),ISNUMBER(SEARCH("public service",P174))),"Infrastructure &amp; public services","Other"))))))))))))</x:f>
      </x:c>
      <x:c r="J174" s="16" t="str">
        <x:f>IF(A174="","",IF(OR(ISNUMBER(SEARCH("fatal",Q174)),ISNUMBER(SEARCH("death",Q174)),ISNUMBER(SEARCH("riot",Q174)),ISNUMBER(SEARCH("curfew",Q174)),ISNUMBER(SEARCH("internet shutdown",Q174))),5,MIN(4,1+IF(H174&gt;=7,1,0)+IF(OR(ISNUMBER(SEARCH("hunger strike",Q174)),ISNUMBER(SEARCH("blockade",Q174)),ISNUMBER(SEARCH("strike",Q174)),ISNUMBER(SEARCH("jal satyagraha",Q174)),ISNUMBER(SEARCH("survey",Q174)),ISNUMBER(SEARCH("human chain",Q174)),ISNUMBER(SEARCH("march",Q174))),1,0)+IF(OR(ISNUMBER(SEARCH("fir",Q174)),ISNUMBER(SEARCH("confrontation",Q174)),ISNUMBER(SEARCH("violence",Q174)),ISNUMBER(SEARCH("detention",Q174)),ISNUMBER(SEARCH("arrest",Q174)),ISNUMBER(SEARCH("demolition",Q174)),ISNUMBER(SEARCH("injury",Q174))),1,0)+IF(OR(D174="Ongoing",D174="Unresolved"),1,0))))</x:f>
      </x:c>
      <x:c r="K174" s="16" t="str">
        <x:f>IF(J174="","",IF(J174=1,"Limited",IF(J174=2,"Local",IF(J174=3,"Significant",IF(J174=4,"High","Critical")))))</x:f>
      </x:c>
      <x:c r="L174" s="16" t="str">
        <x:f>IF(A174="","",Events!U173)</x:f>
      </x:c>
      <x:c r="M174" s="16" t="str">
        <x:f>IF(A174="","",Events!V173)</x:f>
      </x:c>
      <x:c r="N174" s="16" t="str">
        <x:f>IF(A174="","",Events!Q173)</x:f>
      </x:c>
      <x:c r="O174" s="16" t="str">
        <x:f>IF(A174="","",Events!R173)</x:f>
      </x:c>
      <x:c r="P174" s="16" t="str">
        <x:f>IF(A174="","",LOWER(Events!B173&amp;" "&amp;Events!D173&amp;" "&amp;Events!K173))</x:f>
      </x:c>
      <x:c r="Q174" s="16" t="str">
        <x:f>IF(A174="","",LOWER(Events!C173&amp;" "&amp;Events!K173&amp;" "&amp;Events!T173))</x:f>
      </x:c>
      <x:c r="R174" s="16" t="str">
        <x:f>IF(A174="","",IF(ISNUMBER(SEARCH("Occurrence verified",E174)),"Occurrence verified",E174))</x:f>
      </x:c>
      <x:c r="S174" s="79" t="str">
        <x:f>IF(A174="","",Events!X173)</x:f>
      </x:c>
      <x:c r="Z174" s="79" t="str">
        <x:f>IF(A174="","",Events!AD173)</x:f>
      </x:c>
      <x:c r="AA174" s="79" t="str">
        <x:f>IF(A174="","",Events!AE173)</x:f>
      </x:c>
    </x:row>
    <x:row r="175">
      <x:c r="A175" s="16" t="str">
        <x:f>IF(Events!A174="","",Events!A174)</x:f>
      </x:c>
      <x:c r="B175" s="16" t="str">
        <x:f>IF(A175="","",Events!B174)</x:f>
      </x:c>
      <x:c r="C175" s="16" t="str">
        <x:f>IF(A175="","",Events!E174)</x:f>
      </x:c>
      <x:c r="D175" s="16" t="str">
        <x:f>IF(A175="","",Events!J174)</x:f>
      </x:c>
      <x:c r="E175" s="16" t="str">
        <x:f>IF(A175="","",Events!N174)</x:f>
      </x:c>
      <x:c r="F175" s="109" t="str">
        <x:f>IF(OR(A175="",Events!H174=""),"",Events!H174)</x:f>
      </x:c>
      <x:c r="G175" s="109" t="str">
        <x:f>IF(A175="","",IF(Events!I174&lt;&gt;"",Events!I174,IF(Events!S174&lt;&gt;"",Events!S174,"")))</x:f>
      </x:c>
      <x:c r="H175" s="16" t="str">
        <x:f>IF(A175="","",Events!W174)</x:f>
      </x:c>
      <x:c r="I175" s="16" t="str">
        <x:f>IF(A175="","",IF(Events!Y174&lt;&gt;"",Events!Y174,IF(OR(ISNUMBER(SEARCH("education",P175)),ISNUMBER(SEARCH("exam",P175)),ISNUMBER(SEARCH("school",P175))),"Education",IF(OR(ISNUMBER(SEARCH("trade agreement",P175)),ISNUMBER(SEARCH("economic",P175)),ISNUMBER(SEARCH("import",P175))),"Trade &amp; economic policy",IF(OR(ISNUMBER(SEARCH("land acquisition",P175)),ISNUMBER(SEARCH("rehabilitation",P175)),ISNUMBER(SEARCH("displacement",P175)),ISNUMBER(SEARCH("township",P175))),"Land &amp; rehabilitation",IF(OR(ISNUMBER(SEARCH("forest",P175)),ISNUMBER(SEARCH("environment",P175)),ISNUMBER(SEARCH("ecological",P175)),ISNUMBER(SEARCH("biodiversity",P175)),ISNUMBER(SEARCH("green cover",P175))),"Environment",IF(OR(ISNUMBER(SEARCH("irrigation",P175)),ISNUMBER(SEARCH("water",P175)),ISNUMBER(SEARCH("crop",P175)),ISNUMBER(SEARCH("farmer",P175)),ISNUMBER(SEARCH("agriculture",P175))),"Agriculture &amp; water",IF(OR(ISNUMBER(SEARCH("health",P175)),ISNUMBER(SEARCH("hospital",P175)),ISNUMBER(SEARCH("medicine",P175))),"Public health",IF(OR(ISNUMBER(SEARCH("employee",P175)),ISNUMBER(SEARCH("labour",P175)),ISNUMBER(SEARCH("worker",P175)),ISNUMBER(SEARCH("salary",P175))),"Labour &amp; employment",IF(OR(ISNUMBER(SEARCH("rti",P175)),ISNUMBER(SEARCH("transparency",P175)),ISNUMBER(SEARCH("corruption",P175)),ISNUMBER(SEARCH("governance",P175))),"Governance &amp; transparency",IF(OR(ISNUMBER(SEARCH("police",P175)),ISNUMBER(SEARCH("detention",P175)),ISNUMBER(SEARCH("civil rights",P175)),ISNUMBER(SEARCH("justice",P175))),"Civil rights &amp; justice",IF(OR(ISNUMBER(SEARCH("road",P175)),ISNUMBER(SEARCH("utility",P175)),ISNUMBER(SEARCH("infrastructure",P175)),ISNUMBER(SEARCH("public service",P175))),"Infrastructure &amp; public services","Other"))))))))))))</x:f>
      </x:c>
      <x:c r="J175" s="16" t="str">
        <x:f>IF(A175="","",IF(OR(ISNUMBER(SEARCH("fatal",Q175)),ISNUMBER(SEARCH("death",Q175)),ISNUMBER(SEARCH("riot",Q175)),ISNUMBER(SEARCH("curfew",Q175)),ISNUMBER(SEARCH("internet shutdown",Q175))),5,MIN(4,1+IF(H175&gt;=7,1,0)+IF(OR(ISNUMBER(SEARCH("hunger strike",Q175)),ISNUMBER(SEARCH("blockade",Q175)),ISNUMBER(SEARCH("strike",Q175)),ISNUMBER(SEARCH("jal satyagraha",Q175)),ISNUMBER(SEARCH("survey",Q175)),ISNUMBER(SEARCH("human chain",Q175)),ISNUMBER(SEARCH("march",Q175))),1,0)+IF(OR(ISNUMBER(SEARCH("fir",Q175)),ISNUMBER(SEARCH("confrontation",Q175)),ISNUMBER(SEARCH("violence",Q175)),ISNUMBER(SEARCH("detention",Q175)),ISNUMBER(SEARCH("arrest",Q175)),ISNUMBER(SEARCH("demolition",Q175)),ISNUMBER(SEARCH("injury",Q175))),1,0)+IF(OR(D175="Ongoing",D175="Unresolved"),1,0))))</x:f>
      </x:c>
      <x:c r="K175" s="16" t="str">
        <x:f>IF(J175="","",IF(J175=1,"Limited",IF(J175=2,"Local",IF(J175=3,"Significant",IF(J175=4,"High","Critical")))))</x:f>
      </x:c>
      <x:c r="L175" s="16" t="str">
        <x:f>IF(A175="","",Events!U174)</x:f>
      </x:c>
      <x:c r="M175" s="16" t="str">
        <x:f>IF(A175="","",Events!V174)</x:f>
      </x:c>
      <x:c r="N175" s="16" t="str">
        <x:f>IF(A175="","",Events!Q174)</x:f>
      </x:c>
      <x:c r="O175" s="16" t="str">
        <x:f>IF(A175="","",Events!R174)</x:f>
      </x:c>
      <x:c r="P175" s="16" t="str">
        <x:f>IF(A175="","",LOWER(Events!B174&amp;" "&amp;Events!D174&amp;" "&amp;Events!K174))</x:f>
      </x:c>
      <x:c r="Q175" s="16" t="str">
        <x:f>IF(A175="","",LOWER(Events!C174&amp;" "&amp;Events!K174&amp;" "&amp;Events!T174))</x:f>
      </x:c>
      <x:c r="R175" s="16" t="str">
        <x:f>IF(A175="","",IF(ISNUMBER(SEARCH("Occurrence verified",E175)),"Occurrence verified",E175))</x:f>
      </x:c>
      <x:c r="S175" s="79" t="str">
        <x:f>IF(A175="","",Events!X174)</x:f>
      </x:c>
      <x:c r="Z175" s="79" t="str">
        <x:f>IF(A175="","",Events!AD174)</x:f>
      </x:c>
      <x:c r="AA175" s="79" t="str">
        <x:f>IF(A175="","",Events!AE174)</x:f>
      </x:c>
    </x:row>
    <x:row r="176">
      <x:c r="A176" s="16" t="str">
        <x:f>IF(Events!A175="","",Events!A175)</x:f>
      </x:c>
      <x:c r="B176" s="16" t="str">
        <x:f>IF(A176="","",Events!B175)</x:f>
      </x:c>
      <x:c r="C176" s="16" t="str">
        <x:f>IF(A176="","",Events!E175)</x:f>
      </x:c>
      <x:c r="D176" s="16" t="str">
        <x:f>IF(A176="","",Events!J175)</x:f>
      </x:c>
      <x:c r="E176" s="16" t="str">
        <x:f>IF(A176="","",Events!N175)</x:f>
      </x:c>
      <x:c r="F176" s="109" t="str">
        <x:f>IF(OR(A176="",Events!H175=""),"",Events!H175)</x:f>
      </x:c>
      <x:c r="G176" s="109" t="str">
        <x:f>IF(A176="","",IF(Events!I175&lt;&gt;"",Events!I175,IF(Events!S175&lt;&gt;"",Events!S175,"")))</x:f>
      </x:c>
      <x:c r="H176" s="16" t="str">
        <x:f>IF(A176="","",Events!W175)</x:f>
      </x:c>
      <x:c r="I176" s="16" t="str">
        <x:f>IF(A176="","",IF(Events!Y175&lt;&gt;"",Events!Y175,IF(OR(ISNUMBER(SEARCH("education",P176)),ISNUMBER(SEARCH("exam",P176)),ISNUMBER(SEARCH("school",P176))),"Education",IF(OR(ISNUMBER(SEARCH("trade agreement",P176)),ISNUMBER(SEARCH("economic",P176)),ISNUMBER(SEARCH("import",P176))),"Trade &amp; economic policy",IF(OR(ISNUMBER(SEARCH("land acquisition",P176)),ISNUMBER(SEARCH("rehabilitation",P176)),ISNUMBER(SEARCH("displacement",P176)),ISNUMBER(SEARCH("township",P176))),"Land &amp; rehabilitation",IF(OR(ISNUMBER(SEARCH("forest",P176)),ISNUMBER(SEARCH("environment",P176)),ISNUMBER(SEARCH("ecological",P176)),ISNUMBER(SEARCH("biodiversity",P176)),ISNUMBER(SEARCH("green cover",P176))),"Environment",IF(OR(ISNUMBER(SEARCH("irrigation",P176)),ISNUMBER(SEARCH("water",P176)),ISNUMBER(SEARCH("crop",P176)),ISNUMBER(SEARCH("farmer",P176)),ISNUMBER(SEARCH("agriculture",P176))),"Agriculture &amp; water",IF(OR(ISNUMBER(SEARCH("health",P176)),ISNUMBER(SEARCH("hospital",P176)),ISNUMBER(SEARCH("medicine",P176))),"Public health",IF(OR(ISNUMBER(SEARCH("employee",P176)),ISNUMBER(SEARCH("labour",P176)),ISNUMBER(SEARCH("worker",P176)),ISNUMBER(SEARCH("salary",P176))),"Labour &amp; employment",IF(OR(ISNUMBER(SEARCH("rti",P176)),ISNUMBER(SEARCH("transparency",P176)),ISNUMBER(SEARCH("corruption",P176)),ISNUMBER(SEARCH("governance",P176))),"Governance &amp; transparency",IF(OR(ISNUMBER(SEARCH("police",P176)),ISNUMBER(SEARCH("detention",P176)),ISNUMBER(SEARCH("civil rights",P176)),ISNUMBER(SEARCH("justice",P176))),"Civil rights &amp; justice",IF(OR(ISNUMBER(SEARCH("road",P176)),ISNUMBER(SEARCH("utility",P176)),ISNUMBER(SEARCH("infrastructure",P176)),ISNUMBER(SEARCH("public service",P176))),"Infrastructure &amp; public services","Other"))))))))))))</x:f>
      </x:c>
      <x:c r="J176" s="16" t="str">
        <x:f>IF(A176="","",IF(OR(ISNUMBER(SEARCH("fatal",Q176)),ISNUMBER(SEARCH("death",Q176)),ISNUMBER(SEARCH("riot",Q176)),ISNUMBER(SEARCH("curfew",Q176)),ISNUMBER(SEARCH("internet shutdown",Q176))),5,MIN(4,1+IF(H176&gt;=7,1,0)+IF(OR(ISNUMBER(SEARCH("hunger strike",Q176)),ISNUMBER(SEARCH("blockade",Q176)),ISNUMBER(SEARCH("strike",Q176)),ISNUMBER(SEARCH("jal satyagraha",Q176)),ISNUMBER(SEARCH("survey",Q176)),ISNUMBER(SEARCH("human chain",Q176)),ISNUMBER(SEARCH("march",Q176))),1,0)+IF(OR(ISNUMBER(SEARCH("fir",Q176)),ISNUMBER(SEARCH("confrontation",Q176)),ISNUMBER(SEARCH("violence",Q176)),ISNUMBER(SEARCH("detention",Q176)),ISNUMBER(SEARCH("arrest",Q176)),ISNUMBER(SEARCH("demolition",Q176)),ISNUMBER(SEARCH("injury",Q176))),1,0)+IF(OR(D176="Ongoing",D176="Unresolved"),1,0))))</x:f>
      </x:c>
      <x:c r="K176" s="16" t="str">
        <x:f>IF(J176="","",IF(J176=1,"Limited",IF(J176=2,"Local",IF(J176=3,"Significant",IF(J176=4,"High","Critical")))))</x:f>
      </x:c>
      <x:c r="L176" s="16" t="str">
        <x:f>IF(A176="","",Events!U175)</x:f>
      </x:c>
      <x:c r="M176" s="16" t="str">
        <x:f>IF(A176="","",Events!V175)</x:f>
      </x:c>
      <x:c r="N176" s="16" t="str">
        <x:f>IF(A176="","",Events!Q175)</x:f>
      </x:c>
      <x:c r="O176" s="16" t="str">
        <x:f>IF(A176="","",Events!R175)</x:f>
      </x:c>
      <x:c r="P176" s="16" t="str">
        <x:f>IF(A176="","",LOWER(Events!B175&amp;" "&amp;Events!D175&amp;" "&amp;Events!K175))</x:f>
      </x:c>
      <x:c r="Q176" s="16" t="str">
        <x:f>IF(A176="","",LOWER(Events!C175&amp;" "&amp;Events!K175&amp;" "&amp;Events!T175))</x:f>
      </x:c>
      <x:c r="R176" s="16" t="str">
        <x:f>IF(A176="","",IF(ISNUMBER(SEARCH("Occurrence verified",E176)),"Occurrence verified",E176))</x:f>
      </x:c>
      <x:c r="S176" s="79" t="str">
        <x:f>IF(A176="","",Events!X175)</x:f>
      </x:c>
      <x:c r="Z176" s="79" t="str">
        <x:f>IF(A176="","",Events!AD175)</x:f>
      </x:c>
      <x:c r="AA176" s="79" t="str">
        <x:f>IF(A176="","",Events!AE175)</x:f>
      </x:c>
    </x:row>
    <x:row r="177">
      <x:c r="A177" s="16" t="str">
        <x:f>IF(Events!A176="","",Events!A176)</x:f>
      </x:c>
      <x:c r="B177" s="16" t="str">
        <x:f>IF(A177="","",Events!B176)</x:f>
      </x:c>
      <x:c r="C177" s="16" t="str">
        <x:f>IF(A177="","",Events!E176)</x:f>
      </x:c>
      <x:c r="D177" s="16" t="str">
        <x:f>IF(A177="","",Events!J176)</x:f>
      </x:c>
      <x:c r="E177" s="16" t="str">
        <x:f>IF(A177="","",Events!N176)</x:f>
      </x:c>
      <x:c r="F177" s="109" t="str">
        <x:f>IF(OR(A177="",Events!H176=""),"",Events!H176)</x:f>
      </x:c>
      <x:c r="G177" s="109" t="str">
        <x:f>IF(A177="","",IF(Events!I176&lt;&gt;"",Events!I176,IF(Events!S176&lt;&gt;"",Events!S176,"")))</x:f>
      </x:c>
      <x:c r="H177" s="16" t="str">
        <x:f>IF(A177="","",Events!W176)</x:f>
      </x:c>
      <x:c r="I177" s="16" t="str">
        <x:f>IF(A177="","",IF(Events!Y176&lt;&gt;"",Events!Y176,IF(OR(ISNUMBER(SEARCH("education",P177)),ISNUMBER(SEARCH("exam",P177)),ISNUMBER(SEARCH("school",P177))),"Education",IF(OR(ISNUMBER(SEARCH("trade agreement",P177)),ISNUMBER(SEARCH("economic",P177)),ISNUMBER(SEARCH("import",P177))),"Trade &amp; economic policy",IF(OR(ISNUMBER(SEARCH("land acquisition",P177)),ISNUMBER(SEARCH("rehabilitation",P177)),ISNUMBER(SEARCH("displacement",P177)),ISNUMBER(SEARCH("township",P177))),"Land &amp; rehabilitation",IF(OR(ISNUMBER(SEARCH("forest",P177)),ISNUMBER(SEARCH("environment",P177)),ISNUMBER(SEARCH("ecological",P177)),ISNUMBER(SEARCH("biodiversity",P177)),ISNUMBER(SEARCH("green cover",P177))),"Environment",IF(OR(ISNUMBER(SEARCH("irrigation",P177)),ISNUMBER(SEARCH("water",P177)),ISNUMBER(SEARCH("crop",P177)),ISNUMBER(SEARCH("farmer",P177)),ISNUMBER(SEARCH("agriculture",P177))),"Agriculture &amp; water",IF(OR(ISNUMBER(SEARCH("health",P177)),ISNUMBER(SEARCH("hospital",P177)),ISNUMBER(SEARCH("medicine",P177))),"Public health",IF(OR(ISNUMBER(SEARCH("employee",P177)),ISNUMBER(SEARCH("labour",P177)),ISNUMBER(SEARCH("worker",P177)),ISNUMBER(SEARCH("salary",P177))),"Labour &amp; employment",IF(OR(ISNUMBER(SEARCH("rti",P177)),ISNUMBER(SEARCH("transparency",P177)),ISNUMBER(SEARCH("corruption",P177)),ISNUMBER(SEARCH("governance",P177))),"Governance &amp; transparency",IF(OR(ISNUMBER(SEARCH("police",P177)),ISNUMBER(SEARCH("detention",P177)),ISNUMBER(SEARCH("civil rights",P177)),ISNUMBER(SEARCH("justice",P177))),"Civil rights &amp; justice",IF(OR(ISNUMBER(SEARCH("road",P177)),ISNUMBER(SEARCH("utility",P177)),ISNUMBER(SEARCH("infrastructure",P177)),ISNUMBER(SEARCH("public service",P177))),"Infrastructure &amp; public services","Other"))))))))))))</x:f>
      </x:c>
      <x:c r="J177" s="16" t="str">
        <x:f>IF(A177="","",IF(OR(ISNUMBER(SEARCH("fatal",Q177)),ISNUMBER(SEARCH("death",Q177)),ISNUMBER(SEARCH("riot",Q177)),ISNUMBER(SEARCH("curfew",Q177)),ISNUMBER(SEARCH("internet shutdown",Q177))),5,MIN(4,1+IF(H177&gt;=7,1,0)+IF(OR(ISNUMBER(SEARCH("hunger strike",Q177)),ISNUMBER(SEARCH("blockade",Q177)),ISNUMBER(SEARCH("strike",Q177)),ISNUMBER(SEARCH("jal satyagraha",Q177)),ISNUMBER(SEARCH("survey",Q177)),ISNUMBER(SEARCH("human chain",Q177)),ISNUMBER(SEARCH("march",Q177))),1,0)+IF(OR(ISNUMBER(SEARCH("fir",Q177)),ISNUMBER(SEARCH("confrontation",Q177)),ISNUMBER(SEARCH("violence",Q177)),ISNUMBER(SEARCH("detention",Q177)),ISNUMBER(SEARCH("arrest",Q177)),ISNUMBER(SEARCH("demolition",Q177)),ISNUMBER(SEARCH("injury",Q177))),1,0)+IF(OR(D177="Ongoing",D177="Unresolved"),1,0))))</x:f>
      </x:c>
      <x:c r="K177" s="16" t="str">
        <x:f>IF(J177="","",IF(J177=1,"Limited",IF(J177=2,"Local",IF(J177=3,"Significant",IF(J177=4,"High","Critical")))))</x:f>
      </x:c>
      <x:c r="L177" s="16" t="str">
        <x:f>IF(A177="","",Events!U176)</x:f>
      </x:c>
      <x:c r="M177" s="16" t="str">
        <x:f>IF(A177="","",Events!V176)</x:f>
      </x:c>
      <x:c r="N177" s="16" t="str">
        <x:f>IF(A177="","",Events!Q176)</x:f>
      </x:c>
      <x:c r="O177" s="16" t="str">
        <x:f>IF(A177="","",Events!R176)</x:f>
      </x:c>
      <x:c r="P177" s="16" t="str">
        <x:f>IF(A177="","",LOWER(Events!B176&amp;" "&amp;Events!D176&amp;" "&amp;Events!K176))</x:f>
      </x:c>
      <x:c r="Q177" s="16" t="str">
        <x:f>IF(A177="","",LOWER(Events!C176&amp;" "&amp;Events!K176&amp;" "&amp;Events!T176))</x:f>
      </x:c>
      <x:c r="R177" s="16" t="str">
        <x:f>IF(A177="","",IF(ISNUMBER(SEARCH("Occurrence verified",E177)),"Occurrence verified",E177))</x:f>
      </x:c>
      <x:c r="S177" s="79" t="str">
        <x:f>IF(A177="","",Events!X176)</x:f>
      </x:c>
      <x:c r="Z177" s="79" t="str">
        <x:f>IF(A177="","",Events!AD176)</x:f>
      </x:c>
      <x:c r="AA177" s="79" t="str">
        <x:f>IF(A177="","",Events!AE176)</x:f>
      </x:c>
    </x:row>
    <x:row r="178">
      <x:c r="A178" s="16" t="str">
        <x:f>IF(Events!A177="","",Events!A177)</x:f>
      </x:c>
      <x:c r="B178" s="16" t="str">
        <x:f>IF(A178="","",Events!B177)</x:f>
      </x:c>
      <x:c r="C178" s="16" t="str">
        <x:f>IF(A178="","",Events!E177)</x:f>
      </x:c>
      <x:c r="D178" s="16" t="str">
        <x:f>IF(A178="","",Events!J177)</x:f>
      </x:c>
      <x:c r="E178" s="16" t="str">
        <x:f>IF(A178="","",Events!N177)</x:f>
      </x:c>
      <x:c r="F178" s="109" t="str">
        <x:f>IF(OR(A178="",Events!H177=""),"",Events!H177)</x:f>
      </x:c>
      <x:c r="G178" s="109" t="str">
        <x:f>IF(A178="","",IF(Events!I177&lt;&gt;"",Events!I177,IF(Events!S177&lt;&gt;"",Events!S177,"")))</x:f>
      </x:c>
      <x:c r="H178" s="16" t="str">
        <x:f>IF(A178="","",Events!W177)</x:f>
      </x:c>
      <x:c r="I178" s="16" t="str">
        <x:f>IF(A178="","",IF(Events!Y177&lt;&gt;"",Events!Y177,IF(OR(ISNUMBER(SEARCH("education",P178)),ISNUMBER(SEARCH("exam",P178)),ISNUMBER(SEARCH("school",P178))),"Education",IF(OR(ISNUMBER(SEARCH("trade agreement",P178)),ISNUMBER(SEARCH("economic",P178)),ISNUMBER(SEARCH("import",P178))),"Trade &amp; economic policy",IF(OR(ISNUMBER(SEARCH("land acquisition",P178)),ISNUMBER(SEARCH("rehabilitation",P178)),ISNUMBER(SEARCH("displacement",P178)),ISNUMBER(SEARCH("township",P178))),"Land &amp; rehabilitation",IF(OR(ISNUMBER(SEARCH("forest",P178)),ISNUMBER(SEARCH("environment",P178)),ISNUMBER(SEARCH("ecological",P178)),ISNUMBER(SEARCH("biodiversity",P178)),ISNUMBER(SEARCH("green cover",P178))),"Environment",IF(OR(ISNUMBER(SEARCH("irrigation",P178)),ISNUMBER(SEARCH("water",P178)),ISNUMBER(SEARCH("crop",P178)),ISNUMBER(SEARCH("farmer",P178)),ISNUMBER(SEARCH("agriculture",P178))),"Agriculture &amp; water",IF(OR(ISNUMBER(SEARCH("health",P178)),ISNUMBER(SEARCH("hospital",P178)),ISNUMBER(SEARCH("medicine",P178))),"Public health",IF(OR(ISNUMBER(SEARCH("employee",P178)),ISNUMBER(SEARCH("labour",P178)),ISNUMBER(SEARCH("worker",P178)),ISNUMBER(SEARCH("salary",P178))),"Labour &amp; employment",IF(OR(ISNUMBER(SEARCH("rti",P178)),ISNUMBER(SEARCH("transparency",P178)),ISNUMBER(SEARCH("corruption",P178)),ISNUMBER(SEARCH("governance",P178))),"Governance &amp; transparency",IF(OR(ISNUMBER(SEARCH("police",P178)),ISNUMBER(SEARCH("detention",P178)),ISNUMBER(SEARCH("civil rights",P178)),ISNUMBER(SEARCH("justice",P178))),"Civil rights &amp; justice",IF(OR(ISNUMBER(SEARCH("road",P178)),ISNUMBER(SEARCH("utility",P178)),ISNUMBER(SEARCH("infrastructure",P178)),ISNUMBER(SEARCH("public service",P178))),"Infrastructure &amp; public services","Other"))))))))))))</x:f>
      </x:c>
      <x:c r="J178" s="16" t="str">
        <x:f>IF(A178="","",IF(OR(ISNUMBER(SEARCH("fatal",Q178)),ISNUMBER(SEARCH("death",Q178)),ISNUMBER(SEARCH("riot",Q178)),ISNUMBER(SEARCH("curfew",Q178)),ISNUMBER(SEARCH("internet shutdown",Q178))),5,MIN(4,1+IF(H178&gt;=7,1,0)+IF(OR(ISNUMBER(SEARCH("hunger strike",Q178)),ISNUMBER(SEARCH("blockade",Q178)),ISNUMBER(SEARCH("strike",Q178)),ISNUMBER(SEARCH("jal satyagraha",Q178)),ISNUMBER(SEARCH("survey",Q178)),ISNUMBER(SEARCH("human chain",Q178)),ISNUMBER(SEARCH("march",Q178))),1,0)+IF(OR(ISNUMBER(SEARCH("fir",Q178)),ISNUMBER(SEARCH("confrontation",Q178)),ISNUMBER(SEARCH("violence",Q178)),ISNUMBER(SEARCH("detention",Q178)),ISNUMBER(SEARCH("arrest",Q178)),ISNUMBER(SEARCH("demolition",Q178)),ISNUMBER(SEARCH("injury",Q178))),1,0)+IF(OR(D178="Ongoing",D178="Unresolved"),1,0))))</x:f>
      </x:c>
      <x:c r="K178" s="16" t="str">
        <x:f>IF(J178="","",IF(J178=1,"Limited",IF(J178=2,"Local",IF(J178=3,"Significant",IF(J178=4,"High","Critical")))))</x:f>
      </x:c>
      <x:c r="L178" s="16" t="str">
        <x:f>IF(A178="","",Events!U177)</x:f>
      </x:c>
      <x:c r="M178" s="16" t="str">
        <x:f>IF(A178="","",Events!V177)</x:f>
      </x:c>
      <x:c r="N178" s="16" t="str">
        <x:f>IF(A178="","",Events!Q177)</x:f>
      </x:c>
      <x:c r="O178" s="16" t="str">
        <x:f>IF(A178="","",Events!R177)</x:f>
      </x:c>
      <x:c r="P178" s="16" t="str">
        <x:f>IF(A178="","",LOWER(Events!B177&amp;" "&amp;Events!D177&amp;" "&amp;Events!K177))</x:f>
      </x:c>
      <x:c r="Q178" s="16" t="str">
        <x:f>IF(A178="","",LOWER(Events!C177&amp;" "&amp;Events!K177&amp;" "&amp;Events!T177))</x:f>
      </x:c>
      <x:c r="R178" s="16" t="str">
        <x:f>IF(A178="","",IF(ISNUMBER(SEARCH("Occurrence verified",E178)),"Occurrence verified",E178))</x:f>
      </x:c>
      <x:c r="S178" s="79" t="str">
        <x:f>IF(A178="","",Events!X177)</x:f>
      </x:c>
      <x:c r="Z178" s="79" t="str">
        <x:f>IF(A178="","",Events!AD177)</x:f>
      </x:c>
      <x:c r="AA178" s="79" t="str">
        <x:f>IF(A178="","",Events!AE177)</x:f>
      </x:c>
    </x:row>
    <x:row r="179">
      <x:c r="A179" s="16" t="str">
        <x:f>IF(Events!A178="","",Events!A178)</x:f>
      </x:c>
      <x:c r="B179" s="16" t="str">
        <x:f>IF(A179="","",Events!B178)</x:f>
      </x:c>
      <x:c r="C179" s="16" t="str">
        <x:f>IF(A179="","",Events!E178)</x:f>
      </x:c>
      <x:c r="D179" s="16" t="str">
        <x:f>IF(A179="","",Events!J178)</x:f>
      </x:c>
      <x:c r="E179" s="16" t="str">
        <x:f>IF(A179="","",Events!N178)</x:f>
      </x:c>
      <x:c r="F179" s="109" t="str">
        <x:f>IF(OR(A179="",Events!H178=""),"",Events!H178)</x:f>
      </x:c>
      <x:c r="G179" s="109" t="str">
        <x:f>IF(A179="","",IF(Events!I178&lt;&gt;"",Events!I178,IF(Events!S178&lt;&gt;"",Events!S178,"")))</x:f>
      </x:c>
      <x:c r="H179" s="16" t="str">
        <x:f>IF(A179="","",Events!W178)</x:f>
      </x:c>
      <x:c r="I179" s="16" t="str">
        <x:f>IF(A179="","",IF(Events!Y178&lt;&gt;"",Events!Y178,IF(OR(ISNUMBER(SEARCH("education",P179)),ISNUMBER(SEARCH("exam",P179)),ISNUMBER(SEARCH("school",P179))),"Education",IF(OR(ISNUMBER(SEARCH("trade agreement",P179)),ISNUMBER(SEARCH("economic",P179)),ISNUMBER(SEARCH("import",P179))),"Trade &amp; economic policy",IF(OR(ISNUMBER(SEARCH("land acquisition",P179)),ISNUMBER(SEARCH("rehabilitation",P179)),ISNUMBER(SEARCH("displacement",P179)),ISNUMBER(SEARCH("township",P179))),"Land &amp; rehabilitation",IF(OR(ISNUMBER(SEARCH("forest",P179)),ISNUMBER(SEARCH("environment",P179)),ISNUMBER(SEARCH("ecological",P179)),ISNUMBER(SEARCH("biodiversity",P179)),ISNUMBER(SEARCH("green cover",P179))),"Environment",IF(OR(ISNUMBER(SEARCH("irrigation",P179)),ISNUMBER(SEARCH("water",P179)),ISNUMBER(SEARCH("crop",P179)),ISNUMBER(SEARCH("farmer",P179)),ISNUMBER(SEARCH("agriculture",P179))),"Agriculture &amp; water",IF(OR(ISNUMBER(SEARCH("health",P179)),ISNUMBER(SEARCH("hospital",P179)),ISNUMBER(SEARCH("medicine",P179))),"Public health",IF(OR(ISNUMBER(SEARCH("employee",P179)),ISNUMBER(SEARCH("labour",P179)),ISNUMBER(SEARCH("worker",P179)),ISNUMBER(SEARCH("salary",P179))),"Labour &amp; employment",IF(OR(ISNUMBER(SEARCH("rti",P179)),ISNUMBER(SEARCH("transparency",P179)),ISNUMBER(SEARCH("corruption",P179)),ISNUMBER(SEARCH("governance",P179))),"Governance &amp; transparency",IF(OR(ISNUMBER(SEARCH("police",P179)),ISNUMBER(SEARCH("detention",P179)),ISNUMBER(SEARCH("civil rights",P179)),ISNUMBER(SEARCH("justice",P179))),"Civil rights &amp; justice",IF(OR(ISNUMBER(SEARCH("road",P179)),ISNUMBER(SEARCH("utility",P179)),ISNUMBER(SEARCH("infrastructure",P179)),ISNUMBER(SEARCH("public service",P179))),"Infrastructure &amp; public services","Other"))))))))))))</x:f>
      </x:c>
      <x:c r="J179" s="16" t="str">
        <x:f>IF(A179="","",IF(OR(ISNUMBER(SEARCH("fatal",Q179)),ISNUMBER(SEARCH("death",Q179)),ISNUMBER(SEARCH("riot",Q179)),ISNUMBER(SEARCH("curfew",Q179)),ISNUMBER(SEARCH("internet shutdown",Q179))),5,MIN(4,1+IF(H179&gt;=7,1,0)+IF(OR(ISNUMBER(SEARCH("hunger strike",Q179)),ISNUMBER(SEARCH("blockade",Q179)),ISNUMBER(SEARCH("strike",Q179)),ISNUMBER(SEARCH("jal satyagraha",Q179)),ISNUMBER(SEARCH("survey",Q179)),ISNUMBER(SEARCH("human chain",Q179)),ISNUMBER(SEARCH("march",Q179))),1,0)+IF(OR(ISNUMBER(SEARCH("fir",Q179)),ISNUMBER(SEARCH("confrontation",Q179)),ISNUMBER(SEARCH("violence",Q179)),ISNUMBER(SEARCH("detention",Q179)),ISNUMBER(SEARCH("arrest",Q179)),ISNUMBER(SEARCH("demolition",Q179)),ISNUMBER(SEARCH("injury",Q179))),1,0)+IF(OR(D179="Ongoing",D179="Unresolved"),1,0))))</x:f>
      </x:c>
      <x:c r="K179" s="16" t="str">
        <x:f>IF(J179="","",IF(J179=1,"Limited",IF(J179=2,"Local",IF(J179=3,"Significant",IF(J179=4,"High","Critical")))))</x:f>
      </x:c>
      <x:c r="L179" s="16" t="str">
        <x:f>IF(A179="","",Events!U178)</x:f>
      </x:c>
      <x:c r="M179" s="16" t="str">
        <x:f>IF(A179="","",Events!V178)</x:f>
      </x:c>
      <x:c r="N179" s="16" t="str">
        <x:f>IF(A179="","",Events!Q178)</x:f>
      </x:c>
      <x:c r="O179" s="16" t="str">
        <x:f>IF(A179="","",Events!R178)</x:f>
      </x:c>
      <x:c r="P179" s="16" t="str">
        <x:f>IF(A179="","",LOWER(Events!B178&amp;" "&amp;Events!D178&amp;" "&amp;Events!K178))</x:f>
      </x:c>
      <x:c r="Q179" s="16" t="str">
        <x:f>IF(A179="","",LOWER(Events!C178&amp;" "&amp;Events!K178&amp;" "&amp;Events!T178))</x:f>
      </x:c>
      <x:c r="R179" s="16" t="str">
        <x:f>IF(A179="","",IF(ISNUMBER(SEARCH("Occurrence verified",E179)),"Occurrence verified",E179))</x:f>
      </x:c>
      <x:c r="S179" s="79" t="str">
        <x:f>IF(A179="","",Events!X178)</x:f>
      </x:c>
      <x:c r="Z179" s="79" t="str">
        <x:f>IF(A179="","",Events!AD178)</x:f>
      </x:c>
      <x:c r="AA179" s="79" t="str">
        <x:f>IF(A179="","",Events!AE178)</x:f>
      </x:c>
    </x:row>
    <x:row r="180">
      <x:c r="A180" s="16" t="str">
        <x:f>IF(Events!A179="","",Events!A179)</x:f>
      </x:c>
      <x:c r="B180" s="16" t="str">
        <x:f>IF(A180="","",Events!B179)</x:f>
      </x:c>
      <x:c r="C180" s="16" t="str">
        <x:f>IF(A180="","",Events!E179)</x:f>
      </x:c>
      <x:c r="D180" s="16" t="str">
        <x:f>IF(A180="","",Events!J179)</x:f>
      </x:c>
      <x:c r="E180" s="16" t="str">
        <x:f>IF(A180="","",Events!N179)</x:f>
      </x:c>
      <x:c r="F180" s="109" t="str">
        <x:f>IF(OR(A180="",Events!H179=""),"",Events!H179)</x:f>
      </x:c>
      <x:c r="G180" s="109" t="str">
        <x:f>IF(A180="","",IF(Events!I179&lt;&gt;"",Events!I179,IF(Events!S179&lt;&gt;"",Events!S179,"")))</x:f>
      </x:c>
      <x:c r="H180" s="16" t="str">
        <x:f>IF(A180="","",Events!W179)</x:f>
      </x:c>
      <x:c r="I180" s="16" t="str">
        <x:f>IF(A180="","",IF(Events!Y179&lt;&gt;"",Events!Y179,IF(OR(ISNUMBER(SEARCH("education",P180)),ISNUMBER(SEARCH("exam",P180)),ISNUMBER(SEARCH("school",P180))),"Education",IF(OR(ISNUMBER(SEARCH("trade agreement",P180)),ISNUMBER(SEARCH("economic",P180)),ISNUMBER(SEARCH("import",P180))),"Trade &amp; economic policy",IF(OR(ISNUMBER(SEARCH("land acquisition",P180)),ISNUMBER(SEARCH("rehabilitation",P180)),ISNUMBER(SEARCH("displacement",P180)),ISNUMBER(SEARCH("township",P180))),"Land &amp; rehabilitation",IF(OR(ISNUMBER(SEARCH("forest",P180)),ISNUMBER(SEARCH("environment",P180)),ISNUMBER(SEARCH("ecological",P180)),ISNUMBER(SEARCH("biodiversity",P180)),ISNUMBER(SEARCH("green cover",P180))),"Environment",IF(OR(ISNUMBER(SEARCH("irrigation",P180)),ISNUMBER(SEARCH("water",P180)),ISNUMBER(SEARCH("crop",P180)),ISNUMBER(SEARCH("farmer",P180)),ISNUMBER(SEARCH("agriculture",P180))),"Agriculture &amp; water",IF(OR(ISNUMBER(SEARCH("health",P180)),ISNUMBER(SEARCH("hospital",P180)),ISNUMBER(SEARCH("medicine",P180))),"Public health",IF(OR(ISNUMBER(SEARCH("employee",P180)),ISNUMBER(SEARCH("labour",P180)),ISNUMBER(SEARCH("worker",P180)),ISNUMBER(SEARCH("salary",P180))),"Labour &amp; employment",IF(OR(ISNUMBER(SEARCH("rti",P180)),ISNUMBER(SEARCH("transparency",P180)),ISNUMBER(SEARCH("corruption",P180)),ISNUMBER(SEARCH("governance",P180))),"Governance &amp; transparency",IF(OR(ISNUMBER(SEARCH("police",P180)),ISNUMBER(SEARCH("detention",P180)),ISNUMBER(SEARCH("civil rights",P180)),ISNUMBER(SEARCH("justice",P180))),"Civil rights &amp; justice",IF(OR(ISNUMBER(SEARCH("road",P180)),ISNUMBER(SEARCH("utility",P180)),ISNUMBER(SEARCH("infrastructure",P180)),ISNUMBER(SEARCH("public service",P180))),"Infrastructure &amp; public services","Other"))))))))))))</x:f>
      </x:c>
      <x:c r="J180" s="16" t="str">
        <x:f>IF(A180="","",IF(OR(ISNUMBER(SEARCH("fatal",Q180)),ISNUMBER(SEARCH("death",Q180)),ISNUMBER(SEARCH("riot",Q180)),ISNUMBER(SEARCH("curfew",Q180)),ISNUMBER(SEARCH("internet shutdown",Q180))),5,MIN(4,1+IF(H180&gt;=7,1,0)+IF(OR(ISNUMBER(SEARCH("hunger strike",Q180)),ISNUMBER(SEARCH("blockade",Q180)),ISNUMBER(SEARCH("strike",Q180)),ISNUMBER(SEARCH("jal satyagraha",Q180)),ISNUMBER(SEARCH("survey",Q180)),ISNUMBER(SEARCH("human chain",Q180)),ISNUMBER(SEARCH("march",Q180))),1,0)+IF(OR(ISNUMBER(SEARCH("fir",Q180)),ISNUMBER(SEARCH("confrontation",Q180)),ISNUMBER(SEARCH("violence",Q180)),ISNUMBER(SEARCH("detention",Q180)),ISNUMBER(SEARCH("arrest",Q180)),ISNUMBER(SEARCH("demolition",Q180)),ISNUMBER(SEARCH("injury",Q180))),1,0)+IF(OR(D180="Ongoing",D180="Unresolved"),1,0))))</x:f>
      </x:c>
      <x:c r="K180" s="16" t="str">
        <x:f>IF(J180="","",IF(J180=1,"Limited",IF(J180=2,"Local",IF(J180=3,"Significant",IF(J180=4,"High","Critical")))))</x:f>
      </x:c>
      <x:c r="L180" s="16" t="str">
        <x:f>IF(A180="","",Events!U179)</x:f>
      </x:c>
      <x:c r="M180" s="16" t="str">
        <x:f>IF(A180="","",Events!V179)</x:f>
      </x:c>
      <x:c r="N180" s="16" t="str">
        <x:f>IF(A180="","",Events!Q179)</x:f>
      </x:c>
      <x:c r="O180" s="16" t="str">
        <x:f>IF(A180="","",Events!R179)</x:f>
      </x:c>
      <x:c r="P180" s="16" t="str">
        <x:f>IF(A180="","",LOWER(Events!B179&amp;" "&amp;Events!D179&amp;" "&amp;Events!K179))</x:f>
      </x:c>
      <x:c r="Q180" s="16" t="str">
        <x:f>IF(A180="","",LOWER(Events!C179&amp;" "&amp;Events!K179&amp;" "&amp;Events!T179))</x:f>
      </x:c>
      <x:c r="R180" s="16" t="str">
        <x:f>IF(A180="","",IF(ISNUMBER(SEARCH("Occurrence verified",E180)),"Occurrence verified",E180))</x:f>
      </x:c>
      <x:c r="S180" s="79" t="str">
        <x:f>IF(A180="","",Events!X179)</x:f>
      </x:c>
      <x:c r="Z180" s="79" t="str">
        <x:f>IF(A180="","",Events!AD179)</x:f>
      </x:c>
      <x:c r="AA180" s="79" t="str">
        <x:f>IF(A180="","",Events!AE179)</x:f>
      </x:c>
    </x:row>
    <x:row r="181">
      <x:c r="A181" s="16" t="str">
        <x:f>IF(Events!A180="","",Events!A180)</x:f>
      </x:c>
      <x:c r="B181" s="16" t="str">
        <x:f>IF(A181="","",Events!B180)</x:f>
      </x:c>
      <x:c r="C181" s="16" t="str">
        <x:f>IF(A181="","",Events!E180)</x:f>
      </x:c>
      <x:c r="D181" s="16" t="str">
        <x:f>IF(A181="","",Events!J180)</x:f>
      </x:c>
      <x:c r="E181" s="16" t="str">
        <x:f>IF(A181="","",Events!N180)</x:f>
      </x:c>
      <x:c r="F181" s="109" t="str">
        <x:f>IF(OR(A181="",Events!H180=""),"",Events!H180)</x:f>
      </x:c>
      <x:c r="G181" s="109" t="str">
        <x:f>IF(A181="","",IF(Events!I180&lt;&gt;"",Events!I180,IF(Events!S180&lt;&gt;"",Events!S180,"")))</x:f>
      </x:c>
      <x:c r="H181" s="16" t="str">
        <x:f>IF(A181="","",Events!W180)</x:f>
      </x:c>
      <x:c r="I181" s="16" t="str">
        <x:f>IF(A181="","",IF(Events!Y180&lt;&gt;"",Events!Y180,IF(OR(ISNUMBER(SEARCH("education",P181)),ISNUMBER(SEARCH("exam",P181)),ISNUMBER(SEARCH("school",P181))),"Education",IF(OR(ISNUMBER(SEARCH("trade agreement",P181)),ISNUMBER(SEARCH("economic",P181)),ISNUMBER(SEARCH("import",P181))),"Trade &amp; economic policy",IF(OR(ISNUMBER(SEARCH("land acquisition",P181)),ISNUMBER(SEARCH("rehabilitation",P181)),ISNUMBER(SEARCH("displacement",P181)),ISNUMBER(SEARCH("township",P181))),"Land &amp; rehabilitation",IF(OR(ISNUMBER(SEARCH("forest",P181)),ISNUMBER(SEARCH("environment",P181)),ISNUMBER(SEARCH("ecological",P181)),ISNUMBER(SEARCH("biodiversity",P181)),ISNUMBER(SEARCH("green cover",P181))),"Environment",IF(OR(ISNUMBER(SEARCH("irrigation",P181)),ISNUMBER(SEARCH("water",P181)),ISNUMBER(SEARCH("crop",P181)),ISNUMBER(SEARCH("farmer",P181)),ISNUMBER(SEARCH("agriculture",P181))),"Agriculture &amp; water",IF(OR(ISNUMBER(SEARCH("health",P181)),ISNUMBER(SEARCH("hospital",P181)),ISNUMBER(SEARCH("medicine",P181))),"Public health",IF(OR(ISNUMBER(SEARCH("employee",P181)),ISNUMBER(SEARCH("labour",P181)),ISNUMBER(SEARCH("worker",P181)),ISNUMBER(SEARCH("salary",P181))),"Labour &amp; employment",IF(OR(ISNUMBER(SEARCH("rti",P181)),ISNUMBER(SEARCH("transparency",P181)),ISNUMBER(SEARCH("corruption",P181)),ISNUMBER(SEARCH("governance",P181))),"Governance &amp; transparency",IF(OR(ISNUMBER(SEARCH("police",P181)),ISNUMBER(SEARCH("detention",P181)),ISNUMBER(SEARCH("civil rights",P181)),ISNUMBER(SEARCH("justice",P181))),"Civil rights &amp; justice",IF(OR(ISNUMBER(SEARCH("road",P181)),ISNUMBER(SEARCH("utility",P181)),ISNUMBER(SEARCH("infrastructure",P181)),ISNUMBER(SEARCH("public service",P181))),"Infrastructure &amp; public services","Other"))))))))))))</x:f>
      </x:c>
      <x:c r="J181" s="16" t="str">
        <x:f>IF(A181="","",IF(OR(ISNUMBER(SEARCH("fatal",Q181)),ISNUMBER(SEARCH("death",Q181)),ISNUMBER(SEARCH("riot",Q181)),ISNUMBER(SEARCH("curfew",Q181)),ISNUMBER(SEARCH("internet shutdown",Q181))),5,MIN(4,1+IF(H181&gt;=7,1,0)+IF(OR(ISNUMBER(SEARCH("hunger strike",Q181)),ISNUMBER(SEARCH("blockade",Q181)),ISNUMBER(SEARCH("strike",Q181)),ISNUMBER(SEARCH("jal satyagraha",Q181)),ISNUMBER(SEARCH("survey",Q181)),ISNUMBER(SEARCH("human chain",Q181)),ISNUMBER(SEARCH("march",Q181))),1,0)+IF(OR(ISNUMBER(SEARCH("fir",Q181)),ISNUMBER(SEARCH("confrontation",Q181)),ISNUMBER(SEARCH("violence",Q181)),ISNUMBER(SEARCH("detention",Q181)),ISNUMBER(SEARCH("arrest",Q181)),ISNUMBER(SEARCH("demolition",Q181)),ISNUMBER(SEARCH("injury",Q181))),1,0)+IF(OR(D181="Ongoing",D181="Unresolved"),1,0))))</x:f>
      </x:c>
      <x:c r="K181" s="16" t="str">
        <x:f>IF(J181="","",IF(J181=1,"Limited",IF(J181=2,"Local",IF(J181=3,"Significant",IF(J181=4,"High","Critical")))))</x:f>
      </x:c>
      <x:c r="L181" s="16" t="str">
        <x:f>IF(A181="","",Events!U180)</x:f>
      </x:c>
      <x:c r="M181" s="16" t="str">
        <x:f>IF(A181="","",Events!V180)</x:f>
      </x:c>
      <x:c r="N181" s="16" t="str">
        <x:f>IF(A181="","",Events!Q180)</x:f>
      </x:c>
      <x:c r="O181" s="16" t="str">
        <x:f>IF(A181="","",Events!R180)</x:f>
      </x:c>
      <x:c r="P181" s="16" t="str">
        <x:f>IF(A181="","",LOWER(Events!B180&amp;" "&amp;Events!D180&amp;" "&amp;Events!K180))</x:f>
      </x:c>
      <x:c r="Q181" s="16" t="str">
        <x:f>IF(A181="","",LOWER(Events!C180&amp;" "&amp;Events!K180&amp;" "&amp;Events!T180))</x:f>
      </x:c>
      <x:c r="R181" s="16" t="str">
        <x:f>IF(A181="","",IF(ISNUMBER(SEARCH("Occurrence verified",E181)),"Occurrence verified",E181))</x:f>
      </x:c>
      <x:c r="S181" s="79" t="str">
        <x:f>IF(A181="","",Events!X180)</x:f>
      </x:c>
      <x:c r="Z181" s="79" t="str">
        <x:f>IF(A181="","",Events!AD180)</x:f>
      </x:c>
      <x:c r="AA181" s="79" t="str">
        <x:f>IF(A181="","",Events!AE180)</x:f>
      </x:c>
    </x:row>
    <x:row r="182">
      <x:c r="A182" s="16" t="str">
        <x:f>IF(Events!A181="","",Events!A181)</x:f>
      </x:c>
      <x:c r="B182" s="16" t="str">
        <x:f>IF(A182="","",Events!B181)</x:f>
      </x:c>
      <x:c r="C182" s="16" t="str">
        <x:f>IF(A182="","",Events!E181)</x:f>
      </x:c>
      <x:c r="D182" s="16" t="str">
        <x:f>IF(A182="","",Events!J181)</x:f>
      </x:c>
      <x:c r="E182" s="16" t="str">
        <x:f>IF(A182="","",Events!N181)</x:f>
      </x:c>
      <x:c r="F182" s="109" t="str">
        <x:f>IF(OR(A182="",Events!H181=""),"",Events!H181)</x:f>
      </x:c>
      <x:c r="G182" s="109" t="str">
        <x:f>IF(A182="","",IF(Events!I181&lt;&gt;"",Events!I181,IF(Events!S181&lt;&gt;"",Events!S181,"")))</x:f>
      </x:c>
      <x:c r="H182" s="16" t="str">
        <x:f>IF(A182="","",Events!W181)</x:f>
      </x:c>
      <x:c r="I182" s="16" t="str">
        <x:f>IF(A182="","",IF(Events!Y181&lt;&gt;"",Events!Y181,IF(OR(ISNUMBER(SEARCH("education",P182)),ISNUMBER(SEARCH("exam",P182)),ISNUMBER(SEARCH("school",P182))),"Education",IF(OR(ISNUMBER(SEARCH("trade agreement",P182)),ISNUMBER(SEARCH("economic",P182)),ISNUMBER(SEARCH("import",P182))),"Trade &amp; economic policy",IF(OR(ISNUMBER(SEARCH("land acquisition",P182)),ISNUMBER(SEARCH("rehabilitation",P182)),ISNUMBER(SEARCH("displacement",P182)),ISNUMBER(SEARCH("township",P182))),"Land &amp; rehabilitation",IF(OR(ISNUMBER(SEARCH("forest",P182)),ISNUMBER(SEARCH("environment",P182)),ISNUMBER(SEARCH("ecological",P182)),ISNUMBER(SEARCH("biodiversity",P182)),ISNUMBER(SEARCH("green cover",P182))),"Environment",IF(OR(ISNUMBER(SEARCH("irrigation",P182)),ISNUMBER(SEARCH("water",P182)),ISNUMBER(SEARCH("crop",P182)),ISNUMBER(SEARCH("farmer",P182)),ISNUMBER(SEARCH("agriculture",P182))),"Agriculture &amp; water",IF(OR(ISNUMBER(SEARCH("health",P182)),ISNUMBER(SEARCH("hospital",P182)),ISNUMBER(SEARCH("medicine",P182))),"Public health",IF(OR(ISNUMBER(SEARCH("employee",P182)),ISNUMBER(SEARCH("labour",P182)),ISNUMBER(SEARCH("worker",P182)),ISNUMBER(SEARCH("salary",P182))),"Labour &amp; employment",IF(OR(ISNUMBER(SEARCH("rti",P182)),ISNUMBER(SEARCH("transparency",P182)),ISNUMBER(SEARCH("corruption",P182)),ISNUMBER(SEARCH("governance",P182))),"Governance &amp; transparency",IF(OR(ISNUMBER(SEARCH("police",P182)),ISNUMBER(SEARCH("detention",P182)),ISNUMBER(SEARCH("civil rights",P182)),ISNUMBER(SEARCH("justice",P182))),"Civil rights &amp; justice",IF(OR(ISNUMBER(SEARCH("road",P182)),ISNUMBER(SEARCH("utility",P182)),ISNUMBER(SEARCH("infrastructure",P182)),ISNUMBER(SEARCH("public service",P182))),"Infrastructure &amp; public services","Other"))))))))))))</x:f>
      </x:c>
      <x:c r="J182" s="16" t="str">
        <x:f>IF(A182="","",IF(OR(ISNUMBER(SEARCH("fatal",Q182)),ISNUMBER(SEARCH("death",Q182)),ISNUMBER(SEARCH("riot",Q182)),ISNUMBER(SEARCH("curfew",Q182)),ISNUMBER(SEARCH("internet shutdown",Q182))),5,MIN(4,1+IF(H182&gt;=7,1,0)+IF(OR(ISNUMBER(SEARCH("hunger strike",Q182)),ISNUMBER(SEARCH("blockade",Q182)),ISNUMBER(SEARCH("strike",Q182)),ISNUMBER(SEARCH("jal satyagraha",Q182)),ISNUMBER(SEARCH("survey",Q182)),ISNUMBER(SEARCH("human chain",Q182)),ISNUMBER(SEARCH("march",Q182))),1,0)+IF(OR(ISNUMBER(SEARCH("fir",Q182)),ISNUMBER(SEARCH("confrontation",Q182)),ISNUMBER(SEARCH("violence",Q182)),ISNUMBER(SEARCH("detention",Q182)),ISNUMBER(SEARCH("arrest",Q182)),ISNUMBER(SEARCH("demolition",Q182)),ISNUMBER(SEARCH("injury",Q182))),1,0)+IF(OR(D182="Ongoing",D182="Unresolved"),1,0))))</x:f>
      </x:c>
      <x:c r="K182" s="16" t="str">
        <x:f>IF(J182="","",IF(J182=1,"Limited",IF(J182=2,"Local",IF(J182=3,"Significant",IF(J182=4,"High","Critical")))))</x:f>
      </x:c>
      <x:c r="L182" s="16" t="str">
        <x:f>IF(A182="","",Events!U181)</x:f>
      </x:c>
      <x:c r="M182" s="16" t="str">
        <x:f>IF(A182="","",Events!V181)</x:f>
      </x:c>
      <x:c r="N182" s="16" t="str">
        <x:f>IF(A182="","",Events!Q181)</x:f>
      </x:c>
      <x:c r="O182" s="16" t="str">
        <x:f>IF(A182="","",Events!R181)</x:f>
      </x:c>
      <x:c r="P182" s="16" t="str">
        <x:f>IF(A182="","",LOWER(Events!B181&amp;" "&amp;Events!D181&amp;" "&amp;Events!K181))</x:f>
      </x:c>
      <x:c r="Q182" s="16" t="str">
        <x:f>IF(A182="","",LOWER(Events!C181&amp;" "&amp;Events!K181&amp;" "&amp;Events!T181))</x:f>
      </x:c>
      <x:c r="R182" s="16" t="str">
        <x:f>IF(A182="","",IF(ISNUMBER(SEARCH("Occurrence verified",E182)),"Occurrence verified",E182))</x:f>
      </x:c>
      <x:c r="S182" s="79" t="str">
        <x:f>IF(A182="","",Events!X181)</x:f>
      </x:c>
      <x:c r="Z182" s="79" t="str">
        <x:f>IF(A182="","",Events!AD181)</x:f>
      </x:c>
      <x:c r="AA182" s="79" t="str">
        <x:f>IF(A182="","",Events!AE181)</x:f>
      </x:c>
    </x:row>
    <x:row r="183">
      <x:c r="A183" s="16" t="str">
        <x:f>IF(Events!A182="","",Events!A182)</x:f>
      </x:c>
      <x:c r="B183" s="16" t="str">
        <x:f>IF(A183="","",Events!B182)</x:f>
      </x:c>
      <x:c r="C183" s="16" t="str">
        <x:f>IF(A183="","",Events!E182)</x:f>
      </x:c>
      <x:c r="D183" s="16" t="str">
        <x:f>IF(A183="","",Events!J182)</x:f>
      </x:c>
      <x:c r="E183" s="16" t="str">
        <x:f>IF(A183="","",Events!N182)</x:f>
      </x:c>
      <x:c r="F183" s="109" t="str">
        <x:f>IF(OR(A183="",Events!H182=""),"",Events!H182)</x:f>
      </x:c>
      <x:c r="G183" s="109" t="str">
        <x:f>IF(A183="","",IF(Events!I182&lt;&gt;"",Events!I182,IF(Events!S182&lt;&gt;"",Events!S182,"")))</x:f>
      </x:c>
      <x:c r="H183" s="16" t="str">
        <x:f>IF(A183="","",Events!W182)</x:f>
      </x:c>
      <x:c r="I183" s="16" t="str">
        <x:f>IF(A183="","",IF(Events!Y182&lt;&gt;"",Events!Y182,IF(OR(ISNUMBER(SEARCH("education",P183)),ISNUMBER(SEARCH("exam",P183)),ISNUMBER(SEARCH("school",P183))),"Education",IF(OR(ISNUMBER(SEARCH("trade agreement",P183)),ISNUMBER(SEARCH("economic",P183)),ISNUMBER(SEARCH("import",P183))),"Trade &amp; economic policy",IF(OR(ISNUMBER(SEARCH("land acquisition",P183)),ISNUMBER(SEARCH("rehabilitation",P183)),ISNUMBER(SEARCH("displacement",P183)),ISNUMBER(SEARCH("township",P183))),"Land &amp; rehabilitation",IF(OR(ISNUMBER(SEARCH("forest",P183)),ISNUMBER(SEARCH("environment",P183)),ISNUMBER(SEARCH("ecological",P183)),ISNUMBER(SEARCH("biodiversity",P183)),ISNUMBER(SEARCH("green cover",P183))),"Environment",IF(OR(ISNUMBER(SEARCH("irrigation",P183)),ISNUMBER(SEARCH("water",P183)),ISNUMBER(SEARCH("crop",P183)),ISNUMBER(SEARCH("farmer",P183)),ISNUMBER(SEARCH("agriculture",P183))),"Agriculture &amp; water",IF(OR(ISNUMBER(SEARCH("health",P183)),ISNUMBER(SEARCH("hospital",P183)),ISNUMBER(SEARCH("medicine",P183))),"Public health",IF(OR(ISNUMBER(SEARCH("employee",P183)),ISNUMBER(SEARCH("labour",P183)),ISNUMBER(SEARCH("worker",P183)),ISNUMBER(SEARCH("salary",P183))),"Labour &amp; employment",IF(OR(ISNUMBER(SEARCH("rti",P183)),ISNUMBER(SEARCH("transparency",P183)),ISNUMBER(SEARCH("corruption",P183)),ISNUMBER(SEARCH("governance",P183))),"Governance &amp; transparency",IF(OR(ISNUMBER(SEARCH("police",P183)),ISNUMBER(SEARCH("detention",P183)),ISNUMBER(SEARCH("civil rights",P183)),ISNUMBER(SEARCH("justice",P183))),"Civil rights &amp; justice",IF(OR(ISNUMBER(SEARCH("road",P183)),ISNUMBER(SEARCH("utility",P183)),ISNUMBER(SEARCH("infrastructure",P183)),ISNUMBER(SEARCH("public service",P183))),"Infrastructure &amp; public services","Other"))))))))))))</x:f>
      </x:c>
      <x:c r="J183" s="16" t="str">
        <x:f>IF(A183="","",IF(OR(ISNUMBER(SEARCH("fatal",Q183)),ISNUMBER(SEARCH("death",Q183)),ISNUMBER(SEARCH("riot",Q183)),ISNUMBER(SEARCH("curfew",Q183)),ISNUMBER(SEARCH("internet shutdown",Q183))),5,MIN(4,1+IF(H183&gt;=7,1,0)+IF(OR(ISNUMBER(SEARCH("hunger strike",Q183)),ISNUMBER(SEARCH("blockade",Q183)),ISNUMBER(SEARCH("strike",Q183)),ISNUMBER(SEARCH("jal satyagraha",Q183)),ISNUMBER(SEARCH("survey",Q183)),ISNUMBER(SEARCH("human chain",Q183)),ISNUMBER(SEARCH("march",Q183))),1,0)+IF(OR(ISNUMBER(SEARCH("fir",Q183)),ISNUMBER(SEARCH("confrontation",Q183)),ISNUMBER(SEARCH("violence",Q183)),ISNUMBER(SEARCH("detention",Q183)),ISNUMBER(SEARCH("arrest",Q183)),ISNUMBER(SEARCH("demolition",Q183)),ISNUMBER(SEARCH("injury",Q183))),1,0)+IF(OR(D183="Ongoing",D183="Unresolved"),1,0))))</x:f>
      </x:c>
      <x:c r="K183" s="16" t="str">
        <x:f>IF(J183="","",IF(J183=1,"Limited",IF(J183=2,"Local",IF(J183=3,"Significant",IF(J183=4,"High","Critical")))))</x:f>
      </x:c>
      <x:c r="L183" s="16" t="str">
        <x:f>IF(A183="","",Events!U182)</x:f>
      </x:c>
      <x:c r="M183" s="16" t="str">
        <x:f>IF(A183="","",Events!V182)</x:f>
      </x:c>
      <x:c r="N183" s="16" t="str">
        <x:f>IF(A183="","",Events!Q182)</x:f>
      </x:c>
      <x:c r="O183" s="16" t="str">
        <x:f>IF(A183="","",Events!R182)</x:f>
      </x:c>
      <x:c r="P183" s="16" t="str">
        <x:f>IF(A183="","",LOWER(Events!B182&amp;" "&amp;Events!D182&amp;" "&amp;Events!K182))</x:f>
      </x:c>
      <x:c r="Q183" s="16" t="str">
        <x:f>IF(A183="","",LOWER(Events!C182&amp;" "&amp;Events!K182&amp;" "&amp;Events!T182))</x:f>
      </x:c>
      <x:c r="R183" s="16" t="str">
        <x:f>IF(A183="","",IF(ISNUMBER(SEARCH("Occurrence verified",E183)),"Occurrence verified",E183))</x:f>
      </x:c>
      <x:c r="S183" s="79" t="str">
        <x:f>IF(A183="","",Events!X182)</x:f>
      </x:c>
      <x:c r="Z183" s="79" t="str">
        <x:f>IF(A183="","",Events!AD182)</x:f>
      </x:c>
      <x:c r="AA183" s="79" t="str">
        <x:f>IF(A183="","",Events!AE182)</x:f>
      </x:c>
    </x:row>
    <x:row r="184">
      <x:c r="A184" s="16" t="str">
        <x:f>IF(Events!A183="","",Events!A183)</x:f>
      </x:c>
      <x:c r="B184" s="16" t="str">
        <x:f>IF(A184="","",Events!B183)</x:f>
      </x:c>
      <x:c r="C184" s="16" t="str">
        <x:f>IF(A184="","",Events!E183)</x:f>
      </x:c>
      <x:c r="D184" s="16" t="str">
        <x:f>IF(A184="","",Events!J183)</x:f>
      </x:c>
      <x:c r="E184" s="16" t="str">
        <x:f>IF(A184="","",Events!N183)</x:f>
      </x:c>
      <x:c r="F184" s="109" t="str">
        <x:f>IF(OR(A184="",Events!H183=""),"",Events!H183)</x:f>
      </x:c>
      <x:c r="G184" s="109" t="str">
        <x:f>IF(A184="","",IF(Events!I183&lt;&gt;"",Events!I183,IF(Events!S183&lt;&gt;"",Events!S183,"")))</x:f>
      </x:c>
      <x:c r="H184" s="16" t="str">
        <x:f>IF(A184="","",Events!W183)</x:f>
      </x:c>
      <x:c r="I184" s="16" t="str">
        <x:f>IF(A184="","",IF(Events!Y183&lt;&gt;"",Events!Y183,IF(OR(ISNUMBER(SEARCH("education",P184)),ISNUMBER(SEARCH("exam",P184)),ISNUMBER(SEARCH("school",P184))),"Education",IF(OR(ISNUMBER(SEARCH("trade agreement",P184)),ISNUMBER(SEARCH("economic",P184)),ISNUMBER(SEARCH("import",P184))),"Trade &amp; economic policy",IF(OR(ISNUMBER(SEARCH("land acquisition",P184)),ISNUMBER(SEARCH("rehabilitation",P184)),ISNUMBER(SEARCH("displacement",P184)),ISNUMBER(SEARCH("township",P184))),"Land &amp; rehabilitation",IF(OR(ISNUMBER(SEARCH("forest",P184)),ISNUMBER(SEARCH("environment",P184)),ISNUMBER(SEARCH("ecological",P184)),ISNUMBER(SEARCH("biodiversity",P184)),ISNUMBER(SEARCH("green cover",P184))),"Environment",IF(OR(ISNUMBER(SEARCH("irrigation",P184)),ISNUMBER(SEARCH("water",P184)),ISNUMBER(SEARCH("crop",P184)),ISNUMBER(SEARCH("farmer",P184)),ISNUMBER(SEARCH("agriculture",P184))),"Agriculture &amp; water",IF(OR(ISNUMBER(SEARCH("health",P184)),ISNUMBER(SEARCH("hospital",P184)),ISNUMBER(SEARCH("medicine",P184))),"Public health",IF(OR(ISNUMBER(SEARCH("employee",P184)),ISNUMBER(SEARCH("labour",P184)),ISNUMBER(SEARCH("worker",P184)),ISNUMBER(SEARCH("salary",P184))),"Labour &amp; employment",IF(OR(ISNUMBER(SEARCH("rti",P184)),ISNUMBER(SEARCH("transparency",P184)),ISNUMBER(SEARCH("corruption",P184)),ISNUMBER(SEARCH("governance",P184))),"Governance &amp; transparency",IF(OR(ISNUMBER(SEARCH("police",P184)),ISNUMBER(SEARCH("detention",P184)),ISNUMBER(SEARCH("civil rights",P184)),ISNUMBER(SEARCH("justice",P184))),"Civil rights &amp; justice",IF(OR(ISNUMBER(SEARCH("road",P184)),ISNUMBER(SEARCH("utility",P184)),ISNUMBER(SEARCH("infrastructure",P184)),ISNUMBER(SEARCH("public service",P184))),"Infrastructure &amp; public services","Other"))))))))))))</x:f>
      </x:c>
      <x:c r="J184" s="16" t="str">
        <x:f>IF(A184="","",IF(OR(ISNUMBER(SEARCH("fatal",Q184)),ISNUMBER(SEARCH("death",Q184)),ISNUMBER(SEARCH("riot",Q184)),ISNUMBER(SEARCH("curfew",Q184)),ISNUMBER(SEARCH("internet shutdown",Q184))),5,MIN(4,1+IF(H184&gt;=7,1,0)+IF(OR(ISNUMBER(SEARCH("hunger strike",Q184)),ISNUMBER(SEARCH("blockade",Q184)),ISNUMBER(SEARCH("strike",Q184)),ISNUMBER(SEARCH("jal satyagraha",Q184)),ISNUMBER(SEARCH("survey",Q184)),ISNUMBER(SEARCH("human chain",Q184)),ISNUMBER(SEARCH("march",Q184))),1,0)+IF(OR(ISNUMBER(SEARCH("fir",Q184)),ISNUMBER(SEARCH("confrontation",Q184)),ISNUMBER(SEARCH("violence",Q184)),ISNUMBER(SEARCH("detention",Q184)),ISNUMBER(SEARCH("arrest",Q184)),ISNUMBER(SEARCH("demolition",Q184)),ISNUMBER(SEARCH("injury",Q184))),1,0)+IF(OR(D184="Ongoing",D184="Unresolved"),1,0))))</x:f>
      </x:c>
      <x:c r="K184" s="16" t="str">
        <x:f>IF(J184="","",IF(J184=1,"Limited",IF(J184=2,"Local",IF(J184=3,"Significant",IF(J184=4,"High","Critical")))))</x:f>
      </x:c>
      <x:c r="L184" s="16" t="str">
        <x:f>IF(A184="","",Events!U183)</x:f>
      </x:c>
      <x:c r="M184" s="16" t="str">
        <x:f>IF(A184="","",Events!V183)</x:f>
      </x:c>
      <x:c r="N184" s="16" t="str">
        <x:f>IF(A184="","",Events!Q183)</x:f>
      </x:c>
      <x:c r="O184" s="16" t="str">
        <x:f>IF(A184="","",Events!R183)</x:f>
      </x:c>
      <x:c r="P184" s="16" t="str">
        <x:f>IF(A184="","",LOWER(Events!B183&amp;" "&amp;Events!D183&amp;" "&amp;Events!K183))</x:f>
      </x:c>
      <x:c r="Q184" s="16" t="str">
        <x:f>IF(A184="","",LOWER(Events!C183&amp;" "&amp;Events!K183&amp;" "&amp;Events!T183))</x:f>
      </x:c>
      <x:c r="R184" s="16" t="str">
        <x:f>IF(A184="","",IF(ISNUMBER(SEARCH("Occurrence verified",E184)),"Occurrence verified",E184))</x:f>
      </x:c>
      <x:c r="S184" s="79" t="str">
        <x:f>IF(A184="","",Events!X183)</x:f>
      </x:c>
      <x:c r="Z184" s="79" t="str">
        <x:f>IF(A184="","",Events!AD183)</x:f>
      </x:c>
      <x:c r="AA184" s="79" t="str">
        <x:f>IF(A184="","",Events!AE183)</x:f>
      </x:c>
    </x:row>
    <x:row r="185">
      <x:c r="A185" s="16" t="str">
        <x:f>IF(Events!A184="","",Events!A184)</x:f>
      </x:c>
      <x:c r="B185" s="16" t="str">
        <x:f>IF(A185="","",Events!B184)</x:f>
      </x:c>
      <x:c r="C185" s="16" t="str">
        <x:f>IF(A185="","",Events!E184)</x:f>
      </x:c>
      <x:c r="D185" s="16" t="str">
        <x:f>IF(A185="","",Events!J184)</x:f>
      </x:c>
      <x:c r="E185" s="16" t="str">
        <x:f>IF(A185="","",Events!N184)</x:f>
      </x:c>
      <x:c r="F185" s="109" t="str">
        <x:f>IF(OR(A185="",Events!H184=""),"",Events!H184)</x:f>
      </x:c>
      <x:c r="G185" s="109" t="str">
        <x:f>IF(A185="","",IF(Events!I184&lt;&gt;"",Events!I184,IF(Events!S184&lt;&gt;"",Events!S184,"")))</x:f>
      </x:c>
      <x:c r="H185" s="16" t="str">
        <x:f>IF(A185="","",Events!W184)</x:f>
      </x:c>
      <x:c r="I185" s="16" t="str">
        <x:f>IF(A185="","",IF(Events!Y184&lt;&gt;"",Events!Y184,IF(OR(ISNUMBER(SEARCH("education",P185)),ISNUMBER(SEARCH("exam",P185)),ISNUMBER(SEARCH("school",P185))),"Education",IF(OR(ISNUMBER(SEARCH("trade agreement",P185)),ISNUMBER(SEARCH("economic",P185)),ISNUMBER(SEARCH("import",P185))),"Trade &amp; economic policy",IF(OR(ISNUMBER(SEARCH("land acquisition",P185)),ISNUMBER(SEARCH("rehabilitation",P185)),ISNUMBER(SEARCH("displacement",P185)),ISNUMBER(SEARCH("township",P185))),"Land &amp; rehabilitation",IF(OR(ISNUMBER(SEARCH("forest",P185)),ISNUMBER(SEARCH("environment",P185)),ISNUMBER(SEARCH("ecological",P185)),ISNUMBER(SEARCH("biodiversity",P185)),ISNUMBER(SEARCH("green cover",P185))),"Environment",IF(OR(ISNUMBER(SEARCH("irrigation",P185)),ISNUMBER(SEARCH("water",P185)),ISNUMBER(SEARCH("crop",P185)),ISNUMBER(SEARCH("farmer",P185)),ISNUMBER(SEARCH("agriculture",P185))),"Agriculture &amp; water",IF(OR(ISNUMBER(SEARCH("health",P185)),ISNUMBER(SEARCH("hospital",P185)),ISNUMBER(SEARCH("medicine",P185))),"Public health",IF(OR(ISNUMBER(SEARCH("employee",P185)),ISNUMBER(SEARCH("labour",P185)),ISNUMBER(SEARCH("worker",P185)),ISNUMBER(SEARCH("salary",P185))),"Labour &amp; employment",IF(OR(ISNUMBER(SEARCH("rti",P185)),ISNUMBER(SEARCH("transparency",P185)),ISNUMBER(SEARCH("corruption",P185)),ISNUMBER(SEARCH("governance",P185))),"Governance &amp; transparency",IF(OR(ISNUMBER(SEARCH("police",P185)),ISNUMBER(SEARCH("detention",P185)),ISNUMBER(SEARCH("civil rights",P185)),ISNUMBER(SEARCH("justice",P185))),"Civil rights &amp; justice",IF(OR(ISNUMBER(SEARCH("road",P185)),ISNUMBER(SEARCH("utility",P185)),ISNUMBER(SEARCH("infrastructure",P185)),ISNUMBER(SEARCH("public service",P185))),"Infrastructure &amp; public services","Other"))))))))))))</x:f>
      </x:c>
      <x:c r="J185" s="16" t="str">
        <x:f>IF(A185="","",IF(OR(ISNUMBER(SEARCH("fatal",Q185)),ISNUMBER(SEARCH("death",Q185)),ISNUMBER(SEARCH("riot",Q185)),ISNUMBER(SEARCH("curfew",Q185)),ISNUMBER(SEARCH("internet shutdown",Q185))),5,MIN(4,1+IF(H185&gt;=7,1,0)+IF(OR(ISNUMBER(SEARCH("hunger strike",Q185)),ISNUMBER(SEARCH("blockade",Q185)),ISNUMBER(SEARCH("strike",Q185)),ISNUMBER(SEARCH("jal satyagraha",Q185)),ISNUMBER(SEARCH("survey",Q185)),ISNUMBER(SEARCH("human chain",Q185)),ISNUMBER(SEARCH("march",Q185))),1,0)+IF(OR(ISNUMBER(SEARCH("fir",Q185)),ISNUMBER(SEARCH("confrontation",Q185)),ISNUMBER(SEARCH("violence",Q185)),ISNUMBER(SEARCH("detention",Q185)),ISNUMBER(SEARCH("arrest",Q185)),ISNUMBER(SEARCH("demolition",Q185)),ISNUMBER(SEARCH("injury",Q185))),1,0)+IF(OR(D185="Ongoing",D185="Unresolved"),1,0))))</x:f>
      </x:c>
      <x:c r="K185" s="16" t="str">
        <x:f>IF(J185="","",IF(J185=1,"Limited",IF(J185=2,"Local",IF(J185=3,"Significant",IF(J185=4,"High","Critical")))))</x:f>
      </x:c>
      <x:c r="L185" s="16" t="str">
        <x:f>IF(A185="","",Events!U184)</x:f>
      </x:c>
      <x:c r="M185" s="16" t="str">
        <x:f>IF(A185="","",Events!V184)</x:f>
      </x:c>
      <x:c r="N185" s="16" t="str">
        <x:f>IF(A185="","",Events!Q184)</x:f>
      </x:c>
      <x:c r="O185" s="16" t="str">
        <x:f>IF(A185="","",Events!R184)</x:f>
      </x:c>
      <x:c r="P185" s="16" t="str">
        <x:f>IF(A185="","",LOWER(Events!B184&amp;" "&amp;Events!D184&amp;" "&amp;Events!K184))</x:f>
      </x:c>
      <x:c r="Q185" s="16" t="str">
        <x:f>IF(A185="","",LOWER(Events!C184&amp;" "&amp;Events!K184&amp;" "&amp;Events!T184))</x:f>
      </x:c>
      <x:c r="R185" s="16" t="str">
        <x:f>IF(A185="","",IF(ISNUMBER(SEARCH("Occurrence verified",E185)),"Occurrence verified",E185))</x:f>
      </x:c>
      <x:c r="S185" s="79" t="str">
        <x:f>IF(A185="","",Events!X184)</x:f>
      </x:c>
      <x:c r="Z185" s="79" t="str">
        <x:f>IF(A185="","",Events!AD184)</x:f>
      </x:c>
      <x:c r="AA185" s="79" t="str">
        <x:f>IF(A185="","",Events!AE184)</x:f>
      </x:c>
    </x:row>
    <x:row r="186">
      <x:c r="A186" s="16" t="str">
        <x:f>IF(Events!A185="","",Events!A185)</x:f>
      </x:c>
      <x:c r="B186" s="16" t="str">
        <x:f>IF(A186="","",Events!B185)</x:f>
      </x:c>
      <x:c r="C186" s="16" t="str">
        <x:f>IF(A186="","",Events!E185)</x:f>
      </x:c>
      <x:c r="D186" s="16" t="str">
        <x:f>IF(A186="","",Events!J185)</x:f>
      </x:c>
      <x:c r="E186" s="16" t="str">
        <x:f>IF(A186="","",Events!N185)</x:f>
      </x:c>
      <x:c r="F186" s="109" t="str">
        <x:f>IF(OR(A186="",Events!H185=""),"",Events!H185)</x:f>
      </x:c>
      <x:c r="G186" s="109" t="str">
        <x:f>IF(A186="","",IF(Events!I185&lt;&gt;"",Events!I185,IF(Events!S185&lt;&gt;"",Events!S185,"")))</x:f>
      </x:c>
      <x:c r="H186" s="16" t="str">
        <x:f>IF(A186="","",Events!W185)</x:f>
      </x:c>
      <x:c r="I186" s="16" t="str">
        <x:f>IF(A186="","",IF(Events!Y185&lt;&gt;"",Events!Y185,IF(OR(ISNUMBER(SEARCH("education",P186)),ISNUMBER(SEARCH("exam",P186)),ISNUMBER(SEARCH("school",P186))),"Education",IF(OR(ISNUMBER(SEARCH("trade agreement",P186)),ISNUMBER(SEARCH("economic",P186)),ISNUMBER(SEARCH("import",P186))),"Trade &amp; economic policy",IF(OR(ISNUMBER(SEARCH("land acquisition",P186)),ISNUMBER(SEARCH("rehabilitation",P186)),ISNUMBER(SEARCH("displacement",P186)),ISNUMBER(SEARCH("township",P186))),"Land &amp; rehabilitation",IF(OR(ISNUMBER(SEARCH("forest",P186)),ISNUMBER(SEARCH("environment",P186)),ISNUMBER(SEARCH("ecological",P186)),ISNUMBER(SEARCH("biodiversity",P186)),ISNUMBER(SEARCH("green cover",P186))),"Environment",IF(OR(ISNUMBER(SEARCH("irrigation",P186)),ISNUMBER(SEARCH("water",P186)),ISNUMBER(SEARCH("crop",P186)),ISNUMBER(SEARCH("farmer",P186)),ISNUMBER(SEARCH("agriculture",P186))),"Agriculture &amp; water",IF(OR(ISNUMBER(SEARCH("health",P186)),ISNUMBER(SEARCH("hospital",P186)),ISNUMBER(SEARCH("medicine",P186))),"Public health",IF(OR(ISNUMBER(SEARCH("employee",P186)),ISNUMBER(SEARCH("labour",P186)),ISNUMBER(SEARCH("worker",P186)),ISNUMBER(SEARCH("salary",P186))),"Labour &amp; employment",IF(OR(ISNUMBER(SEARCH("rti",P186)),ISNUMBER(SEARCH("transparency",P186)),ISNUMBER(SEARCH("corruption",P186)),ISNUMBER(SEARCH("governance",P186))),"Governance &amp; transparency",IF(OR(ISNUMBER(SEARCH("police",P186)),ISNUMBER(SEARCH("detention",P186)),ISNUMBER(SEARCH("civil rights",P186)),ISNUMBER(SEARCH("justice",P186))),"Civil rights &amp; justice",IF(OR(ISNUMBER(SEARCH("road",P186)),ISNUMBER(SEARCH("utility",P186)),ISNUMBER(SEARCH("infrastructure",P186)),ISNUMBER(SEARCH("public service",P186))),"Infrastructure &amp; public services","Other"))))))))))))</x:f>
      </x:c>
      <x:c r="J186" s="16" t="str">
        <x:f>IF(A186="","",IF(OR(ISNUMBER(SEARCH("fatal",Q186)),ISNUMBER(SEARCH("death",Q186)),ISNUMBER(SEARCH("riot",Q186)),ISNUMBER(SEARCH("curfew",Q186)),ISNUMBER(SEARCH("internet shutdown",Q186))),5,MIN(4,1+IF(H186&gt;=7,1,0)+IF(OR(ISNUMBER(SEARCH("hunger strike",Q186)),ISNUMBER(SEARCH("blockade",Q186)),ISNUMBER(SEARCH("strike",Q186)),ISNUMBER(SEARCH("jal satyagraha",Q186)),ISNUMBER(SEARCH("survey",Q186)),ISNUMBER(SEARCH("human chain",Q186)),ISNUMBER(SEARCH("march",Q186))),1,0)+IF(OR(ISNUMBER(SEARCH("fir",Q186)),ISNUMBER(SEARCH("confrontation",Q186)),ISNUMBER(SEARCH("violence",Q186)),ISNUMBER(SEARCH("detention",Q186)),ISNUMBER(SEARCH("arrest",Q186)),ISNUMBER(SEARCH("demolition",Q186)),ISNUMBER(SEARCH("injury",Q186))),1,0)+IF(OR(D186="Ongoing",D186="Unresolved"),1,0))))</x:f>
      </x:c>
      <x:c r="K186" s="16" t="str">
        <x:f>IF(J186="","",IF(J186=1,"Limited",IF(J186=2,"Local",IF(J186=3,"Significant",IF(J186=4,"High","Critical")))))</x:f>
      </x:c>
      <x:c r="L186" s="16" t="str">
        <x:f>IF(A186="","",Events!U185)</x:f>
      </x:c>
      <x:c r="M186" s="16" t="str">
        <x:f>IF(A186="","",Events!V185)</x:f>
      </x:c>
      <x:c r="N186" s="16" t="str">
        <x:f>IF(A186="","",Events!Q185)</x:f>
      </x:c>
      <x:c r="O186" s="16" t="str">
        <x:f>IF(A186="","",Events!R185)</x:f>
      </x:c>
      <x:c r="P186" s="16" t="str">
        <x:f>IF(A186="","",LOWER(Events!B185&amp;" "&amp;Events!D185&amp;" "&amp;Events!K185))</x:f>
      </x:c>
      <x:c r="Q186" s="16" t="str">
        <x:f>IF(A186="","",LOWER(Events!C185&amp;" "&amp;Events!K185&amp;" "&amp;Events!T185))</x:f>
      </x:c>
      <x:c r="R186" s="16" t="str">
        <x:f>IF(A186="","",IF(ISNUMBER(SEARCH("Occurrence verified",E186)),"Occurrence verified",E186))</x:f>
      </x:c>
      <x:c r="S186" s="79" t="str">
        <x:f>IF(A186="","",Events!X185)</x:f>
      </x:c>
      <x:c r="Z186" s="79" t="str">
        <x:f>IF(A186="","",Events!AD185)</x:f>
      </x:c>
      <x:c r="AA186" s="79" t="str">
        <x:f>IF(A186="","",Events!AE185)</x:f>
      </x:c>
    </x:row>
    <x:row r="187">
      <x:c r="A187" s="16" t="str">
        <x:f>IF(Events!A186="","",Events!A186)</x:f>
      </x:c>
      <x:c r="B187" s="16" t="str">
        <x:f>IF(A187="","",Events!B186)</x:f>
      </x:c>
      <x:c r="C187" s="16" t="str">
        <x:f>IF(A187="","",Events!E186)</x:f>
      </x:c>
      <x:c r="D187" s="16" t="str">
        <x:f>IF(A187="","",Events!J186)</x:f>
      </x:c>
      <x:c r="E187" s="16" t="str">
        <x:f>IF(A187="","",Events!N186)</x:f>
      </x:c>
      <x:c r="F187" s="109" t="str">
        <x:f>IF(OR(A187="",Events!H186=""),"",Events!H186)</x:f>
      </x:c>
      <x:c r="G187" s="109" t="str">
        <x:f>IF(A187="","",IF(Events!I186&lt;&gt;"",Events!I186,IF(Events!S186&lt;&gt;"",Events!S186,"")))</x:f>
      </x:c>
      <x:c r="H187" s="16" t="str">
        <x:f>IF(A187="","",Events!W186)</x:f>
      </x:c>
      <x:c r="I187" s="16" t="str">
        <x:f>IF(A187="","",IF(Events!Y186&lt;&gt;"",Events!Y186,IF(OR(ISNUMBER(SEARCH("education",P187)),ISNUMBER(SEARCH("exam",P187)),ISNUMBER(SEARCH("school",P187))),"Education",IF(OR(ISNUMBER(SEARCH("trade agreement",P187)),ISNUMBER(SEARCH("economic",P187)),ISNUMBER(SEARCH("import",P187))),"Trade &amp; economic policy",IF(OR(ISNUMBER(SEARCH("land acquisition",P187)),ISNUMBER(SEARCH("rehabilitation",P187)),ISNUMBER(SEARCH("displacement",P187)),ISNUMBER(SEARCH("township",P187))),"Land &amp; rehabilitation",IF(OR(ISNUMBER(SEARCH("forest",P187)),ISNUMBER(SEARCH("environment",P187)),ISNUMBER(SEARCH("ecological",P187)),ISNUMBER(SEARCH("biodiversity",P187)),ISNUMBER(SEARCH("green cover",P187))),"Environment",IF(OR(ISNUMBER(SEARCH("irrigation",P187)),ISNUMBER(SEARCH("water",P187)),ISNUMBER(SEARCH("crop",P187)),ISNUMBER(SEARCH("farmer",P187)),ISNUMBER(SEARCH("agriculture",P187))),"Agriculture &amp; water",IF(OR(ISNUMBER(SEARCH("health",P187)),ISNUMBER(SEARCH("hospital",P187)),ISNUMBER(SEARCH("medicine",P187))),"Public health",IF(OR(ISNUMBER(SEARCH("employee",P187)),ISNUMBER(SEARCH("labour",P187)),ISNUMBER(SEARCH("worker",P187)),ISNUMBER(SEARCH("salary",P187))),"Labour &amp; employment",IF(OR(ISNUMBER(SEARCH("rti",P187)),ISNUMBER(SEARCH("transparency",P187)),ISNUMBER(SEARCH("corruption",P187)),ISNUMBER(SEARCH("governance",P187))),"Governance &amp; transparency",IF(OR(ISNUMBER(SEARCH("police",P187)),ISNUMBER(SEARCH("detention",P187)),ISNUMBER(SEARCH("civil rights",P187)),ISNUMBER(SEARCH("justice",P187))),"Civil rights &amp; justice",IF(OR(ISNUMBER(SEARCH("road",P187)),ISNUMBER(SEARCH("utility",P187)),ISNUMBER(SEARCH("infrastructure",P187)),ISNUMBER(SEARCH("public service",P187))),"Infrastructure &amp; public services","Other"))))))))))))</x:f>
      </x:c>
      <x:c r="J187" s="16" t="str">
        <x:f>IF(A187="","",IF(OR(ISNUMBER(SEARCH("fatal",Q187)),ISNUMBER(SEARCH("death",Q187)),ISNUMBER(SEARCH("riot",Q187)),ISNUMBER(SEARCH("curfew",Q187)),ISNUMBER(SEARCH("internet shutdown",Q187))),5,MIN(4,1+IF(H187&gt;=7,1,0)+IF(OR(ISNUMBER(SEARCH("hunger strike",Q187)),ISNUMBER(SEARCH("blockade",Q187)),ISNUMBER(SEARCH("strike",Q187)),ISNUMBER(SEARCH("jal satyagraha",Q187)),ISNUMBER(SEARCH("survey",Q187)),ISNUMBER(SEARCH("human chain",Q187)),ISNUMBER(SEARCH("march",Q187))),1,0)+IF(OR(ISNUMBER(SEARCH("fir",Q187)),ISNUMBER(SEARCH("confrontation",Q187)),ISNUMBER(SEARCH("violence",Q187)),ISNUMBER(SEARCH("detention",Q187)),ISNUMBER(SEARCH("arrest",Q187)),ISNUMBER(SEARCH("demolition",Q187)),ISNUMBER(SEARCH("injury",Q187))),1,0)+IF(OR(D187="Ongoing",D187="Unresolved"),1,0))))</x:f>
      </x:c>
      <x:c r="K187" s="16" t="str">
        <x:f>IF(J187="","",IF(J187=1,"Limited",IF(J187=2,"Local",IF(J187=3,"Significant",IF(J187=4,"High","Critical")))))</x:f>
      </x:c>
      <x:c r="L187" s="16" t="str">
        <x:f>IF(A187="","",Events!U186)</x:f>
      </x:c>
      <x:c r="M187" s="16" t="str">
        <x:f>IF(A187="","",Events!V186)</x:f>
      </x:c>
      <x:c r="N187" s="16" t="str">
        <x:f>IF(A187="","",Events!Q186)</x:f>
      </x:c>
      <x:c r="O187" s="16" t="str">
        <x:f>IF(A187="","",Events!R186)</x:f>
      </x:c>
      <x:c r="P187" s="16" t="str">
        <x:f>IF(A187="","",LOWER(Events!B186&amp;" "&amp;Events!D186&amp;" "&amp;Events!K186))</x:f>
      </x:c>
      <x:c r="Q187" s="16" t="str">
        <x:f>IF(A187="","",LOWER(Events!C186&amp;" "&amp;Events!K186&amp;" "&amp;Events!T186))</x:f>
      </x:c>
      <x:c r="R187" s="16" t="str">
        <x:f>IF(A187="","",IF(ISNUMBER(SEARCH("Occurrence verified",E187)),"Occurrence verified",E187))</x:f>
      </x:c>
      <x:c r="S187" s="79" t="str">
        <x:f>IF(A187="","",Events!X186)</x:f>
      </x:c>
      <x:c r="Z187" s="79" t="str">
        <x:f>IF(A187="","",Events!AD186)</x:f>
      </x:c>
      <x:c r="AA187" s="79" t="str">
        <x:f>IF(A187="","",Events!AE186)</x:f>
      </x:c>
    </x:row>
    <x:row r="188">
      <x:c r="A188" s="16" t="str">
        <x:f>IF(Events!A187="","",Events!A187)</x:f>
      </x:c>
      <x:c r="B188" s="16" t="str">
        <x:f>IF(A188="","",Events!B187)</x:f>
      </x:c>
      <x:c r="C188" s="16" t="str">
        <x:f>IF(A188="","",Events!E187)</x:f>
      </x:c>
      <x:c r="D188" s="16" t="str">
        <x:f>IF(A188="","",Events!J187)</x:f>
      </x:c>
      <x:c r="E188" s="16" t="str">
        <x:f>IF(A188="","",Events!N187)</x:f>
      </x:c>
      <x:c r="F188" s="109" t="str">
        <x:f>IF(OR(A188="",Events!H187=""),"",Events!H187)</x:f>
      </x:c>
      <x:c r="G188" s="109" t="str">
        <x:f>IF(A188="","",IF(Events!I187&lt;&gt;"",Events!I187,IF(Events!S187&lt;&gt;"",Events!S187,"")))</x:f>
      </x:c>
      <x:c r="H188" s="16" t="str">
        <x:f>IF(A188="","",Events!W187)</x:f>
      </x:c>
      <x:c r="I188" s="16" t="str">
        <x:f>IF(A188="","",IF(Events!Y187&lt;&gt;"",Events!Y187,IF(OR(ISNUMBER(SEARCH("education",P188)),ISNUMBER(SEARCH("exam",P188)),ISNUMBER(SEARCH("school",P188))),"Education",IF(OR(ISNUMBER(SEARCH("trade agreement",P188)),ISNUMBER(SEARCH("economic",P188)),ISNUMBER(SEARCH("import",P188))),"Trade &amp; economic policy",IF(OR(ISNUMBER(SEARCH("land acquisition",P188)),ISNUMBER(SEARCH("rehabilitation",P188)),ISNUMBER(SEARCH("displacement",P188)),ISNUMBER(SEARCH("township",P188))),"Land &amp; rehabilitation",IF(OR(ISNUMBER(SEARCH("forest",P188)),ISNUMBER(SEARCH("environment",P188)),ISNUMBER(SEARCH("ecological",P188)),ISNUMBER(SEARCH("biodiversity",P188)),ISNUMBER(SEARCH("green cover",P188))),"Environment",IF(OR(ISNUMBER(SEARCH("irrigation",P188)),ISNUMBER(SEARCH("water",P188)),ISNUMBER(SEARCH("crop",P188)),ISNUMBER(SEARCH("farmer",P188)),ISNUMBER(SEARCH("agriculture",P188))),"Agriculture &amp; water",IF(OR(ISNUMBER(SEARCH("health",P188)),ISNUMBER(SEARCH("hospital",P188)),ISNUMBER(SEARCH("medicine",P188))),"Public health",IF(OR(ISNUMBER(SEARCH("employee",P188)),ISNUMBER(SEARCH("labour",P188)),ISNUMBER(SEARCH("worker",P188)),ISNUMBER(SEARCH("salary",P188))),"Labour &amp; employment",IF(OR(ISNUMBER(SEARCH("rti",P188)),ISNUMBER(SEARCH("transparency",P188)),ISNUMBER(SEARCH("corruption",P188)),ISNUMBER(SEARCH("governance",P188))),"Governance &amp; transparency",IF(OR(ISNUMBER(SEARCH("police",P188)),ISNUMBER(SEARCH("detention",P188)),ISNUMBER(SEARCH("civil rights",P188)),ISNUMBER(SEARCH("justice",P188))),"Civil rights &amp; justice",IF(OR(ISNUMBER(SEARCH("road",P188)),ISNUMBER(SEARCH("utility",P188)),ISNUMBER(SEARCH("infrastructure",P188)),ISNUMBER(SEARCH("public service",P188))),"Infrastructure &amp; public services","Other"))))))))))))</x:f>
      </x:c>
      <x:c r="J188" s="16" t="str">
        <x:f>IF(A188="","",IF(OR(ISNUMBER(SEARCH("fatal",Q188)),ISNUMBER(SEARCH("death",Q188)),ISNUMBER(SEARCH("riot",Q188)),ISNUMBER(SEARCH("curfew",Q188)),ISNUMBER(SEARCH("internet shutdown",Q188))),5,MIN(4,1+IF(H188&gt;=7,1,0)+IF(OR(ISNUMBER(SEARCH("hunger strike",Q188)),ISNUMBER(SEARCH("blockade",Q188)),ISNUMBER(SEARCH("strike",Q188)),ISNUMBER(SEARCH("jal satyagraha",Q188)),ISNUMBER(SEARCH("survey",Q188)),ISNUMBER(SEARCH("human chain",Q188)),ISNUMBER(SEARCH("march",Q188))),1,0)+IF(OR(ISNUMBER(SEARCH("fir",Q188)),ISNUMBER(SEARCH("confrontation",Q188)),ISNUMBER(SEARCH("violence",Q188)),ISNUMBER(SEARCH("detention",Q188)),ISNUMBER(SEARCH("arrest",Q188)),ISNUMBER(SEARCH("demolition",Q188)),ISNUMBER(SEARCH("injury",Q188))),1,0)+IF(OR(D188="Ongoing",D188="Unresolved"),1,0))))</x:f>
      </x:c>
      <x:c r="K188" s="16" t="str">
        <x:f>IF(J188="","",IF(J188=1,"Limited",IF(J188=2,"Local",IF(J188=3,"Significant",IF(J188=4,"High","Critical")))))</x:f>
      </x:c>
      <x:c r="L188" s="16" t="str">
        <x:f>IF(A188="","",Events!U187)</x:f>
      </x:c>
      <x:c r="M188" s="16" t="str">
        <x:f>IF(A188="","",Events!V187)</x:f>
      </x:c>
      <x:c r="N188" s="16" t="str">
        <x:f>IF(A188="","",Events!Q187)</x:f>
      </x:c>
      <x:c r="O188" s="16" t="str">
        <x:f>IF(A188="","",Events!R187)</x:f>
      </x:c>
      <x:c r="P188" s="16" t="str">
        <x:f>IF(A188="","",LOWER(Events!B187&amp;" "&amp;Events!D187&amp;" "&amp;Events!K187))</x:f>
      </x:c>
      <x:c r="Q188" s="16" t="str">
        <x:f>IF(A188="","",LOWER(Events!C187&amp;" "&amp;Events!K187&amp;" "&amp;Events!T187))</x:f>
      </x:c>
      <x:c r="R188" s="16" t="str">
        <x:f>IF(A188="","",IF(ISNUMBER(SEARCH("Occurrence verified",E188)),"Occurrence verified",E188))</x:f>
      </x:c>
      <x:c r="S188" s="79" t="str">
        <x:f>IF(A188="","",Events!X187)</x:f>
      </x:c>
      <x:c r="Z188" s="79" t="str">
        <x:f>IF(A188="","",Events!AD187)</x:f>
      </x:c>
      <x:c r="AA188" s="79" t="str">
        <x:f>IF(A188="","",Events!AE187)</x:f>
      </x:c>
    </x:row>
    <x:row r="189">
      <x:c r="A189" s="16" t="str">
        <x:f>IF(Events!A188="","",Events!A188)</x:f>
      </x:c>
      <x:c r="B189" s="16" t="str">
        <x:f>IF(A189="","",Events!B188)</x:f>
      </x:c>
      <x:c r="C189" s="16" t="str">
        <x:f>IF(A189="","",Events!E188)</x:f>
      </x:c>
      <x:c r="D189" s="16" t="str">
        <x:f>IF(A189="","",Events!J188)</x:f>
      </x:c>
      <x:c r="E189" s="16" t="str">
        <x:f>IF(A189="","",Events!N188)</x:f>
      </x:c>
      <x:c r="F189" s="109" t="str">
        <x:f>IF(OR(A189="",Events!H188=""),"",Events!H188)</x:f>
      </x:c>
      <x:c r="G189" s="109" t="str">
        <x:f>IF(A189="","",IF(Events!I188&lt;&gt;"",Events!I188,IF(Events!S188&lt;&gt;"",Events!S188,"")))</x:f>
      </x:c>
      <x:c r="H189" s="16" t="str">
        <x:f>IF(A189="","",Events!W188)</x:f>
      </x:c>
      <x:c r="I189" s="16" t="str">
        <x:f>IF(A189="","",IF(Events!Y188&lt;&gt;"",Events!Y188,IF(OR(ISNUMBER(SEARCH("education",P189)),ISNUMBER(SEARCH("exam",P189)),ISNUMBER(SEARCH("school",P189))),"Education",IF(OR(ISNUMBER(SEARCH("trade agreement",P189)),ISNUMBER(SEARCH("economic",P189)),ISNUMBER(SEARCH("import",P189))),"Trade &amp; economic policy",IF(OR(ISNUMBER(SEARCH("land acquisition",P189)),ISNUMBER(SEARCH("rehabilitation",P189)),ISNUMBER(SEARCH("displacement",P189)),ISNUMBER(SEARCH("township",P189))),"Land &amp; rehabilitation",IF(OR(ISNUMBER(SEARCH("forest",P189)),ISNUMBER(SEARCH("environment",P189)),ISNUMBER(SEARCH("ecological",P189)),ISNUMBER(SEARCH("biodiversity",P189)),ISNUMBER(SEARCH("green cover",P189))),"Environment",IF(OR(ISNUMBER(SEARCH("irrigation",P189)),ISNUMBER(SEARCH("water",P189)),ISNUMBER(SEARCH("crop",P189)),ISNUMBER(SEARCH("farmer",P189)),ISNUMBER(SEARCH("agriculture",P189))),"Agriculture &amp; water",IF(OR(ISNUMBER(SEARCH("health",P189)),ISNUMBER(SEARCH("hospital",P189)),ISNUMBER(SEARCH("medicine",P189))),"Public health",IF(OR(ISNUMBER(SEARCH("employee",P189)),ISNUMBER(SEARCH("labour",P189)),ISNUMBER(SEARCH("worker",P189)),ISNUMBER(SEARCH("salary",P189))),"Labour &amp; employment",IF(OR(ISNUMBER(SEARCH("rti",P189)),ISNUMBER(SEARCH("transparency",P189)),ISNUMBER(SEARCH("corruption",P189)),ISNUMBER(SEARCH("governance",P189))),"Governance &amp; transparency",IF(OR(ISNUMBER(SEARCH("police",P189)),ISNUMBER(SEARCH("detention",P189)),ISNUMBER(SEARCH("civil rights",P189)),ISNUMBER(SEARCH("justice",P189))),"Civil rights &amp; justice",IF(OR(ISNUMBER(SEARCH("road",P189)),ISNUMBER(SEARCH("utility",P189)),ISNUMBER(SEARCH("infrastructure",P189)),ISNUMBER(SEARCH("public service",P189))),"Infrastructure &amp; public services","Other"))))))))))))</x:f>
      </x:c>
      <x:c r="J189" s="16" t="str">
        <x:f>IF(A189="","",IF(OR(ISNUMBER(SEARCH("fatal",Q189)),ISNUMBER(SEARCH("death",Q189)),ISNUMBER(SEARCH("riot",Q189)),ISNUMBER(SEARCH("curfew",Q189)),ISNUMBER(SEARCH("internet shutdown",Q189))),5,MIN(4,1+IF(H189&gt;=7,1,0)+IF(OR(ISNUMBER(SEARCH("hunger strike",Q189)),ISNUMBER(SEARCH("blockade",Q189)),ISNUMBER(SEARCH("strike",Q189)),ISNUMBER(SEARCH("jal satyagraha",Q189)),ISNUMBER(SEARCH("survey",Q189)),ISNUMBER(SEARCH("human chain",Q189)),ISNUMBER(SEARCH("march",Q189))),1,0)+IF(OR(ISNUMBER(SEARCH("fir",Q189)),ISNUMBER(SEARCH("confrontation",Q189)),ISNUMBER(SEARCH("violence",Q189)),ISNUMBER(SEARCH("detention",Q189)),ISNUMBER(SEARCH("arrest",Q189)),ISNUMBER(SEARCH("demolition",Q189)),ISNUMBER(SEARCH("injury",Q189))),1,0)+IF(OR(D189="Ongoing",D189="Unresolved"),1,0))))</x:f>
      </x:c>
      <x:c r="K189" s="16" t="str">
        <x:f>IF(J189="","",IF(J189=1,"Limited",IF(J189=2,"Local",IF(J189=3,"Significant",IF(J189=4,"High","Critical")))))</x:f>
      </x:c>
      <x:c r="L189" s="16" t="str">
        <x:f>IF(A189="","",Events!U188)</x:f>
      </x:c>
      <x:c r="M189" s="16" t="str">
        <x:f>IF(A189="","",Events!V188)</x:f>
      </x:c>
      <x:c r="N189" s="16" t="str">
        <x:f>IF(A189="","",Events!Q188)</x:f>
      </x:c>
      <x:c r="O189" s="16" t="str">
        <x:f>IF(A189="","",Events!R188)</x:f>
      </x:c>
      <x:c r="P189" s="16" t="str">
        <x:f>IF(A189="","",LOWER(Events!B188&amp;" "&amp;Events!D188&amp;" "&amp;Events!K188))</x:f>
      </x:c>
      <x:c r="Q189" s="16" t="str">
        <x:f>IF(A189="","",LOWER(Events!C188&amp;" "&amp;Events!K188&amp;" "&amp;Events!T188))</x:f>
      </x:c>
      <x:c r="R189" s="16" t="str">
        <x:f>IF(A189="","",IF(ISNUMBER(SEARCH("Occurrence verified",E189)),"Occurrence verified",E189))</x:f>
      </x:c>
      <x:c r="S189" s="79" t="str">
        <x:f>IF(A189="","",Events!X188)</x:f>
      </x:c>
      <x:c r="Z189" s="79" t="str">
        <x:f>IF(A189="","",Events!AD188)</x:f>
      </x:c>
      <x:c r="AA189" s="79" t="str">
        <x:f>IF(A189="","",Events!AE188)</x:f>
      </x:c>
    </x:row>
    <x:row r="190">
      <x:c r="A190" s="16" t="str">
        <x:f>IF(Events!A189="","",Events!A189)</x:f>
      </x:c>
      <x:c r="B190" s="16" t="str">
        <x:f>IF(A190="","",Events!B189)</x:f>
      </x:c>
      <x:c r="C190" s="16" t="str">
        <x:f>IF(A190="","",Events!E189)</x:f>
      </x:c>
      <x:c r="D190" s="16" t="str">
        <x:f>IF(A190="","",Events!J189)</x:f>
      </x:c>
      <x:c r="E190" s="16" t="str">
        <x:f>IF(A190="","",Events!N189)</x:f>
      </x:c>
      <x:c r="F190" s="109" t="str">
        <x:f>IF(OR(A190="",Events!H189=""),"",Events!H189)</x:f>
      </x:c>
      <x:c r="G190" s="109" t="str">
        <x:f>IF(A190="","",IF(Events!I189&lt;&gt;"",Events!I189,IF(Events!S189&lt;&gt;"",Events!S189,"")))</x:f>
      </x:c>
      <x:c r="H190" s="16" t="str">
        <x:f>IF(A190="","",Events!W189)</x:f>
      </x:c>
      <x:c r="I190" s="16" t="str">
        <x:f>IF(A190="","",IF(Events!Y189&lt;&gt;"",Events!Y189,IF(OR(ISNUMBER(SEARCH("education",P190)),ISNUMBER(SEARCH("exam",P190)),ISNUMBER(SEARCH("school",P190))),"Education",IF(OR(ISNUMBER(SEARCH("trade agreement",P190)),ISNUMBER(SEARCH("economic",P190)),ISNUMBER(SEARCH("import",P190))),"Trade &amp; economic policy",IF(OR(ISNUMBER(SEARCH("land acquisition",P190)),ISNUMBER(SEARCH("rehabilitation",P190)),ISNUMBER(SEARCH("displacement",P190)),ISNUMBER(SEARCH("township",P190))),"Land &amp; rehabilitation",IF(OR(ISNUMBER(SEARCH("forest",P190)),ISNUMBER(SEARCH("environment",P190)),ISNUMBER(SEARCH("ecological",P190)),ISNUMBER(SEARCH("biodiversity",P190)),ISNUMBER(SEARCH("green cover",P190))),"Environment",IF(OR(ISNUMBER(SEARCH("irrigation",P190)),ISNUMBER(SEARCH("water",P190)),ISNUMBER(SEARCH("crop",P190)),ISNUMBER(SEARCH("farmer",P190)),ISNUMBER(SEARCH("agriculture",P190))),"Agriculture &amp; water",IF(OR(ISNUMBER(SEARCH("health",P190)),ISNUMBER(SEARCH("hospital",P190)),ISNUMBER(SEARCH("medicine",P190))),"Public health",IF(OR(ISNUMBER(SEARCH("employee",P190)),ISNUMBER(SEARCH("labour",P190)),ISNUMBER(SEARCH("worker",P190)),ISNUMBER(SEARCH("salary",P190))),"Labour &amp; employment",IF(OR(ISNUMBER(SEARCH("rti",P190)),ISNUMBER(SEARCH("transparency",P190)),ISNUMBER(SEARCH("corruption",P190)),ISNUMBER(SEARCH("governance",P190))),"Governance &amp; transparency",IF(OR(ISNUMBER(SEARCH("police",P190)),ISNUMBER(SEARCH("detention",P190)),ISNUMBER(SEARCH("civil rights",P190)),ISNUMBER(SEARCH("justice",P190))),"Civil rights &amp; justice",IF(OR(ISNUMBER(SEARCH("road",P190)),ISNUMBER(SEARCH("utility",P190)),ISNUMBER(SEARCH("infrastructure",P190)),ISNUMBER(SEARCH("public service",P190))),"Infrastructure &amp; public services","Other"))))))))))))</x:f>
      </x:c>
      <x:c r="J190" s="16" t="str">
        <x:f>IF(A190="","",IF(OR(ISNUMBER(SEARCH("fatal",Q190)),ISNUMBER(SEARCH("death",Q190)),ISNUMBER(SEARCH("riot",Q190)),ISNUMBER(SEARCH("curfew",Q190)),ISNUMBER(SEARCH("internet shutdown",Q190))),5,MIN(4,1+IF(H190&gt;=7,1,0)+IF(OR(ISNUMBER(SEARCH("hunger strike",Q190)),ISNUMBER(SEARCH("blockade",Q190)),ISNUMBER(SEARCH("strike",Q190)),ISNUMBER(SEARCH("jal satyagraha",Q190)),ISNUMBER(SEARCH("survey",Q190)),ISNUMBER(SEARCH("human chain",Q190)),ISNUMBER(SEARCH("march",Q190))),1,0)+IF(OR(ISNUMBER(SEARCH("fir",Q190)),ISNUMBER(SEARCH("confrontation",Q190)),ISNUMBER(SEARCH("violence",Q190)),ISNUMBER(SEARCH("detention",Q190)),ISNUMBER(SEARCH("arrest",Q190)),ISNUMBER(SEARCH("demolition",Q190)),ISNUMBER(SEARCH("injury",Q190))),1,0)+IF(OR(D190="Ongoing",D190="Unresolved"),1,0))))</x:f>
      </x:c>
      <x:c r="K190" s="16" t="str">
        <x:f>IF(J190="","",IF(J190=1,"Limited",IF(J190=2,"Local",IF(J190=3,"Significant",IF(J190=4,"High","Critical")))))</x:f>
      </x:c>
      <x:c r="L190" s="16" t="str">
        <x:f>IF(A190="","",Events!U189)</x:f>
      </x:c>
      <x:c r="M190" s="16" t="str">
        <x:f>IF(A190="","",Events!V189)</x:f>
      </x:c>
      <x:c r="N190" s="16" t="str">
        <x:f>IF(A190="","",Events!Q189)</x:f>
      </x:c>
      <x:c r="O190" s="16" t="str">
        <x:f>IF(A190="","",Events!R189)</x:f>
      </x:c>
      <x:c r="P190" s="16" t="str">
        <x:f>IF(A190="","",LOWER(Events!B189&amp;" "&amp;Events!D189&amp;" "&amp;Events!K189))</x:f>
      </x:c>
      <x:c r="Q190" s="16" t="str">
        <x:f>IF(A190="","",LOWER(Events!C189&amp;" "&amp;Events!K189&amp;" "&amp;Events!T189))</x:f>
      </x:c>
      <x:c r="R190" s="16" t="str">
        <x:f>IF(A190="","",IF(ISNUMBER(SEARCH("Occurrence verified",E190)),"Occurrence verified",E190))</x:f>
      </x:c>
      <x:c r="S190" s="79" t="str">
        <x:f>IF(A190="","",Events!X189)</x:f>
      </x:c>
      <x:c r="Z190" s="79" t="str">
        <x:f>IF(A190="","",Events!AD189)</x:f>
      </x:c>
      <x:c r="AA190" s="79" t="str">
        <x:f>IF(A190="","",Events!AE189)</x:f>
      </x:c>
    </x:row>
    <x:row r="191">
      <x:c r="A191" s="16" t="str">
        <x:f>IF(Events!A190="","",Events!A190)</x:f>
      </x:c>
      <x:c r="B191" s="16" t="str">
        <x:f>IF(A191="","",Events!B190)</x:f>
      </x:c>
      <x:c r="C191" s="16" t="str">
        <x:f>IF(A191="","",Events!E190)</x:f>
      </x:c>
      <x:c r="D191" s="16" t="str">
        <x:f>IF(A191="","",Events!J190)</x:f>
      </x:c>
      <x:c r="E191" s="16" t="str">
        <x:f>IF(A191="","",Events!N190)</x:f>
      </x:c>
      <x:c r="F191" s="109" t="str">
        <x:f>IF(OR(A191="",Events!H190=""),"",Events!H190)</x:f>
      </x:c>
      <x:c r="G191" s="109" t="str">
        <x:f>IF(A191="","",IF(Events!I190&lt;&gt;"",Events!I190,IF(Events!S190&lt;&gt;"",Events!S190,"")))</x:f>
      </x:c>
      <x:c r="H191" s="16" t="str">
        <x:f>IF(A191="","",Events!W190)</x:f>
      </x:c>
      <x:c r="I191" s="16" t="str">
        <x:f>IF(A191="","",IF(Events!Y190&lt;&gt;"",Events!Y190,IF(OR(ISNUMBER(SEARCH("education",P191)),ISNUMBER(SEARCH("exam",P191)),ISNUMBER(SEARCH("school",P191))),"Education",IF(OR(ISNUMBER(SEARCH("trade agreement",P191)),ISNUMBER(SEARCH("economic",P191)),ISNUMBER(SEARCH("import",P191))),"Trade &amp; economic policy",IF(OR(ISNUMBER(SEARCH("land acquisition",P191)),ISNUMBER(SEARCH("rehabilitation",P191)),ISNUMBER(SEARCH("displacement",P191)),ISNUMBER(SEARCH("township",P191))),"Land &amp; rehabilitation",IF(OR(ISNUMBER(SEARCH("forest",P191)),ISNUMBER(SEARCH("environment",P191)),ISNUMBER(SEARCH("ecological",P191)),ISNUMBER(SEARCH("biodiversity",P191)),ISNUMBER(SEARCH("green cover",P191))),"Environment",IF(OR(ISNUMBER(SEARCH("irrigation",P191)),ISNUMBER(SEARCH("water",P191)),ISNUMBER(SEARCH("crop",P191)),ISNUMBER(SEARCH("farmer",P191)),ISNUMBER(SEARCH("agriculture",P191))),"Agriculture &amp; water",IF(OR(ISNUMBER(SEARCH("health",P191)),ISNUMBER(SEARCH("hospital",P191)),ISNUMBER(SEARCH("medicine",P191))),"Public health",IF(OR(ISNUMBER(SEARCH("employee",P191)),ISNUMBER(SEARCH("labour",P191)),ISNUMBER(SEARCH("worker",P191)),ISNUMBER(SEARCH("salary",P191))),"Labour &amp; employment",IF(OR(ISNUMBER(SEARCH("rti",P191)),ISNUMBER(SEARCH("transparency",P191)),ISNUMBER(SEARCH("corruption",P191)),ISNUMBER(SEARCH("governance",P191))),"Governance &amp; transparency",IF(OR(ISNUMBER(SEARCH("police",P191)),ISNUMBER(SEARCH("detention",P191)),ISNUMBER(SEARCH("civil rights",P191)),ISNUMBER(SEARCH("justice",P191))),"Civil rights &amp; justice",IF(OR(ISNUMBER(SEARCH("road",P191)),ISNUMBER(SEARCH("utility",P191)),ISNUMBER(SEARCH("infrastructure",P191)),ISNUMBER(SEARCH("public service",P191))),"Infrastructure &amp; public services","Other"))))))))))))</x:f>
      </x:c>
      <x:c r="J191" s="16" t="str">
        <x:f>IF(A191="","",IF(OR(ISNUMBER(SEARCH("fatal",Q191)),ISNUMBER(SEARCH("death",Q191)),ISNUMBER(SEARCH("riot",Q191)),ISNUMBER(SEARCH("curfew",Q191)),ISNUMBER(SEARCH("internet shutdown",Q191))),5,MIN(4,1+IF(H191&gt;=7,1,0)+IF(OR(ISNUMBER(SEARCH("hunger strike",Q191)),ISNUMBER(SEARCH("blockade",Q191)),ISNUMBER(SEARCH("strike",Q191)),ISNUMBER(SEARCH("jal satyagraha",Q191)),ISNUMBER(SEARCH("survey",Q191)),ISNUMBER(SEARCH("human chain",Q191)),ISNUMBER(SEARCH("march",Q191))),1,0)+IF(OR(ISNUMBER(SEARCH("fir",Q191)),ISNUMBER(SEARCH("confrontation",Q191)),ISNUMBER(SEARCH("violence",Q191)),ISNUMBER(SEARCH("detention",Q191)),ISNUMBER(SEARCH("arrest",Q191)),ISNUMBER(SEARCH("demolition",Q191)),ISNUMBER(SEARCH("injury",Q191))),1,0)+IF(OR(D191="Ongoing",D191="Unresolved"),1,0))))</x:f>
      </x:c>
      <x:c r="K191" s="16" t="str">
        <x:f>IF(J191="","",IF(J191=1,"Limited",IF(J191=2,"Local",IF(J191=3,"Significant",IF(J191=4,"High","Critical")))))</x:f>
      </x:c>
      <x:c r="L191" s="16" t="str">
        <x:f>IF(A191="","",Events!U190)</x:f>
      </x:c>
      <x:c r="M191" s="16" t="str">
        <x:f>IF(A191="","",Events!V190)</x:f>
      </x:c>
      <x:c r="N191" s="16" t="str">
        <x:f>IF(A191="","",Events!Q190)</x:f>
      </x:c>
      <x:c r="O191" s="16" t="str">
        <x:f>IF(A191="","",Events!R190)</x:f>
      </x:c>
      <x:c r="P191" s="16" t="str">
        <x:f>IF(A191="","",LOWER(Events!B190&amp;" "&amp;Events!D190&amp;" "&amp;Events!K190))</x:f>
      </x:c>
      <x:c r="Q191" s="16" t="str">
        <x:f>IF(A191="","",LOWER(Events!C190&amp;" "&amp;Events!K190&amp;" "&amp;Events!T190))</x:f>
      </x:c>
      <x:c r="R191" s="16" t="str">
        <x:f>IF(A191="","",IF(ISNUMBER(SEARCH("Occurrence verified",E191)),"Occurrence verified",E191))</x:f>
      </x:c>
      <x:c r="S191" s="79" t="str">
        <x:f>IF(A191="","",Events!X190)</x:f>
      </x:c>
      <x:c r="Z191" s="79" t="str">
        <x:f>IF(A191="","",Events!AD190)</x:f>
      </x:c>
      <x:c r="AA191" s="79" t="str">
        <x:f>IF(A191="","",Events!AE190)</x:f>
      </x:c>
    </x:row>
    <x:row r="192">
      <x:c r="A192" s="16" t="str">
        <x:f>IF(Events!A191="","",Events!A191)</x:f>
      </x:c>
      <x:c r="B192" s="16" t="str">
        <x:f>IF(A192="","",Events!B191)</x:f>
      </x:c>
      <x:c r="C192" s="16" t="str">
        <x:f>IF(A192="","",Events!E191)</x:f>
      </x:c>
      <x:c r="D192" s="16" t="str">
        <x:f>IF(A192="","",Events!J191)</x:f>
      </x:c>
      <x:c r="E192" s="16" t="str">
        <x:f>IF(A192="","",Events!N191)</x:f>
      </x:c>
      <x:c r="F192" s="109" t="str">
        <x:f>IF(OR(A192="",Events!H191=""),"",Events!H191)</x:f>
      </x:c>
      <x:c r="G192" s="109" t="str">
        <x:f>IF(A192="","",IF(Events!I191&lt;&gt;"",Events!I191,IF(Events!S191&lt;&gt;"",Events!S191,"")))</x:f>
      </x:c>
      <x:c r="H192" s="16" t="str">
        <x:f>IF(A192="","",Events!W191)</x:f>
      </x:c>
      <x:c r="I192" s="16" t="str">
        <x:f>IF(A192="","",IF(Events!Y191&lt;&gt;"",Events!Y191,IF(OR(ISNUMBER(SEARCH("education",P192)),ISNUMBER(SEARCH("exam",P192)),ISNUMBER(SEARCH("school",P192))),"Education",IF(OR(ISNUMBER(SEARCH("trade agreement",P192)),ISNUMBER(SEARCH("economic",P192)),ISNUMBER(SEARCH("import",P192))),"Trade &amp; economic policy",IF(OR(ISNUMBER(SEARCH("land acquisition",P192)),ISNUMBER(SEARCH("rehabilitation",P192)),ISNUMBER(SEARCH("displacement",P192)),ISNUMBER(SEARCH("township",P192))),"Land &amp; rehabilitation",IF(OR(ISNUMBER(SEARCH("forest",P192)),ISNUMBER(SEARCH("environment",P192)),ISNUMBER(SEARCH("ecological",P192)),ISNUMBER(SEARCH("biodiversity",P192)),ISNUMBER(SEARCH("green cover",P192))),"Environment",IF(OR(ISNUMBER(SEARCH("irrigation",P192)),ISNUMBER(SEARCH("water",P192)),ISNUMBER(SEARCH("crop",P192)),ISNUMBER(SEARCH("farmer",P192)),ISNUMBER(SEARCH("agriculture",P192))),"Agriculture &amp; water",IF(OR(ISNUMBER(SEARCH("health",P192)),ISNUMBER(SEARCH("hospital",P192)),ISNUMBER(SEARCH("medicine",P192))),"Public health",IF(OR(ISNUMBER(SEARCH("employee",P192)),ISNUMBER(SEARCH("labour",P192)),ISNUMBER(SEARCH("worker",P192)),ISNUMBER(SEARCH("salary",P192))),"Labour &amp; employment",IF(OR(ISNUMBER(SEARCH("rti",P192)),ISNUMBER(SEARCH("transparency",P192)),ISNUMBER(SEARCH("corruption",P192)),ISNUMBER(SEARCH("governance",P192))),"Governance &amp; transparency",IF(OR(ISNUMBER(SEARCH("police",P192)),ISNUMBER(SEARCH("detention",P192)),ISNUMBER(SEARCH("civil rights",P192)),ISNUMBER(SEARCH("justice",P192))),"Civil rights &amp; justice",IF(OR(ISNUMBER(SEARCH("road",P192)),ISNUMBER(SEARCH("utility",P192)),ISNUMBER(SEARCH("infrastructure",P192)),ISNUMBER(SEARCH("public service",P192))),"Infrastructure &amp; public services","Other"))))))))))))</x:f>
      </x:c>
      <x:c r="J192" s="16" t="str">
        <x:f>IF(A192="","",IF(OR(ISNUMBER(SEARCH("fatal",Q192)),ISNUMBER(SEARCH("death",Q192)),ISNUMBER(SEARCH("riot",Q192)),ISNUMBER(SEARCH("curfew",Q192)),ISNUMBER(SEARCH("internet shutdown",Q192))),5,MIN(4,1+IF(H192&gt;=7,1,0)+IF(OR(ISNUMBER(SEARCH("hunger strike",Q192)),ISNUMBER(SEARCH("blockade",Q192)),ISNUMBER(SEARCH("strike",Q192)),ISNUMBER(SEARCH("jal satyagraha",Q192)),ISNUMBER(SEARCH("survey",Q192)),ISNUMBER(SEARCH("human chain",Q192)),ISNUMBER(SEARCH("march",Q192))),1,0)+IF(OR(ISNUMBER(SEARCH("fir",Q192)),ISNUMBER(SEARCH("confrontation",Q192)),ISNUMBER(SEARCH("violence",Q192)),ISNUMBER(SEARCH("detention",Q192)),ISNUMBER(SEARCH("arrest",Q192)),ISNUMBER(SEARCH("demolition",Q192)),ISNUMBER(SEARCH("injury",Q192))),1,0)+IF(OR(D192="Ongoing",D192="Unresolved"),1,0))))</x:f>
      </x:c>
      <x:c r="K192" s="16" t="str">
        <x:f>IF(J192="","",IF(J192=1,"Limited",IF(J192=2,"Local",IF(J192=3,"Significant",IF(J192=4,"High","Critical")))))</x:f>
      </x:c>
      <x:c r="L192" s="16" t="str">
        <x:f>IF(A192="","",Events!U191)</x:f>
      </x:c>
      <x:c r="M192" s="16" t="str">
        <x:f>IF(A192="","",Events!V191)</x:f>
      </x:c>
      <x:c r="N192" s="16" t="str">
        <x:f>IF(A192="","",Events!Q191)</x:f>
      </x:c>
      <x:c r="O192" s="16" t="str">
        <x:f>IF(A192="","",Events!R191)</x:f>
      </x:c>
      <x:c r="P192" s="16" t="str">
        <x:f>IF(A192="","",LOWER(Events!B191&amp;" "&amp;Events!D191&amp;" "&amp;Events!K191))</x:f>
      </x:c>
      <x:c r="Q192" s="16" t="str">
        <x:f>IF(A192="","",LOWER(Events!C191&amp;" "&amp;Events!K191&amp;" "&amp;Events!T191))</x:f>
      </x:c>
      <x:c r="R192" s="16" t="str">
        <x:f>IF(A192="","",IF(ISNUMBER(SEARCH("Occurrence verified",E192)),"Occurrence verified",E192))</x:f>
      </x:c>
      <x:c r="S192" s="79" t="str">
        <x:f>IF(A192="","",Events!X191)</x:f>
      </x:c>
      <x:c r="Z192" s="79" t="str">
        <x:f>IF(A192="","",Events!AD191)</x:f>
      </x:c>
      <x:c r="AA192" s="79" t="str">
        <x:f>IF(A192="","",Events!AE191)</x:f>
      </x:c>
    </x:row>
    <x:row r="193">
      <x:c r="A193" s="16" t="str">
        <x:f>IF(Events!A192="","",Events!A192)</x:f>
      </x:c>
      <x:c r="B193" s="16" t="str">
        <x:f>IF(A193="","",Events!B192)</x:f>
      </x:c>
      <x:c r="C193" s="16" t="str">
        <x:f>IF(A193="","",Events!E192)</x:f>
      </x:c>
      <x:c r="D193" s="16" t="str">
        <x:f>IF(A193="","",Events!J192)</x:f>
      </x:c>
      <x:c r="E193" s="16" t="str">
        <x:f>IF(A193="","",Events!N192)</x:f>
      </x:c>
      <x:c r="F193" s="109" t="str">
        <x:f>IF(OR(A193="",Events!H192=""),"",Events!H192)</x:f>
      </x:c>
      <x:c r="G193" s="109" t="str">
        <x:f>IF(A193="","",IF(Events!I192&lt;&gt;"",Events!I192,IF(Events!S192&lt;&gt;"",Events!S192,"")))</x:f>
      </x:c>
      <x:c r="H193" s="16" t="str">
        <x:f>IF(A193="","",Events!W192)</x:f>
      </x:c>
      <x:c r="I193" s="16" t="str">
        <x:f>IF(A193="","",IF(Events!Y192&lt;&gt;"",Events!Y192,IF(OR(ISNUMBER(SEARCH("education",P193)),ISNUMBER(SEARCH("exam",P193)),ISNUMBER(SEARCH("school",P193))),"Education",IF(OR(ISNUMBER(SEARCH("trade agreement",P193)),ISNUMBER(SEARCH("economic",P193)),ISNUMBER(SEARCH("import",P193))),"Trade &amp; economic policy",IF(OR(ISNUMBER(SEARCH("land acquisition",P193)),ISNUMBER(SEARCH("rehabilitation",P193)),ISNUMBER(SEARCH("displacement",P193)),ISNUMBER(SEARCH("township",P193))),"Land &amp; rehabilitation",IF(OR(ISNUMBER(SEARCH("forest",P193)),ISNUMBER(SEARCH("environment",P193)),ISNUMBER(SEARCH("ecological",P193)),ISNUMBER(SEARCH("biodiversity",P193)),ISNUMBER(SEARCH("green cover",P193))),"Environment",IF(OR(ISNUMBER(SEARCH("irrigation",P193)),ISNUMBER(SEARCH("water",P193)),ISNUMBER(SEARCH("crop",P193)),ISNUMBER(SEARCH("farmer",P193)),ISNUMBER(SEARCH("agriculture",P193))),"Agriculture &amp; water",IF(OR(ISNUMBER(SEARCH("health",P193)),ISNUMBER(SEARCH("hospital",P193)),ISNUMBER(SEARCH("medicine",P193))),"Public health",IF(OR(ISNUMBER(SEARCH("employee",P193)),ISNUMBER(SEARCH("labour",P193)),ISNUMBER(SEARCH("worker",P193)),ISNUMBER(SEARCH("salary",P193))),"Labour &amp; employment",IF(OR(ISNUMBER(SEARCH("rti",P193)),ISNUMBER(SEARCH("transparency",P193)),ISNUMBER(SEARCH("corruption",P193)),ISNUMBER(SEARCH("governance",P193))),"Governance &amp; transparency",IF(OR(ISNUMBER(SEARCH("police",P193)),ISNUMBER(SEARCH("detention",P193)),ISNUMBER(SEARCH("civil rights",P193)),ISNUMBER(SEARCH("justice",P193))),"Civil rights &amp; justice",IF(OR(ISNUMBER(SEARCH("road",P193)),ISNUMBER(SEARCH("utility",P193)),ISNUMBER(SEARCH("infrastructure",P193)),ISNUMBER(SEARCH("public service",P193))),"Infrastructure &amp; public services","Other"))))))))))))</x:f>
      </x:c>
      <x:c r="J193" s="16" t="str">
        <x:f>IF(A193="","",IF(OR(ISNUMBER(SEARCH("fatal",Q193)),ISNUMBER(SEARCH("death",Q193)),ISNUMBER(SEARCH("riot",Q193)),ISNUMBER(SEARCH("curfew",Q193)),ISNUMBER(SEARCH("internet shutdown",Q193))),5,MIN(4,1+IF(H193&gt;=7,1,0)+IF(OR(ISNUMBER(SEARCH("hunger strike",Q193)),ISNUMBER(SEARCH("blockade",Q193)),ISNUMBER(SEARCH("strike",Q193)),ISNUMBER(SEARCH("jal satyagraha",Q193)),ISNUMBER(SEARCH("survey",Q193)),ISNUMBER(SEARCH("human chain",Q193)),ISNUMBER(SEARCH("march",Q193))),1,0)+IF(OR(ISNUMBER(SEARCH("fir",Q193)),ISNUMBER(SEARCH("confrontation",Q193)),ISNUMBER(SEARCH("violence",Q193)),ISNUMBER(SEARCH("detention",Q193)),ISNUMBER(SEARCH("arrest",Q193)),ISNUMBER(SEARCH("demolition",Q193)),ISNUMBER(SEARCH("injury",Q193))),1,0)+IF(OR(D193="Ongoing",D193="Unresolved"),1,0))))</x:f>
      </x:c>
      <x:c r="K193" s="16" t="str">
        <x:f>IF(J193="","",IF(J193=1,"Limited",IF(J193=2,"Local",IF(J193=3,"Significant",IF(J193=4,"High","Critical")))))</x:f>
      </x:c>
      <x:c r="L193" s="16" t="str">
        <x:f>IF(A193="","",Events!U192)</x:f>
      </x:c>
      <x:c r="M193" s="16" t="str">
        <x:f>IF(A193="","",Events!V192)</x:f>
      </x:c>
      <x:c r="N193" s="16" t="str">
        <x:f>IF(A193="","",Events!Q192)</x:f>
      </x:c>
      <x:c r="O193" s="16" t="str">
        <x:f>IF(A193="","",Events!R192)</x:f>
      </x:c>
      <x:c r="P193" s="16" t="str">
        <x:f>IF(A193="","",LOWER(Events!B192&amp;" "&amp;Events!D192&amp;" "&amp;Events!K192))</x:f>
      </x:c>
      <x:c r="Q193" s="16" t="str">
        <x:f>IF(A193="","",LOWER(Events!C192&amp;" "&amp;Events!K192&amp;" "&amp;Events!T192))</x:f>
      </x:c>
      <x:c r="R193" s="16" t="str">
        <x:f>IF(A193="","",IF(ISNUMBER(SEARCH("Occurrence verified",E193)),"Occurrence verified",E193))</x:f>
      </x:c>
      <x:c r="S193" s="79" t="str">
        <x:f>IF(A193="","",Events!X192)</x:f>
      </x:c>
      <x:c r="Z193" s="79" t="str">
        <x:f>IF(A193="","",Events!AD192)</x:f>
      </x:c>
      <x:c r="AA193" s="79" t="str">
        <x:f>IF(A193="","",Events!AE192)</x:f>
      </x:c>
    </x:row>
    <x:row r="194">
      <x:c r="A194" s="16" t="str">
        <x:f>IF(Events!A193="","",Events!A193)</x:f>
      </x:c>
      <x:c r="B194" s="16" t="str">
        <x:f>IF(A194="","",Events!B193)</x:f>
      </x:c>
      <x:c r="C194" s="16" t="str">
        <x:f>IF(A194="","",Events!E193)</x:f>
      </x:c>
      <x:c r="D194" s="16" t="str">
        <x:f>IF(A194="","",Events!J193)</x:f>
      </x:c>
      <x:c r="E194" s="16" t="str">
        <x:f>IF(A194="","",Events!N193)</x:f>
      </x:c>
      <x:c r="F194" s="109" t="str">
        <x:f>IF(OR(A194="",Events!H193=""),"",Events!H193)</x:f>
      </x:c>
      <x:c r="G194" s="109" t="str">
        <x:f>IF(A194="","",IF(Events!I193&lt;&gt;"",Events!I193,IF(Events!S193&lt;&gt;"",Events!S193,"")))</x:f>
      </x:c>
      <x:c r="H194" s="16" t="str">
        <x:f>IF(A194="","",Events!W193)</x:f>
      </x:c>
      <x:c r="I194" s="16" t="str">
        <x:f>IF(A194="","",IF(Events!Y193&lt;&gt;"",Events!Y193,IF(OR(ISNUMBER(SEARCH("education",P194)),ISNUMBER(SEARCH("exam",P194)),ISNUMBER(SEARCH("school",P194))),"Education",IF(OR(ISNUMBER(SEARCH("trade agreement",P194)),ISNUMBER(SEARCH("economic",P194)),ISNUMBER(SEARCH("import",P194))),"Trade &amp; economic policy",IF(OR(ISNUMBER(SEARCH("land acquisition",P194)),ISNUMBER(SEARCH("rehabilitation",P194)),ISNUMBER(SEARCH("displacement",P194)),ISNUMBER(SEARCH("township",P194))),"Land &amp; rehabilitation",IF(OR(ISNUMBER(SEARCH("forest",P194)),ISNUMBER(SEARCH("environment",P194)),ISNUMBER(SEARCH("ecological",P194)),ISNUMBER(SEARCH("biodiversity",P194)),ISNUMBER(SEARCH("green cover",P194))),"Environment",IF(OR(ISNUMBER(SEARCH("irrigation",P194)),ISNUMBER(SEARCH("water",P194)),ISNUMBER(SEARCH("crop",P194)),ISNUMBER(SEARCH("farmer",P194)),ISNUMBER(SEARCH("agriculture",P194))),"Agriculture &amp; water",IF(OR(ISNUMBER(SEARCH("health",P194)),ISNUMBER(SEARCH("hospital",P194)),ISNUMBER(SEARCH("medicine",P194))),"Public health",IF(OR(ISNUMBER(SEARCH("employee",P194)),ISNUMBER(SEARCH("labour",P194)),ISNUMBER(SEARCH("worker",P194)),ISNUMBER(SEARCH("salary",P194))),"Labour &amp; employment",IF(OR(ISNUMBER(SEARCH("rti",P194)),ISNUMBER(SEARCH("transparency",P194)),ISNUMBER(SEARCH("corruption",P194)),ISNUMBER(SEARCH("governance",P194))),"Governance &amp; transparency",IF(OR(ISNUMBER(SEARCH("police",P194)),ISNUMBER(SEARCH("detention",P194)),ISNUMBER(SEARCH("civil rights",P194)),ISNUMBER(SEARCH("justice",P194))),"Civil rights &amp; justice",IF(OR(ISNUMBER(SEARCH("road",P194)),ISNUMBER(SEARCH("utility",P194)),ISNUMBER(SEARCH("infrastructure",P194)),ISNUMBER(SEARCH("public service",P194))),"Infrastructure &amp; public services","Other"))))))))))))</x:f>
      </x:c>
      <x:c r="J194" s="16" t="str">
        <x:f>IF(A194="","",IF(OR(ISNUMBER(SEARCH("fatal",Q194)),ISNUMBER(SEARCH("death",Q194)),ISNUMBER(SEARCH("riot",Q194)),ISNUMBER(SEARCH("curfew",Q194)),ISNUMBER(SEARCH("internet shutdown",Q194))),5,MIN(4,1+IF(H194&gt;=7,1,0)+IF(OR(ISNUMBER(SEARCH("hunger strike",Q194)),ISNUMBER(SEARCH("blockade",Q194)),ISNUMBER(SEARCH("strike",Q194)),ISNUMBER(SEARCH("jal satyagraha",Q194)),ISNUMBER(SEARCH("survey",Q194)),ISNUMBER(SEARCH("human chain",Q194)),ISNUMBER(SEARCH("march",Q194))),1,0)+IF(OR(ISNUMBER(SEARCH("fir",Q194)),ISNUMBER(SEARCH("confrontation",Q194)),ISNUMBER(SEARCH("violence",Q194)),ISNUMBER(SEARCH("detention",Q194)),ISNUMBER(SEARCH("arrest",Q194)),ISNUMBER(SEARCH("demolition",Q194)),ISNUMBER(SEARCH("injury",Q194))),1,0)+IF(OR(D194="Ongoing",D194="Unresolved"),1,0))))</x:f>
      </x:c>
      <x:c r="K194" s="16" t="str">
        <x:f>IF(J194="","",IF(J194=1,"Limited",IF(J194=2,"Local",IF(J194=3,"Significant",IF(J194=4,"High","Critical")))))</x:f>
      </x:c>
      <x:c r="L194" s="16" t="str">
        <x:f>IF(A194="","",Events!U193)</x:f>
      </x:c>
      <x:c r="M194" s="16" t="str">
        <x:f>IF(A194="","",Events!V193)</x:f>
      </x:c>
      <x:c r="N194" s="16" t="str">
        <x:f>IF(A194="","",Events!Q193)</x:f>
      </x:c>
      <x:c r="O194" s="16" t="str">
        <x:f>IF(A194="","",Events!R193)</x:f>
      </x:c>
      <x:c r="P194" s="16" t="str">
        <x:f>IF(A194="","",LOWER(Events!B193&amp;" "&amp;Events!D193&amp;" "&amp;Events!K193))</x:f>
      </x:c>
      <x:c r="Q194" s="16" t="str">
        <x:f>IF(A194="","",LOWER(Events!C193&amp;" "&amp;Events!K193&amp;" "&amp;Events!T193))</x:f>
      </x:c>
      <x:c r="R194" s="16" t="str">
        <x:f>IF(A194="","",IF(ISNUMBER(SEARCH("Occurrence verified",E194)),"Occurrence verified",E194))</x:f>
      </x:c>
      <x:c r="S194" s="79" t="str">
        <x:f>IF(A194="","",Events!X193)</x:f>
      </x:c>
      <x:c r="Z194" s="79" t="str">
        <x:f>IF(A194="","",Events!AD193)</x:f>
      </x:c>
      <x:c r="AA194" s="79" t="str">
        <x:f>IF(A194="","",Events!AE193)</x:f>
      </x:c>
    </x:row>
    <x:row r="195">
      <x:c r="A195" s="16" t="str">
        <x:f>IF(Events!A194="","",Events!A194)</x:f>
      </x:c>
      <x:c r="B195" s="16" t="str">
        <x:f>IF(A195="","",Events!B194)</x:f>
      </x:c>
      <x:c r="C195" s="16" t="str">
        <x:f>IF(A195="","",Events!E194)</x:f>
      </x:c>
      <x:c r="D195" s="16" t="str">
        <x:f>IF(A195="","",Events!J194)</x:f>
      </x:c>
      <x:c r="E195" s="16" t="str">
        <x:f>IF(A195="","",Events!N194)</x:f>
      </x:c>
      <x:c r="F195" s="109" t="str">
        <x:f>IF(OR(A195="",Events!H194=""),"",Events!H194)</x:f>
      </x:c>
      <x:c r="G195" s="109" t="str">
        <x:f>IF(A195="","",IF(Events!I194&lt;&gt;"",Events!I194,IF(Events!S194&lt;&gt;"",Events!S194,"")))</x:f>
      </x:c>
      <x:c r="H195" s="16" t="str">
        <x:f>IF(A195="","",Events!W194)</x:f>
      </x:c>
      <x:c r="I195" s="16" t="str">
        <x:f>IF(A195="","",IF(Events!Y194&lt;&gt;"",Events!Y194,IF(OR(ISNUMBER(SEARCH("education",P195)),ISNUMBER(SEARCH("exam",P195)),ISNUMBER(SEARCH("school",P195))),"Education",IF(OR(ISNUMBER(SEARCH("trade agreement",P195)),ISNUMBER(SEARCH("economic",P195)),ISNUMBER(SEARCH("import",P195))),"Trade &amp; economic policy",IF(OR(ISNUMBER(SEARCH("land acquisition",P195)),ISNUMBER(SEARCH("rehabilitation",P195)),ISNUMBER(SEARCH("displacement",P195)),ISNUMBER(SEARCH("township",P195))),"Land &amp; rehabilitation",IF(OR(ISNUMBER(SEARCH("forest",P195)),ISNUMBER(SEARCH("environment",P195)),ISNUMBER(SEARCH("ecological",P195)),ISNUMBER(SEARCH("biodiversity",P195)),ISNUMBER(SEARCH("green cover",P195))),"Environment",IF(OR(ISNUMBER(SEARCH("irrigation",P195)),ISNUMBER(SEARCH("water",P195)),ISNUMBER(SEARCH("crop",P195)),ISNUMBER(SEARCH("farmer",P195)),ISNUMBER(SEARCH("agriculture",P195))),"Agriculture &amp; water",IF(OR(ISNUMBER(SEARCH("health",P195)),ISNUMBER(SEARCH("hospital",P195)),ISNUMBER(SEARCH("medicine",P195))),"Public health",IF(OR(ISNUMBER(SEARCH("employee",P195)),ISNUMBER(SEARCH("labour",P195)),ISNUMBER(SEARCH("worker",P195)),ISNUMBER(SEARCH("salary",P195))),"Labour &amp; employment",IF(OR(ISNUMBER(SEARCH("rti",P195)),ISNUMBER(SEARCH("transparency",P195)),ISNUMBER(SEARCH("corruption",P195)),ISNUMBER(SEARCH("governance",P195))),"Governance &amp; transparency",IF(OR(ISNUMBER(SEARCH("police",P195)),ISNUMBER(SEARCH("detention",P195)),ISNUMBER(SEARCH("civil rights",P195)),ISNUMBER(SEARCH("justice",P195))),"Civil rights &amp; justice",IF(OR(ISNUMBER(SEARCH("road",P195)),ISNUMBER(SEARCH("utility",P195)),ISNUMBER(SEARCH("infrastructure",P195)),ISNUMBER(SEARCH("public service",P195))),"Infrastructure &amp; public services","Other"))))))))))))</x:f>
      </x:c>
      <x:c r="J195" s="16" t="str">
        <x:f>IF(A195="","",IF(OR(ISNUMBER(SEARCH("fatal",Q195)),ISNUMBER(SEARCH("death",Q195)),ISNUMBER(SEARCH("riot",Q195)),ISNUMBER(SEARCH("curfew",Q195)),ISNUMBER(SEARCH("internet shutdown",Q195))),5,MIN(4,1+IF(H195&gt;=7,1,0)+IF(OR(ISNUMBER(SEARCH("hunger strike",Q195)),ISNUMBER(SEARCH("blockade",Q195)),ISNUMBER(SEARCH("strike",Q195)),ISNUMBER(SEARCH("jal satyagraha",Q195)),ISNUMBER(SEARCH("survey",Q195)),ISNUMBER(SEARCH("human chain",Q195)),ISNUMBER(SEARCH("march",Q195))),1,0)+IF(OR(ISNUMBER(SEARCH("fir",Q195)),ISNUMBER(SEARCH("confrontation",Q195)),ISNUMBER(SEARCH("violence",Q195)),ISNUMBER(SEARCH("detention",Q195)),ISNUMBER(SEARCH("arrest",Q195)),ISNUMBER(SEARCH("demolition",Q195)),ISNUMBER(SEARCH("injury",Q195))),1,0)+IF(OR(D195="Ongoing",D195="Unresolved"),1,0))))</x:f>
      </x:c>
      <x:c r="K195" s="16" t="str">
        <x:f>IF(J195="","",IF(J195=1,"Limited",IF(J195=2,"Local",IF(J195=3,"Significant",IF(J195=4,"High","Critical")))))</x:f>
      </x:c>
      <x:c r="L195" s="16" t="str">
        <x:f>IF(A195="","",Events!U194)</x:f>
      </x:c>
      <x:c r="M195" s="16" t="str">
        <x:f>IF(A195="","",Events!V194)</x:f>
      </x:c>
      <x:c r="N195" s="16" t="str">
        <x:f>IF(A195="","",Events!Q194)</x:f>
      </x:c>
      <x:c r="O195" s="16" t="str">
        <x:f>IF(A195="","",Events!R194)</x:f>
      </x:c>
      <x:c r="P195" s="16" t="str">
        <x:f>IF(A195="","",LOWER(Events!B194&amp;" "&amp;Events!D194&amp;" "&amp;Events!K194))</x:f>
      </x:c>
      <x:c r="Q195" s="16" t="str">
        <x:f>IF(A195="","",LOWER(Events!C194&amp;" "&amp;Events!K194&amp;" "&amp;Events!T194))</x:f>
      </x:c>
      <x:c r="R195" s="16" t="str">
        <x:f>IF(A195="","",IF(ISNUMBER(SEARCH("Occurrence verified",E195)),"Occurrence verified",E195))</x:f>
      </x:c>
      <x:c r="S195" s="79" t="str">
        <x:f>IF(A195="","",Events!X194)</x:f>
      </x:c>
      <x:c r="Z195" s="79" t="str">
        <x:f>IF(A195="","",Events!AD194)</x:f>
      </x:c>
      <x:c r="AA195" s="79" t="str">
        <x:f>IF(A195="","",Events!AE194)</x:f>
      </x:c>
    </x:row>
    <x:row r="196">
      <x:c r="A196" s="16" t="str">
        <x:f>IF(Events!A195="","",Events!A195)</x:f>
      </x:c>
      <x:c r="B196" s="16" t="str">
        <x:f>IF(A196="","",Events!B195)</x:f>
      </x:c>
      <x:c r="C196" s="16" t="str">
        <x:f>IF(A196="","",Events!E195)</x:f>
      </x:c>
      <x:c r="D196" s="16" t="str">
        <x:f>IF(A196="","",Events!J195)</x:f>
      </x:c>
      <x:c r="E196" s="16" t="str">
        <x:f>IF(A196="","",Events!N195)</x:f>
      </x:c>
      <x:c r="F196" s="109" t="str">
        <x:f>IF(OR(A196="",Events!H195=""),"",Events!H195)</x:f>
      </x:c>
      <x:c r="G196" s="109" t="str">
        <x:f>IF(A196="","",IF(Events!I195&lt;&gt;"",Events!I195,IF(Events!S195&lt;&gt;"",Events!S195,"")))</x:f>
      </x:c>
      <x:c r="H196" s="16" t="str">
        <x:f>IF(A196="","",Events!W195)</x:f>
      </x:c>
      <x:c r="I196" s="16" t="str">
        <x:f>IF(A196="","",IF(Events!Y195&lt;&gt;"",Events!Y195,IF(OR(ISNUMBER(SEARCH("education",P196)),ISNUMBER(SEARCH("exam",P196)),ISNUMBER(SEARCH("school",P196))),"Education",IF(OR(ISNUMBER(SEARCH("trade agreement",P196)),ISNUMBER(SEARCH("economic",P196)),ISNUMBER(SEARCH("import",P196))),"Trade &amp; economic policy",IF(OR(ISNUMBER(SEARCH("land acquisition",P196)),ISNUMBER(SEARCH("rehabilitation",P196)),ISNUMBER(SEARCH("displacement",P196)),ISNUMBER(SEARCH("township",P196))),"Land &amp; rehabilitation",IF(OR(ISNUMBER(SEARCH("forest",P196)),ISNUMBER(SEARCH("environment",P196)),ISNUMBER(SEARCH("ecological",P196)),ISNUMBER(SEARCH("biodiversity",P196)),ISNUMBER(SEARCH("green cover",P196))),"Environment",IF(OR(ISNUMBER(SEARCH("irrigation",P196)),ISNUMBER(SEARCH("water",P196)),ISNUMBER(SEARCH("crop",P196)),ISNUMBER(SEARCH("farmer",P196)),ISNUMBER(SEARCH("agriculture",P196))),"Agriculture &amp; water",IF(OR(ISNUMBER(SEARCH("health",P196)),ISNUMBER(SEARCH("hospital",P196)),ISNUMBER(SEARCH("medicine",P196))),"Public health",IF(OR(ISNUMBER(SEARCH("employee",P196)),ISNUMBER(SEARCH("labour",P196)),ISNUMBER(SEARCH("worker",P196)),ISNUMBER(SEARCH("salary",P196))),"Labour &amp; employment",IF(OR(ISNUMBER(SEARCH("rti",P196)),ISNUMBER(SEARCH("transparency",P196)),ISNUMBER(SEARCH("corruption",P196)),ISNUMBER(SEARCH("governance",P196))),"Governance &amp; transparency",IF(OR(ISNUMBER(SEARCH("police",P196)),ISNUMBER(SEARCH("detention",P196)),ISNUMBER(SEARCH("civil rights",P196)),ISNUMBER(SEARCH("justice",P196))),"Civil rights &amp; justice",IF(OR(ISNUMBER(SEARCH("road",P196)),ISNUMBER(SEARCH("utility",P196)),ISNUMBER(SEARCH("infrastructure",P196)),ISNUMBER(SEARCH("public service",P196))),"Infrastructure &amp; public services","Other"))))))))))))</x:f>
      </x:c>
      <x:c r="J196" s="16" t="str">
        <x:f>IF(A196="","",IF(OR(ISNUMBER(SEARCH("fatal",Q196)),ISNUMBER(SEARCH("death",Q196)),ISNUMBER(SEARCH("riot",Q196)),ISNUMBER(SEARCH("curfew",Q196)),ISNUMBER(SEARCH("internet shutdown",Q196))),5,MIN(4,1+IF(H196&gt;=7,1,0)+IF(OR(ISNUMBER(SEARCH("hunger strike",Q196)),ISNUMBER(SEARCH("blockade",Q196)),ISNUMBER(SEARCH("strike",Q196)),ISNUMBER(SEARCH("jal satyagraha",Q196)),ISNUMBER(SEARCH("survey",Q196)),ISNUMBER(SEARCH("human chain",Q196)),ISNUMBER(SEARCH("march",Q196))),1,0)+IF(OR(ISNUMBER(SEARCH("fir",Q196)),ISNUMBER(SEARCH("confrontation",Q196)),ISNUMBER(SEARCH("violence",Q196)),ISNUMBER(SEARCH("detention",Q196)),ISNUMBER(SEARCH("arrest",Q196)),ISNUMBER(SEARCH("demolition",Q196)),ISNUMBER(SEARCH("injury",Q196))),1,0)+IF(OR(D196="Ongoing",D196="Unresolved"),1,0))))</x:f>
      </x:c>
      <x:c r="K196" s="16" t="str">
        <x:f>IF(J196="","",IF(J196=1,"Limited",IF(J196=2,"Local",IF(J196=3,"Significant",IF(J196=4,"High","Critical")))))</x:f>
      </x:c>
      <x:c r="L196" s="16" t="str">
        <x:f>IF(A196="","",Events!U195)</x:f>
      </x:c>
      <x:c r="M196" s="16" t="str">
        <x:f>IF(A196="","",Events!V195)</x:f>
      </x:c>
      <x:c r="N196" s="16" t="str">
        <x:f>IF(A196="","",Events!Q195)</x:f>
      </x:c>
      <x:c r="O196" s="16" t="str">
        <x:f>IF(A196="","",Events!R195)</x:f>
      </x:c>
      <x:c r="P196" s="16" t="str">
        <x:f>IF(A196="","",LOWER(Events!B195&amp;" "&amp;Events!D195&amp;" "&amp;Events!K195))</x:f>
      </x:c>
      <x:c r="Q196" s="16" t="str">
        <x:f>IF(A196="","",LOWER(Events!C195&amp;" "&amp;Events!K195&amp;" "&amp;Events!T195))</x:f>
      </x:c>
      <x:c r="R196" s="16" t="str">
        <x:f>IF(A196="","",IF(ISNUMBER(SEARCH("Occurrence verified",E196)),"Occurrence verified",E196))</x:f>
      </x:c>
      <x:c r="S196" s="79" t="str">
        <x:f>IF(A196="","",Events!X195)</x:f>
      </x:c>
      <x:c r="Z196" s="79" t="str">
        <x:f>IF(A196="","",Events!AD195)</x:f>
      </x:c>
      <x:c r="AA196" s="79" t="str">
        <x:f>IF(A196="","",Events!AE195)</x:f>
      </x:c>
    </x:row>
    <x:row r="197">
      <x:c r="A197" s="16" t="str">
        <x:f>IF(Events!A196="","",Events!A196)</x:f>
      </x:c>
      <x:c r="B197" s="16" t="str">
        <x:f>IF(A197="","",Events!B196)</x:f>
      </x:c>
      <x:c r="C197" s="16" t="str">
        <x:f>IF(A197="","",Events!E196)</x:f>
      </x:c>
      <x:c r="D197" s="16" t="str">
        <x:f>IF(A197="","",Events!J196)</x:f>
      </x:c>
      <x:c r="E197" s="16" t="str">
        <x:f>IF(A197="","",Events!N196)</x:f>
      </x:c>
      <x:c r="F197" s="109" t="str">
        <x:f>IF(OR(A197="",Events!H196=""),"",Events!H196)</x:f>
      </x:c>
      <x:c r="G197" s="109" t="str">
        <x:f>IF(A197="","",IF(Events!I196&lt;&gt;"",Events!I196,IF(Events!S196&lt;&gt;"",Events!S196,"")))</x:f>
      </x:c>
      <x:c r="H197" s="16" t="str">
        <x:f>IF(A197="","",Events!W196)</x:f>
      </x:c>
      <x:c r="I197" s="16" t="str">
        <x:f>IF(A197="","",IF(Events!Y196&lt;&gt;"",Events!Y196,IF(OR(ISNUMBER(SEARCH("education",P197)),ISNUMBER(SEARCH("exam",P197)),ISNUMBER(SEARCH("school",P197))),"Education",IF(OR(ISNUMBER(SEARCH("trade agreement",P197)),ISNUMBER(SEARCH("economic",P197)),ISNUMBER(SEARCH("import",P197))),"Trade &amp; economic policy",IF(OR(ISNUMBER(SEARCH("land acquisition",P197)),ISNUMBER(SEARCH("rehabilitation",P197)),ISNUMBER(SEARCH("displacement",P197)),ISNUMBER(SEARCH("township",P197))),"Land &amp; rehabilitation",IF(OR(ISNUMBER(SEARCH("forest",P197)),ISNUMBER(SEARCH("environment",P197)),ISNUMBER(SEARCH("ecological",P197)),ISNUMBER(SEARCH("biodiversity",P197)),ISNUMBER(SEARCH("green cover",P197))),"Environment",IF(OR(ISNUMBER(SEARCH("irrigation",P197)),ISNUMBER(SEARCH("water",P197)),ISNUMBER(SEARCH("crop",P197)),ISNUMBER(SEARCH("farmer",P197)),ISNUMBER(SEARCH("agriculture",P197))),"Agriculture &amp; water",IF(OR(ISNUMBER(SEARCH("health",P197)),ISNUMBER(SEARCH("hospital",P197)),ISNUMBER(SEARCH("medicine",P197))),"Public health",IF(OR(ISNUMBER(SEARCH("employee",P197)),ISNUMBER(SEARCH("labour",P197)),ISNUMBER(SEARCH("worker",P197)),ISNUMBER(SEARCH("salary",P197))),"Labour &amp; employment",IF(OR(ISNUMBER(SEARCH("rti",P197)),ISNUMBER(SEARCH("transparency",P197)),ISNUMBER(SEARCH("corruption",P197)),ISNUMBER(SEARCH("governance",P197))),"Governance &amp; transparency",IF(OR(ISNUMBER(SEARCH("police",P197)),ISNUMBER(SEARCH("detention",P197)),ISNUMBER(SEARCH("civil rights",P197)),ISNUMBER(SEARCH("justice",P197))),"Civil rights &amp; justice",IF(OR(ISNUMBER(SEARCH("road",P197)),ISNUMBER(SEARCH("utility",P197)),ISNUMBER(SEARCH("infrastructure",P197)),ISNUMBER(SEARCH("public service",P197))),"Infrastructure &amp; public services","Other"))))))))))))</x:f>
      </x:c>
      <x:c r="J197" s="16" t="str">
        <x:f>IF(A197="","",IF(OR(ISNUMBER(SEARCH("fatal",Q197)),ISNUMBER(SEARCH("death",Q197)),ISNUMBER(SEARCH("riot",Q197)),ISNUMBER(SEARCH("curfew",Q197)),ISNUMBER(SEARCH("internet shutdown",Q197))),5,MIN(4,1+IF(H197&gt;=7,1,0)+IF(OR(ISNUMBER(SEARCH("hunger strike",Q197)),ISNUMBER(SEARCH("blockade",Q197)),ISNUMBER(SEARCH("strike",Q197)),ISNUMBER(SEARCH("jal satyagraha",Q197)),ISNUMBER(SEARCH("survey",Q197)),ISNUMBER(SEARCH("human chain",Q197)),ISNUMBER(SEARCH("march",Q197))),1,0)+IF(OR(ISNUMBER(SEARCH("fir",Q197)),ISNUMBER(SEARCH("confrontation",Q197)),ISNUMBER(SEARCH("violence",Q197)),ISNUMBER(SEARCH("detention",Q197)),ISNUMBER(SEARCH("arrest",Q197)),ISNUMBER(SEARCH("demolition",Q197)),ISNUMBER(SEARCH("injury",Q197))),1,0)+IF(OR(D197="Ongoing",D197="Unresolved"),1,0))))</x:f>
      </x:c>
      <x:c r="K197" s="16" t="str">
        <x:f>IF(J197="","",IF(J197=1,"Limited",IF(J197=2,"Local",IF(J197=3,"Significant",IF(J197=4,"High","Critical")))))</x:f>
      </x:c>
      <x:c r="L197" s="16" t="str">
        <x:f>IF(A197="","",Events!U196)</x:f>
      </x:c>
      <x:c r="M197" s="16" t="str">
        <x:f>IF(A197="","",Events!V196)</x:f>
      </x:c>
      <x:c r="N197" s="16" t="str">
        <x:f>IF(A197="","",Events!Q196)</x:f>
      </x:c>
      <x:c r="O197" s="16" t="str">
        <x:f>IF(A197="","",Events!R196)</x:f>
      </x:c>
      <x:c r="P197" s="16" t="str">
        <x:f>IF(A197="","",LOWER(Events!B196&amp;" "&amp;Events!D196&amp;" "&amp;Events!K196))</x:f>
      </x:c>
      <x:c r="Q197" s="16" t="str">
        <x:f>IF(A197="","",LOWER(Events!C196&amp;" "&amp;Events!K196&amp;" "&amp;Events!T196))</x:f>
      </x:c>
      <x:c r="R197" s="16" t="str">
        <x:f>IF(A197="","",IF(ISNUMBER(SEARCH("Occurrence verified",E197)),"Occurrence verified",E197))</x:f>
      </x:c>
      <x:c r="S197" s="79" t="str">
        <x:f>IF(A197="","",Events!X196)</x:f>
      </x:c>
      <x:c r="Z197" s="79" t="str">
        <x:f>IF(A197="","",Events!AD196)</x:f>
      </x:c>
      <x:c r="AA197" s="79" t="str">
        <x:f>IF(A197="","",Events!AE196)</x:f>
      </x:c>
    </x:row>
    <x:row r="198">
      <x:c r="A198" s="16" t="str">
        <x:f>IF(Events!A197="","",Events!A197)</x:f>
      </x:c>
      <x:c r="B198" s="16" t="str">
        <x:f>IF(A198="","",Events!B197)</x:f>
      </x:c>
      <x:c r="C198" s="16" t="str">
        <x:f>IF(A198="","",Events!E197)</x:f>
      </x:c>
      <x:c r="D198" s="16" t="str">
        <x:f>IF(A198="","",Events!J197)</x:f>
      </x:c>
      <x:c r="E198" s="16" t="str">
        <x:f>IF(A198="","",Events!N197)</x:f>
      </x:c>
      <x:c r="F198" s="109" t="str">
        <x:f>IF(OR(A198="",Events!H197=""),"",Events!H197)</x:f>
      </x:c>
      <x:c r="G198" s="109" t="str">
        <x:f>IF(A198="","",IF(Events!I197&lt;&gt;"",Events!I197,IF(Events!S197&lt;&gt;"",Events!S197,"")))</x:f>
      </x:c>
      <x:c r="H198" s="16" t="str">
        <x:f>IF(A198="","",Events!W197)</x:f>
      </x:c>
      <x:c r="I198" s="16" t="str">
        <x:f>IF(A198="","",IF(Events!Y197&lt;&gt;"",Events!Y197,IF(OR(ISNUMBER(SEARCH("education",P198)),ISNUMBER(SEARCH("exam",P198)),ISNUMBER(SEARCH("school",P198))),"Education",IF(OR(ISNUMBER(SEARCH("trade agreement",P198)),ISNUMBER(SEARCH("economic",P198)),ISNUMBER(SEARCH("import",P198))),"Trade &amp; economic policy",IF(OR(ISNUMBER(SEARCH("land acquisition",P198)),ISNUMBER(SEARCH("rehabilitation",P198)),ISNUMBER(SEARCH("displacement",P198)),ISNUMBER(SEARCH("township",P198))),"Land &amp; rehabilitation",IF(OR(ISNUMBER(SEARCH("forest",P198)),ISNUMBER(SEARCH("environment",P198)),ISNUMBER(SEARCH("ecological",P198)),ISNUMBER(SEARCH("biodiversity",P198)),ISNUMBER(SEARCH("green cover",P198))),"Environment",IF(OR(ISNUMBER(SEARCH("irrigation",P198)),ISNUMBER(SEARCH("water",P198)),ISNUMBER(SEARCH("crop",P198)),ISNUMBER(SEARCH("farmer",P198)),ISNUMBER(SEARCH("agriculture",P198))),"Agriculture &amp; water",IF(OR(ISNUMBER(SEARCH("health",P198)),ISNUMBER(SEARCH("hospital",P198)),ISNUMBER(SEARCH("medicine",P198))),"Public health",IF(OR(ISNUMBER(SEARCH("employee",P198)),ISNUMBER(SEARCH("labour",P198)),ISNUMBER(SEARCH("worker",P198)),ISNUMBER(SEARCH("salary",P198))),"Labour &amp; employment",IF(OR(ISNUMBER(SEARCH("rti",P198)),ISNUMBER(SEARCH("transparency",P198)),ISNUMBER(SEARCH("corruption",P198)),ISNUMBER(SEARCH("governance",P198))),"Governance &amp; transparency",IF(OR(ISNUMBER(SEARCH("police",P198)),ISNUMBER(SEARCH("detention",P198)),ISNUMBER(SEARCH("civil rights",P198)),ISNUMBER(SEARCH("justice",P198))),"Civil rights &amp; justice",IF(OR(ISNUMBER(SEARCH("road",P198)),ISNUMBER(SEARCH("utility",P198)),ISNUMBER(SEARCH("infrastructure",P198)),ISNUMBER(SEARCH("public service",P198))),"Infrastructure &amp; public services","Other"))))))))))))</x:f>
      </x:c>
      <x:c r="J198" s="16" t="str">
        <x:f>IF(A198="","",IF(OR(ISNUMBER(SEARCH("fatal",Q198)),ISNUMBER(SEARCH("death",Q198)),ISNUMBER(SEARCH("riot",Q198)),ISNUMBER(SEARCH("curfew",Q198)),ISNUMBER(SEARCH("internet shutdown",Q198))),5,MIN(4,1+IF(H198&gt;=7,1,0)+IF(OR(ISNUMBER(SEARCH("hunger strike",Q198)),ISNUMBER(SEARCH("blockade",Q198)),ISNUMBER(SEARCH("strike",Q198)),ISNUMBER(SEARCH("jal satyagraha",Q198)),ISNUMBER(SEARCH("survey",Q198)),ISNUMBER(SEARCH("human chain",Q198)),ISNUMBER(SEARCH("march",Q198))),1,0)+IF(OR(ISNUMBER(SEARCH("fir",Q198)),ISNUMBER(SEARCH("confrontation",Q198)),ISNUMBER(SEARCH("violence",Q198)),ISNUMBER(SEARCH("detention",Q198)),ISNUMBER(SEARCH("arrest",Q198)),ISNUMBER(SEARCH("demolition",Q198)),ISNUMBER(SEARCH("injury",Q198))),1,0)+IF(OR(D198="Ongoing",D198="Unresolved"),1,0))))</x:f>
      </x:c>
      <x:c r="K198" s="16" t="str">
        <x:f>IF(J198="","",IF(J198=1,"Limited",IF(J198=2,"Local",IF(J198=3,"Significant",IF(J198=4,"High","Critical")))))</x:f>
      </x:c>
      <x:c r="L198" s="16" t="str">
        <x:f>IF(A198="","",Events!U197)</x:f>
      </x:c>
      <x:c r="M198" s="16" t="str">
        <x:f>IF(A198="","",Events!V197)</x:f>
      </x:c>
      <x:c r="N198" s="16" t="str">
        <x:f>IF(A198="","",Events!Q197)</x:f>
      </x:c>
      <x:c r="O198" s="16" t="str">
        <x:f>IF(A198="","",Events!R197)</x:f>
      </x:c>
      <x:c r="P198" s="16" t="str">
        <x:f>IF(A198="","",LOWER(Events!B197&amp;" "&amp;Events!D197&amp;" "&amp;Events!K197))</x:f>
      </x:c>
      <x:c r="Q198" s="16" t="str">
        <x:f>IF(A198="","",LOWER(Events!C197&amp;" "&amp;Events!K197&amp;" "&amp;Events!T197))</x:f>
      </x:c>
      <x:c r="R198" s="16" t="str">
        <x:f>IF(A198="","",IF(ISNUMBER(SEARCH("Occurrence verified",E198)),"Occurrence verified",E198))</x:f>
      </x:c>
      <x:c r="S198" s="79" t="str">
        <x:f>IF(A198="","",Events!X197)</x:f>
      </x:c>
      <x:c r="Z198" s="79" t="str">
        <x:f>IF(A198="","",Events!AD197)</x:f>
      </x:c>
      <x:c r="AA198" s="79" t="str">
        <x:f>IF(A198="","",Events!AE197)</x:f>
      </x:c>
    </x:row>
    <x:row r="199">
      <x:c r="A199" s="16" t="str">
        <x:f>IF(Events!A198="","",Events!A198)</x:f>
      </x:c>
      <x:c r="B199" s="16" t="str">
        <x:f>IF(A199="","",Events!B198)</x:f>
      </x:c>
      <x:c r="C199" s="16" t="str">
        <x:f>IF(A199="","",Events!E198)</x:f>
      </x:c>
      <x:c r="D199" s="16" t="str">
        <x:f>IF(A199="","",Events!J198)</x:f>
      </x:c>
      <x:c r="E199" s="16" t="str">
        <x:f>IF(A199="","",Events!N198)</x:f>
      </x:c>
      <x:c r="F199" s="109" t="str">
        <x:f>IF(OR(A199="",Events!H198=""),"",Events!H198)</x:f>
      </x:c>
      <x:c r="G199" s="109" t="str">
        <x:f>IF(A199="","",IF(Events!I198&lt;&gt;"",Events!I198,IF(Events!S198&lt;&gt;"",Events!S198,"")))</x:f>
      </x:c>
      <x:c r="H199" s="16" t="str">
        <x:f>IF(A199="","",Events!W198)</x:f>
      </x:c>
      <x:c r="I199" s="16" t="str">
        <x:f>IF(A199="","",IF(Events!Y198&lt;&gt;"",Events!Y198,IF(OR(ISNUMBER(SEARCH("education",P199)),ISNUMBER(SEARCH("exam",P199)),ISNUMBER(SEARCH("school",P199))),"Education",IF(OR(ISNUMBER(SEARCH("trade agreement",P199)),ISNUMBER(SEARCH("economic",P199)),ISNUMBER(SEARCH("import",P199))),"Trade &amp; economic policy",IF(OR(ISNUMBER(SEARCH("land acquisition",P199)),ISNUMBER(SEARCH("rehabilitation",P199)),ISNUMBER(SEARCH("displacement",P199)),ISNUMBER(SEARCH("township",P199))),"Land &amp; rehabilitation",IF(OR(ISNUMBER(SEARCH("forest",P199)),ISNUMBER(SEARCH("environment",P199)),ISNUMBER(SEARCH("ecological",P199)),ISNUMBER(SEARCH("biodiversity",P199)),ISNUMBER(SEARCH("green cover",P199))),"Environment",IF(OR(ISNUMBER(SEARCH("irrigation",P199)),ISNUMBER(SEARCH("water",P199)),ISNUMBER(SEARCH("crop",P199)),ISNUMBER(SEARCH("farmer",P199)),ISNUMBER(SEARCH("agriculture",P199))),"Agriculture &amp; water",IF(OR(ISNUMBER(SEARCH("health",P199)),ISNUMBER(SEARCH("hospital",P199)),ISNUMBER(SEARCH("medicine",P199))),"Public health",IF(OR(ISNUMBER(SEARCH("employee",P199)),ISNUMBER(SEARCH("labour",P199)),ISNUMBER(SEARCH("worker",P199)),ISNUMBER(SEARCH("salary",P199))),"Labour &amp; employment",IF(OR(ISNUMBER(SEARCH("rti",P199)),ISNUMBER(SEARCH("transparency",P199)),ISNUMBER(SEARCH("corruption",P199)),ISNUMBER(SEARCH("governance",P199))),"Governance &amp; transparency",IF(OR(ISNUMBER(SEARCH("police",P199)),ISNUMBER(SEARCH("detention",P199)),ISNUMBER(SEARCH("civil rights",P199)),ISNUMBER(SEARCH("justice",P199))),"Civil rights &amp; justice",IF(OR(ISNUMBER(SEARCH("road",P199)),ISNUMBER(SEARCH("utility",P199)),ISNUMBER(SEARCH("infrastructure",P199)),ISNUMBER(SEARCH("public service",P199))),"Infrastructure &amp; public services","Other"))))))))))))</x:f>
      </x:c>
      <x:c r="J199" s="16" t="str">
        <x:f>IF(A199="","",IF(OR(ISNUMBER(SEARCH("fatal",Q199)),ISNUMBER(SEARCH("death",Q199)),ISNUMBER(SEARCH("riot",Q199)),ISNUMBER(SEARCH("curfew",Q199)),ISNUMBER(SEARCH("internet shutdown",Q199))),5,MIN(4,1+IF(H199&gt;=7,1,0)+IF(OR(ISNUMBER(SEARCH("hunger strike",Q199)),ISNUMBER(SEARCH("blockade",Q199)),ISNUMBER(SEARCH("strike",Q199)),ISNUMBER(SEARCH("jal satyagraha",Q199)),ISNUMBER(SEARCH("survey",Q199)),ISNUMBER(SEARCH("human chain",Q199)),ISNUMBER(SEARCH("march",Q199))),1,0)+IF(OR(ISNUMBER(SEARCH("fir",Q199)),ISNUMBER(SEARCH("confrontation",Q199)),ISNUMBER(SEARCH("violence",Q199)),ISNUMBER(SEARCH("detention",Q199)),ISNUMBER(SEARCH("arrest",Q199)),ISNUMBER(SEARCH("demolition",Q199)),ISNUMBER(SEARCH("injury",Q199))),1,0)+IF(OR(D199="Ongoing",D199="Unresolved"),1,0))))</x:f>
      </x:c>
      <x:c r="K199" s="16" t="str">
        <x:f>IF(J199="","",IF(J199=1,"Limited",IF(J199=2,"Local",IF(J199=3,"Significant",IF(J199=4,"High","Critical")))))</x:f>
      </x:c>
      <x:c r="L199" s="16" t="str">
        <x:f>IF(A199="","",Events!U198)</x:f>
      </x:c>
      <x:c r="M199" s="16" t="str">
        <x:f>IF(A199="","",Events!V198)</x:f>
      </x:c>
      <x:c r="N199" s="16" t="str">
        <x:f>IF(A199="","",Events!Q198)</x:f>
      </x:c>
      <x:c r="O199" s="16" t="str">
        <x:f>IF(A199="","",Events!R198)</x:f>
      </x:c>
      <x:c r="P199" s="16" t="str">
        <x:f>IF(A199="","",LOWER(Events!B198&amp;" "&amp;Events!D198&amp;" "&amp;Events!K198))</x:f>
      </x:c>
      <x:c r="Q199" s="16" t="str">
        <x:f>IF(A199="","",LOWER(Events!C198&amp;" "&amp;Events!K198&amp;" "&amp;Events!T198))</x:f>
      </x:c>
      <x:c r="R199" s="16" t="str">
        <x:f>IF(A199="","",IF(ISNUMBER(SEARCH("Occurrence verified",E199)),"Occurrence verified",E199))</x:f>
      </x:c>
      <x:c r="S199" s="79" t="str">
        <x:f>IF(A199="","",Events!X198)</x:f>
      </x:c>
      <x:c r="Z199" s="79" t="str">
        <x:f>IF(A199="","",Events!AD198)</x:f>
      </x:c>
      <x:c r="AA199" s="79" t="str">
        <x:f>IF(A199="","",Events!AE198)</x:f>
      </x:c>
    </x:row>
    <x:row r="200">
      <x:c r="A200" s="16" t="str">
        <x:f>IF(Events!A199="","",Events!A199)</x:f>
      </x:c>
      <x:c r="B200" s="16" t="str">
        <x:f>IF(A200="","",Events!B199)</x:f>
      </x:c>
      <x:c r="C200" s="16" t="str">
        <x:f>IF(A200="","",Events!E199)</x:f>
      </x:c>
      <x:c r="D200" s="16" t="str">
        <x:f>IF(A200="","",Events!J199)</x:f>
      </x:c>
      <x:c r="E200" s="16" t="str">
        <x:f>IF(A200="","",Events!N199)</x:f>
      </x:c>
      <x:c r="F200" s="109" t="str">
        <x:f>IF(OR(A200="",Events!H199=""),"",Events!H199)</x:f>
      </x:c>
      <x:c r="G200" s="109" t="str">
        <x:f>IF(A200="","",IF(Events!I199&lt;&gt;"",Events!I199,IF(Events!S199&lt;&gt;"",Events!S199,"")))</x:f>
      </x:c>
      <x:c r="H200" s="16" t="str">
        <x:f>IF(A200="","",Events!W199)</x:f>
      </x:c>
      <x:c r="I200" s="16" t="str">
        <x:f>IF(A200="","",IF(Events!Y199&lt;&gt;"",Events!Y199,IF(OR(ISNUMBER(SEARCH("education",P200)),ISNUMBER(SEARCH("exam",P200)),ISNUMBER(SEARCH("school",P200))),"Education",IF(OR(ISNUMBER(SEARCH("trade agreement",P200)),ISNUMBER(SEARCH("economic",P200)),ISNUMBER(SEARCH("import",P200))),"Trade &amp; economic policy",IF(OR(ISNUMBER(SEARCH("land acquisition",P200)),ISNUMBER(SEARCH("rehabilitation",P200)),ISNUMBER(SEARCH("displacement",P200)),ISNUMBER(SEARCH("township",P200))),"Land &amp; rehabilitation",IF(OR(ISNUMBER(SEARCH("forest",P200)),ISNUMBER(SEARCH("environment",P200)),ISNUMBER(SEARCH("ecological",P200)),ISNUMBER(SEARCH("biodiversity",P200)),ISNUMBER(SEARCH("green cover",P200))),"Environment",IF(OR(ISNUMBER(SEARCH("irrigation",P200)),ISNUMBER(SEARCH("water",P200)),ISNUMBER(SEARCH("crop",P200)),ISNUMBER(SEARCH("farmer",P200)),ISNUMBER(SEARCH("agriculture",P200))),"Agriculture &amp; water",IF(OR(ISNUMBER(SEARCH("health",P200)),ISNUMBER(SEARCH("hospital",P200)),ISNUMBER(SEARCH("medicine",P200))),"Public health",IF(OR(ISNUMBER(SEARCH("employee",P200)),ISNUMBER(SEARCH("labour",P200)),ISNUMBER(SEARCH("worker",P200)),ISNUMBER(SEARCH("salary",P200))),"Labour &amp; employment",IF(OR(ISNUMBER(SEARCH("rti",P200)),ISNUMBER(SEARCH("transparency",P200)),ISNUMBER(SEARCH("corruption",P200)),ISNUMBER(SEARCH("governance",P200))),"Governance &amp; transparency",IF(OR(ISNUMBER(SEARCH("police",P200)),ISNUMBER(SEARCH("detention",P200)),ISNUMBER(SEARCH("civil rights",P200)),ISNUMBER(SEARCH("justice",P200))),"Civil rights &amp; justice",IF(OR(ISNUMBER(SEARCH("road",P200)),ISNUMBER(SEARCH("utility",P200)),ISNUMBER(SEARCH("infrastructure",P200)),ISNUMBER(SEARCH("public service",P200))),"Infrastructure &amp; public services","Other"))))))))))))</x:f>
      </x:c>
      <x:c r="J200" s="16" t="str">
        <x:f>IF(A200="","",IF(OR(ISNUMBER(SEARCH("fatal",Q200)),ISNUMBER(SEARCH("death",Q200)),ISNUMBER(SEARCH("riot",Q200)),ISNUMBER(SEARCH("curfew",Q200)),ISNUMBER(SEARCH("internet shutdown",Q200))),5,MIN(4,1+IF(H200&gt;=7,1,0)+IF(OR(ISNUMBER(SEARCH("hunger strike",Q200)),ISNUMBER(SEARCH("blockade",Q200)),ISNUMBER(SEARCH("strike",Q200)),ISNUMBER(SEARCH("jal satyagraha",Q200)),ISNUMBER(SEARCH("survey",Q200)),ISNUMBER(SEARCH("human chain",Q200)),ISNUMBER(SEARCH("march",Q200))),1,0)+IF(OR(ISNUMBER(SEARCH("fir",Q200)),ISNUMBER(SEARCH("confrontation",Q200)),ISNUMBER(SEARCH("violence",Q200)),ISNUMBER(SEARCH("detention",Q200)),ISNUMBER(SEARCH("arrest",Q200)),ISNUMBER(SEARCH("demolition",Q200)),ISNUMBER(SEARCH("injury",Q200))),1,0)+IF(OR(D200="Ongoing",D200="Unresolved"),1,0))))</x:f>
      </x:c>
      <x:c r="K200" s="16" t="str">
        <x:f>IF(J200="","",IF(J200=1,"Limited",IF(J200=2,"Local",IF(J200=3,"Significant",IF(J200=4,"High","Critical")))))</x:f>
      </x:c>
      <x:c r="L200" s="16" t="str">
        <x:f>IF(A200="","",Events!U199)</x:f>
      </x:c>
      <x:c r="M200" s="16" t="str">
        <x:f>IF(A200="","",Events!V199)</x:f>
      </x:c>
      <x:c r="N200" s="16" t="str">
        <x:f>IF(A200="","",Events!Q199)</x:f>
      </x:c>
      <x:c r="O200" s="16" t="str">
        <x:f>IF(A200="","",Events!R199)</x:f>
      </x:c>
      <x:c r="P200" s="16" t="str">
        <x:f>IF(A200="","",LOWER(Events!B199&amp;" "&amp;Events!D199&amp;" "&amp;Events!K199))</x:f>
      </x:c>
      <x:c r="Q200" s="16" t="str">
        <x:f>IF(A200="","",LOWER(Events!C199&amp;" "&amp;Events!K199&amp;" "&amp;Events!T199))</x:f>
      </x:c>
      <x:c r="R200" s="16" t="str">
        <x:f>IF(A200="","",IF(ISNUMBER(SEARCH("Occurrence verified",E200)),"Occurrence verified",E200))</x:f>
      </x:c>
      <x:c r="S200" s="79" t="str">
        <x:f>IF(A200="","",Events!X199)</x:f>
      </x:c>
      <x:c r="Z200" s="79" t="str">
        <x:f>IF(A200="","",Events!AD199)</x:f>
      </x:c>
      <x:c r="AA200" s="79" t="str">
        <x:f>IF(A200="","",Events!AE199)</x:f>
      </x:c>
    </x:row>
    <x:row r="201">
      <x:c r="A201" s="16" t="str">
        <x:f>IF(Events!A200="","",Events!A200)</x:f>
      </x:c>
      <x:c r="B201" s="16" t="str">
        <x:f>IF(A201="","",Events!B200)</x:f>
      </x:c>
      <x:c r="C201" s="16" t="str">
        <x:f>IF(A201="","",Events!E200)</x:f>
      </x:c>
      <x:c r="D201" s="16" t="str">
        <x:f>IF(A201="","",Events!J200)</x:f>
      </x:c>
      <x:c r="E201" s="16" t="str">
        <x:f>IF(A201="","",Events!N200)</x:f>
      </x:c>
      <x:c r="F201" s="109" t="str">
        <x:f>IF(OR(A201="",Events!H200=""),"",Events!H200)</x:f>
      </x:c>
      <x:c r="G201" s="109" t="str">
        <x:f>IF(A201="","",IF(Events!I200&lt;&gt;"",Events!I200,IF(Events!S200&lt;&gt;"",Events!S200,"")))</x:f>
      </x:c>
      <x:c r="H201" s="16" t="str">
        <x:f>IF(A201="","",Events!W200)</x:f>
      </x:c>
      <x:c r="I201" s="16" t="str">
        <x:f>IF(A201="","",IF(Events!Y200&lt;&gt;"",Events!Y200,IF(OR(ISNUMBER(SEARCH("education",P201)),ISNUMBER(SEARCH("exam",P201)),ISNUMBER(SEARCH("school",P201))),"Education",IF(OR(ISNUMBER(SEARCH("trade agreement",P201)),ISNUMBER(SEARCH("economic",P201)),ISNUMBER(SEARCH("import",P201))),"Trade &amp; economic policy",IF(OR(ISNUMBER(SEARCH("land acquisition",P201)),ISNUMBER(SEARCH("rehabilitation",P201)),ISNUMBER(SEARCH("displacement",P201)),ISNUMBER(SEARCH("township",P201))),"Land &amp; rehabilitation",IF(OR(ISNUMBER(SEARCH("forest",P201)),ISNUMBER(SEARCH("environment",P201)),ISNUMBER(SEARCH("ecological",P201)),ISNUMBER(SEARCH("biodiversity",P201)),ISNUMBER(SEARCH("green cover",P201))),"Environment",IF(OR(ISNUMBER(SEARCH("irrigation",P201)),ISNUMBER(SEARCH("water",P201)),ISNUMBER(SEARCH("crop",P201)),ISNUMBER(SEARCH("farmer",P201)),ISNUMBER(SEARCH("agriculture",P201))),"Agriculture &amp; water",IF(OR(ISNUMBER(SEARCH("health",P201)),ISNUMBER(SEARCH("hospital",P201)),ISNUMBER(SEARCH("medicine",P201))),"Public health",IF(OR(ISNUMBER(SEARCH("employee",P201)),ISNUMBER(SEARCH("labour",P201)),ISNUMBER(SEARCH("worker",P201)),ISNUMBER(SEARCH("salary",P201))),"Labour &amp; employment",IF(OR(ISNUMBER(SEARCH("rti",P201)),ISNUMBER(SEARCH("transparency",P201)),ISNUMBER(SEARCH("corruption",P201)),ISNUMBER(SEARCH("governance",P201))),"Governance &amp; transparency",IF(OR(ISNUMBER(SEARCH("police",P201)),ISNUMBER(SEARCH("detention",P201)),ISNUMBER(SEARCH("civil rights",P201)),ISNUMBER(SEARCH("justice",P201))),"Civil rights &amp; justice",IF(OR(ISNUMBER(SEARCH("road",P201)),ISNUMBER(SEARCH("utility",P201)),ISNUMBER(SEARCH("infrastructure",P201)),ISNUMBER(SEARCH("public service",P201))),"Infrastructure &amp; public services","Other"))))))))))))</x:f>
      </x:c>
      <x:c r="J201" s="16" t="str">
        <x:f>IF(A201="","",IF(OR(ISNUMBER(SEARCH("fatal",Q201)),ISNUMBER(SEARCH("death",Q201)),ISNUMBER(SEARCH("riot",Q201)),ISNUMBER(SEARCH("curfew",Q201)),ISNUMBER(SEARCH("internet shutdown",Q201))),5,MIN(4,1+IF(H201&gt;=7,1,0)+IF(OR(ISNUMBER(SEARCH("hunger strike",Q201)),ISNUMBER(SEARCH("blockade",Q201)),ISNUMBER(SEARCH("strike",Q201)),ISNUMBER(SEARCH("jal satyagraha",Q201)),ISNUMBER(SEARCH("survey",Q201)),ISNUMBER(SEARCH("human chain",Q201)),ISNUMBER(SEARCH("march",Q201))),1,0)+IF(OR(ISNUMBER(SEARCH("fir",Q201)),ISNUMBER(SEARCH("confrontation",Q201)),ISNUMBER(SEARCH("violence",Q201)),ISNUMBER(SEARCH("detention",Q201)),ISNUMBER(SEARCH("arrest",Q201)),ISNUMBER(SEARCH("demolition",Q201)),ISNUMBER(SEARCH("injury",Q201))),1,0)+IF(OR(D201="Ongoing",D201="Unresolved"),1,0))))</x:f>
      </x:c>
      <x:c r="K201" s="16" t="str">
        <x:f>IF(J201="","",IF(J201=1,"Limited",IF(J201=2,"Local",IF(J201=3,"Significant",IF(J201=4,"High","Critical")))))</x:f>
      </x:c>
      <x:c r="L201" s="16" t="str">
        <x:f>IF(A201="","",Events!U200)</x:f>
      </x:c>
      <x:c r="M201" s="16" t="str">
        <x:f>IF(A201="","",Events!V200)</x:f>
      </x:c>
      <x:c r="N201" s="16" t="str">
        <x:f>IF(A201="","",Events!Q200)</x:f>
      </x:c>
      <x:c r="O201" s="16" t="str">
        <x:f>IF(A201="","",Events!R200)</x:f>
      </x:c>
      <x:c r="P201" s="16" t="str">
        <x:f>IF(A201="","",LOWER(Events!B200&amp;" "&amp;Events!D200&amp;" "&amp;Events!K200))</x:f>
      </x:c>
      <x:c r="Q201" s="16" t="str">
        <x:f>IF(A201="","",LOWER(Events!C200&amp;" "&amp;Events!K200&amp;" "&amp;Events!T200))</x:f>
      </x:c>
      <x:c r="R201" s="16" t="str">
        <x:f>IF(A201="","",IF(ISNUMBER(SEARCH("Occurrence verified",E201)),"Occurrence verified",E201))</x:f>
      </x:c>
      <x:c r="S201" s="79" t="str">
        <x:f>IF(A201="","",Events!X200)</x:f>
      </x:c>
      <x:c r="Z201" s="79" t="str">
        <x:f>IF(A201="","",Events!AD200)</x:f>
      </x:c>
      <x:c r="AA201" s="79" t="str">
        <x:f>IF(A201="","",Events!AE200)</x:f>
      </x:c>
    </x:row>
    <x:row r="202">
      <x:c r="A202" s="16" t="str">
        <x:f>IF(Events!A201="","",Events!A201)</x:f>
      </x:c>
      <x:c r="B202" s="16" t="str">
        <x:f>IF(A202="","",Events!B201)</x:f>
      </x:c>
      <x:c r="C202" s="16" t="str">
        <x:f>IF(A202="","",Events!E201)</x:f>
      </x:c>
      <x:c r="D202" s="16" t="str">
        <x:f>IF(A202="","",Events!J201)</x:f>
      </x:c>
      <x:c r="E202" s="16" t="str">
        <x:f>IF(A202="","",Events!N201)</x:f>
      </x:c>
      <x:c r="F202" s="109" t="str">
        <x:f>IF(OR(A202="",Events!H201=""),"",Events!H201)</x:f>
      </x:c>
      <x:c r="G202" s="109" t="str">
        <x:f>IF(A202="","",IF(Events!I201&lt;&gt;"",Events!I201,IF(Events!S201&lt;&gt;"",Events!S201,"")))</x:f>
      </x:c>
      <x:c r="H202" s="16" t="str">
        <x:f>IF(A202="","",Events!W201)</x:f>
      </x:c>
      <x:c r="I202" s="16" t="str">
        <x:f>IF(A202="","",IF(Events!Y201&lt;&gt;"",Events!Y201,IF(OR(ISNUMBER(SEARCH("education",P202)),ISNUMBER(SEARCH("exam",P202)),ISNUMBER(SEARCH("school",P202))),"Education",IF(OR(ISNUMBER(SEARCH("trade agreement",P202)),ISNUMBER(SEARCH("economic",P202)),ISNUMBER(SEARCH("import",P202))),"Trade &amp; economic policy",IF(OR(ISNUMBER(SEARCH("land acquisition",P202)),ISNUMBER(SEARCH("rehabilitation",P202)),ISNUMBER(SEARCH("displacement",P202)),ISNUMBER(SEARCH("township",P202))),"Land &amp; rehabilitation",IF(OR(ISNUMBER(SEARCH("forest",P202)),ISNUMBER(SEARCH("environment",P202)),ISNUMBER(SEARCH("ecological",P202)),ISNUMBER(SEARCH("biodiversity",P202)),ISNUMBER(SEARCH("green cover",P202))),"Environment",IF(OR(ISNUMBER(SEARCH("irrigation",P202)),ISNUMBER(SEARCH("water",P202)),ISNUMBER(SEARCH("crop",P202)),ISNUMBER(SEARCH("farmer",P202)),ISNUMBER(SEARCH("agriculture",P202))),"Agriculture &amp; water",IF(OR(ISNUMBER(SEARCH("health",P202)),ISNUMBER(SEARCH("hospital",P202)),ISNUMBER(SEARCH("medicine",P202))),"Public health",IF(OR(ISNUMBER(SEARCH("employee",P202)),ISNUMBER(SEARCH("labour",P202)),ISNUMBER(SEARCH("worker",P202)),ISNUMBER(SEARCH("salary",P202))),"Labour &amp; employment",IF(OR(ISNUMBER(SEARCH("rti",P202)),ISNUMBER(SEARCH("transparency",P202)),ISNUMBER(SEARCH("corruption",P202)),ISNUMBER(SEARCH("governance",P202))),"Governance &amp; transparency",IF(OR(ISNUMBER(SEARCH("police",P202)),ISNUMBER(SEARCH("detention",P202)),ISNUMBER(SEARCH("civil rights",P202)),ISNUMBER(SEARCH("justice",P202))),"Civil rights &amp; justice",IF(OR(ISNUMBER(SEARCH("road",P202)),ISNUMBER(SEARCH("utility",P202)),ISNUMBER(SEARCH("infrastructure",P202)),ISNUMBER(SEARCH("public service",P202))),"Infrastructure &amp; public services","Other"))))))))))))</x:f>
      </x:c>
      <x:c r="J202" s="16" t="str">
        <x:f>IF(A202="","",IF(OR(ISNUMBER(SEARCH("fatal",Q202)),ISNUMBER(SEARCH("death",Q202)),ISNUMBER(SEARCH("riot",Q202)),ISNUMBER(SEARCH("curfew",Q202)),ISNUMBER(SEARCH("internet shutdown",Q202))),5,MIN(4,1+IF(H202&gt;=7,1,0)+IF(OR(ISNUMBER(SEARCH("hunger strike",Q202)),ISNUMBER(SEARCH("blockade",Q202)),ISNUMBER(SEARCH("strike",Q202)),ISNUMBER(SEARCH("jal satyagraha",Q202)),ISNUMBER(SEARCH("survey",Q202)),ISNUMBER(SEARCH("human chain",Q202)),ISNUMBER(SEARCH("march",Q202))),1,0)+IF(OR(ISNUMBER(SEARCH("fir",Q202)),ISNUMBER(SEARCH("confrontation",Q202)),ISNUMBER(SEARCH("violence",Q202)),ISNUMBER(SEARCH("detention",Q202)),ISNUMBER(SEARCH("arrest",Q202)),ISNUMBER(SEARCH("demolition",Q202)),ISNUMBER(SEARCH("injury",Q202))),1,0)+IF(OR(D202="Ongoing",D202="Unresolved"),1,0))))</x:f>
      </x:c>
      <x:c r="K202" s="16" t="str">
        <x:f>IF(J202="","",IF(J202=1,"Limited",IF(J202=2,"Local",IF(J202=3,"Significant",IF(J202=4,"High","Critical")))))</x:f>
      </x:c>
      <x:c r="L202" s="16" t="str">
        <x:f>IF(A202="","",Events!U201)</x:f>
      </x:c>
      <x:c r="M202" s="16" t="str">
        <x:f>IF(A202="","",Events!V201)</x:f>
      </x:c>
      <x:c r="N202" s="16" t="str">
        <x:f>IF(A202="","",Events!Q201)</x:f>
      </x:c>
      <x:c r="O202" s="16" t="str">
        <x:f>IF(A202="","",Events!R201)</x:f>
      </x:c>
      <x:c r="P202" s="16" t="str">
        <x:f>IF(A202="","",LOWER(Events!B201&amp;" "&amp;Events!D201&amp;" "&amp;Events!K201))</x:f>
      </x:c>
      <x:c r="Q202" s="16" t="str">
        <x:f>IF(A202="","",LOWER(Events!C201&amp;" "&amp;Events!K201&amp;" "&amp;Events!T201))</x:f>
      </x:c>
      <x:c r="R202" s="16" t="str">
        <x:f>IF(A202="","",IF(ISNUMBER(SEARCH("Occurrence verified",E202)),"Occurrence verified",E202))</x:f>
      </x:c>
      <x:c r="S202" s="79" t="str">
        <x:f>IF(A202="","",Events!X201)</x:f>
      </x:c>
      <x:c r="Z202" s="79" t="str">
        <x:f>IF(A202="","",Events!AD201)</x:f>
      </x:c>
      <x:c r="AA202" s="79" t="str">
        <x:f>IF(A202="","",Events!AE201)</x:f>
      </x:c>
    </x:row>
    <x:row r="203">
      <x:c r="A203" s="16" t="str">
        <x:f>IF(Events!A202="","",Events!A202)</x:f>
      </x:c>
      <x:c r="B203" s="16" t="str">
        <x:f>IF(A203="","",Events!B202)</x:f>
      </x:c>
      <x:c r="C203" s="16" t="str">
        <x:f>IF(A203="","",Events!E202)</x:f>
      </x:c>
      <x:c r="D203" s="16" t="str">
        <x:f>IF(A203="","",Events!J202)</x:f>
      </x:c>
      <x:c r="E203" s="16" t="str">
        <x:f>IF(A203="","",Events!N202)</x:f>
      </x:c>
      <x:c r="F203" s="109" t="str">
        <x:f>IF(OR(A203="",Events!H202=""),"",Events!H202)</x:f>
      </x:c>
      <x:c r="G203" s="109" t="str">
        <x:f>IF(A203="","",IF(Events!I202&lt;&gt;"",Events!I202,IF(Events!S202&lt;&gt;"",Events!S202,"")))</x:f>
      </x:c>
      <x:c r="H203" s="16" t="str">
        <x:f>IF(A203="","",Events!W202)</x:f>
      </x:c>
      <x:c r="I203" s="16" t="str">
        <x:f>IF(A203="","",IF(Events!Y202&lt;&gt;"",Events!Y202,IF(OR(ISNUMBER(SEARCH("education",P203)),ISNUMBER(SEARCH("exam",P203)),ISNUMBER(SEARCH("school",P203))),"Education",IF(OR(ISNUMBER(SEARCH("trade agreement",P203)),ISNUMBER(SEARCH("economic",P203)),ISNUMBER(SEARCH("import",P203))),"Trade &amp; economic policy",IF(OR(ISNUMBER(SEARCH("land acquisition",P203)),ISNUMBER(SEARCH("rehabilitation",P203)),ISNUMBER(SEARCH("displacement",P203)),ISNUMBER(SEARCH("township",P203))),"Land &amp; rehabilitation",IF(OR(ISNUMBER(SEARCH("forest",P203)),ISNUMBER(SEARCH("environment",P203)),ISNUMBER(SEARCH("ecological",P203)),ISNUMBER(SEARCH("biodiversity",P203)),ISNUMBER(SEARCH("green cover",P203))),"Environment",IF(OR(ISNUMBER(SEARCH("irrigation",P203)),ISNUMBER(SEARCH("water",P203)),ISNUMBER(SEARCH("crop",P203)),ISNUMBER(SEARCH("farmer",P203)),ISNUMBER(SEARCH("agriculture",P203))),"Agriculture &amp; water",IF(OR(ISNUMBER(SEARCH("health",P203)),ISNUMBER(SEARCH("hospital",P203)),ISNUMBER(SEARCH("medicine",P203))),"Public health",IF(OR(ISNUMBER(SEARCH("employee",P203)),ISNUMBER(SEARCH("labour",P203)),ISNUMBER(SEARCH("worker",P203)),ISNUMBER(SEARCH("salary",P203))),"Labour &amp; employment",IF(OR(ISNUMBER(SEARCH("rti",P203)),ISNUMBER(SEARCH("transparency",P203)),ISNUMBER(SEARCH("corruption",P203)),ISNUMBER(SEARCH("governance",P203))),"Governance &amp; transparency",IF(OR(ISNUMBER(SEARCH("police",P203)),ISNUMBER(SEARCH("detention",P203)),ISNUMBER(SEARCH("civil rights",P203)),ISNUMBER(SEARCH("justice",P203))),"Civil rights &amp; justice",IF(OR(ISNUMBER(SEARCH("road",P203)),ISNUMBER(SEARCH("utility",P203)),ISNUMBER(SEARCH("infrastructure",P203)),ISNUMBER(SEARCH("public service",P203))),"Infrastructure &amp; public services","Other"))))))))))))</x:f>
      </x:c>
      <x:c r="J203" s="16" t="str">
        <x:f>IF(A203="","",IF(OR(ISNUMBER(SEARCH("fatal",Q203)),ISNUMBER(SEARCH("death",Q203)),ISNUMBER(SEARCH("riot",Q203)),ISNUMBER(SEARCH("curfew",Q203)),ISNUMBER(SEARCH("internet shutdown",Q203))),5,MIN(4,1+IF(H203&gt;=7,1,0)+IF(OR(ISNUMBER(SEARCH("hunger strike",Q203)),ISNUMBER(SEARCH("blockade",Q203)),ISNUMBER(SEARCH("strike",Q203)),ISNUMBER(SEARCH("jal satyagraha",Q203)),ISNUMBER(SEARCH("survey",Q203)),ISNUMBER(SEARCH("human chain",Q203)),ISNUMBER(SEARCH("march",Q203))),1,0)+IF(OR(ISNUMBER(SEARCH("fir",Q203)),ISNUMBER(SEARCH("confrontation",Q203)),ISNUMBER(SEARCH("violence",Q203)),ISNUMBER(SEARCH("detention",Q203)),ISNUMBER(SEARCH("arrest",Q203)),ISNUMBER(SEARCH("demolition",Q203)),ISNUMBER(SEARCH("injury",Q203))),1,0)+IF(OR(D203="Ongoing",D203="Unresolved"),1,0))))</x:f>
      </x:c>
      <x:c r="K203" s="16" t="str">
        <x:f>IF(J203="","",IF(J203=1,"Limited",IF(J203=2,"Local",IF(J203=3,"Significant",IF(J203=4,"High","Critical")))))</x:f>
      </x:c>
      <x:c r="L203" s="16" t="str">
        <x:f>IF(A203="","",Events!U202)</x:f>
      </x:c>
      <x:c r="M203" s="16" t="str">
        <x:f>IF(A203="","",Events!V202)</x:f>
      </x:c>
      <x:c r="N203" s="16" t="str">
        <x:f>IF(A203="","",Events!Q202)</x:f>
      </x:c>
      <x:c r="O203" s="16" t="str">
        <x:f>IF(A203="","",Events!R202)</x:f>
      </x:c>
      <x:c r="P203" s="16" t="str">
        <x:f>IF(A203="","",LOWER(Events!B202&amp;" "&amp;Events!D202&amp;" "&amp;Events!K202))</x:f>
      </x:c>
      <x:c r="Q203" s="16" t="str">
        <x:f>IF(A203="","",LOWER(Events!C202&amp;" "&amp;Events!K202&amp;" "&amp;Events!T202))</x:f>
      </x:c>
      <x:c r="R203" s="16" t="str">
        <x:f>IF(A203="","",IF(ISNUMBER(SEARCH("Occurrence verified",E203)),"Occurrence verified",E203))</x:f>
      </x:c>
      <x:c r="S203" s="79" t="str">
        <x:f>IF(A203="","",Events!X202)</x:f>
      </x:c>
      <x:c r="Z203" s="79" t="str">
        <x:f>IF(A203="","",Events!AD202)</x:f>
      </x:c>
      <x:c r="AA203" s="79" t="str">
        <x:f>IF(A203="","",Events!AE202)</x:f>
      </x:c>
    </x:row>
    <x:row r="204">
      <x:c r="A204" s="16" t="str">
        <x:f>IF(Events!A203="","",Events!A203)</x:f>
      </x:c>
      <x:c r="B204" s="16" t="str">
        <x:f>IF(A204="","",Events!B203)</x:f>
      </x:c>
      <x:c r="C204" s="16" t="str">
        <x:f>IF(A204="","",Events!E203)</x:f>
      </x:c>
      <x:c r="D204" s="16" t="str">
        <x:f>IF(A204="","",Events!J203)</x:f>
      </x:c>
      <x:c r="E204" s="16" t="str">
        <x:f>IF(A204="","",Events!N203)</x:f>
      </x:c>
      <x:c r="F204" s="109" t="str">
        <x:f>IF(OR(A204="",Events!H203=""),"",Events!H203)</x:f>
      </x:c>
      <x:c r="G204" s="109" t="str">
        <x:f>IF(A204="","",IF(Events!I203&lt;&gt;"",Events!I203,IF(Events!S203&lt;&gt;"",Events!S203,"")))</x:f>
      </x:c>
      <x:c r="H204" s="16" t="str">
        <x:f>IF(A204="","",Events!W203)</x:f>
      </x:c>
      <x:c r="I204" s="16" t="str">
        <x:f>IF(A204="","",IF(Events!Y203&lt;&gt;"",Events!Y203,IF(OR(ISNUMBER(SEARCH("education",P204)),ISNUMBER(SEARCH("exam",P204)),ISNUMBER(SEARCH("school",P204))),"Education",IF(OR(ISNUMBER(SEARCH("trade agreement",P204)),ISNUMBER(SEARCH("economic",P204)),ISNUMBER(SEARCH("import",P204))),"Trade &amp; economic policy",IF(OR(ISNUMBER(SEARCH("land acquisition",P204)),ISNUMBER(SEARCH("rehabilitation",P204)),ISNUMBER(SEARCH("displacement",P204)),ISNUMBER(SEARCH("township",P204))),"Land &amp; rehabilitation",IF(OR(ISNUMBER(SEARCH("forest",P204)),ISNUMBER(SEARCH("environment",P204)),ISNUMBER(SEARCH("ecological",P204)),ISNUMBER(SEARCH("biodiversity",P204)),ISNUMBER(SEARCH("green cover",P204))),"Environment",IF(OR(ISNUMBER(SEARCH("irrigation",P204)),ISNUMBER(SEARCH("water",P204)),ISNUMBER(SEARCH("crop",P204)),ISNUMBER(SEARCH("farmer",P204)),ISNUMBER(SEARCH("agriculture",P204))),"Agriculture &amp; water",IF(OR(ISNUMBER(SEARCH("health",P204)),ISNUMBER(SEARCH("hospital",P204)),ISNUMBER(SEARCH("medicine",P204))),"Public health",IF(OR(ISNUMBER(SEARCH("employee",P204)),ISNUMBER(SEARCH("labour",P204)),ISNUMBER(SEARCH("worker",P204)),ISNUMBER(SEARCH("salary",P204))),"Labour &amp; employment",IF(OR(ISNUMBER(SEARCH("rti",P204)),ISNUMBER(SEARCH("transparency",P204)),ISNUMBER(SEARCH("corruption",P204)),ISNUMBER(SEARCH("governance",P204))),"Governance &amp; transparency",IF(OR(ISNUMBER(SEARCH("police",P204)),ISNUMBER(SEARCH("detention",P204)),ISNUMBER(SEARCH("civil rights",P204)),ISNUMBER(SEARCH("justice",P204))),"Civil rights &amp; justice",IF(OR(ISNUMBER(SEARCH("road",P204)),ISNUMBER(SEARCH("utility",P204)),ISNUMBER(SEARCH("infrastructure",P204)),ISNUMBER(SEARCH("public service",P204))),"Infrastructure &amp; public services","Other"))))))))))))</x:f>
      </x:c>
      <x:c r="J204" s="16" t="str">
        <x:f>IF(A204="","",IF(OR(ISNUMBER(SEARCH("fatal",Q204)),ISNUMBER(SEARCH("death",Q204)),ISNUMBER(SEARCH("riot",Q204)),ISNUMBER(SEARCH("curfew",Q204)),ISNUMBER(SEARCH("internet shutdown",Q204))),5,MIN(4,1+IF(H204&gt;=7,1,0)+IF(OR(ISNUMBER(SEARCH("hunger strike",Q204)),ISNUMBER(SEARCH("blockade",Q204)),ISNUMBER(SEARCH("strike",Q204)),ISNUMBER(SEARCH("jal satyagraha",Q204)),ISNUMBER(SEARCH("survey",Q204)),ISNUMBER(SEARCH("human chain",Q204)),ISNUMBER(SEARCH("march",Q204))),1,0)+IF(OR(ISNUMBER(SEARCH("fir",Q204)),ISNUMBER(SEARCH("confrontation",Q204)),ISNUMBER(SEARCH("violence",Q204)),ISNUMBER(SEARCH("detention",Q204)),ISNUMBER(SEARCH("arrest",Q204)),ISNUMBER(SEARCH("demolition",Q204)),ISNUMBER(SEARCH("injury",Q204))),1,0)+IF(OR(D204="Ongoing",D204="Unresolved"),1,0))))</x:f>
      </x:c>
      <x:c r="K204" s="16" t="str">
        <x:f>IF(J204="","",IF(J204=1,"Limited",IF(J204=2,"Local",IF(J204=3,"Significant",IF(J204=4,"High","Critical")))))</x:f>
      </x:c>
      <x:c r="L204" s="16" t="str">
        <x:f>IF(A204="","",Events!U203)</x:f>
      </x:c>
      <x:c r="M204" s="16" t="str">
        <x:f>IF(A204="","",Events!V203)</x:f>
      </x:c>
      <x:c r="N204" s="16" t="str">
        <x:f>IF(A204="","",Events!Q203)</x:f>
      </x:c>
      <x:c r="O204" s="16" t="str">
        <x:f>IF(A204="","",Events!R203)</x:f>
      </x:c>
      <x:c r="P204" s="16" t="str">
        <x:f>IF(A204="","",LOWER(Events!B203&amp;" "&amp;Events!D203&amp;" "&amp;Events!K203))</x:f>
      </x:c>
      <x:c r="Q204" s="16" t="str">
        <x:f>IF(A204="","",LOWER(Events!C203&amp;" "&amp;Events!K203&amp;" "&amp;Events!T203))</x:f>
      </x:c>
      <x:c r="R204" s="16" t="str">
        <x:f>IF(A204="","",IF(ISNUMBER(SEARCH("Occurrence verified",E204)),"Occurrence verified",E204))</x:f>
      </x:c>
      <x:c r="S204" s="79" t="str">
        <x:f>IF(A204="","",Events!X203)</x:f>
      </x:c>
      <x:c r="Z204" s="79" t="str">
        <x:f>IF(A204="","",Events!AD203)</x:f>
      </x:c>
      <x:c r="AA204" s="79" t="str">
        <x:f>IF(A204="","",Events!AE203)</x:f>
      </x:c>
    </x:row>
    <x:row r="205">
      <x:c r="A205" s="16" t="str">
        <x:f>IF(Events!A204="","",Events!A204)</x:f>
      </x:c>
      <x:c r="B205" s="16" t="str">
        <x:f>IF(A205="","",Events!B204)</x:f>
      </x:c>
      <x:c r="C205" s="16" t="str">
        <x:f>IF(A205="","",Events!E204)</x:f>
      </x:c>
      <x:c r="D205" s="16" t="str">
        <x:f>IF(A205="","",Events!J204)</x:f>
      </x:c>
      <x:c r="E205" s="16" t="str">
        <x:f>IF(A205="","",Events!N204)</x:f>
      </x:c>
      <x:c r="F205" s="109" t="str">
        <x:f>IF(OR(A205="",Events!H204=""),"",Events!H204)</x:f>
      </x:c>
      <x:c r="G205" s="109" t="str">
        <x:f>IF(A205="","",IF(Events!I204&lt;&gt;"",Events!I204,IF(Events!S204&lt;&gt;"",Events!S204,"")))</x:f>
      </x:c>
      <x:c r="H205" s="16" t="str">
        <x:f>IF(A205="","",Events!W204)</x:f>
      </x:c>
      <x:c r="I205" s="16" t="str">
        <x:f>IF(A205="","",IF(Events!Y204&lt;&gt;"",Events!Y204,IF(OR(ISNUMBER(SEARCH("education",P205)),ISNUMBER(SEARCH("exam",P205)),ISNUMBER(SEARCH("school",P205))),"Education",IF(OR(ISNUMBER(SEARCH("trade agreement",P205)),ISNUMBER(SEARCH("economic",P205)),ISNUMBER(SEARCH("import",P205))),"Trade &amp; economic policy",IF(OR(ISNUMBER(SEARCH("land acquisition",P205)),ISNUMBER(SEARCH("rehabilitation",P205)),ISNUMBER(SEARCH("displacement",P205)),ISNUMBER(SEARCH("township",P205))),"Land &amp; rehabilitation",IF(OR(ISNUMBER(SEARCH("forest",P205)),ISNUMBER(SEARCH("environment",P205)),ISNUMBER(SEARCH("ecological",P205)),ISNUMBER(SEARCH("biodiversity",P205)),ISNUMBER(SEARCH("green cover",P205))),"Environment",IF(OR(ISNUMBER(SEARCH("irrigation",P205)),ISNUMBER(SEARCH("water",P205)),ISNUMBER(SEARCH("crop",P205)),ISNUMBER(SEARCH("farmer",P205)),ISNUMBER(SEARCH("agriculture",P205))),"Agriculture &amp; water",IF(OR(ISNUMBER(SEARCH("health",P205)),ISNUMBER(SEARCH("hospital",P205)),ISNUMBER(SEARCH("medicine",P205))),"Public health",IF(OR(ISNUMBER(SEARCH("employee",P205)),ISNUMBER(SEARCH("labour",P205)),ISNUMBER(SEARCH("worker",P205)),ISNUMBER(SEARCH("salary",P205))),"Labour &amp; employment",IF(OR(ISNUMBER(SEARCH("rti",P205)),ISNUMBER(SEARCH("transparency",P205)),ISNUMBER(SEARCH("corruption",P205)),ISNUMBER(SEARCH("governance",P205))),"Governance &amp; transparency",IF(OR(ISNUMBER(SEARCH("police",P205)),ISNUMBER(SEARCH("detention",P205)),ISNUMBER(SEARCH("civil rights",P205)),ISNUMBER(SEARCH("justice",P205))),"Civil rights &amp; justice",IF(OR(ISNUMBER(SEARCH("road",P205)),ISNUMBER(SEARCH("utility",P205)),ISNUMBER(SEARCH("infrastructure",P205)),ISNUMBER(SEARCH("public service",P205))),"Infrastructure &amp; public services","Other"))))))))))))</x:f>
      </x:c>
      <x:c r="J205" s="16" t="str">
        <x:f>IF(A205="","",IF(OR(ISNUMBER(SEARCH("fatal",Q205)),ISNUMBER(SEARCH("death",Q205)),ISNUMBER(SEARCH("riot",Q205)),ISNUMBER(SEARCH("curfew",Q205)),ISNUMBER(SEARCH("internet shutdown",Q205))),5,MIN(4,1+IF(H205&gt;=7,1,0)+IF(OR(ISNUMBER(SEARCH("hunger strike",Q205)),ISNUMBER(SEARCH("blockade",Q205)),ISNUMBER(SEARCH("strike",Q205)),ISNUMBER(SEARCH("jal satyagraha",Q205)),ISNUMBER(SEARCH("survey",Q205)),ISNUMBER(SEARCH("human chain",Q205)),ISNUMBER(SEARCH("march",Q205))),1,0)+IF(OR(ISNUMBER(SEARCH("fir",Q205)),ISNUMBER(SEARCH("confrontation",Q205)),ISNUMBER(SEARCH("violence",Q205)),ISNUMBER(SEARCH("detention",Q205)),ISNUMBER(SEARCH("arrest",Q205)),ISNUMBER(SEARCH("demolition",Q205)),ISNUMBER(SEARCH("injury",Q205))),1,0)+IF(OR(D205="Ongoing",D205="Unresolved"),1,0))))</x:f>
      </x:c>
      <x:c r="K205" s="16" t="str">
        <x:f>IF(J205="","",IF(J205=1,"Limited",IF(J205=2,"Local",IF(J205=3,"Significant",IF(J205=4,"High","Critical")))))</x:f>
      </x:c>
      <x:c r="L205" s="16" t="str">
        <x:f>IF(A205="","",Events!U204)</x:f>
      </x:c>
      <x:c r="M205" s="16" t="str">
        <x:f>IF(A205="","",Events!V204)</x:f>
      </x:c>
      <x:c r="N205" s="16" t="str">
        <x:f>IF(A205="","",Events!Q204)</x:f>
      </x:c>
      <x:c r="O205" s="16" t="str">
        <x:f>IF(A205="","",Events!R204)</x:f>
      </x:c>
      <x:c r="P205" s="16" t="str">
        <x:f>IF(A205="","",LOWER(Events!B204&amp;" "&amp;Events!D204&amp;" "&amp;Events!K204))</x:f>
      </x:c>
      <x:c r="Q205" s="16" t="str">
        <x:f>IF(A205="","",LOWER(Events!C204&amp;" "&amp;Events!K204&amp;" "&amp;Events!T204))</x:f>
      </x:c>
      <x:c r="R205" s="16" t="str">
        <x:f>IF(A205="","",IF(ISNUMBER(SEARCH("Occurrence verified",E205)),"Occurrence verified",E205))</x:f>
      </x:c>
      <x:c r="S205" s="79" t="str">
        <x:f>IF(A205="","",Events!X204)</x:f>
      </x:c>
      <x:c r="Z205" s="79" t="str">
        <x:f>IF(A205="","",Events!AD204)</x:f>
      </x:c>
      <x:c r="AA205" s="79" t="str">
        <x:f>IF(A205="","",Events!AE204)</x:f>
      </x:c>
    </x:row>
    <x:row r="206">
      <x:c r="A206" s="16" t="str">
        <x:f>IF(Events!A205="","",Events!A205)</x:f>
      </x:c>
      <x:c r="B206" s="16" t="str">
        <x:f>IF(A206="","",Events!B205)</x:f>
      </x:c>
      <x:c r="C206" s="16" t="str">
        <x:f>IF(A206="","",Events!E205)</x:f>
      </x:c>
      <x:c r="D206" s="16" t="str">
        <x:f>IF(A206="","",Events!J205)</x:f>
      </x:c>
      <x:c r="E206" s="16" t="str">
        <x:f>IF(A206="","",Events!N205)</x:f>
      </x:c>
      <x:c r="F206" s="109" t="str">
        <x:f>IF(OR(A206="",Events!H205=""),"",Events!H205)</x:f>
      </x:c>
      <x:c r="G206" s="109" t="str">
        <x:f>IF(A206="","",IF(Events!I205&lt;&gt;"",Events!I205,IF(Events!S205&lt;&gt;"",Events!S205,"")))</x:f>
      </x:c>
      <x:c r="H206" s="16" t="str">
        <x:f>IF(A206="","",Events!W205)</x:f>
      </x:c>
      <x:c r="I206" s="16" t="str">
        <x:f>IF(A206="","",IF(Events!Y205&lt;&gt;"",Events!Y205,IF(OR(ISNUMBER(SEARCH("education",P206)),ISNUMBER(SEARCH("exam",P206)),ISNUMBER(SEARCH("school",P206))),"Education",IF(OR(ISNUMBER(SEARCH("trade agreement",P206)),ISNUMBER(SEARCH("economic",P206)),ISNUMBER(SEARCH("import",P206))),"Trade &amp; economic policy",IF(OR(ISNUMBER(SEARCH("land acquisition",P206)),ISNUMBER(SEARCH("rehabilitation",P206)),ISNUMBER(SEARCH("displacement",P206)),ISNUMBER(SEARCH("township",P206))),"Land &amp; rehabilitation",IF(OR(ISNUMBER(SEARCH("forest",P206)),ISNUMBER(SEARCH("environment",P206)),ISNUMBER(SEARCH("ecological",P206)),ISNUMBER(SEARCH("biodiversity",P206)),ISNUMBER(SEARCH("green cover",P206))),"Environment",IF(OR(ISNUMBER(SEARCH("irrigation",P206)),ISNUMBER(SEARCH("water",P206)),ISNUMBER(SEARCH("crop",P206)),ISNUMBER(SEARCH("farmer",P206)),ISNUMBER(SEARCH("agriculture",P206))),"Agriculture &amp; water",IF(OR(ISNUMBER(SEARCH("health",P206)),ISNUMBER(SEARCH("hospital",P206)),ISNUMBER(SEARCH("medicine",P206))),"Public health",IF(OR(ISNUMBER(SEARCH("employee",P206)),ISNUMBER(SEARCH("labour",P206)),ISNUMBER(SEARCH("worker",P206)),ISNUMBER(SEARCH("salary",P206))),"Labour &amp; employment",IF(OR(ISNUMBER(SEARCH("rti",P206)),ISNUMBER(SEARCH("transparency",P206)),ISNUMBER(SEARCH("corruption",P206)),ISNUMBER(SEARCH("governance",P206))),"Governance &amp; transparency",IF(OR(ISNUMBER(SEARCH("police",P206)),ISNUMBER(SEARCH("detention",P206)),ISNUMBER(SEARCH("civil rights",P206)),ISNUMBER(SEARCH("justice",P206))),"Civil rights &amp; justice",IF(OR(ISNUMBER(SEARCH("road",P206)),ISNUMBER(SEARCH("utility",P206)),ISNUMBER(SEARCH("infrastructure",P206)),ISNUMBER(SEARCH("public service",P206))),"Infrastructure &amp; public services","Other"))))))))))))</x:f>
      </x:c>
      <x:c r="J206" s="16" t="str">
        <x:f>IF(A206="","",IF(OR(ISNUMBER(SEARCH("fatal",Q206)),ISNUMBER(SEARCH("death",Q206)),ISNUMBER(SEARCH("riot",Q206)),ISNUMBER(SEARCH("curfew",Q206)),ISNUMBER(SEARCH("internet shutdown",Q206))),5,MIN(4,1+IF(H206&gt;=7,1,0)+IF(OR(ISNUMBER(SEARCH("hunger strike",Q206)),ISNUMBER(SEARCH("blockade",Q206)),ISNUMBER(SEARCH("strike",Q206)),ISNUMBER(SEARCH("jal satyagraha",Q206)),ISNUMBER(SEARCH("survey",Q206)),ISNUMBER(SEARCH("human chain",Q206)),ISNUMBER(SEARCH("march",Q206))),1,0)+IF(OR(ISNUMBER(SEARCH("fir",Q206)),ISNUMBER(SEARCH("confrontation",Q206)),ISNUMBER(SEARCH("violence",Q206)),ISNUMBER(SEARCH("detention",Q206)),ISNUMBER(SEARCH("arrest",Q206)),ISNUMBER(SEARCH("demolition",Q206)),ISNUMBER(SEARCH("injury",Q206))),1,0)+IF(OR(D206="Ongoing",D206="Unresolved"),1,0))))</x:f>
      </x:c>
      <x:c r="K206" s="16" t="str">
        <x:f>IF(J206="","",IF(J206=1,"Limited",IF(J206=2,"Local",IF(J206=3,"Significant",IF(J206=4,"High","Critical")))))</x:f>
      </x:c>
      <x:c r="L206" s="16" t="str">
        <x:f>IF(A206="","",Events!U205)</x:f>
      </x:c>
      <x:c r="M206" s="16" t="str">
        <x:f>IF(A206="","",Events!V205)</x:f>
      </x:c>
      <x:c r="N206" s="16" t="str">
        <x:f>IF(A206="","",Events!Q205)</x:f>
      </x:c>
      <x:c r="O206" s="16" t="str">
        <x:f>IF(A206="","",Events!R205)</x:f>
      </x:c>
      <x:c r="P206" s="16" t="str">
        <x:f>IF(A206="","",LOWER(Events!B205&amp;" "&amp;Events!D205&amp;" "&amp;Events!K205))</x:f>
      </x:c>
      <x:c r="Q206" s="16" t="str">
        <x:f>IF(A206="","",LOWER(Events!C205&amp;" "&amp;Events!K205&amp;" "&amp;Events!T205))</x:f>
      </x:c>
      <x:c r="R206" s="16" t="str">
        <x:f>IF(A206="","",IF(ISNUMBER(SEARCH("Occurrence verified",E206)),"Occurrence verified",E206))</x:f>
      </x:c>
      <x:c r="S206" s="79" t="str">
        <x:f>IF(A206="","",Events!X205)</x:f>
      </x:c>
      <x:c r="Z206" s="79" t="str">
        <x:f>IF(A206="","",Events!AD205)</x:f>
      </x:c>
      <x:c r="AA206" s="79" t="str">
        <x:f>IF(A206="","",Events!AE205)</x:f>
      </x:c>
    </x:row>
    <x:row r="207">
      <x:c r="A207" s="16" t="str">
        <x:f>IF(Events!A206="","",Events!A206)</x:f>
      </x:c>
      <x:c r="B207" s="16" t="str">
        <x:f>IF(A207="","",Events!B206)</x:f>
      </x:c>
      <x:c r="C207" s="16" t="str">
        <x:f>IF(A207="","",Events!E206)</x:f>
      </x:c>
      <x:c r="D207" s="16" t="str">
        <x:f>IF(A207="","",Events!J206)</x:f>
      </x:c>
      <x:c r="E207" s="16" t="str">
        <x:f>IF(A207="","",Events!N206)</x:f>
      </x:c>
      <x:c r="F207" s="109" t="str">
        <x:f>IF(OR(A207="",Events!H206=""),"",Events!H206)</x:f>
      </x:c>
      <x:c r="G207" s="109" t="str">
        <x:f>IF(A207="","",IF(Events!I206&lt;&gt;"",Events!I206,IF(Events!S206&lt;&gt;"",Events!S206,"")))</x:f>
      </x:c>
      <x:c r="H207" s="16" t="str">
        <x:f>IF(A207="","",Events!W206)</x:f>
      </x:c>
      <x:c r="I207" s="16" t="str">
        <x:f>IF(A207="","",IF(Events!Y206&lt;&gt;"",Events!Y206,IF(OR(ISNUMBER(SEARCH("education",P207)),ISNUMBER(SEARCH("exam",P207)),ISNUMBER(SEARCH("school",P207))),"Education",IF(OR(ISNUMBER(SEARCH("trade agreement",P207)),ISNUMBER(SEARCH("economic",P207)),ISNUMBER(SEARCH("import",P207))),"Trade &amp; economic policy",IF(OR(ISNUMBER(SEARCH("land acquisition",P207)),ISNUMBER(SEARCH("rehabilitation",P207)),ISNUMBER(SEARCH("displacement",P207)),ISNUMBER(SEARCH("township",P207))),"Land &amp; rehabilitation",IF(OR(ISNUMBER(SEARCH("forest",P207)),ISNUMBER(SEARCH("environment",P207)),ISNUMBER(SEARCH("ecological",P207)),ISNUMBER(SEARCH("biodiversity",P207)),ISNUMBER(SEARCH("green cover",P207))),"Environment",IF(OR(ISNUMBER(SEARCH("irrigation",P207)),ISNUMBER(SEARCH("water",P207)),ISNUMBER(SEARCH("crop",P207)),ISNUMBER(SEARCH("farmer",P207)),ISNUMBER(SEARCH("agriculture",P207))),"Agriculture &amp; water",IF(OR(ISNUMBER(SEARCH("health",P207)),ISNUMBER(SEARCH("hospital",P207)),ISNUMBER(SEARCH("medicine",P207))),"Public health",IF(OR(ISNUMBER(SEARCH("employee",P207)),ISNUMBER(SEARCH("labour",P207)),ISNUMBER(SEARCH("worker",P207)),ISNUMBER(SEARCH("salary",P207))),"Labour &amp; employment",IF(OR(ISNUMBER(SEARCH("rti",P207)),ISNUMBER(SEARCH("transparency",P207)),ISNUMBER(SEARCH("corruption",P207)),ISNUMBER(SEARCH("governance",P207))),"Governance &amp; transparency",IF(OR(ISNUMBER(SEARCH("police",P207)),ISNUMBER(SEARCH("detention",P207)),ISNUMBER(SEARCH("civil rights",P207)),ISNUMBER(SEARCH("justice",P207))),"Civil rights &amp; justice",IF(OR(ISNUMBER(SEARCH("road",P207)),ISNUMBER(SEARCH("utility",P207)),ISNUMBER(SEARCH("infrastructure",P207)),ISNUMBER(SEARCH("public service",P207))),"Infrastructure &amp; public services","Other"))))))))))))</x:f>
      </x:c>
      <x:c r="J207" s="16" t="str">
        <x:f>IF(A207="","",IF(OR(ISNUMBER(SEARCH("fatal",Q207)),ISNUMBER(SEARCH("death",Q207)),ISNUMBER(SEARCH("riot",Q207)),ISNUMBER(SEARCH("curfew",Q207)),ISNUMBER(SEARCH("internet shutdown",Q207))),5,MIN(4,1+IF(H207&gt;=7,1,0)+IF(OR(ISNUMBER(SEARCH("hunger strike",Q207)),ISNUMBER(SEARCH("blockade",Q207)),ISNUMBER(SEARCH("strike",Q207)),ISNUMBER(SEARCH("jal satyagraha",Q207)),ISNUMBER(SEARCH("survey",Q207)),ISNUMBER(SEARCH("human chain",Q207)),ISNUMBER(SEARCH("march",Q207))),1,0)+IF(OR(ISNUMBER(SEARCH("fir",Q207)),ISNUMBER(SEARCH("confrontation",Q207)),ISNUMBER(SEARCH("violence",Q207)),ISNUMBER(SEARCH("detention",Q207)),ISNUMBER(SEARCH("arrest",Q207)),ISNUMBER(SEARCH("demolition",Q207)),ISNUMBER(SEARCH("injury",Q207))),1,0)+IF(OR(D207="Ongoing",D207="Unresolved"),1,0))))</x:f>
      </x:c>
      <x:c r="K207" s="16" t="str">
        <x:f>IF(J207="","",IF(J207=1,"Limited",IF(J207=2,"Local",IF(J207=3,"Significant",IF(J207=4,"High","Critical")))))</x:f>
      </x:c>
      <x:c r="L207" s="16" t="str">
        <x:f>IF(A207="","",Events!U206)</x:f>
      </x:c>
      <x:c r="M207" s="16" t="str">
        <x:f>IF(A207="","",Events!V206)</x:f>
      </x:c>
      <x:c r="N207" s="16" t="str">
        <x:f>IF(A207="","",Events!Q206)</x:f>
      </x:c>
      <x:c r="O207" s="16" t="str">
        <x:f>IF(A207="","",Events!R206)</x:f>
      </x:c>
      <x:c r="P207" s="16" t="str">
        <x:f>IF(A207="","",LOWER(Events!B206&amp;" "&amp;Events!D206&amp;" "&amp;Events!K206))</x:f>
      </x:c>
      <x:c r="Q207" s="16" t="str">
        <x:f>IF(A207="","",LOWER(Events!C206&amp;" "&amp;Events!K206&amp;" "&amp;Events!T206))</x:f>
      </x:c>
      <x:c r="R207" s="16" t="str">
        <x:f>IF(A207="","",IF(ISNUMBER(SEARCH("Occurrence verified",E207)),"Occurrence verified",E207))</x:f>
      </x:c>
      <x:c r="S207" s="79" t="str">
        <x:f>IF(A207="","",Events!X206)</x:f>
      </x:c>
      <x:c r="Z207" s="79" t="str">
        <x:f>IF(A207="","",Events!AD206)</x:f>
      </x:c>
      <x:c r="AA207" s="79" t="str">
        <x:f>IF(A207="","",Events!AE206)</x:f>
      </x:c>
    </x:row>
    <x:row r="208">
      <x:c r="A208" s="16" t="str">
        <x:f>IF(Events!A207="","",Events!A207)</x:f>
      </x:c>
      <x:c r="B208" s="16" t="str">
        <x:f>IF(A208="","",Events!B207)</x:f>
      </x:c>
      <x:c r="C208" s="16" t="str">
        <x:f>IF(A208="","",Events!E207)</x:f>
      </x:c>
      <x:c r="D208" s="16" t="str">
        <x:f>IF(A208="","",Events!J207)</x:f>
      </x:c>
      <x:c r="E208" s="16" t="str">
        <x:f>IF(A208="","",Events!N207)</x:f>
      </x:c>
      <x:c r="F208" s="109" t="str">
        <x:f>IF(OR(A208="",Events!H207=""),"",Events!H207)</x:f>
      </x:c>
      <x:c r="G208" s="109" t="str">
        <x:f>IF(A208="","",IF(Events!I207&lt;&gt;"",Events!I207,IF(Events!S207&lt;&gt;"",Events!S207,"")))</x:f>
      </x:c>
      <x:c r="H208" s="16" t="str">
        <x:f>IF(A208="","",Events!W207)</x:f>
      </x:c>
      <x:c r="I208" s="16" t="str">
        <x:f>IF(A208="","",IF(Events!Y207&lt;&gt;"",Events!Y207,IF(OR(ISNUMBER(SEARCH("education",P208)),ISNUMBER(SEARCH("exam",P208)),ISNUMBER(SEARCH("school",P208))),"Education",IF(OR(ISNUMBER(SEARCH("trade agreement",P208)),ISNUMBER(SEARCH("economic",P208)),ISNUMBER(SEARCH("import",P208))),"Trade &amp; economic policy",IF(OR(ISNUMBER(SEARCH("land acquisition",P208)),ISNUMBER(SEARCH("rehabilitation",P208)),ISNUMBER(SEARCH("displacement",P208)),ISNUMBER(SEARCH("township",P208))),"Land &amp; rehabilitation",IF(OR(ISNUMBER(SEARCH("forest",P208)),ISNUMBER(SEARCH("environment",P208)),ISNUMBER(SEARCH("ecological",P208)),ISNUMBER(SEARCH("biodiversity",P208)),ISNUMBER(SEARCH("green cover",P208))),"Environment",IF(OR(ISNUMBER(SEARCH("irrigation",P208)),ISNUMBER(SEARCH("water",P208)),ISNUMBER(SEARCH("crop",P208)),ISNUMBER(SEARCH("farmer",P208)),ISNUMBER(SEARCH("agriculture",P208))),"Agriculture &amp; water",IF(OR(ISNUMBER(SEARCH("health",P208)),ISNUMBER(SEARCH("hospital",P208)),ISNUMBER(SEARCH("medicine",P208))),"Public health",IF(OR(ISNUMBER(SEARCH("employee",P208)),ISNUMBER(SEARCH("labour",P208)),ISNUMBER(SEARCH("worker",P208)),ISNUMBER(SEARCH("salary",P208))),"Labour &amp; employment",IF(OR(ISNUMBER(SEARCH("rti",P208)),ISNUMBER(SEARCH("transparency",P208)),ISNUMBER(SEARCH("corruption",P208)),ISNUMBER(SEARCH("governance",P208))),"Governance &amp; transparency",IF(OR(ISNUMBER(SEARCH("police",P208)),ISNUMBER(SEARCH("detention",P208)),ISNUMBER(SEARCH("civil rights",P208)),ISNUMBER(SEARCH("justice",P208))),"Civil rights &amp; justice",IF(OR(ISNUMBER(SEARCH("road",P208)),ISNUMBER(SEARCH("utility",P208)),ISNUMBER(SEARCH("infrastructure",P208)),ISNUMBER(SEARCH("public service",P208))),"Infrastructure &amp; public services","Other"))))))))))))</x:f>
      </x:c>
      <x:c r="J208" s="16" t="str">
        <x:f>IF(A208="","",IF(OR(ISNUMBER(SEARCH("fatal",Q208)),ISNUMBER(SEARCH("death",Q208)),ISNUMBER(SEARCH("riot",Q208)),ISNUMBER(SEARCH("curfew",Q208)),ISNUMBER(SEARCH("internet shutdown",Q208))),5,MIN(4,1+IF(H208&gt;=7,1,0)+IF(OR(ISNUMBER(SEARCH("hunger strike",Q208)),ISNUMBER(SEARCH("blockade",Q208)),ISNUMBER(SEARCH("strike",Q208)),ISNUMBER(SEARCH("jal satyagraha",Q208)),ISNUMBER(SEARCH("survey",Q208)),ISNUMBER(SEARCH("human chain",Q208)),ISNUMBER(SEARCH("march",Q208))),1,0)+IF(OR(ISNUMBER(SEARCH("fir",Q208)),ISNUMBER(SEARCH("confrontation",Q208)),ISNUMBER(SEARCH("violence",Q208)),ISNUMBER(SEARCH("detention",Q208)),ISNUMBER(SEARCH("arrest",Q208)),ISNUMBER(SEARCH("demolition",Q208)),ISNUMBER(SEARCH("injury",Q208))),1,0)+IF(OR(D208="Ongoing",D208="Unresolved"),1,0))))</x:f>
      </x:c>
      <x:c r="K208" s="16" t="str">
        <x:f>IF(J208="","",IF(J208=1,"Limited",IF(J208=2,"Local",IF(J208=3,"Significant",IF(J208=4,"High","Critical")))))</x:f>
      </x:c>
      <x:c r="L208" s="16" t="str">
        <x:f>IF(A208="","",Events!U207)</x:f>
      </x:c>
      <x:c r="M208" s="16" t="str">
        <x:f>IF(A208="","",Events!V207)</x:f>
      </x:c>
      <x:c r="N208" s="16" t="str">
        <x:f>IF(A208="","",Events!Q207)</x:f>
      </x:c>
      <x:c r="O208" s="16" t="str">
        <x:f>IF(A208="","",Events!R207)</x:f>
      </x:c>
      <x:c r="P208" s="16" t="str">
        <x:f>IF(A208="","",LOWER(Events!B207&amp;" "&amp;Events!D207&amp;" "&amp;Events!K207))</x:f>
      </x:c>
      <x:c r="Q208" s="16" t="str">
        <x:f>IF(A208="","",LOWER(Events!C207&amp;" "&amp;Events!K207&amp;" "&amp;Events!T207))</x:f>
      </x:c>
      <x:c r="R208" s="16" t="str">
        <x:f>IF(A208="","",IF(ISNUMBER(SEARCH("Occurrence verified",E208)),"Occurrence verified",E208))</x:f>
      </x:c>
      <x:c r="S208" s="79" t="str">
        <x:f>IF(A208="","",Events!X207)</x:f>
      </x:c>
      <x:c r="Z208" s="79" t="str">
        <x:f>IF(A208="","",Events!AD207)</x:f>
      </x:c>
      <x:c r="AA208" s="79" t="str">
        <x:f>IF(A208="","",Events!AE207)</x:f>
      </x:c>
    </x:row>
    <x:row r="209">
      <x:c r="A209" s="16" t="str">
        <x:f>IF(Events!A208="","",Events!A208)</x:f>
      </x:c>
      <x:c r="B209" s="16" t="str">
        <x:f>IF(A209="","",Events!B208)</x:f>
      </x:c>
      <x:c r="C209" s="16" t="str">
        <x:f>IF(A209="","",Events!E208)</x:f>
      </x:c>
      <x:c r="D209" s="16" t="str">
        <x:f>IF(A209="","",Events!J208)</x:f>
      </x:c>
      <x:c r="E209" s="16" t="str">
        <x:f>IF(A209="","",Events!N208)</x:f>
      </x:c>
      <x:c r="F209" s="109" t="str">
        <x:f>IF(OR(A209="",Events!H208=""),"",Events!H208)</x:f>
      </x:c>
      <x:c r="G209" s="109" t="str">
        <x:f>IF(A209="","",IF(Events!I208&lt;&gt;"",Events!I208,IF(Events!S208&lt;&gt;"",Events!S208,"")))</x:f>
      </x:c>
      <x:c r="H209" s="16" t="str">
        <x:f>IF(A209="","",Events!W208)</x:f>
      </x:c>
      <x:c r="I209" s="16" t="str">
        <x:f>IF(A209="","",IF(Events!Y208&lt;&gt;"",Events!Y208,IF(OR(ISNUMBER(SEARCH("education",P209)),ISNUMBER(SEARCH("exam",P209)),ISNUMBER(SEARCH("school",P209))),"Education",IF(OR(ISNUMBER(SEARCH("trade agreement",P209)),ISNUMBER(SEARCH("economic",P209)),ISNUMBER(SEARCH("import",P209))),"Trade &amp; economic policy",IF(OR(ISNUMBER(SEARCH("land acquisition",P209)),ISNUMBER(SEARCH("rehabilitation",P209)),ISNUMBER(SEARCH("displacement",P209)),ISNUMBER(SEARCH("township",P209))),"Land &amp; rehabilitation",IF(OR(ISNUMBER(SEARCH("forest",P209)),ISNUMBER(SEARCH("environment",P209)),ISNUMBER(SEARCH("ecological",P209)),ISNUMBER(SEARCH("biodiversity",P209)),ISNUMBER(SEARCH("green cover",P209))),"Environment",IF(OR(ISNUMBER(SEARCH("irrigation",P209)),ISNUMBER(SEARCH("water",P209)),ISNUMBER(SEARCH("crop",P209)),ISNUMBER(SEARCH("farmer",P209)),ISNUMBER(SEARCH("agriculture",P209))),"Agriculture &amp; water",IF(OR(ISNUMBER(SEARCH("health",P209)),ISNUMBER(SEARCH("hospital",P209)),ISNUMBER(SEARCH("medicine",P209))),"Public health",IF(OR(ISNUMBER(SEARCH("employee",P209)),ISNUMBER(SEARCH("labour",P209)),ISNUMBER(SEARCH("worker",P209)),ISNUMBER(SEARCH("salary",P209))),"Labour &amp; employment",IF(OR(ISNUMBER(SEARCH("rti",P209)),ISNUMBER(SEARCH("transparency",P209)),ISNUMBER(SEARCH("corruption",P209)),ISNUMBER(SEARCH("governance",P209))),"Governance &amp; transparency",IF(OR(ISNUMBER(SEARCH("police",P209)),ISNUMBER(SEARCH("detention",P209)),ISNUMBER(SEARCH("civil rights",P209)),ISNUMBER(SEARCH("justice",P209))),"Civil rights &amp; justice",IF(OR(ISNUMBER(SEARCH("road",P209)),ISNUMBER(SEARCH("utility",P209)),ISNUMBER(SEARCH("infrastructure",P209)),ISNUMBER(SEARCH("public service",P209))),"Infrastructure &amp; public services","Other"))))))))))))</x:f>
      </x:c>
      <x:c r="J209" s="16" t="str">
        <x:f>IF(A209="","",IF(OR(ISNUMBER(SEARCH("fatal",Q209)),ISNUMBER(SEARCH("death",Q209)),ISNUMBER(SEARCH("riot",Q209)),ISNUMBER(SEARCH("curfew",Q209)),ISNUMBER(SEARCH("internet shutdown",Q209))),5,MIN(4,1+IF(H209&gt;=7,1,0)+IF(OR(ISNUMBER(SEARCH("hunger strike",Q209)),ISNUMBER(SEARCH("blockade",Q209)),ISNUMBER(SEARCH("strike",Q209)),ISNUMBER(SEARCH("jal satyagraha",Q209)),ISNUMBER(SEARCH("survey",Q209)),ISNUMBER(SEARCH("human chain",Q209)),ISNUMBER(SEARCH("march",Q209))),1,0)+IF(OR(ISNUMBER(SEARCH("fir",Q209)),ISNUMBER(SEARCH("confrontation",Q209)),ISNUMBER(SEARCH("violence",Q209)),ISNUMBER(SEARCH("detention",Q209)),ISNUMBER(SEARCH("arrest",Q209)),ISNUMBER(SEARCH("demolition",Q209)),ISNUMBER(SEARCH("injury",Q209))),1,0)+IF(OR(D209="Ongoing",D209="Unresolved"),1,0))))</x:f>
      </x:c>
      <x:c r="K209" s="16" t="str">
        <x:f>IF(J209="","",IF(J209=1,"Limited",IF(J209=2,"Local",IF(J209=3,"Significant",IF(J209=4,"High","Critical")))))</x:f>
      </x:c>
      <x:c r="L209" s="16" t="str">
        <x:f>IF(A209="","",Events!U208)</x:f>
      </x:c>
      <x:c r="M209" s="16" t="str">
        <x:f>IF(A209="","",Events!V208)</x:f>
      </x:c>
      <x:c r="N209" s="16" t="str">
        <x:f>IF(A209="","",Events!Q208)</x:f>
      </x:c>
      <x:c r="O209" s="16" t="str">
        <x:f>IF(A209="","",Events!R208)</x:f>
      </x:c>
      <x:c r="P209" s="16" t="str">
        <x:f>IF(A209="","",LOWER(Events!B208&amp;" "&amp;Events!D208&amp;" "&amp;Events!K208))</x:f>
      </x:c>
      <x:c r="Q209" s="16" t="str">
        <x:f>IF(A209="","",LOWER(Events!C208&amp;" "&amp;Events!K208&amp;" "&amp;Events!T208))</x:f>
      </x:c>
      <x:c r="R209" s="16" t="str">
        <x:f>IF(A209="","",IF(ISNUMBER(SEARCH("Occurrence verified",E209)),"Occurrence verified",E209))</x:f>
      </x:c>
      <x:c r="S209" s="79" t="str">
        <x:f>IF(A209="","",Events!X208)</x:f>
      </x:c>
      <x:c r="Z209" s="79" t="str">
        <x:f>IF(A209="","",Events!AD208)</x:f>
      </x:c>
      <x:c r="AA209" s="79" t="str">
        <x:f>IF(A209="","",Events!AE208)</x:f>
      </x:c>
    </x:row>
    <x:row r="210">
      <x:c r="A210" s="16" t="str">
        <x:f>IF(Events!A209="","",Events!A209)</x:f>
      </x:c>
      <x:c r="B210" s="16" t="str">
        <x:f>IF(A210="","",Events!B209)</x:f>
      </x:c>
      <x:c r="C210" s="16" t="str">
        <x:f>IF(A210="","",Events!E209)</x:f>
      </x:c>
      <x:c r="D210" s="16" t="str">
        <x:f>IF(A210="","",Events!J209)</x:f>
      </x:c>
      <x:c r="E210" s="16" t="str">
        <x:f>IF(A210="","",Events!N209)</x:f>
      </x:c>
      <x:c r="F210" s="109" t="str">
        <x:f>IF(OR(A210="",Events!H209=""),"",Events!H209)</x:f>
      </x:c>
      <x:c r="G210" s="109" t="str">
        <x:f>IF(A210="","",IF(Events!I209&lt;&gt;"",Events!I209,IF(Events!S209&lt;&gt;"",Events!S209,"")))</x:f>
      </x:c>
      <x:c r="H210" s="16" t="str">
        <x:f>IF(A210="","",Events!W209)</x:f>
      </x:c>
      <x:c r="I210" s="16" t="str">
        <x:f>IF(A210="","",IF(Events!Y209&lt;&gt;"",Events!Y209,IF(OR(ISNUMBER(SEARCH("education",P210)),ISNUMBER(SEARCH("exam",P210)),ISNUMBER(SEARCH("school",P210))),"Education",IF(OR(ISNUMBER(SEARCH("trade agreement",P210)),ISNUMBER(SEARCH("economic",P210)),ISNUMBER(SEARCH("import",P210))),"Trade &amp; economic policy",IF(OR(ISNUMBER(SEARCH("land acquisition",P210)),ISNUMBER(SEARCH("rehabilitation",P210)),ISNUMBER(SEARCH("displacement",P210)),ISNUMBER(SEARCH("township",P210))),"Land &amp; rehabilitation",IF(OR(ISNUMBER(SEARCH("forest",P210)),ISNUMBER(SEARCH("environment",P210)),ISNUMBER(SEARCH("ecological",P210)),ISNUMBER(SEARCH("biodiversity",P210)),ISNUMBER(SEARCH("green cover",P210))),"Environment",IF(OR(ISNUMBER(SEARCH("irrigation",P210)),ISNUMBER(SEARCH("water",P210)),ISNUMBER(SEARCH("crop",P210)),ISNUMBER(SEARCH("farmer",P210)),ISNUMBER(SEARCH("agriculture",P210))),"Agriculture &amp; water",IF(OR(ISNUMBER(SEARCH("health",P210)),ISNUMBER(SEARCH("hospital",P210)),ISNUMBER(SEARCH("medicine",P210))),"Public health",IF(OR(ISNUMBER(SEARCH("employee",P210)),ISNUMBER(SEARCH("labour",P210)),ISNUMBER(SEARCH("worker",P210)),ISNUMBER(SEARCH("salary",P210))),"Labour &amp; employment",IF(OR(ISNUMBER(SEARCH("rti",P210)),ISNUMBER(SEARCH("transparency",P210)),ISNUMBER(SEARCH("corruption",P210)),ISNUMBER(SEARCH("governance",P210))),"Governance &amp; transparency",IF(OR(ISNUMBER(SEARCH("police",P210)),ISNUMBER(SEARCH("detention",P210)),ISNUMBER(SEARCH("civil rights",P210)),ISNUMBER(SEARCH("justice",P210))),"Civil rights &amp; justice",IF(OR(ISNUMBER(SEARCH("road",P210)),ISNUMBER(SEARCH("utility",P210)),ISNUMBER(SEARCH("infrastructure",P210)),ISNUMBER(SEARCH("public service",P210))),"Infrastructure &amp; public services","Other"))))))))))))</x:f>
      </x:c>
      <x:c r="J210" s="16" t="str">
        <x:f>IF(A210="","",IF(OR(ISNUMBER(SEARCH("fatal",Q210)),ISNUMBER(SEARCH("death",Q210)),ISNUMBER(SEARCH("riot",Q210)),ISNUMBER(SEARCH("curfew",Q210)),ISNUMBER(SEARCH("internet shutdown",Q210))),5,MIN(4,1+IF(H210&gt;=7,1,0)+IF(OR(ISNUMBER(SEARCH("hunger strike",Q210)),ISNUMBER(SEARCH("blockade",Q210)),ISNUMBER(SEARCH("strike",Q210)),ISNUMBER(SEARCH("jal satyagraha",Q210)),ISNUMBER(SEARCH("survey",Q210)),ISNUMBER(SEARCH("human chain",Q210)),ISNUMBER(SEARCH("march",Q210))),1,0)+IF(OR(ISNUMBER(SEARCH("fir",Q210)),ISNUMBER(SEARCH("confrontation",Q210)),ISNUMBER(SEARCH("violence",Q210)),ISNUMBER(SEARCH("detention",Q210)),ISNUMBER(SEARCH("arrest",Q210)),ISNUMBER(SEARCH("demolition",Q210)),ISNUMBER(SEARCH("injury",Q210))),1,0)+IF(OR(D210="Ongoing",D210="Unresolved"),1,0))))</x:f>
      </x:c>
      <x:c r="K210" s="16" t="str">
        <x:f>IF(J210="","",IF(J210=1,"Limited",IF(J210=2,"Local",IF(J210=3,"Significant",IF(J210=4,"High","Critical")))))</x:f>
      </x:c>
      <x:c r="L210" s="16" t="str">
        <x:f>IF(A210="","",Events!U209)</x:f>
      </x:c>
      <x:c r="M210" s="16" t="str">
        <x:f>IF(A210="","",Events!V209)</x:f>
      </x:c>
      <x:c r="N210" s="16" t="str">
        <x:f>IF(A210="","",Events!Q209)</x:f>
      </x:c>
      <x:c r="O210" s="16" t="str">
        <x:f>IF(A210="","",Events!R209)</x:f>
      </x:c>
      <x:c r="P210" s="16" t="str">
        <x:f>IF(A210="","",LOWER(Events!B209&amp;" "&amp;Events!D209&amp;" "&amp;Events!K209))</x:f>
      </x:c>
      <x:c r="Q210" s="16" t="str">
        <x:f>IF(A210="","",LOWER(Events!C209&amp;" "&amp;Events!K209&amp;" "&amp;Events!T209))</x:f>
      </x:c>
      <x:c r="R210" s="16" t="str">
        <x:f>IF(A210="","",IF(ISNUMBER(SEARCH("Occurrence verified",E210)),"Occurrence verified",E210))</x:f>
      </x:c>
      <x:c r="S210" s="79" t="str">
        <x:f>IF(A210="","",Events!X209)</x:f>
      </x:c>
      <x:c r="Z210" s="79" t="str">
        <x:f>IF(A210="","",Events!AD209)</x:f>
      </x:c>
      <x:c r="AA210" s="79" t="str">
        <x:f>IF(A210="","",Events!AE209)</x:f>
      </x:c>
    </x:row>
    <x:row r="211">
      <x:c r="A211" s="16" t="str">
        <x:f>IF(Events!A210="","",Events!A210)</x:f>
      </x:c>
      <x:c r="B211" s="16" t="str">
        <x:f>IF(A211="","",Events!B210)</x:f>
      </x:c>
      <x:c r="C211" s="16" t="str">
        <x:f>IF(A211="","",Events!E210)</x:f>
      </x:c>
      <x:c r="D211" s="16" t="str">
        <x:f>IF(A211="","",Events!J210)</x:f>
      </x:c>
      <x:c r="E211" s="16" t="str">
        <x:f>IF(A211="","",Events!N210)</x:f>
      </x:c>
      <x:c r="F211" s="109" t="str">
        <x:f>IF(OR(A211="",Events!H210=""),"",Events!H210)</x:f>
      </x:c>
      <x:c r="G211" s="109" t="str">
        <x:f>IF(A211="","",IF(Events!I210&lt;&gt;"",Events!I210,IF(Events!S210&lt;&gt;"",Events!S210,"")))</x:f>
      </x:c>
      <x:c r="H211" s="16" t="str">
        <x:f>IF(A211="","",Events!W210)</x:f>
      </x:c>
      <x:c r="I211" s="16" t="str">
        <x:f>IF(A211="","",IF(Events!Y210&lt;&gt;"",Events!Y210,IF(OR(ISNUMBER(SEARCH("education",P211)),ISNUMBER(SEARCH("exam",P211)),ISNUMBER(SEARCH("school",P211))),"Education",IF(OR(ISNUMBER(SEARCH("trade agreement",P211)),ISNUMBER(SEARCH("economic",P211)),ISNUMBER(SEARCH("import",P211))),"Trade &amp; economic policy",IF(OR(ISNUMBER(SEARCH("land acquisition",P211)),ISNUMBER(SEARCH("rehabilitation",P211)),ISNUMBER(SEARCH("displacement",P211)),ISNUMBER(SEARCH("township",P211))),"Land &amp; rehabilitation",IF(OR(ISNUMBER(SEARCH("forest",P211)),ISNUMBER(SEARCH("environment",P211)),ISNUMBER(SEARCH("ecological",P211)),ISNUMBER(SEARCH("biodiversity",P211)),ISNUMBER(SEARCH("green cover",P211))),"Environment",IF(OR(ISNUMBER(SEARCH("irrigation",P211)),ISNUMBER(SEARCH("water",P211)),ISNUMBER(SEARCH("crop",P211)),ISNUMBER(SEARCH("farmer",P211)),ISNUMBER(SEARCH("agriculture",P211))),"Agriculture &amp; water",IF(OR(ISNUMBER(SEARCH("health",P211)),ISNUMBER(SEARCH("hospital",P211)),ISNUMBER(SEARCH("medicine",P211))),"Public health",IF(OR(ISNUMBER(SEARCH("employee",P211)),ISNUMBER(SEARCH("labour",P211)),ISNUMBER(SEARCH("worker",P211)),ISNUMBER(SEARCH("salary",P211))),"Labour &amp; employment",IF(OR(ISNUMBER(SEARCH("rti",P211)),ISNUMBER(SEARCH("transparency",P211)),ISNUMBER(SEARCH("corruption",P211)),ISNUMBER(SEARCH("governance",P211))),"Governance &amp; transparency",IF(OR(ISNUMBER(SEARCH("police",P211)),ISNUMBER(SEARCH("detention",P211)),ISNUMBER(SEARCH("civil rights",P211)),ISNUMBER(SEARCH("justice",P211))),"Civil rights &amp; justice",IF(OR(ISNUMBER(SEARCH("road",P211)),ISNUMBER(SEARCH("utility",P211)),ISNUMBER(SEARCH("infrastructure",P211)),ISNUMBER(SEARCH("public service",P211))),"Infrastructure &amp; public services","Other"))))))))))))</x:f>
      </x:c>
      <x:c r="J211" s="16" t="str">
        <x:f>IF(A211="","",IF(OR(ISNUMBER(SEARCH("fatal",Q211)),ISNUMBER(SEARCH("death",Q211)),ISNUMBER(SEARCH("riot",Q211)),ISNUMBER(SEARCH("curfew",Q211)),ISNUMBER(SEARCH("internet shutdown",Q211))),5,MIN(4,1+IF(H211&gt;=7,1,0)+IF(OR(ISNUMBER(SEARCH("hunger strike",Q211)),ISNUMBER(SEARCH("blockade",Q211)),ISNUMBER(SEARCH("strike",Q211)),ISNUMBER(SEARCH("jal satyagraha",Q211)),ISNUMBER(SEARCH("survey",Q211)),ISNUMBER(SEARCH("human chain",Q211)),ISNUMBER(SEARCH("march",Q211))),1,0)+IF(OR(ISNUMBER(SEARCH("fir",Q211)),ISNUMBER(SEARCH("confrontation",Q211)),ISNUMBER(SEARCH("violence",Q211)),ISNUMBER(SEARCH("detention",Q211)),ISNUMBER(SEARCH("arrest",Q211)),ISNUMBER(SEARCH("demolition",Q211)),ISNUMBER(SEARCH("injury",Q211))),1,0)+IF(OR(D211="Ongoing",D211="Unresolved"),1,0))))</x:f>
      </x:c>
      <x:c r="K211" s="16" t="str">
        <x:f>IF(J211="","",IF(J211=1,"Limited",IF(J211=2,"Local",IF(J211=3,"Significant",IF(J211=4,"High","Critical")))))</x:f>
      </x:c>
      <x:c r="L211" s="16" t="str">
        <x:f>IF(A211="","",Events!U210)</x:f>
      </x:c>
      <x:c r="M211" s="16" t="str">
        <x:f>IF(A211="","",Events!V210)</x:f>
      </x:c>
      <x:c r="N211" s="16" t="str">
        <x:f>IF(A211="","",Events!Q210)</x:f>
      </x:c>
      <x:c r="O211" s="16" t="str">
        <x:f>IF(A211="","",Events!R210)</x:f>
      </x:c>
      <x:c r="P211" s="16" t="str">
        <x:f>IF(A211="","",LOWER(Events!B210&amp;" "&amp;Events!D210&amp;" "&amp;Events!K210))</x:f>
      </x:c>
      <x:c r="Q211" s="16" t="str">
        <x:f>IF(A211="","",LOWER(Events!C210&amp;" "&amp;Events!K210&amp;" "&amp;Events!T210))</x:f>
      </x:c>
      <x:c r="R211" s="16" t="str">
        <x:f>IF(A211="","",IF(ISNUMBER(SEARCH("Occurrence verified",E211)),"Occurrence verified",E211))</x:f>
      </x:c>
      <x:c r="S211" s="79" t="str">
        <x:f>IF(A211="","",Events!X210)</x:f>
      </x:c>
      <x:c r="Z211" s="79" t="str">
        <x:f>IF(A211="","",Events!AD210)</x:f>
      </x:c>
      <x:c r="AA211" s="79" t="str">
        <x:f>IF(A211="","",Events!AE210)</x:f>
      </x:c>
    </x:row>
    <x:row r="212">
      <x:c r="A212" s="16" t="str">
        <x:f>IF(Events!A211="","",Events!A211)</x:f>
      </x:c>
      <x:c r="B212" s="16" t="str">
        <x:f>IF(A212="","",Events!B211)</x:f>
      </x:c>
      <x:c r="C212" s="16" t="str">
        <x:f>IF(A212="","",Events!E211)</x:f>
      </x:c>
      <x:c r="D212" s="16" t="str">
        <x:f>IF(A212="","",Events!J211)</x:f>
      </x:c>
      <x:c r="E212" s="16" t="str">
        <x:f>IF(A212="","",Events!N211)</x:f>
      </x:c>
      <x:c r="F212" s="109" t="str">
        <x:f>IF(OR(A212="",Events!H211=""),"",Events!H211)</x:f>
      </x:c>
      <x:c r="G212" s="109" t="str">
        <x:f>IF(A212="","",IF(Events!I211&lt;&gt;"",Events!I211,IF(Events!S211&lt;&gt;"",Events!S211,"")))</x:f>
      </x:c>
      <x:c r="H212" s="16" t="str">
        <x:f>IF(A212="","",Events!W211)</x:f>
      </x:c>
      <x:c r="I212" s="16" t="str">
        <x:f>IF(A212="","",IF(Events!Y211&lt;&gt;"",Events!Y211,IF(OR(ISNUMBER(SEARCH("education",P212)),ISNUMBER(SEARCH("exam",P212)),ISNUMBER(SEARCH("school",P212))),"Education",IF(OR(ISNUMBER(SEARCH("trade agreement",P212)),ISNUMBER(SEARCH("economic",P212)),ISNUMBER(SEARCH("import",P212))),"Trade &amp; economic policy",IF(OR(ISNUMBER(SEARCH("land acquisition",P212)),ISNUMBER(SEARCH("rehabilitation",P212)),ISNUMBER(SEARCH("displacement",P212)),ISNUMBER(SEARCH("township",P212))),"Land &amp; rehabilitation",IF(OR(ISNUMBER(SEARCH("forest",P212)),ISNUMBER(SEARCH("environment",P212)),ISNUMBER(SEARCH("ecological",P212)),ISNUMBER(SEARCH("biodiversity",P212)),ISNUMBER(SEARCH("green cover",P212))),"Environment",IF(OR(ISNUMBER(SEARCH("irrigation",P212)),ISNUMBER(SEARCH("water",P212)),ISNUMBER(SEARCH("crop",P212)),ISNUMBER(SEARCH("farmer",P212)),ISNUMBER(SEARCH("agriculture",P212))),"Agriculture &amp; water",IF(OR(ISNUMBER(SEARCH("health",P212)),ISNUMBER(SEARCH("hospital",P212)),ISNUMBER(SEARCH("medicine",P212))),"Public health",IF(OR(ISNUMBER(SEARCH("employee",P212)),ISNUMBER(SEARCH("labour",P212)),ISNUMBER(SEARCH("worker",P212)),ISNUMBER(SEARCH("salary",P212))),"Labour &amp; employment",IF(OR(ISNUMBER(SEARCH("rti",P212)),ISNUMBER(SEARCH("transparency",P212)),ISNUMBER(SEARCH("corruption",P212)),ISNUMBER(SEARCH("governance",P212))),"Governance &amp; transparency",IF(OR(ISNUMBER(SEARCH("police",P212)),ISNUMBER(SEARCH("detention",P212)),ISNUMBER(SEARCH("civil rights",P212)),ISNUMBER(SEARCH("justice",P212))),"Civil rights &amp; justice",IF(OR(ISNUMBER(SEARCH("road",P212)),ISNUMBER(SEARCH("utility",P212)),ISNUMBER(SEARCH("infrastructure",P212)),ISNUMBER(SEARCH("public service",P212))),"Infrastructure &amp; public services","Other"))))))))))))</x:f>
      </x:c>
      <x:c r="J212" s="16" t="str">
        <x:f>IF(A212="","",IF(OR(ISNUMBER(SEARCH("fatal",Q212)),ISNUMBER(SEARCH("death",Q212)),ISNUMBER(SEARCH("riot",Q212)),ISNUMBER(SEARCH("curfew",Q212)),ISNUMBER(SEARCH("internet shutdown",Q212))),5,MIN(4,1+IF(H212&gt;=7,1,0)+IF(OR(ISNUMBER(SEARCH("hunger strike",Q212)),ISNUMBER(SEARCH("blockade",Q212)),ISNUMBER(SEARCH("strike",Q212)),ISNUMBER(SEARCH("jal satyagraha",Q212)),ISNUMBER(SEARCH("survey",Q212)),ISNUMBER(SEARCH("human chain",Q212)),ISNUMBER(SEARCH("march",Q212))),1,0)+IF(OR(ISNUMBER(SEARCH("fir",Q212)),ISNUMBER(SEARCH("confrontation",Q212)),ISNUMBER(SEARCH("violence",Q212)),ISNUMBER(SEARCH("detention",Q212)),ISNUMBER(SEARCH("arrest",Q212)),ISNUMBER(SEARCH("demolition",Q212)),ISNUMBER(SEARCH("injury",Q212))),1,0)+IF(OR(D212="Ongoing",D212="Unresolved"),1,0))))</x:f>
      </x:c>
      <x:c r="K212" s="16" t="str">
        <x:f>IF(J212="","",IF(J212=1,"Limited",IF(J212=2,"Local",IF(J212=3,"Significant",IF(J212=4,"High","Critical")))))</x:f>
      </x:c>
      <x:c r="L212" s="16" t="str">
        <x:f>IF(A212="","",Events!U211)</x:f>
      </x:c>
      <x:c r="M212" s="16" t="str">
        <x:f>IF(A212="","",Events!V211)</x:f>
      </x:c>
      <x:c r="N212" s="16" t="str">
        <x:f>IF(A212="","",Events!Q211)</x:f>
      </x:c>
      <x:c r="O212" s="16" t="str">
        <x:f>IF(A212="","",Events!R211)</x:f>
      </x:c>
      <x:c r="P212" s="16" t="str">
        <x:f>IF(A212="","",LOWER(Events!B211&amp;" "&amp;Events!D211&amp;" "&amp;Events!K211))</x:f>
      </x:c>
      <x:c r="Q212" s="16" t="str">
        <x:f>IF(A212="","",LOWER(Events!C211&amp;" "&amp;Events!K211&amp;" "&amp;Events!T211))</x:f>
      </x:c>
      <x:c r="R212" s="16" t="str">
        <x:f>IF(A212="","",IF(ISNUMBER(SEARCH("Occurrence verified",E212)),"Occurrence verified",E212))</x:f>
      </x:c>
      <x:c r="S212" s="79" t="str">
        <x:f>IF(A212="","",Events!X211)</x:f>
      </x:c>
      <x:c r="Z212" s="79" t="str">
        <x:f>IF(A212="","",Events!AD211)</x:f>
      </x:c>
      <x:c r="AA212" s="79" t="str">
        <x:f>IF(A212="","",Events!AE211)</x:f>
      </x:c>
    </x:row>
    <x:row r="213">
      <x:c r="A213" s="16" t="str">
        <x:f>IF(Events!A212="","",Events!A212)</x:f>
      </x:c>
      <x:c r="B213" s="16" t="str">
        <x:f>IF(A213="","",Events!B212)</x:f>
      </x:c>
      <x:c r="C213" s="16" t="str">
        <x:f>IF(A213="","",Events!E212)</x:f>
      </x:c>
      <x:c r="D213" s="16" t="str">
        <x:f>IF(A213="","",Events!J212)</x:f>
      </x:c>
      <x:c r="E213" s="16" t="str">
        <x:f>IF(A213="","",Events!N212)</x:f>
      </x:c>
      <x:c r="F213" s="109" t="str">
        <x:f>IF(OR(A213="",Events!H212=""),"",Events!H212)</x:f>
      </x:c>
      <x:c r="G213" s="109" t="str">
        <x:f>IF(A213="","",IF(Events!I212&lt;&gt;"",Events!I212,IF(Events!S212&lt;&gt;"",Events!S212,"")))</x:f>
      </x:c>
      <x:c r="H213" s="16" t="str">
        <x:f>IF(A213="","",Events!W212)</x:f>
      </x:c>
      <x:c r="I213" s="16" t="str">
        <x:f>IF(A213="","",IF(Events!Y212&lt;&gt;"",Events!Y212,IF(OR(ISNUMBER(SEARCH("education",P213)),ISNUMBER(SEARCH("exam",P213)),ISNUMBER(SEARCH("school",P213))),"Education",IF(OR(ISNUMBER(SEARCH("trade agreement",P213)),ISNUMBER(SEARCH("economic",P213)),ISNUMBER(SEARCH("import",P213))),"Trade &amp; economic policy",IF(OR(ISNUMBER(SEARCH("land acquisition",P213)),ISNUMBER(SEARCH("rehabilitation",P213)),ISNUMBER(SEARCH("displacement",P213)),ISNUMBER(SEARCH("township",P213))),"Land &amp; rehabilitation",IF(OR(ISNUMBER(SEARCH("forest",P213)),ISNUMBER(SEARCH("environment",P213)),ISNUMBER(SEARCH("ecological",P213)),ISNUMBER(SEARCH("biodiversity",P213)),ISNUMBER(SEARCH("green cover",P213))),"Environment",IF(OR(ISNUMBER(SEARCH("irrigation",P213)),ISNUMBER(SEARCH("water",P213)),ISNUMBER(SEARCH("crop",P213)),ISNUMBER(SEARCH("farmer",P213)),ISNUMBER(SEARCH("agriculture",P213))),"Agriculture &amp; water",IF(OR(ISNUMBER(SEARCH("health",P213)),ISNUMBER(SEARCH("hospital",P213)),ISNUMBER(SEARCH("medicine",P213))),"Public health",IF(OR(ISNUMBER(SEARCH("employee",P213)),ISNUMBER(SEARCH("labour",P213)),ISNUMBER(SEARCH("worker",P213)),ISNUMBER(SEARCH("salary",P213))),"Labour &amp; employment",IF(OR(ISNUMBER(SEARCH("rti",P213)),ISNUMBER(SEARCH("transparency",P213)),ISNUMBER(SEARCH("corruption",P213)),ISNUMBER(SEARCH("governance",P213))),"Governance &amp; transparency",IF(OR(ISNUMBER(SEARCH("police",P213)),ISNUMBER(SEARCH("detention",P213)),ISNUMBER(SEARCH("civil rights",P213)),ISNUMBER(SEARCH("justice",P213))),"Civil rights &amp; justice",IF(OR(ISNUMBER(SEARCH("road",P213)),ISNUMBER(SEARCH("utility",P213)),ISNUMBER(SEARCH("infrastructure",P213)),ISNUMBER(SEARCH("public service",P213))),"Infrastructure &amp; public services","Other"))))))))))))</x:f>
      </x:c>
      <x:c r="J213" s="16" t="str">
        <x:f>IF(A213="","",IF(OR(ISNUMBER(SEARCH("fatal",Q213)),ISNUMBER(SEARCH("death",Q213)),ISNUMBER(SEARCH("riot",Q213)),ISNUMBER(SEARCH("curfew",Q213)),ISNUMBER(SEARCH("internet shutdown",Q213))),5,MIN(4,1+IF(H213&gt;=7,1,0)+IF(OR(ISNUMBER(SEARCH("hunger strike",Q213)),ISNUMBER(SEARCH("blockade",Q213)),ISNUMBER(SEARCH("strike",Q213)),ISNUMBER(SEARCH("jal satyagraha",Q213)),ISNUMBER(SEARCH("survey",Q213)),ISNUMBER(SEARCH("human chain",Q213)),ISNUMBER(SEARCH("march",Q213))),1,0)+IF(OR(ISNUMBER(SEARCH("fir",Q213)),ISNUMBER(SEARCH("confrontation",Q213)),ISNUMBER(SEARCH("violence",Q213)),ISNUMBER(SEARCH("detention",Q213)),ISNUMBER(SEARCH("arrest",Q213)),ISNUMBER(SEARCH("demolition",Q213)),ISNUMBER(SEARCH("injury",Q213))),1,0)+IF(OR(D213="Ongoing",D213="Unresolved"),1,0))))</x:f>
      </x:c>
      <x:c r="K213" s="16" t="str">
        <x:f>IF(J213="","",IF(J213=1,"Limited",IF(J213=2,"Local",IF(J213=3,"Significant",IF(J213=4,"High","Critical")))))</x:f>
      </x:c>
      <x:c r="L213" s="16" t="str">
        <x:f>IF(A213="","",Events!U212)</x:f>
      </x:c>
      <x:c r="M213" s="16" t="str">
        <x:f>IF(A213="","",Events!V212)</x:f>
      </x:c>
      <x:c r="N213" s="16" t="str">
        <x:f>IF(A213="","",Events!Q212)</x:f>
      </x:c>
      <x:c r="O213" s="16" t="str">
        <x:f>IF(A213="","",Events!R212)</x:f>
      </x:c>
      <x:c r="P213" s="16" t="str">
        <x:f>IF(A213="","",LOWER(Events!B212&amp;" "&amp;Events!D212&amp;" "&amp;Events!K212))</x:f>
      </x:c>
      <x:c r="Q213" s="16" t="str">
        <x:f>IF(A213="","",LOWER(Events!C212&amp;" "&amp;Events!K212&amp;" "&amp;Events!T212))</x:f>
      </x:c>
      <x:c r="R213" s="16" t="str">
        <x:f>IF(A213="","",IF(ISNUMBER(SEARCH("Occurrence verified",E213)),"Occurrence verified",E213))</x:f>
      </x:c>
      <x:c r="S213" s="79" t="str">
        <x:f>IF(A213="","",Events!X212)</x:f>
      </x:c>
      <x:c r="Z213" s="79" t="str">
        <x:f>IF(A213="","",Events!AD212)</x:f>
      </x:c>
      <x:c r="AA213" s="79" t="str">
        <x:f>IF(A213="","",Events!AE212)</x:f>
      </x:c>
    </x:row>
    <x:row r="214">
      <x:c r="A214" s="16" t="str">
        <x:f>IF(Events!A213="","",Events!A213)</x:f>
      </x:c>
      <x:c r="B214" s="16" t="str">
        <x:f>IF(A214="","",Events!B213)</x:f>
      </x:c>
      <x:c r="C214" s="16" t="str">
        <x:f>IF(A214="","",Events!E213)</x:f>
      </x:c>
      <x:c r="D214" s="16" t="str">
        <x:f>IF(A214="","",Events!J213)</x:f>
      </x:c>
      <x:c r="E214" s="16" t="str">
        <x:f>IF(A214="","",Events!N213)</x:f>
      </x:c>
      <x:c r="F214" s="109" t="str">
        <x:f>IF(OR(A214="",Events!H213=""),"",Events!H213)</x:f>
      </x:c>
      <x:c r="G214" s="109" t="str">
        <x:f>IF(A214="","",IF(Events!I213&lt;&gt;"",Events!I213,IF(Events!S213&lt;&gt;"",Events!S213,"")))</x:f>
      </x:c>
      <x:c r="H214" s="16" t="str">
        <x:f>IF(A214="","",Events!W213)</x:f>
      </x:c>
      <x:c r="I214" s="16" t="str">
        <x:f>IF(A214="","",IF(Events!Y213&lt;&gt;"",Events!Y213,IF(OR(ISNUMBER(SEARCH("education",P214)),ISNUMBER(SEARCH("exam",P214)),ISNUMBER(SEARCH("school",P214))),"Education",IF(OR(ISNUMBER(SEARCH("trade agreement",P214)),ISNUMBER(SEARCH("economic",P214)),ISNUMBER(SEARCH("import",P214))),"Trade &amp; economic policy",IF(OR(ISNUMBER(SEARCH("land acquisition",P214)),ISNUMBER(SEARCH("rehabilitation",P214)),ISNUMBER(SEARCH("displacement",P214)),ISNUMBER(SEARCH("township",P214))),"Land &amp; rehabilitation",IF(OR(ISNUMBER(SEARCH("forest",P214)),ISNUMBER(SEARCH("environment",P214)),ISNUMBER(SEARCH("ecological",P214)),ISNUMBER(SEARCH("biodiversity",P214)),ISNUMBER(SEARCH("green cover",P214))),"Environment",IF(OR(ISNUMBER(SEARCH("irrigation",P214)),ISNUMBER(SEARCH("water",P214)),ISNUMBER(SEARCH("crop",P214)),ISNUMBER(SEARCH("farmer",P214)),ISNUMBER(SEARCH("agriculture",P214))),"Agriculture &amp; water",IF(OR(ISNUMBER(SEARCH("health",P214)),ISNUMBER(SEARCH("hospital",P214)),ISNUMBER(SEARCH("medicine",P214))),"Public health",IF(OR(ISNUMBER(SEARCH("employee",P214)),ISNUMBER(SEARCH("labour",P214)),ISNUMBER(SEARCH("worker",P214)),ISNUMBER(SEARCH("salary",P214))),"Labour &amp; employment",IF(OR(ISNUMBER(SEARCH("rti",P214)),ISNUMBER(SEARCH("transparency",P214)),ISNUMBER(SEARCH("corruption",P214)),ISNUMBER(SEARCH("governance",P214))),"Governance &amp; transparency",IF(OR(ISNUMBER(SEARCH("police",P214)),ISNUMBER(SEARCH("detention",P214)),ISNUMBER(SEARCH("civil rights",P214)),ISNUMBER(SEARCH("justice",P214))),"Civil rights &amp; justice",IF(OR(ISNUMBER(SEARCH("road",P214)),ISNUMBER(SEARCH("utility",P214)),ISNUMBER(SEARCH("infrastructure",P214)),ISNUMBER(SEARCH("public service",P214))),"Infrastructure &amp; public services","Other"))))))))))))</x:f>
      </x:c>
      <x:c r="J214" s="16" t="str">
        <x:f>IF(A214="","",IF(OR(ISNUMBER(SEARCH("fatal",Q214)),ISNUMBER(SEARCH("death",Q214)),ISNUMBER(SEARCH("riot",Q214)),ISNUMBER(SEARCH("curfew",Q214)),ISNUMBER(SEARCH("internet shutdown",Q214))),5,MIN(4,1+IF(H214&gt;=7,1,0)+IF(OR(ISNUMBER(SEARCH("hunger strike",Q214)),ISNUMBER(SEARCH("blockade",Q214)),ISNUMBER(SEARCH("strike",Q214)),ISNUMBER(SEARCH("jal satyagraha",Q214)),ISNUMBER(SEARCH("survey",Q214)),ISNUMBER(SEARCH("human chain",Q214)),ISNUMBER(SEARCH("march",Q214))),1,0)+IF(OR(ISNUMBER(SEARCH("fir",Q214)),ISNUMBER(SEARCH("confrontation",Q214)),ISNUMBER(SEARCH("violence",Q214)),ISNUMBER(SEARCH("detention",Q214)),ISNUMBER(SEARCH("arrest",Q214)),ISNUMBER(SEARCH("demolition",Q214)),ISNUMBER(SEARCH("injury",Q214))),1,0)+IF(OR(D214="Ongoing",D214="Unresolved"),1,0))))</x:f>
      </x:c>
      <x:c r="K214" s="16" t="str">
        <x:f>IF(J214="","",IF(J214=1,"Limited",IF(J214=2,"Local",IF(J214=3,"Significant",IF(J214=4,"High","Critical")))))</x:f>
      </x:c>
      <x:c r="L214" s="16" t="str">
        <x:f>IF(A214="","",Events!U213)</x:f>
      </x:c>
      <x:c r="M214" s="16" t="str">
        <x:f>IF(A214="","",Events!V213)</x:f>
      </x:c>
      <x:c r="N214" s="16" t="str">
        <x:f>IF(A214="","",Events!Q213)</x:f>
      </x:c>
      <x:c r="O214" s="16" t="str">
        <x:f>IF(A214="","",Events!R213)</x:f>
      </x:c>
      <x:c r="P214" s="16" t="str">
        <x:f>IF(A214="","",LOWER(Events!B213&amp;" "&amp;Events!D213&amp;" "&amp;Events!K213))</x:f>
      </x:c>
      <x:c r="Q214" s="16" t="str">
        <x:f>IF(A214="","",LOWER(Events!C213&amp;" "&amp;Events!K213&amp;" "&amp;Events!T213))</x:f>
      </x:c>
      <x:c r="R214" s="16" t="str">
        <x:f>IF(A214="","",IF(ISNUMBER(SEARCH("Occurrence verified",E214)),"Occurrence verified",E214))</x:f>
      </x:c>
      <x:c r="S214" s="79" t="str">
        <x:f>IF(A214="","",Events!X213)</x:f>
      </x:c>
      <x:c r="Z214" s="79" t="str">
        <x:f>IF(A214="","",Events!AD213)</x:f>
      </x:c>
      <x:c r="AA214" s="79" t="str">
        <x:f>IF(A214="","",Events!AE213)</x:f>
      </x:c>
    </x:row>
    <x:row r="215">
      <x:c r="A215" s="16" t="str">
        <x:f>IF(Events!A214="","",Events!A214)</x:f>
      </x:c>
      <x:c r="B215" s="16" t="str">
        <x:f>IF(A215="","",Events!B214)</x:f>
      </x:c>
      <x:c r="C215" s="16" t="str">
        <x:f>IF(A215="","",Events!E214)</x:f>
      </x:c>
      <x:c r="D215" s="16" t="str">
        <x:f>IF(A215="","",Events!J214)</x:f>
      </x:c>
      <x:c r="E215" s="16" t="str">
        <x:f>IF(A215="","",Events!N214)</x:f>
      </x:c>
      <x:c r="F215" s="109" t="str">
        <x:f>IF(OR(A215="",Events!H214=""),"",Events!H214)</x:f>
      </x:c>
      <x:c r="G215" s="109" t="str">
        <x:f>IF(A215="","",IF(Events!I214&lt;&gt;"",Events!I214,IF(Events!S214&lt;&gt;"",Events!S214,"")))</x:f>
      </x:c>
      <x:c r="H215" s="16" t="str">
        <x:f>IF(A215="","",Events!W214)</x:f>
      </x:c>
      <x:c r="I215" s="16" t="str">
        <x:f>IF(A215="","",IF(Events!Y214&lt;&gt;"",Events!Y214,IF(OR(ISNUMBER(SEARCH("education",P215)),ISNUMBER(SEARCH("exam",P215)),ISNUMBER(SEARCH("school",P215))),"Education",IF(OR(ISNUMBER(SEARCH("trade agreement",P215)),ISNUMBER(SEARCH("economic",P215)),ISNUMBER(SEARCH("import",P215))),"Trade &amp; economic policy",IF(OR(ISNUMBER(SEARCH("land acquisition",P215)),ISNUMBER(SEARCH("rehabilitation",P215)),ISNUMBER(SEARCH("displacement",P215)),ISNUMBER(SEARCH("township",P215))),"Land &amp; rehabilitation",IF(OR(ISNUMBER(SEARCH("forest",P215)),ISNUMBER(SEARCH("environment",P215)),ISNUMBER(SEARCH("ecological",P215)),ISNUMBER(SEARCH("biodiversity",P215)),ISNUMBER(SEARCH("green cover",P215))),"Environment",IF(OR(ISNUMBER(SEARCH("irrigation",P215)),ISNUMBER(SEARCH("water",P215)),ISNUMBER(SEARCH("crop",P215)),ISNUMBER(SEARCH("farmer",P215)),ISNUMBER(SEARCH("agriculture",P215))),"Agriculture &amp; water",IF(OR(ISNUMBER(SEARCH("health",P215)),ISNUMBER(SEARCH("hospital",P215)),ISNUMBER(SEARCH("medicine",P215))),"Public health",IF(OR(ISNUMBER(SEARCH("employee",P215)),ISNUMBER(SEARCH("labour",P215)),ISNUMBER(SEARCH("worker",P215)),ISNUMBER(SEARCH("salary",P215))),"Labour &amp; employment",IF(OR(ISNUMBER(SEARCH("rti",P215)),ISNUMBER(SEARCH("transparency",P215)),ISNUMBER(SEARCH("corruption",P215)),ISNUMBER(SEARCH("governance",P215))),"Governance &amp; transparency",IF(OR(ISNUMBER(SEARCH("police",P215)),ISNUMBER(SEARCH("detention",P215)),ISNUMBER(SEARCH("civil rights",P215)),ISNUMBER(SEARCH("justice",P215))),"Civil rights &amp; justice",IF(OR(ISNUMBER(SEARCH("road",P215)),ISNUMBER(SEARCH("utility",P215)),ISNUMBER(SEARCH("infrastructure",P215)),ISNUMBER(SEARCH("public service",P215))),"Infrastructure &amp; public services","Other"))))))))))))</x:f>
      </x:c>
      <x:c r="J215" s="16" t="str">
        <x:f>IF(A215="","",IF(OR(ISNUMBER(SEARCH("fatal",Q215)),ISNUMBER(SEARCH("death",Q215)),ISNUMBER(SEARCH("riot",Q215)),ISNUMBER(SEARCH("curfew",Q215)),ISNUMBER(SEARCH("internet shutdown",Q215))),5,MIN(4,1+IF(H215&gt;=7,1,0)+IF(OR(ISNUMBER(SEARCH("hunger strike",Q215)),ISNUMBER(SEARCH("blockade",Q215)),ISNUMBER(SEARCH("strike",Q215)),ISNUMBER(SEARCH("jal satyagraha",Q215)),ISNUMBER(SEARCH("survey",Q215)),ISNUMBER(SEARCH("human chain",Q215)),ISNUMBER(SEARCH("march",Q215))),1,0)+IF(OR(ISNUMBER(SEARCH("fir",Q215)),ISNUMBER(SEARCH("confrontation",Q215)),ISNUMBER(SEARCH("violence",Q215)),ISNUMBER(SEARCH("detention",Q215)),ISNUMBER(SEARCH("arrest",Q215)),ISNUMBER(SEARCH("demolition",Q215)),ISNUMBER(SEARCH("injury",Q215))),1,0)+IF(OR(D215="Ongoing",D215="Unresolved"),1,0))))</x:f>
      </x:c>
      <x:c r="K215" s="16" t="str">
        <x:f>IF(J215="","",IF(J215=1,"Limited",IF(J215=2,"Local",IF(J215=3,"Significant",IF(J215=4,"High","Critical")))))</x:f>
      </x:c>
      <x:c r="L215" s="16" t="str">
        <x:f>IF(A215="","",Events!U214)</x:f>
      </x:c>
      <x:c r="M215" s="16" t="str">
        <x:f>IF(A215="","",Events!V214)</x:f>
      </x:c>
      <x:c r="N215" s="16" t="str">
        <x:f>IF(A215="","",Events!Q214)</x:f>
      </x:c>
      <x:c r="O215" s="16" t="str">
        <x:f>IF(A215="","",Events!R214)</x:f>
      </x:c>
      <x:c r="P215" s="16" t="str">
        <x:f>IF(A215="","",LOWER(Events!B214&amp;" "&amp;Events!D214&amp;" "&amp;Events!K214))</x:f>
      </x:c>
      <x:c r="Q215" s="16" t="str">
        <x:f>IF(A215="","",LOWER(Events!C214&amp;" "&amp;Events!K214&amp;" "&amp;Events!T214))</x:f>
      </x:c>
      <x:c r="R215" s="16" t="str">
        <x:f>IF(A215="","",IF(ISNUMBER(SEARCH("Occurrence verified",E215)),"Occurrence verified",E215))</x:f>
      </x:c>
      <x:c r="S215" s="79" t="str">
        <x:f>IF(A215="","",Events!X214)</x:f>
      </x:c>
      <x:c r="Z215" s="79" t="str">
        <x:f>IF(A215="","",Events!AD214)</x:f>
      </x:c>
      <x:c r="AA215" s="79" t="str">
        <x:f>IF(A215="","",Events!AE214)</x:f>
      </x:c>
    </x:row>
    <x:row r="216">
      <x:c r="A216" s="16" t="str">
        <x:f>IF(Events!A215="","",Events!A215)</x:f>
      </x:c>
      <x:c r="B216" s="16" t="str">
        <x:f>IF(A216="","",Events!B215)</x:f>
      </x:c>
      <x:c r="C216" s="16" t="str">
        <x:f>IF(A216="","",Events!E215)</x:f>
      </x:c>
      <x:c r="D216" s="16" t="str">
        <x:f>IF(A216="","",Events!J215)</x:f>
      </x:c>
      <x:c r="E216" s="16" t="str">
        <x:f>IF(A216="","",Events!N215)</x:f>
      </x:c>
      <x:c r="F216" s="109" t="str">
        <x:f>IF(OR(A216="",Events!H215=""),"",Events!H215)</x:f>
      </x:c>
      <x:c r="G216" s="109" t="str">
        <x:f>IF(A216="","",IF(Events!I215&lt;&gt;"",Events!I215,IF(Events!S215&lt;&gt;"",Events!S215,"")))</x:f>
      </x:c>
      <x:c r="H216" s="16" t="str">
        <x:f>IF(A216="","",Events!W215)</x:f>
      </x:c>
      <x:c r="I216" s="16" t="str">
        <x:f>IF(A216="","",IF(Events!Y215&lt;&gt;"",Events!Y215,IF(OR(ISNUMBER(SEARCH("education",P216)),ISNUMBER(SEARCH("exam",P216)),ISNUMBER(SEARCH("school",P216))),"Education",IF(OR(ISNUMBER(SEARCH("trade agreement",P216)),ISNUMBER(SEARCH("economic",P216)),ISNUMBER(SEARCH("import",P216))),"Trade &amp; economic policy",IF(OR(ISNUMBER(SEARCH("land acquisition",P216)),ISNUMBER(SEARCH("rehabilitation",P216)),ISNUMBER(SEARCH("displacement",P216)),ISNUMBER(SEARCH("township",P216))),"Land &amp; rehabilitation",IF(OR(ISNUMBER(SEARCH("forest",P216)),ISNUMBER(SEARCH("environment",P216)),ISNUMBER(SEARCH("ecological",P216)),ISNUMBER(SEARCH("biodiversity",P216)),ISNUMBER(SEARCH("green cover",P216))),"Environment",IF(OR(ISNUMBER(SEARCH("irrigation",P216)),ISNUMBER(SEARCH("water",P216)),ISNUMBER(SEARCH("crop",P216)),ISNUMBER(SEARCH("farmer",P216)),ISNUMBER(SEARCH("agriculture",P216))),"Agriculture &amp; water",IF(OR(ISNUMBER(SEARCH("health",P216)),ISNUMBER(SEARCH("hospital",P216)),ISNUMBER(SEARCH("medicine",P216))),"Public health",IF(OR(ISNUMBER(SEARCH("employee",P216)),ISNUMBER(SEARCH("labour",P216)),ISNUMBER(SEARCH("worker",P216)),ISNUMBER(SEARCH("salary",P216))),"Labour &amp; employment",IF(OR(ISNUMBER(SEARCH("rti",P216)),ISNUMBER(SEARCH("transparency",P216)),ISNUMBER(SEARCH("corruption",P216)),ISNUMBER(SEARCH("governance",P216))),"Governance &amp; transparency",IF(OR(ISNUMBER(SEARCH("police",P216)),ISNUMBER(SEARCH("detention",P216)),ISNUMBER(SEARCH("civil rights",P216)),ISNUMBER(SEARCH("justice",P216))),"Civil rights &amp; justice",IF(OR(ISNUMBER(SEARCH("road",P216)),ISNUMBER(SEARCH("utility",P216)),ISNUMBER(SEARCH("infrastructure",P216)),ISNUMBER(SEARCH("public service",P216))),"Infrastructure &amp; public services","Other"))))))))))))</x:f>
      </x:c>
      <x:c r="J216" s="16" t="str">
        <x:f>IF(A216="","",IF(OR(ISNUMBER(SEARCH("fatal",Q216)),ISNUMBER(SEARCH("death",Q216)),ISNUMBER(SEARCH("riot",Q216)),ISNUMBER(SEARCH("curfew",Q216)),ISNUMBER(SEARCH("internet shutdown",Q216))),5,MIN(4,1+IF(H216&gt;=7,1,0)+IF(OR(ISNUMBER(SEARCH("hunger strike",Q216)),ISNUMBER(SEARCH("blockade",Q216)),ISNUMBER(SEARCH("strike",Q216)),ISNUMBER(SEARCH("jal satyagraha",Q216)),ISNUMBER(SEARCH("survey",Q216)),ISNUMBER(SEARCH("human chain",Q216)),ISNUMBER(SEARCH("march",Q216))),1,0)+IF(OR(ISNUMBER(SEARCH("fir",Q216)),ISNUMBER(SEARCH("confrontation",Q216)),ISNUMBER(SEARCH("violence",Q216)),ISNUMBER(SEARCH("detention",Q216)),ISNUMBER(SEARCH("arrest",Q216)),ISNUMBER(SEARCH("demolition",Q216)),ISNUMBER(SEARCH("injury",Q216))),1,0)+IF(OR(D216="Ongoing",D216="Unresolved"),1,0))))</x:f>
      </x:c>
      <x:c r="K216" s="16" t="str">
        <x:f>IF(J216="","",IF(J216=1,"Limited",IF(J216=2,"Local",IF(J216=3,"Significant",IF(J216=4,"High","Critical")))))</x:f>
      </x:c>
      <x:c r="L216" s="16" t="str">
        <x:f>IF(A216="","",Events!U215)</x:f>
      </x:c>
      <x:c r="M216" s="16" t="str">
        <x:f>IF(A216="","",Events!V215)</x:f>
      </x:c>
      <x:c r="N216" s="16" t="str">
        <x:f>IF(A216="","",Events!Q215)</x:f>
      </x:c>
      <x:c r="O216" s="16" t="str">
        <x:f>IF(A216="","",Events!R215)</x:f>
      </x:c>
      <x:c r="P216" s="16" t="str">
        <x:f>IF(A216="","",LOWER(Events!B215&amp;" "&amp;Events!D215&amp;" "&amp;Events!K215))</x:f>
      </x:c>
      <x:c r="Q216" s="16" t="str">
        <x:f>IF(A216="","",LOWER(Events!C215&amp;" "&amp;Events!K215&amp;" "&amp;Events!T215))</x:f>
      </x:c>
      <x:c r="R216" s="16" t="str">
        <x:f>IF(A216="","",IF(ISNUMBER(SEARCH("Occurrence verified",E216)),"Occurrence verified",E216))</x:f>
      </x:c>
      <x:c r="S216" s="79" t="str">
        <x:f>IF(A216="","",Events!X215)</x:f>
      </x:c>
      <x:c r="Z216" s="79" t="str">
        <x:f>IF(A216="","",Events!AD215)</x:f>
      </x:c>
      <x:c r="AA216" s="79" t="str">
        <x:f>IF(A216="","",Events!AE215)</x:f>
      </x:c>
    </x:row>
    <x:row r="217">
      <x:c r="A217" s="16" t="str">
        <x:f>IF(Events!A216="","",Events!A216)</x:f>
      </x:c>
      <x:c r="B217" s="16" t="str">
        <x:f>IF(A217="","",Events!B216)</x:f>
      </x:c>
      <x:c r="C217" s="16" t="str">
        <x:f>IF(A217="","",Events!E216)</x:f>
      </x:c>
      <x:c r="D217" s="16" t="str">
        <x:f>IF(A217="","",Events!J216)</x:f>
      </x:c>
      <x:c r="E217" s="16" t="str">
        <x:f>IF(A217="","",Events!N216)</x:f>
      </x:c>
      <x:c r="F217" s="109" t="str">
        <x:f>IF(OR(A217="",Events!H216=""),"",Events!H216)</x:f>
      </x:c>
      <x:c r="G217" s="109" t="str">
        <x:f>IF(A217="","",IF(Events!I216&lt;&gt;"",Events!I216,IF(Events!S216&lt;&gt;"",Events!S216,"")))</x:f>
      </x:c>
      <x:c r="H217" s="16" t="str">
        <x:f>IF(A217="","",Events!W216)</x:f>
      </x:c>
      <x:c r="I217" s="16" t="str">
        <x:f>IF(A217="","",IF(Events!Y216&lt;&gt;"",Events!Y216,IF(OR(ISNUMBER(SEARCH("education",P217)),ISNUMBER(SEARCH("exam",P217)),ISNUMBER(SEARCH("school",P217))),"Education",IF(OR(ISNUMBER(SEARCH("trade agreement",P217)),ISNUMBER(SEARCH("economic",P217)),ISNUMBER(SEARCH("import",P217))),"Trade &amp; economic policy",IF(OR(ISNUMBER(SEARCH("land acquisition",P217)),ISNUMBER(SEARCH("rehabilitation",P217)),ISNUMBER(SEARCH("displacement",P217)),ISNUMBER(SEARCH("township",P217))),"Land &amp; rehabilitation",IF(OR(ISNUMBER(SEARCH("forest",P217)),ISNUMBER(SEARCH("environment",P217)),ISNUMBER(SEARCH("ecological",P217)),ISNUMBER(SEARCH("biodiversity",P217)),ISNUMBER(SEARCH("green cover",P217))),"Environment",IF(OR(ISNUMBER(SEARCH("irrigation",P217)),ISNUMBER(SEARCH("water",P217)),ISNUMBER(SEARCH("crop",P217)),ISNUMBER(SEARCH("farmer",P217)),ISNUMBER(SEARCH("agriculture",P217))),"Agriculture &amp; water",IF(OR(ISNUMBER(SEARCH("health",P217)),ISNUMBER(SEARCH("hospital",P217)),ISNUMBER(SEARCH("medicine",P217))),"Public health",IF(OR(ISNUMBER(SEARCH("employee",P217)),ISNUMBER(SEARCH("labour",P217)),ISNUMBER(SEARCH("worker",P217)),ISNUMBER(SEARCH("salary",P217))),"Labour &amp; employment",IF(OR(ISNUMBER(SEARCH("rti",P217)),ISNUMBER(SEARCH("transparency",P217)),ISNUMBER(SEARCH("corruption",P217)),ISNUMBER(SEARCH("governance",P217))),"Governance &amp; transparency",IF(OR(ISNUMBER(SEARCH("police",P217)),ISNUMBER(SEARCH("detention",P217)),ISNUMBER(SEARCH("civil rights",P217)),ISNUMBER(SEARCH("justice",P217))),"Civil rights &amp; justice",IF(OR(ISNUMBER(SEARCH("road",P217)),ISNUMBER(SEARCH("utility",P217)),ISNUMBER(SEARCH("infrastructure",P217)),ISNUMBER(SEARCH("public service",P217))),"Infrastructure &amp; public services","Other"))))))))))))</x:f>
      </x:c>
      <x:c r="J217" s="16" t="str">
        <x:f>IF(A217="","",IF(OR(ISNUMBER(SEARCH("fatal",Q217)),ISNUMBER(SEARCH("death",Q217)),ISNUMBER(SEARCH("riot",Q217)),ISNUMBER(SEARCH("curfew",Q217)),ISNUMBER(SEARCH("internet shutdown",Q217))),5,MIN(4,1+IF(H217&gt;=7,1,0)+IF(OR(ISNUMBER(SEARCH("hunger strike",Q217)),ISNUMBER(SEARCH("blockade",Q217)),ISNUMBER(SEARCH("strike",Q217)),ISNUMBER(SEARCH("jal satyagraha",Q217)),ISNUMBER(SEARCH("survey",Q217)),ISNUMBER(SEARCH("human chain",Q217)),ISNUMBER(SEARCH("march",Q217))),1,0)+IF(OR(ISNUMBER(SEARCH("fir",Q217)),ISNUMBER(SEARCH("confrontation",Q217)),ISNUMBER(SEARCH("violence",Q217)),ISNUMBER(SEARCH("detention",Q217)),ISNUMBER(SEARCH("arrest",Q217)),ISNUMBER(SEARCH("demolition",Q217)),ISNUMBER(SEARCH("injury",Q217))),1,0)+IF(OR(D217="Ongoing",D217="Unresolved"),1,0))))</x:f>
      </x:c>
      <x:c r="K217" s="16" t="str">
        <x:f>IF(J217="","",IF(J217=1,"Limited",IF(J217=2,"Local",IF(J217=3,"Significant",IF(J217=4,"High","Critical")))))</x:f>
      </x:c>
      <x:c r="L217" s="16" t="str">
        <x:f>IF(A217="","",Events!U216)</x:f>
      </x:c>
      <x:c r="M217" s="16" t="str">
        <x:f>IF(A217="","",Events!V216)</x:f>
      </x:c>
      <x:c r="N217" s="16" t="str">
        <x:f>IF(A217="","",Events!Q216)</x:f>
      </x:c>
      <x:c r="O217" s="16" t="str">
        <x:f>IF(A217="","",Events!R216)</x:f>
      </x:c>
      <x:c r="P217" s="16" t="str">
        <x:f>IF(A217="","",LOWER(Events!B216&amp;" "&amp;Events!D216&amp;" "&amp;Events!K216))</x:f>
      </x:c>
      <x:c r="Q217" s="16" t="str">
        <x:f>IF(A217="","",LOWER(Events!C216&amp;" "&amp;Events!K216&amp;" "&amp;Events!T216))</x:f>
      </x:c>
      <x:c r="R217" s="16" t="str">
        <x:f>IF(A217="","",IF(ISNUMBER(SEARCH("Occurrence verified",E217)),"Occurrence verified",E217))</x:f>
      </x:c>
      <x:c r="S217" s="79" t="str">
        <x:f>IF(A217="","",Events!X216)</x:f>
      </x:c>
      <x:c r="Z217" s="79" t="str">
        <x:f>IF(A217="","",Events!AD216)</x:f>
      </x:c>
      <x:c r="AA217" s="79" t="str">
        <x:f>IF(A217="","",Events!AE216)</x:f>
      </x:c>
    </x:row>
    <x:row r="218">
      <x:c r="A218" s="16" t="str">
        <x:f>IF(Events!A217="","",Events!A217)</x:f>
      </x:c>
      <x:c r="B218" s="16" t="str">
        <x:f>IF(A218="","",Events!B217)</x:f>
      </x:c>
      <x:c r="C218" s="16" t="str">
        <x:f>IF(A218="","",Events!E217)</x:f>
      </x:c>
      <x:c r="D218" s="16" t="str">
        <x:f>IF(A218="","",Events!J217)</x:f>
      </x:c>
      <x:c r="E218" s="16" t="str">
        <x:f>IF(A218="","",Events!N217)</x:f>
      </x:c>
      <x:c r="F218" s="109" t="str">
        <x:f>IF(OR(A218="",Events!H217=""),"",Events!H217)</x:f>
      </x:c>
      <x:c r="G218" s="109" t="str">
        <x:f>IF(A218="","",IF(Events!I217&lt;&gt;"",Events!I217,IF(Events!S217&lt;&gt;"",Events!S217,"")))</x:f>
      </x:c>
      <x:c r="H218" s="16" t="str">
        <x:f>IF(A218="","",Events!W217)</x:f>
      </x:c>
      <x:c r="I218" s="16" t="str">
        <x:f>IF(A218="","",IF(Events!Y217&lt;&gt;"",Events!Y217,IF(OR(ISNUMBER(SEARCH("education",P218)),ISNUMBER(SEARCH("exam",P218)),ISNUMBER(SEARCH("school",P218))),"Education",IF(OR(ISNUMBER(SEARCH("trade agreement",P218)),ISNUMBER(SEARCH("economic",P218)),ISNUMBER(SEARCH("import",P218))),"Trade &amp; economic policy",IF(OR(ISNUMBER(SEARCH("land acquisition",P218)),ISNUMBER(SEARCH("rehabilitation",P218)),ISNUMBER(SEARCH("displacement",P218)),ISNUMBER(SEARCH("township",P218))),"Land &amp; rehabilitation",IF(OR(ISNUMBER(SEARCH("forest",P218)),ISNUMBER(SEARCH("environment",P218)),ISNUMBER(SEARCH("ecological",P218)),ISNUMBER(SEARCH("biodiversity",P218)),ISNUMBER(SEARCH("green cover",P218))),"Environment",IF(OR(ISNUMBER(SEARCH("irrigation",P218)),ISNUMBER(SEARCH("water",P218)),ISNUMBER(SEARCH("crop",P218)),ISNUMBER(SEARCH("farmer",P218)),ISNUMBER(SEARCH("agriculture",P218))),"Agriculture &amp; water",IF(OR(ISNUMBER(SEARCH("health",P218)),ISNUMBER(SEARCH("hospital",P218)),ISNUMBER(SEARCH("medicine",P218))),"Public health",IF(OR(ISNUMBER(SEARCH("employee",P218)),ISNUMBER(SEARCH("labour",P218)),ISNUMBER(SEARCH("worker",P218)),ISNUMBER(SEARCH("salary",P218))),"Labour &amp; employment",IF(OR(ISNUMBER(SEARCH("rti",P218)),ISNUMBER(SEARCH("transparency",P218)),ISNUMBER(SEARCH("corruption",P218)),ISNUMBER(SEARCH("governance",P218))),"Governance &amp; transparency",IF(OR(ISNUMBER(SEARCH("police",P218)),ISNUMBER(SEARCH("detention",P218)),ISNUMBER(SEARCH("civil rights",P218)),ISNUMBER(SEARCH("justice",P218))),"Civil rights &amp; justice",IF(OR(ISNUMBER(SEARCH("road",P218)),ISNUMBER(SEARCH("utility",P218)),ISNUMBER(SEARCH("infrastructure",P218)),ISNUMBER(SEARCH("public service",P218))),"Infrastructure &amp; public services","Other"))))))))))))</x:f>
      </x:c>
      <x:c r="J218" s="16" t="str">
        <x:f>IF(A218="","",IF(OR(ISNUMBER(SEARCH("fatal",Q218)),ISNUMBER(SEARCH("death",Q218)),ISNUMBER(SEARCH("riot",Q218)),ISNUMBER(SEARCH("curfew",Q218)),ISNUMBER(SEARCH("internet shutdown",Q218))),5,MIN(4,1+IF(H218&gt;=7,1,0)+IF(OR(ISNUMBER(SEARCH("hunger strike",Q218)),ISNUMBER(SEARCH("blockade",Q218)),ISNUMBER(SEARCH("strike",Q218)),ISNUMBER(SEARCH("jal satyagraha",Q218)),ISNUMBER(SEARCH("survey",Q218)),ISNUMBER(SEARCH("human chain",Q218)),ISNUMBER(SEARCH("march",Q218))),1,0)+IF(OR(ISNUMBER(SEARCH("fir",Q218)),ISNUMBER(SEARCH("confrontation",Q218)),ISNUMBER(SEARCH("violence",Q218)),ISNUMBER(SEARCH("detention",Q218)),ISNUMBER(SEARCH("arrest",Q218)),ISNUMBER(SEARCH("demolition",Q218)),ISNUMBER(SEARCH("injury",Q218))),1,0)+IF(OR(D218="Ongoing",D218="Unresolved"),1,0))))</x:f>
      </x:c>
      <x:c r="K218" s="16" t="str">
        <x:f>IF(J218="","",IF(J218=1,"Limited",IF(J218=2,"Local",IF(J218=3,"Significant",IF(J218=4,"High","Critical")))))</x:f>
      </x:c>
      <x:c r="L218" s="16" t="str">
        <x:f>IF(A218="","",Events!U217)</x:f>
      </x:c>
      <x:c r="M218" s="16" t="str">
        <x:f>IF(A218="","",Events!V217)</x:f>
      </x:c>
      <x:c r="N218" s="16" t="str">
        <x:f>IF(A218="","",Events!Q217)</x:f>
      </x:c>
      <x:c r="O218" s="16" t="str">
        <x:f>IF(A218="","",Events!R217)</x:f>
      </x:c>
      <x:c r="P218" s="16" t="str">
        <x:f>IF(A218="","",LOWER(Events!B217&amp;" "&amp;Events!D217&amp;" "&amp;Events!K217))</x:f>
      </x:c>
      <x:c r="Q218" s="16" t="str">
        <x:f>IF(A218="","",LOWER(Events!C217&amp;" "&amp;Events!K217&amp;" "&amp;Events!T217))</x:f>
      </x:c>
      <x:c r="R218" s="16" t="str">
        <x:f>IF(A218="","",IF(ISNUMBER(SEARCH("Occurrence verified",E218)),"Occurrence verified",E218))</x:f>
      </x:c>
      <x:c r="S218" s="79" t="str">
        <x:f>IF(A218="","",Events!X217)</x:f>
      </x:c>
      <x:c r="Z218" s="79" t="str">
        <x:f>IF(A218="","",Events!AD217)</x:f>
      </x:c>
      <x:c r="AA218" s="79" t="str">
        <x:f>IF(A218="","",Events!AE217)</x:f>
      </x:c>
    </x:row>
    <x:row r="219">
      <x:c r="A219" s="16" t="str">
        <x:f>IF(Events!A218="","",Events!A218)</x:f>
      </x:c>
      <x:c r="B219" s="16" t="str">
        <x:f>IF(A219="","",Events!B218)</x:f>
      </x:c>
      <x:c r="C219" s="16" t="str">
        <x:f>IF(A219="","",Events!E218)</x:f>
      </x:c>
      <x:c r="D219" s="16" t="str">
        <x:f>IF(A219="","",Events!J218)</x:f>
      </x:c>
      <x:c r="E219" s="16" t="str">
        <x:f>IF(A219="","",Events!N218)</x:f>
      </x:c>
      <x:c r="F219" s="109" t="str">
        <x:f>IF(OR(A219="",Events!H218=""),"",Events!H218)</x:f>
      </x:c>
      <x:c r="G219" s="109" t="str">
        <x:f>IF(A219="","",IF(Events!I218&lt;&gt;"",Events!I218,IF(Events!S218&lt;&gt;"",Events!S218,"")))</x:f>
      </x:c>
      <x:c r="H219" s="16" t="str">
        <x:f>IF(A219="","",Events!W218)</x:f>
      </x:c>
      <x:c r="I219" s="16" t="str">
        <x:f>IF(A219="","",IF(Events!Y218&lt;&gt;"",Events!Y218,IF(OR(ISNUMBER(SEARCH("education",P219)),ISNUMBER(SEARCH("exam",P219)),ISNUMBER(SEARCH("school",P219))),"Education",IF(OR(ISNUMBER(SEARCH("trade agreement",P219)),ISNUMBER(SEARCH("economic",P219)),ISNUMBER(SEARCH("import",P219))),"Trade &amp; economic policy",IF(OR(ISNUMBER(SEARCH("land acquisition",P219)),ISNUMBER(SEARCH("rehabilitation",P219)),ISNUMBER(SEARCH("displacement",P219)),ISNUMBER(SEARCH("township",P219))),"Land &amp; rehabilitation",IF(OR(ISNUMBER(SEARCH("forest",P219)),ISNUMBER(SEARCH("environment",P219)),ISNUMBER(SEARCH("ecological",P219)),ISNUMBER(SEARCH("biodiversity",P219)),ISNUMBER(SEARCH("green cover",P219))),"Environment",IF(OR(ISNUMBER(SEARCH("irrigation",P219)),ISNUMBER(SEARCH("water",P219)),ISNUMBER(SEARCH("crop",P219)),ISNUMBER(SEARCH("farmer",P219)),ISNUMBER(SEARCH("agriculture",P219))),"Agriculture &amp; water",IF(OR(ISNUMBER(SEARCH("health",P219)),ISNUMBER(SEARCH("hospital",P219)),ISNUMBER(SEARCH("medicine",P219))),"Public health",IF(OR(ISNUMBER(SEARCH("employee",P219)),ISNUMBER(SEARCH("labour",P219)),ISNUMBER(SEARCH("worker",P219)),ISNUMBER(SEARCH("salary",P219))),"Labour &amp; employment",IF(OR(ISNUMBER(SEARCH("rti",P219)),ISNUMBER(SEARCH("transparency",P219)),ISNUMBER(SEARCH("corruption",P219)),ISNUMBER(SEARCH("governance",P219))),"Governance &amp; transparency",IF(OR(ISNUMBER(SEARCH("police",P219)),ISNUMBER(SEARCH("detention",P219)),ISNUMBER(SEARCH("civil rights",P219)),ISNUMBER(SEARCH("justice",P219))),"Civil rights &amp; justice",IF(OR(ISNUMBER(SEARCH("road",P219)),ISNUMBER(SEARCH("utility",P219)),ISNUMBER(SEARCH("infrastructure",P219)),ISNUMBER(SEARCH("public service",P219))),"Infrastructure &amp; public services","Other"))))))))))))</x:f>
      </x:c>
      <x:c r="J219" s="16" t="str">
        <x:f>IF(A219="","",IF(OR(ISNUMBER(SEARCH("fatal",Q219)),ISNUMBER(SEARCH("death",Q219)),ISNUMBER(SEARCH("riot",Q219)),ISNUMBER(SEARCH("curfew",Q219)),ISNUMBER(SEARCH("internet shutdown",Q219))),5,MIN(4,1+IF(H219&gt;=7,1,0)+IF(OR(ISNUMBER(SEARCH("hunger strike",Q219)),ISNUMBER(SEARCH("blockade",Q219)),ISNUMBER(SEARCH("strike",Q219)),ISNUMBER(SEARCH("jal satyagraha",Q219)),ISNUMBER(SEARCH("survey",Q219)),ISNUMBER(SEARCH("human chain",Q219)),ISNUMBER(SEARCH("march",Q219))),1,0)+IF(OR(ISNUMBER(SEARCH("fir",Q219)),ISNUMBER(SEARCH("confrontation",Q219)),ISNUMBER(SEARCH("violence",Q219)),ISNUMBER(SEARCH("detention",Q219)),ISNUMBER(SEARCH("arrest",Q219)),ISNUMBER(SEARCH("demolition",Q219)),ISNUMBER(SEARCH("injury",Q219))),1,0)+IF(OR(D219="Ongoing",D219="Unresolved"),1,0))))</x:f>
      </x:c>
      <x:c r="K219" s="16" t="str">
        <x:f>IF(J219="","",IF(J219=1,"Limited",IF(J219=2,"Local",IF(J219=3,"Significant",IF(J219=4,"High","Critical")))))</x:f>
      </x:c>
      <x:c r="L219" s="16" t="str">
        <x:f>IF(A219="","",Events!U218)</x:f>
      </x:c>
      <x:c r="M219" s="16" t="str">
        <x:f>IF(A219="","",Events!V218)</x:f>
      </x:c>
      <x:c r="N219" s="16" t="str">
        <x:f>IF(A219="","",Events!Q218)</x:f>
      </x:c>
      <x:c r="O219" s="16" t="str">
        <x:f>IF(A219="","",Events!R218)</x:f>
      </x:c>
      <x:c r="P219" s="16" t="str">
        <x:f>IF(A219="","",LOWER(Events!B218&amp;" "&amp;Events!D218&amp;" "&amp;Events!K218))</x:f>
      </x:c>
      <x:c r="Q219" s="16" t="str">
        <x:f>IF(A219="","",LOWER(Events!C218&amp;" "&amp;Events!K218&amp;" "&amp;Events!T218))</x:f>
      </x:c>
      <x:c r="R219" s="16" t="str">
        <x:f>IF(A219="","",IF(ISNUMBER(SEARCH("Occurrence verified",E219)),"Occurrence verified",E219))</x:f>
      </x:c>
      <x:c r="S219" s="79" t="str">
        <x:f>IF(A219="","",Events!X218)</x:f>
      </x:c>
      <x:c r="Z219" s="79" t="str">
        <x:f>IF(A219="","",Events!AD218)</x:f>
      </x:c>
      <x:c r="AA219" s="79" t="str">
        <x:f>IF(A219="","",Events!AE218)</x:f>
      </x:c>
    </x:row>
    <x:row r="220">
      <x:c r="A220" s="16" t="str">
        <x:f>IF(Events!A219="","",Events!A219)</x:f>
      </x:c>
      <x:c r="B220" s="16" t="str">
        <x:f>IF(A220="","",Events!B219)</x:f>
      </x:c>
      <x:c r="C220" s="16" t="str">
        <x:f>IF(A220="","",Events!E219)</x:f>
      </x:c>
      <x:c r="D220" s="16" t="str">
        <x:f>IF(A220="","",Events!J219)</x:f>
      </x:c>
      <x:c r="E220" s="16" t="str">
        <x:f>IF(A220="","",Events!N219)</x:f>
      </x:c>
      <x:c r="F220" s="109" t="str">
        <x:f>IF(OR(A220="",Events!H219=""),"",Events!H219)</x:f>
      </x:c>
      <x:c r="G220" s="109" t="str">
        <x:f>IF(A220="","",IF(Events!I219&lt;&gt;"",Events!I219,IF(Events!S219&lt;&gt;"",Events!S219,"")))</x:f>
      </x:c>
      <x:c r="H220" s="16" t="str">
        <x:f>IF(A220="","",Events!W219)</x:f>
      </x:c>
      <x:c r="I220" s="16" t="str">
        <x:f>IF(A220="","",IF(Events!Y219&lt;&gt;"",Events!Y219,IF(OR(ISNUMBER(SEARCH("education",P220)),ISNUMBER(SEARCH("exam",P220)),ISNUMBER(SEARCH("school",P220))),"Education",IF(OR(ISNUMBER(SEARCH("trade agreement",P220)),ISNUMBER(SEARCH("economic",P220)),ISNUMBER(SEARCH("import",P220))),"Trade &amp; economic policy",IF(OR(ISNUMBER(SEARCH("land acquisition",P220)),ISNUMBER(SEARCH("rehabilitation",P220)),ISNUMBER(SEARCH("displacement",P220)),ISNUMBER(SEARCH("township",P220))),"Land &amp; rehabilitation",IF(OR(ISNUMBER(SEARCH("forest",P220)),ISNUMBER(SEARCH("environment",P220)),ISNUMBER(SEARCH("ecological",P220)),ISNUMBER(SEARCH("biodiversity",P220)),ISNUMBER(SEARCH("green cover",P220))),"Environment",IF(OR(ISNUMBER(SEARCH("irrigation",P220)),ISNUMBER(SEARCH("water",P220)),ISNUMBER(SEARCH("crop",P220)),ISNUMBER(SEARCH("farmer",P220)),ISNUMBER(SEARCH("agriculture",P220))),"Agriculture &amp; water",IF(OR(ISNUMBER(SEARCH("health",P220)),ISNUMBER(SEARCH("hospital",P220)),ISNUMBER(SEARCH("medicine",P220))),"Public health",IF(OR(ISNUMBER(SEARCH("employee",P220)),ISNUMBER(SEARCH("labour",P220)),ISNUMBER(SEARCH("worker",P220)),ISNUMBER(SEARCH("salary",P220))),"Labour &amp; employment",IF(OR(ISNUMBER(SEARCH("rti",P220)),ISNUMBER(SEARCH("transparency",P220)),ISNUMBER(SEARCH("corruption",P220)),ISNUMBER(SEARCH("governance",P220))),"Governance &amp; transparency",IF(OR(ISNUMBER(SEARCH("police",P220)),ISNUMBER(SEARCH("detention",P220)),ISNUMBER(SEARCH("civil rights",P220)),ISNUMBER(SEARCH("justice",P220))),"Civil rights &amp; justice",IF(OR(ISNUMBER(SEARCH("road",P220)),ISNUMBER(SEARCH("utility",P220)),ISNUMBER(SEARCH("infrastructure",P220)),ISNUMBER(SEARCH("public service",P220))),"Infrastructure &amp; public services","Other"))))))))))))</x:f>
      </x:c>
      <x:c r="J220" s="16" t="str">
        <x:f>IF(A220="","",IF(OR(ISNUMBER(SEARCH("fatal",Q220)),ISNUMBER(SEARCH("death",Q220)),ISNUMBER(SEARCH("riot",Q220)),ISNUMBER(SEARCH("curfew",Q220)),ISNUMBER(SEARCH("internet shutdown",Q220))),5,MIN(4,1+IF(H220&gt;=7,1,0)+IF(OR(ISNUMBER(SEARCH("hunger strike",Q220)),ISNUMBER(SEARCH("blockade",Q220)),ISNUMBER(SEARCH("strike",Q220)),ISNUMBER(SEARCH("jal satyagraha",Q220)),ISNUMBER(SEARCH("survey",Q220)),ISNUMBER(SEARCH("human chain",Q220)),ISNUMBER(SEARCH("march",Q220))),1,0)+IF(OR(ISNUMBER(SEARCH("fir",Q220)),ISNUMBER(SEARCH("confrontation",Q220)),ISNUMBER(SEARCH("violence",Q220)),ISNUMBER(SEARCH("detention",Q220)),ISNUMBER(SEARCH("arrest",Q220)),ISNUMBER(SEARCH("demolition",Q220)),ISNUMBER(SEARCH("injury",Q220))),1,0)+IF(OR(D220="Ongoing",D220="Unresolved"),1,0))))</x:f>
      </x:c>
      <x:c r="K220" s="16" t="str">
        <x:f>IF(J220="","",IF(J220=1,"Limited",IF(J220=2,"Local",IF(J220=3,"Significant",IF(J220=4,"High","Critical")))))</x:f>
      </x:c>
      <x:c r="L220" s="16" t="str">
        <x:f>IF(A220="","",Events!U219)</x:f>
      </x:c>
      <x:c r="M220" s="16" t="str">
        <x:f>IF(A220="","",Events!V219)</x:f>
      </x:c>
      <x:c r="N220" s="16" t="str">
        <x:f>IF(A220="","",Events!Q219)</x:f>
      </x:c>
      <x:c r="O220" s="16" t="str">
        <x:f>IF(A220="","",Events!R219)</x:f>
      </x:c>
      <x:c r="P220" s="16" t="str">
        <x:f>IF(A220="","",LOWER(Events!B219&amp;" "&amp;Events!D219&amp;" "&amp;Events!K219))</x:f>
      </x:c>
      <x:c r="Q220" s="16" t="str">
        <x:f>IF(A220="","",LOWER(Events!C219&amp;" "&amp;Events!K219&amp;" "&amp;Events!T219))</x:f>
      </x:c>
      <x:c r="R220" s="16" t="str">
        <x:f>IF(A220="","",IF(ISNUMBER(SEARCH("Occurrence verified",E220)),"Occurrence verified",E220))</x:f>
      </x:c>
      <x:c r="S220" s="79" t="str">
        <x:f>IF(A220="","",Events!X219)</x:f>
      </x:c>
      <x:c r="Z220" s="79" t="str">
        <x:f>IF(A220="","",Events!AD219)</x:f>
      </x:c>
      <x:c r="AA220" s="79" t="str">
        <x:f>IF(A220="","",Events!AE219)</x:f>
      </x:c>
    </x:row>
    <x:row r="221">
      <x:c r="A221" s="16" t="str">
        <x:f>IF(Events!A220="","",Events!A220)</x:f>
      </x:c>
      <x:c r="B221" s="16" t="str">
        <x:f>IF(A221="","",Events!B220)</x:f>
      </x:c>
      <x:c r="C221" s="16" t="str">
        <x:f>IF(A221="","",Events!E220)</x:f>
      </x:c>
      <x:c r="D221" s="16" t="str">
        <x:f>IF(A221="","",Events!J220)</x:f>
      </x:c>
      <x:c r="E221" s="16" t="str">
        <x:f>IF(A221="","",Events!N220)</x:f>
      </x:c>
      <x:c r="F221" s="109" t="str">
        <x:f>IF(OR(A221="",Events!H220=""),"",Events!H220)</x:f>
      </x:c>
      <x:c r="G221" s="109" t="str">
        <x:f>IF(A221="","",IF(Events!I220&lt;&gt;"",Events!I220,IF(Events!S220&lt;&gt;"",Events!S220,"")))</x:f>
      </x:c>
      <x:c r="H221" s="16" t="str">
        <x:f>IF(A221="","",Events!W220)</x:f>
      </x:c>
      <x:c r="I221" s="16" t="str">
        <x:f>IF(A221="","",IF(Events!Y220&lt;&gt;"",Events!Y220,IF(OR(ISNUMBER(SEARCH("education",P221)),ISNUMBER(SEARCH("exam",P221)),ISNUMBER(SEARCH("school",P221))),"Education",IF(OR(ISNUMBER(SEARCH("trade agreement",P221)),ISNUMBER(SEARCH("economic",P221)),ISNUMBER(SEARCH("import",P221))),"Trade &amp; economic policy",IF(OR(ISNUMBER(SEARCH("land acquisition",P221)),ISNUMBER(SEARCH("rehabilitation",P221)),ISNUMBER(SEARCH("displacement",P221)),ISNUMBER(SEARCH("township",P221))),"Land &amp; rehabilitation",IF(OR(ISNUMBER(SEARCH("forest",P221)),ISNUMBER(SEARCH("environment",P221)),ISNUMBER(SEARCH("ecological",P221)),ISNUMBER(SEARCH("biodiversity",P221)),ISNUMBER(SEARCH("green cover",P221))),"Environment",IF(OR(ISNUMBER(SEARCH("irrigation",P221)),ISNUMBER(SEARCH("water",P221)),ISNUMBER(SEARCH("crop",P221)),ISNUMBER(SEARCH("farmer",P221)),ISNUMBER(SEARCH("agriculture",P221))),"Agriculture &amp; water",IF(OR(ISNUMBER(SEARCH("health",P221)),ISNUMBER(SEARCH("hospital",P221)),ISNUMBER(SEARCH("medicine",P221))),"Public health",IF(OR(ISNUMBER(SEARCH("employee",P221)),ISNUMBER(SEARCH("labour",P221)),ISNUMBER(SEARCH("worker",P221)),ISNUMBER(SEARCH("salary",P221))),"Labour &amp; employment",IF(OR(ISNUMBER(SEARCH("rti",P221)),ISNUMBER(SEARCH("transparency",P221)),ISNUMBER(SEARCH("corruption",P221)),ISNUMBER(SEARCH("governance",P221))),"Governance &amp; transparency",IF(OR(ISNUMBER(SEARCH("police",P221)),ISNUMBER(SEARCH("detention",P221)),ISNUMBER(SEARCH("civil rights",P221)),ISNUMBER(SEARCH("justice",P221))),"Civil rights &amp; justice",IF(OR(ISNUMBER(SEARCH("road",P221)),ISNUMBER(SEARCH("utility",P221)),ISNUMBER(SEARCH("infrastructure",P221)),ISNUMBER(SEARCH("public service",P221))),"Infrastructure &amp; public services","Other"))))))))))))</x:f>
      </x:c>
      <x:c r="J221" s="16" t="str">
        <x:f>IF(A221="","",IF(OR(ISNUMBER(SEARCH("fatal",Q221)),ISNUMBER(SEARCH("death",Q221)),ISNUMBER(SEARCH("riot",Q221)),ISNUMBER(SEARCH("curfew",Q221)),ISNUMBER(SEARCH("internet shutdown",Q221))),5,MIN(4,1+IF(H221&gt;=7,1,0)+IF(OR(ISNUMBER(SEARCH("hunger strike",Q221)),ISNUMBER(SEARCH("blockade",Q221)),ISNUMBER(SEARCH("strike",Q221)),ISNUMBER(SEARCH("jal satyagraha",Q221)),ISNUMBER(SEARCH("survey",Q221)),ISNUMBER(SEARCH("human chain",Q221)),ISNUMBER(SEARCH("march",Q221))),1,0)+IF(OR(ISNUMBER(SEARCH("fir",Q221)),ISNUMBER(SEARCH("confrontation",Q221)),ISNUMBER(SEARCH("violence",Q221)),ISNUMBER(SEARCH("detention",Q221)),ISNUMBER(SEARCH("arrest",Q221)),ISNUMBER(SEARCH("demolition",Q221)),ISNUMBER(SEARCH("injury",Q221))),1,0)+IF(OR(D221="Ongoing",D221="Unresolved"),1,0))))</x:f>
      </x:c>
      <x:c r="K221" s="16" t="str">
        <x:f>IF(J221="","",IF(J221=1,"Limited",IF(J221=2,"Local",IF(J221=3,"Significant",IF(J221=4,"High","Critical")))))</x:f>
      </x:c>
      <x:c r="L221" s="16" t="str">
        <x:f>IF(A221="","",Events!U220)</x:f>
      </x:c>
      <x:c r="M221" s="16" t="str">
        <x:f>IF(A221="","",Events!V220)</x:f>
      </x:c>
      <x:c r="N221" s="16" t="str">
        <x:f>IF(A221="","",Events!Q220)</x:f>
      </x:c>
      <x:c r="O221" s="16" t="str">
        <x:f>IF(A221="","",Events!R220)</x:f>
      </x:c>
      <x:c r="P221" s="16" t="str">
        <x:f>IF(A221="","",LOWER(Events!B220&amp;" "&amp;Events!D220&amp;" "&amp;Events!K220))</x:f>
      </x:c>
      <x:c r="Q221" s="16" t="str">
        <x:f>IF(A221="","",LOWER(Events!C220&amp;" "&amp;Events!K220&amp;" "&amp;Events!T220))</x:f>
      </x:c>
      <x:c r="R221" s="16" t="str">
        <x:f>IF(A221="","",IF(ISNUMBER(SEARCH("Occurrence verified",E221)),"Occurrence verified",E221))</x:f>
      </x:c>
      <x:c r="S221" s="79" t="str">
        <x:f>IF(A221="","",Events!X220)</x:f>
      </x:c>
      <x:c r="Z221" s="79" t="str">
        <x:f>IF(A221="","",Events!AD220)</x:f>
      </x:c>
      <x:c r="AA221" s="79" t="str">
        <x:f>IF(A221="","",Events!AE220)</x:f>
      </x:c>
    </x:row>
    <x:row r="222">
      <x:c r="A222" s="16" t="str">
        <x:f>IF(Events!A221="","",Events!A221)</x:f>
      </x:c>
      <x:c r="B222" s="16" t="str">
        <x:f>IF(A222="","",Events!B221)</x:f>
      </x:c>
      <x:c r="C222" s="16" t="str">
        <x:f>IF(A222="","",Events!E221)</x:f>
      </x:c>
      <x:c r="D222" s="16" t="str">
        <x:f>IF(A222="","",Events!J221)</x:f>
      </x:c>
      <x:c r="E222" s="16" t="str">
        <x:f>IF(A222="","",Events!N221)</x:f>
      </x:c>
      <x:c r="F222" s="109" t="str">
        <x:f>IF(OR(A222="",Events!H221=""),"",Events!H221)</x:f>
      </x:c>
      <x:c r="G222" s="109" t="str">
        <x:f>IF(A222="","",IF(Events!I221&lt;&gt;"",Events!I221,IF(Events!S221&lt;&gt;"",Events!S221,"")))</x:f>
      </x:c>
      <x:c r="H222" s="16" t="str">
        <x:f>IF(A222="","",Events!W221)</x:f>
      </x:c>
      <x:c r="I222" s="16" t="str">
        <x:f>IF(A222="","",IF(Events!Y221&lt;&gt;"",Events!Y221,IF(OR(ISNUMBER(SEARCH("education",P222)),ISNUMBER(SEARCH("exam",P222)),ISNUMBER(SEARCH("school",P222))),"Education",IF(OR(ISNUMBER(SEARCH("trade agreement",P222)),ISNUMBER(SEARCH("economic",P222)),ISNUMBER(SEARCH("import",P222))),"Trade &amp; economic policy",IF(OR(ISNUMBER(SEARCH("land acquisition",P222)),ISNUMBER(SEARCH("rehabilitation",P222)),ISNUMBER(SEARCH("displacement",P222)),ISNUMBER(SEARCH("township",P222))),"Land &amp; rehabilitation",IF(OR(ISNUMBER(SEARCH("forest",P222)),ISNUMBER(SEARCH("environment",P222)),ISNUMBER(SEARCH("ecological",P222)),ISNUMBER(SEARCH("biodiversity",P222)),ISNUMBER(SEARCH("green cover",P222))),"Environment",IF(OR(ISNUMBER(SEARCH("irrigation",P222)),ISNUMBER(SEARCH("water",P222)),ISNUMBER(SEARCH("crop",P222)),ISNUMBER(SEARCH("farmer",P222)),ISNUMBER(SEARCH("agriculture",P222))),"Agriculture &amp; water",IF(OR(ISNUMBER(SEARCH("health",P222)),ISNUMBER(SEARCH("hospital",P222)),ISNUMBER(SEARCH("medicine",P222))),"Public health",IF(OR(ISNUMBER(SEARCH("employee",P222)),ISNUMBER(SEARCH("labour",P222)),ISNUMBER(SEARCH("worker",P222)),ISNUMBER(SEARCH("salary",P222))),"Labour &amp; employment",IF(OR(ISNUMBER(SEARCH("rti",P222)),ISNUMBER(SEARCH("transparency",P222)),ISNUMBER(SEARCH("corruption",P222)),ISNUMBER(SEARCH("governance",P222))),"Governance &amp; transparency",IF(OR(ISNUMBER(SEARCH("police",P222)),ISNUMBER(SEARCH("detention",P222)),ISNUMBER(SEARCH("civil rights",P222)),ISNUMBER(SEARCH("justice",P222))),"Civil rights &amp; justice",IF(OR(ISNUMBER(SEARCH("road",P222)),ISNUMBER(SEARCH("utility",P222)),ISNUMBER(SEARCH("infrastructure",P222)),ISNUMBER(SEARCH("public service",P222))),"Infrastructure &amp; public services","Other"))))))))))))</x:f>
      </x:c>
      <x:c r="J222" s="16" t="str">
        <x:f>IF(A222="","",IF(OR(ISNUMBER(SEARCH("fatal",Q222)),ISNUMBER(SEARCH("death",Q222)),ISNUMBER(SEARCH("riot",Q222)),ISNUMBER(SEARCH("curfew",Q222)),ISNUMBER(SEARCH("internet shutdown",Q222))),5,MIN(4,1+IF(H222&gt;=7,1,0)+IF(OR(ISNUMBER(SEARCH("hunger strike",Q222)),ISNUMBER(SEARCH("blockade",Q222)),ISNUMBER(SEARCH("strike",Q222)),ISNUMBER(SEARCH("jal satyagraha",Q222)),ISNUMBER(SEARCH("survey",Q222)),ISNUMBER(SEARCH("human chain",Q222)),ISNUMBER(SEARCH("march",Q222))),1,0)+IF(OR(ISNUMBER(SEARCH("fir",Q222)),ISNUMBER(SEARCH("confrontation",Q222)),ISNUMBER(SEARCH("violence",Q222)),ISNUMBER(SEARCH("detention",Q222)),ISNUMBER(SEARCH("arrest",Q222)),ISNUMBER(SEARCH("demolition",Q222)),ISNUMBER(SEARCH("injury",Q222))),1,0)+IF(OR(D222="Ongoing",D222="Unresolved"),1,0))))</x:f>
      </x:c>
      <x:c r="K222" s="16" t="str">
        <x:f>IF(J222="","",IF(J222=1,"Limited",IF(J222=2,"Local",IF(J222=3,"Significant",IF(J222=4,"High","Critical")))))</x:f>
      </x:c>
      <x:c r="L222" s="16" t="str">
        <x:f>IF(A222="","",Events!U221)</x:f>
      </x:c>
      <x:c r="M222" s="16" t="str">
        <x:f>IF(A222="","",Events!V221)</x:f>
      </x:c>
      <x:c r="N222" s="16" t="str">
        <x:f>IF(A222="","",Events!Q221)</x:f>
      </x:c>
      <x:c r="O222" s="16" t="str">
        <x:f>IF(A222="","",Events!R221)</x:f>
      </x:c>
      <x:c r="P222" s="16" t="str">
        <x:f>IF(A222="","",LOWER(Events!B221&amp;" "&amp;Events!D221&amp;" "&amp;Events!K221))</x:f>
      </x:c>
      <x:c r="Q222" s="16" t="str">
        <x:f>IF(A222="","",LOWER(Events!C221&amp;" "&amp;Events!K221&amp;" "&amp;Events!T221))</x:f>
      </x:c>
      <x:c r="R222" s="16" t="str">
        <x:f>IF(A222="","",IF(ISNUMBER(SEARCH("Occurrence verified",E222)),"Occurrence verified",E222))</x:f>
      </x:c>
      <x:c r="S222" s="79" t="str">
        <x:f>IF(A222="","",Events!X221)</x:f>
      </x:c>
      <x:c r="Z222" s="79" t="str">
        <x:f>IF(A222="","",Events!AD221)</x:f>
      </x:c>
      <x:c r="AA222" s="79" t="str">
        <x:f>IF(A222="","",Events!AE221)</x:f>
      </x:c>
    </x:row>
    <x:row r="223">
      <x:c r="A223" s="16" t="str">
        <x:f>IF(Events!A222="","",Events!A222)</x:f>
      </x:c>
      <x:c r="B223" s="16" t="str">
        <x:f>IF(A223="","",Events!B222)</x:f>
      </x:c>
      <x:c r="C223" s="16" t="str">
        <x:f>IF(A223="","",Events!E222)</x:f>
      </x:c>
      <x:c r="D223" s="16" t="str">
        <x:f>IF(A223="","",Events!J222)</x:f>
      </x:c>
      <x:c r="E223" s="16" t="str">
        <x:f>IF(A223="","",Events!N222)</x:f>
      </x:c>
      <x:c r="F223" s="109" t="str">
        <x:f>IF(OR(A223="",Events!H222=""),"",Events!H222)</x:f>
      </x:c>
      <x:c r="G223" s="109" t="str">
        <x:f>IF(A223="","",IF(Events!I222&lt;&gt;"",Events!I222,IF(Events!S222&lt;&gt;"",Events!S222,"")))</x:f>
      </x:c>
      <x:c r="H223" s="16" t="str">
        <x:f>IF(A223="","",Events!W222)</x:f>
      </x:c>
      <x:c r="I223" s="16" t="str">
        <x:f>IF(A223="","",IF(Events!Y222&lt;&gt;"",Events!Y222,IF(OR(ISNUMBER(SEARCH("education",P223)),ISNUMBER(SEARCH("exam",P223)),ISNUMBER(SEARCH("school",P223))),"Education",IF(OR(ISNUMBER(SEARCH("trade agreement",P223)),ISNUMBER(SEARCH("economic",P223)),ISNUMBER(SEARCH("import",P223))),"Trade &amp; economic policy",IF(OR(ISNUMBER(SEARCH("land acquisition",P223)),ISNUMBER(SEARCH("rehabilitation",P223)),ISNUMBER(SEARCH("displacement",P223)),ISNUMBER(SEARCH("township",P223))),"Land &amp; rehabilitation",IF(OR(ISNUMBER(SEARCH("forest",P223)),ISNUMBER(SEARCH("environment",P223)),ISNUMBER(SEARCH("ecological",P223)),ISNUMBER(SEARCH("biodiversity",P223)),ISNUMBER(SEARCH("green cover",P223))),"Environment",IF(OR(ISNUMBER(SEARCH("irrigation",P223)),ISNUMBER(SEARCH("water",P223)),ISNUMBER(SEARCH("crop",P223)),ISNUMBER(SEARCH("farmer",P223)),ISNUMBER(SEARCH("agriculture",P223))),"Agriculture &amp; water",IF(OR(ISNUMBER(SEARCH("health",P223)),ISNUMBER(SEARCH("hospital",P223)),ISNUMBER(SEARCH("medicine",P223))),"Public health",IF(OR(ISNUMBER(SEARCH("employee",P223)),ISNUMBER(SEARCH("labour",P223)),ISNUMBER(SEARCH("worker",P223)),ISNUMBER(SEARCH("salary",P223))),"Labour &amp; employment",IF(OR(ISNUMBER(SEARCH("rti",P223)),ISNUMBER(SEARCH("transparency",P223)),ISNUMBER(SEARCH("corruption",P223)),ISNUMBER(SEARCH("governance",P223))),"Governance &amp; transparency",IF(OR(ISNUMBER(SEARCH("police",P223)),ISNUMBER(SEARCH("detention",P223)),ISNUMBER(SEARCH("civil rights",P223)),ISNUMBER(SEARCH("justice",P223))),"Civil rights &amp; justice",IF(OR(ISNUMBER(SEARCH("road",P223)),ISNUMBER(SEARCH("utility",P223)),ISNUMBER(SEARCH("infrastructure",P223)),ISNUMBER(SEARCH("public service",P223))),"Infrastructure &amp; public services","Other"))))))))))))</x:f>
      </x:c>
      <x:c r="J223" s="16" t="str">
        <x:f>IF(A223="","",IF(OR(ISNUMBER(SEARCH("fatal",Q223)),ISNUMBER(SEARCH("death",Q223)),ISNUMBER(SEARCH("riot",Q223)),ISNUMBER(SEARCH("curfew",Q223)),ISNUMBER(SEARCH("internet shutdown",Q223))),5,MIN(4,1+IF(H223&gt;=7,1,0)+IF(OR(ISNUMBER(SEARCH("hunger strike",Q223)),ISNUMBER(SEARCH("blockade",Q223)),ISNUMBER(SEARCH("strike",Q223)),ISNUMBER(SEARCH("jal satyagraha",Q223)),ISNUMBER(SEARCH("survey",Q223)),ISNUMBER(SEARCH("human chain",Q223)),ISNUMBER(SEARCH("march",Q223))),1,0)+IF(OR(ISNUMBER(SEARCH("fir",Q223)),ISNUMBER(SEARCH("confrontation",Q223)),ISNUMBER(SEARCH("violence",Q223)),ISNUMBER(SEARCH("detention",Q223)),ISNUMBER(SEARCH("arrest",Q223)),ISNUMBER(SEARCH("demolition",Q223)),ISNUMBER(SEARCH("injury",Q223))),1,0)+IF(OR(D223="Ongoing",D223="Unresolved"),1,0))))</x:f>
      </x:c>
      <x:c r="K223" s="16" t="str">
        <x:f>IF(J223="","",IF(J223=1,"Limited",IF(J223=2,"Local",IF(J223=3,"Significant",IF(J223=4,"High","Critical")))))</x:f>
      </x:c>
      <x:c r="L223" s="16" t="str">
        <x:f>IF(A223="","",Events!U222)</x:f>
      </x:c>
      <x:c r="M223" s="16" t="str">
        <x:f>IF(A223="","",Events!V222)</x:f>
      </x:c>
      <x:c r="N223" s="16" t="str">
        <x:f>IF(A223="","",Events!Q222)</x:f>
      </x:c>
      <x:c r="O223" s="16" t="str">
        <x:f>IF(A223="","",Events!R222)</x:f>
      </x:c>
      <x:c r="P223" s="16" t="str">
        <x:f>IF(A223="","",LOWER(Events!B222&amp;" "&amp;Events!D222&amp;" "&amp;Events!K222))</x:f>
      </x:c>
      <x:c r="Q223" s="16" t="str">
        <x:f>IF(A223="","",LOWER(Events!C222&amp;" "&amp;Events!K222&amp;" "&amp;Events!T222))</x:f>
      </x:c>
      <x:c r="R223" s="16" t="str">
        <x:f>IF(A223="","",IF(ISNUMBER(SEARCH("Occurrence verified",E223)),"Occurrence verified",E223))</x:f>
      </x:c>
      <x:c r="S223" s="79" t="str">
        <x:f>IF(A223="","",Events!X222)</x:f>
      </x:c>
      <x:c r="Z223" s="79" t="str">
        <x:f>IF(A223="","",Events!AD222)</x:f>
      </x:c>
      <x:c r="AA223" s="79" t="str">
        <x:f>IF(A223="","",Events!AE222)</x:f>
      </x:c>
    </x:row>
    <x:row r="224">
      <x:c r="A224" s="16" t="str">
        <x:f>IF(Events!A223="","",Events!A223)</x:f>
      </x:c>
      <x:c r="B224" s="16" t="str">
        <x:f>IF(A224="","",Events!B223)</x:f>
      </x:c>
      <x:c r="C224" s="16" t="str">
        <x:f>IF(A224="","",Events!E223)</x:f>
      </x:c>
      <x:c r="D224" s="16" t="str">
        <x:f>IF(A224="","",Events!J223)</x:f>
      </x:c>
      <x:c r="E224" s="16" t="str">
        <x:f>IF(A224="","",Events!N223)</x:f>
      </x:c>
      <x:c r="F224" s="109" t="str">
        <x:f>IF(OR(A224="",Events!H223=""),"",Events!H223)</x:f>
      </x:c>
      <x:c r="G224" s="109" t="str">
        <x:f>IF(A224="","",IF(Events!I223&lt;&gt;"",Events!I223,IF(Events!S223&lt;&gt;"",Events!S223,"")))</x:f>
      </x:c>
      <x:c r="H224" s="16" t="str">
        <x:f>IF(A224="","",Events!W223)</x:f>
      </x:c>
      <x:c r="I224" s="16" t="str">
        <x:f>IF(A224="","",IF(Events!Y223&lt;&gt;"",Events!Y223,IF(OR(ISNUMBER(SEARCH("education",P224)),ISNUMBER(SEARCH("exam",P224)),ISNUMBER(SEARCH("school",P224))),"Education",IF(OR(ISNUMBER(SEARCH("trade agreement",P224)),ISNUMBER(SEARCH("economic",P224)),ISNUMBER(SEARCH("import",P224))),"Trade &amp; economic policy",IF(OR(ISNUMBER(SEARCH("land acquisition",P224)),ISNUMBER(SEARCH("rehabilitation",P224)),ISNUMBER(SEARCH("displacement",P224)),ISNUMBER(SEARCH("township",P224))),"Land &amp; rehabilitation",IF(OR(ISNUMBER(SEARCH("forest",P224)),ISNUMBER(SEARCH("environment",P224)),ISNUMBER(SEARCH("ecological",P224)),ISNUMBER(SEARCH("biodiversity",P224)),ISNUMBER(SEARCH("green cover",P224))),"Environment",IF(OR(ISNUMBER(SEARCH("irrigation",P224)),ISNUMBER(SEARCH("water",P224)),ISNUMBER(SEARCH("crop",P224)),ISNUMBER(SEARCH("farmer",P224)),ISNUMBER(SEARCH("agriculture",P224))),"Agriculture &amp; water",IF(OR(ISNUMBER(SEARCH("health",P224)),ISNUMBER(SEARCH("hospital",P224)),ISNUMBER(SEARCH("medicine",P224))),"Public health",IF(OR(ISNUMBER(SEARCH("employee",P224)),ISNUMBER(SEARCH("labour",P224)),ISNUMBER(SEARCH("worker",P224)),ISNUMBER(SEARCH("salary",P224))),"Labour &amp; employment",IF(OR(ISNUMBER(SEARCH("rti",P224)),ISNUMBER(SEARCH("transparency",P224)),ISNUMBER(SEARCH("corruption",P224)),ISNUMBER(SEARCH("governance",P224))),"Governance &amp; transparency",IF(OR(ISNUMBER(SEARCH("police",P224)),ISNUMBER(SEARCH("detention",P224)),ISNUMBER(SEARCH("civil rights",P224)),ISNUMBER(SEARCH("justice",P224))),"Civil rights &amp; justice",IF(OR(ISNUMBER(SEARCH("road",P224)),ISNUMBER(SEARCH("utility",P224)),ISNUMBER(SEARCH("infrastructure",P224)),ISNUMBER(SEARCH("public service",P224))),"Infrastructure &amp; public services","Other"))))))))))))</x:f>
      </x:c>
      <x:c r="J224" s="16" t="str">
        <x:f>IF(A224="","",IF(OR(ISNUMBER(SEARCH("fatal",Q224)),ISNUMBER(SEARCH("death",Q224)),ISNUMBER(SEARCH("riot",Q224)),ISNUMBER(SEARCH("curfew",Q224)),ISNUMBER(SEARCH("internet shutdown",Q224))),5,MIN(4,1+IF(H224&gt;=7,1,0)+IF(OR(ISNUMBER(SEARCH("hunger strike",Q224)),ISNUMBER(SEARCH("blockade",Q224)),ISNUMBER(SEARCH("strike",Q224)),ISNUMBER(SEARCH("jal satyagraha",Q224)),ISNUMBER(SEARCH("survey",Q224)),ISNUMBER(SEARCH("human chain",Q224)),ISNUMBER(SEARCH("march",Q224))),1,0)+IF(OR(ISNUMBER(SEARCH("fir",Q224)),ISNUMBER(SEARCH("confrontation",Q224)),ISNUMBER(SEARCH("violence",Q224)),ISNUMBER(SEARCH("detention",Q224)),ISNUMBER(SEARCH("arrest",Q224)),ISNUMBER(SEARCH("demolition",Q224)),ISNUMBER(SEARCH("injury",Q224))),1,0)+IF(OR(D224="Ongoing",D224="Unresolved"),1,0))))</x:f>
      </x:c>
      <x:c r="K224" s="16" t="str">
        <x:f>IF(J224="","",IF(J224=1,"Limited",IF(J224=2,"Local",IF(J224=3,"Significant",IF(J224=4,"High","Critical")))))</x:f>
      </x:c>
      <x:c r="L224" s="16" t="str">
        <x:f>IF(A224="","",Events!U223)</x:f>
      </x:c>
      <x:c r="M224" s="16" t="str">
        <x:f>IF(A224="","",Events!V223)</x:f>
      </x:c>
      <x:c r="N224" s="16" t="str">
        <x:f>IF(A224="","",Events!Q223)</x:f>
      </x:c>
      <x:c r="O224" s="16" t="str">
        <x:f>IF(A224="","",Events!R223)</x:f>
      </x:c>
      <x:c r="P224" s="16" t="str">
        <x:f>IF(A224="","",LOWER(Events!B223&amp;" "&amp;Events!D223&amp;" "&amp;Events!K223))</x:f>
      </x:c>
      <x:c r="Q224" s="16" t="str">
        <x:f>IF(A224="","",LOWER(Events!C223&amp;" "&amp;Events!K223&amp;" "&amp;Events!T223))</x:f>
      </x:c>
      <x:c r="R224" s="16" t="str">
        <x:f>IF(A224="","",IF(ISNUMBER(SEARCH("Occurrence verified",E224)),"Occurrence verified",E224))</x:f>
      </x:c>
      <x:c r="S224" s="79" t="str">
        <x:f>IF(A224="","",Events!X223)</x:f>
      </x:c>
      <x:c r="Z224" s="79" t="str">
        <x:f>IF(A224="","",Events!AD223)</x:f>
      </x:c>
      <x:c r="AA224" s="79" t="str">
        <x:f>IF(A224="","",Events!AE223)</x:f>
      </x:c>
    </x:row>
    <x:row r="225">
      <x:c r="A225" s="16" t="str">
        <x:f>IF(Events!A224="","",Events!A224)</x:f>
      </x:c>
      <x:c r="B225" s="16" t="str">
        <x:f>IF(A225="","",Events!B224)</x:f>
      </x:c>
      <x:c r="C225" s="16" t="str">
        <x:f>IF(A225="","",Events!E224)</x:f>
      </x:c>
      <x:c r="D225" s="16" t="str">
        <x:f>IF(A225="","",Events!J224)</x:f>
      </x:c>
      <x:c r="E225" s="16" t="str">
        <x:f>IF(A225="","",Events!N224)</x:f>
      </x:c>
      <x:c r="F225" s="109" t="str">
        <x:f>IF(OR(A225="",Events!H224=""),"",Events!H224)</x:f>
      </x:c>
      <x:c r="G225" s="109" t="str">
        <x:f>IF(A225="","",IF(Events!I224&lt;&gt;"",Events!I224,IF(Events!S224&lt;&gt;"",Events!S224,"")))</x:f>
      </x:c>
      <x:c r="H225" s="16" t="str">
        <x:f>IF(A225="","",Events!W224)</x:f>
      </x:c>
      <x:c r="I225" s="16" t="str">
        <x:f>IF(A225="","",IF(Events!Y224&lt;&gt;"",Events!Y224,IF(OR(ISNUMBER(SEARCH("education",P225)),ISNUMBER(SEARCH("exam",P225)),ISNUMBER(SEARCH("school",P225))),"Education",IF(OR(ISNUMBER(SEARCH("trade agreement",P225)),ISNUMBER(SEARCH("economic",P225)),ISNUMBER(SEARCH("import",P225))),"Trade &amp; economic policy",IF(OR(ISNUMBER(SEARCH("land acquisition",P225)),ISNUMBER(SEARCH("rehabilitation",P225)),ISNUMBER(SEARCH("displacement",P225)),ISNUMBER(SEARCH("township",P225))),"Land &amp; rehabilitation",IF(OR(ISNUMBER(SEARCH("forest",P225)),ISNUMBER(SEARCH("environment",P225)),ISNUMBER(SEARCH("ecological",P225)),ISNUMBER(SEARCH("biodiversity",P225)),ISNUMBER(SEARCH("green cover",P225))),"Environment",IF(OR(ISNUMBER(SEARCH("irrigation",P225)),ISNUMBER(SEARCH("water",P225)),ISNUMBER(SEARCH("crop",P225)),ISNUMBER(SEARCH("farmer",P225)),ISNUMBER(SEARCH("agriculture",P225))),"Agriculture &amp; water",IF(OR(ISNUMBER(SEARCH("health",P225)),ISNUMBER(SEARCH("hospital",P225)),ISNUMBER(SEARCH("medicine",P225))),"Public health",IF(OR(ISNUMBER(SEARCH("employee",P225)),ISNUMBER(SEARCH("labour",P225)),ISNUMBER(SEARCH("worker",P225)),ISNUMBER(SEARCH("salary",P225))),"Labour &amp; employment",IF(OR(ISNUMBER(SEARCH("rti",P225)),ISNUMBER(SEARCH("transparency",P225)),ISNUMBER(SEARCH("corruption",P225)),ISNUMBER(SEARCH("governance",P225))),"Governance &amp; transparency",IF(OR(ISNUMBER(SEARCH("police",P225)),ISNUMBER(SEARCH("detention",P225)),ISNUMBER(SEARCH("civil rights",P225)),ISNUMBER(SEARCH("justice",P225))),"Civil rights &amp; justice",IF(OR(ISNUMBER(SEARCH("road",P225)),ISNUMBER(SEARCH("utility",P225)),ISNUMBER(SEARCH("infrastructure",P225)),ISNUMBER(SEARCH("public service",P225))),"Infrastructure &amp; public services","Other"))))))))))))</x:f>
      </x:c>
      <x:c r="J225" s="16" t="str">
        <x:f>IF(A225="","",IF(OR(ISNUMBER(SEARCH("fatal",Q225)),ISNUMBER(SEARCH("death",Q225)),ISNUMBER(SEARCH("riot",Q225)),ISNUMBER(SEARCH("curfew",Q225)),ISNUMBER(SEARCH("internet shutdown",Q225))),5,MIN(4,1+IF(H225&gt;=7,1,0)+IF(OR(ISNUMBER(SEARCH("hunger strike",Q225)),ISNUMBER(SEARCH("blockade",Q225)),ISNUMBER(SEARCH("strike",Q225)),ISNUMBER(SEARCH("jal satyagraha",Q225)),ISNUMBER(SEARCH("survey",Q225)),ISNUMBER(SEARCH("human chain",Q225)),ISNUMBER(SEARCH("march",Q225))),1,0)+IF(OR(ISNUMBER(SEARCH("fir",Q225)),ISNUMBER(SEARCH("confrontation",Q225)),ISNUMBER(SEARCH("violence",Q225)),ISNUMBER(SEARCH("detention",Q225)),ISNUMBER(SEARCH("arrest",Q225)),ISNUMBER(SEARCH("demolition",Q225)),ISNUMBER(SEARCH("injury",Q225))),1,0)+IF(OR(D225="Ongoing",D225="Unresolved"),1,0))))</x:f>
      </x:c>
      <x:c r="K225" s="16" t="str">
        <x:f>IF(J225="","",IF(J225=1,"Limited",IF(J225=2,"Local",IF(J225=3,"Significant",IF(J225=4,"High","Critical")))))</x:f>
      </x:c>
      <x:c r="L225" s="16" t="str">
        <x:f>IF(A225="","",Events!U224)</x:f>
      </x:c>
      <x:c r="M225" s="16" t="str">
        <x:f>IF(A225="","",Events!V224)</x:f>
      </x:c>
      <x:c r="N225" s="16" t="str">
        <x:f>IF(A225="","",Events!Q224)</x:f>
      </x:c>
      <x:c r="O225" s="16" t="str">
        <x:f>IF(A225="","",Events!R224)</x:f>
      </x:c>
      <x:c r="P225" s="16" t="str">
        <x:f>IF(A225="","",LOWER(Events!B224&amp;" "&amp;Events!D224&amp;" "&amp;Events!K224))</x:f>
      </x:c>
      <x:c r="Q225" s="16" t="str">
        <x:f>IF(A225="","",LOWER(Events!C224&amp;" "&amp;Events!K224&amp;" "&amp;Events!T224))</x:f>
      </x:c>
      <x:c r="R225" s="16" t="str">
        <x:f>IF(A225="","",IF(ISNUMBER(SEARCH("Occurrence verified",E225)),"Occurrence verified",E225))</x:f>
      </x:c>
      <x:c r="S225" s="79" t="str">
        <x:f>IF(A225="","",Events!X224)</x:f>
      </x:c>
      <x:c r="Z225" s="79" t="str">
        <x:f>IF(A225="","",Events!AD224)</x:f>
      </x:c>
      <x:c r="AA225" s="79" t="str">
        <x:f>IF(A225="","",Events!AE224)</x:f>
      </x:c>
    </x:row>
    <x:row r="226">
      <x:c r="A226" s="16" t="str">
        <x:f>IF(Events!A225="","",Events!A225)</x:f>
      </x:c>
      <x:c r="B226" s="16" t="str">
        <x:f>IF(A226="","",Events!B225)</x:f>
      </x:c>
      <x:c r="C226" s="16" t="str">
        <x:f>IF(A226="","",Events!E225)</x:f>
      </x:c>
      <x:c r="D226" s="16" t="str">
        <x:f>IF(A226="","",Events!J225)</x:f>
      </x:c>
      <x:c r="E226" s="16" t="str">
        <x:f>IF(A226="","",Events!N225)</x:f>
      </x:c>
      <x:c r="F226" s="109" t="str">
        <x:f>IF(OR(A226="",Events!H225=""),"",Events!H225)</x:f>
      </x:c>
      <x:c r="G226" s="109" t="str">
        <x:f>IF(A226="","",IF(Events!I225&lt;&gt;"",Events!I225,IF(Events!S225&lt;&gt;"",Events!S225,"")))</x:f>
      </x:c>
      <x:c r="H226" s="16" t="str">
        <x:f>IF(A226="","",Events!W225)</x:f>
      </x:c>
      <x:c r="I226" s="16" t="str">
        <x:f>IF(A226="","",IF(Events!Y225&lt;&gt;"",Events!Y225,IF(OR(ISNUMBER(SEARCH("education",P226)),ISNUMBER(SEARCH("exam",P226)),ISNUMBER(SEARCH("school",P226))),"Education",IF(OR(ISNUMBER(SEARCH("trade agreement",P226)),ISNUMBER(SEARCH("economic",P226)),ISNUMBER(SEARCH("import",P226))),"Trade &amp; economic policy",IF(OR(ISNUMBER(SEARCH("land acquisition",P226)),ISNUMBER(SEARCH("rehabilitation",P226)),ISNUMBER(SEARCH("displacement",P226)),ISNUMBER(SEARCH("township",P226))),"Land &amp; rehabilitation",IF(OR(ISNUMBER(SEARCH("forest",P226)),ISNUMBER(SEARCH("environment",P226)),ISNUMBER(SEARCH("ecological",P226)),ISNUMBER(SEARCH("biodiversity",P226)),ISNUMBER(SEARCH("green cover",P226))),"Environment",IF(OR(ISNUMBER(SEARCH("irrigation",P226)),ISNUMBER(SEARCH("water",P226)),ISNUMBER(SEARCH("crop",P226)),ISNUMBER(SEARCH("farmer",P226)),ISNUMBER(SEARCH("agriculture",P226))),"Agriculture &amp; water",IF(OR(ISNUMBER(SEARCH("health",P226)),ISNUMBER(SEARCH("hospital",P226)),ISNUMBER(SEARCH("medicine",P226))),"Public health",IF(OR(ISNUMBER(SEARCH("employee",P226)),ISNUMBER(SEARCH("labour",P226)),ISNUMBER(SEARCH("worker",P226)),ISNUMBER(SEARCH("salary",P226))),"Labour &amp; employment",IF(OR(ISNUMBER(SEARCH("rti",P226)),ISNUMBER(SEARCH("transparency",P226)),ISNUMBER(SEARCH("corruption",P226)),ISNUMBER(SEARCH("governance",P226))),"Governance &amp; transparency",IF(OR(ISNUMBER(SEARCH("police",P226)),ISNUMBER(SEARCH("detention",P226)),ISNUMBER(SEARCH("civil rights",P226)),ISNUMBER(SEARCH("justice",P226))),"Civil rights &amp; justice",IF(OR(ISNUMBER(SEARCH("road",P226)),ISNUMBER(SEARCH("utility",P226)),ISNUMBER(SEARCH("infrastructure",P226)),ISNUMBER(SEARCH("public service",P226))),"Infrastructure &amp; public services","Other"))))))))))))</x:f>
      </x:c>
      <x:c r="J226" s="16" t="str">
        <x:f>IF(A226="","",IF(OR(ISNUMBER(SEARCH("fatal",Q226)),ISNUMBER(SEARCH("death",Q226)),ISNUMBER(SEARCH("riot",Q226)),ISNUMBER(SEARCH("curfew",Q226)),ISNUMBER(SEARCH("internet shutdown",Q226))),5,MIN(4,1+IF(H226&gt;=7,1,0)+IF(OR(ISNUMBER(SEARCH("hunger strike",Q226)),ISNUMBER(SEARCH("blockade",Q226)),ISNUMBER(SEARCH("strike",Q226)),ISNUMBER(SEARCH("jal satyagraha",Q226)),ISNUMBER(SEARCH("survey",Q226)),ISNUMBER(SEARCH("human chain",Q226)),ISNUMBER(SEARCH("march",Q226))),1,0)+IF(OR(ISNUMBER(SEARCH("fir",Q226)),ISNUMBER(SEARCH("confrontation",Q226)),ISNUMBER(SEARCH("violence",Q226)),ISNUMBER(SEARCH("detention",Q226)),ISNUMBER(SEARCH("arrest",Q226)),ISNUMBER(SEARCH("demolition",Q226)),ISNUMBER(SEARCH("injury",Q226))),1,0)+IF(OR(D226="Ongoing",D226="Unresolved"),1,0))))</x:f>
      </x:c>
      <x:c r="K226" s="16" t="str">
        <x:f>IF(J226="","",IF(J226=1,"Limited",IF(J226=2,"Local",IF(J226=3,"Significant",IF(J226=4,"High","Critical")))))</x:f>
      </x:c>
      <x:c r="L226" s="16" t="str">
        <x:f>IF(A226="","",Events!U225)</x:f>
      </x:c>
      <x:c r="M226" s="16" t="str">
        <x:f>IF(A226="","",Events!V225)</x:f>
      </x:c>
      <x:c r="N226" s="16" t="str">
        <x:f>IF(A226="","",Events!Q225)</x:f>
      </x:c>
      <x:c r="O226" s="16" t="str">
        <x:f>IF(A226="","",Events!R225)</x:f>
      </x:c>
      <x:c r="P226" s="16" t="str">
        <x:f>IF(A226="","",LOWER(Events!B225&amp;" "&amp;Events!D225&amp;" "&amp;Events!K225))</x:f>
      </x:c>
      <x:c r="Q226" s="16" t="str">
        <x:f>IF(A226="","",LOWER(Events!C225&amp;" "&amp;Events!K225&amp;" "&amp;Events!T225))</x:f>
      </x:c>
      <x:c r="R226" s="16" t="str">
        <x:f>IF(A226="","",IF(ISNUMBER(SEARCH("Occurrence verified",E226)),"Occurrence verified",E226))</x:f>
      </x:c>
      <x:c r="S226" s="79" t="str">
        <x:f>IF(A226="","",Events!X225)</x:f>
      </x:c>
      <x:c r="Z226" s="79" t="str">
        <x:f>IF(A226="","",Events!AD225)</x:f>
      </x:c>
      <x:c r="AA226" s="79" t="str">
        <x:f>IF(A226="","",Events!AE225)</x:f>
      </x:c>
    </x:row>
    <x:row r="227">
      <x:c r="A227" s="16" t="str">
        <x:f>IF(Events!A226="","",Events!A226)</x:f>
      </x:c>
      <x:c r="B227" s="16" t="str">
        <x:f>IF(A227="","",Events!B226)</x:f>
      </x:c>
      <x:c r="C227" s="16" t="str">
        <x:f>IF(A227="","",Events!E226)</x:f>
      </x:c>
      <x:c r="D227" s="16" t="str">
        <x:f>IF(A227="","",Events!J226)</x:f>
      </x:c>
      <x:c r="E227" s="16" t="str">
        <x:f>IF(A227="","",Events!N226)</x:f>
      </x:c>
      <x:c r="F227" s="109" t="str">
        <x:f>IF(OR(A227="",Events!H226=""),"",Events!H226)</x:f>
      </x:c>
      <x:c r="G227" s="109" t="str">
        <x:f>IF(A227="","",IF(Events!I226&lt;&gt;"",Events!I226,IF(Events!S226&lt;&gt;"",Events!S226,"")))</x:f>
      </x:c>
      <x:c r="H227" s="16" t="str">
        <x:f>IF(A227="","",Events!W226)</x:f>
      </x:c>
      <x:c r="I227" s="16" t="str">
        <x:f>IF(A227="","",IF(Events!Y226&lt;&gt;"",Events!Y226,IF(OR(ISNUMBER(SEARCH("education",P227)),ISNUMBER(SEARCH("exam",P227)),ISNUMBER(SEARCH("school",P227))),"Education",IF(OR(ISNUMBER(SEARCH("trade agreement",P227)),ISNUMBER(SEARCH("economic",P227)),ISNUMBER(SEARCH("import",P227))),"Trade &amp; economic policy",IF(OR(ISNUMBER(SEARCH("land acquisition",P227)),ISNUMBER(SEARCH("rehabilitation",P227)),ISNUMBER(SEARCH("displacement",P227)),ISNUMBER(SEARCH("township",P227))),"Land &amp; rehabilitation",IF(OR(ISNUMBER(SEARCH("forest",P227)),ISNUMBER(SEARCH("environment",P227)),ISNUMBER(SEARCH("ecological",P227)),ISNUMBER(SEARCH("biodiversity",P227)),ISNUMBER(SEARCH("green cover",P227))),"Environment",IF(OR(ISNUMBER(SEARCH("irrigation",P227)),ISNUMBER(SEARCH("water",P227)),ISNUMBER(SEARCH("crop",P227)),ISNUMBER(SEARCH("farmer",P227)),ISNUMBER(SEARCH("agriculture",P227))),"Agriculture &amp; water",IF(OR(ISNUMBER(SEARCH("health",P227)),ISNUMBER(SEARCH("hospital",P227)),ISNUMBER(SEARCH("medicine",P227))),"Public health",IF(OR(ISNUMBER(SEARCH("employee",P227)),ISNUMBER(SEARCH("labour",P227)),ISNUMBER(SEARCH("worker",P227)),ISNUMBER(SEARCH("salary",P227))),"Labour &amp; employment",IF(OR(ISNUMBER(SEARCH("rti",P227)),ISNUMBER(SEARCH("transparency",P227)),ISNUMBER(SEARCH("corruption",P227)),ISNUMBER(SEARCH("governance",P227))),"Governance &amp; transparency",IF(OR(ISNUMBER(SEARCH("police",P227)),ISNUMBER(SEARCH("detention",P227)),ISNUMBER(SEARCH("civil rights",P227)),ISNUMBER(SEARCH("justice",P227))),"Civil rights &amp; justice",IF(OR(ISNUMBER(SEARCH("road",P227)),ISNUMBER(SEARCH("utility",P227)),ISNUMBER(SEARCH("infrastructure",P227)),ISNUMBER(SEARCH("public service",P227))),"Infrastructure &amp; public services","Other"))))))))))))</x:f>
      </x:c>
      <x:c r="J227" s="16" t="str">
        <x:f>IF(A227="","",IF(OR(ISNUMBER(SEARCH("fatal",Q227)),ISNUMBER(SEARCH("death",Q227)),ISNUMBER(SEARCH("riot",Q227)),ISNUMBER(SEARCH("curfew",Q227)),ISNUMBER(SEARCH("internet shutdown",Q227))),5,MIN(4,1+IF(H227&gt;=7,1,0)+IF(OR(ISNUMBER(SEARCH("hunger strike",Q227)),ISNUMBER(SEARCH("blockade",Q227)),ISNUMBER(SEARCH("strike",Q227)),ISNUMBER(SEARCH("jal satyagraha",Q227)),ISNUMBER(SEARCH("survey",Q227)),ISNUMBER(SEARCH("human chain",Q227)),ISNUMBER(SEARCH("march",Q227))),1,0)+IF(OR(ISNUMBER(SEARCH("fir",Q227)),ISNUMBER(SEARCH("confrontation",Q227)),ISNUMBER(SEARCH("violence",Q227)),ISNUMBER(SEARCH("detention",Q227)),ISNUMBER(SEARCH("arrest",Q227)),ISNUMBER(SEARCH("demolition",Q227)),ISNUMBER(SEARCH("injury",Q227))),1,0)+IF(OR(D227="Ongoing",D227="Unresolved"),1,0))))</x:f>
      </x:c>
      <x:c r="K227" s="16" t="str">
        <x:f>IF(J227="","",IF(J227=1,"Limited",IF(J227=2,"Local",IF(J227=3,"Significant",IF(J227=4,"High","Critical")))))</x:f>
      </x:c>
      <x:c r="L227" s="16" t="str">
        <x:f>IF(A227="","",Events!U226)</x:f>
      </x:c>
      <x:c r="M227" s="16" t="str">
        <x:f>IF(A227="","",Events!V226)</x:f>
      </x:c>
      <x:c r="N227" s="16" t="str">
        <x:f>IF(A227="","",Events!Q226)</x:f>
      </x:c>
      <x:c r="O227" s="16" t="str">
        <x:f>IF(A227="","",Events!R226)</x:f>
      </x:c>
      <x:c r="P227" s="16" t="str">
        <x:f>IF(A227="","",LOWER(Events!B226&amp;" "&amp;Events!D226&amp;" "&amp;Events!K226))</x:f>
      </x:c>
      <x:c r="Q227" s="16" t="str">
        <x:f>IF(A227="","",LOWER(Events!C226&amp;" "&amp;Events!K226&amp;" "&amp;Events!T226))</x:f>
      </x:c>
      <x:c r="R227" s="16" t="str">
        <x:f>IF(A227="","",IF(ISNUMBER(SEARCH("Occurrence verified",E227)),"Occurrence verified",E227))</x:f>
      </x:c>
      <x:c r="S227" s="79" t="str">
        <x:f>IF(A227="","",Events!X226)</x:f>
      </x:c>
      <x:c r="Z227" s="79" t="str">
        <x:f>IF(A227="","",Events!AD226)</x:f>
      </x:c>
      <x:c r="AA227" s="79" t="str">
        <x:f>IF(A227="","",Events!AE226)</x:f>
      </x:c>
    </x:row>
    <x:row r="228">
      <x:c r="A228" s="16" t="str">
        <x:f>IF(Events!A227="","",Events!A227)</x:f>
      </x:c>
      <x:c r="B228" s="16" t="str">
        <x:f>IF(A228="","",Events!B227)</x:f>
      </x:c>
      <x:c r="C228" s="16" t="str">
        <x:f>IF(A228="","",Events!E227)</x:f>
      </x:c>
      <x:c r="D228" s="16" t="str">
        <x:f>IF(A228="","",Events!J227)</x:f>
      </x:c>
      <x:c r="E228" s="16" t="str">
        <x:f>IF(A228="","",Events!N227)</x:f>
      </x:c>
      <x:c r="F228" s="109" t="str">
        <x:f>IF(OR(A228="",Events!H227=""),"",Events!H227)</x:f>
      </x:c>
      <x:c r="G228" s="109" t="str">
        <x:f>IF(A228="","",IF(Events!I227&lt;&gt;"",Events!I227,IF(Events!S227&lt;&gt;"",Events!S227,"")))</x:f>
      </x:c>
      <x:c r="H228" s="16" t="str">
        <x:f>IF(A228="","",Events!W227)</x:f>
      </x:c>
      <x:c r="I228" s="16" t="str">
        <x:f>IF(A228="","",IF(Events!Y227&lt;&gt;"",Events!Y227,IF(OR(ISNUMBER(SEARCH("education",P228)),ISNUMBER(SEARCH("exam",P228)),ISNUMBER(SEARCH("school",P228))),"Education",IF(OR(ISNUMBER(SEARCH("trade agreement",P228)),ISNUMBER(SEARCH("economic",P228)),ISNUMBER(SEARCH("import",P228))),"Trade &amp; economic policy",IF(OR(ISNUMBER(SEARCH("land acquisition",P228)),ISNUMBER(SEARCH("rehabilitation",P228)),ISNUMBER(SEARCH("displacement",P228)),ISNUMBER(SEARCH("township",P228))),"Land &amp; rehabilitation",IF(OR(ISNUMBER(SEARCH("forest",P228)),ISNUMBER(SEARCH("environment",P228)),ISNUMBER(SEARCH("ecological",P228)),ISNUMBER(SEARCH("biodiversity",P228)),ISNUMBER(SEARCH("green cover",P228))),"Environment",IF(OR(ISNUMBER(SEARCH("irrigation",P228)),ISNUMBER(SEARCH("water",P228)),ISNUMBER(SEARCH("crop",P228)),ISNUMBER(SEARCH("farmer",P228)),ISNUMBER(SEARCH("agriculture",P228))),"Agriculture &amp; water",IF(OR(ISNUMBER(SEARCH("health",P228)),ISNUMBER(SEARCH("hospital",P228)),ISNUMBER(SEARCH("medicine",P228))),"Public health",IF(OR(ISNUMBER(SEARCH("employee",P228)),ISNUMBER(SEARCH("labour",P228)),ISNUMBER(SEARCH("worker",P228)),ISNUMBER(SEARCH("salary",P228))),"Labour &amp; employment",IF(OR(ISNUMBER(SEARCH("rti",P228)),ISNUMBER(SEARCH("transparency",P228)),ISNUMBER(SEARCH("corruption",P228)),ISNUMBER(SEARCH("governance",P228))),"Governance &amp; transparency",IF(OR(ISNUMBER(SEARCH("police",P228)),ISNUMBER(SEARCH("detention",P228)),ISNUMBER(SEARCH("civil rights",P228)),ISNUMBER(SEARCH("justice",P228))),"Civil rights &amp; justice",IF(OR(ISNUMBER(SEARCH("road",P228)),ISNUMBER(SEARCH("utility",P228)),ISNUMBER(SEARCH("infrastructure",P228)),ISNUMBER(SEARCH("public service",P228))),"Infrastructure &amp; public services","Other"))))))))))))</x:f>
      </x:c>
      <x:c r="J228" s="16" t="str">
        <x:f>IF(A228="","",IF(OR(ISNUMBER(SEARCH("fatal",Q228)),ISNUMBER(SEARCH("death",Q228)),ISNUMBER(SEARCH("riot",Q228)),ISNUMBER(SEARCH("curfew",Q228)),ISNUMBER(SEARCH("internet shutdown",Q228))),5,MIN(4,1+IF(H228&gt;=7,1,0)+IF(OR(ISNUMBER(SEARCH("hunger strike",Q228)),ISNUMBER(SEARCH("blockade",Q228)),ISNUMBER(SEARCH("strike",Q228)),ISNUMBER(SEARCH("jal satyagraha",Q228)),ISNUMBER(SEARCH("survey",Q228)),ISNUMBER(SEARCH("human chain",Q228)),ISNUMBER(SEARCH("march",Q228))),1,0)+IF(OR(ISNUMBER(SEARCH("fir",Q228)),ISNUMBER(SEARCH("confrontation",Q228)),ISNUMBER(SEARCH("violence",Q228)),ISNUMBER(SEARCH("detention",Q228)),ISNUMBER(SEARCH("arrest",Q228)),ISNUMBER(SEARCH("demolition",Q228)),ISNUMBER(SEARCH("injury",Q228))),1,0)+IF(OR(D228="Ongoing",D228="Unresolved"),1,0))))</x:f>
      </x:c>
      <x:c r="K228" s="16" t="str">
        <x:f>IF(J228="","",IF(J228=1,"Limited",IF(J228=2,"Local",IF(J228=3,"Significant",IF(J228=4,"High","Critical")))))</x:f>
      </x:c>
      <x:c r="L228" s="16" t="str">
        <x:f>IF(A228="","",Events!U227)</x:f>
      </x:c>
      <x:c r="M228" s="16" t="str">
        <x:f>IF(A228="","",Events!V227)</x:f>
      </x:c>
      <x:c r="N228" s="16" t="str">
        <x:f>IF(A228="","",Events!Q227)</x:f>
      </x:c>
      <x:c r="O228" s="16" t="str">
        <x:f>IF(A228="","",Events!R227)</x:f>
      </x:c>
      <x:c r="P228" s="16" t="str">
        <x:f>IF(A228="","",LOWER(Events!B227&amp;" "&amp;Events!D227&amp;" "&amp;Events!K227))</x:f>
      </x:c>
      <x:c r="Q228" s="16" t="str">
        <x:f>IF(A228="","",LOWER(Events!C227&amp;" "&amp;Events!K227&amp;" "&amp;Events!T227))</x:f>
      </x:c>
      <x:c r="R228" s="16" t="str">
        <x:f>IF(A228="","",IF(ISNUMBER(SEARCH("Occurrence verified",E228)),"Occurrence verified",E228))</x:f>
      </x:c>
      <x:c r="S228" s="79" t="str">
        <x:f>IF(A228="","",Events!X227)</x:f>
      </x:c>
      <x:c r="Z228" s="79" t="str">
        <x:f>IF(A228="","",Events!AD227)</x:f>
      </x:c>
      <x:c r="AA228" s="79" t="str">
        <x:f>IF(A228="","",Events!AE227)</x:f>
      </x:c>
    </x:row>
    <x:row r="229">
      <x:c r="A229" s="16" t="str">
        <x:f>IF(Events!A228="","",Events!A228)</x:f>
      </x:c>
      <x:c r="B229" s="16" t="str">
        <x:f>IF(A229="","",Events!B228)</x:f>
      </x:c>
      <x:c r="C229" s="16" t="str">
        <x:f>IF(A229="","",Events!E228)</x:f>
      </x:c>
      <x:c r="D229" s="16" t="str">
        <x:f>IF(A229="","",Events!J228)</x:f>
      </x:c>
      <x:c r="E229" s="16" t="str">
        <x:f>IF(A229="","",Events!N228)</x:f>
      </x:c>
      <x:c r="F229" s="109" t="str">
        <x:f>IF(OR(A229="",Events!H228=""),"",Events!H228)</x:f>
      </x:c>
      <x:c r="G229" s="109" t="str">
        <x:f>IF(A229="","",IF(Events!I228&lt;&gt;"",Events!I228,IF(Events!S228&lt;&gt;"",Events!S228,"")))</x:f>
      </x:c>
      <x:c r="H229" s="16" t="str">
        <x:f>IF(A229="","",Events!W228)</x:f>
      </x:c>
      <x:c r="I229" s="16" t="str">
        <x:f>IF(A229="","",IF(Events!Y228&lt;&gt;"",Events!Y228,IF(OR(ISNUMBER(SEARCH("education",P229)),ISNUMBER(SEARCH("exam",P229)),ISNUMBER(SEARCH("school",P229))),"Education",IF(OR(ISNUMBER(SEARCH("trade agreement",P229)),ISNUMBER(SEARCH("economic",P229)),ISNUMBER(SEARCH("import",P229))),"Trade &amp; economic policy",IF(OR(ISNUMBER(SEARCH("land acquisition",P229)),ISNUMBER(SEARCH("rehabilitation",P229)),ISNUMBER(SEARCH("displacement",P229)),ISNUMBER(SEARCH("township",P229))),"Land &amp; rehabilitation",IF(OR(ISNUMBER(SEARCH("forest",P229)),ISNUMBER(SEARCH("environment",P229)),ISNUMBER(SEARCH("ecological",P229)),ISNUMBER(SEARCH("biodiversity",P229)),ISNUMBER(SEARCH("green cover",P229))),"Environment",IF(OR(ISNUMBER(SEARCH("irrigation",P229)),ISNUMBER(SEARCH("water",P229)),ISNUMBER(SEARCH("crop",P229)),ISNUMBER(SEARCH("farmer",P229)),ISNUMBER(SEARCH("agriculture",P229))),"Agriculture &amp; water",IF(OR(ISNUMBER(SEARCH("health",P229)),ISNUMBER(SEARCH("hospital",P229)),ISNUMBER(SEARCH("medicine",P229))),"Public health",IF(OR(ISNUMBER(SEARCH("employee",P229)),ISNUMBER(SEARCH("labour",P229)),ISNUMBER(SEARCH("worker",P229)),ISNUMBER(SEARCH("salary",P229))),"Labour &amp; employment",IF(OR(ISNUMBER(SEARCH("rti",P229)),ISNUMBER(SEARCH("transparency",P229)),ISNUMBER(SEARCH("corruption",P229)),ISNUMBER(SEARCH("governance",P229))),"Governance &amp; transparency",IF(OR(ISNUMBER(SEARCH("police",P229)),ISNUMBER(SEARCH("detention",P229)),ISNUMBER(SEARCH("civil rights",P229)),ISNUMBER(SEARCH("justice",P229))),"Civil rights &amp; justice",IF(OR(ISNUMBER(SEARCH("road",P229)),ISNUMBER(SEARCH("utility",P229)),ISNUMBER(SEARCH("infrastructure",P229)),ISNUMBER(SEARCH("public service",P229))),"Infrastructure &amp; public services","Other"))))))))))))</x:f>
      </x:c>
      <x:c r="J229" s="16" t="str">
        <x:f>IF(A229="","",IF(OR(ISNUMBER(SEARCH("fatal",Q229)),ISNUMBER(SEARCH("death",Q229)),ISNUMBER(SEARCH("riot",Q229)),ISNUMBER(SEARCH("curfew",Q229)),ISNUMBER(SEARCH("internet shutdown",Q229))),5,MIN(4,1+IF(H229&gt;=7,1,0)+IF(OR(ISNUMBER(SEARCH("hunger strike",Q229)),ISNUMBER(SEARCH("blockade",Q229)),ISNUMBER(SEARCH("strike",Q229)),ISNUMBER(SEARCH("jal satyagraha",Q229)),ISNUMBER(SEARCH("survey",Q229)),ISNUMBER(SEARCH("human chain",Q229)),ISNUMBER(SEARCH("march",Q229))),1,0)+IF(OR(ISNUMBER(SEARCH("fir",Q229)),ISNUMBER(SEARCH("confrontation",Q229)),ISNUMBER(SEARCH("violence",Q229)),ISNUMBER(SEARCH("detention",Q229)),ISNUMBER(SEARCH("arrest",Q229)),ISNUMBER(SEARCH("demolition",Q229)),ISNUMBER(SEARCH("injury",Q229))),1,0)+IF(OR(D229="Ongoing",D229="Unresolved"),1,0))))</x:f>
      </x:c>
      <x:c r="K229" s="16" t="str">
        <x:f>IF(J229="","",IF(J229=1,"Limited",IF(J229=2,"Local",IF(J229=3,"Significant",IF(J229=4,"High","Critical")))))</x:f>
      </x:c>
      <x:c r="L229" s="16" t="str">
        <x:f>IF(A229="","",Events!U228)</x:f>
      </x:c>
      <x:c r="M229" s="16" t="str">
        <x:f>IF(A229="","",Events!V228)</x:f>
      </x:c>
      <x:c r="N229" s="16" t="str">
        <x:f>IF(A229="","",Events!Q228)</x:f>
      </x:c>
      <x:c r="O229" s="16" t="str">
        <x:f>IF(A229="","",Events!R228)</x:f>
      </x:c>
      <x:c r="P229" s="16" t="str">
        <x:f>IF(A229="","",LOWER(Events!B228&amp;" "&amp;Events!D228&amp;" "&amp;Events!K228))</x:f>
      </x:c>
      <x:c r="Q229" s="16" t="str">
        <x:f>IF(A229="","",LOWER(Events!C228&amp;" "&amp;Events!K228&amp;" "&amp;Events!T228))</x:f>
      </x:c>
      <x:c r="R229" s="16" t="str">
        <x:f>IF(A229="","",IF(ISNUMBER(SEARCH("Occurrence verified",E229)),"Occurrence verified",E229))</x:f>
      </x:c>
      <x:c r="S229" s="79" t="str">
        <x:f>IF(A229="","",Events!X228)</x:f>
      </x:c>
      <x:c r="Z229" s="79" t="str">
        <x:f>IF(A229="","",Events!AD228)</x:f>
      </x:c>
      <x:c r="AA229" s="79" t="str">
        <x:f>IF(A229="","",Events!AE228)</x:f>
      </x:c>
    </x:row>
    <x:row r="230">
      <x:c r="A230" s="16" t="str">
        <x:f>IF(Events!A229="","",Events!A229)</x:f>
      </x:c>
      <x:c r="B230" s="16" t="str">
        <x:f>IF(A230="","",Events!B229)</x:f>
      </x:c>
      <x:c r="C230" s="16" t="str">
        <x:f>IF(A230="","",Events!E229)</x:f>
      </x:c>
      <x:c r="D230" s="16" t="str">
        <x:f>IF(A230="","",Events!J229)</x:f>
      </x:c>
      <x:c r="E230" s="16" t="str">
        <x:f>IF(A230="","",Events!N229)</x:f>
      </x:c>
      <x:c r="F230" s="109" t="str">
        <x:f>IF(OR(A230="",Events!H229=""),"",Events!H229)</x:f>
      </x:c>
      <x:c r="G230" s="109" t="str">
        <x:f>IF(A230="","",IF(Events!I229&lt;&gt;"",Events!I229,IF(Events!S229&lt;&gt;"",Events!S229,"")))</x:f>
      </x:c>
      <x:c r="H230" s="16" t="str">
        <x:f>IF(A230="","",Events!W229)</x:f>
      </x:c>
      <x:c r="I230" s="16" t="str">
        <x:f>IF(A230="","",IF(Events!Y229&lt;&gt;"",Events!Y229,IF(OR(ISNUMBER(SEARCH("education",P230)),ISNUMBER(SEARCH("exam",P230)),ISNUMBER(SEARCH("school",P230))),"Education",IF(OR(ISNUMBER(SEARCH("trade agreement",P230)),ISNUMBER(SEARCH("economic",P230)),ISNUMBER(SEARCH("import",P230))),"Trade &amp; economic policy",IF(OR(ISNUMBER(SEARCH("land acquisition",P230)),ISNUMBER(SEARCH("rehabilitation",P230)),ISNUMBER(SEARCH("displacement",P230)),ISNUMBER(SEARCH("township",P230))),"Land &amp; rehabilitation",IF(OR(ISNUMBER(SEARCH("forest",P230)),ISNUMBER(SEARCH("environment",P230)),ISNUMBER(SEARCH("ecological",P230)),ISNUMBER(SEARCH("biodiversity",P230)),ISNUMBER(SEARCH("green cover",P230))),"Environment",IF(OR(ISNUMBER(SEARCH("irrigation",P230)),ISNUMBER(SEARCH("water",P230)),ISNUMBER(SEARCH("crop",P230)),ISNUMBER(SEARCH("farmer",P230)),ISNUMBER(SEARCH("agriculture",P230))),"Agriculture &amp; water",IF(OR(ISNUMBER(SEARCH("health",P230)),ISNUMBER(SEARCH("hospital",P230)),ISNUMBER(SEARCH("medicine",P230))),"Public health",IF(OR(ISNUMBER(SEARCH("employee",P230)),ISNUMBER(SEARCH("labour",P230)),ISNUMBER(SEARCH("worker",P230)),ISNUMBER(SEARCH("salary",P230))),"Labour &amp; employment",IF(OR(ISNUMBER(SEARCH("rti",P230)),ISNUMBER(SEARCH("transparency",P230)),ISNUMBER(SEARCH("corruption",P230)),ISNUMBER(SEARCH("governance",P230))),"Governance &amp; transparency",IF(OR(ISNUMBER(SEARCH("police",P230)),ISNUMBER(SEARCH("detention",P230)),ISNUMBER(SEARCH("civil rights",P230)),ISNUMBER(SEARCH("justice",P230))),"Civil rights &amp; justice",IF(OR(ISNUMBER(SEARCH("road",P230)),ISNUMBER(SEARCH("utility",P230)),ISNUMBER(SEARCH("infrastructure",P230)),ISNUMBER(SEARCH("public service",P230))),"Infrastructure &amp; public services","Other"))))))))))))</x:f>
      </x:c>
      <x:c r="J230" s="16" t="str">
        <x:f>IF(A230="","",IF(OR(ISNUMBER(SEARCH("fatal",Q230)),ISNUMBER(SEARCH("death",Q230)),ISNUMBER(SEARCH("riot",Q230)),ISNUMBER(SEARCH("curfew",Q230)),ISNUMBER(SEARCH("internet shutdown",Q230))),5,MIN(4,1+IF(H230&gt;=7,1,0)+IF(OR(ISNUMBER(SEARCH("hunger strike",Q230)),ISNUMBER(SEARCH("blockade",Q230)),ISNUMBER(SEARCH("strike",Q230)),ISNUMBER(SEARCH("jal satyagraha",Q230)),ISNUMBER(SEARCH("survey",Q230)),ISNUMBER(SEARCH("human chain",Q230)),ISNUMBER(SEARCH("march",Q230))),1,0)+IF(OR(ISNUMBER(SEARCH("fir",Q230)),ISNUMBER(SEARCH("confrontation",Q230)),ISNUMBER(SEARCH("violence",Q230)),ISNUMBER(SEARCH("detention",Q230)),ISNUMBER(SEARCH("arrest",Q230)),ISNUMBER(SEARCH("demolition",Q230)),ISNUMBER(SEARCH("injury",Q230))),1,0)+IF(OR(D230="Ongoing",D230="Unresolved"),1,0))))</x:f>
      </x:c>
      <x:c r="K230" s="16" t="str">
        <x:f>IF(J230="","",IF(J230=1,"Limited",IF(J230=2,"Local",IF(J230=3,"Significant",IF(J230=4,"High","Critical")))))</x:f>
      </x:c>
      <x:c r="L230" s="16" t="str">
        <x:f>IF(A230="","",Events!U229)</x:f>
      </x:c>
      <x:c r="M230" s="16" t="str">
        <x:f>IF(A230="","",Events!V229)</x:f>
      </x:c>
      <x:c r="N230" s="16" t="str">
        <x:f>IF(A230="","",Events!Q229)</x:f>
      </x:c>
      <x:c r="O230" s="16" t="str">
        <x:f>IF(A230="","",Events!R229)</x:f>
      </x:c>
      <x:c r="P230" s="16" t="str">
        <x:f>IF(A230="","",LOWER(Events!B229&amp;" "&amp;Events!D229&amp;" "&amp;Events!K229))</x:f>
      </x:c>
      <x:c r="Q230" s="16" t="str">
        <x:f>IF(A230="","",LOWER(Events!C229&amp;" "&amp;Events!K229&amp;" "&amp;Events!T229))</x:f>
      </x:c>
      <x:c r="R230" s="16" t="str">
        <x:f>IF(A230="","",IF(ISNUMBER(SEARCH("Occurrence verified",E230)),"Occurrence verified",E230))</x:f>
      </x:c>
      <x:c r="S230" s="79" t="str">
        <x:f>IF(A230="","",Events!X229)</x:f>
      </x:c>
      <x:c r="Z230" s="79" t="str">
        <x:f>IF(A230="","",Events!AD229)</x:f>
      </x:c>
      <x:c r="AA230" s="79" t="str">
        <x:f>IF(A230="","",Events!AE229)</x:f>
      </x:c>
    </x:row>
    <x:row r="231">
      <x:c r="A231" s="16" t="str">
        <x:f>IF(Events!A230="","",Events!A230)</x:f>
      </x:c>
      <x:c r="B231" s="16" t="str">
        <x:f>IF(A231="","",Events!B230)</x:f>
      </x:c>
      <x:c r="C231" s="16" t="str">
        <x:f>IF(A231="","",Events!E230)</x:f>
      </x:c>
      <x:c r="D231" s="16" t="str">
        <x:f>IF(A231="","",Events!J230)</x:f>
      </x:c>
      <x:c r="E231" s="16" t="str">
        <x:f>IF(A231="","",Events!N230)</x:f>
      </x:c>
      <x:c r="F231" s="109" t="str">
        <x:f>IF(OR(A231="",Events!H230=""),"",Events!H230)</x:f>
      </x:c>
      <x:c r="G231" s="109" t="str">
        <x:f>IF(A231="","",IF(Events!I230&lt;&gt;"",Events!I230,IF(Events!S230&lt;&gt;"",Events!S230,"")))</x:f>
      </x:c>
      <x:c r="H231" s="16" t="str">
        <x:f>IF(A231="","",Events!W230)</x:f>
      </x:c>
      <x:c r="I231" s="16" t="str">
        <x:f>IF(A231="","",IF(Events!Y230&lt;&gt;"",Events!Y230,IF(OR(ISNUMBER(SEARCH("education",P231)),ISNUMBER(SEARCH("exam",P231)),ISNUMBER(SEARCH("school",P231))),"Education",IF(OR(ISNUMBER(SEARCH("trade agreement",P231)),ISNUMBER(SEARCH("economic",P231)),ISNUMBER(SEARCH("import",P231))),"Trade &amp; economic policy",IF(OR(ISNUMBER(SEARCH("land acquisition",P231)),ISNUMBER(SEARCH("rehabilitation",P231)),ISNUMBER(SEARCH("displacement",P231)),ISNUMBER(SEARCH("township",P231))),"Land &amp; rehabilitation",IF(OR(ISNUMBER(SEARCH("forest",P231)),ISNUMBER(SEARCH("environment",P231)),ISNUMBER(SEARCH("ecological",P231)),ISNUMBER(SEARCH("biodiversity",P231)),ISNUMBER(SEARCH("green cover",P231))),"Environment",IF(OR(ISNUMBER(SEARCH("irrigation",P231)),ISNUMBER(SEARCH("water",P231)),ISNUMBER(SEARCH("crop",P231)),ISNUMBER(SEARCH("farmer",P231)),ISNUMBER(SEARCH("agriculture",P231))),"Agriculture &amp; water",IF(OR(ISNUMBER(SEARCH("health",P231)),ISNUMBER(SEARCH("hospital",P231)),ISNUMBER(SEARCH("medicine",P231))),"Public health",IF(OR(ISNUMBER(SEARCH("employee",P231)),ISNUMBER(SEARCH("labour",P231)),ISNUMBER(SEARCH("worker",P231)),ISNUMBER(SEARCH("salary",P231))),"Labour &amp; employment",IF(OR(ISNUMBER(SEARCH("rti",P231)),ISNUMBER(SEARCH("transparency",P231)),ISNUMBER(SEARCH("corruption",P231)),ISNUMBER(SEARCH("governance",P231))),"Governance &amp; transparency",IF(OR(ISNUMBER(SEARCH("police",P231)),ISNUMBER(SEARCH("detention",P231)),ISNUMBER(SEARCH("civil rights",P231)),ISNUMBER(SEARCH("justice",P231))),"Civil rights &amp; justice",IF(OR(ISNUMBER(SEARCH("road",P231)),ISNUMBER(SEARCH("utility",P231)),ISNUMBER(SEARCH("infrastructure",P231)),ISNUMBER(SEARCH("public service",P231))),"Infrastructure &amp; public services","Other"))))))))))))</x:f>
      </x:c>
      <x:c r="J231" s="16" t="str">
        <x:f>IF(A231="","",IF(OR(ISNUMBER(SEARCH("fatal",Q231)),ISNUMBER(SEARCH("death",Q231)),ISNUMBER(SEARCH("riot",Q231)),ISNUMBER(SEARCH("curfew",Q231)),ISNUMBER(SEARCH("internet shutdown",Q231))),5,MIN(4,1+IF(H231&gt;=7,1,0)+IF(OR(ISNUMBER(SEARCH("hunger strike",Q231)),ISNUMBER(SEARCH("blockade",Q231)),ISNUMBER(SEARCH("strike",Q231)),ISNUMBER(SEARCH("jal satyagraha",Q231)),ISNUMBER(SEARCH("survey",Q231)),ISNUMBER(SEARCH("human chain",Q231)),ISNUMBER(SEARCH("march",Q231))),1,0)+IF(OR(ISNUMBER(SEARCH("fir",Q231)),ISNUMBER(SEARCH("confrontation",Q231)),ISNUMBER(SEARCH("violence",Q231)),ISNUMBER(SEARCH("detention",Q231)),ISNUMBER(SEARCH("arrest",Q231)),ISNUMBER(SEARCH("demolition",Q231)),ISNUMBER(SEARCH("injury",Q231))),1,0)+IF(OR(D231="Ongoing",D231="Unresolved"),1,0))))</x:f>
      </x:c>
      <x:c r="K231" s="16" t="str">
        <x:f>IF(J231="","",IF(J231=1,"Limited",IF(J231=2,"Local",IF(J231=3,"Significant",IF(J231=4,"High","Critical")))))</x:f>
      </x:c>
      <x:c r="L231" s="16" t="str">
        <x:f>IF(A231="","",Events!U230)</x:f>
      </x:c>
      <x:c r="M231" s="16" t="str">
        <x:f>IF(A231="","",Events!V230)</x:f>
      </x:c>
      <x:c r="N231" s="16" t="str">
        <x:f>IF(A231="","",Events!Q230)</x:f>
      </x:c>
      <x:c r="O231" s="16" t="str">
        <x:f>IF(A231="","",Events!R230)</x:f>
      </x:c>
      <x:c r="P231" s="16" t="str">
        <x:f>IF(A231="","",LOWER(Events!B230&amp;" "&amp;Events!D230&amp;" "&amp;Events!K230))</x:f>
      </x:c>
      <x:c r="Q231" s="16" t="str">
        <x:f>IF(A231="","",LOWER(Events!C230&amp;" "&amp;Events!K230&amp;" "&amp;Events!T230))</x:f>
      </x:c>
      <x:c r="R231" s="16" t="str">
        <x:f>IF(A231="","",IF(ISNUMBER(SEARCH("Occurrence verified",E231)),"Occurrence verified",E231))</x:f>
      </x:c>
      <x:c r="S231" s="79" t="str">
        <x:f>IF(A231="","",Events!X230)</x:f>
      </x:c>
      <x:c r="Z231" s="79" t="str">
        <x:f>IF(A231="","",Events!AD230)</x:f>
      </x:c>
      <x:c r="AA231" s="79" t="str">
        <x:f>IF(A231="","",Events!AE230)</x:f>
      </x:c>
    </x:row>
    <x:row r="232">
      <x:c r="A232" s="16" t="str">
        <x:f>IF(Events!A231="","",Events!A231)</x:f>
      </x:c>
      <x:c r="B232" s="16" t="str">
        <x:f>IF(A232="","",Events!B231)</x:f>
      </x:c>
      <x:c r="C232" s="16" t="str">
        <x:f>IF(A232="","",Events!E231)</x:f>
      </x:c>
      <x:c r="D232" s="16" t="str">
        <x:f>IF(A232="","",Events!J231)</x:f>
      </x:c>
      <x:c r="E232" s="16" t="str">
        <x:f>IF(A232="","",Events!N231)</x:f>
      </x:c>
      <x:c r="F232" s="109" t="str">
        <x:f>IF(OR(A232="",Events!H231=""),"",Events!H231)</x:f>
      </x:c>
      <x:c r="G232" s="109" t="str">
        <x:f>IF(A232="","",IF(Events!I231&lt;&gt;"",Events!I231,IF(Events!S231&lt;&gt;"",Events!S231,"")))</x:f>
      </x:c>
      <x:c r="H232" s="16" t="str">
        <x:f>IF(A232="","",Events!W231)</x:f>
      </x:c>
      <x:c r="I232" s="16" t="str">
        <x:f>IF(A232="","",IF(Events!Y231&lt;&gt;"",Events!Y231,IF(OR(ISNUMBER(SEARCH("education",P232)),ISNUMBER(SEARCH("exam",P232)),ISNUMBER(SEARCH("school",P232))),"Education",IF(OR(ISNUMBER(SEARCH("trade agreement",P232)),ISNUMBER(SEARCH("economic",P232)),ISNUMBER(SEARCH("import",P232))),"Trade &amp; economic policy",IF(OR(ISNUMBER(SEARCH("land acquisition",P232)),ISNUMBER(SEARCH("rehabilitation",P232)),ISNUMBER(SEARCH("displacement",P232)),ISNUMBER(SEARCH("township",P232))),"Land &amp; rehabilitation",IF(OR(ISNUMBER(SEARCH("forest",P232)),ISNUMBER(SEARCH("environment",P232)),ISNUMBER(SEARCH("ecological",P232)),ISNUMBER(SEARCH("biodiversity",P232)),ISNUMBER(SEARCH("green cover",P232))),"Environment",IF(OR(ISNUMBER(SEARCH("irrigation",P232)),ISNUMBER(SEARCH("water",P232)),ISNUMBER(SEARCH("crop",P232)),ISNUMBER(SEARCH("farmer",P232)),ISNUMBER(SEARCH("agriculture",P232))),"Agriculture &amp; water",IF(OR(ISNUMBER(SEARCH("health",P232)),ISNUMBER(SEARCH("hospital",P232)),ISNUMBER(SEARCH("medicine",P232))),"Public health",IF(OR(ISNUMBER(SEARCH("employee",P232)),ISNUMBER(SEARCH("labour",P232)),ISNUMBER(SEARCH("worker",P232)),ISNUMBER(SEARCH("salary",P232))),"Labour &amp; employment",IF(OR(ISNUMBER(SEARCH("rti",P232)),ISNUMBER(SEARCH("transparency",P232)),ISNUMBER(SEARCH("corruption",P232)),ISNUMBER(SEARCH("governance",P232))),"Governance &amp; transparency",IF(OR(ISNUMBER(SEARCH("police",P232)),ISNUMBER(SEARCH("detention",P232)),ISNUMBER(SEARCH("civil rights",P232)),ISNUMBER(SEARCH("justice",P232))),"Civil rights &amp; justice",IF(OR(ISNUMBER(SEARCH("road",P232)),ISNUMBER(SEARCH("utility",P232)),ISNUMBER(SEARCH("infrastructure",P232)),ISNUMBER(SEARCH("public service",P232))),"Infrastructure &amp; public services","Other"))))))))))))</x:f>
      </x:c>
      <x:c r="J232" s="16" t="str">
        <x:f>IF(A232="","",IF(OR(ISNUMBER(SEARCH("fatal",Q232)),ISNUMBER(SEARCH("death",Q232)),ISNUMBER(SEARCH("riot",Q232)),ISNUMBER(SEARCH("curfew",Q232)),ISNUMBER(SEARCH("internet shutdown",Q232))),5,MIN(4,1+IF(H232&gt;=7,1,0)+IF(OR(ISNUMBER(SEARCH("hunger strike",Q232)),ISNUMBER(SEARCH("blockade",Q232)),ISNUMBER(SEARCH("strike",Q232)),ISNUMBER(SEARCH("jal satyagraha",Q232)),ISNUMBER(SEARCH("survey",Q232)),ISNUMBER(SEARCH("human chain",Q232)),ISNUMBER(SEARCH("march",Q232))),1,0)+IF(OR(ISNUMBER(SEARCH("fir",Q232)),ISNUMBER(SEARCH("confrontation",Q232)),ISNUMBER(SEARCH("violence",Q232)),ISNUMBER(SEARCH("detention",Q232)),ISNUMBER(SEARCH("arrest",Q232)),ISNUMBER(SEARCH("demolition",Q232)),ISNUMBER(SEARCH("injury",Q232))),1,0)+IF(OR(D232="Ongoing",D232="Unresolved"),1,0))))</x:f>
      </x:c>
      <x:c r="K232" s="16" t="str">
        <x:f>IF(J232="","",IF(J232=1,"Limited",IF(J232=2,"Local",IF(J232=3,"Significant",IF(J232=4,"High","Critical")))))</x:f>
      </x:c>
      <x:c r="L232" s="16" t="str">
        <x:f>IF(A232="","",Events!U231)</x:f>
      </x:c>
      <x:c r="M232" s="16" t="str">
        <x:f>IF(A232="","",Events!V231)</x:f>
      </x:c>
      <x:c r="N232" s="16" t="str">
        <x:f>IF(A232="","",Events!Q231)</x:f>
      </x:c>
      <x:c r="O232" s="16" t="str">
        <x:f>IF(A232="","",Events!R231)</x:f>
      </x:c>
      <x:c r="P232" s="16" t="str">
        <x:f>IF(A232="","",LOWER(Events!B231&amp;" "&amp;Events!D231&amp;" "&amp;Events!K231))</x:f>
      </x:c>
      <x:c r="Q232" s="16" t="str">
        <x:f>IF(A232="","",LOWER(Events!C231&amp;" "&amp;Events!K231&amp;" "&amp;Events!T231))</x:f>
      </x:c>
      <x:c r="R232" s="16" t="str">
        <x:f>IF(A232="","",IF(ISNUMBER(SEARCH("Occurrence verified",E232)),"Occurrence verified",E232))</x:f>
      </x:c>
      <x:c r="S232" s="79" t="str">
        <x:f>IF(A232="","",Events!X231)</x:f>
      </x:c>
      <x:c r="Z232" s="79" t="str">
        <x:f>IF(A232="","",Events!AD231)</x:f>
      </x:c>
      <x:c r="AA232" s="79" t="str">
        <x:f>IF(A232="","",Events!AE231)</x:f>
      </x:c>
    </x:row>
    <x:row r="233">
      <x:c r="A233" s="16" t="str">
        <x:f>IF(Events!A232="","",Events!A232)</x:f>
      </x:c>
      <x:c r="B233" s="16" t="str">
        <x:f>IF(A233="","",Events!B232)</x:f>
      </x:c>
      <x:c r="C233" s="16" t="str">
        <x:f>IF(A233="","",Events!E232)</x:f>
      </x:c>
      <x:c r="D233" s="16" t="str">
        <x:f>IF(A233="","",Events!J232)</x:f>
      </x:c>
      <x:c r="E233" s="16" t="str">
        <x:f>IF(A233="","",Events!N232)</x:f>
      </x:c>
      <x:c r="F233" s="109" t="str">
        <x:f>IF(OR(A233="",Events!H232=""),"",Events!H232)</x:f>
      </x:c>
      <x:c r="G233" s="109" t="str">
        <x:f>IF(A233="","",IF(Events!I232&lt;&gt;"",Events!I232,IF(Events!S232&lt;&gt;"",Events!S232,"")))</x:f>
      </x:c>
      <x:c r="H233" s="16" t="str">
        <x:f>IF(A233="","",Events!W232)</x:f>
      </x:c>
      <x:c r="I233" s="16" t="str">
        <x:f>IF(A233="","",IF(Events!Y232&lt;&gt;"",Events!Y232,IF(OR(ISNUMBER(SEARCH("education",P233)),ISNUMBER(SEARCH("exam",P233)),ISNUMBER(SEARCH("school",P233))),"Education",IF(OR(ISNUMBER(SEARCH("trade agreement",P233)),ISNUMBER(SEARCH("economic",P233)),ISNUMBER(SEARCH("import",P233))),"Trade &amp; economic policy",IF(OR(ISNUMBER(SEARCH("land acquisition",P233)),ISNUMBER(SEARCH("rehabilitation",P233)),ISNUMBER(SEARCH("displacement",P233)),ISNUMBER(SEARCH("township",P233))),"Land &amp; rehabilitation",IF(OR(ISNUMBER(SEARCH("forest",P233)),ISNUMBER(SEARCH("environment",P233)),ISNUMBER(SEARCH("ecological",P233)),ISNUMBER(SEARCH("biodiversity",P233)),ISNUMBER(SEARCH("green cover",P233))),"Environment",IF(OR(ISNUMBER(SEARCH("irrigation",P233)),ISNUMBER(SEARCH("water",P233)),ISNUMBER(SEARCH("crop",P233)),ISNUMBER(SEARCH("farmer",P233)),ISNUMBER(SEARCH("agriculture",P233))),"Agriculture &amp; water",IF(OR(ISNUMBER(SEARCH("health",P233)),ISNUMBER(SEARCH("hospital",P233)),ISNUMBER(SEARCH("medicine",P233))),"Public health",IF(OR(ISNUMBER(SEARCH("employee",P233)),ISNUMBER(SEARCH("labour",P233)),ISNUMBER(SEARCH("worker",P233)),ISNUMBER(SEARCH("salary",P233))),"Labour &amp; employment",IF(OR(ISNUMBER(SEARCH("rti",P233)),ISNUMBER(SEARCH("transparency",P233)),ISNUMBER(SEARCH("corruption",P233)),ISNUMBER(SEARCH("governance",P233))),"Governance &amp; transparency",IF(OR(ISNUMBER(SEARCH("police",P233)),ISNUMBER(SEARCH("detention",P233)),ISNUMBER(SEARCH("civil rights",P233)),ISNUMBER(SEARCH("justice",P233))),"Civil rights &amp; justice",IF(OR(ISNUMBER(SEARCH("road",P233)),ISNUMBER(SEARCH("utility",P233)),ISNUMBER(SEARCH("infrastructure",P233)),ISNUMBER(SEARCH("public service",P233))),"Infrastructure &amp; public services","Other"))))))))))))</x:f>
      </x:c>
      <x:c r="J233" s="16" t="str">
        <x:f>IF(A233="","",IF(OR(ISNUMBER(SEARCH("fatal",Q233)),ISNUMBER(SEARCH("death",Q233)),ISNUMBER(SEARCH("riot",Q233)),ISNUMBER(SEARCH("curfew",Q233)),ISNUMBER(SEARCH("internet shutdown",Q233))),5,MIN(4,1+IF(H233&gt;=7,1,0)+IF(OR(ISNUMBER(SEARCH("hunger strike",Q233)),ISNUMBER(SEARCH("blockade",Q233)),ISNUMBER(SEARCH("strike",Q233)),ISNUMBER(SEARCH("jal satyagraha",Q233)),ISNUMBER(SEARCH("survey",Q233)),ISNUMBER(SEARCH("human chain",Q233)),ISNUMBER(SEARCH("march",Q233))),1,0)+IF(OR(ISNUMBER(SEARCH("fir",Q233)),ISNUMBER(SEARCH("confrontation",Q233)),ISNUMBER(SEARCH("violence",Q233)),ISNUMBER(SEARCH("detention",Q233)),ISNUMBER(SEARCH("arrest",Q233)),ISNUMBER(SEARCH("demolition",Q233)),ISNUMBER(SEARCH("injury",Q233))),1,0)+IF(OR(D233="Ongoing",D233="Unresolved"),1,0))))</x:f>
      </x:c>
      <x:c r="K233" s="16" t="str">
        <x:f>IF(J233="","",IF(J233=1,"Limited",IF(J233=2,"Local",IF(J233=3,"Significant",IF(J233=4,"High","Critical")))))</x:f>
      </x:c>
      <x:c r="L233" s="16" t="str">
        <x:f>IF(A233="","",Events!U232)</x:f>
      </x:c>
      <x:c r="M233" s="16" t="str">
        <x:f>IF(A233="","",Events!V232)</x:f>
      </x:c>
      <x:c r="N233" s="16" t="str">
        <x:f>IF(A233="","",Events!Q232)</x:f>
      </x:c>
      <x:c r="O233" s="16" t="str">
        <x:f>IF(A233="","",Events!R232)</x:f>
      </x:c>
      <x:c r="P233" s="16" t="str">
        <x:f>IF(A233="","",LOWER(Events!B232&amp;" "&amp;Events!D232&amp;" "&amp;Events!K232))</x:f>
      </x:c>
      <x:c r="Q233" s="16" t="str">
        <x:f>IF(A233="","",LOWER(Events!C232&amp;" "&amp;Events!K232&amp;" "&amp;Events!T232))</x:f>
      </x:c>
      <x:c r="R233" s="16" t="str">
        <x:f>IF(A233="","",IF(ISNUMBER(SEARCH("Occurrence verified",E233)),"Occurrence verified",E233))</x:f>
      </x:c>
      <x:c r="S233" s="79" t="str">
        <x:f>IF(A233="","",Events!X232)</x:f>
      </x:c>
      <x:c r="Z233" s="79" t="str">
        <x:f>IF(A233="","",Events!AD232)</x:f>
      </x:c>
      <x:c r="AA233" s="79" t="str">
        <x:f>IF(A233="","",Events!AE232)</x:f>
      </x:c>
    </x:row>
    <x:row r="234">
      <x:c r="A234" s="16" t="str">
        <x:f>IF(Events!A233="","",Events!A233)</x:f>
      </x:c>
      <x:c r="B234" s="16" t="str">
        <x:f>IF(A234="","",Events!B233)</x:f>
      </x:c>
      <x:c r="C234" s="16" t="str">
        <x:f>IF(A234="","",Events!E233)</x:f>
      </x:c>
      <x:c r="D234" s="16" t="str">
        <x:f>IF(A234="","",Events!J233)</x:f>
      </x:c>
      <x:c r="E234" s="16" t="str">
        <x:f>IF(A234="","",Events!N233)</x:f>
      </x:c>
      <x:c r="F234" s="109" t="str">
        <x:f>IF(OR(A234="",Events!H233=""),"",Events!H233)</x:f>
      </x:c>
      <x:c r="G234" s="109" t="str">
        <x:f>IF(A234="","",IF(Events!I233&lt;&gt;"",Events!I233,IF(Events!S233&lt;&gt;"",Events!S233,"")))</x:f>
      </x:c>
      <x:c r="H234" s="16" t="str">
        <x:f>IF(A234="","",Events!W233)</x:f>
      </x:c>
      <x:c r="I234" s="16" t="str">
        <x:f>IF(A234="","",IF(Events!Y233&lt;&gt;"",Events!Y233,IF(OR(ISNUMBER(SEARCH("education",P234)),ISNUMBER(SEARCH("exam",P234)),ISNUMBER(SEARCH("school",P234))),"Education",IF(OR(ISNUMBER(SEARCH("trade agreement",P234)),ISNUMBER(SEARCH("economic",P234)),ISNUMBER(SEARCH("import",P234))),"Trade &amp; economic policy",IF(OR(ISNUMBER(SEARCH("land acquisition",P234)),ISNUMBER(SEARCH("rehabilitation",P234)),ISNUMBER(SEARCH("displacement",P234)),ISNUMBER(SEARCH("township",P234))),"Land &amp; rehabilitation",IF(OR(ISNUMBER(SEARCH("forest",P234)),ISNUMBER(SEARCH("environment",P234)),ISNUMBER(SEARCH("ecological",P234)),ISNUMBER(SEARCH("biodiversity",P234)),ISNUMBER(SEARCH("green cover",P234))),"Environment",IF(OR(ISNUMBER(SEARCH("irrigation",P234)),ISNUMBER(SEARCH("water",P234)),ISNUMBER(SEARCH("crop",P234)),ISNUMBER(SEARCH("farmer",P234)),ISNUMBER(SEARCH("agriculture",P234))),"Agriculture &amp; water",IF(OR(ISNUMBER(SEARCH("health",P234)),ISNUMBER(SEARCH("hospital",P234)),ISNUMBER(SEARCH("medicine",P234))),"Public health",IF(OR(ISNUMBER(SEARCH("employee",P234)),ISNUMBER(SEARCH("labour",P234)),ISNUMBER(SEARCH("worker",P234)),ISNUMBER(SEARCH("salary",P234))),"Labour &amp; employment",IF(OR(ISNUMBER(SEARCH("rti",P234)),ISNUMBER(SEARCH("transparency",P234)),ISNUMBER(SEARCH("corruption",P234)),ISNUMBER(SEARCH("governance",P234))),"Governance &amp; transparency",IF(OR(ISNUMBER(SEARCH("police",P234)),ISNUMBER(SEARCH("detention",P234)),ISNUMBER(SEARCH("civil rights",P234)),ISNUMBER(SEARCH("justice",P234))),"Civil rights &amp; justice",IF(OR(ISNUMBER(SEARCH("road",P234)),ISNUMBER(SEARCH("utility",P234)),ISNUMBER(SEARCH("infrastructure",P234)),ISNUMBER(SEARCH("public service",P234))),"Infrastructure &amp; public services","Other"))))))))))))</x:f>
      </x:c>
      <x:c r="J234" s="16" t="str">
        <x:f>IF(A234="","",IF(OR(ISNUMBER(SEARCH("fatal",Q234)),ISNUMBER(SEARCH("death",Q234)),ISNUMBER(SEARCH("riot",Q234)),ISNUMBER(SEARCH("curfew",Q234)),ISNUMBER(SEARCH("internet shutdown",Q234))),5,MIN(4,1+IF(H234&gt;=7,1,0)+IF(OR(ISNUMBER(SEARCH("hunger strike",Q234)),ISNUMBER(SEARCH("blockade",Q234)),ISNUMBER(SEARCH("strike",Q234)),ISNUMBER(SEARCH("jal satyagraha",Q234)),ISNUMBER(SEARCH("survey",Q234)),ISNUMBER(SEARCH("human chain",Q234)),ISNUMBER(SEARCH("march",Q234))),1,0)+IF(OR(ISNUMBER(SEARCH("fir",Q234)),ISNUMBER(SEARCH("confrontation",Q234)),ISNUMBER(SEARCH("violence",Q234)),ISNUMBER(SEARCH("detention",Q234)),ISNUMBER(SEARCH("arrest",Q234)),ISNUMBER(SEARCH("demolition",Q234)),ISNUMBER(SEARCH("injury",Q234))),1,0)+IF(OR(D234="Ongoing",D234="Unresolved"),1,0))))</x:f>
      </x:c>
      <x:c r="K234" s="16" t="str">
        <x:f>IF(J234="","",IF(J234=1,"Limited",IF(J234=2,"Local",IF(J234=3,"Significant",IF(J234=4,"High","Critical")))))</x:f>
      </x:c>
      <x:c r="L234" s="16" t="str">
        <x:f>IF(A234="","",Events!U233)</x:f>
      </x:c>
      <x:c r="M234" s="16" t="str">
        <x:f>IF(A234="","",Events!V233)</x:f>
      </x:c>
      <x:c r="N234" s="16" t="str">
        <x:f>IF(A234="","",Events!Q233)</x:f>
      </x:c>
      <x:c r="O234" s="16" t="str">
        <x:f>IF(A234="","",Events!R233)</x:f>
      </x:c>
      <x:c r="P234" s="16" t="str">
        <x:f>IF(A234="","",LOWER(Events!B233&amp;" "&amp;Events!D233&amp;" "&amp;Events!K233))</x:f>
      </x:c>
      <x:c r="Q234" s="16" t="str">
        <x:f>IF(A234="","",LOWER(Events!C233&amp;" "&amp;Events!K233&amp;" "&amp;Events!T233))</x:f>
      </x:c>
      <x:c r="R234" s="16" t="str">
        <x:f>IF(A234="","",IF(ISNUMBER(SEARCH("Occurrence verified",E234)),"Occurrence verified",E234))</x:f>
      </x:c>
      <x:c r="S234" s="79" t="str">
        <x:f>IF(A234="","",Events!X233)</x:f>
      </x:c>
      <x:c r="Z234" s="79" t="str">
        <x:f>IF(A234="","",Events!AD233)</x:f>
      </x:c>
      <x:c r="AA234" s="79" t="str">
        <x:f>IF(A234="","",Events!AE233)</x:f>
      </x:c>
    </x:row>
    <x:row r="235">
      <x:c r="A235" s="16" t="str">
        <x:f>IF(Events!A234="","",Events!A234)</x:f>
      </x:c>
      <x:c r="B235" s="16" t="str">
        <x:f>IF(A235="","",Events!B234)</x:f>
      </x:c>
      <x:c r="C235" s="16" t="str">
        <x:f>IF(A235="","",Events!E234)</x:f>
      </x:c>
      <x:c r="D235" s="16" t="str">
        <x:f>IF(A235="","",Events!J234)</x:f>
      </x:c>
      <x:c r="E235" s="16" t="str">
        <x:f>IF(A235="","",Events!N234)</x:f>
      </x:c>
      <x:c r="F235" s="109" t="str">
        <x:f>IF(OR(A235="",Events!H234=""),"",Events!H234)</x:f>
      </x:c>
      <x:c r="G235" s="109" t="str">
        <x:f>IF(A235="","",IF(Events!I234&lt;&gt;"",Events!I234,IF(Events!S234&lt;&gt;"",Events!S234,"")))</x:f>
      </x:c>
      <x:c r="H235" s="16" t="str">
        <x:f>IF(A235="","",Events!W234)</x:f>
      </x:c>
      <x:c r="I235" s="16" t="str">
        <x:f>IF(A235="","",IF(Events!Y234&lt;&gt;"",Events!Y234,IF(OR(ISNUMBER(SEARCH("education",P235)),ISNUMBER(SEARCH("exam",P235)),ISNUMBER(SEARCH("school",P235))),"Education",IF(OR(ISNUMBER(SEARCH("trade agreement",P235)),ISNUMBER(SEARCH("economic",P235)),ISNUMBER(SEARCH("import",P235))),"Trade &amp; economic policy",IF(OR(ISNUMBER(SEARCH("land acquisition",P235)),ISNUMBER(SEARCH("rehabilitation",P235)),ISNUMBER(SEARCH("displacement",P235)),ISNUMBER(SEARCH("township",P235))),"Land &amp; rehabilitation",IF(OR(ISNUMBER(SEARCH("forest",P235)),ISNUMBER(SEARCH("environment",P235)),ISNUMBER(SEARCH("ecological",P235)),ISNUMBER(SEARCH("biodiversity",P235)),ISNUMBER(SEARCH("green cover",P235))),"Environment",IF(OR(ISNUMBER(SEARCH("irrigation",P235)),ISNUMBER(SEARCH("water",P235)),ISNUMBER(SEARCH("crop",P235)),ISNUMBER(SEARCH("farmer",P235)),ISNUMBER(SEARCH("agriculture",P235))),"Agriculture &amp; water",IF(OR(ISNUMBER(SEARCH("health",P235)),ISNUMBER(SEARCH("hospital",P235)),ISNUMBER(SEARCH("medicine",P235))),"Public health",IF(OR(ISNUMBER(SEARCH("employee",P235)),ISNUMBER(SEARCH("labour",P235)),ISNUMBER(SEARCH("worker",P235)),ISNUMBER(SEARCH("salary",P235))),"Labour &amp; employment",IF(OR(ISNUMBER(SEARCH("rti",P235)),ISNUMBER(SEARCH("transparency",P235)),ISNUMBER(SEARCH("corruption",P235)),ISNUMBER(SEARCH("governance",P235))),"Governance &amp; transparency",IF(OR(ISNUMBER(SEARCH("police",P235)),ISNUMBER(SEARCH("detention",P235)),ISNUMBER(SEARCH("civil rights",P235)),ISNUMBER(SEARCH("justice",P235))),"Civil rights &amp; justice",IF(OR(ISNUMBER(SEARCH("road",P235)),ISNUMBER(SEARCH("utility",P235)),ISNUMBER(SEARCH("infrastructure",P235)),ISNUMBER(SEARCH("public service",P235))),"Infrastructure &amp; public services","Other"))))))))))))</x:f>
      </x:c>
      <x:c r="J235" s="16" t="str">
        <x:f>IF(A235="","",IF(OR(ISNUMBER(SEARCH("fatal",Q235)),ISNUMBER(SEARCH("death",Q235)),ISNUMBER(SEARCH("riot",Q235)),ISNUMBER(SEARCH("curfew",Q235)),ISNUMBER(SEARCH("internet shutdown",Q235))),5,MIN(4,1+IF(H235&gt;=7,1,0)+IF(OR(ISNUMBER(SEARCH("hunger strike",Q235)),ISNUMBER(SEARCH("blockade",Q235)),ISNUMBER(SEARCH("strike",Q235)),ISNUMBER(SEARCH("jal satyagraha",Q235)),ISNUMBER(SEARCH("survey",Q235)),ISNUMBER(SEARCH("human chain",Q235)),ISNUMBER(SEARCH("march",Q235))),1,0)+IF(OR(ISNUMBER(SEARCH("fir",Q235)),ISNUMBER(SEARCH("confrontation",Q235)),ISNUMBER(SEARCH("violence",Q235)),ISNUMBER(SEARCH("detention",Q235)),ISNUMBER(SEARCH("arrest",Q235)),ISNUMBER(SEARCH("demolition",Q235)),ISNUMBER(SEARCH("injury",Q235))),1,0)+IF(OR(D235="Ongoing",D235="Unresolved"),1,0))))</x:f>
      </x:c>
      <x:c r="K235" s="16" t="str">
        <x:f>IF(J235="","",IF(J235=1,"Limited",IF(J235=2,"Local",IF(J235=3,"Significant",IF(J235=4,"High","Critical")))))</x:f>
      </x:c>
      <x:c r="L235" s="16" t="str">
        <x:f>IF(A235="","",Events!U234)</x:f>
      </x:c>
      <x:c r="M235" s="16" t="str">
        <x:f>IF(A235="","",Events!V234)</x:f>
      </x:c>
      <x:c r="N235" s="16" t="str">
        <x:f>IF(A235="","",Events!Q234)</x:f>
      </x:c>
      <x:c r="O235" s="16" t="str">
        <x:f>IF(A235="","",Events!R234)</x:f>
      </x:c>
      <x:c r="P235" s="16" t="str">
        <x:f>IF(A235="","",LOWER(Events!B234&amp;" "&amp;Events!D234&amp;" "&amp;Events!K234))</x:f>
      </x:c>
      <x:c r="Q235" s="16" t="str">
        <x:f>IF(A235="","",LOWER(Events!C234&amp;" "&amp;Events!K234&amp;" "&amp;Events!T234))</x:f>
      </x:c>
      <x:c r="R235" s="16" t="str">
        <x:f>IF(A235="","",IF(ISNUMBER(SEARCH("Occurrence verified",E235)),"Occurrence verified",E235))</x:f>
      </x:c>
      <x:c r="S235" s="79" t="str">
        <x:f>IF(A235="","",Events!X234)</x:f>
      </x:c>
      <x:c r="Z235" s="79" t="str">
        <x:f>IF(A235="","",Events!AD234)</x:f>
      </x:c>
      <x:c r="AA235" s="79" t="str">
        <x:f>IF(A235="","",Events!AE234)</x:f>
      </x:c>
    </x:row>
    <x:row r="236">
      <x:c r="A236" s="16" t="str">
        <x:f>IF(Events!A235="","",Events!A235)</x:f>
      </x:c>
      <x:c r="B236" s="16" t="str">
        <x:f>IF(A236="","",Events!B235)</x:f>
      </x:c>
      <x:c r="C236" s="16" t="str">
        <x:f>IF(A236="","",Events!E235)</x:f>
      </x:c>
      <x:c r="D236" s="16" t="str">
        <x:f>IF(A236="","",Events!J235)</x:f>
      </x:c>
      <x:c r="E236" s="16" t="str">
        <x:f>IF(A236="","",Events!N235)</x:f>
      </x:c>
      <x:c r="F236" s="109" t="str">
        <x:f>IF(OR(A236="",Events!H235=""),"",Events!H235)</x:f>
      </x:c>
      <x:c r="G236" s="109" t="str">
        <x:f>IF(A236="","",IF(Events!I235&lt;&gt;"",Events!I235,IF(Events!S235&lt;&gt;"",Events!S235,"")))</x:f>
      </x:c>
      <x:c r="H236" s="16" t="str">
        <x:f>IF(A236="","",Events!W235)</x:f>
      </x:c>
      <x:c r="I236" s="16" t="str">
        <x:f>IF(A236="","",IF(Events!Y235&lt;&gt;"",Events!Y235,IF(OR(ISNUMBER(SEARCH("education",P236)),ISNUMBER(SEARCH("exam",P236)),ISNUMBER(SEARCH("school",P236))),"Education",IF(OR(ISNUMBER(SEARCH("trade agreement",P236)),ISNUMBER(SEARCH("economic",P236)),ISNUMBER(SEARCH("import",P236))),"Trade &amp; economic policy",IF(OR(ISNUMBER(SEARCH("land acquisition",P236)),ISNUMBER(SEARCH("rehabilitation",P236)),ISNUMBER(SEARCH("displacement",P236)),ISNUMBER(SEARCH("township",P236))),"Land &amp; rehabilitation",IF(OR(ISNUMBER(SEARCH("forest",P236)),ISNUMBER(SEARCH("environment",P236)),ISNUMBER(SEARCH("ecological",P236)),ISNUMBER(SEARCH("biodiversity",P236)),ISNUMBER(SEARCH("green cover",P236))),"Environment",IF(OR(ISNUMBER(SEARCH("irrigation",P236)),ISNUMBER(SEARCH("water",P236)),ISNUMBER(SEARCH("crop",P236)),ISNUMBER(SEARCH("farmer",P236)),ISNUMBER(SEARCH("agriculture",P236))),"Agriculture &amp; water",IF(OR(ISNUMBER(SEARCH("health",P236)),ISNUMBER(SEARCH("hospital",P236)),ISNUMBER(SEARCH("medicine",P236))),"Public health",IF(OR(ISNUMBER(SEARCH("employee",P236)),ISNUMBER(SEARCH("labour",P236)),ISNUMBER(SEARCH("worker",P236)),ISNUMBER(SEARCH("salary",P236))),"Labour &amp; employment",IF(OR(ISNUMBER(SEARCH("rti",P236)),ISNUMBER(SEARCH("transparency",P236)),ISNUMBER(SEARCH("corruption",P236)),ISNUMBER(SEARCH("governance",P236))),"Governance &amp; transparency",IF(OR(ISNUMBER(SEARCH("police",P236)),ISNUMBER(SEARCH("detention",P236)),ISNUMBER(SEARCH("civil rights",P236)),ISNUMBER(SEARCH("justice",P236))),"Civil rights &amp; justice",IF(OR(ISNUMBER(SEARCH("road",P236)),ISNUMBER(SEARCH("utility",P236)),ISNUMBER(SEARCH("infrastructure",P236)),ISNUMBER(SEARCH("public service",P236))),"Infrastructure &amp; public services","Other"))))))))))))</x:f>
      </x:c>
      <x:c r="J236" s="16" t="str">
        <x:f>IF(A236="","",IF(OR(ISNUMBER(SEARCH("fatal",Q236)),ISNUMBER(SEARCH("death",Q236)),ISNUMBER(SEARCH("riot",Q236)),ISNUMBER(SEARCH("curfew",Q236)),ISNUMBER(SEARCH("internet shutdown",Q236))),5,MIN(4,1+IF(H236&gt;=7,1,0)+IF(OR(ISNUMBER(SEARCH("hunger strike",Q236)),ISNUMBER(SEARCH("blockade",Q236)),ISNUMBER(SEARCH("strike",Q236)),ISNUMBER(SEARCH("jal satyagraha",Q236)),ISNUMBER(SEARCH("survey",Q236)),ISNUMBER(SEARCH("human chain",Q236)),ISNUMBER(SEARCH("march",Q236))),1,0)+IF(OR(ISNUMBER(SEARCH("fir",Q236)),ISNUMBER(SEARCH("confrontation",Q236)),ISNUMBER(SEARCH("violence",Q236)),ISNUMBER(SEARCH("detention",Q236)),ISNUMBER(SEARCH("arrest",Q236)),ISNUMBER(SEARCH("demolition",Q236)),ISNUMBER(SEARCH("injury",Q236))),1,0)+IF(OR(D236="Ongoing",D236="Unresolved"),1,0))))</x:f>
      </x:c>
      <x:c r="K236" s="16" t="str">
        <x:f>IF(J236="","",IF(J236=1,"Limited",IF(J236=2,"Local",IF(J236=3,"Significant",IF(J236=4,"High","Critical")))))</x:f>
      </x:c>
      <x:c r="L236" s="16" t="str">
        <x:f>IF(A236="","",Events!U235)</x:f>
      </x:c>
      <x:c r="M236" s="16" t="str">
        <x:f>IF(A236="","",Events!V235)</x:f>
      </x:c>
      <x:c r="N236" s="16" t="str">
        <x:f>IF(A236="","",Events!Q235)</x:f>
      </x:c>
      <x:c r="O236" s="16" t="str">
        <x:f>IF(A236="","",Events!R235)</x:f>
      </x:c>
      <x:c r="P236" s="16" t="str">
        <x:f>IF(A236="","",LOWER(Events!B235&amp;" "&amp;Events!D235&amp;" "&amp;Events!K235))</x:f>
      </x:c>
      <x:c r="Q236" s="16" t="str">
        <x:f>IF(A236="","",LOWER(Events!C235&amp;" "&amp;Events!K235&amp;" "&amp;Events!T235))</x:f>
      </x:c>
      <x:c r="R236" s="16" t="str">
        <x:f>IF(A236="","",IF(ISNUMBER(SEARCH("Occurrence verified",E236)),"Occurrence verified",E236))</x:f>
      </x:c>
      <x:c r="S236" s="79" t="str">
        <x:f>IF(A236="","",Events!X235)</x:f>
      </x:c>
      <x:c r="Z236" s="79" t="str">
        <x:f>IF(A236="","",Events!AD235)</x:f>
      </x:c>
      <x:c r="AA236" s="79" t="str">
        <x:f>IF(A236="","",Events!AE235)</x:f>
      </x:c>
    </x:row>
    <x:row r="237">
      <x:c r="A237" s="16" t="str">
        <x:f>IF(Events!A236="","",Events!A236)</x:f>
      </x:c>
      <x:c r="B237" s="16" t="str">
        <x:f>IF(A237="","",Events!B236)</x:f>
      </x:c>
      <x:c r="C237" s="16" t="str">
        <x:f>IF(A237="","",Events!E236)</x:f>
      </x:c>
      <x:c r="D237" s="16" t="str">
        <x:f>IF(A237="","",Events!J236)</x:f>
      </x:c>
      <x:c r="E237" s="16" t="str">
        <x:f>IF(A237="","",Events!N236)</x:f>
      </x:c>
      <x:c r="F237" s="109" t="str">
        <x:f>IF(OR(A237="",Events!H236=""),"",Events!H236)</x:f>
      </x:c>
      <x:c r="G237" s="109" t="str">
        <x:f>IF(A237="","",IF(Events!I236&lt;&gt;"",Events!I236,IF(Events!S236&lt;&gt;"",Events!S236,"")))</x:f>
      </x:c>
      <x:c r="H237" s="16" t="str">
        <x:f>IF(A237="","",Events!W236)</x:f>
      </x:c>
      <x:c r="I237" s="16" t="str">
        <x:f>IF(A237="","",IF(Events!Y236&lt;&gt;"",Events!Y236,IF(OR(ISNUMBER(SEARCH("education",P237)),ISNUMBER(SEARCH("exam",P237)),ISNUMBER(SEARCH("school",P237))),"Education",IF(OR(ISNUMBER(SEARCH("trade agreement",P237)),ISNUMBER(SEARCH("economic",P237)),ISNUMBER(SEARCH("import",P237))),"Trade &amp; economic policy",IF(OR(ISNUMBER(SEARCH("land acquisition",P237)),ISNUMBER(SEARCH("rehabilitation",P237)),ISNUMBER(SEARCH("displacement",P237)),ISNUMBER(SEARCH("township",P237))),"Land &amp; rehabilitation",IF(OR(ISNUMBER(SEARCH("forest",P237)),ISNUMBER(SEARCH("environment",P237)),ISNUMBER(SEARCH("ecological",P237)),ISNUMBER(SEARCH("biodiversity",P237)),ISNUMBER(SEARCH("green cover",P237))),"Environment",IF(OR(ISNUMBER(SEARCH("irrigation",P237)),ISNUMBER(SEARCH("water",P237)),ISNUMBER(SEARCH("crop",P237)),ISNUMBER(SEARCH("farmer",P237)),ISNUMBER(SEARCH("agriculture",P237))),"Agriculture &amp; water",IF(OR(ISNUMBER(SEARCH("health",P237)),ISNUMBER(SEARCH("hospital",P237)),ISNUMBER(SEARCH("medicine",P237))),"Public health",IF(OR(ISNUMBER(SEARCH("employee",P237)),ISNUMBER(SEARCH("labour",P237)),ISNUMBER(SEARCH("worker",P237)),ISNUMBER(SEARCH("salary",P237))),"Labour &amp; employment",IF(OR(ISNUMBER(SEARCH("rti",P237)),ISNUMBER(SEARCH("transparency",P237)),ISNUMBER(SEARCH("corruption",P237)),ISNUMBER(SEARCH("governance",P237))),"Governance &amp; transparency",IF(OR(ISNUMBER(SEARCH("police",P237)),ISNUMBER(SEARCH("detention",P237)),ISNUMBER(SEARCH("civil rights",P237)),ISNUMBER(SEARCH("justice",P237))),"Civil rights &amp; justice",IF(OR(ISNUMBER(SEARCH("road",P237)),ISNUMBER(SEARCH("utility",P237)),ISNUMBER(SEARCH("infrastructure",P237)),ISNUMBER(SEARCH("public service",P237))),"Infrastructure &amp; public services","Other"))))))))))))</x:f>
      </x:c>
      <x:c r="J237" s="16" t="str">
        <x:f>IF(A237="","",IF(OR(ISNUMBER(SEARCH("fatal",Q237)),ISNUMBER(SEARCH("death",Q237)),ISNUMBER(SEARCH("riot",Q237)),ISNUMBER(SEARCH("curfew",Q237)),ISNUMBER(SEARCH("internet shutdown",Q237))),5,MIN(4,1+IF(H237&gt;=7,1,0)+IF(OR(ISNUMBER(SEARCH("hunger strike",Q237)),ISNUMBER(SEARCH("blockade",Q237)),ISNUMBER(SEARCH("strike",Q237)),ISNUMBER(SEARCH("jal satyagraha",Q237)),ISNUMBER(SEARCH("survey",Q237)),ISNUMBER(SEARCH("human chain",Q237)),ISNUMBER(SEARCH("march",Q237))),1,0)+IF(OR(ISNUMBER(SEARCH("fir",Q237)),ISNUMBER(SEARCH("confrontation",Q237)),ISNUMBER(SEARCH("violence",Q237)),ISNUMBER(SEARCH("detention",Q237)),ISNUMBER(SEARCH("arrest",Q237)),ISNUMBER(SEARCH("demolition",Q237)),ISNUMBER(SEARCH("injury",Q237))),1,0)+IF(OR(D237="Ongoing",D237="Unresolved"),1,0))))</x:f>
      </x:c>
      <x:c r="K237" s="16" t="str">
        <x:f>IF(J237="","",IF(J237=1,"Limited",IF(J237=2,"Local",IF(J237=3,"Significant",IF(J237=4,"High","Critical")))))</x:f>
      </x:c>
      <x:c r="L237" s="16" t="str">
        <x:f>IF(A237="","",Events!U236)</x:f>
      </x:c>
      <x:c r="M237" s="16" t="str">
        <x:f>IF(A237="","",Events!V236)</x:f>
      </x:c>
      <x:c r="N237" s="16" t="str">
        <x:f>IF(A237="","",Events!Q236)</x:f>
      </x:c>
      <x:c r="O237" s="16" t="str">
        <x:f>IF(A237="","",Events!R236)</x:f>
      </x:c>
      <x:c r="P237" s="16" t="str">
        <x:f>IF(A237="","",LOWER(Events!B236&amp;" "&amp;Events!D236&amp;" "&amp;Events!K236))</x:f>
      </x:c>
      <x:c r="Q237" s="16" t="str">
        <x:f>IF(A237="","",LOWER(Events!C236&amp;" "&amp;Events!K236&amp;" "&amp;Events!T236))</x:f>
      </x:c>
      <x:c r="R237" s="16" t="str">
        <x:f>IF(A237="","",IF(ISNUMBER(SEARCH("Occurrence verified",E237)),"Occurrence verified",E237))</x:f>
      </x:c>
      <x:c r="S237" s="79" t="str">
        <x:f>IF(A237="","",Events!X236)</x:f>
      </x:c>
      <x:c r="Z237" s="79" t="str">
        <x:f>IF(A237="","",Events!AD236)</x:f>
      </x:c>
      <x:c r="AA237" s="79" t="str">
        <x:f>IF(A237="","",Events!AE236)</x:f>
      </x:c>
    </x:row>
    <x:row r="238">
      <x:c r="A238" s="16" t="str">
        <x:f>IF(Events!A237="","",Events!A237)</x:f>
      </x:c>
      <x:c r="B238" s="16" t="str">
        <x:f>IF(A238="","",Events!B237)</x:f>
      </x:c>
      <x:c r="C238" s="16" t="str">
        <x:f>IF(A238="","",Events!E237)</x:f>
      </x:c>
      <x:c r="D238" s="16" t="str">
        <x:f>IF(A238="","",Events!J237)</x:f>
      </x:c>
      <x:c r="E238" s="16" t="str">
        <x:f>IF(A238="","",Events!N237)</x:f>
      </x:c>
      <x:c r="F238" s="109" t="str">
        <x:f>IF(OR(A238="",Events!H237=""),"",Events!H237)</x:f>
      </x:c>
      <x:c r="G238" s="109" t="str">
        <x:f>IF(A238="","",IF(Events!I237&lt;&gt;"",Events!I237,IF(Events!S237&lt;&gt;"",Events!S237,"")))</x:f>
      </x:c>
      <x:c r="H238" s="16" t="str">
        <x:f>IF(A238="","",Events!W237)</x:f>
      </x:c>
      <x:c r="I238" s="16" t="str">
        <x:f>IF(A238="","",IF(Events!Y237&lt;&gt;"",Events!Y237,IF(OR(ISNUMBER(SEARCH("education",P238)),ISNUMBER(SEARCH("exam",P238)),ISNUMBER(SEARCH("school",P238))),"Education",IF(OR(ISNUMBER(SEARCH("trade agreement",P238)),ISNUMBER(SEARCH("economic",P238)),ISNUMBER(SEARCH("import",P238))),"Trade &amp; economic policy",IF(OR(ISNUMBER(SEARCH("land acquisition",P238)),ISNUMBER(SEARCH("rehabilitation",P238)),ISNUMBER(SEARCH("displacement",P238)),ISNUMBER(SEARCH("township",P238))),"Land &amp; rehabilitation",IF(OR(ISNUMBER(SEARCH("forest",P238)),ISNUMBER(SEARCH("environment",P238)),ISNUMBER(SEARCH("ecological",P238)),ISNUMBER(SEARCH("biodiversity",P238)),ISNUMBER(SEARCH("green cover",P238))),"Environment",IF(OR(ISNUMBER(SEARCH("irrigation",P238)),ISNUMBER(SEARCH("water",P238)),ISNUMBER(SEARCH("crop",P238)),ISNUMBER(SEARCH("farmer",P238)),ISNUMBER(SEARCH("agriculture",P238))),"Agriculture &amp; water",IF(OR(ISNUMBER(SEARCH("health",P238)),ISNUMBER(SEARCH("hospital",P238)),ISNUMBER(SEARCH("medicine",P238))),"Public health",IF(OR(ISNUMBER(SEARCH("employee",P238)),ISNUMBER(SEARCH("labour",P238)),ISNUMBER(SEARCH("worker",P238)),ISNUMBER(SEARCH("salary",P238))),"Labour &amp; employment",IF(OR(ISNUMBER(SEARCH("rti",P238)),ISNUMBER(SEARCH("transparency",P238)),ISNUMBER(SEARCH("corruption",P238)),ISNUMBER(SEARCH("governance",P238))),"Governance &amp; transparency",IF(OR(ISNUMBER(SEARCH("police",P238)),ISNUMBER(SEARCH("detention",P238)),ISNUMBER(SEARCH("civil rights",P238)),ISNUMBER(SEARCH("justice",P238))),"Civil rights &amp; justice",IF(OR(ISNUMBER(SEARCH("road",P238)),ISNUMBER(SEARCH("utility",P238)),ISNUMBER(SEARCH("infrastructure",P238)),ISNUMBER(SEARCH("public service",P238))),"Infrastructure &amp; public services","Other"))))))))))))</x:f>
      </x:c>
      <x:c r="J238" s="16" t="str">
        <x:f>IF(A238="","",IF(OR(ISNUMBER(SEARCH("fatal",Q238)),ISNUMBER(SEARCH("death",Q238)),ISNUMBER(SEARCH("riot",Q238)),ISNUMBER(SEARCH("curfew",Q238)),ISNUMBER(SEARCH("internet shutdown",Q238))),5,MIN(4,1+IF(H238&gt;=7,1,0)+IF(OR(ISNUMBER(SEARCH("hunger strike",Q238)),ISNUMBER(SEARCH("blockade",Q238)),ISNUMBER(SEARCH("strike",Q238)),ISNUMBER(SEARCH("jal satyagraha",Q238)),ISNUMBER(SEARCH("survey",Q238)),ISNUMBER(SEARCH("human chain",Q238)),ISNUMBER(SEARCH("march",Q238))),1,0)+IF(OR(ISNUMBER(SEARCH("fir",Q238)),ISNUMBER(SEARCH("confrontation",Q238)),ISNUMBER(SEARCH("violence",Q238)),ISNUMBER(SEARCH("detention",Q238)),ISNUMBER(SEARCH("arrest",Q238)),ISNUMBER(SEARCH("demolition",Q238)),ISNUMBER(SEARCH("injury",Q238))),1,0)+IF(OR(D238="Ongoing",D238="Unresolved"),1,0))))</x:f>
      </x:c>
      <x:c r="K238" s="16" t="str">
        <x:f>IF(J238="","",IF(J238=1,"Limited",IF(J238=2,"Local",IF(J238=3,"Significant",IF(J238=4,"High","Critical")))))</x:f>
      </x:c>
      <x:c r="L238" s="16" t="str">
        <x:f>IF(A238="","",Events!U237)</x:f>
      </x:c>
      <x:c r="M238" s="16" t="str">
        <x:f>IF(A238="","",Events!V237)</x:f>
      </x:c>
      <x:c r="N238" s="16" t="str">
        <x:f>IF(A238="","",Events!Q237)</x:f>
      </x:c>
      <x:c r="O238" s="16" t="str">
        <x:f>IF(A238="","",Events!R237)</x:f>
      </x:c>
      <x:c r="P238" s="16" t="str">
        <x:f>IF(A238="","",LOWER(Events!B237&amp;" "&amp;Events!D237&amp;" "&amp;Events!K237))</x:f>
      </x:c>
      <x:c r="Q238" s="16" t="str">
        <x:f>IF(A238="","",LOWER(Events!C237&amp;" "&amp;Events!K237&amp;" "&amp;Events!T237))</x:f>
      </x:c>
      <x:c r="R238" s="16" t="str">
        <x:f>IF(A238="","",IF(ISNUMBER(SEARCH("Occurrence verified",E238)),"Occurrence verified",E238))</x:f>
      </x:c>
      <x:c r="S238" s="79" t="str">
        <x:f>IF(A238="","",Events!X237)</x:f>
      </x:c>
      <x:c r="Z238" s="79" t="str">
        <x:f>IF(A238="","",Events!AD237)</x:f>
      </x:c>
      <x:c r="AA238" s="79" t="str">
        <x:f>IF(A238="","",Events!AE237)</x:f>
      </x:c>
    </x:row>
    <x:row r="239">
      <x:c r="A239" s="16" t="str">
        <x:f>IF(Events!A238="","",Events!A238)</x:f>
      </x:c>
      <x:c r="B239" s="16" t="str">
        <x:f>IF(A239="","",Events!B238)</x:f>
      </x:c>
      <x:c r="C239" s="16" t="str">
        <x:f>IF(A239="","",Events!E238)</x:f>
      </x:c>
      <x:c r="D239" s="16" t="str">
        <x:f>IF(A239="","",Events!J238)</x:f>
      </x:c>
      <x:c r="E239" s="16" t="str">
        <x:f>IF(A239="","",Events!N238)</x:f>
      </x:c>
      <x:c r="F239" s="109" t="str">
        <x:f>IF(OR(A239="",Events!H238=""),"",Events!H238)</x:f>
      </x:c>
      <x:c r="G239" s="109" t="str">
        <x:f>IF(A239="","",IF(Events!I238&lt;&gt;"",Events!I238,IF(Events!S238&lt;&gt;"",Events!S238,"")))</x:f>
      </x:c>
      <x:c r="H239" s="16" t="str">
        <x:f>IF(A239="","",Events!W238)</x:f>
      </x:c>
      <x:c r="I239" s="16" t="str">
        <x:f>IF(A239="","",IF(Events!Y238&lt;&gt;"",Events!Y238,IF(OR(ISNUMBER(SEARCH("education",P239)),ISNUMBER(SEARCH("exam",P239)),ISNUMBER(SEARCH("school",P239))),"Education",IF(OR(ISNUMBER(SEARCH("trade agreement",P239)),ISNUMBER(SEARCH("economic",P239)),ISNUMBER(SEARCH("import",P239))),"Trade &amp; economic policy",IF(OR(ISNUMBER(SEARCH("land acquisition",P239)),ISNUMBER(SEARCH("rehabilitation",P239)),ISNUMBER(SEARCH("displacement",P239)),ISNUMBER(SEARCH("township",P239))),"Land &amp; rehabilitation",IF(OR(ISNUMBER(SEARCH("forest",P239)),ISNUMBER(SEARCH("environment",P239)),ISNUMBER(SEARCH("ecological",P239)),ISNUMBER(SEARCH("biodiversity",P239)),ISNUMBER(SEARCH("green cover",P239))),"Environment",IF(OR(ISNUMBER(SEARCH("irrigation",P239)),ISNUMBER(SEARCH("water",P239)),ISNUMBER(SEARCH("crop",P239)),ISNUMBER(SEARCH("farmer",P239)),ISNUMBER(SEARCH("agriculture",P239))),"Agriculture &amp; water",IF(OR(ISNUMBER(SEARCH("health",P239)),ISNUMBER(SEARCH("hospital",P239)),ISNUMBER(SEARCH("medicine",P239))),"Public health",IF(OR(ISNUMBER(SEARCH("employee",P239)),ISNUMBER(SEARCH("labour",P239)),ISNUMBER(SEARCH("worker",P239)),ISNUMBER(SEARCH("salary",P239))),"Labour &amp; employment",IF(OR(ISNUMBER(SEARCH("rti",P239)),ISNUMBER(SEARCH("transparency",P239)),ISNUMBER(SEARCH("corruption",P239)),ISNUMBER(SEARCH("governance",P239))),"Governance &amp; transparency",IF(OR(ISNUMBER(SEARCH("police",P239)),ISNUMBER(SEARCH("detention",P239)),ISNUMBER(SEARCH("civil rights",P239)),ISNUMBER(SEARCH("justice",P239))),"Civil rights &amp; justice",IF(OR(ISNUMBER(SEARCH("road",P239)),ISNUMBER(SEARCH("utility",P239)),ISNUMBER(SEARCH("infrastructure",P239)),ISNUMBER(SEARCH("public service",P239))),"Infrastructure &amp; public services","Other"))))))))))))</x:f>
      </x:c>
      <x:c r="J239" s="16" t="str">
        <x:f>IF(A239="","",IF(OR(ISNUMBER(SEARCH("fatal",Q239)),ISNUMBER(SEARCH("death",Q239)),ISNUMBER(SEARCH("riot",Q239)),ISNUMBER(SEARCH("curfew",Q239)),ISNUMBER(SEARCH("internet shutdown",Q239))),5,MIN(4,1+IF(H239&gt;=7,1,0)+IF(OR(ISNUMBER(SEARCH("hunger strike",Q239)),ISNUMBER(SEARCH("blockade",Q239)),ISNUMBER(SEARCH("strike",Q239)),ISNUMBER(SEARCH("jal satyagraha",Q239)),ISNUMBER(SEARCH("survey",Q239)),ISNUMBER(SEARCH("human chain",Q239)),ISNUMBER(SEARCH("march",Q239))),1,0)+IF(OR(ISNUMBER(SEARCH("fir",Q239)),ISNUMBER(SEARCH("confrontation",Q239)),ISNUMBER(SEARCH("violence",Q239)),ISNUMBER(SEARCH("detention",Q239)),ISNUMBER(SEARCH("arrest",Q239)),ISNUMBER(SEARCH("demolition",Q239)),ISNUMBER(SEARCH("injury",Q239))),1,0)+IF(OR(D239="Ongoing",D239="Unresolved"),1,0))))</x:f>
      </x:c>
      <x:c r="K239" s="16" t="str">
        <x:f>IF(J239="","",IF(J239=1,"Limited",IF(J239=2,"Local",IF(J239=3,"Significant",IF(J239=4,"High","Critical")))))</x:f>
      </x:c>
      <x:c r="L239" s="16" t="str">
        <x:f>IF(A239="","",Events!U238)</x:f>
      </x:c>
      <x:c r="M239" s="16" t="str">
        <x:f>IF(A239="","",Events!V238)</x:f>
      </x:c>
      <x:c r="N239" s="16" t="str">
        <x:f>IF(A239="","",Events!Q238)</x:f>
      </x:c>
      <x:c r="O239" s="16" t="str">
        <x:f>IF(A239="","",Events!R238)</x:f>
      </x:c>
      <x:c r="P239" s="16" t="str">
        <x:f>IF(A239="","",LOWER(Events!B238&amp;" "&amp;Events!D238&amp;" "&amp;Events!K238))</x:f>
      </x:c>
      <x:c r="Q239" s="16" t="str">
        <x:f>IF(A239="","",LOWER(Events!C238&amp;" "&amp;Events!K238&amp;" "&amp;Events!T238))</x:f>
      </x:c>
      <x:c r="R239" s="16" t="str">
        <x:f>IF(A239="","",IF(ISNUMBER(SEARCH("Occurrence verified",E239)),"Occurrence verified",E239))</x:f>
      </x:c>
      <x:c r="S239" s="79" t="str">
        <x:f>IF(A239="","",Events!X238)</x:f>
      </x:c>
      <x:c r="Z239" s="79" t="str">
        <x:f>IF(A239="","",Events!AD238)</x:f>
      </x:c>
      <x:c r="AA239" s="79" t="str">
        <x:f>IF(A239="","",Events!AE238)</x:f>
      </x:c>
    </x:row>
    <x:row r="240">
      <x:c r="A240" s="16" t="str">
        <x:f>IF(Events!A239="","",Events!A239)</x:f>
      </x:c>
      <x:c r="B240" s="16" t="str">
        <x:f>IF(A240="","",Events!B239)</x:f>
      </x:c>
      <x:c r="C240" s="16" t="str">
        <x:f>IF(A240="","",Events!E239)</x:f>
      </x:c>
      <x:c r="D240" s="16" t="str">
        <x:f>IF(A240="","",Events!J239)</x:f>
      </x:c>
      <x:c r="E240" s="16" t="str">
        <x:f>IF(A240="","",Events!N239)</x:f>
      </x:c>
      <x:c r="F240" s="109" t="str">
        <x:f>IF(OR(A240="",Events!H239=""),"",Events!H239)</x:f>
      </x:c>
      <x:c r="G240" s="109" t="str">
        <x:f>IF(A240="","",IF(Events!I239&lt;&gt;"",Events!I239,IF(Events!S239&lt;&gt;"",Events!S239,"")))</x:f>
      </x:c>
      <x:c r="H240" s="16" t="str">
        <x:f>IF(A240="","",Events!W239)</x:f>
      </x:c>
      <x:c r="I240" s="16" t="str">
        <x:f>IF(A240="","",IF(Events!Y239&lt;&gt;"",Events!Y239,IF(OR(ISNUMBER(SEARCH("education",P240)),ISNUMBER(SEARCH("exam",P240)),ISNUMBER(SEARCH("school",P240))),"Education",IF(OR(ISNUMBER(SEARCH("trade agreement",P240)),ISNUMBER(SEARCH("economic",P240)),ISNUMBER(SEARCH("import",P240))),"Trade &amp; economic policy",IF(OR(ISNUMBER(SEARCH("land acquisition",P240)),ISNUMBER(SEARCH("rehabilitation",P240)),ISNUMBER(SEARCH("displacement",P240)),ISNUMBER(SEARCH("township",P240))),"Land &amp; rehabilitation",IF(OR(ISNUMBER(SEARCH("forest",P240)),ISNUMBER(SEARCH("environment",P240)),ISNUMBER(SEARCH("ecological",P240)),ISNUMBER(SEARCH("biodiversity",P240)),ISNUMBER(SEARCH("green cover",P240))),"Environment",IF(OR(ISNUMBER(SEARCH("irrigation",P240)),ISNUMBER(SEARCH("water",P240)),ISNUMBER(SEARCH("crop",P240)),ISNUMBER(SEARCH("farmer",P240)),ISNUMBER(SEARCH("agriculture",P240))),"Agriculture &amp; water",IF(OR(ISNUMBER(SEARCH("health",P240)),ISNUMBER(SEARCH("hospital",P240)),ISNUMBER(SEARCH("medicine",P240))),"Public health",IF(OR(ISNUMBER(SEARCH("employee",P240)),ISNUMBER(SEARCH("labour",P240)),ISNUMBER(SEARCH("worker",P240)),ISNUMBER(SEARCH("salary",P240))),"Labour &amp; employment",IF(OR(ISNUMBER(SEARCH("rti",P240)),ISNUMBER(SEARCH("transparency",P240)),ISNUMBER(SEARCH("corruption",P240)),ISNUMBER(SEARCH("governance",P240))),"Governance &amp; transparency",IF(OR(ISNUMBER(SEARCH("police",P240)),ISNUMBER(SEARCH("detention",P240)),ISNUMBER(SEARCH("civil rights",P240)),ISNUMBER(SEARCH("justice",P240))),"Civil rights &amp; justice",IF(OR(ISNUMBER(SEARCH("road",P240)),ISNUMBER(SEARCH("utility",P240)),ISNUMBER(SEARCH("infrastructure",P240)),ISNUMBER(SEARCH("public service",P240))),"Infrastructure &amp; public services","Other"))))))))))))</x:f>
      </x:c>
      <x:c r="J240" s="16" t="str">
        <x:f>IF(A240="","",IF(OR(ISNUMBER(SEARCH("fatal",Q240)),ISNUMBER(SEARCH("death",Q240)),ISNUMBER(SEARCH("riot",Q240)),ISNUMBER(SEARCH("curfew",Q240)),ISNUMBER(SEARCH("internet shutdown",Q240))),5,MIN(4,1+IF(H240&gt;=7,1,0)+IF(OR(ISNUMBER(SEARCH("hunger strike",Q240)),ISNUMBER(SEARCH("blockade",Q240)),ISNUMBER(SEARCH("strike",Q240)),ISNUMBER(SEARCH("jal satyagraha",Q240)),ISNUMBER(SEARCH("survey",Q240)),ISNUMBER(SEARCH("human chain",Q240)),ISNUMBER(SEARCH("march",Q240))),1,0)+IF(OR(ISNUMBER(SEARCH("fir",Q240)),ISNUMBER(SEARCH("confrontation",Q240)),ISNUMBER(SEARCH("violence",Q240)),ISNUMBER(SEARCH("detention",Q240)),ISNUMBER(SEARCH("arrest",Q240)),ISNUMBER(SEARCH("demolition",Q240)),ISNUMBER(SEARCH("injury",Q240))),1,0)+IF(OR(D240="Ongoing",D240="Unresolved"),1,0))))</x:f>
      </x:c>
      <x:c r="K240" s="16" t="str">
        <x:f>IF(J240="","",IF(J240=1,"Limited",IF(J240=2,"Local",IF(J240=3,"Significant",IF(J240=4,"High","Critical")))))</x:f>
      </x:c>
      <x:c r="L240" s="16" t="str">
        <x:f>IF(A240="","",Events!U239)</x:f>
      </x:c>
      <x:c r="M240" s="16" t="str">
        <x:f>IF(A240="","",Events!V239)</x:f>
      </x:c>
      <x:c r="N240" s="16" t="str">
        <x:f>IF(A240="","",Events!Q239)</x:f>
      </x:c>
      <x:c r="O240" s="16" t="str">
        <x:f>IF(A240="","",Events!R239)</x:f>
      </x:c>
      <x:c r="P240" s="16" t="str">
        <x:f>IF(A240="","",LOWER(Events!B239&amp;" "&amp;Events!D239&amp;" "&amp;Events!K239))</x:f>
      </x:c>
      <x:c r="Q240" s="16" t="str">
        <x:f>IF(A240="","",LOWER(Events!C239&amp;" "&amp;Events!K239&amp;" "&amp;Events!T239))</x:f>
      </x:c>
      <x:c r="R240" s="16" t="str">
        <x:f>IF(A240="","",IF(ISNUMBER(SEARCH("Occurrence verified",E240)),"Occurrence verified",E240))</x:f>
      </x:c>
      <x:c r="S240" s="79" t="str">
        <x:f>IF(A240="","",Events!X239)</x:f>
      </x:c>
      <x:c r="Z240" s="79" t="str">
        <x:f>IF(A240="","",Events!AD239)</x:f>
      </x:c>
      <x:c r="AA240" s="79" t="str">
        <x:f>IF(A240="","",Events!AE239)</x:f>
      </x:c>
    </x:row>
    <x:row r="241">
      <x:c r="A241" s="16" t="str">
        <x:f>IF(Events!A240="","",Events!A240)</x:f>
      </x:c>
      <x:c r="B241" s="16" t="str">
        <x:f>IF(A241="","",Events!B240)</x:f>
      </x:c>
      <x:c r="C241" s="16" t="str">
        <x:f>IF(A241="","",Events!E240)</x:f>
      </x:c>
      <x:c r="D241" s="16" t="str">
        <x:f>IF(A241="","",Events!J240)</x:f>
      </x:c>
      <x:c r="E241" s="16" t="str">
        <x:f>IF(A241="","",Events!N240)</x:f>
      </x:c>
      <x:c r="F241" s="109" t="str">
        <x:f>IF(OR(A241="",Events!H240=""),"",Events!H240)</x:f>
      </x:c>
      <x:c r="G241" s="109" t="str">
        <x:f>IF(A241="","",IF(Events!I240&lt;&gt;"",Events!I240,IF(Events!S240&lt;&gt;"",Events!S240,"")))</x:f>
      </x:c>
      <x:c r="H241" s="16" t="str">
        <x:f>IF(A241="","",Events!W240)</x:f>
      </x:c>
      <x:c r="I241" s="16" t="str">
        <x:f>IF(A241="","",IF(Events!Y240&lt;&gt;"",Events!Y240,IF(OR(ISNUMBER(SEARCH("education",P241)),ISNUMBER(SEARCH("exam",P241)),ISNUMBER(SEARCH("school",P241))),"Education",IF(OR(ISNUMBER(SEARCH("trade agreement",P241)),ISNUMBER(SEARCH("economic",P241)),ISNUMBER(SEARCH("import",P241))),"Trade &amp; economic policy",IF(OR(ISNUMBER(SEARCH("land acquisition",P241)),ISNUMBER(SEARCH("rehabilitation",P241)),ISNUMBER(SEARCH("displacement",P241)),ISNUMBER(SEARCH("township",P241))),"Land &amp; rehabilitation",IF(OR(ISNUMBER(SEARCH("forest",P241)),ISNUMBER(SEARCH("environment",P241)),ISNUMBER(SEARCH("ecological",P241)),ISNUMBER(SEARCH("biodiversity",P241)),ISNUMBER(SEARCH("green cover",P241))),"Environment",IF(OR(ISNUMBER(SEARCH("irrigation",P241)),ISNUMBER(SEARCH("water",P241)),ISNUMBER(SEARCH("crop",P241)),ISNUMBER(SEARCH("farmer",P241)),ISNUMBER(SEARCH("agriculture",P241))),"Agriculture &amp; water",IF(OR(ISNUMBER(SEARCH("health",P241)),ISNUMBER(SEARCH("hospital",P241)),ISNUMBER(SEARCH("medicine",P241))),"Public health",IF(OR(ISNUMBER(SEARCH("employee",P241)),ISNUMBER(SEARCH("labour",P241)),ISNUMBER(SEARCH("worker",P241)),ISNUMBER(SEARCH("salary",P241))),"Labour &amp; employment",IF(OR(ISNUMBER(SEARCH("rti",P241)),ISNUMBER(SEARCH("transparency",P241)),ISNUMBER(SEARCH("corruption",P241)),ISNUMBER(SEARCH("governance",P241))),"Governance &amp; transparency",IF(OR(ISNUMBER(SEARCH("police",P241)),ISNUMBER(SEARCH("detention",P241)),ISNUMBER(SEARCH("civil rights",P241)),ISNUMBER(SEARCH("justice",P241))),"Civil rights &amp; justice",IF(OR(ISNUMBER(SEARCH("road",P241)),ISNUMBER(SEARCH("utility",P241)),ISNUMBER(SEARCH("infrastructure",P241)),ISNUMBER(SEARCH("public service",P241))),"Infrastructure &amp; public services","Other"))))))))))))</x:f>
      </x:c>
      <x:c r="J241" s="16" t="str">
        <x:f>IF(A241="","",IF(OR(ISNUMBER(SEARCH("fatal",Q241)),ISNUMBER(SEARCH("death",Q241)),ISNUMBER(SEARCH("riot",Q241)),ISNUMBER(SEARCH("curfew",Q241)),ISNUMBER(SEARCH("internet shutdown",Q241))),5,MIN(4,1+IF(H241&gt;=7,1,0)+IF(OR(ISNUMBER(SEARCH("hunger strike",Q241)),ISNUMBER(SEARCH("blockade",Q241)),ISNUMBER(SEARCH("strike",Q241)),ISNUMBER(SEARCH("jal satyagraha",Q241)),ISNUMBER(SEARCH("survey",Q241)),ISNUMBER(SEARCH("human chain",Q241)),ISNUMBER(SEARCH("march",Q241))),1,0)+IF(OR(ISNUMBER(SEARCH("fir",Q241)),ISNUMBER(SEARCH("confrontation",Q241)),ISNUMBER(SEARCH("violence",Q241)),ISNUMBER(SEARCH("detention",Q241)),ISNUMBER(SEARCH("arrest",Q241)),ISNUMBER(SEARCH("demolition",Q241)),ISNUMBER(SEARCH("injury",Q241))),1,0)+IF(OR(D241="Ongoing",D241="Unresolved"),1,0))))</x:f>
      </x:c>
      <x:c r="K241" s="16" t="str">
        <x:f>IF(J241="","",IF(J241=1,"Limited",IF(J241=2,"Local",IF(J241=3,"Significant",IF(J241=4,"High","Critical")))))</x:f>
      </x:c>
      <x:c r="L241" s="16" t="str">
        <x:f>IF(A241="","",Events!U240)</x:f>
      </x:c>
      <x:c r="M241" s="16" t="str">
        <x:f>IF(A241="","",Events!V240)</x:f>
      </x:c>
      <x:c r="N241" s="16" t="str">
        <x:f>IF(A241="","",Events!Q240)</x:f>
      </x:c>
      <x:c r="O241" s="16" t="str">
        <x:f>IF(A241="","",Events!R240)</x:f>
      </x:c>
      <x:c r="P241" s="16" t="str">
        <x:f>IF(A241="","",LOWER(Events!B240&amp;" "&amp;Events!D240&amp;" "&amp;Events!K240))</x:f>
      </x:c>
      <x:c r="Q241" s="16" t="str">
        <x:f>IF(A241="","",LOWER(Events!C240&amp;" "&amp;Events!K240&amp;" "&amp;Events!T240))</x:f>
      </x:c>
      <x:c r="R241" s="16" t="str">
        <x:f>IF(A241="","",IF(ISNUMBER(SEARCH("Occurrence verified",E241)),"Occurrence verified",E241))</x:f>
      </x:c>
      <x:c r="S241" s="79" t="str">
        <x:f>IF(A241="","",Events!X240)</x:f>
      </x:c>
      <x:c r="Z241" s="79" t="str">
        <x:f>IF(A241="","",Events!AD240)</x:f>
      </x:c>
      <x:c r="AA241" s="79" t="str">
        <x:f>IF(A241="","",Events!AE240)</x:f>
      </x:c>
    </x:row>
    <x:row r="242">
      <x:c r="A242" s="16" t="str">
        <x:f>IF(Events!A241="","",Events!A241)</x:f>
      </x:c>
      <x:c r="B242" s="16" t="str">
        <x:f>IF(A242="","",Events!B241)</x:f>
      </x:c>
      <x:c r="C242" s="16" t="str">
        <x:f>IF(A242="","",Events!E241)</x:f>
      </x:c>
      <x:c r="D242" s="16" t="str">
        <x:f>IF(A242="","",Events!J241)</x:f>
      </x:c>
      <x:c r="E242" s="16" t="str">
        <x:f>IF(A242="","",Events!N241)</x:f>
      </x:c>
      <x:c r="F242" s="109" t="str">
        <x:f>IF(OR(A242="",Events!H241=""),"",Events!H241)</x:f>
      </x:c>
      <x:c r="G242" s="109" t="str">
        <x:f>IF(A242="","",IF(Events!I241&lt;&gt;"",Events!I241,IF(Events!S241&lt;&gt;"",Events!S241,"")))</x:f>
      </x:c>
      <x:c r="H242" s="16" t="str">
        <x:f>IF(A242="","",Events!W241)</x:f>
      </x:c>
      <x:c r="I242" s="16" t="str">
        <x:f>IF(A242="","",IF(Events!Y241&lt;&gt;"",Events!Y241,IF(OR(ISNUMBER(SEARCH("education",P242)),ISNUMBER(SEARCH("exam",P242)),ISNUMBER(SEARCH("school",P242))),"Education",IF(OR(ISNUMBER(SEARCH("trade agreement",P242)),ISNUMBER(SEARCH("economic",P242)),ISNUMBER(SEARCH("import",P242))),"Trade &amp; economic policy",IF(OR(ISNUMBER(SEARCH("land acquisition",P242)),ISNUMBER(SEARCH("rehabilitation",P242)),ISNUMBER(SEARCH("displacement",P242)),ISNUMBER(SEARCH("township",P242))),"Land &amp; rehabilitation",IF(OR(ISNUMBER(SEARCH("forest",P242)),ISNUMBER(SEARCH("environment",P242)),ISNUMBER(SEARCH("ecological",P242)),ISNUMBER(SEARCH("biodiversity",P242)),ISNUMBER(SEARCH("green cover",P242))),"Environment",IF(OR(ISNUMBER(SEARCH("irrigation",P242)),ISNUMBER(SEARCH("water",P242)),ISNUMBER(SEARCH("crop",P242)),ISNUMBER(SEARCH("farmer",P242)),ISNUMBER(SEARCH("agriculture",P242))),"Agriculture &amp; water",IF(OR(ISNUMBER(SEARCH("health",P242)),ISNUMBER(SEARCH("hospital",P242)),ISNUMBER(SEARCH("medicine",P242))),"Public health",IF(OR(ISNUMBER(SEARCH("employee",P242)),ISNUMBER(SEARCH("labour",P242)),ISNUMBER(SEARCH("worker",P242)),ISNUMBER(SEARCH("salary",P242))),"Labour &amp; employment",IF(OR(ISNUMBER(SEARCH("rti",P242)),ISNUMBER(SEARCH("transparency",P242)),ISNUMBER(SEARCH("corruption",P242)),ISNUMBER(SEARCH("governance",P242))),"Governance &amp; transparency",IF(OR(ISNUMBER(SEARCH("police",P242)),ISNUMBER(SEARCH("detention",P242)),ISNUMBER(SEARCH("civil rights",P242)),ISNUMBER(SEARCH("justice",P242))),"Civil rights &amp; justice",IF(OR(ISNUMBER(SEARCH("road",P242)),ISNUMBER(SEARCH("utility",P242)),ISNUMBER(SEARCH("infrastructure",P242)),ISNUMBER(SEARCH("public service",P242))),"Infrastructure &amp; public services","Other"))))))))))))</x:f>
      </x:c>
      <x:c r="J242" s="16" t="str">
        <x:f>IF(A242="","",IF(OR(ISNUMBER(SEARCH("fatal",Q242)),ISNUMBER(SEARCH("death",Q242)),ISNUMBER(SEARCH("riot",Q242)),ISNUMBER(SEARCH("curfew",Q242)),ISNUMBER(SEARCH("internet shutdown",Q242))),5,MIN(4,1+IF(H242&gt;=7,1,0)+IF(OR(ISNUMBER(SEARCH("hunger strike",Q242)),ISNUMBER(SEARCH("blockade",Q242)),ISNUMBER(SEARCH("strike",Q242)),ISNUMBER(SEARCH("jal satyagraha",Q242)),ISNUMBER(SEARCH("survey",Q242)),ISNUMBER(SEARCH("human chain",Q242)),ISNUMBER(SEARCH("march",Q242))),1,0)+IF(OR(ISNUMBER(SEARCH("fir",Q242)),ISNUMBER(SEARCH("confrontation",Q242)),ISNUMBER(SEARCH("violence",Q242)),ISNUMBER(SEARCH("detention",Q242)),ISNUMBER(SEARCH("arrest",Q242)),ISNUMBER(SEARCH("demolition",Q242)),ISNUMBER(SEARCH("injury",Q242))),1,0)+IF(OR(D242="Ongoing",D242="Unresolved"),1,0))))</x:f>
      </x:c>
      <x:c r="K242" s="16" t="str">
        <x:f>IF(J242="","",IF(J242=1,"Limited",IF(J242=2,"Local",IF(J242=3,"Significant",IF(J242=4,"High","Critical")))))</x:f>
      </x:c>
      <x:c r="L242" s="16" t="str">
        <x:f>IF(A242="","",Events!U241)</x:f>
      </x:c>
      <x:c r="M242" s="16" t="str">
        <x:f>IF(A242="","",Events!V241)</x:f>
      </x:c>
      <x:c r="N242" s="16" t="str">
        <x:f>IF(A242="","",Events!Q241)</x:f>
      </x:c>
      <x:c r="O242" s="16" t="str">
        <x:f>IF(A242="","",Events!R241)</x:f>
      </x:c>
      <x:c r="P242" s="16" t="str">
        <x:f>IF(A242="","",LOWER(Events!B241&amp;" "&amp;Events!D241&amp;" "&amp;Events!K241))</x:f>
      </x:c>
      <x:c r="Q242" s="16" t="str">
        <x:f>IF(A242="","",LOWER(Events!C241&amp;" "&amp;Events!K241&amp;" "&amp;Events!T241))</x:f>
      </x:c>
      <x:c r="R242" s="16" t="str">
        <x:f>IF(A242="","",IF(ISNUMBER(SEARCH("Occurrence verified",E242)),"Occurrence verified",E242))</x:f>
      </x:c>
      <x:c r="S242" s="79" t="str">
        <x:f>IF(A242="","",Events!X241)</x:f>
      </x:c>
      <x:c r="Z242" s="79" t="str">
        <x:f>IF(A242="","",Events!AD241)</x:f>
      </x:c>
      <x:c r="AA242" s="79" t="str">
        <x:f>IF(A242="","",Events!AE241)</x:f>
      </x:c>
    </x:row>
    <x:row r="243">
      <x:c r="A243" s="16" t="str">
        <x:f>IF(Events!A242="","",Events!A242)</x:f>
      </x:c>
      <x:c r="B243" s="16" t="str">
        <x:f>IF(A243="","",Events!B242)</x:f>
      </x:c>
      <x:c r="C243" s="16" t="str">
        <x:f>IF(A243="","",Events!E242)</x:f>
      </x:c>
      <x:c r="D243" s="16" t="str">
        <x:f>IF(A243="","",Events!J242)</x:f>
      </x:c>
      <x:c r="E243" s="16" t="str">
        <x:f>IF(A243="","",Events!N242)</x:f>
      </x:c>
      <x:c r="F243" s="109" t="str">
        <x:f>IF(OR(A243="",Events!H242=""),"",Events!H242)</x:f>
      </x:c>
      <x:c r="G243" s="109" t="str">
        <x:f>IF(A243="","",IF(Events!I242&lt;&gt;"",Events!I242,IF(Events!S242&lt;&gt;"",Events!S242,"")))</x:f>
      </x:c>
      <x:c r="H243" s="16" t="str">
        <x:f>IF(A243="","",Events!W242)</x:f>
      </x:c>
      <x:c r="I243" s="16" t="str">
        <x:f>IF(A243="","",IF(Events!Y242&lt;&gt;"",Events!Y242,IF(OR(ISNUMBER(SEARCH("education",P243)),ISNUMBER(SEARCH("exam",P243)),ISNUMBER(SEARCH("school",P243))),"Education",IF(OR(ISNUMBER(SEARCH("trade agreement",P243)),ISNUMBER(SEARCH("economic",P243)),ISNUMBER(SEARCH("import",P243))),"Trade &amp; economic policy",IF(OR(ISNUMBER(SEARCH("land acquisition",P243)),ISNUMBER(SEARCH("rehabilitation",P243)),ISNUMBER(SEARCH("displacement",P243)),ISNUMBER(SEARCH("township",P243))),"Land &amp; rehabilitation",IF(OR(ISNUMBER(SEARCH("forest",P243)),ISNUMBER(SEARCH("environment",P243)),ISNUMBER(SEARCH("ecological",P243)),ISNUMBER(SEARCH("biodiversity",P243)),ISNUMBER(SEARCH("green cover",P243))),"Environment",IF(OR(ISNUMBER(SEARCH("irrigation",P243)),ISNUMBER(SEARCH("water",P243)),ISNUMBER(SEARCH("crop",P243)),ISNUMBER(SEARCH("farmer",P243)),ISNUMBER(SEARCH("agriculture",P243))),"Agriculture &amp; water",IF(OR(ISNUMBER(SEARCH("health",P243)),ISNUMBER(SEARCH("hospital",P243)),ISNUMBER(SEARCH("medicine",P243))),"Public health",IF(OR(ISNUMBER(SEARCH("employee",P243)),ISNUMBER(SEARCH("labour",P243)),ISNUMBER(SEARCH("worker",P243)),ISNUMBER(SEARCH("salary",P243))),"Labour &amp; employment",IF(OR(ISNUMBER(SEARCH("rti",P243)),ISNUMBER(SEARCH("transparency",P243)),ISNUMBER(SEARCH("corruption",P243)),ISNUMBER(SEARCH("governance",P243))),"Governance &amp; transparency",IF(OR(ISNUMBER(SEARCH("police",P243)),ISNUMBER(SEARCH("detention",P243)),ISNUMBER(SEARCH("civil rights",P243)),ISNUMBER(SEARCH("justice",P243))),"Civil rights &amp; justice",IF(OR(ISNUMBER(SEARCH("road",P243)),ISNUMBER(SEARCH("utility",P243)),ISNUMBER(SEARCH("infrastructure",P243)),ISNUMBER(SEARCH("public service",P243))),"Infrastructure &amp; public services","Other"))))))))))))</x:f>
      </x:c>
      <x:c r="J243" s="16" t="str">
        <x:f>IF(A243="","",IF(OR(ISNUMBER(SEARCH("fatal",Q243)),ISNUMBER(SEARCH("death",Q243)),ISNUMBER(SEARCH("riot",Q243)),ISNUMBER(SEARCH("curfew",Q243)),ISNUMBER(SEARCH("internet shutdown",Q243))),5,MIN(4,1+IF(H243&gt;=7,1,0)+IF(OR(ISNUMBER(SEARCH("hunger strike",Q243)),ISNUMBER(SEARCH("blockade",Q243)),ISNUMBER(SEARCH("strike",Q243)),ISNUMBER(SEARCH("jal satyagraha",Q243)),ISNUMBER(SEARCH("survey",Q243)),ISNUMBER(SEARCH("human chain",Q243)),ISNUMBER(SEARCH("march",Q243))),1,0)+IF(OR(ISNUMBER(SEARCH("fir",Q243)),ISNUMBER(SEARCH("confrontation",Q243)),ISNUMBER(SEARCH("violence",Q243)),ISNUMBER(SEARCH("detention",Q243)),ISNUMBER(SEARCH("arrest",Q243)),ISNUMBER(SEARCH("demolition",Q243)),ISNUMBER(SEARCH("injury",Q243))),1,0)+IF(OR(D243="Ongoing",D243="Unresolved"),1,0))))</x:f>
      </x:c>
      <x:c r="K243" s="16" t="str">
        <x:f>IF(J243="","",IF(J243=1,"Limited",IF(J243=2,"Local",IF(J243=3,"Significant",IF(J243=4,"High","Critical")))))</x:f>
      </x:c>
      <x:c r="L243" s="16" t="str">
        <x:f>IF(A243="","",Events!U242)</x:f>
      </x:c>
      <x:c r="M243" s="16" t="str">
        <x:f>IF(A243="","",Events!V242)</x:f>
      </x:c>
      <x:c r="N243" s="16" t="str">
        <x:f>IF(A243="","",Events!Q242)</x:f>
      </x:c>
      <x:c r="O243" s="16" t="str">
        <x:f>IF(A243="","",Events!R242)</x:f>
      </x:c>
      <x:c r="P243" s="16" t="str">
        <x:f>IF(A243="","",LOWER(Events!B242&amp;" "&amp;Events!D242&amp;" "&amp;Events!K242))</x:f>
      </x:c>
      <x:c r="Q243" s="16" t="str">
        <x:f>IF(A243="","",LOWER(Events!C242&amp;" "&amp;Events!K242&amp;" "&amp;Events!T242))</x:f>
      </x:c>
      <x:c r="R243" s="16" t="str">
        <x:f>IF(A243="","",IF(ISNUMBER(SEARCH("Occurrence verified",E243)),"Occurrence verified",E243))</x:f>
      </x:c>
      <x:c r="S243" s="79" t="str">
        <x:f>IF(A243="","",Events!X242)</x:f>
      </x:c>
      <x:c r="Z243" s="79" t="str">
        <x:f>IF(A243="","",Events!AD242)</x:f>
      </x:c>
      <x:c r="AA243" s="79" t="str">
        <x:f>IF(A243="","",Events!AE242)</x:f>
      </x:c>
    </x:row>
    <x:row r="244">
      <x:c r="A244" s="16" t="str">
        <x:f>IF(Events!A243="","",Events!A243)</x:f>
      </x:c>
      <x:c r="B244" s="16" t="str">
        <x:f>IF(A244="","",Events!B243)</x:f>
      </x:c>
      <x:c r="C244" s="16" t="str">
        <x:f>IF(A244="","",Events!E243)</x:f>
      </x:c>
      <x:c r="D244" s="16" t="str">
        <x:f>IF(A244="","",Events!J243)</x:f>
      </x:c>
      <x:c r="E244" s="16" t="str">
        <x:f>IF(A244="","",Events!N243)</x:f>
      </x:c>
      <x:c r="F244" s="109" t="str">
        <x:f>IF(OR(A244="",Events!H243=""),"",Events!H243)</x:f>
      </x:c>
      <x:c r="G244" s="109" t="str">
        <x:f>IF(A244="","",IF(Events!I243&lt;&gt;"",Events!I243,IF(Events!S243&lt;&gt;"",Events!S243,"")))</x:f>
      </x:c>
      <x:c r="H244" s="16" t="str">
        <x:f>IF(A244="","",Events!W243)</x:f>
      </x:c>
      <x:c r="I244" s="16" t="str">
        <x:f>IF(A244="","",IF(Events!Y243&lt;&gt;"",Events!Y243,IF(OR(ISNUMBER(SEARCH("education",P244)),ISNUMBER(SEARCH("exam",P244)),ISNUMBER(SEARCH("school",P244))),"Education",IF(OR(ISNUMBER(SEARCH("trade agreement",P244)),ISNUMBER(SEARCH("economic",P244)),ISNUMBER(SEARCH("import",P244))),"Trade &amp; economic policy",IF(OR(ISNUMBER(SEARCH("land acquisition",P244)),ISNUMBER(SEARCH("rehabilitation",P244)),ISNUMBER(SEARCH("displacement",P244)),ISNUMBER(SEARCH("township",P244))),"Land &amp; rehabilitation",IF(OR(ISNUMBER(SEARCH("forest",P244)),ISNUMBER(SEARCH("environment",P244)),ISNUMBER(SEARCH("ecological",P244)),ISNUMBER(SEARCH("biodiversity",P244)),ISNUMBER(SEARCH("green cover",P244))),"Environment",IF(OR(ISNUMBER(SEARCH("irrigation",P244)),ISNUMBER(SEARCH("water",P244)),ISNUMBER(SEARCH("crop",P244)),ISNUMBER(SEARCH("farmer",P244)),ISNUMBER(SEARCH("agriculture",P244))),"Agriculture &amp; water",IF(OR(ISNUMBER(SEARCH("health",P244)),ISNUMBER(SEARCH("hospital",P244)),ISNUMBER(SEARCH("medicine",P244))),"Public health",IF(OR(ISNUMBER(SEARCH("employee",P244)),ISNUMBER(SEARCH("labour",P244)),ISNUMBER(SEARCH("worker",P244)),ISNUMBER(SEARCH("salary",P244))),"Labour &amp; employment",IF(OR(ISNUMBER(SEARCH("rti",P244)),ISNUMBER(SEARCH("transparency",P244)),ISNUMBER(SEARCH("corruption",P244)),ISNUMBER(SEARCH("governance",P244))),"Governance &amp; transparency",IF(OR(ISNUMBER(SEARCH("police",P244)),ISNUMBER(SEARCH("detention",P244)),ISNUMBER(SEARCH("civil rights",P244)),ISNUMBER(SEARCH("justice",P244))),"Civil rights &amp; justice",IF(OR(ISNUMBER(SEARCH("road",P244)),ISNUMBER(SEARCH("utility",P244)),ISNUMBER(SEARCH("infrastructure",P244)),ISNUMBER(SEARCH("public service",P244))),"Infrastructure &amp; public services","Other"))))))))))))</x:f>
      </x:c>
      <x:c r="J244" s="16" t="str">
        <x:f>IF(A244="","",IF(OR(ISNUMBER(SEARCH("fatal",Q244)),ISNUMBER(SEARCH("death",Q244)),ISNUMBER(SEARCH("riot",Q244)),ISNUMBER(SEARCH("curfew",Q244)),ISNUMBER(SEARCH("internet shutdown",Q244))),5,MIN(4,1+IF(H244&gt;=7,1,0)+IF(OR(ISNUMBER(SEARCH("hunger strike",Q244)),ISNUMBER(SEARCH("blockade",Q244)),ISNUMBER(SEARCH("strike",Q244)),ISNUMBER(SEARCH("jal satyagraha",Q244)),ISNUMBER(SEARCH("survey",Q244)),ISNUMBER(SEARCH("human chain",Q244)),ISNUMBER(SEARCH("march",Q244))),1,0)+IF(OR(ISNUMBER(SEARCH("fir",Q244)),ISNUMBER(SEARCH("confrontation",Q244)),ISNUMBER(SEARCH("violence",Q244)),ISNUMBER(SEARCH("detention",Q244)),ISNUMBER(SEARCH("arrest",Q244)),ISNUMBER(SEARCH("demolition",Q244)),ISNUMBER(SEARCH("injury",Q244))),1,0)+IF(OR(D244="Ongoing",D244="Unresolved"),1,0))))</x:f>
      </x:c>
      <x:c r="K244" s="16" t="str">
        <x:f>IF(J244="","",IF(J244=1,"Limited",IF(J244=2,"Local",IF(J244=3,"Significant",IF(J244=4,"High","Critical")))))</x:f>
      </x:c>
      <x:c r="L244" s="16" t="str">
        <x:f>IF(A244="","",Events!U243)</x:f>
      </x:c>
      <x:c r="M244" s="16" t="str">
        <x:f>IF(A244="","",Events!V243)</x:f>
      </x:c>
      <x:c r="N244" s="16" t="str">
        <x:f>IF(A244="","",Events!Q243)</x:f>
      </x:c>
      <x:c r="O244" s="16" t="str">
        <x:f>IF(A244="","",Events!R243)</x:f>
      </x:c>
      <x:c r="P244" s="16" t="str">
        <x:f>IF(A244="","",LOWER(Events!B243&amp;" "&amp;Events!D243&amp;" "&amp;Events!K243))</x:f>
      </x:c>
      <x:c r="Q244" s="16" t="str">
        <x:f>IF(A244="","",LOWER(Events!C243&amp;" "&amp;Events!K243&amp;" "&amp;Events!T243))</x:f>
      </x:c>
      <x:c r="R244" s="16" t="str">
        <x:f>IF(A244="","",IF(ISNUMBER(SEARCH("Occurrence verified",E244)),"Occurrence verified",E244))</x:f>
      </x:c>
      <x:c r="S244" s="79" t="str">
        <x:f>IF(A244="","",Events!X243)</x:f>
      </x:c>
      <x:c r="Z244" s="79" t="str">
        <x:f>IF(A244="","",Events!AD243)</x:f>
      </x:c>
      <x:c r="AA244" s="79" t="str">
        <x:f>IF(A244="","",Events!AE243)</x:f>
      </x:c>
    </x:row>
    <x:row r="245">
      <x:c r="A245" s="16" t="str">
        <x:f>IF(Events!A244="","",Events!A244)</x:f>
      </x:c>
      <x:c r="B245" s="16" t="str">
        <x:f>IF(A245="","",Events!B244)</x:f>
      </x:c>
      <x:c r="C245" s="16" t="str">
        <x:f>IF(A245="","",Events!E244)</x:f>
      </x:c>
      <x:c r="D245" s="16" t="str">
        <x:f>IF(A245="","",Events!J244)</x:f>
      </x:c>
      <x:c r="E245" s="16" t="str">
        <x:f>IF(A245="","",Events!N244)</x:f>
      </x:c>
      <x:c r="F245" s="109" t="str">
        <x:f>IF(OR(A245="",Events!H244=""),"",Events!H244)</x:f>
      </x:c>
      <x:c r="G245" s="109" t="str">
        <x:f>IF(A245="","",IF(Events!I244&lt;&gt;"",Events!I244,IF(Events!S244&lt;&gt;"",Events!S244,"")))</x:f>
      </x:c>
      <x:c r="H245" s="16" t="str">
        <x:f>IF(A245="","",Events!W244)</x:f>
      </x:c>
      <x:c r="I245" s="16" t="str">
        <x:f>IF(A245="","",IF(Events!Y244&lt;&gt;"",Events!Y244,IF(OR(ISNUMBER(SEARCH("education",P245)),ISNUMBER(SEARCH("exam",P245)),ISNUMBER(SEARCH("school",P245))),"Education",IF(OR(ISNUMBER(SEARCH("trade agreement",P245)),ISNUMBER(SEARCH("economic",P245)),ISNUMBER(SEARCH("import",P245))),"Trade &amp; economic policy",IF(OR(ISNUMBER(SEARCH("land acquisition",P245)),ISNUMBER(SEARCH("rehabilitation",P245)),ISNUMBER(SEARCH("displacement",P245)),ISNUMBER(SEARCH("township",P245))),"Land &amp; rehabilitation",IF(OR(ISNUMBER(SEARCH("forest",P245)),ISNUMBER(SEARCH("environment",P245)),ISNUMBER(SEARCH("ecological",P245)),ISNUMBER(SEARCH("biodiversity",P245)),ISNUMBER(SEARCH("green cover",P245))),"Environment",IF(OR(ISNUMBER(SEARCH("irrigation",P245)),ISNUMBER(SEARCH("water",P245)),ISNUMBER(SEARCH("crop",P245)),ISNUMBER(SEARCH("farmer",P245)),ISNUMBER(SEARCH("agriculture",P245))),"Agriculture &amp; water",IF(OR(ISNUMBER(SEARCH("health",P245)),ISNUMBER(SEARCH("hospital",P245)),ISNUMBER(SEARCH("medicine",P245))),"Public health",IF(OR(ISNUMBER(SEARCH("employee",P245)),ISNUMBER(SEARCH("labour",P245)),ISNUMBER(SEARCH("worker",P245)),ISNUMBER(SEARCH("salary",P245))),"Labour &amp; employment",IF(OR(ISNUMBER(SEARCH("rti",P245)),ISNUMBER(SEARCH("transparency",P245)),ISNUMBER(SEARCH("corruption",P245)),ISNUMBER(SEARCH("governance",P245))),"Governance &amp; transparency",IF(OR(ISNUMBER(SEARCH("police",P245)),ISNUMBER(SEARCH("detention",P245)),ISNUMBER(SEARCH("civil rights",P245)),ISNUMBER(SEARCH("justice",P245))),"Civil rights &amp; justice",IF(OR(ISNUMBER(SEARCH("road",P245)),ISNUMBER(SEARCH("utility",P245)),ISNUMBER(SEARCH("infrastructure",P245)),ISNUMBER(SEARCH("public service",P245))),"Infrastructure &amp; public services","Other"))))))))))))</x:f>
      </x:c>
      <x:c r="J245" s="16" t="str">
        <x:f>IF(A245="","",IF(OR(ISNUMBER(SEARCH("fatal",Q245)),ISNUMBER(SEARCH("death",Q245)),ISNUMBER(SEARCH("riot",Q245)),ISNUMBER(SEARCH("curfew",Q245)),ISNUMBER(SEARCH("internet shutdown",Q245))),5,MIN(4,1+IF(H245&gt;=7,1,0)+IF(OR(ISNUMBER(SEARCH("hunger strike",Q245)),ISNUMBER(SEARCH("blockade",Q245)),ISNUMBER(SEARCH("strike",Q245)),ISNUMBER(SEARCH("jal satyagraha",Q245)),ISNUMBER(SEARCH("survey",Q245)),ISNUMBER(SEARCH("human chain",Q245)),ISNUMBER(SEARCH("march",Q245))),1,0)+IF(OR(ISNUMBER(SEARCH("fir",Q245)),ISNUMBER(SEARCH("confrontation",Q245)),ISNUMBER(SEARCH("violence",Q245)),ISNUMBER(SEARCH("detention",Q245)),ISNUMBER(SEARCH("arrest",Q245)),ISNUMBER(SEARCH("demolition",Q245)),ISNUMBER(SEARCH("injury",Q245))),1,0)+IF(OR(D245="Ongoing",D245="Unresolved"),1,0))))</x:f>
      </x:c>
      <x:c r="K245" s="16" t="str">
        <x:f>IF(J245="","",IF(J245=1,"Limited",IF(J245=2,"Local",IF(J245=3,"Significant",IF(J245=4,"High","Critical")))))</x:f>
      </x:c>
      <x:c r="L245" s="16" t="str">
        <x:f>IF(A245="","",Events!U244)</x:f>
      </x:c>
      <x:c r="M245" s="16" t="str">
        <x:f>IF(A245="","",Events!V244)</x:f>
      </x:c>
      <x:c r="N245" s="16" t="str">
        <x:f>IF(A245="","",Events!Q244)</x:f>
      </x:c>
      <x:c r="O245" s="16" t="str">
        <x:f>IF(A245="","",Events!R244)</x:f>
      </x:c>
      <x:c r="P245" s="16" t="str">
        <x:f>IF(A245="","",LOWER(Events!B244&amp;" "&amp;Events!D244&amp;" "&amp;Events!K244))</x:f>
      </x:c>
      <x:c r="Q245" s="16" t="str">
        <x:f>IF(A245="","",LOWER(Events!C244&amp;" "&amp;Events!K244&amp;" "&amp;Events!T244))</x:f>
      </x:c>
      <x:c r="R245" s="16" t="str">
        <x:f>IF(A245="","",IF(ISNUMBER(SEARCH("Occurrence verified",E245)),"Occurrence verified",E245))</x:f>
      </x:c>
      <x:c r="S245" s="79" t="str">
        <x:f>IF(A245="","",Events!X244)</x:f>
      </x:c>
      <x:c r="Z245" s="79" t="str">
        <x:f>IF(A245="","",Events!AD244)</x:f>
      </x:c>
      <x:c r="AA245" s="79" t="str">
        <x:f>IF(A245="","",Events!AE244)</x:f>
      </x:c>
    </x:row>
    <x:row r="246">
      <x:c r="A246" s="16" t="str">
        <x:f>IF(Events!A245="","",Events!A245)</x:f>
      </x:c>
      <x:c r="B246" s="16" t="str">
        <x:f>IF(A246="","",Events!B245)</x:f>
      </x:c>
      <x:c r="C246" s="16" t="str">
        <x:f>IF(A246="","",Events!E245)</x:f>
      </x:c>
      <x:c r="D246" s="16" t="str">
        <x:f>IF(A246="","",Events!J245)</x:f>
      </x:c>
      <x:c r="E246" s="16" t="str">
        <x:f>IF(A246="","",Events!N245)</x:f>
      </x:c>
      <x:c r="F246" s="109" t="str">
        <x:f>IF(OR(A246="",Events!H245=""),"",Events!H245)</x:f>
      </x:c>
      <x:c r="G246" s="109" t="str">
        <x:f>IF(A246="","",IF(Events!I245&lt;&gt;"",Events!I245,IF(Events!S245&lt;&gt;"",Events!S245,"")))</x:f>
      </x:c>
      <x:c r="H246" s="16" t="str">
        <x:f>IF(A246="","",Events!W245)</x:f>
      </x:c>
      <x:c r="I246" s="16" t="str">
        <x:f>IF(A246="","",IF(Events!Y245&lt;&gt;"",Events!Y245,IF(OR(ISNUMBER(SEARCH("education",P246)),ISNUMBER(SEARCH("exam",P246)),ISNUMBER(SEARCH("school",P246))),"Education",IF(OR(ISNUMBER(SEARCH("trade agreement",P246)),ISNUMBER(SEARCH("economic",P246)),ISNUMBER(SEARCH("import",P246))),"Trade &amp; economic policy",IF(OR(ISNUMBER(SEARCH("land acquisition",P246)),ISNUMBER(SEARCH("rehabilitation",P246)),ISNUMBER(SEARCH("displacement",P246)),ISNUMBER(SEARCH("township",P246))),"Land &amp; rehabilitation",IF(OR(ISNUMBER(SEARCH("forest",P246)),ISNUMBER(SEARCH("environment",P246)),ISNUMBER(SEARCH("ecological",P246)),ISNUMBER(SEARCH("biodiversity",P246)),ISNUMBER(SEARCH("green cover",P246))),"Environment",IF(OR(ISNUMBER(SEARCH("irrigation",P246)),ISNUMBER(SEARCH("water",P246)),ISNUMBER(SEARCH("crop",P246)),ISNUMBER(SEARCH("farmer",P246)),ISNUMBER(SEARCH("agriculture",P246))),"Agriculture &amp; water",IF(OR(ISNUMBER(SEARCH("health",P246)),ISNUMBER(SEARCH("hospital",P246)),ISNUMBER(SEARCH("medicine",P246))),"Public health",IF(OR(ISNUMBER(SEARCH("employee",P246)),ISNUMBER(SEARCH("labour",P246)),ISNUMBER(SEARCH("worker",P246)),ISNUMBER(SEARCH("salary",P246))),"Labour &amp; employment",IF(OR(ISNUMBER(SEARCH("rti",P246)),ISNUMBER(SEARCH("transparency",P246)),ISNUMBER(SEARCH("corruption",P246)),ISNUMBER(SEARCH("governance",P246))),"Governance &amp; transparency",IF(OR(ISNUMBER(SEARCH("police",P246)),ISNUMBER(SEARCH("detention",P246)),ISNUMBER(SEARCH("civil rights",P246)),ISNUMBER(SEARCH("justice",P246))),"Civil rights &amp; justice",IF(OR(ISNUMBER(SEARCH("road",P246)),ISNUMBER(SEARCH("utility",P246)),ISNUMBER(SEARCH("infrastructure",P246)),ISNUMBER(SEARCH("public service",P246))),"Infrastructure &amp; public services","Other"))))))))))))</x:f>
      </x:c>
      <x:c r="J246" s="16" t="str">
        <x:f>IF(A246="","",IF(OR(ISNUMBER(SEARCH("fatal",Q246)),ISNUMBER(SEARCH("death",Q246)),ISNUMBER(SEARCH("riot",Q246)),ISNUMBER(SEARCH("curfew",Q246)),ISNUMBER(SEARCH("internet shutdown",Q246))),5,MIN(4,1+IF(H246&gt;=7,1,0)+IF(OR(ISNUMBER(SEARCH("hunger strike",Q246)),ISNUMBER(SEARCH("blockade",Q246)),ISNUMBER(SEARCH("strike",Q246)),ISNUMBER(SEARCH("jal satyagraha",Q246)),ISNUMBER(SEARCH("survey",Q246)),ISNUMBER(SEARCH("human chain",Q246)),ISNUMBER(SEARCH("march",Q246))),1,0)+IF(OR(ISNUMBER(SEARCH("fir",Q246)),ISNUMBER(SEARCH("confrontation",Q246)),ISNUMBER(SEARCH("violence",Q246)),ISNUMBER(SEARCH("detention",Q246)),ISNUMBER(SEARCH("arrest",Q246)),ISNUMBER(SEARCH("demolition",Q246)),ISNUMBER(SEARCH("injury",Q246))),1,0)+IF(OR(D246="Ongoing",D246="Unresolved"),1,0))))</x:f>
      </x:c>
      <x:c r="K246" s="16" t="str">
        <x:f>IF(J246="","",IF(J246=1,"Limited",IF(J246=2,"Local",IF(J246=3,"Significant",IF(J246=4,"High","Critical")))))</x:f>
      </x:c>
      <x:c r="L246" s="16" t="str">
        <x:f>IF(A246="","",Events!U245)</x:f>
      </x:c>
      <x:c r="M246" s="16" t="str">
        <x:f>IF(A246="","",Events!V245)</x:f>
      </x:c>
      <x:c r="N246" s="16" t="str">
        <x:f>IF(A246="","",Events!Q245)</x:f>
      </x:c>
      <x:c r="O246" s="16" t="str">
        <x:f>IF(A246="","",Events!R245)</x:f>
      </x:c>
      <x:c r="P246" s="16" t="str">
        <x:f>IF(A246="","",LOWER(Events!B245&amp;" "&amp;Events!D245&amp;" "&amp;Events!K245))</x:f>
      </x:c>
      <x:c r="Q246" s="16" t="str">
        <x:f>IF(A246="","",LOWER(Events!C245&amp;" "&amp;Events!K245&amp;" "&amp;Events!T245))</x:f>
      </x:c>
      <x:c r="R246" s="16" t="str">
        <x:f>IF(A246="","",IF(ISNUMBER(SEARCH("Occurrence verified",E246)),"Occurrence verified",E246))</x:f>
      </x:c>
      <x:c r="S246" s="79" t="str">
        <x:f>IF(A246="","",Events!X245)</x:f>
      </x:c>
      <x:c r="Z246" s="79" t="str">
        <x:f>IF(A246="","",Events!AD245)</x:f>
      </x:c>
      <x:c r="AA246" s="79" t="str">
        <x:f>IF(A246="","",Events!AE245)</x:f>
      </x:c>
    </x:row>
    <x:row r="247">
      <x:c r="A247" s="16" t="str">
        <x:f>IF(Events!A246="","",Events!A246)</x:f>
      </x:c>
      <x:c r="B247" s="16" t="str">
        <x:f>IF(A247="","",Events!B246)</x:f>
      </x:c>
      <x:c r="C247" s="16" t="str">
        <x:f>IF(A247="","",Events!E246)</x:f>
      </x:c>
      <x:c r="D247" s="16" t="str">
        <x:f>IF(A247="","",Events!J246)</x:f>
      </x:c>
      <x:c r="E247" s="16" t="str">
        <x:f>IF(A247="","",Events!N246)</x:f>
      </x:c>
      <x:c r="F247" s="109" t="str">
        <x:f>IF(OR(A247="",Events!H246=""),"",Events!H246)</x:f>
      </x:c>
      <x:c r="G247" s="109" t="str">
        <x:f>IF(A247="","",IF(Events!I246&lt;&gt;"",Events!I246,IF(Events!S246&lt;&gt;"",Events!S246,"")))</x:f>
      </x:c>
      <x:c r="H247" s="16" t="str">
        <x:f>IF(A247="","",Events!W246)</x:f>
      </x:c>
      <x:c r="I247" s="16" t="str">
        <x:f>IF(A247="","",IF(Events!Y246&lt;&gt;"",Events!Y246,IF(OR(ISNUMBER(SEARCH("education",P247)),ISNUMBER(SEARCH("exam",P247)),ISNUMBER(SEARCH("school",P247))),"Education",IF(OR(ISNUMBER(SEARCH("trade agreement",P247)),ISNUMBER(SEARCH("economic",P247)),ISNUMBER(SEARCH("import",P247))),"Trade &amp; economic policy",IF(OR(ISNUMBER(SEARCH("land acquisition",P247)),ISNUMBER(SEARCH("rehabilitation",P247)),ISNUMBER(SEARCH("displacement",P247)),ISNUMBER(SEARCH("township",P247))),"Land &amp; rehabilitation",IF(OR(ISNUMBER(SEARCH("forest",P247)),ISNUMBER(SEARCH("environment",P247)),ISNUMBER(SEARCH("ecological",P247)),ISNUMBER(SEARCH("biodiversity",P247)),ISNUMBER(SEARCH("green cover",P247))),"Environment",IF(OR(ISNUMBER(SEARCH("irrigation",P247)),ISNUMBER(SEARCH("water",P247)),ISNUMBER(SEARCH("crop",P247)),ISNUMBER(SEARCH("farmer",P247)),ISNUMBER(SEARCH("agriculture",P247))),"Agriculture &amp; water",IF(OR(ISNUMBER(SEARCH("health",P247)),ISNUMBER(SEARCH("hospital",P247)),ISNUMBER(SEARCH("medicine",P247))),"Public health",IF(OR(ISNUMBER(SEARCH("employee",P247)),ISNUMBER(SEARCH("labour",P247)),ISNUMBER(SEARCH("worker",P247)),ISNUMBER(SEARCH("salary",P247))),"Labour &amp; employment",IF(OR(ISNUMBER(SEARCH("rti",P247)),ISNUMBER(SEARCH("transparency",P247)),ISNUMBER(SEARCH("corruption",P247)),ISNUMBER(SEARCH("governance",P247))),"Governance &amp; transparency",IF(OR(ISNUMBER(SEARCH("police",P247)),ISNUMBER(SEARCH("detention",P247)),ISNUMBER(SEARCH("civil rights",P247)),ISNUMBER(SEARCH("justice",P247))),"Civil rights &amp; justice",IF(OR(ISNUMBER(SEARCH("road",P247)),ISNUMBER(SEARCH("utility",P247)),ISNUMBER(SEARCH("infrastructure",P247)),ISNUMBER(SEARCH("public service",P247))),"Infrastructure &amp; public services","Other"))))))))))))</x:f>
      </x:c>
      <x:c r="J247" s="16" t="str">
        <x:f>IF(A247="","",IF(OR(ISNUMBER(SEARCH("fatal",Q247)),ISNUMBER(SEARCH("death",Q247)),ISNUMBER(SEARCH("riot",Q247)),ISNUMBER(SEARCH("curfew",Q247)),ISNUMBER(SEARCH("internet shutdown",Q247))),5,MIN(4,1+IF(H247&gt;=7,1,0)+IF(OR(ISNUMBER(SEARCH("hunger strike",Q247)),ISNUMBER(SEARCH("blockade",Q247)),ISNUMBER(SEARCH("strike",Q247)),ISNUMBER(SEARCH("jal satyagraha",Q247)),ISNUMBER(SEARCH("survey",Q247)),ISNUMBER(SEARCH("human chain",Q247)),ISNUMBER(SEARCH("march",Q247))),1,0)+IF(OR(ISNUMBER(SEARCH("fir",Q247)),ISNUMBER(SEARCH("confrontation",Q247)),ISNUMBER(SEARCH("violence",Q247)),ISNUMBER(SEARCH("detention",Q247)),ISNUMBER(SEARCH("arrest",Q247)),ISNUMBER(SEARCH("demolition",Q247)),ISNUMBER(SEARCH("injury",Q247))),1,0)+IF(OR(D247="Ongoing",D247="Unresolved"),1,0))))</x:f>
      </x:c>
      <x:c r="K247" s="16" t="str">
        <x:f>IF(J247="","",IF(J247=1,"Limited",IF(J247=2,"Local",IF(J247=3,"Significant",IF(J247=4,"High","Critical")))))</x:f>
      </x:c>
      <x:c r="L247" s="16" t="str">
        <x:f>IF(A247="","",Events!U246)</x:f>
      </x:c>
      <x:c r="M247" s="16" t="str">
        <x:f>IF(A247="","",Events!V246)</x:f>
      </x:c>
      <x:c r="N247" s="16" t="str">
        <x:f>IF(A247="","",Events!Q246)</x:f>
      </x:c>
      <x:c r="O247" s="16" t="str">
        <x:f>IF(A247="","",Events!R246)</x:f>
      </x:c>
      <x:c r="P247" s="16" t="str">
        <x:f>IF(A247="","",LOWER(Events!B246&amp;" "&amp;Events!D246&amp;" "&amp;Events!K246))</x:f>
      </x:c>
      <x:c r="Q247" s="16" t="str">
        <x:f>IF(A247="","",LOWER(Events!C246&amp;" "&amp;Events!K246&amp;" "&amp;Events!T246))</x:f>
      </x:c>
      <x:c r="R247" s="16" t="str">
        <x:f>IF(A247="","",IF(ISNUMBER(SEARCH("Occurrence verified",E247)),"Occurrence verified",E247))</x:f>
      </x:c>
      <x:c r="S247" s="79" t="str">
        <x:f>IF(A247="","",Events!X246)</x:f>
      </x:c>
      <x:c r="Z247" s="79" t="str">
        <x:f>IF(A247="","",Events!AD246)</x:f>
      </x:c>
      <x:c r="AA247" s="79" t="str">
        <x:f>IF(A247="","",Events!AE246)</x:f>
      </x:c>
    </x:row>
    <x:row r="248">
      <x:c r="A248" s="16" t="str">
        <x:f>IF(Events!A247="","",Events!A247)</x:f>
      </x:c>
      <x:c r="B248" s="16" t="str">
        <x:f>IF(A248="","",Events!B247)</x:f>
      </x:c>
      <x:c r="C248" s="16" t="str">
        <x:f>IF(A248="","",Events!E247)</x:f>
      </x:c>
      <x:c r="D248" s="16" t="str">
        <x:f>IF(A248="","",Events!J247)</x:f>
      </x:c>
      <x:c r="E248" s="16" t="str">
        <x:f>IF(A248="","",Events!N247)</x:f>
      </x:c>
      <x:c r="F248" s="109" t="str">
        <x:f>IF(OR(A248="",Events!H247=""),"",Events!H247)</x:f>
      </x:c>
      <x:c r="G248" s="109" t="str">
        <x:f>IF(A248="","",IF(Events!I247&lt;&gt;"",Events!I247,IF(Events!S247&lt;&gt;"",Events!S247,"")))</x:f>
      </x:c>
      <x:c r="H248" s="16" t="str">
        <x:f>IF(A248="","",Events!W247)</x:f>
      </x:c>
      <x:c r="I248" s="16" t="str">
        <x:f>IF(A248="","",IF(Events!Y247&lt;&gt;"",Events!Y247,IF(OR(ISNUMBER(SEARCH("education",P248)),ISNUMBER(SEARCH("exam",P248)),ISNUMBER(SEARCH("school",P248))),"Education",IF(OR(ISNUMBER(SEARCH("trade agreement",P248)),ISNUMBER(SEARCH("economic",P248)),ISNUMBER(SEARCH("import",P248))),"Trade &amp; economic policy",IF(OR(ISNUMBER(SEARCH("land acquisition",P248)),ISNUMBER(SEARCH("rehabilitation",P248)),ISNUMBER(SEARCH("displacement",P248)),ISNUMBER(SEARCH("township",P248))),"Land &amp; rehabilitation",IF(OR(ISNUMBER(SEARCH("forest",P248)),ISNUMBER(SEARCH("environment",P248)),ISNUMBER(SEARCH("ecological",P248)),ISNUMBER(SEARCH("biodiversity",P248)),ISNUMBER(SEARCH("green cover",P248))),"Environment",IF(OR(ISNUMBER(SEARCH("irrigation",P248)),ISNUMBER(SEARCH("water",P248)),ISNUMBER(SEARCH("crop",P248)),ISNUMBER(SEARCH("farmer",P248)),ISNUMBER(SEARCH("agriculture",P248))),"Agriculture &amp; water",IF(OR(ISNUMBER(SEARCH("health",P248)),ISNUMBER(SEARCH("hospital",P248)),ISNUMBER(SEARCH("medicine",P248))),"Public health",IF(OR(ISNUMBER(SEARCH("employee",P248)),ISNUMBER(SEARCH("labour",P248)),ISNUMBER(SEARCH("worker",P248)),ISNUMBER(SEARCH("salary",P248))),"Labour &amp; employment",IF(OR(ISNUMBER(SEARCH("rti",P248)),ISNUMBER(SEARCH("transparency",P248)),ISNUMBER(SEARCH("corruption",P248)),ISNUMBER(SEARCH("governance",P248))),"Governance &amp; transparency",IF(OR(ISNUMBER(SEARCH("police",P248)),ISNUMBER(SEARCH("detention",P248)),ISNUMBER(SEARCH("civil rights",P248)),ISNUMBER(SEARCH("justice",P248))),"Civil rights &amp; justice",IF(OR(ISNUMBER(SEARCH("road",P248)),ISNUMBER(SEARCH("utility",P248)),ISNUMBER(SEARCH("infrastructure",P248)),ISNUMBER(SEARCH("public service",P248))),"Infrastructure &amp; public services","Other"))))))))))))</x:f>
      </x:c>
      <x:c r="J248" s="16" t="str">
        <x:f>IF(A248="","",IF(OR(ISNUMBER(SEARCH("fatal",Q248)),ISNUMBER(SEARCH("death",Q248)),ISNUMBER(SEARCH("riot",Q248)),ISNUMBER(SEARCH("curfew",Q248)),ISNUMBER(SEARCH("internet shutdown",Q248))),5,MIN(4,1+IF(H248&gt;=7,1,0)+IF(OR(ISNUMBER(SEARCH("hunger strike",Q248)),ISNUMBER(SEARCH("blockade",Q248)),ISNUMBER(SEARCH("strike",Q248)),ISNUMBER(SEARCH("jal satyagraha",Q248)),ISNUMBER(SEARCH("survey",Q248)),ISNUMBER(SEARCH("human chain",Q248)),ISNUMBER(SEARCH("march",Q248))),1,0)+IF(OR(ISNUMBER(SEARCH("fir",Q248)),ISNUMBER(SEARCH("confrontation",Q248)),ISNUMBER(SEARCH("violence",Q248)),ISNUMBER(SEARCH("detention",Q248)),ISNUMBER(SEARCH("arrest",Q248)),ISNUMBER(SEARCH("demolition",Q248)),ISNUMBER(SEARCH("injury",Q248))),1,0)+IF(OR(D248="Ongoing",D248="Unresolved"),1,0))))</x:f>
      </x:c>
      <x:c r="K248" s="16" t="str">
        <x:f>IF(J248="","",IF(J248=1,"Limited",IF(J248=2,"Local",IF(J248=3,"Significant",IF(J248=4,"High","Critical")))))</x:f>
      </x:c>
      <x:c r="L248" s="16" t="str">
        <x:f>IF(A248="","",Events!U247)</x:f>
      </x:c>
      <x:c r="M248" s="16" t="str">
        <x:f>IF(A248="","",Events!V247)</x:f>
      </x:c>
      <x:c r="N248" s="16" t="str">
        <x:f>IF(A248="","",Events!Q247)</x:f>
      </x:c>
      <x:c r="O248" s="16" t="str">
        <x:f>IF(A248="","",Events!R247)</x:f>
      </x:c>
      <x:c r="P248" s="16" t="str">
        <x:f>IF(A248="","",LOWER(Events!B247&amp;" "&amp;Events!D247&amp;" "&amp;Events!K247))</x:f>
      </x:c>
      <x:c r="Q248" s="16" t="str">
        <x:f>IF(A248="","",LOWER(Events!C247&amp;" "&amp;Events!K247&amp;" "&amp;Events!T247))</x:f>
      </x:c>
      <x:c r="R248" s="16" t="str">
        <x:f>IF(A248="","",IF(ISNUMBER(SEARCH("Occurrence verified",E248)),"Occurrence verified",E248))</x:f>
      </x:c>
      <x:c r="S248" s="79" t="str">
        <x:f>IF(A248="","",Events!X247)</x:f>
      </x:c>
      <x:c r="Z248" s="79" t="str">
        <x:f>IF(A248="","",Events!AD247)</x:f>
      </x:c>
      <x:c r="AA248" s="79" t="str">
        <x:f>IF(A248="","",Events!AE247)</x:f>
      </x:c>
    </x:row>
    <x:row r="249">
      <x:c r="A249" s="16" t="str">
        <x:f>IF(Events!A248="","",Events!A248)</x:f>
      </x:c>
      <x:c r="B249" s="16" t="str">
        <x:f>IF(A249="","",Events!B248)</x:f>
      </x:c>
      <x:c r="C249" s="16" t="str">
        <x:f>IF(A249="","",Events!E248)</x:f>
      </x:c>
      <x:c r="D249" s="16" t="str">
        <x:f>IF(A249="","",Events!J248)</x:f>
      </x:c>
      <x:c r="E249" s="16" t="str">
        <x:f>IF(A249="","",Events!N248)</x:f>
      </x:c>
      <x:c r="F249" s="109" t="str">
        <x:f>IF(OR(A249="",Events!H248=""),"",Events!H248)</x:f>
      </x:c>
      <x:c r="G249" s="109" t="str">
        <x:f>IF(A249="","",IF(Events!I248&lt;&gt;"",Events!I248,IF(Events!S248&lt;&gt;"",Events!S248,"")))</x:f>
      </x:c>
      <x:c r="H249" s="16" t="str">
        <x:f>IF(A249="","",Events!W248)</x:f>
      </x:c>
      <x:c r="I249" s="16" t="str">
        <x:f>IF(A249="","",IF(Events!Y248&lt;&gt;"",Events!Y248,IF(OR(ISNUMBER(SEARCH("education",P249)),ISNUMBER(SEARCH("exam",P249)),ISNUMBER(SEARCH("school",P249))),"Education",IF(OR(ISNUMBER(SEARCH("trade agreement",P249)),ISNUMBER(SEARCH("economic",P249)),ISNUMBER(SEARCH("import",P249))),"Trade &amp; economic policy",IF(OR(ISNUMBER(SEARCH("land acquisition",P249)),ISNUMBER(SEARCH("rehabilitation",P249)),ISNUMBER(SEARCH("displacement",P249)),ISNUMBER(SEARCH("township",P249))),"Land &amp; rehabilitation",IF(OR(ISNUMBER(SEARCH("forest",P249)),ISNUMBER(SEARCH("environment",P249)),ISNUMBER(SEARCH("ecological",P249)),ISNUMBER(SEARCH("biodiversity",P249)),ISNUMBER(SEARCH("green cover",P249))),"Environment",IF(OR(ISNUMBER(SEARCH("irrigation",P249)),ISNUMBER(SEARCH("water",P249)),ISNUMBER(SEARCH("crop",P249)),ISNUMBER(SEARCH("farmer",P249)),ISNUMBER(SEARCH("agriculture",P249))),"Agriculture &amp; water",IF(OR(ISNUMBER(SEARCH("health",P249)),ISNUMBER(SEARCH("hospital",P249)),ISNUMBER(SEARCH("medicine",P249))),"Public health",IF(OR(ISNUMBER(SEARCH("employee",P249)),ISNUMBER(SEARCH("labour",P249)),ISNUMBER(SEARCH("worker",P249)),ISNUMBER(SEARCH("salary",P249))),"Labour &amp; employment",IF(OR(ISNUMBER(SEARCH("rti",P249)),ISNUMBER(SEARCH("transparency",P249)),ISNUMBER(SEARCH("corruption",P249)),ISNUMBER(SEARCH("governance",P249))),"Governance &amp; transparency",IF(OR(ISNUMBER(SEARCH("police",P249)),ISNUMBER(SEARCH("detention",P249)),ISNUMBER(SEARCH("civil rights",P249)),ISNUMBER(SEARCH("justice",P249))),"Civil rights &amp; justice",IF(OR(ISNUMBER(SEARCH("road",P249)),ISNUMBER(SEARCH("utility",P249)),ISNUMBER(SEARCH("infrastructure",P249)),ISNUMBER(SEARCH("public service",P249))),"Infrastructure &amp; public services","Other"))))))))))))</x:f>
      </x:c>
      <x:c r="J249" s="16" t="str">
        <x:f>IF(A249="","",IF(OR(ISNUMBER(SEARCH("fatal",Q249)),ISNUMBER(SEARCH("death",Q249)),ISNUMBER(SEARCH("riot",Q249)),ISNUMBER(SEARCH("curfew",Q249)),ISNUMBER(SEARCH("internet shutdown",Q249))),5,MIN(4,1+IF(H249&gt;=7,1,0)+IF(OR(ISNUMBER(SEARCH("hunger strike",Q249)),ISNUMBER(SEARCH("blockade",Q249)),ISNUMBER(SEARCH("strike",Q249)),ISNUMBER(SEARCH("jal satyagraha",Q249)),ISNUMBER(SEARCH("survey",Q249)),ISNUMBER(SEARCH("human chain",Q249)),ISNUMBER(SEARCH("march",Q249))),1,0)+IF(OR(ISNUMBER(SEARCH("fir",Q249)),ISNUMBER(SEARCH("confrontation",Q249)),ISNUMBER(SEARCH("violence",Q249)),ISNUMBER(SEARCH("detention",Q249)),ISNUMBER(SEARCH("arrest",Q249)),ISNUMBER(SEARCH("demolition",Q249)),ISNUMBER(SEARCH("injury",Q249))),1,0)+IF(OR(D249="Ongoing",D249="Unresolved"),1,0))))</x:f>
      </x:c>
      <x:c r="K249" s="16" t="str">
        <x:f>IF(J249="","",IF(J249=1,"Limited",IF(J249=2,"Local",IF(J249=3,"Significant",IF(J249=4,"High","Critical")))))</x:f>
      </x:c>
      <x:c r="L249" s="16" t="str">
        <x:f>IF(A249="","",Events!U248)</x:f>
      </x:c>
      <x:c r="M249" s="16" t="str">
        <x:f>IF(A249="","",Events!V248)</x:f>
      </x:c>
      <x:c r="N249" s="16" t="str">
        <x:f>IF(A249="","",Events!Q248)</x:f>
      </x:c>
      <x:c r="O249" s="16" t="str">
        <x:f>IF(A249="","",Events!R248)</x:f>
      </x:c>
      <x:c r="P249" s="16" t="str">
        <x:f>IF(A249="","",LOWER(Events!B248&amp;" "&amp;Events!D248&amp;" "&amp;Events!K248))</x:f>
      </x:c>
      <x:c r="Q249" s="16" t="str">
        <x:f>IF(A249="","",LOWER(Events!C248&amp;" "&amp;Events!K248&amp;" "&amp;Events!T248))</x:f>
      </x:c>
      <x:c r="R249" s="16" t="str">
        <x:f>IF(A249="","",IF(ISNUMBER(SEARCH("Occurrence verified",E249)),"Occurrence verified",E249))</x:f>
      </x:c>
      <x:c r="S249" s="79" t="str">
        <x:f>IF(A249="","",Events!X248)</x:f>
      </x:c>
      <x:c r="Z249" s="79" t="str">
        <x:f>IF(A249="","",Events!AD248)</x:f>
      </x:c>
      <x:c r="AA249" s="79" t="str">
        <x:f>IF(A249="","",Events!AE248)</x:f>
      </x:c>
    </x:row>
    <x:row r="250">
      <x:c r="A250" s="16" t="str">
        <x:f>IF(Events!A249="","",Events!A249)</x:f>
      </x:c>
      <x:c r="B250" s="16" t="str">
        <x:f>IF(A250="","",Events!B249)</x:f>
      </x:c>
      <x:c r="C250" s="16" t="str">
        <x:f>IF(A250="","",Events!E249)</x:f>
      </x:c>
      <x:c r="D250" s="16" t="str">
        <x:f>IF(A250="","",Events!J249)</x:f>
      </x:c>
      <x:c r="E250" s="16" t="str">
        <x:f>IF(A250="","",Events!N249)</x:f>
      </x:c>
      <x:c r="F250" s="109" t="str">
        <x:f>IF(OR(A250="",Events!H249=""),"",Events!H249)</x:f>
      </x:c>
      <x:c r="G250" s="109" t="str">
        <x:f>IF(A250="","",IF(Events!I249&lt;&gt;"",Events!I249,IF(Events!S249&lt;&gt;"",Events!S249,"")))</x:f>
      </x:c>
      <x:c r="H250" s="16" t="str">
        <x:f>IF(A250="","",Events!W249)</x:f>
      </x:c>
      <x:c r="I250" s="16" t="str">
        <x:f>IF(A250="","",IF(Events!Y249&lt;&gt;"",Events!Y249,IF(OR(ISNUMBER(SEARCH("education",P250)),ISNUMBER(SEARCH("exam",P250)),ISNUMBER(SEARCH("school",P250))),"Education",IF(OR(ISNUMBER(SEARCH("trade agreement",P250)),ISNUMBER(SEARCH("economic",P250)),ISNUMBER(SEARCH("import",P250))),"Trade &amp; economic policy",IF(OR(ISNUMBER(SEARCH("land acquisition",P250)),ISNUMBER(SEARCH("rehabilitation",P250)),ISNUMBER(SEARCH("displacement",P250)),ISNUMBER(SEARCH("township",P250))),"Land &amp; rehabilitation",IF(OR(ISNUMBER(SEARCH("forest",P250)),ISNUMBER(SEARCH("environment",P250)),ISNUMBER(SEARCH("ecological",P250)),ISNUMBER(SEARCH("biodiversity",P250)),ISNUMBER(SEARCH("green cover",P250))),"Environment",IF(OR(ISNUMBER(SEARCH("irrigation",P250)),ISNUMBER(SEARCH("water",P250)),ISNUMBER(SEARCH("crop",P250)),ISNUMBER(SEARCH("farmer",P250)),ISNUMBER(SEARCH("agriculture",P250))),"Agriculture &amp; water",IF(OR(ISNUMBER(SEARCH("health",P250)),ISNUMBER(SEARCH("hospital",P250)),ISNUMBER(SEARCH("medicine",P250))),"Public health",IF(OR(ISNUMBER(SEARCH("employee",P250)),ISNUMBER(SEARCH("labour",P250)),ISNUMBER(SEARCH("worker",P250)),ISNUMBER(SEARCH("salary",P250))),"Labour &amp; employment",IF(OR(ISNUMBER(SEARCH("rti",P250)),ISNUMBER(SEARCH("transparency",P250)),ISNUMBER(SEARCH("corruption",P250)),ISNUMBER(SEARCH("governance",P250))),"Governance &amp; transparency",IF(OR(ISNUMBER(SEARCH("police",P250)),ISNUMBER(SEARCH("detention",P250)),ISNUMBER(SEARCH("civil rights",P250)),ISNUMBER(SEARCH("justice",P250))),"Civil rights &amp; justice",IF(OR(ISNUMBER(SEARCH("road",P250)),ISNUMBER(SEARCH("utility",P250)),ISNUMBER(SEARCH("infrastructure",P250)),ISNUMBER(SEARCH("public service",P250))),"Infrastructure &amp; public services","Other"))))))))))))</x:f>
      </x:c>
      <x:c r="J250" s="16" t="str">
        <x:f>IF(A250="","",IF(OR(ISNUMBER(SEARCH("fatal",Q250)),ISNUMBER(SEARCH("death",Q250)),ISNUMBER(SEARCH("riot",Q250)),ISNUMBER(SEARCH("curfew",Q250)),ISNUMBER(SEARCH("internet shutdown",Q250))),5,MIN(4,1+IF(H250&gt;=7,1,0)+IF(OR(ISNUMBER(SEARCH("hunger strike",Q250)),ISNUMBER(SEARCH("blockade",Q250)),ISNUMBER(SEARCH("strike",Q250)),ISNUMBER(SEARCH("jal satyagraha",Q250)),ISNUMBER(SEARCH("survey",Q250)),ISNUMBER(SEARCH("human chain",Q250)),ISNUMBER(SEARCH("march",Q250))),1,0)+IF(OR(ISNUMBER(SEARCH("fir",Q250)),ISNUMBER(SEARCH("confrontation",Q250)),ISNUMBER(SEARCH("violence",Q250)),ISNUMBER(SEARCH("detention",Q250)),ISNUMBER(SEARCH("arrest",Q250)),ISNUMBER(SEARCH("demolition",Q250)),ISNUMBER(SEARCH("injury",Q250))),1,0)+IF(OR(D250="Ongoing",D250="Unresolved"),1,0))))</x:f>
      </x:c>
      <x:c r="K250" s="16" t="str">
        <x:f>IF(J250="","",IF(J250=1,"Limited",IF(J250=2,"Local",IF(J250=3,"Significant",IF(J250=4,"High","Critical")))))</x:f>
      </x:c>
      <x:c r="L250" s="16" t="str">
        <x:f>IF(A250="","",Events!U249)</x:f>
      </x:c>
      <x:c r="M250" s="16" t="str">
        <x:f>IF(A250="","",Events!V249)</x:f>
      </x:c>
      <x:c r="N250" s="16" t="str">
        <x:f>IF(A250="","",Events!Q249)</x:f>
      </x:c>
      <x:c r="O250" s="16" t="str">
        <x:f>IF(A250="","",Events!R249)</x:f>
      </x:c>
      <x:c r="P250" s="16" t="str">
        <x:f>IF(A250="","",LOWER(Events!B249&amp;" "&amp;Events!D249&amp;" "&amp;Events!K249))</x:f>
      </x:c>
      <x:c r="Q250" s="16" t="str">
        <x:f>IF(A250="","",LOWER(Events!C249&amp;" "&amp;Events!K249&amp;" "&amp;Events!T249))</x:f>
      </x:c>
      <x:c r="R250" s="16" t="str">
        <x:f>IF(A250="","",IF(ISNUMBER(SEARCH("Occurrence verified",E250)),"Occurrence verified",E250))</x:f>
      </x:c>
      <x:c r="S250" s="79" t="str">
        <x:f>IF(A250="","",Events!X249)</x:f>
      </x:c>
      <x:c r="Z250" s="79" t="str">
        <x:f>IF(A250="","",Events!AD249)</x:f>
      </x:c>
      <x:c r="AA250" s="79" t="str">
        <x:f>IF(A250="","",Events!AE249)</x:f>
      </x:c>
    </x:row>
    <x:row r="251">
      <x:c r="A251" s="16" t="str">
        <x:f>IF(Events!A250="","",Events!A250)</x:f>
      </x:c>
      <x:c r="B251" s="16" t="str">
        <x:f>IF(A251="","",Events!B250)</x:f>
      </x:c>
      <x:c r="C251" s="16" t="str">
        <x:f>IF(A251="","",Events!E250)</x:f>
      </x:c>
      <x:c r="D251" s="16" t="str">
        <x:f>IF(A251="","",Events!J250)</x:f>
      </x:c>
      <x:c r="E251" s="16" t="str">
        <x:f>IF(A251="","",Events!N250)</x:f>
      </x:c>
      <x:c r="F251" s="109" t="str">
        <x:f>IF(OR(A251="",Events!H250=""),"",Events!H250)</x:f>
      </x:c>
      <x:c r="G251" s="109" t="str">
        <x:f>IF(A251="","",IF(Events!I250&lt;&gt;"",Events!I250,IF(Events!S250&lt;&gt;"",Events!S250,"")))</x:f>
      </x:c>
      <x:c r="H251" s="16" t="str">
        <x:f>IF(A251="","",Events!W250)</x:f>
      </x:c>
      <x:c r="I251" s="16" t="str">
        <x:f>IF(A251="","",IF(Events!Y250&lt;&gt;"",Events!Y250,IF(OR(ISNUMBER(SEARCH("education",P251)),ISNUMBER(SEARCH("exam",P251)),ISNUMBER(SEARCH("school",P251))),"Education",IF(OR(ISNUMBER(SEARCH("trade agreement",P251)),ISNUMBER(SEARCH("economic",P251)),ISNUMBER(SEARCH("import",P251))),"Trade &amp; economic policy",IF(OR(ISNUMBER(SEARCH("land acquisition",P251)),ISNUMBER(SEARCH("rehabilitation",P251)),ISNUMBER(SEARCH("displacement",P251)),ISNUMBER(SEARCH("township",P251))),"Land &amp; rehabilitation",IF(OR(ISNUMBER(SEARCH("forest",P251)),ISNUMBER(SEARCH("environment",P251)),ISNUMBER(SEARCH("ecological",P251)),ISNUMBER(SEARCH("biodiversity",P251)),ISNUMBER(SEARCH("green cover",P251))),"Environment",IF(OR(ISNUMBER(SEARCH("irrigation",P251)),ISNUMBER(SEARCH("water",P251)),ISNUMBER(SEARCH("crop",P251)),ISNUMBER(SEARCH("farmer",P251)),ISNUMBER(SEARCH("agriculture",P251))),"Agriculture &amp; water",IF(OR(ISNUMBER(SEARCH("health",P251)),ISNUMBER(SEARCH("hospital",P251)),ISNUMBER(SEARCH("medicine",P251))),"Public health",IF(OR(ISNUMBER(SEARCH("employee",P251)),ISNUMBER(SEARCH("labour",P251)),ISNUMBER(SEARCH("worker",P251)),ISNUMBER(SEARCH("salary",P251))),"Labour &amp; employment",IF(OR(ISNUMBER(SEARCH("rti",P251)),ISNUMBER(SEARCH("transparency",P251)),ISNUMBER(SEARCH("corruption",P251)),ISNUMBER(SEARCH("governance",P251))),"Governance &amp; transparency",IF(OR(ISNUMBER(SEARCH("police",P251)),ISNUMBER(SEARCH("detention",P251)),ISNUMBER(SEARCH("civil rights",P251)),ISNUMBER(SEARCH("justice",P251))),"Civil rights &amp; justice",IF(OR(ISNUMBER(SEARCH("road",P251)),ISNUMBER(SEARCH("utility",P251)),ISNUMBER(SEARCH("infrastructure",P251)),ISNUMBER(SEARCH("public service",P251))),"Infrastructure &amp; public services","Other"))))))))))))</x:f>
      </x:c>
      <x:c r="J251" s="16" t="str">
        <x:f>IF(A251="","",IF(OR(ISNUMBER(SEARCH("fatal",Q251)),ISNUMBER(SEARCH("death",Q251)),ISNUMBER(SEARCH("riot",Q251)),ISNUMBER(SEARCH("curfew",Q251)),ISNUMBER(SEARCH("internet shutdown",Q251))),5,MIN(4,1+IF(H251&gt;=7,1,0)+IF(OR(ISNUMBER(SEARCH("hunger strike",Q251)),ISNUMBER(SEARCH("blockade",Q251)),ISNUMBER(SEARCH("strike",Q251)),ISNUMBER(SEARCH("jal satyagraha",Q251)),ISNUMBER(SEARCH("survey",Q251)),ISNUMBER(SEARCH("human chain",Q251)),ISNUMBER(SEARCH("march",Q251))),1,0)+IF(OR(ISNUMBER(SEARCH("fir",Q251)),ISNUMBER(SEARCH("confrontation",Q251)),ISNUMBER(SEARCH("violence",Q251)),ISNUMBER(SEARCH("detention",Q251)),ISNUMBER(SEARCH("arrest",Q251)),ISNUMBER(SEARCH("demolition",Q251)),ISNUMBER(SEARCH("injury",Q251))),1,0)+IF(OR(D251="Ongoing",D251="Unresolved"),1,0))))</x:f>
      </x:c>
      <x:c r="K251" s="16" t="str">
        <x:f>IF(J251="","",IF(J251=1,"Limited",IF(J251=2,"Local",IF(J251=3,"Significant",IF(J251=4,"High","Critical")))))</x:f>
      </x:c>
      <x:c r="L251" s="16" t="str">
        <x:f>IF(A251="","",Events!U250)</x:f>
      </x:c>
      <x:c r="M251" s="16" t="str">
        <x:f>IF(A251="","",Events!V250)</x:f>
      </x:c>
      <x:c r="N251" s="16" t="str">
        <x:f>IF(A251="","",Events!Q250)</x:f>
      </x:c>
      <x:c r="O251" s="16" t="str">
        <x:f>IF(A251="","",Events!R250)</x:f>
      </x:c>
      <x:c r="P251" s="16" t="str">
        <x:f>IF(A251="","",LOWER(Events!B250&amp;" "&amp;Events!D250&amp;" "&amp;Events!K250))</x:f>
      </x:c>
      <x:c r="Q251" s="16" t="str">
        <x:f>IF(A251="","",LOWER(Events!C250&amp;" "&amp;Events!K250&amp;" "&amp;Events!T250))</x:f>
      </x:c>
      <x:c r="R251" s="16" t="str">
        <x:f>IF(A251="","",IF(ISNUMBER(SEARCH("Occurrence verified",E251)),"Occurrence verified",E251))</x:f>
      </x:c>
      <x:c r="S251" s="79" t="str">
        <x:f>IF(A251="","",Events!X250)</x:f>
      </x:c>
      <x:c r="Z251" s="79" t="str">
        <x:f>IF(A251="","",Events!AD250)</x:f>
      </x:c>
      <x:c r="AA251" s="79" t="str">
        <x:f>IF(A251="","",Events!AE250)</x:f>
      </x:c>
    </x:row>
    <x:row r="252">
      <x:c r="A252" s="16" t="str">
        <x:f>IF(Events!A251="","",Events!A251)</x:f>
      </x:c>
      <x:c r="B252" s="16" t="str">
        <x:f>IF(A252="","",Events!B251)</x:f>
      </x:c>
      <x:c r="C252" s="16" t="str">
        <x:f>IF(A252="","",Events!E251)</x:f>
      </x:c>
      <x:c r="D252" s="16" t="str">
        <x:f>IF(A252="","",Events!J251)</x:f>
      </x:c>
      <x:c r="E252" s="16" t="str">
        <x:f>IF(A252="","",Events!N251)</x:f>
      </x:c>
      <x:c r="F252" s="109" t="str">
        <x:f>IF(OR(A252="",Events!H251=""),"",Events!H251)</x:f>
      </x:c>
      <x:c r="G252" s="109" t="str">
        <x:f>IF(A252="","",IF(Events!I251&lt;&gt;"",Events!I251,IF(Events!S251&lt;&gt;"",Events!S251,"")))</x:f>
      </x:c>
      <x:c r="H252" s="16" t="str">
        <x:f>IF(A252="","",Events!W251)</x:f>
      </x:c>
      <x:c r="I252" s="16" t="str">
        <x:f>IF(A252="","",IF(Events!Y251&lt;&gt;"",Events!Y251,IF(OR(ISNUMBER(SEARCH("education",P252)),ISNUMBER(SEARCH("exam",P252)),ISNUMBER(SEARCH("school",P252))),"Education",IF(OR(ISNUMBER(SEARCH("trade agreement",P252)),ISNUMBER(SEARCH("economic",P252)),ISNUMBER(SEARCH("import",P252))),"Trade &amp; economic policy",IF(OR(ISNUMBER(SEARCH("land acquisition",P252)),ISNUMBER(SEARCH("rehabilitation",P252)),ISNUMBER(SEARCH("displacement",P252)),ISNUMBER(SEARCH("township",P252))),"Land &amp; rehabilitation",IF(OR(ISNUMBER(SEARCH("forest",P252)),ISNUMBER(SEARCH("environment",P252)),ISNUMBER(SEARCH("ecological",P252)),ISNUMBER(SEARCH("biodiversity",P252)),ISNUMBER(SEARCH("green cover",P252))),"Environment",IF(OR(ISNUMBER(SEARCH("irrigation",P252)),ISNUMBER(SEARCH("water",P252)),ISNUMBER(SEARCH("crop",P252)),ISNUMBER(SEARCH("farmer",P252)),ISNUMBER(SEARCH("agriculture",P252))),"Agriculture &amp; water",IF(OR(ISNUMBER(SEARCH("health",P252)),ISNUMBER(SEARCH("hospital",P252)),ISNUMBER(SEARCH("medicine",P252))),"Public health",IF(OR(ISNUMBER(SEARCH("employee",P252)),ISNUMBER(SEARCH("labour",P252)),ISNUMBER(SEARCH("worker",P252)),ISNUMBER(SEARCH("salary",P252))),"Labour &amp; employment",IF(OR(ISNUMBER(SEARCH("rti",P252)),ISNUMBER(SEARCH("transparency",P252)),ISNUMBER(SEARCH("corruption",P252)),ISNUMBER(SEARCH("governance",P252))),"Governance &amp; transparency",IF(OR(ISNUMBER(SEARCH("police",P252)),ISNUMBER(SEARCH("detention",P252)),ISNUMBER(SEARCH("civil rights",P252)),ISNUMBER(SEARCH("justice",P252))),"Civil rights &amp; justice",IF(OR(ISNUMBER(SEARCH("road",P252)),ISNUMBER(SEARCH("utility",P252)),ISNUMBER(SEARCH("infrastructure",P252)),ISNUMBER(SEARCH("public service",P252))),"Infrastructure &amp; public services","Other"))))))))))))</x:f>
      </x:c>
      <x:c r="J252" s="16" t="str">
        <x:f>IF(A252="","",IF(OR(ISNUMBER(SEARCH("fatal",Q252)),ISNUMBER(SEARCH("death",Q252)),ISNUMBER(SEARCH("riot",Q252)),ISNUMBER(SEARCH("curfew",Q252)),ISNUMBER(SEARCH("internet shutdown",Q252))),5,MIN(4,1+IF(H252&gt;=7,1,0)+IF(OR(ISNUMBER(SEARCH("hunger strike",Q252)),ISNUMBER(SEARCH("blockade",Q252)),ISNUMBER(SEARCH("strike",Q252)),ISNUMBER(SEARCH("jal satyagraha",Q252)),ISNUMBER(SEARCH("survey",Q252)),ISNUMBER(SEARCH("human chain",Q252)),ISNUMBER(SEARCH("march",Q252))),1,0)+IF(OR(ISNUMBER(SEARCH("fir",Q252)),ISNUMBER(SEARCH("confrontation",Q252)),ISNUMBER(SEARCH("violence",Q252)),ISNUMBER(SEARCH("detention",Q252)),ISNUMBER(SEARCH("arrest",Q252)),ISNUMBER(SEARCH("demolition",Q252)),ISNUMBER(SEARCH("injury",Q252))),1,0)+IF(OR(D252="Ongoing",D252="Unresolved"),1,0))))</x:f>
      </x:c>
      <x:c r="K252" s="16" t="str">
        <x:f>IF(J252="","",IF(J252=1,"Limited",IF(J252=2,"Local",IF(J252=3,"Significant",IF(J252=4,"High","Critical")))))</x:f>
      </x:c>
      <x:c r="L252" s="16" t="str">
        <x:f>IF(A252="","",Events!U251)</x:f>
      </x:c>
      <x:c r="M252" s="16" t="str">
        <x:f>IF(A252="","",Events!V251)</x:f>
      </x:c>
      <x:c r="N252" s="16" t="str">
        <x:f>IF(A252="","",Events!Q251)</x:f>
      </x:c>
      <x:c r="O252" s="16" t="str">
        <x:f>IF(A252="","",Events!R251)</x:f>
      </x:c>
      <x:c r="P252" s="16" t="str">
        <x:f>IF(A252="","",LOWER(Events!B251&amp;" "&amp;Events!D251&amp;" "&amp;Events!K251))</x:f>
      </x:c>
      <x:c r="Q252" s="16" t="str">
        <x:f>IF(A252="","",LOWER(Events!C251&amp;" "&amp;Events!K251&amp;" "&amp;Events!T251))</x:f>
      </x:c>
      <x:c r="R252" s="16" t="str">
        <x:f>IF(A252="","",IF(ISNUMBER(SEARCH("Occurrence verified",E252)),"Occurrence verified",E252))</x:f>
      </x:c>
      <x:c r="S252" s="79" t="str">
        <x:f>IF(A252="","",Events!X251)</x:f>
      </x:c>
      <x:c r="Z252" s="79" t="str">
        <x:f>IF(A252="","",Events!AD251)</x:f>
      </x:c>
      <x:c r="AA252" s="79" t="str">
        <x:f>IF(A252="","",Events!AE251)</x:f>
      </x:c>
    </x:row>
    <x:row r="253">
      <x:c r="A253" s="16" t="str">
        <x:f>IF(Events!A252="","",Events!A252)</x:f>
      </x:c>
      <x:c r="B253" s="16" t="str">
        <x:f>IF(A253="","",Events!B252)</x:f>
      </x:c>
      <x:c r="C253" s="16" t="str">
        <x:f>IF(A253="","",Events!E252)</x:f>
      </x:c>
      <x:c r="D253" s="16" t="str">
        <x:f>IF(A253="","",Events!J252)</x:f>
      </x:c>
      <x:c r="E253" s="16" t="str">
        <x:f>IF(A253="","",Events!N252)</x:f>
      </x:c>
      <x:c r="F253" s="109" t="str">
        <x:f>IF(OR(A253="",Events!H252=""),"",Events!H252)</x:f>
      </x:c>
      <x:c r="G253" s="109" t="str">
        <x:f>IF(A253="","",IF(Events!I252&lt;&gt;"",Events!I252,IF(Events!S252&lt;&gt;"",Events!S252,"")))</x:f>
      </x:c>
      <x:c r="H253" s="16" t="str">
        <x:f>IF(A253="","",Events!W252)</x:f>
      </x:c>
      <x:c r="I253" s="16" t="str">
        <x:f>IF(A253="","",IF(Events!Y252&lt;&gt;"",Events!Y252,IF(OR(ISNUMBER(SEARCH("education",P253)),ISNUMBER(SEARCH("exam",P253)),ISNUMBER(SEARCH("school",P253))),"Education",IF(OR(ISNUMBER(SEARCH("trade agreement",P253)),ISNUMBER(SEARCH("economic",P253)),ISNUMBER(SEARCH("import",P253))),"Trade &amp; economic policy",IF(OR(ISNUMBER(SEARCH("land acquisition",P253)),ISNUMBER(SEARCH("rehabilitation",P253)),ISNUMBER(SEARCH("displacement",P253)),ISNUMBER(SEARCH("township",P253))),"Land &amp; rehabilitation",IF(OR(ISNUMBER(SEARCH("forest",P253)),ISNUMBER(SEARCH("environment",P253)),ISNUMBER(SEARCH("ecological",P253)),ISNUMBER(SEARCH("biodiversity",P253)),ISNUMBER(SEARCH("green cover",P253))),"Environment",IF(OR(ISNUMBER(SEARCH("irrigation",P253)),ISNUMBER(SEARCH("water",P253)),ISNUMBER(SEARCH("crop",P253)),ISNUMBER(SEARCH("farmer",P253)),ISNUMBER(SEARCH("agriculture",P253))),"Agriculture &amp; water",IF(OR(ISNUMBER(SEARCH("health",P253)),ISNUMBER(SEARCH("hospital",P253)),ISNUMBER(SEARCH("medicine",P253))),"Public health",IF(OR(ISNUMBER(SEARCH("employee",P253)),ISNUMBER(SEARCH("labour",P253)),ISNUMBER(SEARCH("worker",P253)),ISNUMBER(SEARCH("salary",P253))),"Labour &amp; employment",IF(OR(ISNUMBER(SEARCH("rti",P253)),ISNUMBER(SEARCH("transparency",P253)),ISNUMBER(SEARCH("corruption",P253)),ISNUMBER(SEARCH("governance",P253))),"Governance &amp; transparency",IF(OR(ISNUMBER(SEARCH("police",P253)),ISNUMBER(SEARCH("detention",P253)),ISNUMBER(SEARCH("civil rights",P253)),ISNUMBER(SEARCH("justice",P253))),"Civil rights &amp; justice",IF(OR(ISNUMBER(SEARCH("road",P253)),ISNUMBER(SEARCH("utility",P253)),ISNUMBER(SEARCH("infrastructure",P253)),ISNUMBER(SEARCH("public service",P253))),"Infrastructure &amp; public services","Other"))))))))))))</x:f>
      </x:c>
      <x:c r="J253" s="16" t="str">
        <x:f>IF(A253="","",IF(OR(ISNUMBER(SEARCH("fatal",Q253)),ISNUMBER(SEARCH("death",Q253)),ISNUMBER(SEARCH("riot",Q253)),ISNUMBER(SEARCH("curfew",Q253)),ISNUMBER(SEARCH("internet shutdown",Q253))),5,MIN(4,1+IF(H253&gt;=7,1,0)+IF(OR(ISNUMBER(SEARCH("hunger strike",Q253)),ISNUMBER(SEARCH("blockade",Q253)),ISNUMBER(SEARCH("strike",Q253)),ISNUMBER(SEARCH("jal satyagraha",Q253)),ISNUMBER(SEARCH("survey",Q253)),ISNUMBER(SEARCH("human chain",Q253)),ISNUMBER(SEARCH("march",Q253))),1,0)+IF(OR(ISNUMBER(SEARCH("fir",Q253)),ISNUMBER(SEARCH("confrontation",Q253)),ISNUMBER(SEARCH("violence",Q253)),ISNUMBER(SEARCH("detention",Q253)),ISNUMBER(SEARCH("arrest",Q253)),ISNUMBER(SEARCH("demolition",Q253)),ISNUMBER(SEARCH("injury",Q253))),1,0)+IF(OR(D253="Ongoing",D253="Unresolved"),1,0))))</x:f>
      </x:c>
      <x:c r="K253" s="16" t="str">
        <x:f>IF(J253="","",IF(J253=1,"Limited",IF(J253=2,"Local",IF(J253=3,"Significant",IF(J253=4,"High","Critical")))))</x:f>
      </x:c>
      <x:c r="L253" s="16" t="str">
        <x:f>IF(A253="","",Events!U252)</x:f>
      </x:c>
      <x:c r="M253" s="16" t="str">
        <x:f>IF(A253="","",Events!V252)</x:f>
      </x:c>
      <x:c r="N253" s="16" t="str">
        <x:f>IF(A253="","",Events!Q252)</x:f>
      </x:c>
      <x:c r="O253" s="16" t="str">
        <x:f>IF(A253="","",Events!R252)</x:f>
      </x:c>
      <x:c r="P253" s="16" t="str">
        <x:f>IF(A253="","",LOWER(Events!B252&amp;" "&amp;Events!D252&amp;" "&amp;Events!K252))</x:f>
      </x:c>
      <x:c r="Q253" s="16" t="str">
        <x:f>IF(A253="","",LOWER(Events!C252&amp;" "&amp;Events!K252&amp;" "&amp;Events!T252))</x:f>
      </x:c>
      <x:c r="R253" s="16" t="str">
        <x:f>IF(A253="","",IF(ISNUMBER(SEARCH("Occurrence verified",E253)),"Occurrence verified",E253))</x:f>
      </x:c>
      <x:c r="S253" s="79" t="str">
        <x:f>IF(A253="","",Events!X252)</x:f>
      </x:c>
      <x:c r="Z253" s="79" t="str">
        <x:f>IF(A253="","",Events!AD252)</x:f>
      </x:c>
      <x:c r="AA253" s="79" t="str">
        <x:f>IF(A253="","",Events!AE252)</x:f>
      </x:c>
    </x:row>
    <x:row r="254">
      <x:c r="A254" s="16" t="str">
        <x:f>IF(Events!A253="","",Events!A253)</x:f>
      </x:c>
      <x:c r="B254" s="16" t="str">
        <x:f>IF(A254="","",Events!B253)</x:f>
      </x:c>
      <x:c r="C254" s="16" t="str">
        <x:f>IF(A254="","",Events!E253)</x:f>
      </x:c>
      <x:c r="D254" s="16" t="str">
        <x:f>IF(A254="","",Events!J253)</x:f>
      </x:c>
      <x:c r="E254" s="16" t="str">
        <x:f>IF(A254="","",Events!N253)</x:f>
      </x:c>
      <x:c r="F254" s="109" t="str">
        <x:f>IF(OR(A254="",Events!H253=""),"",Events!H253)</x:f>
      </x:c>
      <x:c r="G254" s="109" t="str">
        <x:f>IF(A254="","",IF(Events!I253&lt;&gt;"",Events!I253,IF(Events!S253&lt;&gt;"",Events!S253,"")))</x:f>
      </x:c>
      <x:c r="H254" s="16" t="str">
        <x:f>IF(A254="","",Events!W253)</x:f>
      </x:c>
      <x:c r="I254" s="16" t="str">
        <x:f>IF(A254="","",IF(Events!Y253&lt;&gt;"",Events!Y253,IF(OR(ISNUMBER(SEARCH("education",P254)),ISNUMBER(SEARCH("exam",P254)),ISNUMBER(SEARCH("school",P254))),"Education",IF(OR(ISNUMBER(SEARCH("trade agreement",P254)),ISNUMBER(SEARCH("economic",P254)),ISNUMBER(SEARCH("import",P254))),"Trade &amp; economic policy",IF(OR(ISNUMBER(SEARCH("land acquisition",P254)),ISNUMBER(SEARCH("rehabilitation",P254)),ISNUMBER(SEARCH("displacement",P254)),ISNUMBER(SEARCH("township",P254))),"Land &amp; rehabilitation",IF(OR(ISNUMBER(SEARCH("forest",P254)),ISNUMBER(SEARCH("environment",P254)),ISNUMBER(SEARCH("ecological",P254)),ISNUMBER(SEARCH("biodiversity",P254)),ISNUMBER(SEARCH("green cover",P254))),"Environment",IF(OR(ISNUMBER(SEARCH("irrigation",P254)),ISNUMBER(SEARCH("water",P254)),ISNUMBER(SEARCH("crop",P254)),ISNUMBER(SEARCH("farmer",P254)),ISNUMBER(SEARCH("agriculture",P254))),"Agriculture &amp; water",IF(OR(ISNUMBER(SEARCH("health",P254)),ISNUMBER(SEARCH("hospital",P254)),ISNUMBER(SEARCH("medicine",P254))),"Public health",IF(OR(ISNUMBER(SEARCH("employee",P254)),ISNUMBER(SEARCH("labour",P254)),ISNUMBER(SEARCH("worker",P254)),ISNUMBER(SEARCH("salary",P254))),"Labour &amp; employment",IF(OR(ISNUMBER(SEARCH("rti",P254)),ISNUMBER(SEARCH("transparency",P254)),ISNUMBER(SEARCH("corruption",P254)),ISNUMBER(SEARCH("governance",P254))),"Governance &amp; transparency",IF(OR(ISNUMBER(SEARCH("police",P254)),ISNUMBER(SEARCH("detention",P254)),ISNUMBER(SEARCH("civil rights",P254)),ISNUMBER(SEARCH("justice",P254))),"Civil rights &amp; justice",IF(OR(ISNUMBER(SEARCH("road",P254)),ISNUMBER(SEARCH("utility",P254)),ISNUMBER(SEARCH("infrastructure",P254)),ISNUMBER(SEARCH("public service",P254))),"Infrastructure &amp; public services","Other"))))))))))))</x:f>
      </x:c>
      <x:c r="J254" s="16" t="str">
        <x:f>IF(A254="","",IF(OR(ISNUMBER(SEARCH("fatal",Q254)),ISNUMBER(SEARCH("death",Q254)),ISNUMBER(SEARCH("riot",Q254)),ISNUMBER(SEARCH("curfew",Q254)),ISNUMBER(SEARCH("internet shutdown",Q254))),5,MIN(4,1+IF(H254&gt;=7,1,0)+IF(OR(ISNUMBER(SEARCH("hunger strike",Q254)),ISNUMBER(SEARCH("blockade",Q254)),ISNUMBER(SEARCH("strike",Q254)),ISNUMBER(SEARCH("jal satyagraha",Q254)),ISNUMBER(SEARCH("survey",Q254)),ISNUMBER(SEARCH("human chain",Q254)),ISNUMBER(SEARCH("march",Q254))),1,0)+IF(OR(ISNUMBER(SEARCH("fir",Q254)),ISNUMBER(SEARCH("confrontation",Q254)),ISNUMBER(SEARCH("violence",Q254)),ISNUMBER(SEARCH("detention",Q254)),ISNUMBER(SEARCH("arrest",Q254)),ISNUMBER(SEARCH("demolition",Q254)),ISNUMBER(SEARCH("injury",Q254))),1,0)+IF(OR(D254="Ongoing",D254="Unresolved"),1,0))))</x:f>
      </x:c>
      <x:c r="K254" s="16" t="str">
        <x:f>IF(J254="","",IF(J254=1,"Limited",IF(J254=2,"Local",IF(J254=3,"Significant",IF(J254=4,"High","Critical")))))</x:f>
      </x:c>
      <x:c r="L254" s="16" t="str">
        <x:f>IF(A254="","",Events!U253)</x:f>
      </x:c>
      <x:c r="M254" s="16" t="str">
        <x:f>IF(A254="","",Events!V253)</x:f>
      </x:c>
      <x:c r="N254" s="16" t="str">
        <x:f>IF(A254="","",Events!Q253)</x:f>
      </x:c>
      <x:c r="O254" s="16" t="str">
        <x:f>IF(A254="","",Events!R253)</x:f>
      </x:c>
      <x:c r="P254" s="16" t="str">
        <x:f>IF(A254="","",LOWER(Events!B253&amp;" "&amp;Events!D253&amp;" "&amp;Events!K253))</x:f>
      </x:c>
      <x:c r="Q254" s="16" t="str">
        <x:f>IF(A254="","",LOWER(Events!C253&amp;" "&amp;Events!K253&amp;" "&amp;Events!T253))</x:f>
      </x:c>
      <x:c r="R254" s="16" t="str">
        <x:f>IF(A254="","",IF(ISNUMBER(SEARCH("Occurrence verified",E254)),"Occurrence verified",E254))</x:f>
      </x:c>
      <x:c r="S254" s="79" t="str">
        <x:f>IF(A254="","",Events!X253)</x:f>
      </x:c>
      <x:c r="Z254" s="79" t="str">
        <x:f>IF(A254="","",Events!AD253)</x:f>
      </x:c>
      <x:c r="AA254" s="79" t="str">
        <x:f>IF(A254="","",Events!AE253)</x:f>
      </x:c>
    </x:row>
    <x:row r="255">
      <x:c r="A255" s="16" t="str">
        <x:f>IF(Events!A254="","",Events!A254)</x:f>
      </x:c>
      <x:c r="B255" s="16" t="str">
        <x:f>IF(A255="","",Events!B254)</x:f>
      </x:c>
      <x:c r="C255" s="16" t="str">
        <x:f>IF(A255="","",Events!E254)</x:f>
      </x:c>
      <x:c r="D255" s="16" t="str">
        <x:f>IF(A255="","",Events!J254)</x:f>
      </x:c>
      <x:c r="E255" s="16" t="str">
        <x:f>IF(A255="","",Events!N254)</x:f>
      </x:c>
      <x:c r="F255" s="109" t="str">
        <x:f>IF(OR(A255="",Events!H254=""),"",Events!H254)</x:f>
      </x:c>
      <x:c r="G255" s="109" t="str">
        <x:f>IF(A255="","",IF(Events!I254&lt;&gt;"",Events!I254,IF(Events!S254&lt;&gt;"",Events!S254,"")))</x:f>
      </x:c>
      <x:c r="H255" s="16" t="str">
        <x:f>IF(A255="","",Events!W254)</x:f>
      </x:c>
      <x:c r="I255" s="16" t="str">
        <x:f>IF(A255="","",IF(Events!Y254&lt;&gt;"",Events!Y254,IF(OR(ISNUMBER(SEARCH("education",P255)),ISNUMBER(SEARCH("exam",P255)),ISNUMBER(SEARCH("school",P255))),"Education",IF(OR(ISNUMBER(SEARCH("trade agreement",P255)),ISNUMBER(SEARCH("economic",P255)),ISNUMBER(SEARCH("import",P255))),"Trade &amp; economic policy",IF(OR(ISNUMBER(SEARCH("land acquisition",P255)),ISNUMBER(SEARCH("rehabilitation",P255)),ISNUMBER(SEARCH("displacement",P255)),ISNUMBER(SEARCH("township",P255))),"Land &amp; rehabilitation",IF(OR(ISNUMBER(SEARCH("forest",P255)),ISNUMBER(SEARCH("environment",P255)),ISNUMBER(SEARCH("ecological",P255)),ISNUMBER(SEARCH("biodiversity",P255)),ISNUMBER(SEARCH("green cover",P255))),"Environment",IF(OR(ISNUMBER(SEARCH("irrigation",P255)),ISNUMBER(SEARCH("water",P255)),ISNUMBER(SEARCH("crop",P255)),ISNUMBER(SEARCH("farmer",P255)),ISNUMBER(SEARCH("agriculture",P255))),"Agriculture &amp; water",IF(OR(ISNUMBER(SEARCH("health",P255)),ISNUMBER(SEARCH("hospital",P255)),ISNUMBER(SEARCH("medicine",P255))),"Public health",IF(OR(ISNUMBER(SEARCH("employee",P255)),ISNUMBER(SEARCH("labour",P255)),ISNUMBER(SEARCH("worker",P255)),ISNUMBER(SEARCH("salary",P255))),"Labour &amp; employment",IF(OR(ISNUMBER(SEARCH("rti",P255)),ISNUMBER(SEARCH("transparency",P255)),ISNUMBER(SEARCH("corruption",P255)),ISNUMBER(SEARCH("governance",P255))),"Governance &amp; transparency",IF(OR(ISNUMBER(SEARCH("police",P255)),ISNUMBER(SEARCH("detention",P255)),ISNUMBER(SEARCH("civil rights",P255)),ISNUMBER(SEARCH("justice",P255))),"Civil rights &amp; justice",IF(OR(ISNUMBER(SEARCH("road",P255)),ISNUMBER(SEARCH("utility",P255)),ISNUMBER(SEARCH("infrastructure",P255)),ISNUMBER(SEARCH("public service",P255))),"Infrastructure &amp; public services","Other"))))))))))))</x:f>
      </x:c>
      <x:c r="J255" s="16" t="str">
        <x:f>IF(A255="","",IF(OR(ISNUMBER(SEARCH("fatal",Q255)),ISNUMBER(SEARCH("death",Q255)),ISNUMBER(SEARCH("riot",Q255)),ISNUMBER(SEARCH("curfew",Q255)),ISNUMBER(SEARCH("internet shutdown",Q255))),5,MIN(4,1+IF(H255&gt;=7,1,0)+IF(OR(ISNUMBER(SEARCH("hunger strike",Q255)),ISNUMBER(SEARCH("blockade",Q255)),ISNUMBER(SEARCH("strike",Q255)),ISNUMBER(SEARCH("jal satyagraha",Q255)),ISNUMBER(SEARCH("survey",Q255)),ISNUMBER(SEARCH("human chain",Q255)),ISNUMBER(SEARCH("march",Q255))),1,0)+IF(OR(ISNUMBER(SEARCH("fir",Q255)),ISNUMBER(SEARCH("confrontation",Q255)),ISNUMBER(SEARCH("violence",Q255)),ISNUMBER(SEARCH("detention",Q255)),ISNUMBER(SEARCH("arrest",Q255)),ISNUMBER(SEARCH("demolition",Q255)),ISNUMBER(SEARCH("injury",Q255))),1,0)+IF(OR(D255="Ongoing",D255="Unresolved"),1,0))))</x:f>
      </x:c>
      <x:c r="K255" s="16" t="str">
        <x:f>IF(J255="","",IF(J255=1,"Limited",IF(J255=2,"Local",IF(J255=3,"Significant",IF(J255=4,"High","Critical")))))</x:f>
      </x:c>
      <x:c r="L255" s="16" t="str">
        <x:f>IF(A255="","",Events!U254)</x:f>
      </x:c>
      <x:c r="M255" s="16" t="str">
        <x:f>IF(A255="","",Events!V254)</x:f>
      </x:c>
      <x:c r="N255" s="16" t="str">
        <x:f>IF(A255="","",Events!Q254)</x:f>
      </x:c>
      <x:c r="O255" s="16" t="str">
        <x:f>IF(A255="","",Events!R254)</x:f>
      </x:c>
      <x:c r="P255" s="16" t="str">
        <x:f>IF(A255="","",LOWER(Events!B254&amp;" "&amp;Events!D254&amp;" "&amp;Events!K254))</x:f>
      </x:c>
      <x:c r="Q255" s="16" t="str">
        <x:f>IF(A255="","",LOWER(Events!C254&amp;" "&amp;Events!K254&amp;" "&amp;Events!T254))</x:f>
      </x:c>
      <x:c r="R255" s="16" t="str">
        <x:f>IF(A255="","",IF(ISNUMBER(SEARCH("Occurrence verified",E255)),"Occurrence verified",E255))</x:f>
      </x:c>
      <x:c r="S255" s="79" t="str">
        <x:f>IF(A255="","",Events!X254)</x:f>
      </x:c>
      <x:c r="Z255" s="79" t="str">
        <x:f>IF(A255="","",Events!AD254)</x:f>
      </x:c>
      <x:c r="AA255" s="79" t="str">
        <x:f>IF(A255="","",Events!AE254)</x:f>
      </x:c>
    </x:row>
    <x:row r="256">
      <x:c r="A256" s="16" t="str">
        <x:f>IF(Events!A255="","",Events!A255)</x:f>
      </x:c>
      <x:c r="B256" s="16" t="str">
        <x:f>IF(A256="","",Events!B255)</x:f>
      </x:c>
      <x:c r="C256" s="16" t="str">
        <x:f>IF(A256="","",Events!E255)</x:f>
      </x:c>
      <x:c r="D256" s="16" t="str">
        <x:f>IF(A256="","",Events!J255)</x:f>
      </x:c>
      <x:c r="E256" s="16" t="str">
        <x:f>IF(A256="","",Events!N255)</x:f>
      </x:c>
      <x:c r="F256" s="109" t="str">
        <x:f>IF(OR(A256="",Events!H255=""),"",Events!H255)</x:f>
      </x:c>
      <x:c r="G256" s="109" t="str">
        <x:f>IF(A256="","",IF(Events!I255&lt;&gt;"",Events!I255,IF(Events!S255&lt;&gt;"",Events!S255,"")))</x:f>
      </x:c>
      <x:c r="H256" s="16" t="str">
        <x:f>IF(A256="","",Events!W255)</x:f>
      </x:c>
      <x:c r="I256" s="16" t="str">
        <x:f>IF(A256="","",IF(Events!Y255&lt;&gt;"",Events!Y255,IF(OR(ISNUMBER(SEARCH("education",P256)),ISNUMBER(SEARCH("exam",P256)),ISNUMBER(SEARCH("school",P256))),"Education",IF(OR(ISNUMBER(SEARCH("trade agreement",P256)),ISNUMBER(SEARCH("economic",P256)),ISNUMBER(SEARCH("import",P256))),"Trade &amp; economic policy",IF(OR(ISNUMBER(SEARCH("land acquisition",P256)),ISNUMBER(SEARCH("rehabilitation",P256)),ISNUMBER(SEARCH("displacement",P256)),ISNUMBER(SEARCH("township",P256))),"Land &amp; rehabilitation",IF(OR(ISNUMBER(SEARCH("forest",P256)),ISNUMBER(SEARCH("environment",P256)),ISNUMBER(SEARCH("ecological",P256)),ISNUMBER(SEARCH("biodiversity",P256)),ISNUMBER(SEARCH("green cover",P256))),"Environment",IF(OR(ISNUMBER(SEARCH("irrigation",P256)),ISNUMBER(SEARCH("water",P256)),ISNUMBER(SEARCH("crop",P256)),ISNUMBER(SEARCH("farmer",P256)),ISNUMBER(SEARCH("agriculture",P256))),"Agriculture &amp; water",IF(OR(ISNUMBER(SEARCH("health",P256)),ISNUMBER(SEARCH("hospital",P256)),ISNUMBER(SEARCH("medicine",P256))),"Public health",IF(OR(ISNUMBER(SEARCH("employee",P256)),ISNUMBER(SEARCH("labour",P256)),ISNUMBER(SEARCH("worker",P256)),ISNUMBER(SEARCH("salary",P256))),"Labour &amp; employment",IF(OR(ISNUMBER(SEARCH("rti",P256)),ISNUMBER(SEARCH("transparency",P256)),ISNUMBER(SEARCH("corruption",P256)),ISNUMBER(SEARCH("governance",P256))),"Governance &amp; transparency",IF(OR(ISNUMBER(SEARCH("police",P256)),ISNUMBER(SEARCH("detention",P256)),ISNUMBER(SEARCH("civil rights",P256)),ISNUMBER(SEARCH("justice",P256))),"Civil rights &amp; justice",IF(OR(ISNUMBER(SEARCH("road",P256)),ISNUMBER(SEARCH("utility",P256)),ISNUMBER(SEARCH("infrastructure",P256)),ISNUMBER(SEARCH("public service",P256))),"Infrastructure &amp; public services","Other"))))))))))))</x:f>
      </x:c>
      <x:c r="J256" s="16" t="str">
        <x:f>IF(A256="","",IF(OR(ISNUMBER(SEARCH("fatal",Q256)),ISNUMBER(SEARCH("death",Q256)),ISNUMBER(SEARCH("riot",Q256)),ISNUMBER(SEARCH("curfew",Q256)),ISNUMBER(SEARCH("internet shutdown",Q256))),5,MIN(4,1+IF(H256&gt;=7,1,0)+IF(OR(ISNUMBER(SEARCH("hunger strike",Q256)),ISNUMBER(SEARCH("blockade",Q256)),ISNUMBER(SEARCH("strike",Q256)),ISNUMBER(SEARCH("jal satyagraha",Q256)),ISNUMBER(SEARCH("survey",Q256)),ISNUMBER(SEARCH("human chain",Q256)),ISNUMBER(SEARCH("march",Q256))),1,0)+IF(OR(ISNUMBER(SEARCH("fir",Q256)),ISNUMBER(SEARCH("confrontation",Q256)),ISNUMBER(SEARCH("violence",Q256)),ISNUMBER(SEARCH("detention",Q256)),ISNUMBER(SEARCH("arrest",Q256)),ISNUMBER(SEARCH("demolition",Q256)),ISNUMBER(SEARCH("injury",Q256))),1,0)+IF(OR(D256="Ongoing",D256="Unresolved"),1,0))))</x:f>
      </x:c>
      <x:c r="K256" s="16" t="str">
        <x:f>IF(J256="","",IF(J256=1,"Limited",IF(J256=2,"Local",IF(J256=3,"Significant",IF(J256=4,"High","Critical")))))</x:f>
      </x:c>
      <x:c r="L256" s="16" t="str">
        <x:f>IF(A256="","",Events!U255)</x:f>
      </x:c>
      <x:c r="M256" s="16" t="str">
        <x:f>IF(A256="","",Events!V255)</x:f>
      </x:c>
      <x:c r="N256" s="16" t="str">
        <x:f>IF(A256="","",Events!Q255)</x:f>
      </x:c>
      <x:c r="O256" s="16" t="str">
        <x:f>IF(A256="","",Events!R255)</x:f>
      </x:c>
      <x:c r="P256" s="16" t="str">
        <x:f>IF(A256="","",LOWER(Events!B255&amp;" "&amp;Events!D255&amp;" "&amp;Events!K255))</x:f>
      </x:c>
      <x:c r="Q256" s="16" t="str">
        <x:f>IF(A256="","",LOWER(Events!C255&amp;" "&amp;Events!K255&amp;" "&amp;Events!T255))</x:f>
      </x:c>
      <x:c r="R256" s="16" t="str">
        <x:f>IF(A256="","",IF(ISNUMBER(SEARCH("Occurrence verified",E256)),"Occurrence verified",E256))</x:f>
      </x:c>
      <x:c r="S256" s="79" t="str">
        <x:f>IF(A256="","",Events!X255)</x:f>
      </x:c>
      <x:c r="Z256" s="79" t="str">
        <x:f>IF(A256="","",Events!AD255)</x:f>
      </x:c>
      <x:c r="AA256" s="79" t="str">
        <x:f>IF(A256="","",Events!AE255)</x:f>
      </x:c>
    </x:row>
    <x:row r="257">
      <x:c r="A257" s="16" t="str">
        <x:f>IF(Events!A256="","",Events!A256)</x:f>
      </x:c>
      <x:c r="B257" s="16" t="str">
        <x:f>IF(A257="","",Events!B256)</x:f>
      </x:c>
      <x:c r="C257" s="16" t="str">
        <x:f>IF(A257="","",Events!E256)</x:f>
      </x:c>
      <x:c r="D257" s="16" t="str">
        <x:f>IF(A257="","",Events!J256)</x:f>
      </x:c>
      <x:c r="E257" s="16" t="str">
        <x:f>IF(A257="","",Events!N256)</x:f>
      </x:c>
      <x:c r="F257" s="109" t="str">
        <x:f>IF(OR(A257="",Events!H256=""),"",Events!H256)</x:f>
      </x:c>
      <x:c r="G257" s="109" t="str">
        <x:f>IF(A257="","",IF(Events!I256&lt;&gt;"",Events!I256,IF(Events!S256&lt;&gt;"",Events!S256,"")))</x:f>
      </x:c>
      <x:c r="H257" s="16" t="str">
        <x:f>IF(A257="","",Events!W256)</x:f>
      </x:c>
      <x:c r="I257" s="16" t="str">
        <x:f>IF(A257="","",IF(Events!Y256&lt;&gt;"",Events!Y256,IF(OR(ISNUMBER(SEARCH("education",P257)),ISNUMBER(SEARCH("exam",P257)),ISNUMBER(SEARCH("school",P257))),"Education",IF(OR(ISNUMBER(SEARCH("trade agreement",P257)),ISNUMBER(SEARCH("economic",P257)),ISNUMBER(SEARCH("import",P257))),"Trade &amp; economic policy",IF(OR(ISNUMBER(SEARCH("land acquisition",P257)),ISNUMBER(SEARCH("rehabilitation",P257)),ISNUMBER(SEARCH("displacement",P257)),ISNUMBER(SEARCH("township",P257))),"Land &amp; rehabilitation",IF(OR(ISNUMBER(SEARCH("forest",P257)),ISNUMBER(SEARCH("environment",P257)),ISNUMBER(SEARCH("ecological",P257)),ISNUMBER(SEARCH("biodiversity",P257)),ISNUMBER(SEARCH("green cover",P257))),"Environment",IF(OR(ISNUMBER(SEARCH("irrigation",P257)),ISNUMBER(SEARCH("water",P257)),ISNUMBER(SEARCH("crop",P257)),ISNUMBER(SEARCH("farmer",P257)),ISNUMBER(SEARCH("agriculture",P257))),"Agriculture &amp; water",IF(OR(ISNUMBER(SEARCH("health",P257)),ISNUMBER(SEARCH("hospital",P257)),ISNUMBER(SEARCH("medicine",P257))),"Public health",IF(OR(ISNUMBER(SEARCH("employee",P257)),ISNUMBER(SEARCH("labour",P257)),ISNUMBER(SEARCH("worker",P257)),ISNUMBER(SEARCH("salary",P257))),"Labour &amp; employment",IF(OR(ISNUMBER(SEARCH("rti",P257)),ISNUMBER(SEARCH("transparency",P257)),ISNUMBER(SEARCH("corruption",P257)),ISNUMBER(SEARCH("governance",P257))),"Governance &amp; transparency",IF(OR(ISNUMBER(SEARCH("police",P257)),ISNUMBER(SEARCH("detention",P257)),ISNUMBER(SEARCH("civil rights",P257)),ISNUMBER(SEARCH("justice",P257))),"Civil rights &amp; justice",IF(OR(ISNUMBER(SEARCH("road",P257)),ISNUMBER(SEARCH("utility",P257)),ISNUMBER(SEARCH("infrastructure",P257)),ISNUMBER(SEARCH("public service",P257))),"Infrastructure &amp; public services","Other"))))))))))))</x:f>
      </x:c>
      <x:c r="J257" s="16" t="str">
        <x:f>IF(A257="","",IF(OR(ISNUMBER(SEARCH("fatal",Q257)),ISNUMBER(SEARCH("death",Q257)),ISNUMBER(SEARCH("riot",Q257)),ISNUMBER(SEARCH("curfew",Q257)),ISNUMBER(SEARCH("internet shutdown",Q257))),5,MIN(4,1+IF(H257&gt;=7,1,0)+IF(OR(ISNUMBER(SEARCH("hunger strike",Q257)),ISNUMBER(SEARCH("blockade",Q257)),ISNUMBER(SEARCH("strike",Q257)),ISNUMBER(SEARCH("jal satyagraha",Q257)),ISNUMBER(SEARCH("survey",Q257)),ISNUMBER(SEARCH("human chain",Q257)),ISNUMBER(SEARCH("march",Q257))),1,0)+IF(OR(ISNUMBER(SEARCH("fir",Q257)),ISNUMBER(SEARCH("confrontation",Q257)),ISNUMBER(SEARCH("violence",Q257)),ISNUMBER(SEARCH("detention",Q257)),ISNUMBER(SEARCH("arrest",Q257)),ISNUMBER(SEARCH("demolition",Q257)),ISNUMBER(SEARCH("injury",Q257))),1,0)+IF(OR(D257="Ongoing",D257="Unresolved"),1,0))))</x:f>
      </x:c>
      <x:c r="K257" s="16" t="str">
        <x:f>IF(J257="","",IF(J257=1,"Limited",IF(J257=2,"Local",IF(J257=3,"Significant",IF(J257=4,"High","Critical")))))</x:f>
      </x:c>
      <x:c r="L257" s="16" t="str">
        <x:f>IF(A257="","",Events!U256)</x:f>
      </x:c>
      <x:c r="M257" s="16" t="str">
        <x:f>IF(A257="","",Events!V256)</x:f>
      </x:c>
      <x:c r="N257" s="16" t="str">
        <x:f>IF(A257="","",Events!Q256)</x:f>
      </x:c>
      <x:c r="O257" s="16" t="str">
        <x:f>IF(A257="","",Events!R256)</x:f>
      </x:c>
      <x:c r="P257" s="16" t="str">
        <x:f>IF(A257="","",LOWER(Events!B256&amp;" "&amp;Events!D256&amp;" "&amp;Events!K256))</x:f>
      </x:c>
      <x:c r="Q257" s="16" t="str">
        <x:f>IF(A257="","",LOWER(Events!C256&amp;" "&amp;Events!K256&amp;" "&amp;Events!T256))</x:f>
      </x:c>
      <x:c r="R257" s="16" t="str">
        <x:f>IF(A257="","",IF(ISNUMBER(SEARCH("Occurrence verified",E257)),"Occurrence verified",E257))</x:f>
      </x:c>
      <x:c r="S257" s="79" t="str">
        <x:f>IF(A257="","",Events!X256)</x:f>
      </x:c>
      <x:c r="Z257" s="79" t="str">
        <x:f>IF(A257="","",Events!AD256)</x:f>
      </x:c>
      <x:c r="AA257" s="79" t="str">
        <x:f>IF(A257="","",Events!AE256)</x:f>
      </x:c>
    </x:row>
    <x:row r="258">
      <x:c r="A258" s="16" t="str">
        <x:f>IF(Events!A257="","",Events!A257)</x:f>
      </x:c>
      <x:c r="B258" s="16" t="str">
        <x:f>IF(A258="","",Events!B257)</x:f>
      </x:c>
      <x:c r="C258" s="16" t="str">
        <x:f>IF(A258="","",Events!E257)</x:f>
      </x:c>
      <x:c r="D258" s="16" t="str">
        <x:f>IF(A258="","",Events!J257)</x:f>
      </x:c>
      <x:c r="E258" s="16" t="str">
        <x:f>IF(A258="","",Events!N257)</x:f>
      </x:c>
      <x:c r="F258" s="109" t="str">
        <x:f>IF(OR(A258="",Events!H257=""),"",Events!H257)</x:f>
      </x:c>
      <x:c r="G258" s="109" t="str">
        <x:f>IF(A258="","",IF(Events!I257&lt;&gt;"",Events!I257,IF(Events!S257&lt;&gt;"",Events!S257,"")))</x:f>
      </x:c>
      <x:c r="H258" s="16" t="str">
        <x:f>IF(A258="","",Events!W257)</x:f>
      </x:c>
      <x:c r="I258" s="16" t="str">
        <x:f>IF(A258="","",IF(Events!Y257&lt;&gt;"",Events!Y257,IF(OR(ISNUMBER(SEARCH("education",P258)),ISNUMBER(SEARCH("exam",P258)),ISNUMBER(SEARCH("school",P258))),"Education",IF(OR(ISNUMBER(SEARCH("trade agreement",P258)),ISNUMBER(SEARCH("economic",P258)),ISNUMBER(SEARCH("import",P258))),"Trade &amp; economic policy",IF(OR(ISNUMBER(SEARCH("land acquisition",P258)),ISNUMBER(SEARCH("rehabilitation",P258)),ISNUMBER(SEARCH("displacement",P258)),ISNUMBER(SEARCH("township",P258))),"Land &amp; rehabilitation",IF(OR(ISNUMBER(SEARCH("forest",P258)),ISNUMBER(SEARCH("environment",P258)),ISNUMBER(SEARCH("ecological",P258)),ISNUMBER(SEARCH("biodiversity",P258)),ISNUMBER(SEARCH("green cover",P258))),"Environment",IF(OR(ISNUMBER(SEARCH("irrigation",P258)),ISNUMBER(SEARCH("water",P258)),ISNUMBER(SEARCH("crop",P258)),ISNUMBER(SEARCH("farmer",P258)),ISNUMBER(SEARCH("agriculture",P258))),"Agriculture &amp; water",IF(OR(ISNUMBER(SEARCH("health",P258)),ISNUMBER(SEARCH("hospital",P258)),ISNUMBER(SEARCH("medicine",P258))),"Public health",IF(OR(ISNUMBER(SEARCH("employee",P258)),ISNUMBER(SEARCH("labour",P258)),ISNUMBER(SEARCH("worker",P258)),ISNUMBER(SEARCH("salary",P258))),"Labour &amp; employment",IF(OR(ISNUMBER(SEARCH("rti",P258)),ISNUMBER(SEARCH("transparency",P258)),ISNUMBER(SEARCH("corruption",P258)),ISNUMBER(SEARCH("governance",P258))),"Governance &amp; transparency",IF(OR(ISNUMBER(SEARCH("police",P258)),ISNUMBER(SEARCH("detention",P258)),ISNUMBER(SEARCH("civil rights",P258)),ISNUMBER(SEARCH("justice",P258))),"Civil rights &amp; justice",IF(OR(ISNUMBER(SEARCH("road",P258)),ISNUMBER(SEARCH("utility",P258)),ISNUMBER(SEARCH("infrastructure",P258)),ISNUMBER(SEARCH("public service",P258))),"Infrastructure &amp; public services","Other"))))))))))))</x:f>
      </x:c>
      <x:c r="J258" s="16" t="str">
        <x:f>IF(A258="","",IF(OR(ISNUMBER(SEARCH("fatal",Q258)),ISNUMBER(SEARCH("death",Q258)),ISNUMBER(SEARCH("riot",Q258)),ISNUMBER(SEARCH("curfew",Q258)),ISNUMBER(SEARCH("internet shutdown",Q258))),5,MIN(4,1+IF(H258&gt;=7,1,0)+IF(OR(ISNUMBER(SEARCH("hunger strike",Q258)),ISNUMBER(SEARCH("blockade",Q258)),ISNUMBER(SEARCH("strike",Q258)),ISNUMBER(SEARCH("jal satyagraha",Q258)),ISNUMBER(SEARCH("survey",Q258)),ISNUMBER(SEARCH("human chain",Q258)),ISNUMBER(SEARCH("march",Q258))),1,0)+IF(OR(ISNUMBER(SEARCH("fir",Q258)),ISNUMBER(SEARCH("confrontation",Q258)),ISNUMBER(SEARCH("violence",Q258)),ISNUMBER(SEARCH("detention",Q258)),ISNUMBER(SEARCH("arrest",Q258)),ISNUMBER(SEARCH("demolition",Q258)),ISNUMBER(SEARCH("injury",Q258))),1,0)+IF(OR(D258="Ongoing",D258="Unresolved"),1,0))))</x:f>
      </x:c>
      <x:c r="K258" s="16" t="str">
        <x:f>IF(J258="","",IF(J258=1,"Limited",IF(J258=2,"Local",IF(J258=3,"Significant",IF(J258=4,"High","Critical")))))</x:f>
      </x:c>
      <x:c r="L258" s="16" t="str">
        <x:f>IF(A258="","",Events!U257)</x:f>
      </x:c>
      <x:c r="M258" s="16" t="str">
        <x:f>IF(A258="","",Events!V257)</x:f>
      </x:c>
      <x:c r="N258" s="16" t="str">
        <x:f>IF(A258="","",Events!Q257)</x:f>
      </x:c>
      <x:c r="O258" s="16" t="str">
        <x:f>IF(A258="","",Events!R257)</x:f>
      </x:c>
      <x:c r="P258" s="16" t="str">
        <x:f>IF(A258="","",LOWER(Events!B257&amp;" "&amp;Events!D257&amp;" "&amp;Events!K257))</x:f>
      </x:c>
      <x:c r="Q258" s="16" t="str">
        <x:f>IF(A258="","",LOWER(Events!C257&amp;" "&amp;Events!K257&amp;" "&amp;Events!T257))</x:f>
      </x:c>
      <x:c r="R258" s="16" t="str">
        <x:f>IF(A258="","",IF(ISNUMBER(SEARCH("Occurrence verified",E258)),"Occurrence verified",E258))</x:f>
      </x:c>
      <x:c r="S258" s="79" t="str">
        <x:f>IF(A258="","",Events!X257)</x:f>
      </x:c>
      <x:c r="Z258" s="79" t="str">
        <x:f>IF(A258="","",Events!AD257)</x:f>
      </x:c>
      <x:c r="AA258" s="79" t="str">
        <x:f>IF(A258="","",Events!AE257)</x:f>
      </x:c>
    </x:row>
    <x:row r="259">
      <x:c r="A259" s="16" t="str">
        <x:f>IF(Events!A258="","",Events!A258)</x:f>
      </x:c>
      <x:c r="B259" s="16" t="str">
        <x:f>IF(A259="","",Events!B258)</x:f>
      </x:c>
      <x:c r="C259" s="16" t="str">
        <x:f>IF(A259="","",Events!E258)</x:f>
      </x:c>
      <x:c r="D259" s="16" t="str">
        <x:f>IF(A259="","",Events!J258)</x:f>
      </x:c>
      <x:c r="E259" s="16" t="str">
        <x:f>IF(A259="","",Events!N258)</x:f>
      </x:c>
      <x:c r="F259" s="109" t="str">
        <x:f>IF(OR(A259="",Events!H258=""),"",Events!H258)</x:f>
      </x:c>
      <x:c r="G259" s="109" t="str">
        <x:f>IF(A259="","",IF(Events!I258&lt;&gt;"",Events!I258,IF(Events!S258&lt;&gt;"",Events!S258,"")))</x:f>
      </x:c>
      <x:c r="H259" s="16" t="str">
        <x:f>IF(A259="","",Events!W258)</x:f>
      </x:c>
      <x:c r="I259" s="16" t="str">
        <x:f>IF(A259="","",IF(Events!Y258&lt;&gt;"",Events!Y258,IF(OR(ISNUMBER(SEARCH("education",P259)),ISNUMBER(SEARCH("exam",P259)),ISNUMBER(SEARCH("school",P259))),"Education",IF(OR(ISNUMBER(SEARCH("trade agreement",P259)),ISNUMBER(SEARCH("economic",P259)),ISNUMBER(SEARCH("import",P259))),"Trade &amp; economic policy",IF(OR(ISNUMBER(SEARCH("land acquisition",P259)),ISNUMBER(SEARCH("rehabilitation",P259)),ISNUMBER(SEARCH("displacement",P259)),ISNUMBER(SEARCH("township",P259))),"Land &amp; rehabilitation",IF(OR(ISNUMBER(SEARCH("forest",P259)),ISNUMBER(SEARCH("environment",P259)),ISNUMBER(SEARCH("ecological",P259)),ISNUMBER(SEARCH("biodiversity",P259)),ISNUMBER(SEARCH("green cover",P259))),"Environment",IF(OR(ISNUMBER(SEARCH("irrigation",P259)),ISNUMBER(SEARCH("water",P259)),ISNUMBER(SEARCH("crop",P259)),ISNUMBER(SEARCH("farmer",P259)),ISNUMBER(SEARCH("agriculture",P259))),"Agriculture &amp; water",IF(OR(ISNUMBER(SEARCH("health",P259)),ISNUMBER(SEARCH("hospital",P259)),ISNUMBER(SEARCH("medicine",P259))),"Public health",IF(OR(ISNUMBER(SEARCH("employee",P259)),ISNUMBER(SEARCH("labour",P259)),ISNUMBER(SEARCH("worker",P259)),ISNUMBER(SEARCH("salary",P259))),"Labour &amp; employment",IF(OR(ISNUMBER(SEARCH("rti",P259)),ISNUMBER(SEARCH("transparency",P259)),ISNUMBER(SEARCH("corruption",P259)),ISNUMBER(SEARCH("governance",P259))),"Governance &amp; transparency",IF(OR(ISNUMBER(SEARCH("police",P259)),ISNUMBER(SEARCH("detention",P259)),ISNUMBER(SEARCH("civil rights",P259)),ISNUMBER(SEARCH("justice",P259))),"Civil rights &amp; justice",IF(OR(ISNUMBER(SEARCH("road",P259)),ISNUMBER(SEARCH("utility",P259)),ISNUMBER(SEARCH("infrastructure",P259)),ISNUMBER(SEARCH("public service",P259))),"Infrastructure &amp; public services","Other"))))))))))))</x:f>
      </x:c>
      <x:c r="J259" s="16" t="str">
        <x:f>IF(A259="","",IF(OR(ISNUMBER(SEARCH("fatal",Q259)),ISNUMBER(SEARCH("death",Q259)),ISNUMBER(SEARCH("riot",Q259)),ISNUMBER(SEARCH("curfew",Q259)),ISNUMBER(SEARCH("internet shutdown",Q259))),5,MIN(4,1+IF(H259&gt;=7,1,0)+IF(OR(ISNUMBER(SEARCH("hunger strike",Q259)),ISNUMBER(SEARCH("blockade",Q259)),ISNUMBER(SEARCH("strike",Q259)),ISNUMBER(SEARCH("jal satyagraha",Q259)),ISNUMBER(SEARCH("survey",Q259)),ISNUMBER(SEARCH("human chain",Q259)),ISNUMBER(SEARCH("march",Q259))),1,0)+IF(OR(ISNUMBER(SEARCH("fir",Q259)),ISNUMBER(SEARCH("confrontation",Q259)),ISNUMBER(SEARCH("violence",Q259)),ISNUMBER(SEARCH("detention",Q259)),ISNUMBER(SEARCH("arrest",Q259)),ISNUMBER(SEARCH("demolition",Q259)),ISNUMBER(SEARCH("injury",Q259))),1,0)+IF(OR(D259="Ongoing",D259="Unresolved"),1,0))))</x:f>
      </x:c>
      <x:c r="K259" s="16" t="str">
        <x:f>IF(J259="","",IF(J259=1,"Limited",IF(J259=2,"Local",IF(J259=3,"Significant",IF(J259=4,"High","Critical")))))</x:f>
      </x:c>
      <x:c r="L259" s="16" t="str">
        <x:f>IF(A259="","",Events!U258)</x:f>
      </x:c>
      <x:c r="M259" s="16" t="str">
        <x:f>IF(A259="","",Events!V258)</x:f>
      </x:c>
      <x:c r="N259" s="16" t="str">
        <x:f>IF(A259="","",Events!Q258)</x:f>
      </x:c>
      <x:c r="O259" s="16" t="str">
        <x:f>IF(A259="","",Events!R258)</x:f>
      </x:c>
      <x:c r="P259" s="16" t="str">
        <x:f>IF(A259="","",LOWER(Events!B258&amp;" "&amp;Events!D258&amp;" "&amp;Events!K258))</x:f>
      </x:c>
      <x:c r="Q259" s="16" t="str">
        <x:f>IF(A259="","",LOWER(Events!C258&amp;" "&amp;Events!K258&amp;" "&amp;Events!T258))</x:f>
      </x:c>
      <x:c r="R259" s="16" t="str">
        <x:f>IF(A259="","",IF(ISNUMBER(SEARCH("Occurrence verified",E259)),"Occurrence verified",E259))</x:f>
      </x:c>
      <x:c r="S259" s="79" t="str">
        <x:f>IF(A259="","",Events!X258)</x:f>
      </x:c>
      <x:c r="Z259" s="79" t="str">
        <x:f>IF(A259="","",Events!AD258)</x:f>
      </x:c>
      <x:c r="AA259" s="79" t="str">
        <x:f>IF(A259="","",Events!AE258)</x:f>
      </x:c>
    </x:row>
    <x:row r="260">
      <x:c r="A260" s="16" t="str">
        <x:f>IF(Events!A259="","",Events!A259)</x:f>
      </x:c>
      <x:c r="B260" s="16" t="str">
        <x:f>IF(A260="","",Events!B259)</x:f>
      </x:c>
      <x:c r="C260" s="16" t="str">
        <x:f>IF(A260="","",Events!E259)</x:f>
      </x:c>
      <x:c r="D260" s="16" t="str">
        <x:f>IF(A260="","",Events!J259)</x:f>
      </x:c>
      <x:c r="E260" s="16" t="str">
        <x:f>IF(A260="","",Events!N259)</x:f>
      </x:c>
      <x:c r="F260" s="109" t="str">
        <x:f>IF(OR(A260="",Events!H259=""),"",Events!H259)</x:f>
      </x:c>
      <x:c r="G260" s="109" t="str">
        <x:f>IF(A260="","",IF(Events!I259&lt;&gt;"",Events!I259,IF(Events!S259&lt;&gt;"",Events!S259,"")))</x:f>
      </x:c>
      <x:c r="H260" s="16" t="str">
        <x:f>IF(A260="","",Events!W259)</x:f>
      </x:c>
      <x:c r="I260" s="16" t="str">
        <x:f>IF(A260="","",IF(Events!Y259&lt;&gt;"",Events!Y259,IF(OR(ISNUMBER(SEARCH("education",P260)),ISNUMBER(SEARCH("exam",P260)),ISNUMBER(SEARCH("school",P260))),"Education",IF(OR(ISNUMBER(SEARCH("trade agreement",P260)),ISNUMBER(SEARCH("economic",P260)),ISNUMBER(SEARCH("import",P260))),"Trade &amp; economic policy",IF(OR(ISNUMBER(SEARCH("land acquisition",P260)),ISNUMBER(SEARCH("rehabilitation",P260)),ISNUMBER(SEARCH("displacement",P260)),ISNUMBER(SEARCH("township",P260))),"Land &amp; rehabilitation",IF(OR(ISNUMBER(SEARCH("forest",P260)),ISNUMBER(SEARCH("environment",P260)),ISNUMBER(SEARCH("ecological",P260)),ISNUMBER(SEARCH("biodiversity",P260)),ISNUMBER(SEARCH("green cover",P260))),"Environment",IF(OR(ISNUMBER(SEARCH("irrigation",P260)),ISNUMBER(SEARCH("water",P260)),ISNUMBER(SEARCH("crop",P260)),ISNUMBER(SEARCH("farmer",P260)),ISNUMBER(SEARCH("agriculture",P260))),"Agriculture &amp; water",IF(OR(ISNUMBER(SEARCH("health",P260)),ISNUMBER(SEARCH("hospital",P260)),ISNUMBER(SEARCH("medicine",P260))),"Public health",IF(OR(ISNUMBER(SEARCH("employee",P260)),ISNUMBER(SEARCH("labour",P260)),ISNUMBER(SEARCH("worker",P260)),ISNUMBER(SEARCH("salary",P260))),"Labour &amp; employment",IF(OR(ISNUMBER(SEARCH("rti",P260)),ISNUMBER(SEARCH("transparency",P260)),ISNUMBER(SEARCH("corruption",P260)),ISNUMBER(SEARCH("governance",P260))),"Governance &amp; transparency",IF(OR(ISNUMBER(SEARCH("police",P260)),ISNUMBER(SEARCH("detention",P260)),ISNUMBER(SEARCH("civil rights",P260)),ISNUMBER(SEARCH("justice",P260))),"Civil rights &amp; justice",IF(OR(ISNUMBER(SEARCH("road",P260)),ISNUMBER(SEARCH("utility",P260)),ISNUMBER(SEARCH("infrastructure",P260)),ISNUMBER(SEARCH("public service",P260))),"Infrastructure &amp; public services","Other"))))))))))))</x:f>
      </x:c>
      <x:c r="J260" s="16" t="str">
        <x:f>IF(A260="","",IF(OR(ISNUMBER(SEARCH("fatal",Q260)),ISNUMBER(SEARCH("death",Q260)),ISNUMBER(SEARCH("riot",Q260)),ISNUMBER(SEARCH("curfew",Q260)),ISNUMBER(SEARCH("internet shutdown",Q260))),5,MIN(4,1+IF(H260&gt;=7,1,0)+IF(OR(ISNUMBER(SEARCH("hunger strike",Q260)),ISNUMBER(SEARCH("blockade",Q260)),ISNUMBER(SEARCH("strike",Q260)),ISNUMBER(SEARCH("jal satyagraha",Q260)),ISNUMBER(SEARCH("survey",Q260)),ISNUMBER(SEARCH("human chain",Q260)),ISNUMBER(SEARCH("march",Q260))),1,0)+IF(OR(ISNUMBER(SEARCH("fir",Q260)),ISNUMBER(SEARCH("confrontation",Q260)),ISNUMBER(SEARCH("violence",Q260)),ISNUMBER(SEARCH("detention",Q260)),ISNUMBER(SEARCH("arrest",Q260)),ISNUMBER(SEARCH("demolition",Q260)),ISNUMBER(SEARCH("injury",Q260))),1,0)+IF(OR(D260="Ongoing",D260="Unresolved"),1,0))))</x:f>
      </x:c>
      <x:c r="K260" s="16" t="str">
        <x:f>IF(J260="","",IF(J260=1,"Limited",IF(J260=2,"Local",IF(J260=3,"Significant",IF(J260=4,"High","Critical")))))</x:f>
      </x:c>
      <x:c r="L260" s="16" t="str">
        <x:f>IF(A260="","",Events!U259)</x:f>
      </x:c>
      <x:c r="M260" s="16" t="str">
        <x:f>IF(A260="","",Events!V259)</x:f>
      </x:c>
      <x:c r="N260" s="16" t="str">
        <x:f>IF(A260="","",Events!Q259)</x:f>
      </x:c>
      <x:c r="O260" s="16" t="str">
        <x:f>IF(A260="","",Events!R259)</x:f>
      </x:c>
      <x:c r="P260" s="16" t="str">
        <x:f>IF(A260="","",LOWER(Events!B259&amp;" "&amp;Events!D259&amp;" "&amp;Events!K259))</x:f>
      </x:c>
      <x:c r="Q260" s="16" t="str">
        <x:f>IF(A260="","",LOWER(Events!C259&amp;" "&amp;Events!K259&amp;" "&amp;Events!T259))</x:f>
      </x:c>
      <x:c r="R260" s="16" t="str">
        <x:f>IF(A260="","",IF(ISNUMBER(SEARCH("Occurrence verified",E260)),"Occurrence verified",E260))</x:f>
      </x:c>
      <x:c r="S260" s="79" t="str">
        <x:f>IF(A260="","",Events!X259)</x:f>
      </x:c>
      <x:c r="Z260" s="79" t="str">
        <x:f>IF(A260="","",Events!AD259)</x:f>
      </x:c>
      <x:c r="AA260" s="79" t="str">
        <x:f>IF(A260="","",Events!AE259)</x:f>
      </x:c>
    </x:row>
    <x:row r="261">
      <x:c r="A261" s="16" t="str">
        <x:f>IF(Events!A260="","",Events!A260)</x:f>
      </x:c>
      <x:c r="B261" s="16" t="str">
        <x:f>IF(A261="","",Events!B260)</x:f>
      </x:c>
      <x:c r="C261" s="16" t="str">
        <x:f>IF(A261="","",Events!E260)</x:f>
      </x:c>
      <x:c r="D261" s="16" t="str">
        <x:f>IF(A261="","",Events!J260)</x:f>
      </x:c>
      <x:c r="E261" s="16" t="str">
        <x:f>IF(A261="","",Events!N260)</x:f>
      </x:c>
      <x:c r="F261" s="109" t="str">
        <x:f>IF(OR(A261="",Events!H260=""),"",Events!H260)</x:f>
      </x:c>
      <x:c r="G261" s="109" t="str">
        <x:f>IF(A261="","",IF(Events!I260&lt;&gt;"",Events!I260,IF(Events!S260&lt;&gt;"",Events!S260,"")))</x:f>
      </x:c>
      <x:c r="H261" s="16" t="str">
        <x:f>IF(A261="","",Events!W260)</x:f>
      </x:c>
      <x:c r="I261" s="16" t="str">
        <x:f>IF(A261="","",IF(Events!Y260&lt;&gt;"",Events!Y260,IF(OR(ISNUMBER(SEARCH("education",P261)),ISNUMBER(SEARCH("exam",P261)),ISNUMBER(SEARCH("school",P261))),"Education",IF(OR(ISNUMBER(SEARCH("trade agreement",P261)),ISNUMBER(SEARCH("economic",P261)),ISNUMBER(SEARCH("import",P261))),"Trade &amp; economic policy",IF(OR(ISNUMBER(SEARCH("land acquisition",P261)),ISNUMBER(SEARCH("rehabilitation",P261)),ISNUMBER(SEARCH("displacement",P261)),ISNUMBER(SEARCH("township",P261))),"Land &amp; rehabilitation",IF(OR(ISNUMBER(SEARCH("forest",P261)),ISNUMBER(SEARCH("environment",P261)),ISNUMBER(SEARCH("ecological",P261)),ISNUMBER(SEARCH("biodiversity",P261)),ISNUMBER(SEARCH("green cover",P261))),"Environment",IF(OR(ISNUMBER(SEARCH("irrigation",P261)),ISNUMBER(SEARCH("water",P261)),ISNUMBER(SEARCH("crop",P261)),ISNUMBER(SEARCH("farmer",P261)),ISNUMBER(SEARCH("agriculture",P261))),"Agriculture &amp; water",IF(OR(ISNUMBER(SEARCH("health",P261)),ISNUMBER(SEARCH("hospital",P261)),ISNUMBER(SEARCH("medicine",P261))),"Public health",IF(OR(ISNUMBER(SEARCH("employee",P261)),ISNUMBER(SEARCH("labour",P261)),ISNUMBER(SEARCH("worker",P261)),ISNUMBER(SEARCH("salary",P261))),"Labour &amp; employment",IF(OR(ISNUMBER(SEARCH("rti",P261)),ISNUMBER(SEARCH("transparency",P261)),ISNUMBER(SEARCH("corruption",P261)),ISNUMBER(SEARCH("governance",P261))),"Governance &amp; transparency",IF(OR(ISNUMBER(SEARCH("police",P261)),ISNUMBER(SEARCH("detention",P261)),ISNUMBER(SEARCH("civil rights",P261)),ISNUMBER(SEARCH("justice",P261))),"Civil rights &amp; justice",IF(OR(ISNUMBER(SEARCH("road",P261)),ISNUMBER(SEARCH("utility",P261)),ISNUMBER(SEARCH("infrastructure",P261)),ISNUMBER(SEARCH("public service",P261))),"Infrastructure &amp; public services","Other"))))))))))))</x:f>
      </x:c>
      <x:c r="J261" s="16" t="str">
        <x:f>IF(A261="","",IF(OR(ISNUMBER(SEARCH("fatal",Q261)),ISNUMBER(SEARCH("death",Q261)),ISNUMBER(SEARCH("riot",Q261)),ISNUMBER(SEARCH("curfew",Q261)),ISNUMBER(SEARCH("internet shutdown",Q261))),5,MIN(4,1+IF(H261&gt;=7,1,0)+IF(OR(ISNUMBER(SEARCH("hunger strike",Q261)),ISNUMBER(SEARCH("blockade",Q261)),ISNUMBER(SEARCH("strike",Q261)),ISNUMBER(SEARCH("jal satyagraha",Q261)),ISNUMBER(SEARCH("survey",Q261)),ISNUMBER(SEARCH("human chain",Q261)),ISNUMBER(SEARCH("march",Q261))),1,0)+IF(OR(ISNUMBER(SEARCH("fir",Q261)),ISNUMBER(SEARCH("confrontation",Q261)),ISNUMBER(SEARCH("violence",Q261)),ISNUMBER(SEARCH("detention",Q261)),ISNUMBER(SEARCH("arrest",Q261)),ISNUMBER(SEARCH("demolition",Q261)),ISNUMBER(SEARCH("injury",Q261))),1,0)+IF(OR(D261="Ongoing",D261="Unresolved"),1,0))))</x:f>
      </x:c>
      <x:c r="K261" s="16" t="str">
        <x:f>IF(J261="","",IF(J261=1,"Limited",IF(J261=2,"Local",IF(J261=3,"Significant",IF(J261=4,"High","Critical")))))</x:f>
      </x:c>
      <x:c r="L261" s="16" t="str">
        <x:f>IF(A261="","",Events!U260)</x:f>
      </x:c>
      <x:c r="M261" s="16" t="str">
        <x:f>IF(A261="","",Events!V260)</x:f>
      </x:c>
      <x:c r="N261" s="16" t="str">
        <x:f>IF(A261="","",Events!Q260)</x:f>
      </x:c>
      <x:c r="O261" s="16" t="str">
        <x:f>IF(A261="","",Events!R260)</x:f>
      </x:c>
      <x:c r="P261" s="16" t="str">
        <x:f>IF(A261="","",LOWER(Events!B260&amp;" "&amp;Events!D260&amp;" "&amp;Events!K260))</x:f>
      </x:c>
      <x:c r="Q261" s="16" t="str">
        <x:f>IF(A261="","",LOWER(Events!C260&amp;" "&amp;Events!K260&amp;" "&amp;Events!T260))</x:f>
      </x:c>
      <x:c r="R261" s="16" t="str">
        <x:f>IF(A261="","",IF(ISNUMBER(SEARCH("Occurrence verified",E261)),"Occurrence verified",E261))</x:f>
      </x:c>
      <x:c r="S261" s="79" t="str">
        <x:f>IF(A261="","",Events!X260)</x:f>
      </x:c>
      <x:c r="Z261" s="79" t="str">
        <x:f>IF(A261="","",Events!AD260)</x:f>
      </x:c>
      <x:c r="AA261" s="79" t="str">
        <x:f>IF(A261="","",Events!AE260)</x:f>
      </x:c>
    </x:row>
    <x:row r="262">
      <x:c r="A262" s="16" t="str">
        <x:f>IF(Events!A261="","",Events!A261)</x:f>
      </x:c>
      <x:c r="B262" s="16" t="str">
        <x:f>IF(A262="","",Events!B261)</x:f>
      </x:c>
      <x:c r="C262" s="16" t="str">
        <x:f>IF(A262="","",Events!E261)</x:f>
      </x:c>
      <x:c r="D262" s="16" t="str">
        <x:f>IF(A262="","",Events!J261)</x:f>
      </x:c>
      <x:c r="E262" s="16" t="str">
        <x:f>IF(A262="","",Events!N261)</x:f>
      </x:c>
      <x:c r="F262" s="109" t="str">
        <x:f>IF(OR(A262="",Events!H261=""),"",Events!H261)</x:f>
      </x:c>
      <x:c r="G262" s="109" t="str">
        <x:f>IF(A262="","",IF(Events!I261&lt;&gt;"",Events!I261,IF(Events!S261&lt;&gt;"",Events!S261,"")))</x:f>
      </x:c>
      <x:c r="H262" s="16" t="str">
        <x:f>IF(A262="","",Events!W261)</x:f>
      </x:c>
      <x:c r="I262" s="16" t="str">
        <x:f>IF(A262="","",IF(Events!Y261&lt;&gt;"",Events!Y261,IF(OR(ISNUMBER(SEARCH("education",P262)),ISNUMBER(SEARCH("exam",P262)),ISNUMBER(SEARCH("school",P262))),"Education",IF(OR(ISNUMBER(SEARCH("trade agreement",P262)),ISNUMBER(SEARCH("economic",P262)),ISNUMBER(SEARCH("import",P262))),"Trade &amp; economic policy",IF(OR(ISNUMBER(SEARCH("land acquisition",P262)),ISNUMBER(SEARCH("rehabilitation",P262)),ISNUMBER(SEARCH("displacement",P262)),ISNUMBER(SEARCH("township",P262))),"Land &amp; rehabilitation",IF(OR(ISNUMBER(SEARCH("forest",P262)),ISNUMBER(SEARCH("environment",P262)),ISNUMBER(SEARCH("ecological",P262)),ISNUMBER(SEARCH("biodiversity",P262)),ISNUMBER(SEARCH("green cover",P262))),"Environment",IF(OR(ISNUMBER(SEARCH("irrigation",P262)),ISNUMBER(SEARCH("water",P262)),ISNUMBER(SEARCH("crop",P262)),ISNUMBER(SEARCH("farmer",P262)),ISNUMBER(SEARCH("agriculture",P262))),"Agriculture &amp; water",IF(OR(ISNUMBER(SEARCH("health",P262)),ISNUMBER(SEARCH("hospital",P262)),ISNUMBER(SEARCH("medicine",P262))),"Public health",IF(OR(ISNUMBER(SEARCH("employee",P262)),ISNUMBER(SEARCH("labour",P262)),ISNUMBER(SEARCH("worker",P262)),ISNUMBER(SEARCH("salary",P262))),"Labour &amp; employment",IF(OR(ISNUMBER(SEARCH("rti",P262)),ISNUMBER(SEARCH("transparency",P262)),ISNUMBER(SEARCH("corruption",P262)),ISNUMBER(SEARCH("governance",P262))),"Governance &amp; transparency",IF(OR(ISNUMBER(SEARCH("police",P262)),ISNUMBER(SEARCH("detention",P262)),ISNUMBER(SEARCH("civil rights",P262)),ISNUMBER(SEARCH("justice",P262))),"Civil rights &amp; justice",IF(OR(ISNUMBER(SEARCH("road",P262)),ISNUMBER(SEARCH("utility",P262)),ISNUMBER(SEARCH("infrastructure",P262)),ISNUMBER(SEARCH("public service",P262))),"Infrastructure &amp; public services","Other"))))))))))))</x:f>
      </x:c>
      <x:c r="J262" s="16" t="str">
        <x:f>IF(A262="","",IF(OR(ISNUMBER(SEARCH("fatal",Q262)),ISNUMBER(SEARCH("death",Q262)),ISNUMBER(SEARCH("riot",Q262)),ISNUMBER(SEARCH("curfew",Q262)),ISNUMBER(SEARCH("internet shutdown",Q262))),5,MIN(4,1+IF(H262&gt;=7,1,0)+IF(OR(ISNUMBER(SEARCH("hunger strike",Q262)),ISNUMBER(SEARCH("blockade",Q262)),ISNUMBER(SEARCH("strike",Q262)),ISNUMBER(SEARCH("jal satyagraha",Q262)),ISNUMBER(SEARCH("survey",Q262)),ISNUMBER(SEARCH("human chain",Q262)),ISNUMBER(SEARCH("march",Q262))),1,0)+IF(OR(ISNUMBER(SEARCH("fir",Q262)),ISNUMBER(SEARCH("confrontation",Q262)),ISNUMBER(SEARCH("violence",Q262)),ISNUMBER(SEARCH("detention",Q262)),ISNUMBER(SEARCH("arrest",Q262)),ISNUMBER(SEARCH("demolition",Q262)),ISNUMBER(SEARCH("injury",Q262))),1,0)+IF(OR(D262="Ongoing",D262="Unresolved"),1,0))))</x:f>
      </x:c>
      <x:c r="K262" s="16" t="str">
        <x:f>IF(J262="","",IF(J262=1,"Limited",IF(J262=2,"Local",IF(J262=3,"Significant",IF(J262=4,"High","Critical")))))</x:f>
      </x:c>
      <x:c r="L262" s="16" t="str">
        <x:f>IF(A262="","",Events!U261)</x:f>
      </x:c>
      <x:c r="M262" s="16" t="str">
        <x:f>IF(A262="","",Events!V261)</x:f>
      </x:c>
      <x:c r="N262" s="16" t="str">
        <x:f>IF(A262="","",Events!Q261)</x:f>
      </x:c>
      <x:c r="O262" s="16" t="str">
        <x:f>IF(A262="","",Events!R261)</x:f>
      </x:c>
      <x:c r="P262" s="16" t="str">
        <x:f>IF(A262="","",LOWER(Events!B261&amp;" "&amp;Events!D261&amp;" "&amp;Events!K261))</x:f>
      </x:c>
      <x:c r="Q262" s="16" t="str">
        <x:f>IF(A262="","",LOWER(Events!C261&amp;" "&amp;Events!K261&amp;" "&amp;Events!T261))</x:f>
      </x:c>
      <x:c r="R262" s="16" t="str">
        <x:f>IF(A262="","",IF(ISNUMBER(SEARCH("Occurrence verified",E262)),"Occurrence verified",E262))</x:f>
      </x:c>
      <x:c r="S262" s="79" t="str">
        <x:f>IF(A262="","",Events!X261)</x:f>
      </x:c>
      <x:c r="Z262" s="79" t="str">
        <x:f>IF(A262="","",Events!AD261)</x:f>
      </x:c>
      <x:c r="AA262" s="79" t="str">
        <x:f>IF(A262="","",Events!AE261)</x:f>
      </x:c>
    </x:row>
    <x:row r="263">
      <x:c r="A263" s="16" t="str">
        <x:f>IF(Events!A262="","",Events!A262)</x:f>
      </x:c>
      <x:c r="B263" s="16" t="str">
        <x:f>IF(A263="","",Events!B262)</x:f>
      </x:c>
      <x:c r="C263" s="16" t="str">
        <x:f>IF(A263="","",Events!E262)</x:f>
      </x:c>
      <x:c r="D263" s="16" t="str">
        <x:f>IF(A263="","",Events!J262)</x:f>
      </x:c>
      <x:c r="E263" s="16" t="str">
        <x:f>IF(A263="","",Events!N262)</x:f>
      </x:c>
      <x:c r="F263" s="109" t="str">
        <x:f>IF(OR(A263="",Events!H262=""),"",Events!H262)</x:f>
      </x:c>
      <x:c r="G263" s="109" t="str">
        <x:f>IF(A263="","",IF(Events!I262&lt;&gt;"",Events!I262,IF(Events!S262&lt;&gt;"",Events!S262,"")))</x:f>
      </x:c>
      <x:c r="H263" s="16" t="str">
        <x:f>IF(A263="","",Events!W262)</x:f>
      </x:c>
      <x:c r="I263" s="16" t="str">
        <x:f>IF(A263="","",IF(Events!Y262&lt;&gt;"",Events!Y262,IF(OR(ISNUMBER(SEARCH("education",P263)),ISNUMBER(SEARCH("exam",P263)),ISNUMBER(SEARCH("school",P263))),"Education",IF(OR(ISNUMBER(SEARCH("trade agreement",P263)),ISNUMBER(SEARCH("economic",P263)),ISNUMBER(SEARCH("import",P263))),"Trade &amp; economic policy",IF(OR(ISNUMBER(SEARCH("land acquisition",P263)),ISNUMBER(SEARCH("rehabilitation",P263)),ISNUMBER(SEARCH("displacement",P263)),ISNUMBER(SEARCH("township",P263))),"Land &amp; rehabilitation",IF(OR(ISNUMBER(SEARCH("forest",P263)),ISNUMBER(SEARCH("environment",P263)),ISNUMBER(SEARCH("ecological",P263)),ISNUMBER(SEARCH("biodiversity",P263)),ISNUMBER(SEARCH("green cover",P263))),"Environment",IF(OR(ISNUMBER(SEARCH("irrigation",P263)),ISNUMBER(SEARCH("water",P263)),ISNUMBER(SEARCH("crop",P263)),ISNUMBER(SEARCH("farmer",P263)),ISNUMBER(SEARCH("agriculture",P263))),"Agriculture &amp; water",IF(OR(ISNUMBER(SEARCH("health",P263)),ISNUMBER(SEARCH("hospital",P263)),ISNUMBER(SEARCH("medicine",P263))),"Public health",IF(OR(ISNUMBER(SEARCH("employee",P263)),ISNUMBER(SEARCH("labour",P263)),ISNUMBER(SEARCH("worker",P263)),ISNUMBER(SEARCH("salary",P263))),"Labour &amp; employment",IF(OR(ISNUMBER(SEARCH("rti",P263)),ISNUMBER(SEARCH("transparency",P263)),ISNUMBER(SEARCH("corruption",P263)),ISNUMBER(SEARCH("governance",P263))),"Governance &amp; transparency",IF(OR(ISNUMBER(SEARCH("police",P263)),ISNUMBER(SEARCH("detention",P263)),ISNUMBER(SEARCH("civil rights",P263)),ISNUMBER(SEARCH("justice",P263))),"Civil rights &amp; justice",IF(OR(ISNUMBER(SEARCH("road",P263)),ISNUMBER(SEARCH("utility",P263)),ISNUMBER(SEARCH("infrastructure",P263)),ISNUMBER(SEARCH("public service",P263))),"Infrastructure &amp; public services","Other"))))))))))))</x:f>
      </x:c>
      <x:c r="J263" s="16" t="str">
        <x:f>IF(A263="","",IF(OR(ISNUMBER(SEARCH("fatal",Q263)),ISNUMBER(SEARCH("death",Q263)),ISNUMBER(SEARCH("riot",Q263)),ISNUMBER(SEARCH("curfew",Q263)),ISNUMBER(SEARCH("internet shutdown",Q263))),5,MIN(4,1+IF(H263&gt;=7,1,0)+IF(OR(ISNUMBER(SEARCH("hunger strike",Q263)),ISNUMBER(SEARCH("blockade",Q263)),ISNUMBER(SEARCH("strike",Q263)),ISNUMBER(SEARCH("jal satyagraha",Q263)),ISNUMBER(SEARCH("survey",Q263)),ISNUMBER(SEARCH("human chain",Q263)),ISNUMBER(SEARCH("march",Q263))),1,0)+IF(OR(ISNUMBER(SEARCH("fir",Q263)),ISNUMBER(SEARCH("confrontation",Q263)),ISNUMBER(SEARCH("violence",Q263)),ISNUMBER(SEARCH("detention",Q263)),ISNUMBER(SEARCH("arrest",Q263)),ISNUMBER(SEARCH("demolition",Q263)),ISNUMBER(SEARCH("injury",Q263))),1,0)+IF(OR(D263="Ongoing",D263="Unresolved"),1,0))))</x:f>
      </x:c>
      <x:c r="K263" s="16" t="str">
        <x:f>IF(J263="","",IF(J263=1,"Limited",IF(J263=2,"Local",IF(J263=3,"Significant",IF(J263=4,"High","Critical")))))</x:f>
      </x:c>
      <x:c r="L263" s="16" t="str">
        <x:f>IF(A263="","",Events!U262)</x:f>
      </x:c>
      <x:c r="M263" s="16" t="str">
        <x:f>IF(A263="","",Events!V262)</x:f>
      </x:c>
      <x:c r="N263" s="16" t="str">
        <x:f>IF(A263="","",Events!Q262)</x:f>
      </x:c>
      <x:c r="O263" s="16" t="str">
        <x:f>IF(A263="","",Events!R262)</x:f>
      </x:c>
      <x:c r="P263" s="16" t="str">
        <x:f>IF(A263="","",LOWER(Events!B262&amp;" "&amp;Events!D262&amp;" "&amp;Events!K262))</x:f>
      </x:c>
      <x:c r="Q263" s="16" t="str">
        <x:f>IF(A263="","",LOWER(Events!C262&amp;" "&amp;Events!K262&amp;" "&amp;Events!T262))</x:f>
      </x:c>
      <x:c r="R263" s="16" t="str">
        <x:f>IF(A263="","",IF(ISNUMBER(SEARCH("Occurrence verified",E263)),"Occurrence verified",E263))</x:f>
      </x:c>
      <x:c r="S263" s="79" t="str">
        <x:f>IF(A263="","",Events!X262)</x:f>
      </x:c>
      <x:c r="Z263" s="79" t="str">
        <x:f>IF(A263="","",Events!AD262)</x:f>
      </x:c>
      <x:c r="AA263" s="79" t="str">
        <x:f>IF(A263="","",Events!AE262)</x:f>
      </x:c>
    </x:row>
    <x:row r="264">
      <x:c r="A264" s="16" t="str">
        <x:f>IF(Events!A263="","",Events!A263)</x:f>
      </x:c>
      <x:c r="B264" s="16" t="str">
        <x:f>IF(A264="","",Events!B263)</x:f>
      </x:c>
      <x:c r="C264" s="16" t="str">
        <x:f>IF(A264="","",Events!E263)</x:f>
      </x:c>
      <x:c r="D264" s="16" t="str">
        <x:f>IF(A264="","",Events!J263)</x:f>
      </x:c>
      <x:c r="E264" s="16" t="str">
        <x:f>IF(A264="","",Events!N263)</x:f>
      </x:c>
      <x:c r="F264" s="109" t="str">
        <x:f>IF(OR(A264="",Events!H263=""),"",Events!H263)</x:f>
      </x:c>
      <x:c r="G264" s="109" t="str">
        <x:f>IF(A264="","",IF(Events!I263&lt;&gt;"",Events!I263,IF(Events!S263&lt;&gt;"",Events!S263,"")))</x:f>
      </x:c>
      <x:c r="H264" s="16" t="str">
        <x:f>IF(A264="","",Events!W263)</x:f>
      </x:c>
      <x:c r="I264" s="16" t="str">
        <x:f>IF(A264="","",IF(Events!Y263&lt;&gt;"",Events!Y263,IF(OR(ISNUMBER(SEARCH("education",P264)),ISNUMBER(SEARCH("exam",P264)),ISNUMBER(SEARCH("school",P264))),"Education",IF(OR(ISNUMBER(SEARCH("trade agreement",P264)),ISNUMBER(SEARCH("economic",P264)),ISNUMBER(SEARCH("import",P264))),"Trade &amp; economic policy",IF(OR(ISNUMBER(SEARCH("land acquisition",P264)),ISNUMBER(SEARCH("rehabilitation",P264)),ISNUMBER(SEARCH("displacement",P264)),ISNUMBER(SEARCH("township",P264))),"Land &amp; rehabilitation",IF(OR(ISNUMBER(SEARCH("forest",P264)),ISNUMBER(SEARCH("environment",P264)),ISNUMBER(SEARCH("ecological",P264)),ISNUMBER(SEARCH("biodiversity",P264)),ISNUMBER(SEARCH("green cover",P264))),"Environment",IF(OR(ISNUMBER(SEARCH("irrigation",P264)),ISNUMBER(SEARCH("water",P264)),ISNUMBER(SEARCH("crop",P264)),ISNUMBER(SEARCH("farmer",P264)),ISNUMBER(SEARCH("agriculture",P264))),"Agriculture &amp; water",IF(OR(ISNUMBER(SEARCH("health",P264)),ISNUMBER(SEARCH("hospital",P264)),ISNUMBER(SEARCH("medicine",P264))),"Public health",IF(OR(ISNUMBER(SEARCH("employee",P264)),ISNUMBER(SEARCH("labour",P264)),ISNUMBER(SEARCH("worker",P264)),ISNUMBER(SEARCH("salary",P264))),"Labour &amp; employment",IF(OR(ISNUMBER(SEARCH("rti",P264)),ISNUMBER(SEARCH("transparency",P264)),ISNUMBER(SEARCH("corruption",P264)),ISNUMBER(SEARCH("governance",P264))),"Governance &amp; transparency",IF(OR(ISNUMBER(SEARCH("police",P264)),ISNUMBER(SEARCH("detention",P264)),ISNUMBER(SEARCH("civil rights",P264)),ISNUMBER(SEARCH("justice",P264))),"Civil rights &amp; justice",IF(OR(ISNUMBER(SEARCH("road",P264)),ISNUMBER(SEARCH("utility",P264)),ISNUMBER(SEARCH("infrastructure",P264)),ISNUMBER(SEARCH("public service",P264))),"Infrastructure &amp; public services","Other"))))))))))))</x:f>
      </x:c>
      <x:c r="J264" s="16" t="str">
        <x:f>IF(A264="","",IF(OR(ISNUMBER(SEARCH("fatal",Q264)),ISNUMBER(SEARCH("death",Q264)),ISNUMBER(SEARCH("riot",Q264)),ISNUMBER(SEARCH("curfew",Q264)),ISNUMBER(SEARCH("internet shutdown",Q264))),5,MIN(4,1+IF(H264&gt;=7,1,0)+IF(OR(ISNUMBER(SEARCH("hunger strike",Q264)),ISNUMBER(SEARCH("blockade",Q264)),ISNUMBER(SEARCH("strike",Q264)),ISNUMBER(SEARCH("jal satyagraha",Q264)),ISNUMBER(SEARCH("survey",Q264)),ISNUMBER(SEARCH("human chain",Q264)),ISNUMBER(SEARCH("march",Q264))),1,0)+IF(OR(ISNUMBER(SEARCH("fir",Q264)),ISNUMBER(SEARCH("confrontation",Q264)),ISNUMBER(SEARCH("violence",Q264)),ISNUMBER(SEARCH("detention",Q264)),ISNUMBER(SEARCH("arrest",Q264)),ISNUMBER(SEARCH("demolition",Q264)),ISNUMBER(SEARCH("injury",Q264))),1,0)+IF(OR(D264="Ongoing",D264="Unresolved"),1,0))))</x:f>
      </x:c>
      <x:c r="K264" s="16" t="str">
        <x:f>IF(J264="","",IF(J264=1,"Limited",IF(J264=2,"Local",IF(J264=3,"Significant",IF(J264=4,"High","Critical")))))</x:f>
      </x:c>
      <x:c r="L264" s="16" t="str">
        <x:f>IF(A264="","",Events!U263)</x:f>
      </x:c>
      <x:c r="M264" s="16" t="str">
        <x:f>IF(A264="","",Events!V263)</x:f>
      </x:c>
      <x:c r="N264" s="16" t="str">
        <x:f>IF(A264="","",Events!Q263)</x:f>
      </x:c>
      <x:c r="O264" s="16" t="str">
        <x:f>IF(A264="","",Events!R263)</x:f>
      </x:c>
      <x:c r="P264" s="16" t="str">
        <x:f>IF(A264="","",LOWER(Events!B263&amp;" "&amp;Events!D263&amp;" "&amp;Events!K263))</x:f>
      </x:c>
      <x:c r="Q264" s="16" t="str">
        <x:f>IF(A264="","",LOWER(Events!C263&amp;" "&amp;Events!K263&amp;" "&amp;Events!T263))</x:f>
      </x:c>
      <x:c r="R264" s="16" t="str">
        <x:f>IF(A264="","",IF(ISNUMBER(SEARCH("Occurrence verified",E264)),"Occurrence verified",E264))</x:f>
      </x:c>
      <x:c r="S264" s="79" t="str">
        <x:f>IF(A264="","",Events!X263)</x:f>
      </x:c>
      <x:c r="Z264" s="79" t="str">
        <x:f>IF(A264="","",Events!AD263)</x:f>
      </x:c>
      <x:c r="AA264" s="79" t="str">
        <x:f>IF(A264="","",Events!AE263)</x:f>
      </x:c>
    </x:row>
    <x:row r="265">
      <x:c r="A265" s="16" t="str">
        <x:f>IF(Events!A264="","",Events!A264)</x:f>
      </x:c>
      <x:c r="B265" s="16" t="str">
        <x:f>IF(A265="","",Events!B264)</x:f>
      </x:c>
      <x:c r="C265" s="16" t="str">
        <x:f>IF(A265="","",Events!E264)</x:f>
      </x:c>
      <x:c r="D265" s="16" t="str">
        <x:f>IF(A265="","",Events!J264)</x:f>
      </x:c>
      <x:c r="E265" s="16" t="str">
        <x:f>IF(A265="","",Events!N264)</x:f>
      </x:c>
      <x:c r="F265" s="109" t="str">
        <x:f>IF(OR(A265="",Events!H264=""),"",Events!H264)</x:f>
      </x:c>
      <x:c r="G265" s="109" t="str">
        <x:f>IF(A265="","",IF(Events!I264&lt;&gt;"",Events!I264,IF(Events!S264&lt;&gt;"",Events!S264,"")))</x:f>
      </x:c>
      <x:c r="H265" s="16" t="str">
        <x:f>IF(A265="","",Events!W264)</x:f>
      </x:c>
      <x:c r="I265" s="16" t="str">
        <x:f>IF(A265="","",IF(Events!Y264&lt;&gt;"",Events!Y264,IF(OR(ISNUMBER(SEARCH("education",P265)),ISNUMBER(SEARCH("exam",P265)),ISNUMBER(SEARCH("school",P265))),"Education",IF(OR(ISNUMBER(SEARCH("trade agreement",P265)),ISNUMBER(SEARCH("economic",P265)),ISNUMBER(SEARCH("import",P265))),"Trade &amp; economic policy",IF(OR(ISNUMBER(SEARCH("land acquisition",P265)),ISNUMBER(SEARCH("rehabilitation",P265)),ISNUMBER(SEARCH("displacement",P265)),ISNUMBER(SEARCH("township",P265))),"Land &amp; rehabilitation",IF(OR(ISNUMBER(SEARCH("forest",P265)),ISNUMBER(SEARCH("environment",P265)),ISNUMBER(SEARCH("ecological",P265)),ISNUMBER(SEARCH("biodiversity",P265)),ISNUMBER(SEARCH("green cover",P265))),"Environment",IF(OR(ISNUMBER(SEARCH("irrigation",P265)),ISNUMBER(SEARCH("water",P265)),ISNUMBER(SEARCH("crop",P265)),ISNUMBER(SEARCH("farmer",P265)),ISNUMBER(SEARCH("agriculture",P265))),"Agriculture &amp; water",IF(OR(ISNUMBER(SEARCH("health",P265)),ISNUMBER(SEARCH("hospital",P265)),ISNUMBER(SEARCH("medicine",P265))),"Public health",IF(OR(ISNUMBER(SEARCH("employee",P265)),ISNUMBER(SEARCH("labour",P265)),ISNUMBER(SEARCH("worker",P265)),ISNUMBER(SEARCH("salary",P265))),"Labour &amp; employment",IF(OR(ISNUMBER(SEARCH("rti",P265)),ISNUMBER(SEARCH("transparency",P265)),ISNUMBER(SEARCH("corruption",P265)),ISNUMBER(SEARCH("governance",P265))),"Governance &amp; transparency",IF(OR(ISNUMBER(SEARCH("police",P265)),ISNUMBER(SEARCH("detention",P265)),ISNUMBER(SEARCH("civil rights",P265)),ISNUMBER(SEARCH("justice",P265))),"Civil rights &amp; justice",IF(OR(ISNUMBER(SEARCH("road",P265)),ISNUMBER(SEARCH("utility",P265)),ISNUMBER(SEARCH("infrastructure",P265)),ISNUMBER(SEARCH("public service",P265))),"Infrastructure &amp; public services","Other"))))))))))))</x:f>
      </x:c>
      <x:c r="J265" s="16" t="str">
        <x:f>IF(A265="","",IF(OR(ISNUMBER(SEARCH("fatal",Q265)),ISNUMBER(SEARCH("death",Q265)),ISNUMBER(SEARCH("riot",Q265)),ISNUMBER(SEARCH("curfew",Q265)),ISNUMBER(SEARCH("internet shutdown",Q265))),5,MIN(4,1+IF(H265&gt;=7,1,0)+IF(OR(ISNUMBER(SEARCH("hunger strike",Q265)),ISNUMBER(SEARCH("blockade",Q265)),ISNUMBER(SEARCH("strike",Q265)),ISNUMBER(SEARCH("jal satyagraha",Q265)),ISNUMBER(SEARCH("survey",Q265)),ISNUMBER(SEARCH("human chain",Q265)),ISNUMBER(SEARCH("march",Q265))),1,0)+IF(OR(ISNUMBER(SEARCH("fir",Q265)),ISNUMBER(SEARCH("confrontation",Q265)),ISNUMBER(SEARCH("violence",Q265)),ISNUMBER(SEARCH("detention",Q265)),ISNUMBER(SEARCH("arrest",Q265)),ISNUMBER(SEARCH("demolition",Q265)),ISNUMBER(SEARCH("injury",Q265))),1,0)+IF(OR(D265="Ongoing",D265="Unresolved"),1,0))))</x:f>
      </x:c>
      <x:c r="K265" s="16" t="str">
        <x:f>IF(J265="","",IF(J265=1,"Limited",IF(J265=2,"Local",IF(J265=3,"Significant",IF(J265=4,"High","Critical")))))</x:f>
      </x:c>
      <x:c r="L265" s="16" t="str">
        <x:f>IF(A265="","",Events!U264)</x:f>
      </x:c>
      <x:c r="M265" s="16" t="str">
        <x:f>IF(A265="","",Events!V264)</x:f>
      </x:c>
      <x:c r="N265" s="16" t="str">
        <x:f>IF(A265="","",Events!Q264)</x:f>
      </x:c>
      <x:c r="O265" s="16" t="str">
        <x:f>IF(A265="","",Events!R264)</x:f>
      </x:c>
      <x:c r="P265" s="16" t="str">
        <x:f>IF(A265="","",LOWER(Events!B264&amp;" "&amp;Events!D264&amp;" "&amp;Events!K264))</x:f>
      </x:c>
      <x:c r="Q265" s="16" t="str">
        <x:f>IF(A265="","",LOWER(Events!C264&amp;" "&amp;Events!K264&amp;" "&amp;Events!T264))</x:f>
      </x:c>
      <x:c r="R265" s="16" t="str">
        <x:f>IF(A265="","",IF(ISNUMBER(SEARCH("Occurrence verified",E265)),"Occurrence verified",E265))</x:f>
      </x:c>
      <x:c r="S265" s="79" t="str">
        <x:f>IF(A265="","",Events!X264)</x:f>
      </x:c>
      <x:c r="Z265" s="79" t="str">
        <x:f>IF(A265="","",Events!AD264)</x:f>
      </x:c>
      <x:c r="AA265" s="79" t="str">
        <x:f>IF(A265="","",Events!AE264)</x:f>
      </x:c>
    </x:row>
    <x:row r="266">
      <x:c r="A266" s="16" t="str">
        <x:f>IF(Events!A265="","",Events!A265)</x:f>
      </x:c>
      <x:c r="B266" s="16" t="str">
        <x:f>IF(A266="","",Events!B265)</x:f>
      </x:c>
      <x:c r="C266" s="16" t="str">
        <x:f>IF(A266="","",Events!E265)</x:f>
      </x:c>
      <x:c r="D266" s="16" t="str">
        <x:f>IF(A266="","",Events!J265)</x:f>
      </x:c>
      <x:c r="E266" s="16" t="str">
        <x:f>IF(A266="","",Events!N265)</x:f>
      </x:c>
      <x:c r="F266" s="109" t="str">
        <x:f>IF(OR(A266="",Events!H265=""),"",Events!H265)</x:f>
      </x:c>
      <x:c r="G266" s="109" t="str">
        <x:f>IF(A266="","",IF(Events!I265&lt;&gt;"",Events!I265,IF(Events!S265&lt;&gt;"",Events!S265,"")))</x:f>
      </x:c>
      <x:c r="H266" s="16" t="str">
        <x:f>IF(A266="","",Events!W265)</x:f>
      </x:c>
      <x:c r="I266" s="16" t="str">
        <x:f>IF(A266="","",IF(Events!Y265&lt;&gt;"",Events!Y265,IF(OR(ISNUMBER(SEARCH("education",P266)),ISNUMBER(SEARCH("exam",P266)),ISNUMBER(SEARCH("school",P266))),"Education",IF(OR(ISNUMBER(SEARCH("trade agreement",P266)),ISNUMBER(SEARCH("economic",P266)),ISNUMBER(SEARCH("import",P266))),"Trade &amp; economic policy",IF(OR(ISNUMBER(SEARCH("land acquisition",P266)),ISNUMBER(SEARCH("rehabilitation",P266)),ISNUMBER(SEARCH("displacement",P266)),ISNUMBER(SEARCH("township",P266))),"Land &amp; rehabilitation",IF(OR(ISNUMBER(SEARCH("forest",P266)),ISNUMBER(SEARCH("environment",P266)),ISNUMBER(SEARCH("ecological",P266)),ISNUMBER(SEARCH("biodiversity",P266)),ISNUMBER(SEARCH("green cover",P266))),"Environment",IF(OR(ISNUMBER(SEARCH("irrigation",P266)),ISNUMBER(SEARCH("water",P266)),ISNUMBER(SEARCH("crop",P266)),ISNUMBER(SEARCH("farmer",P266)),ISNUMBER(SEARCH("agriculture",P266))),"Agriculture &amp; water",IF(OR(ISNUMBER(SEARCH("health",P266)),ISNUMBER(SEARCH("hospital",P266)),ISNUMBER(SEARCH("medicine",P266))),"Public health",IF(OR(ISNUMBER(SEARCH("employee",P266)),ISNUMBER(SEARCH("labour",P266)),ISNUMBER(SEARCH("worker",P266)),ISNUMBER(SEARCH("salary",P266))),"Labour &amp; employment",IF(OR(ISNUMBER(SEARCH("rti",P266)),ISNUMBER(SEARCH("transparency",P266)),ISNUMBER(SEARCH("corruption",P266)),ISNUMBER(SEARCH("governance",P266))),"Governance &amp; transparency",IF(OR(ISNUMBER(SEARCH("police",P266)),ISNUMBER(SEARCH("detention",P266)),ISNUMBER(SEARCH("civil rights",P266)),ISNUMBER(SEARCH("justice",P266))),"Civil rights &amp; justice",IF(OR(ISNUMBER(SEARCH("road",P266)),ISNUMBER(SEARCH("utility",P266)),ISNUMBER(SEARCH("infrastructure",P266)),ISNUMBER(SEARCH("public service",P266))),"Infrastructure &amp; public services","Other"))))))))))))</x:f>
      </x:c>
      <x:c r="J266" s="16" t="str">
        <x:f>IF(A266="","",IF(OR(ISNUMBER(SEARCH("fatal",Q266)),ISNUMBER(SEARCH("death",Q266)),ISNUMBER(SEARCH("riot",Q266)),ISNUMBER(SEARCH("curfew",Q266)),ISNUMBER(SEARCH("internet shutdown",Q266))),5,MIN(4,1+IF(H266&gt;=7,1,0)+IF(OR(ISNUMBER(SEARCH("hunger strike",Q266)),ISNUMBER(SEARCH("blockade",Q266)),ISNUMBER(SEARCH("strike",Q266)),ISNUMBER(SEARCH("jal satyagraha",Q266)),ISNUMBER(SEARCH("survey",Q266)),ISNUMBER(SEARCH("human chain",Q266)),ISNUMBER(SEARCH("march",Q266))),1,0)+IF(OR(ISNUMBER(SEARCH("fir",Q266)),ISNUMBER(SEARCH("confrontation",Q266)),ISNUMBER(SEARCH("violence",Q266)),ISNUMBER(SEARCH("detention",Q266)),ISNUMBER(SEARCH("arrest",Q266)),ISNUMBER(SEARCH("demolition",Q266)),ISNUMBER(SEARCH("injury",Q266))),1,0)+IF(OR(D266="Ongoing",D266="Unresolved"),1,0))))</x:f>
      </x:c>
      <x:c r="K266" s="16" t="str">
        <x:f>IF(J266="","",IF(J266=1,"Limited",IF(J266=2,"Local",IF(J266=3,"Significant",IF(J266=4,"High","Critical")))))</x:f>
      </x:c>
      <x:c r="L266" s="16" t="str">
        <x:f>IF(A266="","",Events!U265)</x:f>
      </x:c>
      <x:c r="M266" s="16" t="str">
        <x:f>IF(A266="","",Events!V265)</x:f>
      </x:c>
      <x:c r="N266" s="16" t="str">
        <x:f>IF(A266="","",Events!Q265)</x:f>
      </x:c>
      <x:c r="O266" s="16" t="str">
        <x:f>IF(A266="","",Events!R265)</x:f>
      </x:c>
      <x:c r="P266" s="16" t="str">
        <x:f>IF(A266="","",LOWER(Events!B265&amp;" "&amp;Events!D265&amp;" "&amp;Events!K265))</x:f>
      </x:c>
      <x:c r="Q266" s="16" t="str">
        <x:f>IF(A266="","",LOWER(Events!C265&amp;" "&amp;Events!K265&amp;" "&amp;Events!T265))</x:f>
      </x:c>
      <x:c r="R266" s="16" t="str">
        <x:f>IF(A266="","",IF(ISNUMBER(SEARCH("Occurrence verified",E266)),"Occurrence verified",E266))</x:f>
      </x:c>
      <x:c r="S266" s="79" t="str">
        <x:f>IF(A266="","",Events!X265)</x:f>
      </x:c>
      <x:c r="Z266" s="79" t="str">
        <x:f>IF(A266="","",Events!AD265)</x:f>
      </x:c>
      <x:c r="AA266" s="79" t="str">
        <x:f>IF(A266="","",Events!AE265)</x:f>
      </x:c>
    </x:row>
    <x:row r="267">
      <x:c r="A267" s="16" t="str">
        <x:f>IF(Events!A266="","",Events!A266)</x:f>
      </x:c>
      <x:c r="B267" s="16" t="str">
        <x:f>IF(A267="","",Events!B266)</x:f>
      </x:c>
      <x:c r="C267" s="16" t="str">
        <x:f>IF(A267="","",Events!E266)</x:f>
      </x:c>
      <x:c r="D267" s="16" t="str">
        <x:f>IF(A267="","",Events!J266)</x:f>
      </x:c>
      <x:c r="E267" s="16" t="str">
        <x:f>IF(A267="","",Events!N266)</x:f>
      </x:c>
      <x:c r="F267" s="109" t="str">
        <x:f>IF(OR(A267="",Events!H266=""),"",Events!H266)</x:f>
      </x:c>
      <x:c r="G267" s="109" t="str">
        <x:f>IF(A267="","",IF(Events!I266&lt;&gt;"",Events!I266,IF(Events!S266&lt;&gt;"",Events!S266,"")))</x:f>
      </x:c>
      <x:c r="H267" s="16" t="str">
        <x:f>IF(A267="","",Events!W266)</x:f>
      </x:c>
      <x:c r="I267" s="16" t="str">
        <x:f>IF(A267="","",IF(Events!Y266&lt;&gt;"",Events!Y266,IF(OR(ISNUMBER(SEARCH("education",P267)),ISNUMBER(SEARCH("exam",P267)),ISNUMBER(SEARCH("school",P267))),"Education",IF(OR(ISNUMBER(SEARCH("trade agreement",P267)),ISNUMBER(SEARCH("economic",P267)),ISNUMBER(SEARCH("import",P267))),"Trade &amp; economic policy",IF(OR(ISNUMBER(SEARCH("land acquisition",P267)),ISNUMBER(SEARCH("rehabilitation",P267)),ISNUMBER(SEARCH("displacement",P267)),ISNUMBER(SEARCH("township",P267))),"Land &amp; rehabilitation",IF(OR(ISNUMBER(SEARCH("forest",P267)),ISNUMBER(SEARCH("environment",P267)),ISNUMBER(SEARCH("ecological",P267)),ISNUMBER(SEARCH("biodiversity",P267)),ISNUMBER(SEARCH("green cover",P267))),"Environment",IF(OR(ISNUMBER(SEARCH("irrigation",P267)),ISNUMBER(SEARCH("water",P267)),ISNUMBER(SEARCH("crop",P267)),ISNUMBER(SEARCH("farmer",P267)),ISNUMBER(SEARCH("agriculture",P267))),"Agriculture &amp; water",IF(OR(ISNUMBER(SEARCH("health",P267)),ISNUMBER(SEARCH("hospital",P267)),ISNUMBER(SEARCH("medicine",P267))),"Public health",IF(OR(ISNUMBER(SEARCH("employee",P267)),ISNUMBER(SEARCH("labour",P267)),ISNUMBER(SEARCH("worker",P267)),ISNUMBER(SEARCH("salary",P267))),"Labour &amp; employment",IF(OR(ISNUMBER(SEARCH("rti",P267)),ISNUMBER(SEARCH("transparency",P267)),ISNUMBER(SEARCH("corruption",P267)),ISNUMBER(SEARCH("governance",P267))),"Governance &amp; transparency",IF(OR(ISNUMBER(SEARCH("police",P267)),ISNUMBER(SEARCH("detention",P267)),ISNUMBER(SEARCH("civil rights",P267)),ISNUMBER(SEARCH("justice",P267))),"Civil rights &amp; justice",IF(OR(ISNUMBER(SEARCH("road",P267)),ISNUMBER(SEARCH("utility",P267)),ISNUMBER(SEARCH("infrastructure",P267)),ISNUMBER(SEARCH("public service",P267))),"Infrastructure &amp; public services","Other"))))))))))))</x:f>
      </x:c>
      <x:c r="J267" s="16" t="str">
        <x:f>IF(A267="","",IF(OR(ISNUMBER(SEARCH("fatal",Q267)),ISNUMBER(SEARCH("death",Q267)),ISNUMBER(SEARCH("riot",Q267)),ISNUMBER(SEARCH("curfew",Q267)),ISNUMBER(SEARCH("internet shutdown",Q267))),5,MIN(4,1+IF(H267&gt;=7,1,0)+IF(OR(ISNUMBER(SEARCH("hunger strike",Q267)),ISNUMBER(SEARCH("blockade",Q267)),ISNUMBER(SEARCH("strike",Q267)),ISNUMBER(SEARCH("jal satyagraha",Q267)),ISNUMBER(SEARCH("survey",Q267)),ISNUMBER(SEARCH("human chain",Q267)),ISNUMBER(SEARCH("march",Q267))),1,0)+IF(OR(ISNUMBER(SEARCH("fir",Q267)),ISNUMBER(SEARCH("confrontation",Q267)),ISNUMBER(SEARCH("violence",Q267)),ISNUMBER(SEARCH("detention",Q267)),ISNUMBER(SEARCH("arrest",Q267)),ISNUMBER(SEARCH("demolition",Q267)),ISNUMBER(SEARCH("injury",Q267))),1,0)+IF(OR(D267="Ongoing",D267="Unresolved"),1,0))))</x:f>
      </x:c>
      <x:c r="K267" s="16" t="str">
        <x:f>IF(J267="","",IF(J267=1,"Limited",IF(J267=2,"Local",IF(J267=3,"Significant",IF(J267=4,"High","Critical")))))</x:f>
      </x:c>
      <x:c r="L267" s="16" t="str">
        <x:f>IF(A267="","",Events!U266)</x:f>
      </x:c>
      <x:c r="M267" s="16" t="str">
        <x:f>IF(A267="","",Events!V266)</x:f>
      </x:c>
      <x:c r="N267" s="16" t="str">
        <x:f>IF(A267="","",Events!Q266)</x:f>
      </x:c>
      <x:c r="O267" s="16" t="str">
        <x:f>IF(A267="","",Events!R266)</x:f>
      </x:c>
      <x:c r="P267" s="16" t="str">
        <x:f>IF(A267="","",LOWER(Events!B266&amp;" "&amp;Events!D266&amp;" "&amp;Events!K266))</x:f>
      </x:c>
      <x:c r="Q267" s="16" t="str">
        <x:f>IF(A267="","",LOWER(Events!C266&amp;" "&amp;Events!K266&amp;" "&amp;Events!T266))</x:f>
      </x:c>
      <x:c r="R267" s="16" t="str">
        <x:f>IF(A267="","",IF(ISNUMBER(SEARCH("Occurrence verified",E267)),"Occurrence verified",E267))</x:f>
      </x:c>
      <x:c r="S267" s="79" t="str">
        <x:f>IF(A267="","",Events!X266)</x:f>
      </x:c>
      <x:c r="Z267" s="79" t="str">
        <x:f>IF(A267="","",Events!AD266)</x:f>
      </x:c>
      <x:c r="AA267" s="79" t="str">
        <x:f>IF(A267="","",Events!AE266)</x:f>
      </x:c>
    </x:row>
    <x:row r="268">
      <x:c r="A268" s="16" t="str">
        <x:f>IF(Events!A267="","",Events!A267)</x:f>
      </x:c>
      <x:c r="B268" s="16" t="str">
        <x:f>IF(A268="","",Events!B267)</x:f>
      </x:c>
      <x:c r="C268" s="16" t="str">
        <x:f>IF(A268="","",Events!E267)</x:f>
      </x:c>
      <x:c r="D268" s="16" t="str">
        <x:f>IF(A268="","",Events!J267)</x:f>
      </x:c>
      <x:c r="E268" s="16" t="str">
        <x:f>IF(A268="","",Events!N267)</x:f>
      </x:c>
      <x:c r="F268" s="109" t="str">
        <x:f>IF(OR(A268="",Events!H267=""),"",Events!H267)</x:f>
      </x:c>
      <x:c r="G268" s="109" t="str">
        <x:f>IF(A268="","",IF(Events!I267&lt;&gt;"",Events!I267,IF(Events!S267&lt;&gt;"",Events!S267,"")))</x:f>
      </x:c>
      <x:c r="H268" s="16" t="str">
        <x:f>IF(A268="","",Events!W267)</x:f>
      </x:c>
      <x:c r="I268" s="16" t="str">
        <x:f>IF(A268="","",IF(Events!Y267&lt;&gt;"",Events!Y267,IF(OR(ISNUMBER(SEARCH("education",P268)),ISNUMBER(SEARCH("exam",P268)),ISNUMBER(SEARCH("school",P268))),"Education",IF(OR(ISNUMBER(SEARCH("trade agreement",P268)),ISNUMBER(SEARCH("economic",P268)),ISNUMBER(SEARCH("import",P268))),"Trade &amp; economic policy",IF(OR(ISNUMBER(SEARCH("land acquisition",P268)),ISNUMBER(SEARCH("rehabilitation",P268)),ISNUMBER(SEARCH("displacement",P268)),ISNUMBER(SEARCH("township",P268))),"Land &amp; rehabilitation",IF(OR(ISNUMBER(SEARCH("forest",P268)),ISNUMBER(SEARCH("environment",P268)),ISNUMBER(SEARCH("ecological",P268)),ISNUMBER(SEARCH("biodiversity",P268)),ISNUMBER(SEARCH("green cover",P268))),"Environment",IF(OR(ISNUMBER(SEARCH("irrigation",P268)),ISNUMBER(SEARCH("water",P268)),ISNUMBER(SEARCH("crop",P268)),ISNUMBER(SEARCH("farmer",P268)),ISNUMBER(SEARCH("agriculture",P268))),"Agriculture &amp; water",IF(OR(ISNUMBER(SEARCH("health",P268)),ISNUMBER(SEARCH("hospital",P268)),ISNUMBER(SEARCH("medicine",P268))),"Public health",IF(OR(ISNUMBER(SEARCH("employee",P268)),ISNUMBER(SEARCH("labour",P268)),ISNUMBER(SEARCH("worker",P268)),ISNUMBER(SEARCH("salary",P268))),"Labour &amp; employment",IF(OR(ISNUMBER(SEARCH("rti",P268)),ISNUMBER(SEARCH("transparency",P268)),ISNUMBER(SEARCH("corruption",P268)),ISNUMBER(SEARCH("governance",P268))),"Governance &amp; transparency",IF(OR(ISNUMBER(SEARCH("police",P268)),ISNUMBER(SEARCH("detention",P268)),ISNUMBER(SEARCH("civil rights",P268)),ISNUMBER(SEARCH("justice",P268))),"Civil rights &amp; justice",IF(OR(ISNUMBER(SEARCH("road",P268)),ISNUMBER(SEARCH("utility",P268)),ISNUMBER(SEARCH("infrastructure",P268)),ISNUMBER(SEARCH("public service",P268))),"Infrastructure &amp; public services","Other"))))))))))))</x:f>
      </x:c>
      <x:c r="J268" s="16" t="str">
        <x:f>IF(A268="","",IF(OR(ISNUMBER(SEARCH("fatal",Q268)),ISNUMBER(SEARCH("death",Q268)),ISNUMBER(SEARCH("riot",Q268)),ISNUMBER(SEARCH("curfew",Q268)),ISNUMBER(SEARCH("internet shutdown",Q268))),5,MIN(4,1+IF(H268&gt;=7,1,0)+IF(OR(ISNUMBER(SEARCH("hunger strike",Q268)),ISNUMBER(SEARCH("blockade",Q268)),ISNUMBER(SEARCH("strike",Q268)),ISNUMBER(SEARCH("jal satyagraha",Q268)),ISNUMBER(SEARCH("survey",Q268)),ISNUMBER(SEARCH("human chain",Q268)),ISNUMBER(SEARCH("march",Q268))),1,0)+IF(OR(ISNUMBER(SEARCH("fir",Q268)),ISNUMBER(SEARCH("confrontation",Q268)),ISNUMBER(SEARCH("violence",Q268)),ISNUMBER(SEARCH("detention",Q268)),ISNUMBER(SEARCH("arrest",Q268)),ISNUMBER(SEARCH("demolition",Q268)),ISNUMBER(SEARCH("injury",Q268))),1,0)+IF(OR(D268="Ongoing",D268="Unresolved"),1,0))))</x:f>
      </x:c>
      <x:c r="K268" s="16" t="str">
        <x:f>IF(J268="","",IF(J268=1,"Limited",IF(J268=2,"Local",IF(J268=3,"Significant",IF(J268=4,"High","Critical")))))</x:f>
      </x:c>
      <x:c r="L268" s="16" t="str">
        <x:f>IF(A268="","",Events!U267)</x:f>
      </x:c>
      <x:c r="M268" s="16" t="str">
        <x:f>IF(A268="","",Events!V267)</x:f>
      </x:c>
      <x:c r="N268" s="16" t="str">
        <x:f>IF(A268="","",Events!Q267)</x:f>
      </x:c>
      <x:c r="O268" s="16" t="str">
        <x:f>IF(A268="","",Events!R267)</x:f>
      </x:c>
      <x:c r="P268" s="16" t="str">
        <x:f>IF(A268="","",LOWER(Events!B267&amp;" "&amp;Events!D267&amp;" "&amp;Events!K267))</x:f>
      </x:c>
      <x:c r="Q268" s="16" t="str">
        <x:f>IF(A268="","",LOWER(Events!C267&amp;" "&amp;Events!K267&amp;" "&amp;Events!T267))</x:f>
      </x:c>
      <x:c r="R268" s="16" t="str">
        <x:f>IF(A268="","",IF(ISNUMBER(SEARCH("Occurrence verified",E268)),"Occurrence verified",E268))</x:f>
      </x:c>
      <x:c r="S268" s="79" t="str">
        <x:f>IF(A268="","",Events!X267)</x:f>
      </x:c>
      <x:c r="Z268" s="79" t="str">
        <x:f>IF(A268="","",Events!AD267)</x:f>
      </x:c>
      <x:c r="AA268" s="79" t="str">
        <x:f>IF(A268="","",Events!AE267)</x:f>
      </x:c>
    </x:row>
    <x:row r="269">
      <x:c r="A269" s="16" t="str">
        <x:f>IF(Events!A268="","",Events!A268)</x:f>
      </x:c>
      <x:c r="B269" s="16" t="str">
        <x:f>IF(A269="","",Events!B268)</x:f>
      </x:c>
      <x:c r="C269" s="16" t="str">
        <x:f>IF(A269="","",Events!E268)</x:f>
      </x:c>
      <x:c r="D269" s="16" t="str">
        <x:f>IF(A269="","",Events!J268)</x:f>
      </x:c>
      <x:c r="E269" s="16" t="str">
        <x:f>IF(A269="","",Events!N268)</x:f>
      </x:c>
      <x:c r="F269" s="109" t="str">
        <x:f>IF(OR(A269="",Events!H268=""),"",Events!H268)</x:f>
      </x:c>
      <x:c r="G269" s="109" t="str">
        <x:f>IF(A269="","",IF(Events!I268&lt;&gt;"",Events!I268,IF(Events!S268&lt;&gt;"",Events!S268,"")))</x:f>
      </x:c>
      <x:c r="H269" s="16" t="str">
        <x:f>IF(A269="","",Events!W268)</x:f>
      </x:c>
      <x:c r="I269" s="16" t="str">
        <x:f>IF(A269="","",IF(Events!Y268&lt;&gt;"",Events!Y268,IF(OR(ISNUMBER(SEARCH("education",P269)),ISNUMBER(SEARCH("exam",P269)),ISNUMBER(SEARCH("school",P269))),"Education",IF(OR(ISNUMBER(SEARCH("trade agreement",P269)),ISNUMBER(SEARCH("economic",P269)),ISNUMBER(SEARCH("import",P269))),"Trade &amp; economic policy",IF(OR(ISNUMBER(SEARCH("land acquisition",P269)),ISNUMBER(SEARCH("rehabilitation",P269)),ISNUMBER(SEARCH("displacement",P269)),ISNUMBER(SEARCH("township",P269))),"Land &amp; rehabilitation",IF(OR(ISNUMBER(SEARCH("forest",P269)),ISNUMBER(SEARCH("environment",P269)),ISNUMBER(SEARCH("ecological",P269)),ISNUMBER(SEARCH("biodiversity",P269)),ISNUMBER(SEARCH("green cover",P269))),"Environment",IF(OR(ISNUMBER(SEARCH("irrigation",P269)),ISNUMBER(SEARCH("water",P269)),ISNUMBER(SEARCH("crop",P269)),ISNUMBER(SEARCH("farmer",P269)),ISNUMBER(SEARCH("agriculture",P269))),"Agriculture &amp; water",IF(OR(ISNUMBER(SEARCH("health",P269)),ISNUMBER(SEARCH("hospital",P269)),ISNUMBER(SEARCH("medicine",P269))),"Public health",IF(OR(ISNUMBER(SEARCH("employee",P269)),ISNUMBER(SEARCH("labour",P269)),ISNUMBER(SEARCH("worker",P269)),ISNUMBER(SEARCH("salary",P269))),"Labour &amp; employment",IF(OR(ISNUMBER(SEARCH("rti",P269)),ISNUMBER(SEARCH("transparency",P269)),ISNUMBER(SEARCH("corruption",P269)),ISNUMBER(SEARCH("governance",P269))),"Governance &amp; transparency",IF(OR(ISNUMBER(SEARCH("police",P269)),ISNUMBER(SEARCH("detention",P269)),ISNUMBER(SEARCH("civil rights",P269)),ISNUMBER(SEARCH("justice",P269))),"Civil rights &amp; justice",IF(OR(ISNUMBER(SEARCH("road",P269)),ISNUMBER(SEARCH("utility",P269)),ISNUMBER(SEARCH("infrastructure",P269)),ISNUMBER(SEARCH("public service",P269))),"Infrastructure &amp; public services","Other"))))))))))))</x:f>
      </x:c>
      <x:c r="J269" s="16" t="str">
        <x:f>IF(A269="","",IF(OR(ISNUMBER(SEARCH("fatal",Q269)),ISNUMBER(SEARCH("death",Q269)),ISNUMBER(SEARCH("riot",Q269)),ISNUMBER(SEARCH("curfew",Q269)),ISNUMBER(SEARCH("internet shutdown",Q269))),5,MIN(4,1+IF(H269&gt;=7,1,0)+IF(OR(ISNUMBER(SEARCH("hunger strike",Q269)),ISNUMBER(SEARCH("blockade",Q269)),ISNUMBER(SEARCH("strike",Q269)),ISNUMBER(SEARCH("jal satyagraha",Q269)),ISNUMBER(SEARCH("survey",Q269)),ISNUMBER(SEARCH("human chain",Q269)),ISNUMBER(SEARCH("march",Q269))),1,0)+IF(OR(ISNUMBER(SEARCH("fir",Q269)),ISNUMBER(SEARCH("confrontation",Q269)),ISNUMBER(SEARCH("violence",Q269)),ISNUMBER(SEARCH("detention",Q269)),ISNUMBER(SEARCH("arrest",Q269)),ISNUMBER(SEARCH("demolition",Q269)),ISNUMBER(SEARCH("injury",Q269))),1,0)+IF(OR(D269="Ongoing",D269="Unresolved"),1,0))))</x:f>
      </x:c>
      <x:c r="K269" s="16" t="str">
        <x:f>IF(J269="","",IF(J269=1,"Limited",IF(J269=2,"Local",IF(J269=3,"Significant",IF(J269=4,"High","Critical")))))</x:f>
      </x:c>
      <x:c r="L269" s="16" t="str">
        <x:f>IF(A269="","",Events!U268)</x:f>
      </x:c>
      <x:c r="M269" s="16" t="str">
        <x:f>IF(A269="","",Events!V268)</x:f>
      </x:c>
      <x:c r="N269" s="16" t="str">
        <x:f>IF(A269="","",Events!Q268)</x:f>
      </x:c>
      <x:c r="O269" s="16" t="str">
        <x:f>IF(A269="","",Events!R268)</x:f>
      </x:c>
      <x:c r="P269" s="16" t="str">
        <x:f>IF(A269="","",LOWER(Events!B268&amp;" "&amp;Events!D268&amp;" "&amp;Events!K268))</x:f>
      </x:c>
      <x:c r="Q269" s="16" t="str">
        <x:f>IF(A269="","",LOWER(Events!C268&amp;" "&amp;Events!K268&amp;" "&amp;Events!T268))</x:f>
      </x:c>
      <x:c r="R269" s="16" t="str">
        <x:f>IF(A269="","",IF(ISNUMBER(SEARCH("Occurrence verified",E269)),"Occurrence verified",E269))</x:f>
      </x:c>
      <x:c r="S269" s="79" t="str">
        <x:f>IF(A269="","",Events!X268)</x:f>
      </x:c>
      <x:c r="Z269" s="79" t="str">
        <x:f>IF(A269="","",Events!AD268)</x:f>
      </x:c>
      <x:c r="AA269" s="79" t="str">
        <x:f>IF(A269="","",Events!AE268)</x:f>
      </x:c>
    </x:row>
    <x:row r="270">
      <x:c r="A270" s="16" t="str">
        <x:f>IF(Events!A269="","",Events!A269)</x:f>
      </x:c>
      <x:c r="B270" s="16" t="str">
        <x:f>IF(A270="","",Events!B269)</x:f>
      </x:c>
      <x:c r="C270" s="16" t="str">
        <x:f>IF(A270="","",Events!E269)</x:f>
      </x:c>
      <x:c r="D270" s="16" t="str">
        <x:f>IF(A270="","",Events!J269)</x:f>
      </x:c>
      <x:c r="E270" s="16" t="str">
        <x:f>IF(A270="","",Events!N269)</x:f>
      </x:c>
      <x:c r="F270" s="109" t="str">
        <x:f>IF(OR(A270="",Events!H269=""),"",Events!H269)</x:f>
      </x:c>
      <x:c r="G270" s="109" t="str">
        <x:f>IF(A270="","",IF(Events!I269&lt;&gt;"",Events!I269,IF(Events!S269&lt;&gt;"",Events!S269,"")))</x:f>
      </x:c>
      <x:c r="H270" s="16" t="str">
        <x:f>IF(A270="","",Events!W269)</x:f>
      </x:c>
      <x:c r="I270" s="16" t="str">
        <x:f>IF(A270="","",IF(Events!Y269&lt;&gt;"",Events!Y269,IF(OR(ISNUMBER(SEARCH("education",P270)),ISNUMBER(SEARCH("exam",P270)),ISNUMBER(SEARCH("school",P270))),"Education",IF(OR(ISNUMBER(SEARCH("trade agreement",P270)),ISNUMBER(SEARCH("economic",P270)),ISNUMBER(SEARCH("import",P270))),"Trade &amp; economic policy",IF(OR(ISNUMBER(SEARCH("land acquisition",P270)),ISNUMBER(SEARCH("rehabilitation",P270)),ISNUMBER(SEARCH("displacement",P270)),ISNUMBER(SEARCH("township",P270))),"Land &amp; rehabilitation",IF(OR(ISNUMBER(SEARCH("forest",P270)),ISNUMBER(SEARCH("environment",P270)),ISNUMBER(SEARCH("ecological",P270)),ISNUMBER(SEARCH("biodiversity",P270)),ISNUMBER(SEARCH("green cover",P270))),"Environment",IF(OR(ISNUMBER(SEARCH("irrigation",P270)),ISNUMBER(SEARCH("water",P270)),ISNUMBER(SEARCH("crop",P270)),ISNUMBER(SEARCH("farmer",P270)),ISNUMBER(SEARCH("agriculture",P270))),"Agriculture &amp; water",IF(OR(ISNUMBER(SEARCH("health",P270)),ISNUMBER(SEARCH("hospital",P270)),ISNUMBER(SEARCH("medicine",P270))),"Public health",IF(OR(ISNUMBER(SEARCH("employee",P270)),ISNUMBER(SEARCH("labour",P270)),ISNUMBER(SEARCH("worker",P270)),ISNUMBER(SEARCH("salary",P270))),"Labour &amp; employment",IF(OR(ISNUMBER(SEARCH("rti",P270)),ISNUMBER(SEARCH("transparency",P270)),ISNUMBER(SEARCH("corruption",P270)),ISNUMBER(SEARCH("governance",P270))),"Governance &amp; transparency",IF(OR(ISNUMBER(SEARCH("police",P270)),ISNUMBER(SEARCH("detention",P270)),ISNUMBER(SEARCH("civil rights",P270)),ISNUMBER(SEARCH("justice",P270))),"Civil rights &amp; justice",IF(OR(ISNUMBER(SEARCH("road",P270)),ISNUMBER(SEARCH("utility",P270)),ISNUMBER(SEARCH("infrastructure",P270)),ISNUMBER(SEARCH("public service",P270))),"Infrastructure &amp; public services","Other"))))))))))))</x:f>
      </x:c>
      <x:c r="J270" s="16" t="str">
        <x:f>IF(A270="","",IF(OR(ISNUMBER(SEARCH("fatal",Q270)),ISNUMBER(SEARCH("death",Q270)),ISNUMBER(SEARCH("riot",Q270)),ISNUMBER(SEARCH("curfew",Q270)),ISNUMBER(SEARCH("internet shutdown",Q270))),5,MIN(4,1+IF(H270&gt;=7,1,0)+IF(OR(ISNUMBER(SEARCH("hunger strike",Q270)),ISNUMBER(SEARCH("blockade",Q270)),ISNUMBER(SEARCH("strike",Q270)),ISNUMBER(SEARCH("jal satyagraha",Q270)),ISNUMBER(SEARCH("survey",Q270)),ISNUMBER(SEARCH("human chain",Q270)),ISNUMBER(SEARCH("march",Q270))),1,0)+IF(OR(ISNUMBER(SEARCH("fir",Q270)),ISNUMBER(SEARCH("confrontation",Q270)),ISNUMBER(SEARCH("violence",Q270)),ISNUMBER(SEARCH("detention",Q270)),ISNUMBER(SEARCH("arrest",Q270)),ISNUMBER(SEARCH("demolition",Q270)),ISNUMBER(SEARCH("injury",Q270))),1,0)+IF(OR(D270="Ongoing",D270="Unresolved"),1,0))))</x:f>
      </x:c>
      <x:c r="K270" s="16" t="str">
        <x:f>IF(J270="","",IF(J270=1,"Limited",IF(J270=2,"Local",IF(J270=3,"Significant",IF(J270=4,"High","Critical")))))</x:f>
      </x:c>
      <x:c r="L270" s="16" t="str">
        <x:f>IF(A270="","",Events!U269)</x:f>
      </x:c>
      <x:c r="M270" s="16" t="str">
        <x:f>IF(A270="","",Events!V269)</x:f>
      </x:c>
      <x:c r="N270" s="16" t="str">
        <x:f>IF(A270="","",Events!Q269)</x:f>
      </x:c>
      <x:c r="O270" s="16" t="str">
        <x:f>IF(A270="","",Events!R269)</x:f>
      </x:c>
      <x:c r="P270" s="16" t="str">
        <x:f>IF(A270="","",LOWER(Events!B269&amp;" "&amp;Events!D269&amp;" "&amp;Events!K269))</x:f>
      </x:c>
      <x:c r="Q270" s="16" t="str">
        <x:f>IF(A270="","",LOWER(Events!C269&amp;" "&amp;Events!K269&amp;" "&amp;Events!T269))</x:f>
      </x:c>
      <x:c r="R270" s="16" t="str">
        <x:f>IF(A270="","",IF(ISNUMBER(SEARCH("Occurrence verified",E270)),"Occurrence verified",E270))</x:f>
      </x:c>
      <x:c r="S270" s="79" t="str">
        <x:f>IF(A270="","",Events!X269)</x:f>
      </x:c>
      <x:c r="Z270" s="79" t="str">
        <x:f>IF(A270="","",Events!AD269)</x:f>
      </x:c>
      <x:c r="AA270" s="79" t="str">
        <x:f>IF(A270="","",Events!AE269)</x:f>
      </x:c>
    </x:row>
    <x:row r="271">
      <x:c r="A271" s="16" t="str">
        <x:f>IF(Events!A270="","",Events!A270)</x:f>
      </x:c>
      <x:c r="B271" s="16" t="str">
        <x:f>IF(A271="","",Events!B270)</x:f>
      </x:c>
      <x:c r="C271" s="16" t="str">
        <x:f>IF(A271="","",Events!E270)</x:f>
      </x:c>
      <x:c r="D271" s="16" t="str">
        <x:f>IF(A271="","",Events!J270)</x:f>
      </x:c>
      <x:c r="E271" s="16" t="str">
        <x:f>IF(A271="","",Events!N270)</x:f>
      </x:c>
      <x:c r="F271" s="109" t="str">
        <x:f>IF(OR(A271="",Events!H270=""),"",Events!H270)</x:f>
      </x:c>
      <x:c r="G271" s="109" t="str">
        <x:f>IF(A271="","",IF(Events!I270&lt;&gt;"",Events!I270,IF(Events!S270&lt;&gt;"",Events!S270,"")))</x:f>
      </x:c>
      <x:c r="H271" s="16" t="str">
        <x:f>IF(A271="","",Events!W270)</x:f>
      </x:c>
      <x:c r="I271" s="16" t="str">
        <x:f>IF(A271="","",IF(Events!Y270&lt;&gt;"",Events!Y270,IF(OR(ISNUMBER(SEARCH("education",P271)),ISNUMBER(SEARCH("exam",P271)),ISNUMBER(SEARCH("school",P271))),"Education",IF(OR(ISNUMBER(SEARCH("trade agreement",P271)),ISNUMBER(SEARCH("economic",P271)),ISNUMBER(SEARCH("import",P271))),"Trade &amp; economic policy",IF(OR(ISNUMBER(SEARCH("land acquisition",P271)),ISNUMBER(SEARCH("rehabilitation",P271)),ISNUMBER(SEARCH("displacement",P271)),ISNUMBER(SEARCH("township",P271))),"Land &amp; rehabilitation",IF(OR(ISNUMBER(SEARCH("forest",P271)),ISNUMBER(SEARCH("environment",P271)),ISNUMBER(SEARCH("ecological",P271)),ISNUMBER(SEARCH("biodiversity",P271)),ISNUMBER(SEARCH("green cover",P271))),"Environment",IF(OR(ISNUMBER(SEARCH("irrigation",P271)),ISNUMBER(SEARCH("water",P271)),ISNUMBER(SEARCH("crop",P271)),ISNUMBER(SEARCH("farmer",P271)),ISNUMBER(SEARCH("agriculture",P271))),"Agriculture &amp; water",IF(OR(ISNUMBER(SEARCH("health",P271)),ISNUMBER(SEARCH("hospital",P271)),ISNUMBER(SEARCH("medicine",P271))),"Public health",IF(OR(ISNUMBER(SEARCH("employee",P271)),ISNUMBER(SEARCH("labour",P271)),ISNUMBER(SEARCH("worker",P271)),ISNUMBER(SEARCH("salary",P271))),"Labour &amp; employment",IF(OR(ISNUMBER(SEARCH("rti",P271)),ISNUMBER(SEARCH("transparency",P271)),ISNUMBER(SEARCH("corruption",P271)),ISNUMBER(SEARCH("governance",P271))),"Governance &amp; transparency",IF(OR(ISNUMBER(SEARCH("police",P271)),ISNUMBER(SEARCH("detention",P271)),ISNUMBER(SEARCH("civil rights",P271)),ISNUMBER(SEARCH("justice",P271))),"Civil rights &amp; justice",IF(OR(ISNUMBER(SEARCH("road",P271)),ISNUMBER(SEARCH("utility",P271)),ISNUMBER(SEARCH("infrastructure",P271)),ISNUMBER(SEARCH("public service",P271))),"Infrastructure &amp; public services","Other"))))))))))))</x:f>
      </x:c>
      <x:c r="J271" s="16" t="str">
        <x:f>IF(A271="","",IF(OR(ISNUMBER(SEARCH("fatal",Q271)),ISNUMBER(SEARCH("death",Q271)),ISNUMBER(SEARCH("riot",Q271)),ISNUMBER(SEARCH("curfew",Q271)),ISNUMBER(SEARCH("internet shutdown",Q271))),5,MIN(4,1+IF(H271&gt;=7,1,0)+IF(OR(ISNUMBER(SEARCH("hunger strike",Q271)),ISNUMBER(SEARCH("blockade",Q271)),ISNUMBER(SEARCH("strike",Q271)),ISNUMBER(SEARCH("jal satyagraha",Q271)),ISNUMBER(SEARCH("survey",Q271)),ISNUMBER(SEARCH("human chain",Q271)),ISNUMBER(SEARCH("march",Q271))),1,0)+IF(OR(ISNUMBER(SEARCH("fir",Q271)),ISNUMBER(SEARCH("confrontation",Q271)),ISNUMBER(SEARCH("violence",Q271)),ISNUMBER(SEARCH("detention",Q271)),ISNUMBER(SEARCH("arrest",Q271)),ISNUMBER(SEARCH("demolition",Q271)),ISNUMBER(SEARCH("injury",Q271))),1,0)+IF(OR(D271="Ongoing",D271="Unresolved"),1,0))))</x:f>
      </x:c>
      <x:c r="K271" s="16" t="str">
        <x:f>IF(J271="","",IF(J271=1,"Limited",IF(J271=2,"Local",IF(J271=3,"Significant",IF(J271=4,"High","Critical")))))</x:f>
      </x:c>
      <x:c r="L271" s="16" t="str">
        <x:f>IF(A271="","",Events!U270)</x:f>
      </x:c>
      <x:c r="M271" s="16" t="str">
        <x:f>IF(A271="","",Events!V270)</x:f>
      </x:c>
      <x:c r="N271" s="16" t="str">
        <x:f>IF(A271="","",Events!Q270)</x:f>
      </x:c>
      <x:c r="O271" s="16" t="str">
        <x:f>IF(A271="","",Events!R270)</x:f>
      </x:c>
      <x:c r="P271" s="16" t="str">
        <x:f>IF(A271="","",LOWER(Events!B270&amp;" "&amp;Events!D270&amp;" "&amp;Events!K270))</x:f>
      </x:c>
      <x:c r="Q271" s="16" t="str">
        <x:f>IF(A271="","",LOWER(Events!C270&amp;" "&amp;Events!K270&amp;" "&amp;Events!T270))</x:f>
      </x:c>
      <x:c r="R271" s="16" t="str">
        <x:f>IF(A271="","",IF(ISNUMBER(SEARCH("Occurrence verified",E271)),"Occurrence verified",E271))</x:f>
      </x:c>
      <x:c r="S271" s="79" t="str">
        <x:f>IF(A271="","",Events!X270)</x:f>
      </x:c>
      <x:c r="Z271" s="79" t="str">
        <x:f>IF(A271="","",Events!AD270)</x:f>
      </x:c>
      <x:c r="AA271" s="79" t="str">
        <x:f>IF(A271="","",Events!AE270)</x:f>
      </x:c>
    </x:row>
    <x:row r="272">
      <x:c r="A272" s="16" t="str">
        <x:f>IF(Events!A271="","",Events!A271)</x:f>
      </x:c>
      <x:c r="B272" s="16" t="str">
        <x:f>IF(A272="","",Events!B271)</x:f>
      </x:c>
      <x:c r="C272" s="16" t="str">
        <x:f>IF(A272="","",Events!E271)</x:f>
      </x:c>
      <x:c r="D272" s="16" t="str">
        <x:f>IF(A272="","",Events!J271)</x:f>
      </x:c>
      <x:c r="E272" s="16" t="str">
        <x:f>IF(A272="","",Events!N271)</x:f>
      </x:c>
      <x:c r="F272" s="109" t="str">
        <x:f>IF(OR(A272="",Events!H271=""),"",Events!H271)</x:f>
      </x:c>
      <x:c r="G272" s="109" t="str">
        <x:f>IF(A272="","",IF(Events!I271&lt;&gt;"",Events!I271,IF(Events!S271&lt;&gt;"",Events!S271,"")))</x:f>
      </x:c>
      <x:c r="H272" s="16" t="str">
        <x:f>IF(A272="","",Events!W271)</x:f>
      </x:c>
      <x:c r="I272" s="16" t="str">
        <x:f>IF(A272="","",IF(Events!Y271&lt;&gt;"",Events!Y271,IF(OR(ISNUMBER(SEARCH("education",P272)),ISNUMBER(SEARCH("exam",P272)),ISNUMBER(SEARCH("school",P272))),"Education",IF(OR(ISNUMBER(SEARCH("trade agreement",P272)),ISNUMBER(SEARCH("economic",P272)),ISNUMBER(SEARCH("import",P272))),"Trade &amp; economic policy",IF(OR(ISNUMBER(SEARCH("land acquisition",P272)),ISNUMBER(SEARCH("rehabilitation",P272)),ISNUMBER(SEARCH("displacement",P272)),ISNUMBER(SEARCH("township",P272))),"Land &amp; rehabilitation",IF(OR(ISNUMBER(SEARCH("forest",P272)),ISNUMBER(SEARCH("environment",P272)),ISNUMBER(SEARCH("ecological",P272)),ISNUMBER(SEARCH("biodiversity",P272)),ISNUMBER(SEARCH("green cover",P272))),"Environment",IF(OR(ISNUMBER(SEARCH("irrigation",P272)),ISNUMBER(SEARCH("water",P272)),ISNUMBER(SEARCH("crop",P272)),ISNUMBER(SEARCH("farmer",P272)),ISNUMBER(SEARCH("agriculture",P272))),"Agriculture &amp; water",IF(OR(ISNUMBER(SEARCH("health",P272)),ISNUMBER(SEARCH("hospital",P272)),ISNUMBER(SEARCH("medicine",P272))),"Public health",IF(OR(ISNUMBER(SEARCH("employee",P272)),ISNUMBER(SEARCH("labour",P272)),ISNUMBER(SEARCH("worker",P272)),ISNUMBER(SEARCH("salary",P272))),"Labour &amp; employment",IF(OR(ISNUMBER(SEARCH("rti",P272)),ISNUMBER(SEARCH("transparency",P272)),ISNUMBER(SEARCH("corruption",P272)),ISNUMBER(SEARCH("governance",P272))),"Governance &amp; transparency",IF(OR(ISNUMBER(SEARCH("police",P272)),ISNUMBER(SEARCH("detention",P272)),ISNUMBER(SEARCH("civil rights",P272)),ISNUMBER(SEARCH("justice",P272))),"Civil rights &amp; justice",IF(OR(ISNUMBER(SEARCH("road",P272)),ISNUMBER(SEARCH("utility",P272)),ISNUMBER(SEARCH("infrastructure",P272)),ISNUMBER(SEARCH("public service",P272))),"Infrastructure &amp; public services","Other"))))))))))))</x:f>
      </x:c>
      <x:c r="J272" s="16" t="str">
        <x:f>IF(A272="","",IF(OR(ISNUMBER(SEARCH("fatal",Q272)),ISNUMBER(SEARCH("death",Q272)),ISNUMBER(SEARCH("riot",Q272)),ISNUMBER(SEARCH("curfew",Q272)),ISNUMBER(SEARCH("internet shutdown",Q272))),5,MIN(4,1+IF(H272&gt;=7,1,0)+IF(OR(ISNUMBER(SEARCH("hunger strike",Q272)),ISNUMBER(SEARCH("blockade",Q272)),ISNUMBER(SEARCH("strike",Q272)),ISNUMBER(SEARCH("jal satyagraha",Q272)),ISNUMBER(SEARCH("survey",Q272)),ISNUMBER(SEARCH("human chain",Q272)),ISNUMBER(SEARCH("march",Q272))),1,0)+IF(OR(ISNUMBER(SEARCH("fir",Q272)),ISNUMBER(SEARCH("confrontation",Q272)),ISNUMBER(SEARCH("violence",Q272)),ISNUMBER(SEARCH("detention",Q272)),ISNUMBER(SEARCH("arrest",Q272)),ISNUMBER(SEARCH("demolition",Q272)),ISNUMBER(SEARCH("injury",Q272))),1,0)+IF(OR(D272="Ongoing",D272="Unresolved"),1,0))))</x:f>
      </x:c>
      <x:c r="K272" s="16" t="str">
        <x:f>IF(J272="","",IF(J272=1,"Limited",IF(J272=2,"Local",IF(J272=3,"Significant",IF(J272=4,"High","Critical")))))</x:f>
      </x:c>
      <x:c r="L272" s="16" t="str">
        <x:f>IF(A272="","",Events!U271)</x:f>
      </x:c>
      <x:c r="M272" s="16" t="str">
        <x:f>IF(A272="","",Events!V271)</x:f>
      </x:c>
      <x:c r="N272" s="16" t="str">
        <x:f>IF(A272="","",Events!Q271)</x:f>
      </x:c>
      <x:c r="O272" s="16" t="str">
        <x:f>IF(A272="","",Events!R271)</x:f>
      </x:c>
      <x:c r="P272" s="16" t="str">
        <x:f>IF(A272="","",LOWER(Events!B271&amp;" "&amp;Events!D271&amp;" "&amp;Events!K271))</x:f>
      </x:c>
      <x:c r="Q272" s="16" t="str">
        <x:f>IF(A272="","",LOWER(Events!C271&amp;" "&amp;Events!K271&amp;" "&amp;Events!T271))</x:f>
      </x:c>
      <x:c r="R272" s="16" t="str">
        <x:f>IF(A272="","",IF(ISNUMBER(SEARCH("Occurrence verified",E272)),"Occurrence verified",E272))</x:f>
      </x:c>
      <x:c r="S272" s="79" t="str">
        <x:f>IF(A272="","",Events!X271)</x:f>
      </x:c>
      <x:c r="Z272" s="79" t="str">
        <x:f>IF(A272="","",Events!AD271)</x:f>
      </x:c>
      <x:c r="AA272" s="79" t="str">
        <x:f>IF(A272="","",Events!AE271)</x:f>
      </x:c>
    </x:row>
    <x:row r="273">
      <x:c r="A273" s="16" t="str">
        <x:f>IF(Events!A272="","",Events!A272)</x:f>
      </x:c>
      <x:c r="B273" s="16" t="str">
        <x:f>IF(A273="","",Events!B272)</x:f>
      </x:c>
      <x:c r="C273" s="16" t="str">
        <x:f>IF(A273="","",Events!E272)</x:f>
      </x:c>
      <x:c r="D273" s="16" t="str">
        <x:f>IF(A273="","",Events!J272)</x:f>
      </x:c>
      <x:c r="E273" s="16" t="str">
        <x:f>IF(A273="","",Events!N272)</x:f>
      </x:c>
      <x:c r="F273" s="109" t="str">
        <x:f>IF(OR(A273="",Events!H272=""),"",Events!H272)</x:f>
      </x:c>
      <x:c r="G273" s="109" t="str">
        <x:f>IF(A273="","",IF(Events!I272&lt;&gt;"",Events!I272,IF(Events!S272&lt;&gt;"",Events!S272,"")))</x:f>
      </x:c>
      <x:c r="H273" s="16" t="str">
        <x:f>IF(A273="","",Events!W272)</x:f>
      </x:c>
      <x:c r="I273" s="16" t="str">
        <x:f>IF(A273="","",IF(Events!Y272&lt;&gt;"",Events!Y272,IF(OR(ISNUMBER(SEARCH("education",P273)),ISNUMBER(SEARCH("exam",P273)),ISNUMBER(SEARCH("school",P273))),"Education",IF(OR(ISNUMBER(SEARCH("trade agreement",P273)),ISNUMBER(SEARCH("economic",P273)),ISNUMBER(SEARCH("import",P273))),"Trade &amp; economic policy",IF(OR(ISNUMBER(SEARCH("land acquisition",P273)),ISNUMBER(SEARCH("rehabilitation",P273)),ISNUMBER(SEARCH("displacement",P273)),ISNUMBER(SEARCH("township",P273))),"Land &amp; rehabilitation",IF(OR(ISNUMBER(SEARCH("forest",P273)),ISNUMBER(SEARCH("environment",P273)),ISNUMBER(SEARCH("ecological",P273)),ISNUMBER(SEARCH("biodiversity",P273)),ISNUMBER(SEARCH("green cover",P273))),"Environment",IF(OR(ISNUMBER(SEARCH("irrigation",P273)),ISNUMBER(SEARCH("water",P273)),ISNUMBER(SEARCH("crop",P273)),ISNUMBER(SEARCH("farmer",P273)),ISNUMBER(SEARCH("agriculture",P273))),"Agriculture &amp; water",IF(OR(ISNUMBER(SEARCH("health",P273)),ISNUMBER(SEARCH("hospital",P273)),ISNUMBER(SEARCH("medicine",P273))),"Public health",IF(OR(ISNUMBER(SEARCH("employee",P273)),ISNUMBER(SEARCH("labour",P273)),ISNUMBER(SEARCH("worker",P273)),ISNUMBER(SEARCH("salary",P273))),"Labour &amp; employment",IF(OR(ISNUMBER(SEARCH("rti",P273)),ISNUMBER(SEARCH("transparency",P273)),ISNUMBER(SEARCH("corruption",P273)),ISNUMBER(SEARCH("governance",P273))),"Governance &amp; transparency",IF(OR(ISNUMBER(SEARCH("police",P273)),ISNUMBER(SEARCH("detention",P273)),ISNUMBER(SEARCH("civil rights",P273)),ISNUMBER(SEARCH("justice",P273))),"Civil rights &amp; justice",IF(OR(ISNUMBER(SEARCH("road",P273)),ISNUMBER(SEARCH("utility",P273)),ISNUMBER(SEARCH("infrastructure",P273)),ISNUMBER(SEARCH("public service",P273))),"Infrastructure &amp; public services","Other"))))))))))))</x:f>
      </x:c>
      <x:c r="J273" s="16" t="str">
        <x:f>IF(A273="","",IF(OR(ISNUMBER(SEARCH("fatal",Q273)),ISNUMBER(SEARCH("death",Q273)),ISNUMBER(SEARCH("riot",Q273)),ISNUMBER(SEARCH("curfew",Q273)),ISNUMBER(SEARCH("internet shutdown",Q273))),5,MIN(4,1+IF(H273&gt;=7,1,0)+IF(OR(ISNUMBER(SEARCH("hunger strike",Q273)),ISNUMBER(SEARCH("blockade",Q273)),ISNUMBER(SEARCH("strike",Q273)),ISNUMBER(SEARCH("jal satyagraha",Q273)),ISNUMBER(SEARCH("survey",Q273)),ISNUMBER(SEARCH("human chain",Q273)),ISNUMBER(SEARCH("march",Q273))),1,0)+IF(OR(ISNUMBER(SEARCH("fir",Q273)),ISNUMBER(SEARCH("confrontation",Q273)),ISNUMBER(SEARCH("violence",Q273)),ISNUMBER(SEARCH("detention",Q273)),ISNUMBER(SEARCH("arrest",Q273)),ISNUMBER(SEARCH("demolition",Q273)),ISNUMBER(SEARCH("injury",Q273))),1,0)+IF(OR(D273="Ongoing",D273="Unresolved"),1,0))))</x:f>
      </x:c>
      <x:c r="K273" s="16" t="str">
        <x:f>IF(J273="","",IF(J273=1,"Limited",IF(J273=2,"Local",IF(J273=3,"Significant",IF(J273=4,"High","Critical")))))</x:f>
      </x:c>
      <x:c r="L273" s="16" t="str">
        <x:f>IF(A273="","",Events!U272)</x:f>
      </x:c>
      <x:c r="M273" s="16" t="str">
        <x:f>IF(A273="","",Events!V272)</x:f>
      </x:c>
      <x:c r="N273" s="16" t="str">
        <x:f>IF(A273="","",Events!Q272)</x:f>
      </x:c>
      <x:c r="O273" s="16" t="str">
        <x:f>IF(A273="","",Events!R272)</x:f>
      </x:c>
      <x:c r="P273" s="16" t="str">
        <x:f>IF(A273="","",LOWER(Events!B272&amp;" "&amp;Events!D272&amp;" "&amp;Events!K272))</x:f>
      </x:c>
      <x:c r="Q273" s="16" t="str">
        <x:f>IF(A273="","",LOWER(Events!C272&amp;" "&amp;Events!K272&amp;" "&amp;Events!T272))</x:f>
      </x:c>
      <x:c r="R273" s="16" t="str">
        <x:f>IF(A273="","",IF(ISNUMBER(SEARCH("Occurrence verified",E273)),"Occurrence verified",E273))</x:f>
      </x:c>
      <x:c r="S273" s="79" t="str">
        <x:f>IF(A273="","",Events!X272)</x:f>
      </x:c>
      <x:c r="Z273" s="79" t="str">
        <x:f>IF(A273="","",Events!AD272)</x:f>
      </x:c>
      <x:c r="AA273" s="79" t="str">
        <x:f>IF(A273="","",Events!AE272)</x:f>
      </x:c>
    </x:row>
    <x:row r="274">
      <x:c r="A274" s="16" t="str">
        <x:f>IF(Events!A273="","",Events!A273)</x:f>
      </x:c>
      <x:c r="B274" s="16" t="str">
        <x:f>IF(A274="","",Events!B273)</x:f>
      </x:c>
      <x:c r="C274" s="16" t="str">
        <x:f>IF(A274="","",Events!E273)</x:f>
      </x:c>
      <x:c r="D274" s="16" t="str">
        <x:f>IF(A274="","",Events!J273)</x:f>
      </x:c>
      <x:c r="E274" s="16" t="str">
        <x:f>IF(A274="","",Events!N273)</x:f>
      </x:c>
      <x:c r="F274" s="109" t="str">
        <x:f>IF(OR(A274="",Events!H273=""),"",Events!H273)</x:f>
      </x:c>
      <x:c r="G274" s="109" t="str">
        <x:f>IF(A274="","",IF(Events!I273&lt;&gt;"",Events!I273,IF(Events!S273&lt;&gt;"",Events!S273,"")))</x:f>
      </x:c>
      <x:c r="H274" s="16" t="str">
        <x:f>IF(A274="","",Events!W273)</x:f>
      </x:c>
      <x:c r="I274" s="16" t="str">
        <x:f>IF(A274="","",IF(Events!Y273&lt;&gt;"",Events!Y273,IF(OR(ISNUMBER(SEARCH("education",P274)),ISNUMBER(SEARCH("exam",P274)),ISNUMBER(SEARCH("school",P274))),"Education",IF(OR(ISNUMBER(SEARCH("trade agreement",P274)),ISNUMBER(SEARCH("economic",P274)),ISNUMBER(SEARCH("import",P274))),"Trade &amp; economic policy",IF(OR(ISNUMBER(SEARCH("land acquisition",P274)),ISNUMBER(SEARCH("rehabilitation",P274)),ISNUMBER(SEARCH("displacement",P274)),ISNUMBER(SEARCH("township",P274))),"Land &amp; rehabilitation",IF(OR(ISNUMBER(SEARCH("forest",P274)),ISNUMBER(SEARCH("environment",P274)),ISNUMBER(SEARCH("ecological",P274)),ISNUMBER(SEARCH("biodiversity",P274)),ISNUMBER(SEARCH("green cover",P274))),"Environment",IF(OR(ISNUMBER(SEARCH("irrigation",P274)),ISNUMBER(SEARCH("water",P274)),ISNUMBER(SEARCH("crop",P274)),ISNUMBER(SEARCH("farmer",P274)),ISNUMBER(SEARCH("agriculture",P274))),"Agriculture &amp; water",IF(OR(ISNUMBER(SEARCH("health",P274)),ISNUMBER(SEARCH("hospital",P274)),ISNUMBER(SEARCH("medicine",P274))),"Public health",IF(OR(ISNUMBER(SEARCH("employee",P274)),ISNUMBER(SEARCH("labour",P274)),ISNUMBER(SEARCH("worker",P274)),ISNUMBER(SEARCH("salary",P274))),"Labour &amp; employment",IF(OR(ISNUMBER(SEARCH("rti",P274)),ISNUMBER(SEARCH("transparency",P274)),ISNUMBER(SEARCH("corruption",P274)),ISNUMBER(SEARCH("governance",P274))),"Governance &amp; transparency",IF(OR(ISNUMBER(SEARCH("police",P274)),ISNUMBER(SEARCH("detention",P274)),ISNUMBER(SEARCH("civil rights",P274)),ISNUMBER(SEARCH("justice",P274))),"Civil rights &amp; justice",IF(OR(ISNUMBER(SEARCH("road",P274)),ISNUMBER(SEARCH("utility",P274)),ISNUMBER(SEARCH("infrastructure",P274)),ISNUMBER(SEARCH("public service",P274))),"Infrastructure &amp; public services","Other"))))))))))))</x:f>
      </x:c>
      <x:c r="J274" s="16" t="str">
        <x:f>IF(A274="","",IF(OR(ISNUMBER(SEARCH("fatal",Q274)),ISNUMBER(SEARCH("death",Q274)),ISNUMBER(SEARCH("riot",Q274)),ISNUMBER(SEARCH("curfew",Q274)),ISNUMBER(SEARCH("internet shutdown",Q274))),5,MIN(4,1+IF(H274&gt;=7,1,0)+IF(OR(ISNUMBER(SEARCH("hunger strike",Q274)),ISNUMBER(SEARCH("blockade",Q274)),ISNUMBER(SEARCH("strike",Q274)),ISNUMBER(SEARCH("jal satyagraha",Q274)),ISNUMBER(SEARCH("survey",Q274)),ISNUMBER(SEARCH("human chain",Q274)),ISNUMBER(SEARCH("march",Q274))),1,0)+IF(OR(ISNUMBER(SEARCH("fir",Q274)),ISNUMBER(SEARCH("confrontation",Q274)),ISNUMBER(SEARCH("violence",Q274)),ISNUMBER(SEARCH("detention",Q274)),ISNUMBER(SEARCH("arrest",Q274)),ISNUMBER(SEARCH("demolition",Q274)),ISNUMBER(SEARCH("injury",Q274))),1,0)+IF(OR(D274="Ongoing",D274="Unresolved"),1,0))))</x:f>
      </x:c>
      <x:c r="K274" s="16" t="str">
        <x:f>IF(J274="","",IF(J274=1,"Limited",IF(J274=2,"Local",IF(J274=3,"Significant",IF(J274=4,"High","Critical")))))</x:f>
      </x:c>
      <x:c r="L274" s="16" t="str">
        <x:f>IF(A274="","",Events!U273)</x:f>
      </x:c>
      <x:c r="M274" s="16" t="str">
        <x:f>IF(A274="","",Events!V273)</x:f>
      </x:c>
      <x:c r="N274" s="16" t="str">
        <x:f>IF(A274="","",Events!Q273)</x:f>
      </x:c>
      <x:c r="O274" s="16" t="str">
        <x:f>IF(A274="","",Events!R273)</x:f>
      </x:c>
      <x:c r="P274" s="16" t="str">
        <x:f>IF(A274="","",LOWER(Events!B273&amp;" "&amp;Events!D273&amp;" "&amp;Events!K273))</x:f>
      </x:c>
      <x:c r="Q274" s="16" t="str">
        <x:f>IF(A274="","",LOWER(Events!C273&amp;" "&amp;Events!K273&amp;" "&amp;Events!T273))</x:f>
      </x:c>
      <x:c r="R274" s="16" t="str">
        <x:f>IF(A274="","",IF(ISNUMBER(SEARCH("Occurrence verified",E274)),"Occurrence verified",E274))</x:f>
      </x:c>
      <x:c r="S274" s="79" t="str">
        <x:f>IF(A274="","",Events!X273)</x:f>
      </x:c>
      <x:c r="Z274" s="79" t="str">
        <x:f>IF(A274="","",Events!AD273)</x:f>
      </x:c>
      <x:c r="AA274" s="79" t="str">
        <x:f>IF(A274="","",Events!AE273)</x:f>
      </x:c>
    </x:row>
    <x:row r="275">
      <x:c r="A275" s="16" t="str">
        <x:f>IF(Events!A274="","",Events!A274)</x:f>
      </x:c>
      <x:c r="B275" s="16" t="str">
        <x:f>IF(A275="","",Events!B274)</x:f>
      </x:c>
      <x:c r="C275" s="16" t="str">
        <x:f>IF(A275="","",Events!E274)</x:f>
      </x:c>
      <x:c r="D275" s="16" t="str">
        <x:f>IF(A275="","",Events!J274)</x:f>
      </x:c>
      <x:c r="E275" s="16" t="str">
        <x:f>IF(A275="","",Events!N274)</x:f>
      </x:c>
      <x:c r="F275" s="109" t="str">
        <x:f>IF(OR(A275="",Events!H274=""),"",Events!H274)</x:f>
      </x:c>
      <x:c r="G275" s="109" t="str">
        <x:f>IF(A275="","",IF(Events!I274&lt;&gt;"",Events!I274,IF(Events!S274&lt;&gt;"",Events!S274,"")))</x:f>
      </x:c>
      <x:c r="H275" s="16" t="str">
        <x:f>IF(A275="","",Events!W274)</x:f>
      </x:c>
      <x:c r="I275" s="16" t="str">
        <x:f>IF(A275="","",IF(Events!Y274&lt;&gt;"",Events!Y274,IF(OR(ISNUMBER(SEARCH("education",P275)),ISNUMBER(SEARCH("exam",P275)),ISNUMBER(SEARCH("school",P275))),"Education",IF(OR(ISNUMBER(SEARCH("trade agreement",P275)),ISNUMBER(SEARCH("economic",P275)),ISNUMBER(SEARCH("import",P275))),"Trade &amp; economic policy",IF(OR(ISNUMBER(SEARCH("land acquisition",P275)),ISNUMBER(SEARCH("rehabilitation",P275)),ISNUMBER(SEARCH("displacement",P275)),ISNUMBER(SEARCH("township",P275))),"Land &amp; rehabilitation",IF(OR(ISNUMBER(SEARCH("forest",P275)),ISNUMBER(SEARCH("environment",P275)),ISNUMBER(SEARCH("ecological",P275)),ISNUMBER(SEARCH("biodiversity",P275)),ISNUMBER(SEARCH("green cover",P275))),"Environment",IF(OR(ISNUMBER(SEARCH("irrigation",P275)),ISNUMBER(SEARCH("water",P275)),ISNUMBER(SEARCH("crop",P275)),ISNUMBER(SEARCH("farmer",P275)),ISNUMBER(SEARCH("agriculture",P275))),"Agriculture &amp; water",IF(OR(ISNUMBER(SEARCH("health",P275)),ISNUMBER(SEARCH("hospital",P275)),ISNUMBER(SEARCH("medicine",P275))),"Public health",IF(OR(ISNUMBER(SEARCH("employee",P275)),ISNUMBER(SEARCH("labour",P275)),ISNUMBER(SEARCH("worker",P275)),ISNUMBER(SEARCH("salary",P275))),"Labour &amp; employment",IF(OR(ISNUMBER(SEARCH("rti",P275)),ISNUMBER(SEARCH("transparency",P275)),ISNUMBER(SEARCH("corruption",P275)),ISNUMBER(SEARCH("governance",P275))),"Governance &amp; transparency",IF(OR(ISNUMBER(SEARCH("police",P275)),ISNUMBER(SEARCH("detention",P275)),ISNUMBER(SEARCH("civil rights",P275)),ISNUMBER(SEARCH("justice",P275))),"Civil rights &amp; justice",IF(OR(ISNUMBER(SEARCH("road",P275)),ISNUMBER(SEARCH("utility",P275)),ISNUMBER(SEARCH("infrastructure",P275)),ISNUMBER(SEARCH("public service",P275))),"Infrastructure &amp; public services","Other"))))))))))))</x:f>
      </x:c>
      <x:c r="J275" s="16" t="str">
        <x:f>IF(A275="","",IF(OR(ISNUMBER(SEARCH("fatal",Q275)),ISNUMBER(SEARCH("death",Q275)),ISNUMBER(SEARCH("riot",Q275)),ISNUMBER(SEARCH("curfew",Q275)),ISNUMBER(SEARCH("internet shutdown",Q275))),5,MIN(4,1+IF(H275&gt;=7,1,0)+IF(OR(ISNUMBER(SEARCH("hunger strike",Q275)),ISNUMBER(SEARCH("blockade",Q275)),ISNUMBER(SEARCH("strike",Q275)),ISNUMBER(SEARCH("jal satyagraha",Q275)),ISNUMBER(SEARCH("survey",Q275)),ISNUMBER(SEARCH("human chain",Q275)),ISNUMBER(SEARCH("march",Q275))),1,0)+IF(OR(ISNUMBER(SEARCH("fir",Q275)),ISNUMBER(SEARCH("confrontation",Q275)),ISNUMBER(SEARCH("violence",Q275)),ISNUMBER(SEARCH("detention",Q275)),ISNUMBER(SEARCH("arrest",Q275)),ISNUMBER(SEARCH("demolition",Q275)),ISNUMBER(SEARCH("injury",Q275))),1,0)+IF(OR(D275="Ongoing",D275="Unresolved"),1,0))))</x:f>
      </x:c>
      <x:c r="K275" s="16" t="str">
        <x:f>IF(J275="","",IF(J275=1,"Limited",IF(J275=2,"Local",IF(J275=3,"Significant",IF(J275=4,"High","Critical")))))</x:f>
      </x:c>
      <x:c r="L275" s="16" t="str">
        <x:f>IF(A275="","",Events!U274)</x:f>
      </x:c>
      <x:c r="M275" s="16" t="str">
        <x:f>IF(A275="","",Events!V274)</x:f>
      </x:c>
      <x:c r="N275" s="16" t="str">
        <x:f>IF(A275="","",Events!Q274)</x:f>
      </x:c>
      <x:c r="O275" s="16" t="str">
        <x:f>IF(A275="","",Events!R274)</x:f>
      </x:c>
      <x:c r="P275" s="16" t="str">
        <x:f>IF(A275="","",LOWER(Events!B274&amp;" "&amp;Events!D274&amp;" "&amp;Events!K274))</x:f>
      </x:c>
      <x:c r="Q275" s="16" t="str">
        <x:f>IF(A275="","",LOWER(Events!C274&amp;" "&amp;Events!K274&amp;" "&amp;Events!T274))</x:f>
      </x:c>
      <x:c r="R275" s="16" t="str">
        <x:f>IF(A275="","",IF(ISNUMBER(SEARCH("Occurrence verified",E275)),"Occurrence verified",E275))</x:f>
      </x:c>
      <x:c r="S275" s="79" t="str">
        <x:f>IF(A275="","",Events!X274)</x:f>
      </x:c>
      <x:c r="Z275" s="79" t="str">
        <x:f>IF(A275="","",Events!AD274)</x:f>
      </x:c>
      <x:c r="AA275" s="79" t="str">
        <x:f>IF(A275="","",Events!AE274)</x:f>
      </x:c>
    </x:row>
    <x:row r="276">
      <x:c r="A276" s="16" t="str">
        <x:f>IF(Events!A275="","",Events!A275)</x:f>
      </x:c>
      <x:c r="B276" s="16" t="str">
        <x:f>IF(A276="","",Events!B275)</x:f>
      </x:c>
      <x:c r="C276" s="16" t="str">
        <x:f>IF(A276="","",Events!E275)</x:f>
      </x:c>
      <x:c r="D276" s="16" t="str">
        <x:f>IF(A276="","",Events!J275)</x:f>
      </x:c>
      <x:c r="E276" s="16" t="str">
        <x:f>IF(A276="","",Events!N275)</x:f>
      </x:c>
      <x:c r="F276" s="109" t="str">
        <x:f>IF(OR(A276="",Events!H275=""),"",Events!H275)</x:f>
      </x:c>
      <x:c r="G276" s="109" t="str">
        <x:f>IF(A276="","",IF(Events!I275&lt;&gt;"",Events!I275,IF(Events!S275&lt;&gt;"",Events!S275,"")))</x:f>
      </x:c>
      <x:c r="H276" s="16" t="str">
        <x:f>IF(A276="","",Events!W275)</x:f>
      </x:c>
      <x:c r="I276" s="16" t="str">
        <x:f>IF(A276="","",IF(Events!Y275&lt;&gt;"",Events!Y275,IF(OR(ISNUMBER(SEARCH("education",P276)),ISNUMBER(SEARCH("exam",P276)),ISNUMBER(SEARCH("school",P276))),"Education",IF(OR(ISNUMBER(SEARCH("trade agreement",P276)),ISNUMBER(SEARCH("economic",P276)),ISNUMBER(SEARCH("import",P276))),"Trade &amp; economic policy",IF(OR(ISNUMBER(SEARCH("land acquisition",P276)),ISNUMBER(SEARCH("rehabilitation",P276)),ISNUMBER(SEARCH("displacement",P276)),ISNUMBER(SEARCH("township",P276))),"Land &amp; rehabilitation",IF(OR(ISNUMBER(SEARCH("forest",P276)),ISNUMBER(SEARCH("environment",P276)),ISNUMBER(SEARCH("ecological",P276)),ISNUMBER(SEARCH("biodiversity",P276)),ISNUMBER(SEARCH("green cover",P276))),"Environment",IF(OR(ISNUMBER(SEARCH("irrigation",P276)),ISNUMBER(SEARCH("water",P276)),ISNUMBER(SEARCH("crop",P276)),ISNUMBER(SEARCH("farmer",P276)),ISNUMBER(SEARCH("agriculture",P276))),"Agriculture &amp; water",IF(OR(ISNUMBER(SEARCH("health",P276)),ISNUMBER(SEARCH("hospital",P276)),ISNUMBER(SEARCH("medicine",P276))),"Public health",IF(OR(ISNUMBER(SEARCH("employee",P276)),ISNUMBER(SEARCH("labour",P276)),ISNUMBER(SEARCH("worker",P276)),ISNUMBER(SEARCH("salary",P276))),"Labour &amp; employment",IF(OR(ISNUMBER(SEARCH("rti",P276)),ISNUMBER(SEARCH("transparency",P276)),ISNUMBER(SEARCH("corruption",P276)),ISNUMBER(SEARCH("governance",P276))),"Governance &amp; transparency",IF(OR(ISNUMBER(SEARCH("police",P276)),ISNUMBER(SEARCH("detention",P276)),ISNUMBER(SEARCH("civil rights",P276)),ISNUMBER(SEARCH("justice",P276))),"Civil rights &amp; justice",IF(OR(ISNUMBER(SEARCH("road",P276)),ISNUMBER(SEARCH("utility",P276)),ISNUMBER(SEARCH("infrastructure",P276)),ISNUMBER(SEARCH("public service",P276))),"Infrastructure &amp; public services","Other"))))))))))))</x:f>
      </x:c>
      <x:c r="J276" s="16" t="str">
        <x:f>IF(A276="","",IF(OR(ISNUMBER(SEARCH("fatal",Q276)),ISNUMBER(SEARCH("death",Q276)),ISNUMBER(SEARCH("riot",Q276)),ISNUMBER(SEARCH("curfew",Q276)),ISNUMBER(SEARCH("internet shutdown",Q276))),5,MIN(4,1+IF(H276&gt;=7,1,0)+IF(OR(ISNUMBER(SEARCH("hunger strike",Q276)),ISNUMBER(SEARCH("blockade",Q276)),ISNUMBER(SEARCH("strike",Q276)),ISNUMBER(SEARCH("jal satyagraha",Q276)),ISNUMBER(SEARCH("survey",Q276)),ISNUMBER(SEARCH("human chain",Q276)),ISNUMBER(SEARCH("march",Q276))),1,0)+IF(OR(ISNUMBER(SEARCH("fir",Q276)),ISNUMBER(SEARCH("confrontation",Q276)),ISNUMBER(SEARCH("violence",Q276)),ISNUMBER(SEARCH("detention",Q276)),ISNUMBER(SEARCH("arrest",Q276)),ISNUMBER(SEARCH("demolition",Q276)),ISNUMBER(SEARCH("injury",Q276))),1,0)+IF(OR(D276="Ongoing",D276="Unresolved"),1,0))))</x:f>
      </x:c>
      <x:c r="K276" s="16" t="str">
        <x:f>IF(J276="","",IF(J276=1,"Limited",IF(J276=2,"Local",IF(J276=3,"Significant",IF(J276=4,"High","Critical")))))</x:f>
      </x:c>
      <x:c r="L276" s="16" t="str">
        <x:f>IF(A276="","",Events!U275)</x:f>
      </x:c>
      <x:c r="M276" s="16" t="str">
        <x:f>IF(A276="","",Events!V275)</x:f>
      </x:c>
      <x:c r="N276" s="16" t="str">
        <x:f>IF(A276="","",Events!Q275)</x:f>
      </x:c>
      <x:c r="O276" s="16" t="str">
        <x:f>IF(A276="","",Events!R275)</x:f>
      </x:c>
      <x:c r="P276" s="16" t="str">
        <x:f>IF(A276="","",LOWER(Events!B275&amp;" "&amp;Events!D275&amp;" "&amp;Events!K275))</x:f>
      </x:c>
      <x:c r="Q276" s="16" t="str">
        <x:f>IF(A276="","",LOWER(Events!C275&amp;" "&amp;Events!K275&amp;" "&amp;Events!T275))</x:f>
      </x:c>
      <x:c r="R276" s="16" t="str">
        <x:f>IF(A276="","",IF(ISNUMBER(SEARCH("Occurrence verified",E276)),"Occurrence verified",E276))</x:f>
      </x:c>
      <x:c r="S276" s="79" t="str">
        <x:f>IF(A276="","",Events!X275)</x:f>
      </x:c>
      <x:c r="Z276" s="79" t="str">
        <x:f>IF(A276="","",Events!AD275)</x:f>
      </x:c>
      <x:c r="AA276" s="79" t="str">
        <x:f>IF(A276="","",Events!AE275)</x:f>
      </x:c>
    </x:row>
    <x:row r="277">
      <x:c r="A277" s="16" t="str">
        <x:f>IF(Events!A276="","",Events!A276)</x:f>
      </x:c>
      <x:c r="B277" s="16" t="str">
        <x:f>IF(A277="","",Events!B276)</x:f>
      </x:c>
      <x:c r="C277" s="16" t="str">
        <x:f>IF(A277="","",Events!E276)</x:f>
      </x:c>
      <x:c r="D277" s="16" t="str">
        <x:f>IF(A277="","",Events!J276)</x:f>
      </x:c>
      <x:c r="E277" s="16" t="str">
        <x:f>IF(A277="","",Events!N276)</x:f>
      </x:c>
      <x:c r="F277" s="109" t="str">
        <x:f>IF(OR(A277="",Events!H276=""),"",Events!H276)</x:f>
      </x:c>
      <x:c r="G277" s="109" t="str">
        <x:f>IF(A277="","",IF(Events!I276&lt;&gt;"",Events!I276,IF(Events!S276&lt;&gt;"",Events!S276,"")))</x:f>
      </x:c>
      <x:c r="H277" s="16" t="str">
        <x:f>IF(A277="","",Events!W276)</x:f>
      </x:c>
      <x:c r="I277" s="16" t="str">
        <x:f>IF(A277="","",IF(Events!Y276&lt;&gt;"",Events!Y276,IF(OR(ISNUMBER(SEARCH("education",P277)),ISNUMBER(SEARCH("exam",P277)),ISNUMBER(SEARCH("school",P277))),"Education",IF(OR(ISNUMBER(SEARCH("trade agreement",P277)),ISNUMBER(SEARCH("economic",P277)),ISNUMBER(SEARCH("import",P277))),"Trade &amp; economic policy",IF(OR(ISNUMBER(SEARCH("land acquisition",P277)),ISNUMBER(SEARCH("rehabilitation",P277)),ISNUMBER(SEARCH("displacement",P277)),ISNUMBER(SEARCH("township",P277))),"Land &amp; rehabilitation",IF(OR(ISNUMBER(SEARCH("forest",P277)),ISNUMBER(SEARCH("environment",P277)),ISNUMBER(SEARCH("ecological",P277)),ISNUMBER(SEARCH("biodiversity",P277)),ISNUMBER(SEARCH("green cover",P277))),"Environment",IF(OR(ISNUMBER(SEARCH("irrigation",P277)),ISNUMBER(SEARCH("water",P277)),ISNUMBER(SEARCH("crop",P277)),ISNUMBER(SEARCH("farmer",P277)),ISNUMBER(SEARCH("agriculture",P277))),"Agriculture &amp; water",IF(OR(ISNUMBER(SEARCH("health",P277)),ISNUMBER(SEARCH("hospital",P277)),ISNUMBER(SEARCH("medicine",P277))),"Public health",IF(OR(ISNUMBER(SEARCH("employee",P277)),ISNUMBER(SEARCH("labour",P277)),ISNUMBER(SEARCH("worker",P277)),ISNUMBER(SEARCH("salary",P277))),"Labour &amp; employment",IF(OR(ISNUMBER(SEARCH("rti",P277)),ISNUMBER(SEARCH("transparency",P277)),ISNUMBER(SEARCH("corruption",P277)),ISNUMBER(SEARCH("governance",P277))),"Governance &amp; transparency",IF(OR(ISNUMBER(SEARCH("police",P277)),ISNUMBER(SEARCH("detention",P277)),ISNUMBER(SEARCH("civil rights",P277)),ISNUMBER(SEARCH("justice",P277))),"Civil rights &amp; justice",IF(OR(ISNUMBER(SEARCH("road",P277)),ISNUMBER(SEARCH("utility",P277)),ISNUMBER(SEARCH("infrastructure",P277)),ISNUMBER(SEARCH("public service",P277))),"Infrastructure &amp; public services","Other"))))))))))))</x:f>
      </x:c>
      <x:c r="J277" s="16" t="str">
        <x:f>IF(A277="","",IF(OR(ISNUMBER(SEARCH("fatal",Q277)),ISNUMBER(SEARCH("death",Q277)),ISNUMBER(SEARCH("riot",Q277)),ISNUMBER(SEARCH("curfew",Q277)),ISNUMBER(SEARCH("internet shutdown",Q277))),5,MIN(4,1+IF(H277&gt;=7,1,0)+IF(OR(ISNUMBER(SEARCH("hunger strike",Q277)),ISNUMBER(SEARCH("blockade",Q277)),ISNUMBER(SEARCH("strike",Q277)),ISNUMBER(SEARCH("jal satyagraha",Q277)),ISNUMBER(SEARCH("survey",Q277)),ISNUMBER(SEARCH("human chain",Q277)),ISNUMBER(SEARCH("march",Q277))),1,0)+IF(OR(ISNUMBER(SEARCH("fir",Q277)),ISNUMBER(SEARCH("confrontation",Q277)),ISNUMBER(SEARCH("violence",Q277)),ISNUMBER(SEARCH("detention",Q277)),ISNUMBER(SEARCH("arrest",Q277)),ISNUMBER(SEARCH("demolition",Q277)),ISNUMBER(SEARCH("injury",Q277))),1,0)+IF(OR(D277="Ongoing",D277="Unresolved"),1,0))))</x:f>
      </x:c>
      <x:c r="K277" s="16" t="str">
        <x:f>IF(J277="","",IF(J277=1,"Limited",IF(J277=2,"Local",IF(J277=3,"Significant",IF(J277=4,"High","Critical")))))</x:f>
      </x:c>
      <x:c r="L277" s="16" t="str">
        <x:f>IF(A277="","",Events!U276)</x:f>
      </x:c>
      <x:c r="M277" s="16" t="str">
        <x:f>IF(A277="","",Events!V276)</x:f>
      </x:c>
      <x:c r="N277" s="16" t="str">
        <x:f>IF(A277="","",Events!Q276)</x:f>
      </x:c>
      <x:c r="O277" s="16" t="str">
        <x:f>IF(A277="","",Events!R276)</x:f>
      </x:c>
      <x:c r="P277" s="16" t="str">
        <x:f>IF(A277="","",LOWER(Events!B276&amp;" "&amp;Events!D276&amp;" "&amp;Events!K276))</x:f>
      </x:c>
      <x:c r="Q277" s="16" t="str">
        <x:f>IF(A277="","",LOWER(Events!C276&amp;" "&amp;Events!K276&amp;" "&amp;Events!T276))</x:f>
      </x:c>
      <x:c r="R277" s="16" t="str">
        <x:f>IF(A277="","",IF(ISNUMBER(SEARCH("Occurrence verified",E277)),"Occurrence verified",E277))</x:f>
      </x:c>
      <x:c r="S277" s="79" t="str">
        <x:f>IF(A277="","",Events!X276)</x:f>
      </x:c>
      <x:c r="Z277" s="79" t="str">
        <x:f>IF(A277="","",Events!AD276)</x:f>
      </x:c>
      <x:c r="AA277" s="79" t="str">
        <x:f>IF(A277="","",Events!AE276)</x:f>
      </x:c>
    </x:row>
    <x:row r="278">
      <x:c r="A278" s="16" t="str">
        <x:f>IF(Events!A277="","",Events!A277)</x:f>
      </x:c>
      <x:c r="B278" s="16" t="str">
        <x:f>IF(A278="","",Events!B277)</x:f>
      </x:c>
      <x:c r="C278" s="16" t="str">
        <x:f>IF(A278="","",Events!E277)</x:f>
      </x:c>
      <x:c r="D278" s="16" t="str">
        <x:f>IF(A278="","",Events!J277)</x:f>
      </x:c>
      <x:c r="E278" s="16" t="str">
        <x:f>IF(A278="","",Events!N277)</x:f>
      </x:c>
      <x:c r="F278" s="109" t="str">
        <x:f>IF(OR(A278="",Events!H277=""),"",Events!H277)</x:f>
      </x:c>
      <x:c r="G278" s="109" t="str">
        <x:f>IF(A278="","",IF(Events!I277&lt;&gt;"",Events!I277,IF(Events!S277&lt;&gt;"",Events!S277,"")))</x:f>
      </x:c>
      <x:c r="H278" s="16" t="str">
        <x:f>IF(A278="","",Events!W277)</x:f>
      </x:c>
      <x:c r="I278" s="16" t="str">
        <x:f>IF(A278="","",IF(Events!Y277&lt;&gt;"",Events!Y277,IF(OR(ISNUMBER(SEARCH("education",P278)),ISNUMBER(SEARCH("exam",P278)),ISNUMBER(SEARCH("school",P278))),"Education",IF(OR(ISNUMBER(SEARCH("trade agreement",P278)),ISNUMBER(SEARCH("economic",P278)),ISNUMBER(SEARCH("import",P278))),"Trade &amp; economic policy",IF(OR(ISNUMBER(SEARCH("land acquisition",P278)),ISNUMBER(SEARCH("rehabilitation",P278)),ISNUMBER(SEARCH("displacement",P278)),ISNUMBER(SEARCH("township",P278))),"Land &amp; rehabilitation",IF(OR(ISNUMBER(SEARCH("forest",P278)),ISNUMBER(SEARCH("environment",P278)),ISNUMBER(SEARCH("ecological",P278)),ISNUMBER(SEARCH("biodiversity",P278)),ISNUMBER(SEARCH("green cover",P278))),"Environment",IF(OR(ISNUMBER(SEARCH("irrigation",P278)),ISNUMBER(SEARCH("water",P278)),ISNUMBER(SEARCH("crop",P278)),ISNUMBER(SEARCH("farmer",P278)),ISNUMBER(SEARCH("agriculture",P278))),"Agriculture &amp; water",IF(OR(ISNUMBER(SEARCH("health",P278)),ISNUMBER(SEARCH("hospital",P278)),ISNUMBER(SEARCH("medicine",P278))),"Public health",IF(OR(ISNUMBER(SEARCH("employee",P278)),ISNUMBER(SEARCH("labour",P278)),ISNUMBER(SEARCH("worker",P278)),ISNUMBER(SEARCH("salary",P278))),"Labour &amp; employment",IF(OR(ISNUMBER(SEARCH("rti",P278)),ISNUMBER(SEARCH("transparency",P278)),ISNUMBER(SEARCH("corruption",P278)),ISNUMBER(SEARCH("governance",P278))),"Governance &amp; transparency",IF(OR(ISNUMBER(SEARCH("police",P278)),ISNUMBER(SEARCH("detention",P278)),ISNUMBER(SEARCH("civil rights",P278)),ISNUMBER(SEARCH("justice",P278))),"Civil rights &amp; justice",IF(OR(ISNUMBER(SEARCH("road",P278)),ISNUMBER(SEARCH("utility",P278)),ISNUMBER(SEARCH("infrastructure",P278)),ISNUMBER(SEARCH("public service",P278))),"Infrastructure &amp; public services","Other"))))))))))))</x:f>
      </x:c>
      <x:c r="J278" s="16" t="str">
        <x:f>IF(A278="","",IF(OR(ISNUMBER(SEARCH("fatal",Q278)),ISNUMBER(SEARCH("death",Q278)),ISNUMBER(SEARCH("riot",Q278)),ISNUMBER(SEARCH("curfew",Q278)),ISNUMBER(SEARCH("internet shutdown",Q278))),5,MIN(4,1+IF(H278&gt;=7,1,0)+IF(OR(ISNUMBER(SEARCH("hunger strike",Q278)),ISNUMBER(SEARCH("blockade",Q278)),ISNUMBER(SEARCH("strike",Q278)),ISNUMBER(SEARCH("jal satyagraha",Q278)),ISNUMBER(SEARCH("survey",Q278)),ISNUMBER(SEARCH("human chain",Q278)),ISNUMBER(SEARCH("march",Q278))),1,0)+IF(OR(ISNUMBER(SEARCH("fir",Q278)),ISNUMBER(SEARCH("confrontation",Q278)),ISNUMBER(SEARCH("violence",Q278)),ISNUMBER(SEARCH("detention",Q278)),ISNUMBER(SEARCH("arrest",Q278)),ISNUMBER(SEARCH("demolition",Q278)),ISNUMBER(SEARCH("injury",Q278))),1,0)+IF(OR(D278="Ongoing",D278="Unresolved"),1,0))))</x:f>
      </x:c>
      <x:c r="K278" s="16" t="str">
        <x:f>IF(J278="","",IF(J278=1,"Limited",IF(J278=2,"Local",IF(J278=3,"Significant",IF(J278=4,"High","Critical")))))</x:f>
      </x:c>
      <x:c r="L278" s="16" t="str">
        <x:f>IF(A278="","",Events!U277)</x:f>
      </x:c>
      <x:c r="M278" s="16" t="str">
        <x:f>IF(A278="","",Events!V277)</x:f>
      </x:c>
      <x:c r="N278" s="16" t="str">
        <x:f>IF(A278="","",Events!Q277)</x:f>
      </x:c>
      <x:c r="O278" s="16" t="str">
        <x:f>IF(A278="","",Events!R277)</x:f>
      </x:c>
      <x:c r="P278" s="16" t="str">
        <x:f>IF(A278="","",LOWER(Events!B277&amp;" "&amp;Events!D277&amp;" "&amp;Events!K277))</x:f>
      </x:c>
      <x:c r="Q278" s="16" t="str">
        <x:f>IF(A278="","",LOWER(Events!C277&amp;" "&amp;Events!K277&amp;" "&amp;Events!T277))</x:f>
      </x:c>
      <x:c r="R278" s="16" t="str">
        <x:f>IF(A278="","",IF(ISNUMBER(SEARCH("Occurrence verified",E278)),"Occurrence verified",E278))</x:f>
      </x:c>
      <x:c r="S278" s="79" t="str">
        <x:f>IF(A278="","",Events!X277)</x:f>
      </x:c>
      <x:c r="Z278" s="79" t="str">
        <x:f>IF(A278="","",Events!AD277)</x:f>
      </x:c>
      <x:c r="AA278" s="79" t="str">
        <x:f>IF(A278="","",Events!AE277)</x:f>
      </x:c>
    </x:row>
    <x:row r="279">
      <x:c r="A279" s="16" t="str">
        <x:f>IF(Events!A278="","",Events!A278)</x:f>
      </x:c>
      <x:c r="B279" s="16" t="str">
        <x:f>IF(A279="","",Events!B278)</x:f>
      </x:c>
      <x:c r="C279" s="16" t="str">
        <x:f>IF(A279="","",Events!E278)</x:f>
      </x:c>
      <x:c r="D279" s="16" t="str">
        <x:f>IF(A279="","",Events!J278)</x:f>
      </x:c>
      <x:c r="E279" s="16" t="str">
        <x:f>IF(A279="","",Events!N278)</x:f>
      </x:c>
      <x:c r="F279" s="109" t="str">
        <x:f>IF(OR(A279="",Events!H278=""),"",Events!H278)</x:f>
      </x:c>
      <x:c r="G279" s="109" t="str">
        <x:f>IF(A279="","",IF(Events!I278&lt;&gt;"",Events!I278,IF(Events!S278&lt;&gt;"",Events!S278,"")))</x:f>
      </x:c>
      <x:c r="H279" s="16" t="str">
        <x:f>IF(A279="","",Events!W278)</x:f>
      </x:c>
      <x:c r="I279" s="16" t="str">
        <x:f>IF(A279="","",IF(Events!Y278&lt;&gt;"",Events!Y278,IF(OR(ISNUMBER(SEARCH("education",P279)),ISNUMBER(SEARCH("exam",P279)),ISNUMBER(SEARCH("school",P279))),"Education",IF(OR(ISNUMBER(SEARCH("trade agreement",P279)),ISNUMBER(SEARCH("economic",P279)),ISNUMBER(SEARCH("import",P279))),"Trade &amp; economic policy",IF(OR(ISNUMBER(SEARCH("land acquisition",P279)),ISNUMBER(SEARCH("rehabilitation",P279)),ISNUMBER(SEARCH("displacement",P279)),ISNUMBER(SEARCH("township",P279))),"Land &amp; rehabilitation",IF(OR(ISNUMBER(SEARCH("forest",P279)),ISNUMBER(SEARCH("environment",P279)),ISNUMBER(SEARCH("ecological",P279)),ISNUMBER(SEARCH("biodiversity",P279)),ISNUMBER(SEARCH("green cover",P279))),"Environment",IF(OR(ISNUMBER(SEARCH("irrigation",P279)),ISNUMBER(SEARCH("water",P279)),ISNUMBER(SEARCH("crop",P279)),ISNUMBER(SEARCH("farmer",P279)),ISNUMBER(SEARCH("agriculture",P279))),"Agriculture &amp; water",IF(OR(ISNUMBER(SEARCH("health",P279)),ISNUMBER(SEARCH("hospital",P279)),ISNUMBER(SEARCH("medicine",P279))),"Public health",IF(OR(ISNUMBER(SEARCH("employee",P279)),ISNUMBER(SEARCH("labour",P279)),ISNUMBER(SEARCH("worker",P279)),ISNUMBER(SEARCH("salary",P279))),"Labour &amp; employment",IF(OR(ISNUMBER(SEARCH("rti",P279)),ISNUMBER(SEARCH("transparency",P279)),ISNUMBER(SEARCH("corruption",P279)),ISNUMBER(SEARCH("governance",P279))),"Governance &amp; transparency",IF(OR(ISNUMBER(SEARCH("police",P279)),ISNUMBER(SEARCH("detention",P279)),ISNUMBER(SEARCH("civil rights",P279)),ISNUMBER(SEARCH("justice",P279))),"Civil rights &amp; justice",IF(OR(ISNUMBER(SEARCH("road",P279)),ISNUMBER(SEARCH("utility",P279)),ISNUMBER(SEARCH("infrastructure",P279)),ISNUMBER(SEARCH("public service",P279))),"Infrastructure &amp; public services","Other"))))))))))))</x:f>
      </x:c>
      <x:c r="J279" s="16" t="str">
        <x:f>IF(A279="","",IF(OR(ISNUMBER(SEARCH("fatal",Q279)),ISNUMBER(SEARCH("death",Q279)),ISNUMBER(SEARCH("riot",Q279)),ISNUMBER(SEARCH("curfew",Q279)),ISNUMBER(SEARCH("internet shutdown",Q279))),5,MIN(4,1+IF(H279&gt;=7,1,0)+IF(OR(ISNUMBER(SEARCH("hunger strike",Q279)),ISNUMBER(SEARCH("blockade",Q279)),ISNUMBER(SEARCH("strike",Q279)),ISNUMBER(SEARCH("jal satyagraha",Q279)),ISNUMBER(SEARCH("survey",Q279)),ISNUMBER(SEARCH("human chain",Q279)),ISNUMBER(SEARCH("march",Q279))),1,0)+IF(OR(ISNUMBER(SEARCH("fir",Q279)),ISNUMBER(SEARCH("confrontation",Q279)),ISNUMBER(SEARCH("violence",Q279)),ISNUMBER(SEARCH("detention",Q279)),ISNUMBER(SEARCH("arrest",Q279)),ISNUMBER(SEARCH("demolition",Q279)),ISNUMBER(SEARCH("injury",Q279))),1,0)+IF(OR(D279="Ongoing",D279="Unresolved"),1,0))))</x:f>
      </x:c>
      <x:c r="K279" s="16" t="str">
        <x:f>IF(J279="","",IF(J279=1,"Limited",IF(J279=2,"Local",IF(J279=3,"Significant",IF(J279=4,"High","Critical")))))</x:f>
      </x:c>
      <x:c r="L279" s="16" t="str">
        <x:f>IF(A279="","",Events!U278)</x:f>
      </x:c>
      <x:c r="M279" s="16" t="str">
        <x:f>IF(A279="","",Events!V278)</x:f>
      </x:c>
      <x:c r="N279" s="16" t="str">
        <x:f>IF(A279="","",Events!Q278)</x:f>
      </x:c>
      <x:c r="O279" s="16" t="str">
        <x:f>IF(A279="","",Events!R278)</x:f>
      </x:c>
      <x:c r="P279" s="16" t="str">
        <x:f>IF(A279="","",LOWER(Events!B278&amp;" "&amp;Events!D278&amp;" "&amp;Events!K278))</x:f>
      </x:c>
      <x:c r="Q279" s="16" t="str">
        <x:f>IF(A279="","",LOWER(Events!C278&amp;" "&amp;Events!K278&amp;" "&amp;Events!T278))</x:f>
      </x:c>
      <x:c r="R279" s="16" t="str">
        <x:f>IF(A279="","",IF(ISNUMBER(SEARCH("Occurrence verified",E279)),"Occurrence verified",E279))</x:f>
      </x:c>
      <x:c r="S279" s="79" t="str">
        <x:f>IF(A279="","",Events!X278)</x:f>
      </x:c>
      <x:c r="Z279" s="79" t="str">
        <x:f>IF(A279="","",Events!AD278)</x:f>
      </x:c>
      <x:c r="AA279" s="79" t="str">
        <x:f>IF(A279="","",Events!AE278)</x:f>
      </x:c>
    </x:row>
    <x:row r="280">
      <x:c r="A280" s="16" t="str">
        <x:f>IF(Events!A279="","",Events!A279)</x:f>
      </x:c>
      <x:c r="B280" s="16" t="str">
        <x:f>IF(A280="","",Events!B279)</x:f>
      </x:c>
      <x:c r="C280" s="16" t="str">
        <x:f>IF(A280="","",Events!E279)</x:f>
      </x:c>
      <x:c r="D280" s="16" t="str">
        <x:f>IF(A280="","",Events!J279)</x:f>
      </x:c>
      <x:c r="E280" s="16" t="str">
        <x:f>IF(A280="","",Events!N279)</x:f>
      </x:c>
      <x:c r="F280" s="109" t="str">
        <x:f>IF(OR(A280="",Events!H279=""),"",Events!H279)</x:f>
      </x:c>
      <x:c r="G280" s="109" t="str">
        <x:f>IF(A280="","",IF(Events!I279&lt;&gt;"",Events!I279,IF(Events!S279&lt;&gt;"",Events!S279,"")))</x:f>
      </x:c>
      <x:c r="H280" s="16" t="str">
        <x:f>IF(A280="","",Events!W279)</x:f>
      </x:c>
      <x:c r="I280" s="16" t="str">
        <x:f>IF(A280="","",IF(Events!Y279&lt;&gt;"",Events!Y279,IF(OR(ISNUMBER(SEARCH("education",P280)),ISNUMBER(SEARCH("exam",P280)),ISNUMBER(SEARCH("school",P280))),"Education",IF(OR(ISNUMBER(SEARCH("trade agreement",P280)),ISNUMBER(SEARCH("economic",P280)),ISNUMBER(SEARCH("import",P280))),"Trade &amp; economic policy",IF(OR(ISNUMBER(SEARCH("land acquisition",P280)),ISNUMBER(SEARCH("rehabilitation",P280)),ISNUMBER(SEARCH("displacement",P280)),ISNUMBER(SEARCH("township",P280))),"Land &amp; rehabilitation",IF(OR(ISNUMBER(SEARCH("forest",P280)),ISNUMBER(SEARCH("environment",P280)),ISNUMBER(SEARCH("ecological",P280)),ISNUMBER(SEARCH("biodiversity",P280)),ISNUMBER(SEARCH("green cover",P280))),"Environment",IF(OR(ISNUMBER(SEARCH("irrigation",P280)),ISNUMBER(SEARCH("water",P280)),ISNUMBER(SEARCH("crop",P280)),ISNUMBER(SEARCH("farmer",P280)),ISNUMBER(SEARCH("agriculture",P280))),"Agriculture &amp; water",IF(OR(ISNUMBER(SEARCH("health",P280)),ISNUMBER(SEARCH("hospital",P280)),ISNUMBER(SEARCH("medicine",P280))),"Public health",IF(OR(ISNUMBER(SEARCH("employee",P280)),ISNUMBER(SEARCH("labour",P280)),ISNUMBER(SEARCH("worker",P280)),ISNUMBER(SEARCH("salary",P280))),"Labour &amp; employment",IF(OR(ISNUMBER(SEARCH("rti",P280)),ISNUMBER(SEARCH("transparency",P280)),ISNUMBER(SEARCH("corruption",P280)),ISNUMBER(SEARCH("governance",P280))),"Governance &amp; transparency",IF(OR(ISNUMBER(SEARCH("police",P280)),ISNUMBER(SEARCH("detention",P280)),ISNUMBER(SEARCH("civil rights",P280)),ISNUMBER(SEARCH("justice",P280))),"Civil rights &amp; justice",IF(OR(ISNUMBER(SEARCH("road",P280)),ISNUMBER(SEARCH("utility",P280)),ISNUMBER(SEARCH("infrastructure",P280)),ISNUMBER(SEARCH("public service",P280))),"Infrastructure &amp; public services","Other"))))))))))))</x:f>
      </x:c>
      <x:c r="J280" s="16" t="str">
        <x:f>IF(A280="","",IF(OR(ISNUMBER(SEARCH("fatal",Q280)),ISNUMBER(SEARCH("death",Q280)),ISNUMBER(SEARCH("riot",Q280)),ISNUMBER(SEARCH("curfew",Q280)),ISNUMBER(SEARCH("internet shutdown",Q280))),5,MIN(4,1+IF(H280&gt;=7,1,0)+IF(OR(ISNUMBER(SEARCH("hunger strike",Q280)),ISNUMBER(SEARCH("blockade",Q280)),ISNUMBER(SEARCH("strike",Q280)),ISNUMBER(SEARCH("jal satyagraha",Q280)),ISNUMBER(SEARCH("survey",Q280)),ISNUMBER(SEARCH("human chain",Q280)),ISNUMBER(SEARCH("march",Q280))),1,0)+IF(OR(ISNUMBER(SEARCH("fir",Q280)),ISNUMBER(SEARCH("confrontation",Q280)),ISNUMBER(SEARCH("violence",Q280)),ISNUMBER(SEARCH("detention",Q280)),ISNUMBER(SEARCH("arrest",Q280)),ISNUMBER(SEARCH("demolition",Q280)),ISNUMBER(SEARCH("injury",Q280))),1,0)+IF(OR(D280="Ongoing",D280="Unresolved"),1,0))))</x:f>
      </x:c>
      <x:c r="K280" s="16" t="str">
        <x:f>IF(J280="","",IF(J280=1,"Limited",IF(J280=2,"Local",IF(J280=3,"Significant",IF(J280=4,"High","Critical")))))</x:f>
      </x:c>
      <x:c r="L280" s="16" t="str">
        <x:f>IF(A280="","",Events!U279)</x:f>
      </x:c>
      <x:c r="M280" s="16" t="str">
        <x:f>IF(A280="","",Events!V279)</x:f>
      </x:c>
      <x:c r="N280" s="16" t="str">
        <x:f>IF(A280="","",Events!Q279)</x:f>
      </x:c>
      <x:c r="O280" s="16" t="str">
        <x:f>IF(A280="","",Events!R279)</x:f>
      </x:c>
      <x:c r="P280" s="16" t="str">
        <x:f>IF(A280="","",LOWER(Events!B279&amp;" "&amp;Events!D279&amp;" "&amp;Events!K279))</x:f>
      </x:c>
      <x:c r="Q280" s="16" t="str">
        <x:f>IF(A280="","",LOWER(Events!C279&amp;" "&amp;Events!K279&amp;" "&amp;Events!T279))</x:f>
      </x:c>
      <x:c r="R280" s="16" t="str">
        <x:f>IF(A280="","",IF(ISNUMBER(SEARCH("Occurrence verified",E280)),"Occurrence verified",E280))</x:f>
      </x:c>
      <x:c r="S280" s="79" t="str">
        <x:f>IF(A280="","",Events!X279)</x:f>
      </x:c>
      <x:c r="Z280" s="79" t="str">
        <x:f>IF(A280="","",Events!AD279)</x:f>
      </x:c>
      <x:c r="AA280" s="79" t="str">
        <x:f>IF(A280="","",Events!AE279)</x:f>
      </x:c>
    </x:row>
    <x:row r="281">
      <x:c r="A281" s="16" t="str">
        <x:f>IF(Events!A280="","",Events!A280)</x:f>
      </x:c>
      <x:c r="B281" s="16" t="str">
        <x:f>IF(A281="","",Events!B280)</x:f>
      </x:c>
      <x:c r="C281" s="16" t="str">
        <x:f>IF(A281="","",Events!E280)</x:f>
      </x:c>
      <x:c r="D281" s="16" t="str">
        <x:f>IF(A281="","",Events!J280)</x:f>
      </x:c>
      <x:c r="E281" s="16" t="str">
        <x:f>IF(A281="","",Events!N280)</x:f>
      </x:c>
      <x:c r="F281" s="109" t="str">
        <x:f>IF(OR(A281="",Events!H280=""),"",Events!H280)</x:f>
      </x:c>
      <x:c r="G281" s="109" t="str">
        <x:f>IF(A281="","",IF(Events!I280&lt;&gt;"",Events!I280,IF(Events!S280&lt;&gt;"",Events!S280,"")))</x:f>
      </x:c>
      <x:c r="H281" s="16" t="str">
        <x:f>IF(A281="","",Events!W280)</x:f>
      </x:c>
      <x:c r="I281" s="16" t="str">
        <x:f>IF(A281="","",IF(Events!Y280&lt;&gt;"",Events!Y280,IF(OR(ISNUMBER(SEARCH("education",P281)),ISNUMBER(SEARCH("exam",P281)),ISNUMBER(SEARCH("school",P281))),"Education",IF(OR(ISNUMBER(SEARCH("trade agreement",P281)),ISNUMBER(SEARCH("economic",P281)),ISNUMBER(SEARCH("import",P281))),"Trade &amp; economic policy",IF(OR(ISNUMBER(SEARCH("land acquisition",P281)),ISNUMBER(SEARCH("rehabilitation",P281)),ISNUMBER(SEARCH("displacement",P281)),ISNUMBER(SEARCH("township",P281))),"Land &amp; rehabilitation",IF(OR(ISNUMBER(SEARCH("forest",P281)),ISNUMBER(SEARCH("environment",P281)),ISNUMBER(SEARCH("ecological",P281)),ISNUMBER(SEARCH("biodiversity",P281)),ISNUMBER(SEARCH("green cover",P281))),"Environment",IF(OR(ISNUMBER(SEARCH("irrigation",P281)),ISNUMBER(SEARCH("water",P281)),ISNUMBER(SEARCH("crop",P281)),ISNUMBER(SEARCH("farmer",P281)),ISNUMBER(SEARCH("agriculture",P281))),"Agriculture &amp; water",IF(OR(ISNUMBER(SEARCH("health",P281)),ISNUMBER(SEARCH("hospital",P281)),ISNUMBER(SEARCH("medicine",P281))),"Public health",IF(OR(ISNUMBER(SEARCH("employee",P281)),ISNUMBER(SEARCH("labour",P281)),ISNUMBER(SEARCH("worker",P281)),ISNUMBER(SEARCH("salary",P281))),"Labour &amp; employment",IF(OR(ISNUMBER(SEARCH("rti",P281)),ISNUMBER(SEARCH("transparency",P281)),ISNUMBER(SEARCH("corruption",P281)),ISNUMBER(SEARCH("governance",P281))),"Governance &amp; transparency",IF(OR(ISNUMBER(SEARCH("police",P281)),ISNUMBER(SEARCH("detention",P281)),ISNUMBER(SEARCH("civil rights",P281)),ISNUMBER(SEARCH("justice",P281))),"Civil rights &amp; justice",IF(OR(ISNUMBER(SEARCH("road",P281)),ISNUMBER(SEARCH("utility",P281)),ISNUMBER(SEARCH("infrastructure",P281)),ISNUMBER(SEARCH("public service",P281))),"Infrastructure &amp; public services","Other"))))))))))))</x:f>
      </x:c>
      <x:c r="J281" s="16" t="str">
        <x:f>IF(A281="","",IF(OR(ISNUMBER(SEARCH("fatal",Q281)),ISNUMBER(SEARCH("death",Q281)),ISNUMBER(SEARCH("riot",Q281)),ISNUMBER(SEARCH("curfew",Q281)),ISNUMBER(SEARCH("internet shutdown",Q281))),5,MIN(4,1+IF(H281&gt;=7,1,0)+IF(OR(ISNUMBER(SEARCH("hunger strike",Q281)),ISNUMBER(SEARCH("blockade",Q281)),ISNUMBER(SEARCH("strike",Q281)),ISNUMBER(SEARCH("jal satyagraha",Q281)),ISNUMBER(SEARCH("survey",Q281)),ISNUMBER(SEARCH("human chain",Q281)),ISNUMBER(SEARCH("march",Q281))),1,0)+IF(OR(ISNUMBER(SEARCH("fir",Q281)),ISNUMBER(SEARCH("confrontation",Q281)),ISNUMBER(SEARCH("violence",Q281)),ISNUMBER(SEARCH("detention",Q281)),ISNUMBER(SEARCH("arrest",Q281)),ISNUMBER(SEARCH("demolition",Q281)),ISNUMBER(SEARCH("injury",Q281))),1,0)+IF(OR(D281="Ongoing",D281="Unresolved"),1,0))))</x:f>
      </x:c>
      <x:c r="K281" s="16" t="str">
        <x:f>IF(J281="","",IF(J281=1,"Limited",IF(J281=2,"Local",IF(J281=3,"Significant",IF(J281=4,"High","Critical")))))</x:f>
      </x:c>
      <x:c r="L281" s="16" t="str">
        <x:f>IF(A281="","",Events!U280)</x:f>
      </x:c>
      <x:c r="M281" s="16" t="str">
        <x:f>IF(A281="","",Events!V280)</x:f>
      </x:c>
      <x:c r="N281" s="16" t="str">
        <x:f>IF(A281="","",Events!Q280)</x:f>
      </x:c>
      <x:c r="O281" s="16" t="str">
        <x:f>IF(A281="","",Events!R280)</x:f>
      </x:c>
      <x:c r="P281" s="16" t="str">
        <x:f>IF(A281="","",LOWER(Events!B280&amp;" "&amp;Events!D280&amp;" "&amp;Events!K280))</x:f>
      </x:c>
      <x:c r="Q281" s="16" t="str">
        <x:f>IF(A281="","",LOWER(Events!C280&amp;" "&amp;Events!K280&amp;" "&amp;Events!T280))</x:f>
      </x:c>
      <x:c r="R281" s="16" t="str">
        <x:f>IF(A281="","",IF(ISNUMBER(SEARCH("Occurrence verified",E281)),"Occurrence verified",E281))</x:f>
      </x:c>
      <x:c r="S281" s="79" t="str">
        <x:f>IF(A281="","",Events!X280)</x:f>
      </x:c>
      <x:c r="Z281" s="79" t="str">
        <x:f>IF(A281="","",Events!AD280)</x:f>
      </x:c>
      <x:c r="AA281" s="79" t="str">
        <x:f>IF(A281="","",Events!AE280)</x:f>
      </x:c>
    </x:row>
    <x:row r="282">
      <x:c r="A282" s="16" t="str">
        <x:f>IF(Events!A281="","",Events!A281)</x:f>
      </x:c>
      <x:c r="B282" s="16" t="str">
        <x:f>IF(A282="","",Events!B281)</x:f>
      </x:c>
      <x:c r="C282" s="16" t="str">
        <x:f>IF(A282="","",Events!E281)</x:f>
      </x:c>
      <x:c r="D282" s="16" t="str">
        <x:f>IF(A282="","",Events!J281)</x:f>
      </x:c>
      <x:c r="E282" s="16" t="str">
        <x:f>IF(A282="","",Events!N281)</x:f>
      </x:c>
      <x:c r="F282" s="109" t="str">
        <x:f>IF(OR(A282="",Events!H281=""),"",Events!H281)</x:f>
      </x:c>
      <x:c r="G282" s="109" t="str">
        <x:f>IF(A282="","",IF(Events!I281&lt;&gt;"",Events!I281,IF(Events!S281&lt;&gt;"",Events!S281,"")))</x:f>
      </x:c>
      <x:c r="H282" s="16" t="str">
        <x:f>IF(A282="","",Events!W281)</x:f>
      </x:c>
      <x:c r="I282" s="16" t="str">
        <x:f>IF(A282="","",IF(Events!Y281&lt;&gt;"",Events!Y281,IF(OR(ISNUMBER(SEARCH("education",P282)),ISNUMBER(SEARCH("exam",P282)),ISNUMBER(SEARCH("school",P282))),"Education",IF(OR(ISNUMBER(SEARCH("trade agreement",P282)),ISNUMBER(SEARCH("economic",P282)),ISNUMBER(SEARCH("import",P282))),"Trade &amp; economic policy",IF(OR(ISNUMBER(SEARCH("land acquisition",P282)),ISNUMBER(SEARCH("rehabilitation",P282)),ISNUMBER(SEARCH("displacement",P282)),ISNUMBER(SEARCH("township",P282))),"Land &amp; rehabilitation",IF(OR(ISNUMBER(SEARCH("forest",P282)),ISNUMBER(SEARCH("environment",P282)),ISNUMBER(SEARCH("ecological",P282)),ISNUMBER(SEARCH("biodiversity",P282)),ISNUMBER(SEARCH("green cover",P282))),"Environment",IF(OR(ISNUMBER(SEARCH("irrigation",P282)),ISNUMBER(SEARCH("water",P282)),ISNUMBER(SEARCH("crop",P282)),ISNUMBER(SEARCH("farmer",P282)),ISNUMBER(SEARCH("agriculture",P282))),"Agriculture &amp; water",IF(OR(ISNUMBER(SEARCH("health",P282)),ISNUMBER(SEARCH("hospital",P282)),ISNUMBER(SEARCH("medicine",P282))),"Public health",IF(OR(ISNUMBER(SEARCH("employee",P282)),ISNUMBER(SEARCH("labour",P282)),ISNUMBER(SEARCH("worker",P282)),ISNUMBER(SEARCH("salary",P282))),"Labour &amp; employment",IF(OR(ISNUMBER(SEARCH("rti",P282)),ISNUMBER(SEARCH("transparency",P282)),ISNUMBER(SEARCH("corruption",P282)),ISNUMBER(SEARCH("governance",P282))),"Governance &amp; transparency",IF(OR(ISNUMBER(SEARCH("police",P282)),ISNUMBER(SEARCH("detention",P282)),ISNUMBER(SEARCH("civil rights",P282)),ISNUMBER(SEARCH("justice",P282))),"Civil rights &amp; justice",IF(OR(ISNUMBER(SEARCH("road",P282)),ISNUMBER(SEARCH("utility",P282)),ISNUMBER(SEARCH("infrastructure",P282)),ISNUMBER(SEARCH("public service",P282))),"Infrastructure &amp; public services","Other"))))))))))))</x:f>
      </x:c>
      <x:c r="J282" s="16" t="str">
        <x:f>IF(A282="","",IF(OR(ISNUMBER(SEARCH("fatal",Q282)),ISNUMBER(SEARCH("death",Q282)),ISNUMBER(SEARCH("riot",Q282)),ISNUMBER(SEARCH("curfew",Q282)),ISNUMBER(SEARCH("internet shutdown",Q282))),5,MIN(4,1+IF(H282&gt;=7,1,0)+IF(OR(ISNUMBER(SEARCH("hunger strike",Q282)),ISNUMBER(SEARCH("blockade",Q282)),ISNUMBER(SEARCH("strike",Q282)),ISNUMBER(SEARCH("jal satyagraha",Q282)),ISNUMBER(SEARCH("survey",Q282)),ISNUMBER(SEARCH("human chain",Q282)),ISNUMBER(SEARCH("march",Q282))),1,0)+IF(OR(ISNUMBER(SEARCH("fir",Q282)),ISNUMBER(SEARCH("confrontation",Q282)),ISNUMBER(SEARCH("violence",Q282)),ISNUMBER(SEARCH("detention",Q282)),ISNUMBER(SEARCH("arrest",Q282)),ISNUMBER(SEARCH("demolition",Q282)),ISNUMBER(SEARCH("injury",Q282))),1,0)+IF(OR(D282="Ongoing",D282="Unresolved"),1,0))))</x:f>
      </x:c>
      <x:c r="K282" s="16" t="str">
        <x:f>IF(J282="","",IF(J282=1,"Limited",IF(J282=2,"Local",IF(J282=3,"Significant",IF(J282=4,"High","Critical")))))</x:f>
      </x:c>
      <x:c r="L282" s="16" t="str">
        <x:f>IF(A282="","",Events!U281)</x:f>
      </x:c>
      <x:c r="M282" s="16" t="str">
        <x:f>IF(A282="","",Events!V281)</x:f>
      </x:c>
      <x:c r="N282" s="16" t="str">
        <x:f>IF(A282="","",Events!Q281)</x:f>
      </x:c>
      <x:c r="O282" s="16" t="str">
        <x:f>IF(A282="","",Events!R281)</x:f>
      </x:c>
      <x:c r="P282" s="16" t="str">
        <x:f>IF(A282="","",LOWER(Events!B281&amp;" "&amp;Events!D281&amp;" "&amp;Events!K281))</x:f>
      </x:c>
      <x:c r="Q282" s="16" t="str">
        <x:f>IF(A282="","",LOWER(Events!C281&amp;" "&amp;Events!K281&amp;" "&amp;Events!T281))</x:f>
      </x:c>
      <x:c r="R282" s="16" t="str">
        <x:f>IF(A282="","",IF(ISNUMBER(SEARCH("Occurrence verified",E282)),"Occurrence verified",E282))</x:f>
      </x:c>
      <x:c r="S282" s="79" t="str">
        <x:f>IF(A282="","",Events!X281)</x:f>
      </x:c>
      <x:c r="Z282" s="79" t="str">
        <x:f>IF(A282="","",Events!AD281)</x:f>
      </x:c>
      <x:c r="AA282" s="79" t="str">
        <x:f>IF(A282="","",Events!AE281)</x:f>
      </x:c>
    </x:row>
    <x:row r="283">
      <x:c r="A283" s="16" t="str">
        <x:f>IF(Events!A282="","",Events!A282)</x:f>
      </x:c>
      <x:c r="B283" s="16" t="str">
        <x:f>IF(A283="","",Events!B282)</x:f>
      </x:c>
      <x:c r="C283" s="16" t="str">
        <x:f>IF(A283="","",Events!E282)</x:f>
      </x:c>
      <x:c r="D283" s="16" t="str">
        <x:f>IF(A283="","",Events!J282)</x:f>
      </x:c>
      <x:c r="E283" s="16" t="str">
        <x:f>IF(A283="","",Events!N282)</x:f>
      </x:c>
      <x:c r="F283" s="109" t="str">
        <x:f>IF(OR(A283="",Events!H282=""),"",Events!H282)</x:f>
      </x:c>
      <x:c r="G283" s="109" t="str">
        <x:f>IF(A283="","",IF(Events!I282&lt;&gt;"",Events!I282,IF(Events!S282&lt;&gt;"",Events!S282,"")))</x:f>
      </x:c>
      <x:c r="H283" s="16" t="str">
        <x:f>IF(A283="","",Events!W282)</x:f>
      </x:c>
      <x:c r="I283" s="16" t="str">
        <x:f>IF(A283="","",IF(Events!Y282&lt;&gt;"",Events!Y282,IF(OR(ISNUMBER(SEARCH("education",P283)),ISNUMBER(SEARCH("exam",P283)),ISNUMBER(SEARCH("school",P283))),"Education",IF(OR(ISNUMBER(SEARCH("trade agreement",P283)),ISNUMBER(SEARCH("economic",P283)),ISNUMBER(SEARCH("import",P283))),"Trade &amp; economic policy",IF(OR(ISNUMBER(SEARCH("land acquisition",P283)),ISNUMBER(SEARCH("rehabilitation",P283)),ISNUMBER(SEARCH("displacement",P283)),ISNUMBER(SEARCH("township",P283))),"Land &amp; rehabilitation",IF(OR(ISNUMBER(SEARCH("forest",P283)),ISNUMBER(SEARCH("environment",P283)),ISNUMBER(SEARCH("ecological",P283)),ISNUMBER(SEARCH("biodiversity",P283)),ISNUMBER(SEARCH("green cover",P283))),"Environment",IF(OR(ISNUMBER(SEARCH("irrigation",P283)),ISNUMBER(SEARCH("water",P283)),ISNUMBER(SEARCH("crop",P283)),ISNUMBER(SEARCH("farmer",P283)),ISNUMBER(SEARCH("agriculture",P283))),"Agriculture &amp; water",IF(OR(ISNUMBER(SEARCH("health",P283)),ISNUMBER(SEARCH("hospital",P283)),ISNUMBER(SEARCH("medicine",P283))),"Public health",IF(OR(ISNUMBER(SEARCH("employee",P283)),ISNUMBER(SEARCH("labour",P283)),ISNUMBER(SEARCH("worker",P283)),ISNUMBER(SEARCH("salary",P283))),"Labour &amp; employment",IF(OR(ISNUMBER(SEARCH("rti",P283)),ISNUMBER(SEARCH("transparency",P283)),ISNUMBER(SEARCH("corruption",P283)),ISNUMBER(SEARCH("governance",P283))),"Governance &amp; transparency",IF(OR(ISNUMBER(SEARCH("police",P283)),ISNUMBER(SEARCH("detention",P283)),ISNUMBER(SEARCH("civil rights",P283)),ISNUMBER(SEARCH("justice",P283))),"Civil rights &amp; justice",IF(OR(ISNUMBER(SEARCH("road",P283)),ISNUMBER(SEARCH("utility",P283)),ISNUMBER(SEARCH("infrastructure",P283)),ISNUMBER(SEARCH("public service",P283))),"Infrastructure &amp; public services","Other"))))))))))))</x:f>
      </x:c>
      <x:c r="J283" s="16" t="str">
        <x:f>IF(A283="","",IF(OR(ISNUMBER(SEARCH("fatal",Q283)),ISNUMBER(SEARCH("death",Q283)),ISNUMBER(SEARCH("riot",Q283)),ISNUMBER(SEARCH("curfew",Q283)),ISNUMBER(SEARCH("internet shutdown",Q283))),5,MIN(4,1+IF(H283&gt;=7,1,0)+IF(OR(ISNUMBER(SEARCH("hunger strike",Q283)),ISNUMBER(SEARCH("blockade",Q283)),ISNUMBER(SEARCH("strike",Q283)),ISNUMBER(SEARCH("jal satyagraha",Q283)),ISNUMBER(SEARCH("survey",Q283)),ISNUMBER(SEARCH("human chain",Q283)),ISNUMBER(SEARCH("march",Q283))),1,0)+IF(OR(ISNUMBER(SEARCH("fir",Q283)),ISNUMBER(SEARCH("confrontation",Q283)),ISNUMBER(SEARCH("violence",Q283)),ISNUMBER(SEARCH("detention",Q283)),ISNUMBER(SEARCH("arrest",Q283)),ISNUMBER(SEARCH("demolition",Q283)),ISNUMBER(SEARCH("injury",Q283))),1,0)+IF(OR(D283="Ongoing",D283="Unresolved"),1,0))))</x:f>
      </x:c>
      <x:c r="K283" s="16" t="str">
        <x:f>IF(J283="","",IF(J283=1,"Limited",IF(J283=2,"Local",IF(J283=3,"Significant",IF(J283=4,"High","Critical")))))</x:f>
      </x:c>
      <x:c r="L283" s="16" t="str">
        <x:f>IF(A283="","",Events!U282)</x:f>
      </x:c>
      <x:c r="M283" s="16" t="str">
        <x:f>IF(A283="","",Events!V282)</x:f>
      </x:c>
      <x:c r="N283" s="16" t="str">
        <x:f>IF(A283="","",Events!Q282)</x:f>
      </x:c>
      <x:c r="O283" s="16" t="str">
        <x:f>IF(A283="","",Events!R282)</x:f>
      </x:c>
      <x:c r="P283" s="16" t="str">
        <x:f>IF(A283="","",LOWER(Events!B282&amp;" "&amp;Events!D282&amp;" "&amp;Events!K282))</x:f>
      </x:c>
      <x:c r="Q283" s="16" t="str">
        <x:f>IF(A283="","",LOWER(Events!C282&amp;" "&amp;Events!K282&amp;" "&amp;Events!T282))</x:f>
      </x:c>
      <x:c r="R283" s="16" t="str">
        <x:f>IF(A283="","",IF(ISNUMBER(SEARCH("Occurrence verified",E283)),"Occurrence verified",E283))</x:f>
      </x:c>
      <x:c r="S283" s="79" t="str">
        <x:f>IF(A283="","",Events!X282)</x:f>
      </x:c>
      <x:c r="Z283" s="79" t="str">
        <x:f>IF(A283="","",Events!AD282)</x:f>
      </x:c>
      <x:c r="AA283" s="79" t="str">
        <x:f>IF(A283="","",Events!AE282)</x:f>
      </x:c>
    </x:row>
    <x:row r="284">
      <x:c r="A284" s="16" t="str">
        <x:f>IF(Events!A283="","",Events!A283)</x:f>
      </x:c>
      <x:c r="B284" s="16" t="str">
        <x:f>IF(A284="","",Events!B283)</x:f>
      </x:c>
      <x:c r="C284" s="16" t="str">
        <x:f>IF(A284="","",Events!E283)</x:f>
      </x:c>
      <x:c r="D284" s="16" t="str">
        <x:f>IF(A284="","",Events!J283)</x:f>
      </x:c>
      <x:c r="E284" s="16" t="str">
        <x:f>IF(A284="","",Events!N283)</x:f>
      </x:c>
      <x:c r="F284" s="109" t="str">
        <x:f>IF(OR(A284="",Events!H283=""),"",Events!H283)</x:f>
      </x:c>
      <x:c r="G284" s="109" t="str">
        <x:f>IF(A284="","",IF(Events!I283&lt;&gt;"",Events!I283,IF(Events!S283&lt;&gt;"",Events!S283,"")))</x:f>
      </x:c>
      <x:c r="H284" s="16" t="str">
        <x:f>IF(A284="","",Events!W283)</x:f>
      </x:c>
      <x:c r="I284" s="16" t="str">
        <x:f>IF(A284="","",IF(Events!Y283&lt;&gt;"",Events!Y283,IF(OR(ISNUMBER(SEARCH("education",P284)),ISNUMBER(SEARCH("exam",P284)),ISNUMBER(SEARCH("school",P284))),"Education",IF(OR(ISNUMBER(SEARCH("trade agreement",P284)),ISNUMBER(SEARCH("economic",P284)),ISNUMBER(SEARCH("import",P284))),"Trade &amp; economic policy",IF(OR(ISNUMBER(SEARCH("land acquisition",P284)),ISNUMBER(SEARCH("rehabilitation",P284)),ISNUMBER(SEARCH("displacement",P284)),ISNUMBER(SEARCH("township",P284))),"Land &amp; rehabilitation",IF(OR(ISNUMBER(SEARCH("forest",P284)),ISNUMBER(SEARCH("environment",P284)),ISNUMBER(SEARCH("ecological",P284)),ISNUMBER(SEARCH("biodiversity",P284)),ISNUMBER(SEARCH("green cover",P284))),"Environment",IF(OR(ISNUMBER(SEARCH("irrigation",P284)),ISNUMBER(SEARCH("water",P284)),ISNUMBER(SEARCH("crop",P284)),ISNUMBER(SEARCH("farmer",P284)),ISNUMBER(SEARCH("agriculture",P284))),"Agriculture &amp; water",IF(OR(ISNUMBER(SEARCH("health",P284)),ISNUMBER(SEARCH("hospital",P284)),ISNUMBER(SEARCH("medicine",P284))),"Public health",IF(OR(ISNUMBER(SEARCH("employee",P284)),ISNUMBER(SEARCH("labour",P284)),ISNUMBER(SEARCH("worker",P284)),ISNUMBER(SEARCH("salary",P284))),"Labour &amp; employment",IF(OR(ISNUMBER(SEARCH("rti",P284)),ISNUMBER(SEARCH("transparency",P284)),ISNUMBER(SEARCH("corruption",P284)),ISNUMBER(SEARCH("governance",P284))),"Governance &amp; transparency",IF(OR(ISNUMBER(SEARCH("police",P284)),ISNUMBER(SEARCH("detention",P284)),ISNUMBER(SEARCH("civil rights",P284)),ISNUMBER(SEARCH("justice",P284))),"Civil rights &amp; justice",IF(OR(ISNUMBER(SEARCH("road",P284)),ISNUMBER(SEARCH("utility",P284)),ISNUMBER(SEARCH("infrastructure",P284)),ISNUMBER(SEARCH("public service",P284))),"Infrastructure &amp; public services","Other"))))))))))))</x:f>
      </x:c>
      <x:c r="J284" s="16" t="str">
        <x:f>IF(A284="","",IF(OR(ISNUMBER(SEARCH("fatal",Q284)),ISNUMBER(SEARCH("death",Q284)),ISNUMBER(SEARCH("riot",Q284)),ISNUMBER(SEARCH("curfew",Q284)),ISNUMBER(SEARCH("internet shutdown",Q284))),5,MIN(4,1+IF(H284&gt;=7,1,0)+IF(OR(ISNUMBER(SEARCH("hunger strike",Q284)),ISNUMBER(SEARCH("blockade",Q284)),ISNUMBER(SEARCH("strike",Q284)),ISNUMBER(SEARCH("jal satyagraha",Q284)),ISNUMBER(SEARCH("survey",Q284)),ISNUMBER(SEARCH("human chain",Q284)),ISNUMBER(SEARCH("march",Q284))),1,0)+IF(OR(ISNUMBER(SEARCH("fir",Q284)),ISNUMBER(SEARCH("confrontation",Q284)),ISNUMBER(SEARCH("violence",Q284)),ISNUMBER(SEARCH("detention",Q284)),ISNUMBER(SEARCH("arrest",Q284)),ISNUMBER(SEARCH("demolition",Q284)),ISNUMBER(SEARCH("injury",Q284))),1,0)+IF(OR(D284="Ongoing",D284="Unresolved"),1,0))))</x:f>
      </x:c>
      <x:c r="K284" s="16" t="str">
        <x:f>IF(J284="","",IF(J284=1,"Limited",IF(J284=2,"Local",IF(J284=3,"Significant",IF(J284=4,"High","Critical")))))</x:f>
      </x:c>
      <x:c r="L284" s="16" t="str">
        <x:f>IF(A284="","",Events!U283)</x:f>
      </x:c>
      <x:c r="M284" s="16" t="str">
        <x:f>IF(A284="","",Events!V283)</x:f>
      </x:c>
      <x:c r="N284" s="16" t="str">
        <x:f>IF(A284="","",Events!Q283)</x:f>
      </x:c>
      <x:c r="O284" s="16" t="str">
        <x:f>IF(A284="","",Events!R283)</x:f>
      </x:c>
      <x:c r="P284" s="16" t="str">
        <x:f>IF(A284="","",LOWER(Events!B283&amp;" "&amp;Events!D283&amp;" "&amp;Events!K283))</x:f>
      </x:c>
      <x:c r="Q284" s="16" t="str">
        <x:f>IF(A284="","",LOWER(Events!C283&amp;" "&amp;Events!K283&amp;" "&amp;Events!T283))</x:f>
      </x:c>
      <x:c r="R284" s="16" t="str">
        <x:f>IF(A284="","",IF(ISNUMBER(SEARCH("Occurrence verified",E284)),"Occurrence verified",E284))</x:f>
      </x:c>
      <x:c r="S284" s="79" t="str">
        <x:f>IF(A284="","",Events!X283)</x:f>
      </x:c>
      <x:c r="Z284" s="79" t="str">
        <x:f>IF(A284="","",Events!AD283)</x:f>
      </x:c>
      <x:c r="AA284" s="79" t="str">
        <x:f>IF(A284="","",Events!AE283)</x:f>
      </x:c>
    </x:row>
    <x:row r="285">
      <x:c r="A285" s="16" t="str">
        <x:f>IF(Events!A284="","",Events!A284)</x:f>
      </x:c>
      <x:c r="B285" s="16" t="str">
        <x:f>IF(A285="","",Events!B284)</x:f>
      </x:c>
      <x:c r="C285" s="16" t="str">
        <x:f>IF(A285="","",Events!E284)</x:f>
      </x:c>
      <x:c r="D285" s="16" t="str">
        <x:f>IF(A285="","",Events!J284)</x:f>
      </x:c>
      <x:c r="E285" s="16" t="str">
        <x:f>IF(A285="","",Events!N284)</x:f>
      </x:c>
      <x:c r="F285" s="109" t="str">
        <x:f>IF(OR(A285="",Events!H284=""),"",Events!H284)</x:f>
      </x:c>
      <x:c r="G285" s="109" t="str">
        <x:f>IF(A285="","",IF(Events!I284&lt;&gt;"",Events!I284,IF(Events!S284&lt;&gt;"",Events!S284,"")))</x:f>
      </x:c>
      <x:c r="H285" s="16" t="str">
        <x:f>IF(A285="","",Events!W284)</x:f>
      </x:c>
      <x:c r="I285" s="16" t="str">
        <x:f>IF(A285="","",IF(Events!Y284&lt;&gt;"",Events!Y284,IF(OR(ISNUMBER(SEARCH("education",P285)),ISNUMBER(SEARCH("exam",P285)),ISNUMBER(SEARCH("school",P285))),"Education",IF(OR(ISNUMBER(SEARCH("trade agreement",P285)),ISNUMBER(SEARCH("economic",P285)),ISNUMBER(SEARCH("import",P285))),"Trade &amp; economic policy",IF(OR(ISNUMBER(SEARCH("land acquisition",P285)),ISNUMBER(SEARCH("rehabilitation",P285)),ISNUMBER(SEARCH("displacement",P285)),ISNUMBER(SEARCH("township",P285))),"Land &amp; rehabilitation",IF(OR(ISNUMBER(SEARCH("forest",P285)),ISNUMBER(SEARCH("environment",P285)),ISNUMBER(SEARCH("ecological",P285)),ISNUMBER(SEARCH("biodiversity",P285)),ISNUMBER(SEARCH("green cover",P285))),"Environment",IF(OR(ISNUMBER(SEARCH("irrigation",P285)),ISNUMBER(SEARCH("water",P285)),ISNUMBER(SEARCH("crop",P285)),ISNUMBER(SEARCH("farmer",P285)),ISNUMBER(SEARCH("agriculture",P285))),"Agriculture &amp; water",IF(OR(ISNUMBER(SEARCH("health",P285)),ISNUMBER(SEARCH("hospital",P285)),ISNUMBER(SEARCH("medicine",P285))),"Public health",IF(OR(ISNUMBER(SEARCH("employee",P285)),ISNUMBER(SEARCH("labour",P285)),ISNUMBER(SEARCH("worker",P285)),ISNUMBER(SEARCH("salary",P285))),"Labour &amp; employment",IF(OR(ISNUMBER(SEARCH("rti",P285)),ISNUMBER(SEARCH("transparency",P285)),ISNUMBER(SEARCH("corruption",P285)),ISNUMBER(SEARCH("governance",P285))),"Governance &amp; transparency",IF(OR(ISNUMBER(SEARCH("police",P285)),ISNUMBER(SEARCH("detention",P285)),ISNUMBER(SEARCH("civil rights",P285)),ISNUMBER(SEARCH("justice",P285))),"Civil rights &amp; justice",IF(OR(ISNUMBER(SEARCH("road",P285)),ISNUMBER(SEARCH("utility",P285)),ISNUMBER(SEARCH("infrastructure",P285)),ISNUMBER(SEARCH("public service",P285))),"Infrastructure &amp; public services","Other"))))))))))))</x:f>
      </x:c>
      <x:c r="J285" s="16" t="str">
        <x:f>IF(A285="","",IF(OR(ISNUMBER(SEARCH("fatal",Q285)),ISNUMBER(SEARCH("death",Q285)),ISNUMBER(SEARCH("riot",Q285)),ISNUMBER(SEARCH("curfew",Q285)),ISNUMBER(SEARCH("internet shutdown",Q285))),5,MIN(4,1+IF(H285&gt;=7,1,0)+IF(OR(ISNUMBER(SEARCH("hunger strike",Q285)),ISNUMBER(SEARCH("blockade",Q285)),ISNUMBER(SEARCH("strike",Q285)),ISNUMBER(SEARCH("jal satyagraha",Q285)),ISNUMBER(SEARCH("survey",Q285)),ISNUMBER(SEARCH("human chain",Q285)),ISNUMBER(SEARCH("march",Q285))),1,0)+IF(OR(ISNUMBER(SEARCH("fir",Q285)),ISNUMBER(SEARCH("confrontation",Q285)),ISNUMBER(SEARCH("violence",Q285)),ISNUMBER(SEARCH("detention",Q285)),ISNUMBER(SEARCH("arrest",Q285)),ISNUMBER(SEARCH("demolition",Q285)),ISNUMBER(SEARCH("injury",Q285))),1,0)+IF(OR(D285="Ongoing",D285="Unresolved"),1,0))))</x:f>
      </x:c>
      <x:c r="K285" s="16" t="str">
        <x:f>IF(J285="","",IF(J285=1,"Limited",IF(J285=2,"Local",IF(J285=3,"Significant",IF(J285=4,"High","Critical")))))</x:f>
      </x:c>
      <x:c r="L285" s="16" t="str">
        <x:f>IF(A285="","",Events!U284)</x:f>
      </x:c>
      <x:c r="M285" s="16" t="str">
        <x:f>IF(A285="","",Events!V284)</x:f>
      </x:c>
      <x:c r="N285" s="16" t="str">
        <x:f>IF(A285="","",Events!Q284)</x:f>
      </x:c>
      <x:c r="O285" s="16" t="str">
        <x:f>IF(A285="","",Events!R284)</x:f>
      </x:c>
      <x:c r="P285" s="16" t="str">
        <x:f>IF(A285="","",LOWER(Events!B284&amp;" "&amp;Events!D284&amp;" "&amp;Events!K284))</x:f>
      </x:c>
      <x:c r="Q285" s="16" t="str">
        <x:f>IF(A285="","",LOWER(Events!C284&amp;" "&amp;Events!K284&amp;" "&amp;Events!T284))</x:f>
      </x:c>
      <x:c r="R285" s="16" t="str">
        <x:f>IF(A285="","",IF(ISNUMBER(SEARCH("Occurrence verified",E285)),"Occurrence verified",E285))</x:f>
      </x:c>
      <x:c r="S285" s="79" t="str">
        <x:f>IF(A285="","",Events!X284)</x:f>
      </x:c>
      <x:c r="Z285" s="79" t="str">
        <x:f>IF(A285="","",Events!AD284)</x:f>
      </x:c>
      <x:c r="AA285" s="79" t="str">
        <x:f>IF(A285="","",Events!AE284)</x:f>
      </x:c>
    </x:row>
    <x:row r="286">
      <x:c r="A286" s="16" t="str">
        <x:f>IF(Events!A285="","",Events!A285)</x:f>
      </x:c>
      <x:c r="B286" s="16" t="str">
        <x:f>IF(A286="","",Events!B285)</x:f>
      </x:c>
      <x:c r="C286" s="16" t="str">
        <x:f>IF(A286="","",Events!E285)</x:f>
      </x:c>
      <x:c r="D286" s="16" t="str">
        <x:f>IF(A286="","",Events!J285)</x:f>
      </x:c>
      <x:c r="E286" s="16" t="str">
        <x:f>IF(A286="","",Events!N285)</x:f>
      </x:c>
      <x:c r="F286" s="109" t="str">
        <x:f>IF(OR(A286="",Events!H285=""),"",Events!H285)</x:f>
      </x:c>
      <x:c r="G286" s="109" t="str">
        <x:f>IF(A286="","",IF(Events!I285&lt;&gt;"",Events!I285,IF(Events!S285&lt;&gt;"",Events!S285,"")))</x:f>
      </x:c>
      <x:c r="H286" s="16" t="str">
        <x:f>IF(A286="","",Events!W285)</x:f>
      </x:c>
      <x:c r="I286" s="16" t="str">
        <x:f>IF(A286="","",IF(Events!Y285&lt;&gt;"",Events!Y285,IF(OR(ISNUMBER(SEARCH("education",P286)),ISNUMBER(SEARCH("exam",P286)),ISNUMBER(SEARCH("school",P286))),"Education",IF(OR(ISNUMBER(SEARCH("trade agreement",P286)),ISNUMBER(SEARCH("economic",P286)),ISNUMBER(SEARCH("import",P286))),"Trade &amp; economic policy",IF(OR(ISNUMBER(SEARCH("land acquisition",P286)),ISNUMBER(SEARCH("rehabilitation",P286)),ISNUMBER(SEARCH("displacement",P286)),ISNUMBER(SEARCH("township",P286))),"Land &amp; rehabilitation",IF(OR(ISNUMBER(SEARCH("forest",P286)),ISNUMBER(SEARCH("environment",P286)),ISNUMBER(SEARCH("ecological",P286)),ISNUMBER(SEARCH("biodiversity",P286)),ISNUMBER(SEARCH("green cover",P286))),"Environment",IF(OR(ISNUMBER(SEARCH("irrigation",P286)),ISNUMBER(SEARCH("water",P286)),ISNUMBER(SEARCH("crop",P286)),ISNUMBER(SEARCH("farmer",P286)),ISNUMBER(SEARCH("agriculture",P286))),"Agriculture &amp; water",IF(OR(ISNUMBER(SEARCH("health",P286)),ISNUMBER(SEARCH("hospital",P286)),ISNUMBER(SEARCH("medicine",P286))),"Public health",IF(OR(ISNUMBER(SEARCH("employee",P286)),ISNUMBER(SEARCH("labour",P286)),ISNUMBER(SEARCH("worker",P286)),ISNUMBER(SEARCH("salary",P286))),"Labour &amp; employment",IF(OR(ISNUMBER(SEARCH("rti",P286)),ISNUMBER(SEARCH("transparency",P286)),ISNUMBER(SEARCH("corruption",P286)),ISNUMBER(SEARCH("governance",P286))),"Governance &amp; transparency",IF(OR(ISNUMBER(SEARCH("police",P286)),ISNUMBER(SEARCH("detention",P286)),ISNUMBER(SEARCH("civil rights",P286)),ISNUMBER(SEARCH("justice",P286))),"Civil rights &amp; justice",IF(OR(ISNUMBER(SEARCH("road",P286)),ISNUMBER(SEARCH("utility",P286)),ISNUMBER(SEARCH("infrastructure",P286)),ISNUMBER(SEARCH("public service",P286))),"Infrastructure &amp; public services","Other"))))))))))))</x:f>
      </x:c>
      <x:c r="J286" s="16" t="str">
        <x:f>IF(A286="","",IF(OR(ISNUMBER(SEARCH("fatal",Q286)),ISNUMBER(SEARCH("death",Q286)),ISNUMBER(SEARCH("riot",Q286)),ISNUMBER(SEARCH("curfew",Q286)),ISNUMBER(SEARCH("internet shutdown",Q286))),5,MIN(4,1+IF(H286&gt;=7,1,0)+IF(OR(ISNUMBER(SEARCH("hunger strike",Q286)),ISNUMBER(SEARCH("blockade",Q286)),ISNUMBER(SEARCH("strike",Q286)),ISNUMBER(SEARCH("jal satyagraha",Q286)),ISNUMBER(SEARCH("survey",Q286)),ISNUMBER(SEARCH("human chain",Q286)),ISNUMBER(SEARCH("march",Q286))),1,0)+IF(OR(ISNUMBER(SEARCH("fir",Q286)),ISNUMBER(SEARCH("confrontation",Q286)),ISNUMBER(SEARCH("violence",Q286)),ISNUMBER(SEARCH("detention",Q286)),ISNUMBER(SEARCH("arrest",Q286)),ISNUMBER(SEARCH("demolition",Q286)),ISNUMBER(SEARCH("injury",Q286))),1,0)+IF(OR(D286="Ongoing",D286="Unresolved"),1,0))))</x:f>
      </x:c>
      <x:c r="K286" s="16" t="str">
        <x:f>IF(J286="","",IF(J286=1,"Limited",IF(J286=2,"Local",IF(J286=3,"Significant",IF(J286=4,"High","Critical")))))</x:f>
      </x:c>
      <x:c r="L286" s="16" t="str">
        <x:f>IF(A286="","",Events!U285)</x:f>
      </x:c>
      <x:c r="M286" s="16" t="str">
        <x:f>IF(A286="","",Events!V285)</x:f>
      </x:c>
      <x:c r="N286" s="16" t="str">
        <x:f>IF(A286="","",Events!Q285)</x:f>
      </x:c>
      <x:c r="O286" s="16" t="str">
        <x:f>IF(A286="","",Events!R285)</x:f>
      </x:c>
      <x:c r="P286" s="16" t="str">
        <x:f>IF(A286="","",LOWER(Events!B285&amp;" "&amp;Events!D285&amp;" "&amp;Events!K285))</x:f>
      </x:c>
      <x:c r="Q286" s="16" t="str">
        <x:f>IF(A286="","",LOWER(Events!C285&amp;" "&amp;Events!K285&amp;" "&amp;Events!T285))</x:f>
      </x:c>
      <x:c r="R286" s="16" t="str">
        <x:f>IF(A286="","",IF(ISNUMBER(SEARCH("Occurrence verified",E286)),"Occurrence verified",E286))</x:f>
      </x:c>
      <x:c r="S286" s="79" t="str">
        <x:f>IF(A286="","",Events!X285)</x:f>
      </x:c>
      <x:c r="Z286" s="79" t="str">
        <x:f>IF(A286="","",Events!AD285)</x:f>
      </x:c>
      <x:c r="AA286" s="79" t="str">
        <x:f>IF(A286="","",Events!AE285)</x:f>
      </x:c>
    </x:row>
    <x:row r="287">
      <x:c r="A287" s="16" t="str">
        <x:f>IF(Events!A286="","",Events!A286)</x:f>
      </x:c>
      <x:c r="B287" s="16" t="str">
        <x:f>IF(A287="","",Events!B286)</x:f>
      </x:c>
      <x:c r="C287" s="16" t="str">
        <x:f>IF(A287="","",Events!E286)</x:f>
      </x:c>
      <x:c r="D287" s="16" t="str">
        <x:f>IF(A287="","",Events!J286)</x:f>
      </x:c>
      <x:c r="E287" s="16" t="str">
        <x:f>IF(A287="","",Events!N286)</x:f>
      </x:c>
      <x:c r="F287" s="109" t="str">
        <x:f>IF(OR(A287="",Events!H286=""),"",Events!H286)</x:f>
      </x:c>
      <x:c r="G287" s="109" t="str">
        <x:f>IF(A287="","",IF(Events!I286&lt;&gt;"",Events!I286,IF(Events!S286&lt;&gt;"",Events!S286,"")))</x:f>
      </x:c>
      <x:c r="H287" s="16" t="str">
        <x:f>IF(A287="","",Events!W286)</x:f>
      </x:c>
      <x:c r="I287" s="16" t="str">
        <x:f>IF(A287="","",IF(Events!Y286&lt;&gt;"",Events!Y286,IF(OR(ISNUMBER(SEARCH("education",P287)),ISNUMBER(SEARCH("exam",P287)),ISNUMBER(SEARCH("school",P287))),"Education",IF(OR(ISNUMBER(SEARCH("trade agreement",P287)),ISNUMBER(SEARCH("economic",P287)),ISNUMBER(SEARCH("import",P287))),"Trade &amp; economic policy",IF(OR(ISNUMBER(SEARCH("land acquisition",P287)),ISNUMBER(SEARCH("rehabilitation",P287)),ISNUMBER(SEARCH("displacement",P287)),ISNUMBER(SEARCH("township",P287))),"Land &amp; rehabilitation",IF(OR(ISNUMBER(SEARCH("forest",P287)),ISNUMBER(SEARCH("environment",P287)),ISNUMBER(SEARCH("ecological",P287)),ISNUMBER(SEARCH("biodiversity",P287)),ISNUMBER(SEARCH("green cover",P287))),"Environment",IF(OR(ISNUMBER(SEARCH("irrigation",P287)),ISNUMBER(SEARCH("water",P287)),ISNUMBER(SEARCH("crop",P287)),ISNUMBER(SEARCH("farmer",P287)),ISNUMBER(SEARCH("agriculture",P287))),"Agriculture &amp; water",IF(OR(ISNUMBER(SEARCH("health",P287)),ISNUMBER(SEARCH("hospital",P287)),ISNUMBER(SEARCH("medicine",P287))),"Public health",IF(OR(ISNUMBER(SEARCH("employee",P287)),ISNUMBER(SEARCH("labour",P287)),ISNUMBER(SEARCH("worker",P287)),ISNUMBER(SEARCH("salary",P287))),"Labour &amp; employment",IF(OR(ISNUMBER(SEARCH("rti",P287)),ISNUMBER(SEARCH("transparency",P287)),ISNUMBER(SEARCH("corruption",P287)),ISNUMBER(SEARCH("governance",P287))),"Governance &amp; transparency",IF(OR(ISNUMBER(SEARCH("police",P287)),ISNUMBER(SEARCH("detention",P287)),ISNUMBER(SEARCH("civil rights",P287)),ISNUMBER(SEARCH("justice",P287))),"Civil rights &amp; justice",IF(OR(ISNUMBER(SEARCH("road",P287)),ISNUMBER(SEARCH("utility",P287)),ISNUMBER(SEARCH("infrastructure",P287)),ISNUMBER(SEARCH("public service",P287))),"Infrastructure &amp; public services","Other"))))))))))))</x:f>
      </x:c>
      <x:c r="J287" s="16" t="str">
        <x:f>IF(A287="","",IF(OR(ISNUMBER(SEARCH("fatal",Q287)),ISNUMBER(SEARCH("death",Q287)),ISNUMBER(SEARCH("riot",Q287)),ISNUMBER(SEARCH("curfew",Q287)),ISNUMBER(SEARCH("internet shutdown",Q287))),5,MIN(4,1+IF(H287&gt;=7,1,0)+IF(OR(ISNUMBER(SEARCH("hunger strike",Q287)),ISNUMBER(SEARCH("blockade",Q287)),ISNUMBER(SEARCH("strike",Q287)),ISNUMBER(SEARCH("jal satyagraha",Q287)),ISNUMBER(SEARCH("survey",Q287)),ISNUMBER(SEARCH("human chain",Q287)),ISNUMBER(SEARCH("march",Q287))),1,0)+IF(OR(ISNUMBER(SEARCH("fir",Q287)),ISNUMBER(SEARCH("confrontation",Q287)),ISNUMBER(SEARCH("violence",Q287)),ISNUMBER(SEARCH("detention",Q287)),ISNUMBER(SEARCH("arrest",Q287)),ISNUMBER(SEARCH("demolition",Q287)),ISNUMBER(SEARCH("injury",Q287))),1,0)+IF(OR(D287="Ongoing",D287="Unresolved"),1,0))))</x:f>
      </x:c>
      <x:c r="K287" s="16" t="str">
        <x:f>IF(J287="","",IF(J287=1,"Limited",IF(J287=2,"Local",IF(J287=3,"Significant",IF(J287=4,"High","Critical")))))</x:f>
      </x:c>
      <x:c r="L287" s="16" t="str">
        <x:f>IF(A287="","",Events!U286)</x:f>
      </x:c>
      <x:c r="M287" s="16" t="str">
        <x:f>IF(A287="","",Events!V286)</x:f>
      </x:c>
      <x:c r="N287" s="16" t="str">
        <x:f>IF(A287="","",Events!Q286)</x:f>
      </x:c>
      <x:c r="O287" s="16" t="str">
        <x:f>IF(A287="","",Events!R286)</x:f>
      </x:c>
      <x:c r="P287" s="16" t="str">
        <x:f>IF(A287="","",LOWER(Events!B286&amp;" "&amp;Events!D286&amp;" "&amp;Events!K286))</x:f>
      </x:c>
      <x:c r="Q287" s="16" t="str">
        <x:f>IF(A287="","",LOWER(Events!C286&amp;" "&amp;Events!K286&amp;" "&amp;Events!T286))</x:f>
      </x:c>
      <x:c r="R287" s="16" t="str">
        <x:f>IF(A287="","",IF(ISNUMBER(SEARCH("Occurrence verified",E287)),"Occurrence verified",E287))</x:f>
      </x:c>
      <x:c r="S287" s="79" t="str">
        <x:f>IF(A287="","",Events!X286)</x:f>
      </x:c>
      <x:c r="Z287" s="79" t="str">
        <x:f>IF(A287="","",Events!AD286)</x:f>
      </x:c>
      <x:c r="AA287" s="79" t="str">
        <x:f>IF(A287="","",Events!AE286)</x:f>
      </x:c>
    </x:row>
    <x:row r="288">
      <x:c r="A288" s="16" t="str">
        <x:f>IF(Events!A287="","",Events!A287)</x:f>
      </x:c>
      <x:c r="B288" s="16" t="str">
        <x:f>IF(A288="","",Events!B287)</x:f>
      </x:c>
      <x:c r="C288" s="16" t="str">
        <x:f>IF(A288="","",Events!E287)</x:f>
      </x:c>
      <x:c r="D288" s="16" t="str">
        <x:f>IF(A288="","",Events!J287)</x:f>
      </x:c>
      <x:c r="E288" s="16" t="str">
        <x:f>IF(A288="","",Events!N287)</x:f>
      </x:c>
      <x:c r="F288" s="109" t="str">
        <x:f>IF(OR(A288="",Events!H287=""),"",Events!H287)</x:f>
      </x:c>
      <x:c r="G288" s="109" t="str">
        <x:f>IF(A288="","",IF(Events!I287&lt;&gt;"",Events!I287,IF(Events!S287&lt;&gt;"",Events!S287,"")))</x:f>
      </x:c>
      <x:c r="H288" s="16" t="str">
        <x:f>IF(A288="","",Events!W287)</x:f>
      </x:c>
      <x:c r="I288" s="16" t="str">
        <x:f>IF(A288="","",IF(Events!Y287&lt;&gt;"",Events!Y287,IF(OR(ISNUMBER(SEARCH("education",P288)),ISNUMBER(SEARCH("exam",P288)),ISNUMBER(SEARCH("school",P288))),"Education",IF(OR(ISNUMBER(SEARCH("trade agreement",P288)),ISNUMBER(SEARCH("economic",P288)),ISNUMBER(SEARCH("import",P288))),"Trade &amp; economic policy",IF(OR(ISNUMBER(SEARCH("land acquisition",P288)),ISNUMBER(SEARCH("rehabilitation",P288)),ISNUMBER(SEARCH("displacement",P288)),ISNUMBER(SEARCH("township",P288))),"Land &amp; rehabilitation",IF(OR(ISNUMBER(SEARCH("forest",P288)),ISNUMBER(SEARCH("environment",P288)),ISNUMBER(SEARCH("ecological",P288)),ISNUMBER(SEARCH("biodiversity",P288)),ISNUMBER(SEARCH("green cover",P288))),"Environment",IF(OR(ISNUMBER(SEARCH("irrigation",P288)),ISNUMBER(SEARCH("water",P288)),ISNUMBER(SEARCH("crop",P288)),ISNUMBER(SEARCH("farmer",P288)),ISNUMBER(SEARCH("agriculture",P288))),"Agriculture &amp; water",IF(OR(ISNUMBER(SEARCH("health",P288)),ISNUMBER(SEARCH("hospital",P288)),ISNUMBER(SEARCH("medicine",P288))),"Public health",IF(OR(ISNUMBER(SEARCH("employee",P288)),ISNUMBER(SEARCH("labour",P288)),ISNUMBER(SEARCH("worker",P288)),ISNUMBER(SEARCH("salary",P288))),"Labour &amp; employment",IF(OR(ISNUMBER(SEARCH("rti",P288)),ISNUMBER(SEARCH("transparency",P288)),ISNUMBER(SEARCH("corruption",P288)),ISNUMBER(SEARCH("governance",P288))),"Governance &amp; transparency",IF(OR(ISNUMBER(SEARCH("police",P288)),ISNUMBER(SEARCH("detention",P288)),ISNUMBER(SEARCH("civil rights",P288)),ISNUMBER(SEARCH("justice",P288))),"Civil rights &amp; justice",IF(OR(ISNUMBER(SEARCH("road",P288)),ISNUMBER(SEARCH("utility",P288)),ISNUMBER(SEARCH("infrastructure",P288)),ISNUMBER(SEARCH("public service",P288))),"Infrastructure &amp; public services","Other"))))))))))))</x:f>
      </x:c>
      <x:c r="J288" s="16" t="str">
        <x:f>IF(A288="","",IF(OR(ISNUMBER(SEARCH("fatal",Q288)),ISNUMBER(SEARCH("death",Q288)),ISNUMBER(SEARCH("riot",Q288)),ISNUMBER(SEARCH("curfew",Q288)),ISNUMBER(SEARCH("internet shutdown",Q288))),5,MIN(4,1+IF(H288&gt;=7,1,0)+IF(OR(ISNUMBER(SEARCH("hunger strike",Q288)),ISNUMBER(SEARCH("blockade",Q288)),ISNUMBER(SEARCH("strike",Q288)),ISNUMBER(SEARCH("jal satyagraha",Q288)),ISNUMBER(SEARCH("survey",Q288)),ISNUMBER(SEARCH("human chain",Q288)),ISNUMBER(SEARCH("march",Q288))),1,0)+IF(OR(ISNUMBER(SEARCH("fir",Q288)),ISNUMBER(SEARCH("confrontation",Q288)),ISNUMBER(SEARCH("violence",Q288)),ISNUMBER(SEARCH("detention",Q288)),ISNUMBER(SEARCH("arrest",Q288)),ISNUMBER(SEARCH("demolition",Q288)),ISNUMBER(SEARCH("injury",Q288))),1,0)+IF(OR(D288="Ongoing",D288="Unresolved"),1,0))))</x:f>
      </x:c>
      <x:c r="K288" s="16" t="str">
        <x:f>IF(J288="","",IF(J288=1,"Limited",IF(J288=2,"Local",IF(J288=3,"Significant",IF(J288=4,"High","Critical")))))</x:f>
      </x:c>
      <x:c r="L288" s="16" t="str">
        <x:f>IF(A288="","",Events!U287)</x:f>
      </x:c>
      <x:c r="M288" s="16" t="str">
        <x:f>IF(A288="","",Events!V287)</x:f>
      </x:c>
      <x:c r="N288" s="16" t="str">
        <x:f>IF(A288="","",Events!Q287)</x:f>
      </x:c>
      <x:c r="O288" s="16" t="str">
        <x:f>IF(A288="","",Events!R287)</x:f>
      </x:c>
      <x:c r="P288" s="16" t="str">
        <x:f>IF(A288="","",LOWER(Events!B287&amp;" "&amp;Events!D287&amp;" "&amp;Events!K287))</x:f>
      </x:c>
      <x:c r="Q288" s="16" t="str">
        <x:f>IF(A288="","",LOWER(Events!C287&amp;" "&amp;Events!K287&amp;" "&amp;Events!T287))</x:f>
      </x:c>
      <x:c r="R288" s="16" t="str">
        <x:f>IF(A288="","",IF(ISNUMBER(SEARCH("Occurrence verified",E288)),"Occurrence verified",E288))</x:f>
      </x:c>
      <x:c r="S288" s="79" t="str">
        <x:f>IF(A288="","",Events!X287)</x:f>
      </x:c>
      <x:c r="Z288" s="79" t="str">
        <x:f>IF(A288="","",Events!AD287)</x:f>
      </x:c>
      <x:c r="AA288" s="79" t="str">
        <x:f>IF(A288="","",Events!AE287)</x:f>
      </x:c>
    </x:row>
    <x:row r="289">
      <x:c r="A289" s="16" t="str">
        <x:f>IF(Events!A288="","",Events!A288)</x:f>
      </x:c>
      <x:c r="B289" s="16" t="str">
        <x:f>IF(A289="","",Events!B288)</x:f>
      </x:c>
      <x:c r="C289" s="16" t="str">
        <x:f>IF(A289="","",Events!E288)</x:f>
      </x:c>
      <x:c r="D289" s="16" t="str">
        <x:f>IF(A289="","",Events!J288)</x:f>
      </x:c>
      <x:c r="E289" s="16" t="str">
        <x:f>IF(A289="","",Events!N288)</x:f>
      </x:c>
      <x:c r="F289" s="109" t="str">
        <x:f>IF(OR(A289="",Events!H288=""),"",Events!H288)</x:f>
      </x:c>
      <x:c r="G289" s="109" t="str">
        <x:f>IF(A289="","",IF(Events!I288&lt;&gt;"",Events!I288,IF(Events!S288&lt;&gt;"",Events!S288,"")))</x:f>
      </x:c>
      <x:c r="H289" s="16" t="str">
        <x:f>IF(A289="","",Events!W288)</x:f>
      </x:c>
      <x:c r="I289" s="16" t="str">
        <x:f>IF(A289="","",IF(Events!Y288&lt;&gt;"",Events!Y288,IF(OR(ISNUMBER(SEARCH("education",P289)),ISNUMBER(SEARCH("exam",P289)),ISNUMBER(SEARCH("school",P289))),"Education",IF(OR(ISNUMBER(SEARCH("trade agreement",P289)),ISNUMBER(SEARCH("economic",P289)),ISNUMBER(SEARCH("import",P289))),"Trade &amp; economic policy",IF(OR(ISNUMBER(SEARCH("land acquisition",P289)),ISNUMBER(SEARCH("rehabilitation",P289)),ISNUMBER(SEARCH("displacement",P289)),ISNUMBER(SEARCH("township",P289))),"Land &amp; rehabilitation",IF(OR(ISNUMBER(SEARCH("forest",P289)),ISNUMBER(SEARCH("environment",P289)),ISNUMBER(SEARCH("ecological",P289)),ISNUMBER(SEARCH("biodiversity",P289)),ISNUMBER(SEARCH("green cover",P289))),"Environment",IF(OR(ISNUMBER(SEARCH("irrigation",P289)),ISNUMBER(SEARCH("water",P289)),ISNUMBER(SEARCH("crop",P289)),ISNUMBER(SEARCH("farmer",P289)),ISNUMBER(SEARCH("agriculture",P289))),"Agriculture &amp; water",IF(OR(ISNUMBER(SEARCH("health",P289)),ISNUMBER(SEARCH("hospital",P289)),ISNUMBER(SEARCH("medicine",P289))),"Public health",IF(OR(ISNUMBER(SEARCH("employee",P289)),ISNUMBER(SEARCH("labour",P289)),ISNUMBER(SEARCH("worker",P289)),ISNUMBER(SEARCH("salary",P289))),"Labour &amp; employment",IF(OR(ISNUMBER(SEARCH("rti",P289)),ISNUMBER(SEARCH("transparency",P289)),ISNUMBER(SEARCH("corruption",P289)),ISNUMBER(SEARCH("governance",P289))),"Governance &amp; transparency",IF(OR(ISNUMBER(SEARCH("police",P289)),ISNUMBER(SEARCH("detention",P289)),ISNUMBER(SEARCH("civil rights",P289)),ISNUMBER(SEARCH("justice",P289))),"Civil rights &amp; justice",IF(OR(ISNUMBER(SEARCH("road",P289)),ISNUMBER(SEARCH("utility",P289)),ISNUMBER(SEARCH("infrastructure",P289)),ISNUMBER(SEARCH("public service",P289))),"Infrastructure &amp; public services","Other"))))))))))))</x:f>
      </x:c>
      <x:c r="J289" s="16" t="str">
        <x:f>IF(A289="","",IF(OR(ISNUMBER(SEARCH("fatal",Q289)),ISNUMBER(SEARCH("death",Q289)),ISNUMBER(SEARCH("riot",Q289)),ISNUMBER(SEARCH("curfew",Q289)),ISNUMBER(SEARCH("internet shutdown",Q289))),5,MIN(4,1+IF(H289&gt;=7,1,0)+IF(OR(ISNUMBER(SEARCH("hunger strike",Q289)),ISNUMBER(SEARCH("blockade",Q289)),ISNUMBER(SEARCH("strike",Q289)),ISNUMBER(SEARCH("jal satyagraha",Q289)),ISNUMBER(SEARCH("survey",Q289)),ISNUMBER(SEARCH("human chain",Q289)),ISNUMBER(SEARCH("march",Q289))),1,0)+IF(OR(ISNUMBER(SEARCH("fir",Q289)),ISNUMBER(SEARCH("confrontation",Q289)),ISNUMBER(SEARCH("violence",Q289)),ISNUMBER(SEARCH("detention",Q289)),ISNUMBER(SEARCH("arrest",Q289)),ISNUMBER(SEARCH("demolition",Q289)),ISNUMBER(SEARCH("injury",Q289))),1,0)+IF(OR(D289="Ongoing",D289="Unresolved"),1,0))))</x:f>
      </x:c>
      <x:c r="K289" s="16" t="str">
        <x:f>IF(J289="","",IF(J289=1,"Limited",IF(J289=2,"Local",IF(J289=3,"Significant",IF(J289=4,"High","Critical")))))</x:f>
      </x:c>
      <x:c r="L289" s="16" t="str">
        <x:f>IF(A289="","",Events!U288)</x:f>
      </x:c>
      <x:c r="M289" s="16" t="str">
        <x:f>IF(A289="","",Events!V288)</x:f>
      </x:c>
      <x:c r="N289" s="16" t="str">
        <x:f>IF(A289="","",Events!Q288)</x:f>
      </x:c>
      <x:c r="O289" s="16" t="str">
        <x:f>IF(A289="","",Events!R288)</x:f>
      </x:c>
      <x:c r="P289" s="16" t="str">
        <x:f>IF(A289="","",LOWER(Events!B288&amp;" "&amp;Events!D288&amp;" "&amp;Events!K288))</x:f>
      </x:c>
      <x:c r="Q289" s="16" t="str">
        <x:f>IF(A289="","",LOWER(Events!C288&amp;" "&amp;Events!K288&amp;" "&amp;Events!T288))</x:f>
      </x:c>
      <x:c r="R289" s="16" t="str">
        <x:f>IF(A289="","",IF(ISNUMBER(SEARCH("Occurrence verified",E289)),"Occurrence verified",E289))</x:f>
      </x:c>
      <x:c r="S289" s="79" t="str">
        <x:f>IF(A289="","",Events!X288)</x:f>
      </x:c>
      <x:c r="Z289" s="79" t="str">
        <x:f>IF(A289="","",Events!AD288)</x:f>
      </x:c>
      <x:c r="AA289" s="79" t="str">
        <x:f>IF(A289="","",Events!AE288)</x:f>
      </x:c>
    </x:row>
    <x:row r="290">
      <x:c r="A290" s="16" t="str">
        <x:f>IF(Events!A289="","",Events!A289)</x:f>
      </x:c>
      <x:c r="B290" s="16" t="str">
        <x:f>IF(A290="","",Events!B289)</x:f>
      </x:c>
      <x:c r="C290" s="16" t="str">
        <x:f>IF(A290="","",Events!E289)</x:f>
      </x:c>
      <x:c r="D290" s="16" t="str">
        <x:f>IF(A290="","",Events!J289)</x:f>
      </x:c>
      <x:c r="E290" s="16" t="str">
        <x:f>IF(A290="","",Events!N289)</x:f>
      </x:c>
      <x:c r="F290" s="109" t="str">
        <x:f>IF(OR(A290="",Events!H289=""),"",Events!H289)</x:f>
      </x:c>
      <x:c r="G290" s="109" t="str">
        <x:f>IF(A290="","",IF(Events!I289&lt;&gt;"",Events!I289,IF(Events!S289&lt;&gt;"",Events!S289,"")))</x:f>
      </x:c>
      <x:c r="H290" s="16" t="str">
        <x:f>IF(A290="","",Events!W289)</x:f>
      </x:c>
      <x:c r="I290" s="16" t="str">
        <x:f>IF(A290="","",IF(Events!Y289&lt;&gt;"",Events!Y289,IF(OR(ISNUMBER(SEARCH("education",P290)),ISNUMBER(SEARCH("exam",P290)),ISNUMBER(SEARCH("school",P290))),"Education",IF(OR(ISNUMBER(SEARCH("trade agreement",P290)),ISNUMBER(SEARCH("economic",P290)),ISNUMBER(SEARCH("import",P290))),"Trade &amp; economic policy",IF(OR(ISNUMBER(SEARCH("land acquisition",P290)),ISNUMBER(SEARCH("rehabilitation",P290)),ISNUMBER(SEARCH("displacement",P290)),ISNUMBER(SEARCH("township",P290))),"Land &amp; rehabilitation",IF(OR(ISNUMBER(SEARCH("forest",P290)),ISNUMBER(SEARCH("environment",P290)),ISNUMBER(SEARCH("ecological",P290)),ISNUMBER(SEARCH("biodiversity",P290)),ISNUMBER(SEARCH("green cover",P290))),"Environment",IF(OR(ISNUMBER(SEARCH("irrigation",P290)),ISNUMBER(SEARCH("water",P290)),ISNUMBER(SEARCH("crop",P290)),ISNUMBER(SEARCH("farmer",P290)),ISNUMBER(SEARCH("agriculture",P290))),"Agriculture &amp; water",IF(OR(ISNUMBER(SEARCH("health",P290)),ISNUMBER(SEARCH("hospital",P290)),ISNUMBER(SEARCH("medicine",P290))),"Public health",IF(OR(ISNUMBER(SEARCH("employee",P290)),ISNUMBER(SEARCH("labour",P290)),ISNUMBER(SEARCH("worker",P290)),ISNUMBER(SEARCH("salary",P290))),"Labour &amp; employment",IF(OR(ISNUMBER(SEARCH("rti",P290)),ISNUMBER(SEARCH("transparency",P290)),ISNUMBER(SEARCH("corruption",P290)),ISNUMBER(SEARCH("governance",P290))),"Governance &amp; transparency",IF(OR(ISNUMBER(SEARCH("police",P290)),ISNUMBER(SEARCH("detention",P290)),ISNUMBER(SEARCH("civil rights",P290)),ISNUMBER(SEARCH("justice",P290))),"Civil rights &amp; justice",IF(OR(ISNUMBER(SEARCH("road",P290)),ISNUMBER(SEARCH("utility",P290)),ISNUMBER(SEARCH("infrastructure",P290)),ISNUMBER(SEARCH("public service",P290))),"Infrastructure &amp; public services","Other"))))))))))))</x:f>
      </x:c>
      <x:c r="J290" s="16" t="str">
        <x:f>IF(A290="","",IF(OR(ISNUMBER(SEARCH("fatal",Q290)),ISNUMBER(SEARCH("death",Q290)),ISNUMBER(SEARCH("riot",Q290)),ISNUMBER(SEARCH("curfew",Q290)),ISNUMBER(SEARCH("internet shutdown",Q290))),5,MIN(4,1+IF(H290&gt;=7,1,0)+IF(OR(ISNUMBER(SEARCH("hunger strike",Q290)),ISNUMBER(SEARCH("blockade",Q290)),ISNUMBER(SEARCH("strike",Q290)),ISNUMBER(SEARCH("jal satyagraha",Q290)),ISNUMBER(SEARCH("survey",Q290)),ISNUMBER(SEARCH("human chain",Q290)),ISNUMBER(SEARCH("march",Q290))),1,0)+IF(OR(ISNUMBER(SEARCH("fir",Q290)),ISNUMBER(SEARCH("confrontation",Q290)),ISNUMBER(SEARCH("violence",Q290)),ISNUMBER(SEARCH("detention",Q290)),ISNUMBER(SEARCH("arrest",Q290)),ISNUMBER(SEARCH("demolition",Q290)),ISNUMBER(SEARCH("injury",Q290))),1,0)+IF(OR(D290="Ongoing",D290="Unresolved"),1,0))))</x:f>
      </x:c>
      <x:c r="K290" s="16" t="str">
        <x:f>IF(J290="","",IF(J290=1,"Limited",IF(J290=2,"Local",IF(J290=3,"Significant",IF(J290=4,"High","Critical")))))</x:f>
      </x:c>
      <x:c r="L290" s="16" t="str">
        <x:f>IF(A290="","",Events!U289)</x:f>
      </x:c>
      <x:c r="M290" s="16" t="str">
        <x:f>IF(A290="","",Events!V289)</x:f>
      </x:c>
      <x:c r="N290" s="16" t="str">
        <x:f>IF(A290="","",Events!Q289)</x:f>
      </x:c>
      <x:c r="O290" s="16" t="str">
        <x:f>IF(A290="","",Events!R289)</x:f>
      </x:c>
      <x:c r="P290" s="16" t="str">
        <x:f>IF(A290="","",LOWER(Events!B289&amp;" "&amp;Events!D289&amp;" "&amp;Events!K289))</x:f>
      </x:c>
      <x:c r="Q290" s="16" t="str">
        <x:f>IF(A290="","",LOWER(Events!C289&amp;" "&amp;Events!K289&amp;" "&amp;Events!T289))</x:f>
      </x:c>
      <x:c r="R290" s="16" t="str">
        <x:f>IF(A290="","",IF(ISNUMBER(SEARCH("Occurrence verified",E290)),"Occurrence verified",E290))</x:f>
      </x:c>
      <x:c r="S290" s="79" t="str">
        <x:f>IF(A290="","",Events!X289)</x:f>
      </x:c>
      <x:c r="Z290" s="79" t="str">
        <x:f>IF(A290="","",Events!AD289)</x:f>
      </x:c>
      <x:c r="AA290" s="79" t="str">
        <x:f>IF(A290="","",Events!AE289)</x:f>
      </x:c>
    </x:row>
    <x:row r="291">
      <x:c r="A291" s="16" t="str">
        <x:f>IF(Events!A290="","",Events!A290)</x:f>
      </x:c>
      <x:c r="B291" s="16" t="str">
        <x:f>IF(A291="","",Events!B290)</x:f>
      </x:c>
      <x:c r="C291" s="16" t="str">
        <x:f>IF(A291="","",Events!E290)</x:f>
      </x:c>
      <x:c r="D291" s="16" t="str">
        <x:f>IF(A291="","",Events!J290)</x:f>
      </x:c>
      <x:c r="E291" s="16" t="str">
        <x:f>IF(A291="","",Events!N290)</x:f>
      </x:c>
      <x:c r="F291" s="109" t="str">
        <x:f>IF(OR(A291="",Events!H290=""),"",Events!H290)</x:f>
      </x:c>
      <x:c r="G291" s="109" t="str">
        <x:f>IF(A291="","",IF(Events!I290&lt;&gt;"",Events!I290,IF(Events!S290&lt;&gt;"",Events!S290,"")))</x:f>
      </x:c>
      <x:c r="H291" s="16" t="str">
        <x:f>IF(A291="","",Events!W290)</x:f>
      </x:c>
      <x:c r="I291" s="16" t="str">
        <x:f>IF(A291="","",IF(Events!Y290&lt;&gt;"",Events!Y290,IF(OR(ISNUMBER(SEARCH("education",P291)),ISNUMBER(SEARCH("exam",P291)),ISNUMBER(SEARCH("school",P291))),"Education",IF(OR(ISNUMBER(SEARCH("trade agreement",P291)),ISNUMBER(SEARCH("economic",P291)),ISNUMBER(SEARCH("import",P291))),"Trade &amp; economic policy",IF(OR(ISNUMBER(SEARCH("land acquisition",P291)),ISNUMBER(SEARCH("rehabilitation",P291)),ISNUMBER(SEARCH("displacement",P291)),ISNUMBER(SEARCH("township",P291))),"Land &amp; rehabilitation",IF(OR(ISNUMBER(SEARCH("forest",P291)),ISNUMBER(SEARCH("environment",P291)),ISNUMBER(SEARCH("ecological",P291)),ISNUMBER(SEARCH("biodiversity",P291)),ISNUMBER(SEARCH("green cover",P291))),"Environment",IF(OR(ISNUMBER(SEARCH("irrigation",P291)),ISNUMBER(SEARCH("water",P291)),ISNUMBER(SEARCH("crop",P291)),ISNUMBER(SEARCH("farmer",P291)),ISNUMBER(SEARCH("agriculture",P291))),"Agriculture &amp; water",IF(OR(ISNUMBER(SEARCH("health",P291)),ISNUMBER(SEARCH("hospital",P291)),ISNUMBER(SEARCH("medicine",P291))),"Public health",IF(OR(ISNUMBER(SEARCH("employee",P291)),ISNUMBER(SEARCH("labour",P291)),ISNUMBER(SEARCH("worker",P291)),ISNUMBER(SEARCH("salary",P291))),"Labour &amp; employment",IF(OR(ISNUMBER(SEARCH("rti",P291)),ISNUMBER(SEARCH("transparency",P291)),ISNUMBER(SEARCH("corruption",P291)),ISNUMBER(SEARCH("governance",P291))),"Governance &amp; transparency",IF(OR(ISNUMBER(SEARCH("police",P291)),ISNUMBER(SEARCH("detention",P291)),ISNUMBER(SEARCH("civil rights",P291)),ISNUMBER(SEARCH("justice",P291))),"Civil rights &amp; justice",IF(OR(ISNUMBER(SEARCH("road",P291)),ISNUMBER(SEARCH("utility",P291)),ISNUMBER(SEARCH("infrastructure",P291)),ISNUMBER(SEARCH("public service",P291))),"Infrastructure &amp; public services","Other"))))))))))))</x:f>
      </x:c>
      <x:c r="J291" s="16" t="str">
        <x:f>IF(A291="","",IF(OR(ISNUMBER(SEARCH("fatal",Q291)),ISNUMBER(SEARCH("death",Q291)),ISNUMBER(SEARCH("riot",Q291)),ISNUMBER(SEARCH("curfew",Q291)),ISNUMBER(SEARCH("internet shutdown",Q291))),5,MIN(4,1+IF(H291&gt;=7,1,0)+IF(OR(ISNUMBER(SEARCH("hunger strike",Q291)),ISNUMBER(SEARCH("blockade",Q291)),ISNUMBER(SEARCH("strike",Q291)),ISNUMBER(SEARCH("jal satyagraha",Q291)),ISNUMBER(SEARCH("survey",Q291)),ISNUMBER(SEARCH("human chain",Q291)),ISNUMBER(SEARCH("march",Q291))),1,0)+IF(OR(ISNUMBER(SEARCH("fir",Q291)),ISNUMBER(SEARCH("confrontation",Q291)),ISNUMBER(SEARCH("violence",Q291)),ISNUMBER(SEARCH("detention",Q291)),ISNUMBER(SEARCH("arrest",Q291)),ISNUMBER(SEARCH("demolition",Q291)),ISNUMBER(SEARCH("injury",Q291))),1,0)+IF(OR(D291="Ongoing",D291="Unresolved"),1,0))))</x:f>
      </x:c>
      <x:c r="K291" s="16" t="str">
        <x:f>IF(J291="","",IF(J291=1,"Limited",IF(J291=2,"Local",IF(J291=3,"Significant",IF(J291=4,"High","Critical")))))</x:f>
      </x:c>
      <x:c r="L291" s="16" t="str">
        <x:f>IF(A291="","",Events!U290)</x:f>
      </x:c>
      <x:c r="M291" s="16" t="str">
        <x:f>IF(A291="","",Events!V290)</x:f>
      </x:c>
      <x:c r="N291" s="16" t="str">
        <x:f>IF(A291="","",Events!Q290)</x:f>
      </x:c>
      <x:c r="O291" s="16" t="str">
        <x:f>IF(A291="","",Events!R290)</x:f>
      </x:c>
      <x:c r="P291" s="16" t="str">
        <x:f>IF(A291="","",LOWER(Events!B290&amp;" "&amp;Events!D290&amp;" "&amp;Events!K290))</x:f>
      </x:c>
      <x:c r="Q291" s="16" t="str">
        <x:f>IF(A291="","",LOWER(Events!C290&amp;" "&amp;Events!K290&amp;" "&amp;Events!T290))</x:f>
      </x:c>
      <x:c r="R291" s="16" t="str">
        <x:f>IF(A291="","",IF(ISNUMBER(SEARCH("Occurrence verified",E291)),"Occurrence verified",E291))</x:f>
      </x:c>
      <x:c r="S291" s="79" t="str">
        <x:f>IF(A291="","",Events!X290)</x:f>
      </x:c>
      <x:c r="Z291" s="79" t="str">
        <x:f>IF(A291="","",Events!AD290)</x:f>
      </x:c>
      <x:c r="AA291" s="79" t="str">
        <x:f>IF(A291="","",Events!AE290)</x:f>
      </x:c>
    </x:row>
    <x:row r="292">
      <x:c r="A292" s="16" t="str">
        <x:f>IF(Events!A291="","",Events!A291)</x:f>
      </x:c>
      <x:c r="B292" s="16" t="str">
        <x:f>IF(A292="","",Events!B291)</x:f>
      </x:c>
      <x:c r="C292" s="16" t="str">
        <x:f>IF(A292="","",Events!E291)</x:f>
      </x:c>
      <x:c r="D292" s="16" t="str">
        <x:f>IF(A292="","",Events!J291)</x:f>
      </x:c>
      <x:c r="E292" s="16" t="str">
        <x:f>IF(A292="","",Events!N291)</x:f>
      </x:c>
      <x:c r="F292" s="109" t="str">
        <x:f>IF(OR(A292="",Events!H291=""),"",Events!H291)</x:f>
      </x:c>
      <x:c r="G292" s="109" t="str">
        <x:f>IF(A292="","",IF(Events!I291&lt;&gt;"",Events!I291,IF(Events!S291&lt;&gt;"",Events!S291,"")))</x:f>
      </x:c>
      <x:c r="H292" s="16" t="str">
        <x:f>IF(A292="","",Events!W291)</x:f>
      </x:c>
      <x:c r="I292" s="16" t="str">
        <x:f>IF(A292="","",IF(Events!Y291&lt;&gt;"",Events!Y291,IF(OR(ISNUMBER(SEARCH("education",P292)),ISNUMBER(SEARCH("exam",P292)),ISNUMBER(SEARCH("school",P292))),"Education",IF(OR(ISNUMBER(SEARCH("trade agreement",P292)),ISNUMBER(SEARCH("economic",P292)),ISNUMBER(SEARCH("import",P292))),"Trade &amp; economic policy",IF(OR(ISNUMBER(SEARCH("land acquisition",P292)),ISNUMBER(SEARCH("rehabilitation",P292)),ISNUMBER(SEARCH("displacement",P292)),ISNUMBER(SEARCH("township",P292))),"Land &amp; rehabilitation",IF(OR(ISNUMBER(SEARCH("forest",P292)),ISNUMBER(SEARCH("environment",P292)),ISNUMBER(SEARCH("ecological",P292)),ISNUMBER(SEARCH("biodiversity",P292)),ISNUMBER(SEARCH("green cover",P292))),"Environment",IF(OR(ISNUMBER(SEARCH("irrigation",P292)),ISNUMBER(SEARCH("water",P292)),ISNUMBER(SEARCH("crop",P292)),ISNUMBER(SEARCH("farmer",P292)),ISNUMBER(SEARCH("agriculture",P292))),"Agriculture &amp; water",IF(OR(ISNUMBER(SEARCH("health",P292)),ISNUMBER(SEARCH("hospital",P292)),ISNUMBER(SEARCH("medicine",P292))),"Public health",IF(OR(ISNUMBER(SEARCH("employee",P292)),ISNUMBER(SEARCH("labour",P292)),ISNUMBER(SEARCH("worker",P292)),ISNUMBER(SEARCH("salary",P292))),"Labour &amp; employment",IF(OR(ISNUMBER(SEARCH("rti",P292)),ISNUMBER(SEARCH("transparency",P292)),ISNUMBER(SEARCH("corruption",P292)),ISNUMBER(SEARCH("governance",P292))),"Governance &amp; transparency",IF(OR(ISNUMBER(SEARCH("police",P292)),ISNUMBER(SEARCH("detention",P292)),ISNUMBER(SEARCH("civil rights",P292)),ISNUMBER(SEARCH("justice",P292))),"Civil rights &amp; justice",IF(OR(ISNUMBER(SEARCH("road",P292)),ISNUMBER(SEARCH("utility",P292)),ISNUMBER(SEARCH("infrastructure",P292)),ISNUMBER(SEARCH("public service",P292))),"Infrastructure &amp; public services","Other"))))))))))))</x:f>
      </x:c>
      <x:c r="J292" s="16" t="str">
        <x:f>IF(A292="","",IF(OR(ISNUMBER(SEARCH("fatal",Q292)),ISNUMBER(SEARCH("death",Q292)),ISNUMBER(SEARCH("riot",Q292)),ISNUMBER(SEARCH("curfew",Q292)),ISNUMBER(SEARCH("internet shutdown",Q292))),5,MIN(4,1+IF(H292&gt;=7,1,0)+IF(OR(ISNUMBER(SEARCH("hunger strike",Q292)),ISNUMBER(SEARCH("blockade",Q292)),ISNUMBER(SEARCH("strike",Q292)),ISNUMBER(SEARCH("jal satyagraha",Q292)),ISNUMBER(SEARCH("survey",Q292)),ISNUMBER(SEARCH("human chain",Q292)),ISNUMBER(SEARCH("march",Q292))),1,0)+IF(OR(ISNUMBER(SEARCH("fir",Q292)),ISNUMBER(SEARCH("confrontation",Q292)),ISNUMBER(SEARCH("violence",Q292)),ISNUMBER(SEARCH("detention",Q292)),ISNUMBER(SEARCH("arrest",Q292)),ISNUMBER(SEARCH("demolition",Q292)),ISNUMBER(SEARCH("injury",Q292))),1,0)+IF(OR(D292="Ongoing",D292="Unresolved"),1,0))))</x:f>
      </x:c>
      <x:c r="K292" s="16" t="str">
        <x:f>IF(J292="","",IF(J292=1,"Limited",IF(J292=2,"Local",IF(J292=3,"Significant",IF(J292=4,"High","Critical")))))</x:f>
      </x:c>
      <x:c r="L292" s="16" t="str">
        <x:f>IF(A292="","",Events!U291)</x:f>
      </x:c>
      <x:c r="M292" s="16" t="str">
        <x:f>IF(A292="","",Events!V291)</x:f>
      </x:c>
      <x:c r="N292" s="16" t="str">
        <x:f>IF(A292="","",Events!Q291)</x:f>
      </x:c>
      <x:c r="O292" s="16" t="str">
        <x:f>IF(A292="","",Events!R291)</x:f>
      </x:c>
      <x:c r="P292" s="16" t="str">
        <x:f>IF(A292="","",LOWER(Events!B291&amp;" "&amp;Events!D291&amp;" "&amp;Events!K291))</x:f>
      </x:c>
      <x:c r="Q292" s="16" t="str">
        <x:f>IF(A292="","",LOWER(Events!C291&amp;" "&amp;Events!K291&amp;" "&amp;Events!T291))</x:f>
      </x:c>
      <x:c r="R292" s="16" t="str">
        <x:f>IF(A292="","",IF(ISNUMBER(SEARCH("Occurrence verified",E292)),"Occurrence verified",E292))</x:f>
      </x:c>
      <x:c r="S292" s="79" t="str">
        <x:f>IF(A292="","",Events!X291)</x:f>
      </x:c>
      <x:c r="Z292" s="79" t="str">
        <x:f>IF(A292="","",Events!AD291)</x:f>
      </x:c>
      <x:c r="AA292" s="79" t="str">
        <x:f>IF(A292="","",Events!AE291)</x:f>
      </x:c>
    </x:row>
    <x:row r="293">
      <x:c r="A293" s="16" t="str">
        <x:f>IF(Events!A292="","",Events!A292)</x:f>
      </x:c>
      <x:c r="B293" s="16" t="str">
        <x:f>IF(A293="","",Events!B292)</x:f>
      </x:c>
      <x:c r="C293" s="16" t="str">
        <x:f>IF(A293="","",Events!E292)</x:f>
      </x:c>
      <x:c r="D293" s="16" t="str">
        <x:f>IF(A293="","",Events!J292)</x:f>
      </x:c>
      <x:c r="E293" s="16" t="str">
        <x:f>IF(A293="","",Events!N292)</x:f>
      </x:c>
      <x:c r="F293" s="109" t="str">
        <x:f>IF(OR(A293="",Events!H292=""),"",Events!H292)</x:f>
      </x:c>
      <x:c r="G293" s="109" t="str">
        <x:f>IF(A293="","",IF(Events!I292&lt;&gt;"",Events!I292,IF(Events!S292&lt;&gt;"",Events!S292,"")))</x:f>
      </x:c>
      <x:c r="H293" s="16" t="str">
        <x:f>IF(A293="","",Events!W292)</x:f>
      </x:c>
      <x:c r="I293" s="16" t="str">
        <x:f>IF(A293="","",IF(Events!Y292&lt;&gt;"",Events!Y292,IF(OR(ISNUMBER(SEARCH("education",P293)),ISNUMBER(SEARCH("exam",P293)),ISNUMBER(SEARCH("school",P293))),"Education",IF(OR(ISNUMBER(SEARCH("trade agreement",P293)),ISNUMBER(SEARCH("economic",P293)),ISNUMBER(SEARCH("import",P293))),"Trade &amp; economic policy",IF(OR(ISNUMBER(SEARCH("land acquisition",P293)),ISNUMBER(SEARCH("rehabilitation",P293)),ISNUMBER(SEARCH("displacement",P293)),ISNUMBER(SEARCH("township",P293))),"Land &amp; rehabilitation",IF(OR(ISNUMBER(SEARCH("forest",P293)),ISNUMBER(SEARCH("environment",P293)),ISNUMBER(SEARCH("ecological",P293)),ISNUMBER(SEARCH("biodiversity",P293)),ISNUMBER(SEARCH("green cover",P293))),"Environment",IF(OR(ISNUMBER(SEARCH("irrigation",P293)),ISNUMBER(SEARCH("water",P293)),ISNUMBER(SEARCH("crop",P293)),ISNUMBER(SEARCH("farmer",P293)),ISNUMBER(SEARCH("agriculture",P293))),"Agriculture &amp; water",IF(OR(ISNUMBER(SEARCH("health",P293)),ISNUMBER(SEARCH("hospital",P293)),ISNUMBER(SEARCH("medicine",P293))),"Public health",IF(OR(ISNUMBER(SEARCH("employee",P293)),ISNUMBER(SEARCH("labour",P293)),ISNUMBER(SEARCH("worker",P293)),ISNUMBER(SEARCH("salary",P293))),"Labour &amp; employment",IF(OR(ISNUMBER(SEARCH("rti",P293)),ISNUMBER(SEARCH("transparency",P293)),ISNUMBER(SEARCH("corruption",P293)),ISNUMBER(SEARCH("governance",P293))),"Governance &amp; transparency",IF(OR(ISNUMBER(SEARCH("police",P293)),ISNUMBER(SEARCH("detention",P293)),ISNUMBER(SEARCH("civil rights",P293)),ISNUMBER(SEARCH("justice",P293))),"Civil rights &amp; justice",IF(OR(ISNUMBER(SEARCH("road",P293)),ISNUMBER(SEARCH("utility",P293)),ISNUMBER(SEARCH("infrastructure",P293)),ISNUMBER(SEARCH("public service",P293))),"Infrastructure &amp; public services","Other"))))))))))))</x:f>
      </x:c>
      <x:c r="J293" s="16" t="str">
        <x:f>IF(A293="","",IF(OR(ISNUMBER(SEARCH("fatal",Q293)),ISNUMBER(SEARCH("death",Q293)),ISNUMBER(SEARCH("riot",Q293)),ISNUMBER(SEARCH("curfew",Q293)),ISNUMBER(SEARCH("internet shutdown",Q293))),5,MIN(4,1+IF(H293&gt;=7,1,0)+IF(OR(ISNUMBER(SEARCH("hunger strike",Q293)),ISNUMBER(SEARCH("blockade",Q293)),ISNUMBER(SEARCH("strike",Q293)),ISNUMBER(SEARCH("jal satyagraha",Q293)),ISNUMBER(SEARCH("survey",Q293)),ISNUMBER(SEARCH("human chain",Q293)),ISNUMBER(SEARCH("march",Q293))),1,0)+IF(OR(ISNUMBER(SEARCH("fir",Q293)),ISNUMBER(SEARCH("confrontation",Q293)),ISNUMBER(SEARCH("violence",Q293)),ISNUMBER(SEARCH("detention",Q293)),ISNUMBER(SEARCH("arrest",Q293)),ISNUMBER(SEARCH("demolition",Q293)),ISNUMBER(SEARCH("injury",Q293))),1,0)+IF(OR(D293="Ongoing",D293="Unresolved"),1,0))))</x:f>
      </x:c>
      <x:c r="K293" s="16" t="str">
        <x:f>IF(J293="","",IF(J293=1,"Limited",IF(J293=2,"Local",IF(J293=3,"Significant",IF(J293=4,"High","Critical")))))</x:f>
      </x:c>
      <x:c r="L293" s="16" t="str">
        <x:f>IF(A293="","",Events!U292)</x:f>
      </x:c>
      <x:c r="M293" s="16" t="str">
        <x:f>IF(A293="","",Events!V292)</x:f>
      </x:c>
      <x:c r="N293" s="16" t="str">
        <x:f>IF(A293="","",Events!Q292)</x:f>
      </x:c>
      <x:c r="O293" s="16" t="str">
        <x:f>IF(A293="","",Events!R292)</x:f>
      </x:c>
      <x:c r="P293" s="16" t="str">
        <x:f>IF(A293="","",LOWER(Events!B292&amp;" "&amp;Events!D292&amp;" "&amp;Events!K292))</x:f>
      </x:c>
      <x:c r="Q293" s="16" t="str">
        <x:f>IF(A293="","",LOWER(Events!C292&amp;" "&amp;Events!K292&amp;" "&amp;Events!T292))</x:f>
      </x:c>
      <x:c r="R293" s="16" t="str">
        <x:f>IF(A293="","",IF(ISNUMBER(SEARCH("Occurrence verified",E293)),"Occurrence verified",E293))</x:f>
      </x:c>
      <x:c r="S293" s="79" t="str">
        <x:f>IF(A293="","",Events!X292)</x:f>
      </x:c>
      <x:c r="Z293" s="79" t="str">
        <x:f>IF(A293="","",Events!AD292)</x:f>
      </x:c>
      <x:c r="AA293" s="79" t="str">
        <x:f>IF(A293="","",Events!AE292)</x:f>
      </x:c>
    </x:row>
    <x:row r="294">
      <x:c r="A294" s="16" t="str">
        <x:f>IF(Events!A293="","",Events!A293)</x:f>
      </x:c>
      <x:c r="B294" s="16" t="str">
        <x:f>IF(A294="","",Events!B293)</x:f>
      </x:c>
      <x:c r="C294" s="16" t="str">
        <x:f>IF(A294="","",Events!E293)</x:f>
      </x:c>
      <x:c r="D294" s="16" t="str">
        <x:f>IF(A294="","",Events!J293)</x:f>
      </x:c>
      <x:c r="E294" s="16" t="str">
        <x:f>IF(A294="","",Events!N293)</x:f>
      </x:c>
      <x:c r="F294" s="109" t="str">
        <x:f>IF(OR(A294="",Events!H293=""),"",Events!H293)</x:f>
      </x:c>
      <x:c r="G294" s="109" t="str">
        <x:f>IF(A294="","",IF(Events!I293&lt;&gt;"",Events!I293,IF(Events!S293&lt;&gt;"",Events!S293,"")))</x:f>
      </x:c>
      <x:c r="H294" s="16" t="str">
        <x:f>IF(A294="","",Events!W293)</x:f>
      </x:c>
      <x:c r="I294" s="16" t="str">
        <x:f>IF(A294="","",IF(Events!Y293&lt;&gt;"",Events!Y293,IF(OR(ISNUMBER(SEARCH("education",P294)),ISNUMBER(SEARCH("exam",P294)),ISNUMBER(SEARCH("school",P294))),"Education",IF(OR(ISNUMBER(SEARCH("trade agreement",P294)),ISNUMBER(SEARCH("economic",P294)),ISNUMBER(SEARCH("import",P294))),"Trade &amp; economic policy",IF(OR(ISNUMBER(SEARCH("land acquisition",P294)),ISNUMBER(SEARCH("rehabilitation",P294)),ISNUMBER(SEARCH("displacement",P294)),ISNUMBER(SEARCH("township",P294))),"Land &amp; rehabilitation",IF(OR(ISNUMBER(SEARCH("forest",P294)),ISNUMBER(SEARCH("environment",P294)),ISNUMBER(SEARCH("ecological",P294)),ISNUMBER(SEARCH("biodiversity",P294)),ISNUMBER(SEARCH("green cover",P294))),"Environment",IF(OR(ISNUMBER(SEARCH("irrigation",P294)),ISNUMBER(SEARCH("water",P294)),ISNUMBER(SEARCH("crop",P294)),ISNUMBER(SEARCH("farmer",P294)),ISNUMBER(SEARCH("agriculture",P294))),"Agriculture &amp; water",IF(OR(ISNUMBER(SEARCH("health",P294)),ISNUMBER(SEARCH("hospital",P294)),ISNUMBER(SEARCH("medicine",P294))),"Public health",IF(OR(ISNUMBER(SEARCH("employee",P294)),ISNUMBER(SEARCH("labour",P294)),ISNUMBER(SEARCH("worker",P294)),ISNUMBER(SEARCH("salary",P294))),"Labour &amp; employment",IF(OR(ISNUMBER(SEARCH("rti",P294)),ISNUMBER(SEARCH("transparency",P294)),ISNUMBER(SEARCH("corruption",P294)),ISNUMBER(SEARCH("governance",P294))),"Governance &amp; transparency",IF(OR(ISNUMBER(SEARCH("police",P294)),ISNUMBER(SEARCH("detention",P294)),ISNUMBER(SEARCH("civil rights",P294)),ISNUMBER(SEARCH("justice",P294))),"Civil rights &amp; justice",IF(OR(ISNUMBER(SEARCH("road",P294)),ISNUMBER(SEARCH("utility",P294)),ISNUMBER(SEARCH("infrastructure",P294)),ISNUMBER(SEARCH("public service",P294))),"Infrastructure &amp; public services","Other"))))))))))))</x:f>
      </x:c>
      <x:c r="J294" s="16" t="str">
        <x:f>IF(A294="","",IF(OR(ISNUMBER(SEARCH("fatal",Q294)),ISNUMBER(SEARCH("death",Q294)),ISNUMBER(SEARCH("riot",Q294)),ISNUMBER(SEARCH("curfew",Q294)),ISNUMBER(SEARCH("internet shutdown",Q294))),5,MIN(4,1+IF(H294&gt;=7,1,0)+IF(OR(ISNUMBER(SEARCH("hunger strike",Q294)),ISNUMBER(SEARCH("blockade",Q294)),ISNUMBER(SEARCH("strike",Q294)),ISNUMBER(SEARCH("jal satyagraha",Q294)),ISNUMBER(SEARCH("survey",Q294)),ISNUMBER(SEARCH("human chain",Q294)),ISNUMBER(SEARCH("march",Q294))),1,0)+IF(OR(ISNUMBER(SEARCH("fir",Q294)),ISNUMBER(SEARCH("confrontation",Q294)),ISNUMBER(SEARCH("violence",Q294)),ISNUMBER(SEARCH("detention",Q294)),ISNUMBER(SEARCH("arrest",Q294)),ISNUMBER(SEARCH("demolition",Q294)),ISNUMBER(SEARCH("injury",Q294))),1,0)+IF(OR(D294="Ongoing",D294="Unresolved"),1,0))))</x:f>
      </x:c>
      <x:c r="K294" s="16" t="str">
        <x:f>IF(J294="","",IF(J294=1,"Limited",IF(J294=2,"Local",IF(J294=3,"Significant",IF(J294=4,"High","Critical")))))</x:f>
      </x:c>
      <x:c r="L294" s="16" t="str">
        <x:f>IF(A294="","",Events!U293)</x:f>
      </x:c>
      <x:c r="M294" s="16" t="str">
        <x:f>IF(A294="","",Events!V293)</x:f>
      </x:c>
      <x:c r="N294" s="16" t="str">
        <x:f>IF(A294="","",Events!Q293)</x:f>
      </x:c>
      <x:c r="O294" s="16" t="str">
        <x:f>IF(A294="","",Events!R293)</x:f>
      </x:c>
      <x:c r="P294" s="16" t="str">
        <x:f>IF(A294="","",LOWER(Events!B293&amp;" "&amp;Events!D293&amp;" "&amp;Events!K293))</x:f>
      </x:c>
      <x:c r="Q294" s="16" t="str">
        <x:f>IF(A294="","",LOWER(Events!C293&amp;" "&amp;Events!K293&amp;" "&amp;Events!T293))</x:f>
      </x:c>
      <x:c r="R294" s="16" t="str">
        <x:f>IF(A294="","",IF(ISNUMBER(SEARCH("Occurrence verified",E294)),"Occurrence verified",E294))</x:f>
      </x:c>
      <x:c r="S294" s="79" t="str">
        <x:f>IF(A294="","",Events!X293)</x:f>
      </x:c>
      <x:c r="Z294" s="79" t="str">
        <x:f>IF(A294="","",Events!AD293)</x:f>
      </x:c>
      <x:c r="AA294" s="79" t="str">
        <x:f>IF(A294="","",Events!AE293)</x:f>
      </x:c>
    </x:row>
    <x:row r="295">
      <x:c r="A295" s="16" t="str">
        <x:f>IF(Events!A294="","",Events!A294)</x:f>
      </x:c>
      <x:c r="B295" s="16" t="str">
        <x:f>IF(A295="","",Events!B294)</x:f>
      </x:c>
      <x:c r="C295" s="16" t="str">
        <x:f>IF(A295="","",Events!E294)</x:f>
      </x:c>
      <x:c r="D295" s="16" t="str">
        <x:f>IF(A295="","",Events!J294)</x:f>
      </x:c>
      <x:c r="E295" s="16" t="str">
        <x:f>IF(A295="","",Events!N294)</x:f>
      </x:c>
      <x:c r="F295" s="109" t="str">
        <x:f>IF(OR(A295="",Events!H294=""),"",Events!H294)</x:f>
      </x:c>
      <x:c r="G295" s="109" t="str">
        <x:f>IF(A295="","",IF(Events!I294&lt;&gt;"",Events!I294,IF(Events!S294&lt;&gt;"",Events!S294,"")))</x:f>
      </x:c>
      <x:c r="H295" s="16" t="str">
        <x:f>IF(A295="","",Events!W294)</x:f>
      </x:c>
      <x:c r="I295" s="16" t="str">
        <x:f>IF(A295="","",IF(Events!Y294&lt;&gt;"",Events!Y294,IF(OR(ISNUMBER(SEARCH("education",P295)),ISNUMBER(SEARCH("exam",P295)),ISNUMBER(SEARCH("school",P295))),"Education",IF(OR(ISNUMBER(SEARCH("trade agreement",P295)),ISNUMBER(SEARCH("economic",P295)),ISNUMBER(SEARCH("import",P295))),"Trade &amp; economic policy",IF(OR(ISNUMBER(SEARCH("land acquisition",P295)),ISNUMBER(SEARCH("rehabilitation",P295)),ISNUMBER(SEARCH("displacement",P295)),ISNUMBER(SEARCH("township",P295))),"Land &amp; rehabilitation",IF(OR(ISNUMBER(SEARCH("forest",P295)),ISNUMBER(SEARCH("environment",P295)),ISNUMBER(SEARCH("ecological",P295)),ISNUMBER(SEARCH("biodiversity",P295)),ISNUMBER(SEARCH("green cover",P295))),"Environment",IF(OR(ISNUMBER(SEARCH("irrigation",P295)),ISNUMBER(SEARCH("water",P295)),ISNUMBER(SEARCH("crop",P295)),ISNUMBER(SEARCH("farmer",P295)),ISNUMBER(SEARCH("agriculture",P295))),"Agriculture &amp; water",IF(OR(ISNUMBER(SEARCH("health",P295)),ISNUMBER(SEARCH("hospital",P295)),ISNUMBER(SEARCH("medicine",P295))),"Public health",IF(OR(ISNUMBER(SEARCH("employee",P295)),ISNUMBER(SEARCH("labour",P295)),ISNUMBER(SEARCH("worker",P295)),ISNUMBER(SEARCH("salary",P295))),"Labour &amp; employment",IF(OR(ISNUMBER(SEARCH("rti",P295)),ISNUMBER(SEARCH("transparency",P295)),ISNUMBER(SEARCH("corruption",P295)),ISNUMBER(SEARCH("governance",P295))),"Governance &amp; transparency",IF(OR(ISNUMBER(SEARCH("police",P295)),ISNUMBER(SEARCH("detention",P295)),ISNUMBER(SEARCH("civil rights",P295)),ISNUMBER(SEARCH("justice",P295))),"Civil rights &amp; justice",IF(OR(ISNUMBER(SEARCH("road",P295)),ISNUMBER(SEARCH("utility",P295)),ISNUMBER(SEARCH("infrastructure",P295)),ISNUMBER(SEARCH("public service",P295))),"Infrastructure &amp; public services","Other"))))))))))))</x:f>
      </x:c>
      <x:c r="J295" s="16" t="str">
        <x:f>IF(A295="","",IF(OR(ISNUMBER(SEARCH("fatal",Q295)),ISNUMBER(SEARCH("death",Q295)),ISNUMBER(SEARCH("riot",Q295)),ISNUMBER(SEARCH("curfew",Q295)),ISNUMBER(SEARCH("internet shutdown",Q295))),5,MIN(4,1+IF(H295&gt;=7,1,0)+IF(OR(ISNUMBER(SEARCH("hunger strike",Q295)),ISNUMBER(SEARCH("blockade",Q295)),ISNUMBER(SEARCH("strike",Q295)),ISNUMBER(SEARCH("jal satyagraha",Q295)),ISNUMBER(SEARCH("survey",Q295)),ISNUMBER(SEARCH("human chain",Q295)),ISNUMBER(SEARCH("march",Q295))),1,0)+IF(OR(ISNUMBER(SEARCH("fir",Q295)),ISNUMBER(SEARCH("confrontation",Q295)),ISNUMBER(SEARCH("violence",Q295)),ISNUMBER(SEARCH("detention",Q295)),ISNUMBER(SEARCH("arrest",Q295)),ISNUMBER(SEARCH("demolition",Q295)),ISNUMBER(SEARCH("injury",Q295))),1,0)+IF(OR(D295="Ongoing",D295="Unresolved"),1,0))))</x:f>
      </x:c>
      <x:c r="K295" s="16" t="str">
        <x:f>IF(J295="","",IF(J295=1,"Limited",IF(J295=2,"Local",IF(J295=3,"Significant",IF(J295=4,"High","Critical")))))</x:f>
      </x:c>
      <x:c r="L295" s="16" t="str">
        <x:f>IF(A295="","",Events!U294)</x:f>
      </x:c>
      <x:c r="M295" s="16" t="str">
        <x:f>IF(A295="","",Events!V294)</x:f>
      </x:c>
      <x:c r="N295" s="16" t="str">
        <x:f>IF(A295="","",Events!Q294)</x:f>
      </x:c>
      <x:c r="O295" s="16" t="str">
        <x:f>IF(A295="","",Events!R294)</x:f>
      </x:c>
      <x:c r="P295" s="16" t="str">
        <x:f>IF(A295="","",LOWER(Events!B294&amp;" "&amp;Events!D294&amp;" "&amp;Events!K294))</x:f>
      </x:c>
      <x:c r="Q295" s="16" t="str">
        <x:f>IF(A295="","",LOWER(Events!C294&amp;" "&amp;Events!K294&amp;" "&amp;Events!T294))</x:f>
      </x:c>
      <x:c r="R295" s="16" t="str">
        <x:f>IF(A295="","",IF(ISNUMBER(SEARCH("Occurrence verified",E295)),"Occurrence verified",E295))</x:f>
      </x:c>
      <x:c r="S295" s="79" t="str">
        <x:f>IF(A295="","",Events!X294)</x:f>
      </x:c>
      <x:c r="Z295" s="79" t="str">
        <x:f>IF(A295="","",Events!AD294)</x:f>
      </x:c>
      <x:c r="AA295" s="79" t="str">
        <x:f>IF(A295="","",Events!AE294)</x:f>
      </x:c>
    </x:row>
    <x:row r="296">
      <x:c r="A296" s="16" t="str">
        <x:f>IF(Events!A295="","",Events!A295)</x:f>
      </x:c>
      <x:c r="B296" s="16" t="str">
        <x:f>IF(A296="","",Events!B295)</x:f>
      </x:c>
      <x:c r="C296" s="16" t="str">
        <x:f>IF(A296="","",Events!E295)</x:f>
      </x:c>
      <x:c r="D296" s="16" t="str">
        <x:f>IF(A296="","",Events!J295)</x:f>
      </x:c>
      <x:c r="E296" s="16" t="str">
        <x:f>IF(A296="","",Events!N295)</x:f>
      </x:c>
      <x:c r="F296" s="109" t="str">
        <x:f>IF(OR(A296="",Events!H295=""),"",Events!H295)</x:f>
      </x:c>
      <x:c r="G296" s="109" t="str">
        <x:f>IF(A296="","",IF(Events!I295&lt;&gt;"",Events!I295,IF(Events!S295&lt;&gt;"",Events!S295,"")))</x:f>
      </x:c>
      <x:c r="H296" s="16" t="str">
        <x:f>IF(A296="","",Events!W295)</x:f>
      </x:c>
      <x:c r="I296" s="16" t="str">
        <x:f>IF(A296="","",IF(Events!Y295&lt;&gt;"",Events!Y295,IF(OR(ISNUMBER(SEARCH("education",P296)),ISNUMBER(SEARCH("exam",P296)),ISNUMBER(SEARCH("school",P296))),"Education",IF(OR(ISNUMBER(SEARCH("trade agreement",P296)),ISNUMBER(SEARCH("economic",P296)),ISNUMBER(SEARCH("import",P296))),"Trade &amp; economic policy",IF(OR(ISNUMBER(SEARCH("land acquisition",P296)),ISNUMBER(SEARCH("rehabilitation",P296)),ISNUMBER(SEARCH("displacement",P296)),ISNUMBER(SEARCH("township",P296))),"Land &amp; rehabilitation",IF(OR(ISNUMBER(SEARCH("forest",P296)),ISNUMBER(SEARCH("environment",P296)),ISNUMBER(SEARCH("ecological",P296)),ISNUMBER(SEARCH("biodiversity",P296)),ISNUMBER(SEARCH("green cover",P296))),"Environment",IF(OR(ISNUMBER(SEARCH("irrigation",P296)),ISNUMBER(SEARCH("water",P296)),ISNUMBER(SEARCH("crop",P296)),ISNUMBER(SEARCH("farmer",P296)),ISNUMBER(SEARCH("agriculture",P296))),"Agriculture &amp; water",IF(OR(ISNUMBER(SEARCH("health",P296)),ISNUMBER(SEARCH("hospital",P296)),ISNUMBER(SEARCH("medicine",P296))),"Public health",IF(OR(ISNUMBER(SEARCH("employee",P296)),ISNUMBER(SEARCH("labour",P296)),ISNUMBER(SEARCH("worker",P296)),ISNUMBER(SEARCH("salary",P296))),"Labour &amp; employment",IF(OR(ISNUMBER(SEARCH("rti",P296)),ISNUMBER(SEARCH("transparency",P296)),ISNUMBER(SEARCH("corruption",P296)),ISNUMBER(SEARCH("governance",P296))),"Governance &amp; transparency",IF(OR(ISNUMBER(SEARCH("police",P296)),ISNUMBER(SEARCH("detention",P296)),ISNUMBER(SEARCH("civil rights",P296)),ISNUMBER(SEARCH("justice",P296))),"Civil rights &amp; justice",IF(OR(ISNUMBER(SEARCH("road",P296)),ISNUMBER(SEARCH("utility",P296)),ISNUMBER(SEARCH("infrastructure",P296)),ISNUMBER(SEARCH("public service",P296))),"Infrastructure &amp; public services","Other"))))))))))))</x:f>
      </x:c>
      <x:c r="J296" s="16" t="str">
        <x:f>IF(A296="","",IF(OR(ISNUMBER(SEARCH("fatal",Q296)),ISNUMBER(SEARCH("death",Q296)),ISNUMBER(SEARCH("riot",Q296)),ISNUMBER(SEARCH("curfew",Q296)),ISNUMBER(SEARCH("internet shutdown",Q296))),5,MIN(4,1+IF(H296&gt;=7,1,0)+IF(OR(ISNUMBER(SEARCH("hunger strike",Q296)),ISNUMBER(SEARCH("blockade",Q296)),ISNUMBER(SEARCH("strike",Q296)),ISNUMBER(SEARCH("jal satyagraha",Q296)),ISNUMBER(SEARCH("survey",Q296)),ISNUMBER(SEARCH("human chain",Q296)),ISNUMBER(SEARCH("march",Q296))),1,0)+IF(OR(ISNUMBER(SEARCH("fir",Q296)),ISNUMBER(SEARCH("confrontation",Q296)),ISNUMBER(SEARCH("violence",Q296)),ISNUMBER(SEARCH("detention",Q296)),ISNUMBER(SEARCH("arrest",Q296)),ISNUMBER(SEARCH("demolition",Q296)),ISNUMBER(SEARCH("injury",Q296))),1,0)+IF(OR(D296="Ongoing",D296="Unresolved"),1,0))))</x:f>
      </x:c>
      <x:c r="K296" s="16" t="str">
        <x:f>IF(J296="","",IF(J296=1,"Limited",IF(J296=2,"Local",IF(J296=3,"Significant",IF(J296=4,"High","Critical")))))</x:f>
      </x:c>
      <x:c r="L296" s="16" t="str">
        <x:f>IF(A296="","",Events!U295)</x:f>
      </x:c>
      <x:c r="M296" s="16" t="str">
        <x:f>IF(A296="","",Events!V295)</x:f>
      </x:c>
      <x:c r="N296" s="16" t="str">
        <x:f>IF(A296="","",Events!Q295)</x:f>
      </x:c>
      <x:c r="O296" s="16" t="str">
        <x:f>IF(A296="","",Events!R295)</x:f>
      </x:c>
      <x:c r="P296" s="16" t="str">
        <x:f>IF(A296="","",LOWER(Events!B295&amp;" "&amp;Events!D295&amp;" "&amp;Events!K295))</x:f>
      </x:c>
      <x:c r="Q296" s="16" t="str">
        <x:f>IF(A296="","",LOWER(Events!C295&amp;" "&amp;Events!K295&amp;" "&amp;Events!T295))</x:f>
      </x:c>
      <x:c r="R296" s="16" t="str">
        <x:f>IF(A296="","",IF(ISNUMBER(SEARCH("Occurrence verified",E296)),"Occurrence verified",E296))</x:f>
      </x:c>
      <x:c r="S296" s="79" t="str">
        <x:f>IF(A296="","",Events!X295)</x:f>
      </x:c>
      <x:c r="Z296" s="79" t="str">
        <x:f>IF(A296="","",Events!AD295)</x:f>
      </x:c>
      <x:c r="AA296" s="79" t="str">
        <x:f>IF(A296="","",Events!AE295)</x:f>
      </x:c>
    </x:row>
    <x:row r="297">
      <x:c r="A297" s="16" t="str">
        <x:f>IF(Events!A296="","",Events!A296)</x:f>
      </x:c>
      <x:c r="B297" s="16" t="str">
        <x:f>IF(A297="","",Events!B296)</x:f>
      </x:c>
      <x:c r="C297" s="16" t="str">
        <x:f>IF(A297="","",Events!E296)</x:f>
      </x:c>
      <x:c r="D297" s="16" t="str">
        <x:f>IF(A297="","",Events!J296)</x:f>
      </x:c>
      <x:c r="E297" s="16" t="str">
        <x:f>IF(A297="","",Events!N296)</x:f>
      </x:c>
      <x:c r="F297" s="109" t="str">
        <x:f>IF(OR(A297="",Events!H296=""),"",Events!H296)</x:f>
      </x:c>
      <x:c r="G297" s="109" t="str">
        <x:f>IF(A297="","",IF(Events!I296&lt;&gt;"",Events!I296,IF(Events!S296&lt;&gt;"",Events!S296,"")))</x:f>
      </x:c>
      <x:c r="H297" s="16" t="str">
        <x:f>IF(A297="","",Events!W296)</x:f>
      </x:c>
      <x:c r="I297" s="16" t="str">
        <x:f>IF(A297="","",IF(Events!Y296&lt;&gt;"",Events!Y296,IF(OR(ISNUMBER(SEARCH("education",P297)),ISNUMBER(SEARCH("exam",P297)),ISNUMBER(SEARCH("school",P297))),"Education",IF(OR(ISNUMBER(SEARCH("trade agreement",P297)),ISNUMBER(SEARCH("economic",P297)),ISNUMBER(SEARCH("import",P297))),"Trade &amp; economic policy",IF(OR(ISNUMBER(SEARCH("land acquisition",P297)),ISNUMBER(SEARCH("rehabilitation",P297)),ISNUMBER(SEARCH("displacement",P297)),ISNUMBER(SEARCH("township",P297))),"Land &amp; rehabilitation",IF(OR(ISNUMBER(SEARCH("forest",P297)),ISNUMBER(SEARCH("environment",P297)),ISNUMBER(SEARCH("ecological",P297)),ISNUMBER(SEARCH("biodiversity",P297)),ISNUMBER(SEARCH("green cover",P297))),"Environment",IF(OR(ISNUMBER(SEARCH("irrigation",P297)),ISNUMBER(SEARCH("water",P297)),ISNUMBER(SEARCH("crop",P297)),ISNUMBER(SEARCH("farmer",P297)),ISNUMBER(SEARCH("agriculture",P297))),"Agriculture &amp; water",IF(OR(ISNUMBER(SEARCH("health",P297)),ISNUMBER(SEARCH("hospital",P297)),ISNUMBER(SEARCH("medicine",P297))),"Public health",IF(OR(ISNUMBER(SEARCH("employee",P297)),ISNUMBER(SEARCH("labour",P297)),ISNUMBER(SEARCH("worker",P297)),ISNUMBER(SEARCH("salary",P297))),"Labour &amp; employment",IF(OR(ISNUMBER(SEARCH("rti",P297)),ISNUMBER(SEARCH("transparency",P297)),ISNUMBER(SEARCH("corruption",P297)),ISNUMBER(SEARCH("governance",P297))),"Governance &amp; transparency",IF(OR(ISNUMBER(SEARCH("police",P297)),ISNUMBER(SEARCH("detention",P297)),ISNUMBER(SEARCH("civil rights",P297)),ISNUMBER(SEARCH("justice",P297))),"Civil rights &amp; justice",IF(OR(ISNUMBER(SEARCH("road",P297)),ISNUMBER(SEARCH("utility",P297)),ISNUMBER(SEARCH("infrastructure",P297)),ISNUMBER(SEARCH("public service",P297))),"Infrastructure &amp; public services","Other"))))))))))))</x:f>
      </x:c>
      <x:c r="J297" s="16" t="str">
        <x:f>IF(A297="","",IF(OR(ISNUMBER(SEARCH("fatal",Q297)),ISNUMBER(SEARCH("death",Q297)),ISNUMBER(SEARCH("riot",Q297)),ISNUMBER(SEARCH("curfew",Q297)),ISNUMBER(SEARCH("internet shutdown",Q297))),5,MIN(4,1+IF(H297&gt;=7,1,0)+IF(OR(ISNUMBER(SEARCH("hunger strike",Q297)),ISNUMBER(SEARCH("blockade",Q297)),ISNUMBER(SEARCH("strike",Q297)),ISNUMBER(SEARCH("jal satyagraha",Q297)),ISNUMBER(SEARCH("survey",Q297)),ISNUMBER(SEARCH("human chain",Q297)),ISNUMBER(SEARCH("march",Q297))),1,0)+IF(OR(ISNUMBER(SEARCH("fir",Q297)),ISNUMBER(SEARCH("confrontation",Q297)),ISNUMBER(SEARCH("violence",Q297)),ISNUMBER(SEARCH("detention",Q297)),ISNUMBER(SEARCH("arrest",Q297)),ISNUMBER(SEARCH("demolition",Q297)),ISNUMBER(SEARCH("injury",Q297))),1,0)+IF(OR(D297="Ongoing",D297="Unresolved"),1,0))))</x:f>
      </x:c>
      <x:c r="K297" s="16" t="str">
        <x:f>IF(J297="","",IF(J297=1,"Limited",IF(J297=2,"Local",IF(J297=3,"Significant",IF(J297=4,"High","Critical")))))</x:f>
      </x:c>
      <x:c r="L297" s="16" t="str">
        <x:f>IF(A297="","",Events!U296)</x:f>
      </x:c>
      <x:c r="M297" s="16" t="str">
        <x:f>IF(A297="","",Events!V296)</x:f>
      </x:c>
      <x:c r="N297" s="16" t="str">
        <x:f>IF(A297="","",Events!Q296)</x:f>
      </x:c>
      <x:c r="O297" s="16" t="str">
        <x:f>IF(A297="","",Events!R296)</x:f>
      </x:c>
      <x:c r="P297" s="16" t="str">
        <x:f>IF(A297="","",LOWER(Events!B296&amp;" "&amp;Events!D296&amp;" "&amp;Events!K296))</x:f>
      </x:c>
      <x:c r="Q297" s="16" t="str">
        <x:f>IF(A297="","",LOWER(Events!C296&amp;" "&amp;Events!K296&amp;" "&amp;Events!T296))</x:f>
      </x:c>
      <x:c r="R297" s="16" t="str">
        <x:f>IF(A297="","",IF(ISNUMBER(SEARCH("Occurrence verified",E297)),"Occurrence verified",E297))</x:f>
      </x:c>
      <x:c r="S297" s="79" t="str">
        <x:f>IF(A297="","",Events!X296)</x:f>
      </x:c>
      <x:c r="Z297" s="79" t="str">
        <x:f>IF(A297="","",Events!AD296)</x:f>
      </x:c>
      <x:c r="AA297" s="79" t="str">
        <x:f>IF(A297="","",Events!AE296)</x:f>
      </x:c>
    </x:row>
    <x:row r="298">
      <x:c r="A298" s="16" t="str">
        <x:f>IF(Events!A297="","",Events!A297)</x:f>
      </x:c>
      <x:c r="B298" s="16" t="str">
        <x:f>IF(A298="","",Events!B297)</x:f>
      </x:c>
      <x:c r="C298" s="16" t="str">
        <x:f>IF(A298="","",Events!E297)</x:f>
      </x:c>
      <x:c r="D298" s="16" t="str">
        <x:f>IF(A298="","",Events!J297)</x:f>
      </x:c>
      <x:c r="E298" s="16" t="str">
        <x:f>IF(A298="","",Events!N297)</x:f>
      </x:c>
      <x:c r="F298" s="109" t="str">
        <x:f>IF(OR(A298="",Events!H297=""),"",Events!H297)</x:f>
      </x:c>
      <x:c r="G298" s="109" t="str">
        <x:f>IF(A298="","",IF(Events!I297&lt;&gt;"",Events!I297,IF(Events!S297&lt;&gt;"",Events!S297,"")))</x:f>
      </x:c>
      <x:c r="H298" s="16" t="str">
        <x:f>IF(A298="","",Events!W297)</x:f>
      </x:c>
      <x:c r="I298" s="16" t="str">
        <x:f>IF(A298="","",IF(Events!Y297&lt;&gt;"",Events!Y297,IF(OR(ISNUMBER(SEARCH("education",P298)),ISNUMBER(SEARCH("exam",P298)),ISNUMBER(SEARCH("school",P298))),"Education",IF(OR(ISNUMBER(SEARCH("trade agreement",P298)),ISNUMBER(SEARCH("economic",P298)),ISNUMBER(SEARCH("import",P298))),"Trade &amp; economic policy",IF(OR(ISNUMBER(SEARCH("land acquisition",P298)),ISNUMBER(SEARCH("rehabilitation",P298)),ISNUMBER(SEARCH("displacement",P298)),ISNUMBER(SEARCH("township",P298))),"Land &amp; rehabilitation",IF(OR(ISNUMBER(SEARCH("forest",P298)),ISNUMBER(SEARCH("environment",P298)),ISNUMBER(SEARCH("ecological",P298)),ISNUMBER(SEARCH("biodiversity",P298)),ISNUMBER(SEARCH("green cover",P298))),"Environment",IF(OR(ISNUMBER(SEARCH("irrigation",P298)),ISNUMBER(SEARCH("water",P298)),ISNUMBER(SEARCH("crop",P298)),ISNUMBER(SEARCH("farmer",P298)),ISNUMBER(SEARCH("agriculture",P298))),"Agriculture &amp; water",IF(OR(ISNUMBER(SEARCH("health",P298)),ISNUMBER(SEARCH("hospital",P298)),ISNUMBER(SEARCH("medicine",P298))),"Public health",IF(OR(ISNUMBER(SEARCH("employee",P298)),ISNUMBER(SEARCH("labour",P298)),ISNUMBER(SEARCH("worker",P298)),ISNUMBER(SEARCH("salary",P298))),"Labour &amp; employment",IF(OR(ISNUMBER(SEARCH("rti",P298)),ISNUMBER(SEARCH("transparency",P298)),ISNUMBER(SEARCH("corruption",P298)),ISNUMBER(SEARCH("governance",P298))),"Governance &amp; transparency",IF(OR(ISNUMBER(SEARCH("police",P298)),ISNUMBER(SEARCH("detention",P298)),ISNUMBER(SEARCH("civil rights",P298)),ISNUMBER(SEARCH("justice",P298))),"Civil rights &amp; justice",IF(OR(ISNUMBER(SEARCH("road",P298)),ISNUMBER(SEARCH("utility",P298)),ISNUMBER(SEARCH("infrastructure",P298)),ISNUMBER(SEARCH("public service",P298))),"Infrastructure &amp; public services","Other"))))))))))))</x:f>
      </x:c>
      <x:c r="J298" s="16" t="str">
        <x:f>IF(A298="","",IF(OR(ISNUMBER(SEARCH("fatal",Q298)),ISNUMBER(SEARCH("death",Q298)),ISNUMBER(SEARCH("riot",Q298)),ISNUMBER(SEARCH("curfew",Q298)),ISNUMBER(SEARCH("internet shutdown",Q298))),5,MIN(4,1+IF(H298&gt;=7,1,0)+IF(OR(ISNUMBER(SEARCH("hunger strike",Q298)),ISNUMBER(SEARCH("blockade",Q298)),ISNUMBER(SEARCH("strike",Q298)),ISNUMBER(SEARCH("jal satyagraha",Q298)),ISNUMBER(SEARCH("survey",Q298)),ISNUMBER(SEARCH("human chain",Q298)),ISNUMBER(SEARCH("march",Q298))),1,0)+IF(OR(ISNUMBER(SEARCH("fir",Q298)),ISNUMBER(SEARCH("confrontation",Q298)),ISNUMBER(SEARCH("violence",Q298)),ISNUMBER(SEARCH("detention",Q298)),ISNUMBER(SEARCH("arrest",Q298)),ISNUMBER(SEARCH("demolition",Q298)),ISNUMBER(SEARCH("injury",Q298))),1,0)+IF(OR(D298="Ongoing",D298="Unresolved"),1,0))))</x:f>
      </x:c>
      <x:c r="K298" s="16" t="str">
        <x:f>IF(J298="","",IF(J298=1,"Limited",IF(J298=2,"Local",IF(J298=3,"Significant",IF(J298=4,"High","Critical")))))</x:f>
      </x:c>
      <x:c r="L298" s="16" t="str">
        <x:f>IF(A298="","",Events!U297)</x:f>
      </x:c>
      <x:c r="M298" s="16" t="str">
        <x:f>IF(A298="","",Events!V297)</x:f>
      </x:c>
      <x:c r="N298" s="16" t="str">
        <x:f>IF(A298="","",Events!Q297)</x:f>
      </x:c>
      <x:c r="O298" s="16" t="str">
        <x:f>IF(A298="","",Events!R297)</x:f>
      </x:c>
      <x:c r="P298" s="16" t="str">
        <x:f>IF(A298="","",LOWER(Events!B297&amp;" "&amp;Events!D297&amp;" "&amp;Events!K297))</x:f>
      </x:c>
      <x:c r="Q298" s="16" t="str">
        <x:f>IF(A298="","",LOWER(Events!C297&amp;" "&amp;Events!K297&amp;" "&amp;Events!T297))</x:f>
      </x:c>
      <x:c r="R298" s="16" t="str">
        <x:f>IF(A298="","",IF(ISNUMBER(SEARCH("Occurrence verified",E298)),"Occurrence verified",E298))</x:f>
      </x:c>
      <x:c r="S298" s="79" t="str">
        <x:f>IF(A298="","",Events!X297)</x:f>
      </x:c>
      <x:c r="Z298" s="79" t="str">
        <x:f>IF(A298="","",Events!AD297)</x:f>
      </x:c>
      <x:c r="AA298" s="79" t="str">
        <x:f>IF(A298="","",Events!AE297)</x:f>
      </x:c>
    </x:row>
    <x:row r="299">
      <x:c r="A299" s="16" t="str">
        <x:f>IF(Events!A298="","",Events!A298)</x:f>
      </x:c>
      <x:c r="B299" s="16" t="str">
        <x:f>IF(A299="","",Events!B298)</x:f>
      </x:c>
      <x:c r="C299" s="16" t="str">
        <x:f>IF(A299="","",Events!E298)</x:f>
      </x:c>
      <x:c r="D299" s="16" t="str">
        <x:f>IF(A299="","",Events!J298)</x:f>
      </x:c>
      <x:c r="E299" s="16" t="str">
        <x:f>IF(A299="","",Events!N298)</x:f>
      </x:c>
      <x:c r="F299" s="109" t="str">
        <x:f>IF(OR(A299="",Events!H298=""),"",Events!H298)</x:f>
      </x:c>
      <x:c r="G299" s="109" t="str">
        <x:f>IF(A299="","",IF(Events!I298&lt;&gt;"",Events!I298,IF(Events!S298&lt;&gt;"",Events!S298,"")))</x:f>
      </x:c>
      <x:c r="H299" s="16" t="str">
        <x:f>IF(A299="","",Events!W298)</x:f>
      </x:c>
      <x:c r="I299" s="16" t="str">
        <x:f>IF(A299="","",IF(Events!Y298&lt;&gt;"",Events!Y298,IF(OR(ISNUMBER(SEARCH("education",P299)),ISNUMBER(SEARCH("exam",P299)),ISNUMBER(SEARCH("school",P299))),"Education",IF(OR(ISNUMBER(SEARCH("trade agreement",P299)),ISNUMBER(SEARCH("economic",P299)),ISNUMBER(SEARCH("import",P299))),"Trade &amp; economic policy",IF(OR(ISNUMBER(SEARCH("land acquisition",P299)),ISNUMBER(SEARCH("rehabilitation",P299)),ISNUMBER(SEARCH("displacement",P299)),ISNUMBER(SEARCH("township",P299))),"Land &amp; rehabilitation",IF(OR(ISNUMBER(SEARCH("forest",P299)),ISNUMBER(SEARCH("environment",P299)),ISNUMBER(SEARCH("ecological",P299)),ISNUMBER(SEARCH("biodiversity",P299)),ISNUMBER(SEARCH("green cover",P299))),"Environment",IF(OR(ISNUMBER(SEARCH("irrigation",P299)),ISNUMBER(SEARCH("water",P299)),ISNUMBER(SEARCH("crop",P299)),ISNUMBER(SEARCH("farmer",P299)),ISNUMBER(SEARCH("agriculture",P299))),"Agriculture &amp; water",IF(OR(ISNUMBER(SEARCH("health",P299)),ISNUMBER(SEARCH("hospital",P299)),ISNUMBER(SEARCH("medicine",P299))),"Public health",IF(OR(ISNUMBER(SEARCH("employee",P299)),ISNUMBER(SEARCH("labour",P299)),ISNUMBER(SEARCH("worker",P299)),ISNUMBER(SEARCH("salary",P299))),"Labour &amp; employment",IF(OR(ISNUMBER(SEARCH("rti",P299)),ISNUMBER(SEARCH("transparency",P299)),ISNUMBER(SEARCH("corruption",P299)),ISNUMBER(SEARCH("governance",P299))),"Governance &amp; transparency",IF(OR(ISNUMBER(SEARCH("police",P299)),ISNUMBER(SEARCH("detention",P299)),ISNUMBER(SEARCH("civil rights",P299)),ISNUMBER(SEARCH("justice",P299))),"Civil rights &amp; justice",IF(OR(ISNUMBER(SEARCH("road",P299)),ISNUMBER(SEARCH("utility",P299)),ISNUMBER(SEARCH("infrastructure",P299)),ISNUMBER(SEARCH("public service",P299))),"Infrastructure &amp; public services","Other"))))))))))))</x:f>
      </x:c>
      <x:c r="J299" s="16" t="str">
        <x:f>IF(A299="","",IF(OR(ISNUMBER(SEARCH("fatal",Q299)),ISNUMBER(SEARCH("death",Q299)),ISNUMBER(SEARCH("riot",Q299)),ISNUMBER(SEARCH("curfew",Q299)),ISNUMBER(SEARCH("internet shutdown",Q299))),5,MIN(4,1+IF(H299&gt;=7,1,0)+IF(OR(ISNUMBER(SEARCH("hunger strike",Q299)),ISNUMBER(SEARCH("blockade",Q299)),ISNUMBER(SEARCH("strike",Q299)),ISNUMBER(SEARCH("jal satyagraha",Q299)),ISNUMBER(SEARCH("survey",Q299)),ISNUMBER(SEARCH("human chain",Q299)),ISNUMBER(SEARCH("march",Q299))),1,0)+IF(OR(ISNUMBER(SEARCH("fir",Q299)),ISNUMBER(SEARCH("confrontation",Q299)),ISNUMBER(SEARCH("violence",Q299)),ISNUMBER(SEARCH("detention",Q299)),ISNUMBER(SEARCH("arrest",Q299)),ISNUMBER(SEARCH("demolition",Q299)),ISNUMBER(SEARCH("injury",Q299))),1,0)+IF(OR(D299="Ongoing",D299="Unresolved"),1,0))))</x:f>
      </x:c>
      <x:c r="K299" s="16" t="str">
        <x:f>IF(J299="","",IF(J299=1,"Limited",IF(J299=2,"Local",IF(J299=3,"Significant",IF(J299=4,"High","Critical")))))</x:f>
      </x:c>
      <x:c r="L299" s="16" t="str">
        <x:f>IF(A299="","",Events!U298)</x:f>
      </x:c>
      <x:c r="M299" s="16" t="str">
        <x:f>IF(A299="","",Events!V298)</x:f>
      </x:c>
      <x:c r="N299" s="16" t="str">
        <x:f>IF(A299="","",Events!Q298)</x:f>
      </x:c>
      <x:c r="O299" s="16" t="str">
        <x:f>IF(A299="","",Events!R298)</x:f>
      </x:c>
      <x:c r="P299" s="16" t="str">
        <x:f>IF(A299="","",LOWER(Events!B298&amp;" "&amp;Events!D298&amp;" "&amp;Events!K298))</x:f>
      </x:c>
      <x:c r="Q299" s="16" t="str">
        <x:f>IF(A299="","",LOWER(Events!C298&amp;" "&amp;Events!K298&amp;" "&amp;Events!T298))</x:f>
      </x:c>
      <x:c r="R299" s="16" t="str">
        <x:f>IF(A299="","",IF(ISNUMBER(SEARCH("Occurrence verified",E299)),"Occurrence verified",E299))</x:f>
      </x:c>
      <x:c r="S299" s="79" t="str">
        <x:f>IF(A299="","",Events!X298)</x:f>
      </x:c>
      <x:c r="Z299" s="79" t="str">
        <x:f>IF(A299="","",Events!AD298)</x:f>
      </x:c>
      <x:c r="AA299" s="79" t="str">
        <x:f>IF(A299="","",Events!AE298)</x:f>
      </x:c>
    </x:row>
    <x:row r="300">
      <x:c r="A300" s="16" t="str">
        <x:f>IF(Events!A299="","",Events!A299)</x:f>
      </x:c>
      <x:c r="B300" s="16" t="str">
        <x:f>IF(A300="","",Events!B299)</x:f>
      </x:c>
      <x:c r="C300" s="16" t="str">
        <x:f>IF(A300="","",Events!E299)</x:f>
      </x:c>
      <x:c r="D300" s="16" t="str">
        <x:f>IF(A300="","",Events!J299)</x:f>
      </x:c>
      <x:c r="E300" s="16" t="str">
        <x:f>IF(A300="","",Events!N299)</x:f>
      </x:c>
      <x:c r="F300" s="109" t="str">
        <x:f>IF(OR(A300="",Events!H299=""),"",Events!H299)</x:f>
      </x:c>
      <x:c r="G300" s="109" t="str">
        <x:f>IF(A300="","",IF(Events!I299&lt;&gt;"",Events!I299,IF(Events!S299&lt;&gt;"",Events!S299,"")))</x:f>
      </x:c>
      <x:c r="H300" s="16" t="str">
        <x:f>IF(A300="","",Events!W299)</x:f>
      </x:c>
      <x:c r="I300" s="16" t="str">
        <x:f>IF(A300="","",IF(Events!Y299&lt;&gt;"",Events!Y299,IF(OR(ISNUMBER(SEARCH("education",P300)),ISNUMBER(SEARCH("exam",P300)),ISNUMBER(SEARCH("school",P300))),"Education",IF(OR(ISNUMBER(SEARCH("trade agreement",P300)),ISNUMBER(SEARCH("economic",P300)),ISNUMBER(SEARCH("import",P300))),"Trade &amp; economic policy",IF(OR(ISNUMBER(SEARCH("land acquisition",P300)),ISNUMBER(SEARCH("rehabilitation",P300)),ISNUMBER(SEARCH("displacement",P300)),ISNUMBER(SEARCH("township",P300))),"Land &amp; rehabilitation",IF(OR(ISNUMBER(SEARCH("forest",P300)),ISNUMBER(SEARCH("environment",P300)),ISNUMBER(SEARCH("ecological",P300)),ISNUMBER(SEARCH("biodiversity",P300)),ISNUMBER(SEARCH("green cover",P300))),"Environment",IF(OR(ISNUMBER(SEARCH("irrigation",P300)),ISNUMBER(SEARCH("water",P300)),ISNUMBER(SEARCH("crop",P300)),ISNUMBER(SEARCH("farmer",P300)),ISNUMBER(SEARCH("agriculture",P300))),"Agriculture &amp; water",IF(OR(ISNUMBER(SEARCH("health",P300)),ISNUMBER(SEARCH("hospital",P300)),ISNUMBER(SEARCH("medicine",P300))),"Public health",IF(OR(ISNUMBER(SEARCH("employee",P300)),ISNUMBER(SEARCH("labour",P300)),ISNUMBER(SEARCH("worker",P300)),ISNUMBER(SEARCH("salary",P300))),"Labour &amp; employment",IF(OR(ISNUMBER(SEARCH("rti",P300)),ISNUMBER(SEARCH("transparency",P300)),ISNUMBER(SEARCH("corruption",P300)),ISNUMBER(SEARCH("governance",P300))),"Governance &amp; transparency",IF(OR(ISNUMBER(SEARCH("police",P300)),ISNUMBER(SEARCH("detention",P300)),ISNUMBER(SEARCH("civil rights",P300)),ISNUMBER(SEARCH("justice",P300))),"Civil rights &amp; justice",IF(OR(ISNUMBER(SEARCH("road",P300)),ISNUMBER(SEARCH("utility",P300)),ISNUMBER(SEARCH("infrastructure",P300)),ISNUMBER(SEARCH("public service",P300))),"Infrastructure &amp; public services","Other"))))))))))))</x:f>
      </x:c>
      <x:c r="J300" s="16" t="str">
        <x:f>IF(A300="","",IF(OR(ISNUMBER(SEARCH("fatal",Q300)),ISNUMBER(SEARCH("death",Q300)),ISNUMBER(SEARCH("riot",Q300)),ISNUMBER(SEARCH("curfew",Q300)),ISNUMBER(SEARCH("internet shutdown",Q300))),5,MIN(4,1+IF(H300&gt;=7,1,0)+IF(OR(ISNUMBER(SEARCH("hunger strike",Q300)),ISNUMBER(SEARCH("blockade",Q300)),ISNUMBER(SEARCH("strike",Q300)),ISNUMBER(SEARCH("jal satyagraha",Q300)),ISNUMBER(SEARCH("survey",Q300)),ISNUMBER(SEARCH("human chain",Q300)),ISNUMBER(SEARCH("march",Q300))),1,0)+IF(OR(ISNUMBER(SEARCH("fir",Q300)),ISNUMBER(SEARCH("confrontation",Q300)),ISNUMBER(SEARCH("violence",Q300)),ISNUMBER(SEARCH("detention",Q300)),ISNUMBER(SEARCH("arrest",Q300)),ISNUMBER(SEARCH("demolition",Q300)),ISNUMBER(SEARCH("injury",Q300))),1,0)+IF(OR(D300="Ongoing",D300="Unresolved"),1,0))))</x:f>
      </x:c>
      <x:c r="K300" s="16" t="str">
        <x:f>IF(J300="","",IF(J300=1,"Limited",IF(J300=2,"Local",IF(J300=3,"Significant",IF(J300=4,"High","Critical")))))</x:f>
      </x:c>
      <x:c r="L300" s="16" t="str">
        <x:f>IF(A300="","",Events!U299)</x:f>
      </x:c>
      <x:c r="M300" s="16" t="str">
        <x:f>IF(A300="","",Events!V299)</x:f>
      </x:c>
      <x:c r="N300" s="16" t="str">
        <x:f>IF(A300="","",Events!Q299)</x:f>
      </x:c>
      <x:c r="O300" s="16" t="str">
        <x:f>IF(A300="","",Events!R299)</x:f>
      </x:c>
      <x:c r="P300" s="16" t="str">
        <x:f>IF(A300="","",LOWER(Events!B299&amp;" "&amp;Events!D299&amp;" "&amp;Events!K299))</x:f>
      </x:c>
      <x:c r="Q300" s="16" t="str">
        <x:f>IF(A300="","",LOWER(Events!C299&amp;" "&amp;Events!K299&amp;" "&amp;Events!T299))</x:f>
      </x:c>
      <x:c r="R300" s="16" t="str">
        <x:f>IF(A300="","",IF(ISNUMBER(SEARCH("Occurrence verified",E300)),"Occurrence verified",E300))</x:f>
      </x:c>
      <x:c r="S300" s="79" t="str">
        <x:f>IF(A300="","",Events!X299)</x:f>
      </x:c>
      <x:c r="Z300" s="79" t="str">
        <x:f>IF(A300="","",Events!AD299)</x:f>
      </x:c>
      <x:c r="AA300" s="79" t="str">
        <x:f>IF(A300="","",Events!AE299)</x:f>
      </x:c>
    </x:row>
    <x:row r="301">
      <x:c r="A301" s="16" t="str">
        <x:f>IF(Events!A300="","",Events!A300)</x:f>
      </x:c>
      <x:c r="B301" s="16" t="str">
        <x:f>IF(A301="","",Events!B300)</x:f>
      </x:c>
      <x:c r="C301" s="16" t="str">
        <x:f>IF(A301="","",Events!E300)</x:f>
      </x:c>
      <x:c r="D301" s="16" t="str">
        <x:f>IF(A301="","",Events!J300)</x:f>
      </x:c>
      <x:c r="E301" s="16" t="str">
        <x:f>IF(A301="","",Events!N300)</x:f>
      </x:c>
      <x:c r="F301" s="109" t="str">
        <x:f>IF(OR(A301="",Events!H300=""),"",Events!H300)</x:f>
      </x:c>
      <x:c r="G301" s="109" t="str">
        <x:f>IF(A301="","",IF(Events!I300&lt;&gt;"",Events!I300,IF(Events!S300&lt;&gt;"",Events!S300,"")))</x:f>
      </x:c>
      <x:c r="H301" s="16" t="str">
        <x:f>IF(A301="","",Events!W300)</x:f>
      </x:c>
      <x:c r="I301" s="16" t="str">
        <x:f>IF(A301="","",IF(Events!Y300&lt;&gt;"",Events!Y300,IF(OR(ISNUMBER(SEARCH("education",P301)),ISNUMBER(SEARCH("exam",P301)),ISNUMBER(SEARCH("school",P301))),"Education",IF(OR(ISNUMBER(SEARCH("trade agreement",P301)),ISNUMBER(SEARCH("economic",P301)),ISNUMBER(SEARCH("import",P301))),"Trade &amp; economic policy",IF(OR(ISNUMBER(SEARCH("land acquisition",P301)),ISNUMBER(SEARCH("rehabilitation",P301)),ISNUMBER(SEARCH("displacement",P301)),ISNUMBER(SEARCH("township",P301))),"Land &amp; rehabilitation",IF(OR(ISNUMBER(SEARCH("forest",P301)),ISNUMBER(SEARCH("environment",P301)),ISNUMBER(SEARCH("ecological",P301)),ISNUMBER(SEARCH("biodiversity",P301)),ISNUMBER(SEARCH("green cover",P301))),"Environment",IF(OR(ISNUMBER(SEARCH("irrigation",P301)),ISNUMBER(SEARCH("water",P301)),ISNUMBER(SEARCH("crop",P301)),ISNUMBER(SEARCH("farmer",P301)),ISNUMBER(SEARCH("agriculture",P301))),"Agriculture &amp; water",IF(OR(ISNUMBER(SEARCH("health",P301)),ISNUMBER(SEARCH("hospital",P301)),ISNUMBER(SEARCH("medicine",P301))),"Public health",IF(OR(ISNUMBER(SEARCH("employee",P301)),ISNUMBER(SEARCH("labour",P301)),ISNUMBER(SEARCH("worker",P301)),ISNUMBER(SEARCH("salary",P301))),"Labour &amp; employment",IF(OR(ISNUMBER(SEARCH("rti",P301)),ISNUMBER(SEARCH("transparency",P301)),ISNUMBER(SEARCH("corruption",P301)),ISNUMBER(SEARCH("governance",P301))),"Governance &amp; transparency",IF(OR(ISNUMBER(SEARCH("police",P301)),ISNUMBER(SEARCH("detention",P301)),ISNUMBER(SEARCH("civil rights",P301)),ISNUMBER(SEARCH("justice",P301))),"Civil rights &amp; justice",IF(OR(ISNUMBER(SEARCH("road",P301)),ISNUMBER(SEARCH("utility",P301)),ISNUMBER(SEARCH("infrastructure",P301)),ISNUMBER(SEARCH("public service",P301))),"Infrastructure &amp; public services","Other"))))))))))))</x:f>
      </x:c>
      <x:c r="J301" s="16" t="str">
        <x:f>IF(A301="","",IF(OR(ISNUMBER(SEARCH("fatal",Q301)),ISNUMBER(SEARCH("death",Q301)),ISNUMBER(SEARCH("riot",Q301)),ISNUMBER(SEARCH("curfew",Q301)),ISNUMBER(SEARCH("internet shutdown",Q301))),5,MIN(4,1+IF(H301&gt;=7,1,0)+IF(OR(ISNUMBER(SEARCH("hunger strike",Q301)),ISNUMBER(SEARCH("blockade",Q301)),ISNUMBER(SEARCH("strike",Q301)),ISNUMBER(SEARCH("jal satyagraha",Q301)),ISNUMBER(SEARCH("survey",Q301)),ISNUMBER(SEARCH("human chain",Q301)),ISNUMBER(SEARCH("march",Q301))),1,0)+IF(OR(ISNUMBER(SEARCH("fir",Q301)),ISNUMBER(SEARCH("confrontation",Q301)),ISNUMBER(SEARCH("violence",Q301)),ISNUMBER(SEARCH("detention",Q301)),ISNUMBER(SEARCH("arrest",Q301)),ISNUMBER(SEARCH("demolition",Q301)),ISNUMBER(SEARCH("injury",Q301))),1,0)+IF(OR(D301="Ongoing",D301="Unresolved"),1,0))))</x:f>
      </x:c>
      <x:c r="K301" s="16" t="str">
        <x:f>IF(J301="","",IF(J301=1,"Limited",IF(J301=2,"Local",IF(J301=3,"Significant",IF(J301=4,"High","Critical")))))</x:f>
      </x:c>
      <x:c r="L301" s="16" t="str">
        <x:f>IF(A301="","",Events!U300)</x:f>
      </x:c>
      <x:c r="M301" s="16" t="str">
        <x:f>IF(A301="","",Events!V300)</x:f>
      </x:c>
      <x:c r="N301" s="16" t="str">
        <x:f>IF(A301="","",Events!Q300)</x:f>
      </x:c>
      <x:c r="O301" s="16" t="str">
        <x:f>IF(A301="","",Events!R300)</x:f>
      </x:c>
      <x:c r="P301" s="16" t="str">
        <x:f>IF(A301="","",LOWER(Events!B300&amp;" "&amp;Events!D300&amp;" "&amp;Events!K300))</x:f>
      </x:c>
      <x:c r="Q301" s="16" t="str">
        <x:f>IF(A301="","",LOWER(Events!C300&amp;" "&amp;Events!K300&amp;" "&amp;Events!T300))</x:f>
      </x:c>
      <x:c r="R301" s="16" t="str">
        <x:f>IF(A301="","",IF(ISNUMBER(SEARCH("Occurrence verified",E301)),"Occurrence verified",E301))</x:f>
      </x:c>
      <x:c r="S301" s="79" t="str">
        <x:f>IF(A301="","",Events!X300)</x:f>
      </x:c>
      <x:c r="Z301" s="79" t="str">
        <x:f>IF(A301="","",Events!AD300)</x:f>
      </x:c>
      <x:c r="AA301" s="79" t="str">
        <x:f>IF(A301="","",Events!AE300)</x:f>
      </x:c>
    </x:row>
    <x:row r="302">
      <x:c r="A302" s="16" t="str">
        <x:f>IF(Events!A301="","",Events!A301)</x:f>
      </x:c>
      <x:c r="B302" s="16" t="str">
        <x:f>IF(A302="","",Events!B301)</x:f>
      </x:c>
      <x:c r="C302" s="16" t="str">
        <x:f>IF(A302="","",Events!E301)</x:f>
      </x:c>
      <x:c r="D302" s="16" t="str">
        <x:f>IF(A302="","",Events!J301)</x:f>
      </x:c>
      <x:c r="E302" s="16" t="str">
        <x:f>IF(A302="","",Events!N301)</x:f>
      </x:c>
      <x:c r="F302" s="109" t="str">
        <x:f>IF(OR(A302="",Events!H301=""),"",Events!H301)</x:f>
      </x:c>
      <x:c r="G302" s="109" t="str">
        <x:f>IF(A302="","",IF(Events!I301&lt;&gt;"",Events!I301,IF(Events!S301&lt;&gt;"",Events!S301,"")))</x:f>
      </x:c>
      <x:c r="H302" s="16" t="str">
        <x:f>IF(A302="","",Events!W301)</x:f>
      </x:c>
      <x:c r="I302" s="16" t="str">
        <x:f>IF(A302="","",IF(Events!Y301&lt;&gt;"",Events!Y301,IF(OR(ISNUMBER(SEARCH("education",P302)),ISNUMBER(SEARCH("exam",P302)),ISNUMBER(SEARCH("school",P302))),"Education",IF(OR(ISNUMBER(SEARCH("trade agreement",P302)),ISNUMBER(SEARCH("economic",P302)),ISNUMBER(SEARCH("import",P302))),"Trade &amp; economic policy",IF(OR(ISNUMBER(SEARCH("land acquisition",P302)),ISNUMBER(SEARCH("rehabilitation",P302)),ISNUMBER(SEARCH("displacement",P302)),ISNUMBER(SEARCH("township",P302))),"Land &amp; rehabilitation",IF(OR(ISNUMBER(SEARCH("forest",P302)),ISNUMBER(SEARCH("environment",P302)),ISNUMBER(SEARCH("ecological",P302)),ISNUMBER(SEARCH("biodiversity",P302)),ISNUMBER(SEARCH("green cover",P302))),"Environment",IF(OR(ISNUMBER(SEARCH("irrigation",P302)),ISNUMBER(SEARCH("water",P302)),ISNUMBER(SEARCH("crop",P302)),ISNUMBER(SEARCH("farmer",P302)),ISNUMBER(SEARCH("agriculture",P302))),"Agriculture &amp; water",IF(OR(ISNUMBER(SEARCH("health",P302)),ISNUMBER(SEARCH("hospital",P302)),ISNUMBER(SEARCH("medicine",P302))),"Public health",IF(OR(ISNUMBER(SEARCH("employee",P302)),ISNUMBER(SEARCH("labour",P302)),ISNUMBER(SEARCH("worker",P302)),ISNUMBER(SEARCH("salary",P302))),"Labour &amp; employment",IF(OR(ISNUMBER(SEARCH("rti",P302)),ISNUMBER(SEARCH("transparency",P302)),ISNUMBER(SEARCH("corruption",P302)),ISNUMBER(SEARCH("governance",P302))),"Governance &amp; transparency",IF(OR(ISNUMBER(SEARCH("police",P302)),ISNUMBER(SEARCH("detention",P302)),ISNUMBER(SEARCH("civil rights",P302)),ISNUMBER(SEARCH("justice",P302))),"Civil rights &amp; justice",IF(OR(ISNUMBER(SEARCH("road",P302)),ISNUMBER(SEARCH("utility",P302)),ISNUMBER(SEARCH("infrastructure",P302)),ISNUMBER(SEARCH("public service",P302))),"Infrastructure &amp; public services","Other"))))))))))))</x:f>
      </x:c>
      <x:c r="J302" s="16" t="str">
        <x:f>IF(A302="","",IF(OR(ISNUMBER(SEARCH("fatal",Q302)),ISNUMBER(SEARCH("death",Q302)),ISNUMBER(SEARCH("riot",Q302)),ISNUMBER(SEARCH("curfew",Q302)),ISNUMBER(SEARCH("internet shutdown",Q302))),5,MIN(4,1+IF(H302&gt;=7,1,0)+IF(OR(ISNUMBER(SEARCH("hunger strike",Q302)),ISNUMBER(SEARCH("blockade",Q302)),ISNUMBER(SEARCH("strike",Q302)),ISNUMBER(SEARCH("jal satyagraha",Q302)),ISNUMBER(SEARCH("survey",Q302)),ISNUMBER(SEARCH("human chain",Q302)),ISNUMBER(SEARCH("march",Q302))),1,0)+IF(OR(ISNUMBER(SEARCH("fir",Q302)),ISNUMBER(SEARCH("confrontation",Q302)),ISNUMBER(SEARCH("violence",Q302)),ISNUMBER(SEARCH("detention",Q302)),ISNUMBER(SEARCH("arrest",Q302)),ISNUMBER(SEARCH("demolition",Q302)),ISNUMBER(SEARCH("injury",Q302))),1,0)+IF(OR(D302="Ongoing",D302="Unresolved"),1,0))))</x:f>
      </x:c>
      <x:c r="K302" s="16" t="str">
        <x:f>IF(J302="","",IF(J302=1,"Limited",IF(J302=2,"Local",IF(J302=3,"Significant",IF(J302=4,"High","Critical")))))</x:f>
      </x:c>
      <x:c r="L302" s="16" t="str">
        <x:f>IF(A302="","",Events!U301)</x:f>
      </x:c>
      <x:c r="M302" s="16" t="str">
        <x:f>IF(A302="","",Events!V301)</x:f>
      </x:c>
      <x:c r="N302" s="16" t="str">
        <x:f>IF(A302="","",Events!Q301)</x:f>
      </x:c>
      <x:c r="O302" s="16" t="str">
        <x:f>IF(A302="","",Events!R301)</x:f>
      </x:c>
      <x:c r="P302" s="16" t="str">
        <x:f>IF(A302="","",LOWER(Events!B301&amp;" "&amp;Events!D301&amp;" "&amp;Events!K301))</x:f>
      </x:c>
      <x:c r="Q302" s="16" t="str">
        <x:f>IF(A302="","",LOWER(Events!C301&amp;" "&amp;Events!K301&amp;" "&amp;Events!T301))</x:f>
      </x:c>
      <x:c r="R302" s="16" t="str">
        <x:f>IF(A302="","",IF(ISNUMBER(SEARCH("Occurrence verified",E302)),"Occurrence verified",E302))</x:f>
      </x:c>
      <x:c r="S302" s="79" t="str">
        <x:f>IF(A302="","",Events!X301)</x:f>
      </x:c>
      <x:c r="Z302" s="79" t="str">
        <x:f>IF(A302="","",Events!AD301)</x:f>
      </x:c>
      <x:c r="AA302" s="79" t="str">
        <x:f>IF(A302="","",Events!AE301)</x:f>
      </x:c>
    </x:row>
    <x:row r="303">
      <x:c r="A303" s="16" t="str">
        <x:f>IF(Events!A302="","",Events!A302)</x:f>
      </x:c>
      <x:c r="B303" s="16" t="str">
        <x:f>IF(A303="","",Events!B302)</x:f>
      </x:c>
      <x:c r="C303" s="16" t="str">
        <x:f>IF(A303="","",Events!E302)</x:f>
      </x:c>
      <x:c r="D303" s="16" t="str">
        <x:f>IF(A303="","",Events!J302)</x:f>
      </x:c>
      <x:c r="E303" s="16" t="str">
        <x:f>IF(A303="","",Events!N302)</x:f>
      </x:c>
      <x:c r="F303" s="109" t="str">
        <x:f>IF(OR(A303="",Events!H302=""),"",Events!H302)</x:f>
      </x:c>
      <x:c r="G303" s="109" t="str">
        <x:f>IF(A303="","",IF(Events!I302&lt;&gt;"",Events!I302,IF(Events!S302&lt;&gt;"",Events!S302,"")))</x:f>
      </x:c>
      <x:c r="H303" s="16" t="str">
        <x:f>IF(A303="","",Events!W302)</x:f>
      </x:c>
      <x:c r="I303" s="16" t="str">
        <x:f>IF(A303="","",IF(Events!Y302&lt;&gt;"",Events!Y302,IF(OR(ISNUMBER(SEARCH("education",P303)),ISNUMBER(SEARCH("exam",P303)),ISNUMBER(SEARCH("school",P303))),"Education",IF(OR(ISNUMBER(SEARCH("trade agreement",P303)),ISNUMBER(SEARCH("economic",P303)),ISNUMBER(SEARCH("import",P303))),"Trade &amp; economic policy",IF(OR(ISNUMBER(SEARCH("land acquisition",P303)),ISNUMBER(SEARCH("rehabilitation",P303)),ISNUMBER(SEARCH("displacement",P303)),ISNUMBER(SEARCH("township",P303))),"Land &amp; rehabilitation",IF(OR(ISNUMBER(SEARCH("forest",P303)),ISNUMBER(SEARCH("environment",P303)),ISNUMBER(SEARCH("ecological",P303)),ISNUMBER(SEARCH("biodiversity",P303)),ISNUMBER(SEARCH("green cover",P303))),"Environment",IF(OR(ISNUMBER(SEARCH("irrigation",P303)),ISNUMBER(SEARCH("water",P303)),ISNUMBER(SEARCH("crop",P303)),ISNUMBER(SEARCH("farmer",P303)),ISNUMBER(SEARCH("agriculture",P303))),"Agriculture &amp; water",IF(OR(ISNUMBER(SEARCH("health",P303)),ISNUMBER(SEARCH("hospital",P303)),ISNUMBER(SEARCH("medicine",P303))),"Public health",IF(OR(ISNUMBER(SEARCH("employee",P303)),ISNUMBER(SEARCH("labour",P303)),ISNUMBER(SEARCH("worker",P303)),ISNUMBER(SEARCH("salary",P303))),"Labour &amp; employment",IF(OR(ISNUMBER(SEARCH("rti",P303)),ISNUMBER(SEARCH("transparency",P303)),ISNUMBER(SEARCH("corruption",P303)),ISNUMBER(SEARCH("governance",P303))),"Governance &amp; transparency",IF(OR(ISNUMBER(SEARCH("police",P303)),ISNUMBER(SEARCH("detention",P303)),ISNUMBER(SEARCH("civil rights",P303)),ISNUMBER(SEARCH("justice",P303))),"Civil rights &amp; justice",IF(OR(ISNUMBER(SEARCH("road",P303)),ISNUMBER(SEARCH("utility",P303)),ISNUMBER(SEARCH("infrastructure",P303)),ISNUMBER(SEARCH("public service",P303))),"Infrastructure &amp; public services","Other"))))))))))))</x:f>
      </x:c>
      <x:c r="J303" s="16" t="str">
        <x:f>IF(A303="","",IF(OR(ISNUMBER(SEARCH("fatal",Q303)),ISNUMBER(SEARCH("death",Q303)),ISNUMBER(SEARCH("riot",Q303)),ISNUMBER(SEARCH("curfew",Q303)),ISNUMBER(SEARCH("internet shutdown",Q303))),5,MIN(4,1+IF(H303&gt;=7,1,0)+IF(OR(ISNUMBER(SEARCH("hunger strike",Q303)),ISNUMBER(SEARCH("blockade",Q303)),ISNUMBER(SEARCH("strike",Q303)),ISNUMBER(SEARCH("jal satyagraha",Q303)),ISNUMBER(SEARCH("survey",Q303)),ISNUMBER(SEARCH("human chain",Q303)),ISNUMBER(SEARCH("march",Q303))),1,0)+IF(OR(ISNUMBER(SEARCH("fir",Q303)),ISNUMBER(SEARCH("confrontation",Q303)),ISNUMBER(SEARCH("violence",Q303)),ISNUMBER(SEARCH("detention",Q303)),ISNUMBER(SEARCH("arrest",Q303)),ISNUMBER(SEARCH("demolition",Q303)),ISNUMBER(SEARCH("injury",Q303))),1,0)+IF(OR(D303="Ongoing",D303="Unresolved"),1,0))))</x:f>
      </x:c>
      <x:c r="K303" s="16" t="str">
        <x:f>IF(J303="","",IF(J303=1,"Limited",IF(J303=2,"Local",IF(J303=3,"Significant",IF(J303=4,"High","Critical")))))</x:f>
      </x:c>
      <x:c r="L303" s="16" t="str">
        <x:f>IF(A303="","",Events!U302)</x:f>
      </x:c>
      <x:c r="M303" s="16" t="str">
        <x:f>IF(A303="","",Events!V302)</x:f>
      </x:c>
      <x:c r="N303" s="16" t="str">
        <x:f>IF(A303="","",Events!Q302)</x:f>
      </x:c>
      <x:c r="O303" s="16" t="str">
        <x:f>IF(A303="","",Events!R302)</x:f>
      </x:c>
      <x:c r="P303" s="16" t="str">
        <x:f>IF(A303="","",LOWER(Events!B302&amp;" "&amp;Events!D302&amp;" "&amp;Events!K302))</x:f>
      </x:c>
      <x:c r="Q303" s="16" t="str">
        <x:f>IF(A303="","",LOWER(Events!C302&amp;" "&amp;Events!K302&amp;" "&amp;Events!T302))</x:f>
      </x:c>
      <x:c r="R303" s="16" t="str">
        <x:f>IF(A303="","",IF(ISNUMBER(SEARCH("Occurrence verified",E303)),"Occurrence verified",E303))</x:f>
      </x:c>
      <x:c r="S303" s="79" t="str">
        <x:f>IF(A303="","",Events!X302)</x:f>
      </x:c>
      <x:c r="Z303" s="79" t="str">
        <x:f>IF(A303="","",Events!AD302)</x:f>
      </x:c>
      <x:c r="AA303" s="79" t="str">
        <x:f>IF(A303="","",Events!AE302)</x:f>
      </x:c>
    </x:row>
    <x:row r="304">
      <x:c r="A304" s="16" t="str">
        <x:f>IF(Events!A303="","",Events!A303)</x:f>
      </x:c>
      <x:c r="B304" s="16" t="str">
        <x:f>IF(A304="","",Events!B303)</x:f>
      </x:c>
      <x:c r="C304" s="16" t="str">
        <x:f>IF(A304="","",Events!E303)</x:f>
      </x:c>
      <x:c r="D304" s="16" t="str">
        <x:f>IF(A304="","",Events!J303)</x:f>
      </x:c>
      <x:c r="E304" s="16" t="str">
        <x:f>IF(A304="","",Events!N303)</x:f>
      </x:c>
      <x:c r="F304" s="109" t="str">
        <x:f>IF(OR(A304="",Events!H303=""),"",Events!H303)</x:f>
      </x:c>
      <x:c r="G304" s="109" t="str">
        <x:f>IF(A304="","",IF(Events!I303&lt;&gt;"",Events!I303,IF(Events!S303&lt;&gt;"",Events!S303,"")))</x:f>
      </x:c>
      <x:c r="H304" s="16" t="str">
        <x:f>IF(A304="","",Events!W303)</x:f>
      </x:c>
      <x:c r="I304" s="16" t="str">
        <x:f>IF(A304="","",IF(Events!Y303&lt;&gt;"",Events!Y303,IF(OR(ISNUMBER(SEARCH("education",P304)),ISNUMBER(SEARCH("exam",P304)),ISNUMBER(SEARCH("school",P304))),"Education",IF(OR(ISNUMBER(SEARCH("trade agreement",P304)),ISNUMBER(SEARCH("economic",P304)),ISNUMBER(SEARCH("import",P304))),"Trade &amp; economic policy",IF(OR(ISNUMBER(SEARCH("land acquisition",P304)),ISNUMBER(SEARCH("rehabilitation",P304)),ISNUMBER(SEARCH("displacement",P304)),ISNUMBER(SEARCH("township",P304))),"Land &amp; rehabilitation",IF(OR(ISNUMBER(SEARCH("forest",P304)),ISNUMBER(SEARCH("environment",P304)),ISNUMBER(SEARCH("ecological",P304)),ISNUMBER(SEARCH("biodiversity",P304)),ISNUMBER(SEARCH("green cover",P304))),"Environment",IF(OR(ISNUMBER(SEARCH("irrigation",P304)),ISNUMBER(SEARCH("water",P304)),ISNUMBER(SEARCH("crop",P304)),ISNUMBER(SEARCH("farmer",P304)),ISNUMBER(SEARCH("agriculture",P304))),"Agriculture &amp; water",IF(OR(ISNUMBER(SEARCH("health",P304)),ISNUMBER(SEARCH("hospital",P304)),ISNUMBER(SEARCH("medicine",P304))),"Public health",IF(OR(ISNUMBER(SEARCH("employee",P304)),ISNUMBER(SEARCH("labour",P304)),ISNUMBER(SEARCH("worker",P304)),ISNUMBER(SEARCH("salary",P304))),"Labour &amp; employment",IF(OR(ISNUMBER(SEARCH("rti",P304)),ISNUMBER(SEARCH("transparency",P304)),ISNUMBER(SEARCH("corruption",P304)),ISNUMBER(SEARCH("governance",P304))),"Governance &amp; transparency",IF(OR(ISNUMBER(SEARCH("police",P304)),ISNUMBER(SEARCH("detention",P304)),ISNUMBER(SEARCH("civil rights",P304)),ISNUMBER(SEARCH("justice",P304))),"Civil rights &amp; justice",IF(OR(ISNUMBER(SEARCH("road",P304)),ISNUMBER(SEARCH("utility",P304)),ISNUMBER(SEARCH("infrastructure",P304)),ISNUMBER(SEARCH("public service",P304))),"Infrastructure &amp; public services","Other"))))))))))))</x:f>
      </x:c>
      <x:c r="J304" s="16" t="str">
        <x:f>IF(A304="","",IF(OR(ISNUMBER(SEARCH("fatal",Q304)),ISNUMBER(SEARCH("death",Q304)),ISNUMBER(SEARCH("riot",Q304)),ISNUMBER(SEARCH("curfew",Q304)),ISNUMBER(SEARCH("internet shutdown",Q304))),5,MIN(4,1+IF(H304&gt;=7,1,0)+IF(OR(ISNUMBER(SEARCH("hunger strike",Q304)),ISNUMBER(SEARCH("blockade",Q304)),ISNUMBER(SEARCH("strike",Q304)),ISNUMBER(SEARCH("jal satyagraha",Q304)),ISNUMBER(SEARCH("survey",Q304)),ISNUMBER(SEARCH("human chain",Q304)),ISNUMBER(SEARCH("march",Q304))),1,0)+IF(OR(ISNUMBER(SEARCH("fir",Q304)),ISNUMBER(SEARCH("confrontation",Q304)),ISNUMBER(SEARCH("violence",Q304)),ISNUMBER(SEARCH("detention",Q304)),ISNUMBER(SEARCH("arrest",Q304)),ISNUMBER(SEARCH("demolition",Q304)),ISNUMBER(SEARCH("injury",Q304))),1,0)+IF(OR(D304="Ongoing",D304="Unresolved"),1,0))))</x:f>
      </x:c>
      <x:c r="K304" s="16" t="str">
        <x:f>IF(J304="","",IF(J304=1,"Limited",IF(J304=2,"Local",IF(J304=3,"Significant",IF(J304=4,"High","Critical")))))</x:f>
      </x:c>
      <x:c r="L304" s="16" t="str">
        <x:f>IF(A304="","",Events!U303)</x:f>
      </x:c>
      <x:c r="M304" s="16" t="str">
        <x:f>IF(A304="","",Events!V303)</x:f>
      </x:c>
      <x:c r="N304" s="16" t="str">
        <x:f>IF(A304="","",Events!Q303)</x:f>
      </x:c>
      <x:c r="O304" s="16" t="str">
        <x:f>IF(A304="","",Events!R303)</x:f>
      </x:c>
      <x:c r="P304" s="16" t="str">
        <x:f>IF(A304="","",LOWER(Events!B303&amp;" "&amp;Events!D303&amp;" "&amp;Events!K303))</x:f>
      </x:c>
      <x:c r="Q304" s="16" t="str">
        <x:f>IF(A304="","",LOWER(Events!C303&amp;" "&amp;Events!K303&amp;" "&amp;Events!T303))</x:f>
      </x:c>
      <x:c r="R304" s="16" t="str">
        <x:f>IF(A304="","",IF(ISNUMBER(SEARCH("Occurrence verified",E304)),"Occurrence verified",E304))</x:f>
      </x:c>
      <x:c r="S304" s="79" t="str">
        <x:f>IF(A304="","",Events!X303)</x:f>
      </x:c>
      <x:c r="Z304" s="79" t="str">
        <x:f>IF(A304="","",Events!AD303)</x:f>
      </x:c>
      <x:c r="AA304" s="79" t="str">
        <x:f>IF(A304="","",Events!AE303)</x:f>
      </x:c>
    </x:row>
    <x:row r="305">
      <x:c r="A305" s="16" t="str">
        <x:f>IF(Events!A304="","",Events!A304)</x:f>
      </x:c>
      <x:c r="B305" s="16" t="str">
        <x:f>IF(A305="","",Events!B304)</x:f>
      </x:c>
      <x:c r="C305" s="16" t="str">
        <x:f>IF(A305="","",Events!E304)</x:f>
      </x:c>
      <x:c r="D305" s="16" t="str">
        <x:f>IF(A305="","",Events!J304)</x:f>
      </x:c>
      <x:c r="E305" s="16" t="str">
        <x:f>IF(A305="","",Events!N304)</x:f>
      </x:c>
      <x:c r="F305" s="109" t="str">
        <x:f>IF(OR(A305="",Events!H304=""),"",Events!H304)</x:f>
      </x:c>
      <x:c r="G305" s="109" t="str">
        <x:f>IF(A305="","",IF(Events!I304&lt;&gt;"",Events!I304,IF(Events!S304&lt;&gt;"",Events!S304,"")))</x:f>
      </x:c>
      <x:c r="H305" s="16" t="str">
        <x:f>IF(A305="","",Events!W304)</x:f>
      </x:c>
      <x:c r="I305" s="16" t="str">
        <x:f>IF(A305="","",IF(Events!Y304&lt;&gt;"",Events!Y304,IF(OR(ISNUMBER(SEARCH("education",P305)),ISNUMBER(SEARCH("exam",P305)),ISNUMBER(SEARCH("school",P305))),"Education",IF(OR(ISNUMBER(SEARCH("trade agreement",P305)),ISNUMBER(SEARCH("economic",P305)),ISNUMBER(SEARCH("import",P305))),"Trade &amp; economic policy",IF(OR(ISNUMBER(SEARCH("land acquisition",P305)),ISNUMBER(SEARCH("rehabilitation",P305)),ISNUMBER(SEARCH("displacement",P305)),ISNUMBER(SEARCH("township",P305))),"Land &amp; rehabilitation",IF(OR(ISNUMBER(SEARCH("forest",P305)),ISNUMBER(SEARCH("environment",P305)),ISNUMBER(SEARCH("ecological",P305)),ISNUMBER(SEARCH("biodiversity",P305)),ISNUMBER(SEARCH("green cover",P305))),"Environment",IF(OR(ISNUMBER(SEARCH("irrigation",P305)),ISNUMBER(SEARCH("water",P305)),ISNUMBER(SEARCH("crop",P305)),ISNUMBER(SEARCH("farmer",P305)),ISNUMBER(SEARCH("agriculture",P305))),"Agriculture &amp; water",IF(OR(ISNUMBER(SEARCH("health",P305)),ISNUMBER(SEARCH("hospital",P305)),ISNUMBER(SEARCH("medicine",P305))),"Public health",IF(OR(ISNUMBER(SEARCH("employee",P305)),ISNUMBER(SEARCH("labour",P305)),ISNUMBER(SEARCH("worker",P305)),ISNUMBER(SEARCH("salary",P305))),"Labour &amp; employment",IF(OR(ISNUMBER(SEARCH("rti",P305)),ISNUMBER(SEARCH("transparency",P305)),ISNUMBER(SEARCH("corruption",P305)),ISNUMBER(SEARCH("governance",P305))),"Governance &amp; transparency",IF(OR(ISNUMBER(SEARCH("police",P305)),ISNUMBER(SEARCH("detention",P305)),ISNUMBER(SEARCH("civil rights",P305)),ISNUMBER(SEARCH("justice",P305))),"Civil rights &amp; justice",IF(OR(ISNUMBER(SEARCH("road",P305)),ISNUMBER(SEARCH("utility",P305)),ISNUMBER(SEARCH("infrastructure",P305)),ISNUMBER(SEARCH("public service",P305))),"Infrastructure &amp; public services","Other"))))))))))))</x:f>
      </x:c>
      <x:c r="J305" s="16" t="str">
        <x:f>IF(A305="","",IF(OR(ISNUMBER(SEARCH("fatal",Q305)),ISNUMBER(SEARCH("death",Q305)),ISNUMBER(SEARCH("riot",Q305)),ISNUMBER(SEARCH("curfew",Q305)),ISNUMBER(SEARCH("internet shutdown",Q305))),5,MIN(4,1+IF(H305&gt;=7,1,0)+IF(OR(ISNUMBER(SEARCH("hunger strike",Q305)),ISNUMBER(SEARCH("blockade",Q305)),ISNUMBER(SEARCH("strike",Q305)),ISNUMBER(SEARCH("jal satyagraha",Q305)),ISNUMBER(SEARCH("survey",Q305)),ISNUMBER(SEARCH("human chain",Q305)),ISNUMBER(SEARCH("march",Q305))),1,0)+IF(OR(ISNUMBER(SEARCH("fir",Q305)),ISNUMBER(SEARCH("confrontation",Q305)),ISNUMBER(SEARCH("violence",Q305)),ISNUMBER(SEARCH("detention",Q305)),ISNUMBER(SEARCH("arrest",Q305)),ISNUMBER(SEARCH("demolition",Q305)),ISNUMBER(SEARCH("injury",Q305))),1,0)+IF(OR(D305="Ongoing",D305="Unresolved"),1,0))))</x:f>
      </x:c>
      <x:c r="K305" s="16" t="str">
        <x:f>IF(J305="","",IF(J305=1,"Limited",IF(J305=2,"Local",IF(J305=3,"Significant",IF(J305=4,"High","Critical")))))</x:f>
      </x:c>
      <x:c r="L305" s="16" t="str">
        <x:f>IF(A305="","",Events!U304)</x:f>
      </x:c>
      <x:c r="M305" s="16" t="str">
        <x:f>IF(A305="","",Events!V304)</x:f>
      </x:c>
      <x:c r="N305" s="16" t="str">
        <x:f>IF(A305="","",Events!Q304)</x:f>
      </x:c>
      <x:c r="O305" s="16" t="str">
        <x:f>IF(A305="","",Events!R304)</x:f>
      </x:c>
      <x:c r="P305" s="16" t="str">
        <x:f>IF(A305="","",LOWER(Events!B304&amp;" "&amp;Events!D304&amp;" "&amp;Events!K304))</x:f>
      </x:c>
      <x:c r="Q305" s="16" t="str">
        <x:f>IF(A305="","",LOWER(Events!C304&amp;" "&amp;Events!K304&amp;" "&amp;Events!T304))</x:f>
      </x:c>
      <x:c r="R305" s="16" t="str">
        <x:f>IF(A305="","",IF(ISNUMBER(SEARCH("Occurrence verified",E305)),"Occurrence verified",E305))</x:f>
      </x:c>
      <x:c r="S305" s="79" t="str">
        <x:f>IF(A305="","",Events!X304)</x:f>
      </x:c>
      <x:c r="Z305" s="79" t="str">
        <x:f>IF(A305="","",Events!AD304)</x:f>
      </x:c>
      <x:c r="AA305" s="79" t="str">
        <x:f>IF(A305="","",Events!AE304)</x:f>
      </x:c>
    </x:row>
    <x:row r="306">
      <x:c r="A306" s="16" t="str">
        <x:f>IF(Events!A305="","",Events!A305)</x:f>
      </x:c>
      <x:c r="B306" s="16" t="str">
        <x:f>IF(A306="","",Events!B305)</x:f>
      </x:c>
      <x:c r="C306" s="16" t="str">
        <x:f>IF(A306="","",Events!E305)</x:f>
      </x:c>
      <x:c r="D306" s="16" t="str">
        <x:f>IF(A306="","",Events!J305)</x:f>
      </x:c>
      <x:c r="E306" s="16" t="str">
        <x:f>IF(A306="","",Events!N305)</x:f>
      </x:c>
      <x:c r="F306" s="109" t="str">
        <x:f>IF(OR(A306="",Events!H305=""),"",Events!H305)</x:f>
      </x:c>
      <x:c r="G306" s="109" t="str">
        <x:f>IF(A306="","",IF(Events!I305&lt;&gt;"",Events!I305,IF(Events!S305&lt;&gt;"",Events!S305,"")))</x:f>
      </x:c>
      <x:c r="H306" s="16" t="str">
        <x:f>IF(A306="","",Events!W305)</x:f>
      </x:c>
      <x:c r="I306" s="16" t="str">
        <x:f>IF(A306="","",IF(Events!Y305&lt;&gt;"",Events!Y305,IF(OR(ISNUMBER(SEARCH("education",P306)),ISNUMBER(SEARCH("exam",P306)),ISNUMBER(SEARCH("school",P306))),"Education",IF(OR(ISNUMBER(SEARCH("trade agreement",P306)),ISNUMBER(SEARCH("economic",P306)),ISNUMBER(SEARCH("import",P306))),"Trade &amp; economic policy",IF(OR(ISNUMBER(SEARCH("land acquisition",P306)),ISNUMBER(SEARCH("rehabilitation",P306)),ISNUMBER(SEARCH("displacement",P306)),ISNUMBER(SEARCH("township",P306))),"Land &amp; rehabilitation",IF(OR(ISNUMBER(SEARCH("forest",P306)),ISNUMBER(SEARCH("environment",P306)),ISNUMBER(SEARCH("ecological",P306)),ISNUMBER(SEARCH("biodiversity",P306)),ISNUMBER(SEARCH("green cover",P306))),"Environment",IF(OR(ISNUMBER(SEARCH("irrigation",P306)),ISNUMBER(SEARCH("water",P306)),ISNUMBER(SEARCH("crop",P306)),ISNUMBER(SEARCH("farmer",P306)),ISNUMBER(SEARCH("agriculture",P306))),"Agriculture &amp; water",IF(OR(ISNUMBER(SEARCH("health",P306)),ISNUMBER(SEARCH("hospital",P306)),ISNUMBER(SEARCH("medicine",P306))),"Public health",IF(OR(ISNUMBER(SEARCH("employee",P306)),ISNUMBER(SEARCH("labour",P306)),ISNUMBER(SEARCH("worker",P306)),ISNUMBER(SEARCH("salary",P306))),"Labour &amp; employment",IF(OR(ISNUMBER(SEARCH("rti",P306)),ISNUMBER(SEARCH("transparency",P306)),ISNUMBER(SEARCH("corruption",P306)),ISNUMBER(SEARCH("governance",P306))),"Governance &amp; transparency",IF(OR(ISNUMBER(SEARCH("police",P306)),ISNUMBER(SEARCH("detention",P306)),ISNUMBER(SEARCH("civil rights",P306)),ISNUMBER(SEARCH("justice",P306))),"Civil rights &amp; justice",IF(OR(ISNUMBER(SEARCH("road",P306)),ISNUMBER(SEARCH("utility",P306)),ISNUMBER(SEARCH("infrastructure",P306)),ISNUMBER(SEARCH("public service",P306))),"Infrastructure &amp; public services","Other"))))))))))))</x:f>
      </x:c>
      <x:c r="J306" s="16" t="str">
        <x:f>IF(A306="","",IF(OR(ISNUMBER(SEARCH("fatal",Q306)),ISNUMBER(SEARCH("death",Q306)),ISNUMBER(SEARCH("riot",Q306)),ISNUMBER(SEARCH("curfew",Q306)),ISNUMBER(SEARCH("internet shutdown",Q306))),5,MIN(4,1+IF(H306&gt;=7,1,0)+IF(OR(ISNUMBER(SEARCH("hunger strike",Q306)),ISNUMBER(SEARCH("blockade",Q306)),ISNUMBER(SEARCH("strike",Q306)),ISNUMBER(SEARCH("jal satyagraha",Q306)),ISNUMBER(SEARCH("survey",Q306)),ISNUMBER(SEARCH("human chain",Q306)),ISNUMBER(SEARCH("march",Q306))),1,0)+IF(OR(ISNUMBER(SEARCH("fir",Q306)),ISNUMBER(SEARCH("confrontation",Q306)),ISNUMBER(SEARCH("violence",Q306)),ISNUMBER(SEARCH("detention",Q306)),ISNUMBER(SEARCH("arrest",Q306)),ISNUMBER(SEARCH("demolition",Q306)),ISNUMBER(SEARCH("injury",Q306))),1,0)+IF(OR(D306="Ongoing",D306="Unresolved"),1,0))))</x:f>
      </x:c>
      <x:c r="K306" s="16" t="str">
        <x:f>IF(J306="","",IF(J306=1,"Limited",IF(J306=2,"Local",IF(J306=3,"Significant",IF(J306=4,"High","Critical")))))</x:f>
      </x:c>
      <x:c r="L306" s="16" t="str">
        <x:f>IF(A306="","",Events!U305)</x:f>
      </x:c>
      <x:c r="M306" s="16" t="str">
        <x:f>IF(A306="","",Events!V305)</x:f>
      </x:c>
      <x:c r="N306" s="16" t="str">
        <x:f>IF(A306="","",Events!Q305)</x:f>
      </x:c>
      <x:c r="O306" s="16" t="str">
        <x:f>IF(A306="","",Events!R305)</x:f>
      </x:c>
      <x:c r="P306" s="16" t="str">
        <x:f>IF(A306="","",LOWER(Events!B305&amp;" "&amp;Events!D305&amp;" "&amp;Events!K305))</x:f>
      </x:c>
      <x:c r="Q306" s="16" t="str">
        <x:f>IF(A306="","",LOWER(Events!C305&amp;" "&amp;Events!K305&amp;" "&amp;Events!T305))</x:f>
      </x:c>
      <x:c r="R306" s="16" t="str">
        <x:f>IF(A306="","",IF(ISNUMBER(SEARCH("Occurrence verified",E306)),"Occurrence verified",E306))</x:f>
      </x:c>
      <x:c r="S306" s="79" t="str">
        <x:f>IF(A306="","",Events!X305)</x:f>
      </x:c>
      <x:c r="Z306" s="79" t="str">
        <x:f>IF(A306="","",Events!AD305)</x:f>
      </x:c>
      <x:c r="AA306" s="79" t="str">
        <x:f>IF(A306="","",Events!AE305)</x:f>
      </x:c>
    </x:row>
    <x:row r="307">
      <x:c r="A307" s="16" t="str">
        <x:f>IF(Events!A306="","",Events!A306)</x:f>
      </x:c>
      <x:c r="B307" s="16" t="str">
        <x:f>IF(A307="","",Events!B306)</x:f>
      </x:c>
      <x:c r="C307" s="16" t="str">
        <x:f>IF(A307="","",Events!E306)</x:f>
      </x:c>
      <x:c r="D307" s="16" t="str">
        <x:f>IF(A307="","",Events!J306)</x:f>
      </x:c>
      <x:c r="E307" s="16" t="str">
        <x:f>IF(A307="","",Events!N306)</x:f>
      </x:c>
      <x:c r="F307" s="109" t="str">
        <x:f>IF(OR(A307="",Events!H306=""),"",Events!H306)</x:f>
      </x:c>
      <x:c r="G307" s="109" t="str">
        <x:f>IF(A307="","",IF(Events!I306&lt;&gt;"",Events!I306,IF(Events!S306&lt;&gt;"",Events!S306,"")))</x:f>
      </x:c>
      <x:c r="H307" s="16" t="str">
        <x:f>IF(A307="","",Events!W306)</x:f>
      </x:c>
      <x:c r="I307" s="16" t="str">
        <x:f>IF(A307="","",IF(Events!Y306&lt;&gt;"",Events!Y306,IF(OR(ISNUMBER(SEARCH("education",P307)),ISNUMBER(SEARCH("exam",P307)),ISNUMBER(SEARCH("school",P307))),"Education",IF(OR(ISNUMBER(SEARCH("trade agreement",P307)),ISNUMBER(SEARCH("economic",P307)),ISNUMBER(SEARCH("import",P307))),"Trade &amp; economic policy",IF(OR(ISNUMBER(SEARCH("land acquisition",P307)),ISNUMBER(SEARCH("rehabilitation",P307)),ISNUMBER(SEARCH("displacement",P307)),ISNUMBER(SEARCH("township",P307))),"Land &amp; rehabilitation",IF(OR(ISNUMBER(SEARCH("forest",P307)),ISNUMBER(SEARCH("environment",P307)),ISNUMBER(SEARCH("ecological",P307)),ISNUMBER(SEARCH("biodiversity",P307)),ISNUMBER(SEARCH("green cover",P307))),"Environment",IF(OR(ISNUMBER(SEARCH("irrigation",P307)),ISNUMBER(SEARCH("water",P307)),ISNUMBER(SEARCH("crop",P307)),ISNUMBER(SEARCH("farmer",P307)),ISNUMBER(SEARCH("agriculture",P307))),"Agriculture &amp; water",IF(OR(ISNUMBER(SEARCH("health",P307)),ISNUMBER(SEARCH("hospital",P307)),ISNUMBER(SEARCH("medicine",P307))),"Public health",IF(OR(ISNUMBER(SEARCH("employee",P307)),ISNUMBER(SEARCH("labour",P307)),ISNUMBER(SEARCH("worker",P307)),ISNUMBER(SEARCH("salary",P307))),"Labour &amp; employment",IF(OR(ISNUMBER(SEARCH("rti",P307)),ISNUMBER(SEARCH("transparency",P307)),ISNUMBER(SEARCH("corruption",P307)),ISNUMBER(SEARCH("governance",P307))),"Governance &amp; transparency",IF(OR(ISNUMBER(SEARCH("police",P307)),ISNUMBER(SEARCH("detention",P307)),ISNUMBER(SEARCH("civil rights",P307)),ISNUMBER(SEARCH("justice",P307))),"Civil rights &amp; justice",IF(OR(ISNUMBER(SEARCH("road",P307)),ISNUMBER(SEARCH("utility",P307)),ISNUMBER(SEARCH("infrastructure",P307)),ISNUMBER(SEARCH("public service",P307))),"Infrastructure &amp; public services","Other"))))))))))))</x:f>
      </x:c>
      <x:c r="J307" s="16" t="str">
        <x:f>IF(A307="","",IF(OR(ISNUMBER(SEARCH("fatal",Q307)),ISNUMBER(SEARCH("death",Q307)),ISNUMBER(SEARCH("riot",Q307)),ISNUMBER(SEARCH("curfew",Q307)),ISNUMBER(SEARCH("internet shutdown",Q307))),5,MIN(4,1+IF(H307&gt;=7,1,0)+IF(OR(ISNUMBER(SEARCH("hunger strike",Q307)),ISNUMBER(SEARCH("blockade",Q307)),ISNUMBER(SEARCH("strike",Q307)),ISNUMBER(SEARCH("jal satyagraha",Q307)),ISNUMBER(SEARCH("survey",Q307)),ISNUMBER(SEARCH("human chain",Q307)),ISNUMBER(SEARCH("march",Q307))),1,0)+IF(OR(ISNUMBER(SEARCH("fir",Q307)),ISNUMBER(SEARCH("confrontation",Q307)),ISNUMBER(SEARCH("violence",Q307)),ISNUMBER(SEARCH("detention",Q307)),ISNUMBER(SEARCH("arrest",Q307)),ISNUMBER(SEARCH("demolition",Q307)),ISNUMBER(SEARCH("injury",Q307))),1,0)+IF(OR(D307="Ongoing",D307="Unresolved"),1,0))))</x:f>
      </x:c>
      <x:c r="K307" s="16" t="str">
        <x:f>IF(J307="","",IF(J307=1,"Limited",IF(J307=2,"Local",IF(J307=3,"Significant",IF(J307=4,"High","Critical")))))</x:f>
      </x:c>
      <x:c r="L307" s="16" t="str">
        <x:f>IF(A307="","",Events!U306)</x:f>
      </x:c>
      <x:c r="M307" s="16" t="str">
        <x:f>IF(A307="","",Events!V306)</x:f>
      </x:c>
      <x:c r="N307" s="16" t="str">
        <x:f>IF(A307="","",Events!Q306)</x:f>
      </x:c>
      <x:c r="O307" s="16" t="str">
        <x:f>IF(A307="","",Events!R306)</x:f>
      </x:c>
      <x:c r="P307" s="16" t="str">
        <x:f>IF(A307="","",LOWER(Events!B306&amp;" "&amp;Events!D306&amp;" "&amp;Events!K306))</x:f>
      </x:c>
      <x:c r="Q307" s="16" t="str">
        <x:f>IF(A307="","",LOWER(Events!C306&amp;" "&amp;Events!K306&amp;" "&amp;Events!T306))</x:f>
      </x:c>
      <x:c r="R307" s="16" t="str">
        <x:f>IF(A307="","",IF(ISNUMBER(SEARCH("Occurrence verified",E307)),"Occurrence verified",E307))</x:f>
      </x:c>
      <x:c r="S307" s="79" t="str">
        <x:f>IF(A307="","",Events!X306)</x:f>
      </x:c>
      <x:c r="Z307" s="79" t="str">
        <x:f>IF(A307="","",Events!AD306)</x:f>
      </x:c>
      <x:c r="AA307" s="79" t="str">
        <x:f>IF(A307="","",Events!AE306)</x:f>
      </x:c>
    </x:row>
    <x:row r="308">
      <x:c r="A308" s="16" t="str">
        <x:f>IF(Events!A307="","",Events!A307)</x:f>
      </x:c>
      <x:c r="B308" s="16" t="str">
        <x:f>IF(A308="","",Events!B307)</x:f>
      </x:c>
      <x:c r="C308" s="16" t="str">
        <x:f>IF(A308="","",Events!E307)</x:f>
      </x:c>
      <x:c r="D308" s="16" t="str">
        <x:f>IF(A308="","",Events!J307)</x:f>
      </x:c>
      <x:c r="E308" s="16" t="str">
        <x:f>IF(A308="","",Events!N307)</x:f>
      </x:c>
      <x:c r="F308" s="109" t="str">
        <x:f>IF(OR(A308="",Events!H307=""),"",Events!H307)</x:f>
      </x:c>
      <x:c r="G308" s="109" t="str">
        <x:f>IF(A308="","",IF(Events!I307&lt;&gt;"",Events!I307,IF(Events!S307&lt;&gt;"",Events!S307,"")))</x:f>
      </x:c>
      <x:c r="H308" s="16" t="str">
        <x:f>IF(A308="","",Events!W307)</x:f>
      </x:c>
      <x:c r="I308" s="16" t="str">
        <x:f>IF(A308="","",IF(Events!Y307&lt;&gt;"",Events!Y307,IF(OR(ISNUMBER(SEARCH("education",P308)),ISNUMBER(SEARCH("exam",P308)),ISNUMBER(SEARCH("school",P308))),"Education",IF(OR(ISNUMBER(SEARCH("trade agreement",P308)),ISNUMBER(SEARCH("economic",P308)),ISNUMBER(SEARCH("import",P308))),"Trade &amp; economic policy",IF(OR(ISNUMBER(SEARCH("land acquisition",P308)),ISNUMBER(SEARCH("rehabilitation",P308)),ISNUMBER(SEARCH("displacement",P308)),ISNUMBER(SEARCH("township",P308))),"Land &amp; rehabilitation",IF(OR(ISNUMBER(SEARCH("forest",P308)),ISNUMBER(SEARCH("environment",P308)),ISNUMBER(SEARCH("ecological",P308)),ISNUMBER(SEARCH("biodiversity",P308)),ISNUMBER(SEARCH("green cover",P308))),"Environment",IF(OR(ISNUMBER(SEARCH("irrigation",P308)),ISNUMBER(SEARCH("water",P308)),ISNUMBER(SEARCH("crop",P308)),ISNUMBER(SEARCH("farmer",P308)),ISNUMBER(SEARCH("agriculture",P308))),"Agriculture &amp; water",IF(OR(ISNUMBER(SEARCH("health",P308)),ISNUMBER(SEARCH("hospital",P308)),ISNUMBER(SEARCH("medicine",P308))),"Public health",IF(OR(ISNUMBER(SEARCH("employee",P308)),ISNUMBER(SEARCH("labour",P308)),ISNUMBER(SEARCH("worker",P308)),ISNUMBER(SEARCH("salary",P308))),"Labour &amp; employment",IF(OR(ISNUMBER(SEARCH("rti",P308)),ISNUMBER(SEARCH("transparency",P308)),ISNUMBER(SEARCH("corruption",P308)),ISNUMBER(SEARCH("governance",P308))),"Governance &amp; transparency",IF(OR(ISNUMBER(SEARCH("police",P308)),ISNUMBER(SEARCH("detention",P308)),ISNUMBER(SEARCH("civil rights",P308)),ISNUMBER(SEARCH("justice",P308))),"Civil rights &amp; justice",IF(OR(ISNUMBER(SEARCH("road",P308)),ISNUMBER(SEARCH("utility",P308)),ISNUMBER(SEARCH("infrastructure",P308)),ISNUMBER(SEARCH("public service",P308))),"Infrastructure &amp; public services","Other"))))))))))))</x:f>
      </x:c>
      <x:c r="J308" s="16" t="str">
        <x:f>IF(A308="","",IF(OR(ISNUMBER(SEARCH("fatal",Q308)),ISNUMBER(SEARCH("death",Q308)),ISNUMBER(SEARCH("riot",Q308)),ISNUMBER(SEARCH("curfew",Q308)),ISNUMBER(SEARCH("internet shutdown",Q308))),5,MIN(4,1+IF(H308&gt;=7,1,0)+IF(OR(ISNUMBER(SEARCH("hunger strike",Q308)),ISNUMBER(SEARCH("blockade",Q308)),ISNUMBER(SEARCH("strike",Q308)),ISNUMBER(SEARCH("jal satyagraha",Q308)),ISNUMBER(SEARCH("survey",Q308)),ISNUMBER(SEARCH("human chain",Q308)),ISNUMBER(SEARCH("march",Q308))),1,0)+IF(OR(ISNUMBER(SEARCH("fir",Q308)),ISNUMBER(SEARCH("confrontation",Q308)),ISNUMBER(SEARCH("violence",Q308)),ISNUMBER(SEARCH("detention",Q308)),ISNUMBER(SEARCH("arrest",Q308)),ISNUMBER(SEARCH("demolition",Q308)),ISNUMBER(SEARCH("injury",Q308))),1,0)+IF(OR(D308="Ongoing",D308="Unresolved"),1,0))))</x:f>
      </x:c>
      <x:c r="K308" s="16" t="str">
        <x:f>IF(J308="","",IF(J308=1,"Limited",IF(J308=2,"Local",IF(J308=3,"Significant",IF(J308=4,"High","Critical")))))</x:f>
      </x:c>
      <x:c r="L308" s="16" t="str">
        <x:f>IF(A308="","",Events!U307)</x:f>
      </x:c>
      <x:c r="M308" s="16" t="str">
        <x:f>IF(A308="","",Events!V307)</x:f>
      </x:c>
      <x:c r="N308" s="16" t="str">
        <x:f>IF(A308="","",Events!Q307)</x:f>
      </x:c>
      <x:c r="O308" s="16" t="str">
        <x:f>IF(A308="","",Events!R307)</x:f>
      </x:c>
      <x:c r="P308" s="16" t="str">
        <x:f>IF(A308="","",LOWER(Events!B307&amp;" "&amp;Events!D307&amp;" "&amp;Events!K307))</x:f>
      </x:c>
      <x:c r="Q308" s="16" t="str">
        <x:f>IF(A308="","",LOWER(Events!C307&amp;" "&amp;Events!K307&amp;" "&amp;Events!T307))</x:f>
      </x:c>
      <x:c r="R308" s="16" t="str">
        <x:f>IF(A308="","",IF(ISNUMBER(SEARCH("Occurrence verified",E308)),"Occurrence verified",E308))</x:f>
      </x:c>
      <x:c r="S308" s="79" t="str">
        <x:f>IF(A308="","",Events!X307)</x:f>
      </x:c>
      <x:c r="Z308" s="79" t="str">
        <x:f>IF(A308="","",Events!AD307)</x:f>
      </x:c>
      <x:c r="AA308" s="79" t="str">
        <x:f>IF(A308="","",Events!AE307)</x:f>
      </x:c>
    </x:row>
    <x:row r="309">
      <x:c r="A309" s="16" t="str">
        <x:f>IF(Events!A308="","",Events!A308)</x:f>
      </x:c>
      <x:c r="B309" s="16" t="str">
        <x:f>IF(A309="","",Events!B308)</x:f>
      </x:c>
      <x:c r="C309" s="16" t="str">
        <x:f>IF(A309="","",Events!E308)</x:f>
      </x:c>
      <x:c r="D309" s="16" t="str">
        <x:f>IF(A309="","",Events!J308)</x:f>
      </x:c>
      <x:c r="E309" s="16" t="str">
        <x:f>IF(A309="","",Events!N308)</x:f>
      </x:c>
      <x:c r="F309" s="109" t="str">
        <x:f>IF(OR(A309="",Events!H308=""),"",Events!H308)</x:f>
      </x:c>
      <x:c r="G309" s="109" t="str">
        <x:f>IF(A309="","",IF(Events!I308&lt;&gt;"",Events!I308,IF(Events!S308&lt;&gt;"",Events!S308,"")))</x:f>
      </x:c>
      <x:c r="H309" s="16" t="str">
        <x:f>IF(A309="","",Events!W308)</x:f>
      </x:c>
      <x:c r="I309" s="16" t="str">
        <x:f>IF(A309="","",IF(Events!Y308&lt;&gt;"",Events!Y308,IF(OR(ISNUMBER(SEARCH("education",P309)),ISNUMBER(SEARCH("exam",P309)),ISNUMBER(SEARCH("school",P309))),"Education",IF(OR(ISNUMBER(SEARCH("trade agreement",P309)),ISNUMBER(SEARCH("economic",P309)),ISNUMBER(SEARCH("import",P309))),"Trade &amp; economic policy",IF(OR(ISNUMBER(SEARCH("land acquisition",P309)),ISNUMBER(SEARCH("rehabilitation",P309)),ISNUMBER(SEARCH("displacement",P309)),ISNUMBER(SEARCH("township",P309))),"Land &amp; rehabilitation",IF(OR(ISNUMBER(SEARCH("forest",P309)),ISNUMBER(SEARCH("environment",P309)),ISNUMBER(SEARCH("ecological",P309)),ISNUMBER(SEARCH("biodiversity",P309)),ISNUMBER(SEARCH("green cover",P309))),"Environment",IF(OR(ISNUMBER(SEARCH("irrigation",P309)),ISNUMBER(SEARCH("water",P309)),ISNUMBER(SEARCH("crop",P309)),ISNUMBER(SEARCH("farmer",P309)),ISNUMBER(SEARCH("agriculture",P309))),"Agriculture &amp; water",IF(OR(ISNUMBER(SEARCH("health",P309)),ISNUMBER(SEARCH("hospital",P309)),ISNUMBER(SEARCH("medicine",P309))),"Public health",IF(OR(ISNUMBER(SEARCH("employee",P309)),ISNUMBER(SEARCH("labour",P309)),ISNUMBER(SEARCH("worker",P309)),ISNUMBER(SEARCH("salary",P309))),"Labour &amp; employment",IF(OR(ISNUMBER(SEARCH("rti",P309)),ISNUMBER(SEARCH("transparency",P309)),ISNUMBER(SEARCH("corruption",P309)),ISNUMBER(SEARCH("governance",P309))),"Governance &amp; transparency",IF(OR(ISNUMBER(SEARCH("police",P309)),ISNUMBER(SEARCH("detention",P309)),ISNUMBER(SEARCH("civil rights",P309)),ISNUMBER(SEARCH("justice",P309))),"Civil rights &amp; justice",IF(OR(ISNUMBER(SEARCH("road",P309)),ISNUMBER(SEARCH("utility",P309)),ISNUMBER(SEARCH("infrastructure",P309)),ISNUMBER(SEARCH("public service",P309))),"Infrastructure &amp; public services","Other"))))))))))))</x:f>
      </x:c>
      <x:c r="J309" s="16" t="str">
        <x:f>IF(A309="","",IF(OR(ISNUMBER(SEARCH("fatal",Q309)),ISNUMBER(SEARCH("death",Q309)),ISNUMBER(SEARCH("riot",Q309)),ISNUMBER(SEARCH("curfew",Q309)),ISNUMBER(SEARCH("internet shutdown",Q309))),5,MIN(4,1+IF(H309&gt;=7,1,0)+IF(OR(ISNUMBER(SEARCH("hunger strike",Q309)),ISNUMBER(SEARCH("blockade",Q309)),ISNUMBER(SEARCH("strike",Q309)),ISNUMBER(SEARCH("jal satyagraha",Q309)),ISNUMBER(SEARCH("survey",Q309)),ISNUMBER(SEARCH("human chain",Q309)),ISNUMBER(SEARCH("march",Q309))),1,0)+IF(OR(ISNUMBER(SEARCH("fir",Q309)),ISNUMBER(SEARCH("confrontation",Q309)),ISNUMBER(SEARCH("violence",Q309)),ISNUMBER(SEARCH("detention",Q309)),ISNUMBER(SEARCH("arrest",Q309)),ISNUMBER(SEARCH("demolition",Q309)),ISNUMBER(SEARCH("injury",Q309))),1,0)+IF(OR(D309="Ongoing",D309="Unresolved"),1,0))))</x:f>
      </x:c>
      <x:c r="K309" s="16" t="str">
        <x:f>IF(J309="","",IF(J309=1,"Limited",IF(J309=2,"Local",IF(J309=3,"Significant",IF(J309=4,"High","Critical")))))</x:f>
      </x:c>
      <x:c r="L309" s="16" t="str">
        <x:f>IF(A309="","",Events!U308)</x:f>
      </x:c>
      <x:c r="M309" s="16" t="str">
        <x:f>IF(A309="","",Events!V308)</x:f>
      </x:c>
      <x:c r="N309" s="16" t="str">
        <x:f>IF(A309="","",Events!Q308)</x:f>
      </x:c>
      <x:c r="O309" s="16" t="str">
        <x:f>IF(A309="","",Events!R308)</x:f>
      </x:c>
      <x:c r="P309" s="16" t="str">
        <x:f>IF(A309="","",LOWER(Events!B308&amp;" "&amp;Events!D308&amp;" "&amp;Events!K308))</x:f>
      </x:c>
      <x:c r="Q309" s="16" t="str">
        <x:f>IF(A309="","",LOWER(Events!C308&amp;" "&amp;Events!K308&amp;" "&amp;Events!T308))</x:f>
      </x:c>
      <x:c r="R309" s="16" t="str">
        <x:f>IF(A309="","",IF(ISNUMBER(SEARCH("Occurrence verified",E309)),"Occurrence verified",E309))</x:f>
      </x:c>
      <x:c r="S309" s="79" t="str">
        <x:f>IF(A309="","",Events!X308)</x:f>
      </x:c>
      <x:c r="Z309" s="79" t="str">
        <x:f>IF(A309="","",Events!AD308)</x:f>
      </x:c>
      <x:c r="AA309" s="79" t="str">
        <x:f>IF(A309="","",Events!AE308)</x:f>
      </x:c>
    </x:row>
    <x:row r="310">
      <x:c r="A310" s="16" t="str">
        <x:f>IF(Events!A309="","",Events!A309)</x:f>
      </x:c>
      <x:c r="B310" s="16" t="str">
        <x:f>IF(A310="","",Events!B309)</x:f>
      </x:c>
      <x:c r="C310" s="16" t="str">
        <x:f>IF(A310="","",Events!E309)</x:f>
      </x:c>
      <x:c r="D310" s="16" t="str">
        <x:f>IF(A310="","",Events!J309)</x:f>
      </x:c>
      <x:c r="E310" s="16" t="str">
        <x:f>IF(A310="","",Events!N309)</x:f>
      </x:c>
      <x:c r="F310" s="109" t="str">
        <x:f>IF(OR(A310="",Events!H309=""),"",Events!H309)</x:f>
      </x:c>
      <x:c r="G310" s="109" t="str">
        <x:f>IF(A310="","",IF(Events!I309&lt;&gt;"",Events!I309,IF(Events!S309&lt;&gt;"",Events!S309,"")))</x:f>
      </x:c>
      <x:c r="H310" s="16" t="str">
        <x:f>IF(A310="","",Events!W309)</x:f>
      </x:c>
      <x:c r="I310" s="16" t="str">
        <x:f>IF(A310="","",IF(Events!Y309&lt;&gt;"",Events!Y309,IF(OR(ISNUMBER(SEARCH("education",P310)),ISNUMBER(SEARCH("exam",P310)),ISNUMBER(SEARCH("school",P310))),"Education",IF(OR(ISNUMBER(SEARCH("trade agreement",P310)),ISNUMBER(SEARCH("economic",P310)),ISNUMBER(SEARCH("import",P310))),"Trade &amp; economic policy",IF(OR(ISNUMBER(SEARCH("land acquisition",P310)),ISNUMBER(SEARCH("rehabilitation",P310)),ISNUMBER(SEARCH("displacement",P310)),ISNUMBER(SEARCH("township",P310))),"Land &amp; rehabilitation",IF(OR(ISNUMBER(SEARCH("forest",P310)),ISNUMBER(SEARCH("environment",P310)),ISNUMBER(SEARCH("ecological",P310)),ISNUMBER(SEARCH("biodiversity",P310)),ISNUMBER(SEARCH("green cover",P310))),"Environment",IF(OR(ISNUMBER(SEARCH("irrigation",P310)),ISNUMBER(SEARCH("water",P310)),ISNUMBER(SEARCH("crop",P310)),ISNUMBER(SEARCH("farmer",P310)),ISNUMBER(SEARCH("agriculture",P310))),"Agriculture &amp; water",IF(OR(ISNUMBER(SEARCH("health",P310)),ISNUMBER(SEARCH("hospital",P310)),ISNUMBER(SEARCH("medicine",P310))),"Public health",IF(OR(ISNUMBER(SEARCH("employee",P310)),ISNUMBER(SEARCH("labour",P310)),ISNUMBER(SEARCH("worker",P310)),ISNUMBER(SEARCH("salary",P310))),"Labour &amp; employment",IF(OR(ISNUMBER(SEARCH("rti",P310)),ISNUMBER(SEARCH("transparency",P310)),ISNUMBER(SEARCH("corruption",P310)),ISNUMBER(SEARCH("governance",P310))),"Governance &amp; transparency",IF(OR(ISNUMBER(SEARCH("police",P310)),ISNUMBER(SEARCH("detention",P310)),ISNUMBER(SEARCH("civil rights",P310)),ISNUMBER(SEARCH("justice",P310))),"Civil rights &amp; justice",IF(OR(ISNUMBER(SEARCH("road",P310)),ISNUMBER(SEARCH("utility",P310)),ISNUMBER(SEARCH("infrastructure",P310)),ISNUMBER(SEARCH("public service",P310))),"Infrastructure &amp; public services","Other"))))))))))))</x:f>
      </x:c>
      <x:c r="J310" s="16" t="str">
        <x:f>IF(A310="","",IF(OR(ISNUMBER(SEARCH("fatal",Q310)),ISNUMBER(SEARCH("death",Q310)),ISNUMBER(SEARCH("riot",Q310)),ISNUMBER(SEARCH("curfew",Q310)),ISNUMBER(SEARCH("internet shutdown",Q310))),5,MIN(4,1+IF(H310&gt;=7,1,0)+IF(OR(ISNUMBER(SEARCH("hunger strike",Q310)),ISNUMBER(SEARCH("blockade",Q310)),ISNUMBER(SEARCH("strike",Q310)),ISNUMBER(SEARCH("jal satyagraha",Q310)),ISNUMBER(SEARCH("survey",Q310)),ISNUMBER(SEARCH("human chain",Q310)),ISNUMBER(SEARCH("march",Q310))),1,0)+IF(OR(ISNUMBER(SEARCH("fir",Q310)),ISNUMBER(SEARCH("confrontation",Q310)),ISNUMBER(SEARCH("violence",Q310)),ISNUMBER(SEARCH("detention",Q310)),ISNUMBER(SEARCH("arrest",Q310)),ISNUMBER(SEARCH("demolition",Q310)),ISNUMBER(SEARCH("injury",Q310))),1,0)+IF(OR(D310="Ongoing",D310="Unresolved"),1,0))))</x:f>
      </x:c>
      <x:c r="K310" s="16" t="str">
        <x:f>IF(J310="","",IF(J310=1,"Limited",IF(J310=2,"Local",IF(J310=3,"Significant",IF(J310=4,"High","Critical")))))</x:f>
      </x:c>
      <x:c r="L310" s="16" t="str">
        <x:f>IF(A310="","",Events!U309)</x:f>
      </x:c>
      <x:c r="M310" s="16" t="str">
        <x:f>IF(A310="","",Events!V309)</x:f>
      </x:c>
      <x:c r="N310" s="16" t="str">
        <x:f>IF(A310="","",Events!Q309)</x:f>
      </x:c>
      <x:c r="O310" s="16" t="str">
        <x:f>IF(A310="","",Events!R309)</x:f>
      </x:c>
      <x:c r="P310" s="16" t="str">
        <x:f>IF(A310="","",LOWER(Events!B309&amp;" "&amp;Events!D309&amp;" "&amp;Events!K309))</x:f>
      </x:c>
      <x:c r="Q310" s="16" t="str">
        <x:f>IF(A310="","",LOWER(Events!C309&amp;" "&amp;Events!K309&amp;" "&amp;Events!T309))</x:f>
      </x:c>
      <x:c r="R310" s="16" t="str">
        <x:f>IF(A310="","",IF(ISNUMBER(SEARCH("Occurrence verified",E310)),"Occurrence verified",E310))</x:f>
      </x:c>
      <x:c r="S310" s="79" t="str">
        <x:f>IF(A310="","",Events!X309)</x:f>
      </x:c>
      <x:c r="Z310" s="79" t="str">
        <x:f>IF(A310="","",Events!AD309)</x:f>
      </x:c>
      <x:c r="AA310" s="79" t="str">
        <x:f>IF(A310="","",Events!AE309)</x:f>
      </x:c>
    </x:row>
    <x:row r="311">
      <x:c r="A311" s="16" t="str">
        <x:f>IF(Events!A310="","",Events!A310)</x:f>
      </x:c>
      <x:c r="B311" s="16" t="str">
        <x:f>IF(A311="","",Events!B310)</x:f>
      </x:c>
      <x:c r="C311" s="16" t="str">
        <x:f>IF(A311="","",Events!E310)</x:f>
      </x:c>
      <x:c r="D311" s="16" t="str">
        <x:f>IF(A311="","",Events!J310)</x:f>
      </x:c>
      <x:c r="E311" s="16" t="str">
        <x:f>IF(A311="","",Events!N310)</x:f>
      </x:c>
      <x:c r="F311" s="109" t="str">
        <x:f>IF(OR(A311="",Events!H310=""),"",Events!H310)</x:f>
      </x:c>
      <x:c r="G311" s="109" t="str">
        <x:f>IF(A311="","",IF(Events!I310&lt;&gt;"",Events!I310,IF(Events!S310&lt;&gt;"",Events!S310,"")))</x:f>
      </x:c>
      <x:c r="H311" s="16" t="str">
        <x:f>IF(A311="","",Events!W310)</x:f>
      </x:c>
      <x:c r="I311" s="16" t="str">
        <x:f>IF(A311="","",IF(Events!Y310&lt;&gt;"",Events!Y310,IF(OR(ISNUMBER(SEARCH("education",P311)),ISNUMBER(SEARCH("exam",P311)),ISNUMBER(SEARCH("school",P311))),"Education",IF(OR(ISNUMBER(SEARCH("trade agreement",P311)),ISNUMBER(SEARCH("economic",P311)),ISNUMBER(SEARCH("import",P311))),"Trade &amp; economic policy",IF(OR(ISNUMBER(SEARCH("land acquisition",P311)),ISNUMBER(SEARCH("rehabilitation",P311)),ISNUMBER(SEARCH("displacement",P311)),ISNUMBER(SEARCH("township",P311))),"Land &amp; rehabilitation",IF(OR(ISNUMBER(SEARCH("forest",P311)),ISNUMBER(SEARCH("environment",P311)),ISNUMBER(SEARCH("ecological",P311)),ISNUMBER(SEARCH("biodiversity",P311)),ISNUMBER(SEARCH("green cover",P311))),"Environment",IF(OR(ISNUMBER(SEARCH("irrigation",P311)),ISNUMBER(SEARCH("water",P311)),ISNUMBER(SEARCH("crop",P311)),ISNUMBER(SEARCH("farmer",P311)),ISNUMBER(SEARCH("agriculture",P311))),"Agriculture &amp; water",IF(OR(ISNUMBER(SEARCH("health",P311)),ISNUMBER(SEARCH("hospital",P311)),ISNUMBER(SEARCH("medicine",P311))),"Public health",IF(OR(ISNUMBER(SEARCH("employee",P311)),ISNUMBER(SEARCH("labour",P311)),ISNUMBER(SEARCH("worker",P311)),ISNUMBER(SEARCH("salary",P311))),"Labour &amp; employment",IF(OR(ISNUMBER(SEARCH("rti",P311)),ISNUMBER(SEARCH("transparency",P311)),ISNUMBER(SEARCH("corruption",P311)),ISNUMBER(SEARCH("governance",P311))),"Governance &amp; transparency",IF(OR(ISNUMBER(SEARCH("police",P311)),ISNUMBER(SEARCH("detention",P311)),ISNUMBER(SEARCH("civil rights",P311)),ISNUMBER(SEARCH("justice",P311))),"Civil rights &amp; justice",IF(OR(ISNUMBER(SEARCH("road",P311)),ISNUMBER(SEARCH("utility",P311)),ISNUMBER(SEARCH("infrastructure",P311)),ISNUMBER(SEARCH("public service",P311))),"Infrastructure &amp; public services","Other"))))))))))))</x:f>
      </x:c>
      <x:c r="J311" s="16" t="str">
        <x:f>IF(A311="","",IF(OR(ISNUMBER(SEARCH("fatal",Q311)),ISNUMBER(SEARCH("death",Q311)),ISNUMBER(SEARCH("riot",Q311)),ISNUMBER(SEARCH("curfew",Q311)),ISNUMBER(SEARCH("internet shutdown",Q311))),5,MIN(4,1+IF(H311&gt;=7,1,0)+IF(OR(ISNUMBER(SEARCH("hunger strike",Q311)),ISNUMBER(SEARCH("blockade",Q311)),ISNUMBER(SEARCH("strike",Q311)),ISNUMBER(SEARCH("jal satyagraha",Q311)),ISNUMBER(SEARCH("survey",Q311)),ISNUMBER(SEARCH("human chain",Q311)),ISNUMBER(SEARCH("march",Q311))),1,0)+IF(OR(ISNUMBER(SEARCH("fir",Q311)),ISNUMBER(SEARCH("confrontation",Q311)),ISNUMBER(SEARCH("violence",Q311)),ISNUMBER(SEARCH("detention",Q311)),ISNUMBER(SEARCH("arrest",Q311)),ISNUMBER(SEARCH("demolition",Q311)),ISNUMBER(SEARCH("injury",Q311))),1,0)+IF(OR(D311="Ongoing",D311="Unresolved"),1,0))))</x:f>
      </x:c>
      <x:c r="K311" s="16" t="str">
        <x:f>IF(J311="","",IF(J311=1,"Limited",IF(J311=2,"Local",IF(J311=3,"Significant",IF(J311=4,"High","Critical")))))</x:f>
      </x:c>
      <x:c r="L311" s="16" t="str">
        <x:f>IF(A311="","",Events!U310)</x:f>
      </x:c>
      <x:c r="M311" s="16" t="str">
        <x:f>IF(A311="","",Events!V310)</x:f>
      </x:c>
      <x:c r="N311" s="16" t="str">
        <x:f>IF(A311="","",Events!Q310)</x:f>
      </x:c>
      <x:c r="O311" s="16" t="str">
        <x:f>IF(A311="","",Events!R310)</x:f>
      </x:c>
      <x:c r="P311" s="16" t="str">
        <x:f>IF(A311="","",LOWER(Events!B310&amp;" "&amp;Events!D310&amp;" "&amp;Events!K310))</x:f>
      </x:c>
      <x:c r="Q311" s="16" t="str">
        <x:f>IF(A311="","",LOWER(Events!C310&amp;" "&amp;Events!K310&amp;" "&amp;Events!T310))</x:f>
      </x:c>
      <x:c r="R311" s="16" t="str">
        <x:f>IF(A311="","",IF(ISNUMBER(SEARCH("Occurrence verified",E311)),"Occurrence verified",E311))</x:f>
      </x:c>
      <x:c r="S311" s="79" t="str">
        <x:f>IF(A311="","",Events!X310)</x:f>
      </x:c>
      <x:c r="Z311" s="79" t="str">
        <x:f>IF(A311="","",Events!AD310)</x:f>
      </x:c>
      <x:c r="AA311" s="79" t="str">
        <x:f>IF(A311="","",Events!AE310)</x:f>
      </x:c>
    </x:row>
    <x:row r="312">
      <x:c r="A312" s="16" t="str">
        <x:f>IF(Events!A311="","",Events!A311)</x:f>
      </x:c>
      <x:c r="B312" s="16" t="str">
        <x:f>IF(A312="","",Events!B311)</x:f>
      </x:c>
      <x:c r="C312" s="16" t="str">
        <x:f>IF(A312="","",Events!E311)</x:f>
      </x:c>
      <x:c r="D312" s="16" t="str">
        <x:f>IF(A312="","",Events!J311)</x:f>
      </x:c>
      <x:c r="E312" s="16" t="str">
        <x:f>IF(A312="","",Events!N311)</x:f>
      </x:c>
      <x:c r="F312" s="109" t="str">
        <x:f>IF(OR(A312="",Events!H311=""),"",Events!H311)</x:f>
      </x:c>
      <x:c r="G312" s="109" t="str">
        <x:f>IF(A312="","",IF(Events!I311&lt;&gt;"",Events!I311,IF(Events!S311&lt;&gt;"",Events!S311,"")))</x:f>
      </x:c>
      <x:c r="H312" s="16" t="str">
        <x:f>IF(A312="","",Events!W311)</x:f>
      </x:c>
      <x:c r="I312" s="16" t="str">
        <x:f>IF(A312="","",IF(Events!Y311&lt;&gt;"",Events!Y311,IF(OR(ISNUMBER(SEARCH("education",P312)),ISNUMBER(SEARCH("exam",P312)),ISNUMBER(SEARCH("school",P312))),"Education",IF(OR(ISNUMBER(SEARCH("trade agreement",P312)),ISNUMBER(SEARCH("economic",P312)),ISNUMBER(SEARCH("import",P312))),"Trade &amp; economic policy",IF(OR(ISNUMBER(SEARCH("land acquisition",P312)),ISNUMBER(SEARCH("rehabilitation",P312)),ISNUMBER(SEARCH("displacement",P312)),ISNUMBER(SEARCH("township",P312))),"Land &amp; rehabilitation",IF(OR(ISNUMBER(SEARCH("forest",P312)),ISNUMBER(SEARCH("environment",P312)),ISNUMBER(SEARCH("ecological",P312)),ISNUMBER(SEARCH("biodiversity",P312)),ISNUMBER(SEARCH("green cover",P312))),"Environment",IF(OR(ISNUMBER(SEARCH("irrigation",P312)),ISNUMBER(SEARCH("water",P312)),ISNUMBER(SEARCH("crop",P312)),ISNUMBER(SEARCH("farmer",P312)),ISNUMBER(SEARCH("agriculture",P312))),"Agriculture &amp; water",IF(OR(ISNUMBER(SEARCH("health",P312)),ISNUMBER(SEARCH("hospital",P312)),ISNUMBER(SEARCH("medicine",P312))),"Public health",IF(OR(ISNUMBER(SEARCH("employee",P312)),ISNUMBER(SEARCH("labour",P312)),ISNUMBER(SEARCH("worker",P312)),ISNUMBER(SEARCH("salary",P312))),"Labour &amp; employment",IF(OR(ISNUMBER(SEARCH("rti",P312)),ISNUMBER(SEARCH("transparency",P312)),ISNUMBER(SEARCH("corruption",P312)),ISNUMBER(SEARCH("governance",P312))),"Governance &amp; transparency",IF(OR(ISNUMBER(SEARCH("police",P312)),ISNUMBER(SEARCH("detention",P312)),ISNUMBER(SEARCH("civil rights",P312)),ISNUMBER(SEARCH("justice",P312))),"Civil rights &amp; justice",IF(OR(ISNUMBER(SEARCH("road",P312)),ISNUMBER(SEARCH("utility",P312)),ISNUMBER(SEARCH("infrastructure",P312)),ISNUMBER(SEARCH("public service",P312))),"Infrastructure &amp; public services","Other"))))))))))))</x:f>
      </x:c>
      <x:c r="J312" s="16" t="str">
        <x:f>IF(A312="","",IF(OR(ISNUMBER(SEARCH("fatal",Q312)),ISNUMBER(SEARCH("death",Q312)),ISNUMBER(SEARCH("riot",Q312)),ISNUMBER(SEARCH("curfew",Q312)),ISNUMBER(SEARCH("internet shutdown",Q312))),5,MIN(4,1+IF(H312&gt;=7,1,0)+IF(OR(ISNUMBER(SEARCH("hunger strike",Q312)),ISNUMBER(SEARCH("blockade",Q312)),ISNUMBER(SEARCH("strike",Q312)),ISNUMBER(SEARCH("jal satyagraha",Q312)),ISNUMBER(SEARCH("survey",Q312)),ISNUMBER(SEARCH("human chain",Q312)),ISNUMBER(SEARCH("march",Q312))),1,0)+IF(OR(ISNUMBER(SEARCH("fir",Q312)),ISNUMBER(SEARCH("confrontation",Q312)),ISNUMBER(SEARCH("violence",Q312)),ISNUMBER(SEARCH("detention",Q312)),ISNUMBER(SEARCH("arrest",Q312)),ISNUMBER(SEARCH("demolition",Q312)),ISNUMBER(SEARCH("injury",Q312))),1,0)+IF(OR(D312="Ongoing",D312="Unresolved"),1,0))))</x:f>
      </x:c>
      <x:c r="K312" s="16" t="str">
        <x:f>IF(J312="","",IF(J312=1,"Limited",IF(J312=2,"Local",IF(J312=3,"Significant",IF(J312=4,"High","Critical")))))</x:f>
      </x:c>
      <x:c r="L312" s="16" t="str">
        <x:f>IF(A312="","",Events!U311)</x:f>
      </x:c>
      <x:c r="M312" s="16" t="str">
        <x:f>IF(A312="","",Events!V311)</x:f>
      </x:c>
      <x:c r="N312" s="16" t="str">
        <x:f>IF(A312="","",Events!Q311)</x:f>
      </x:c>
      <x:c r="O312" s="16" t="str">
        <x:f>IF(A312="","",Events!R311)</x:f>
      </x:c>
      <x:c r="P312" s="16" t="str">
        <x:f>IF(A312="","",LOWER(Events!B311&amp;" "&amp;Events!D311&amp;" "&amp;Events!K311))</x:f>
      </x:c>
      <x:c r="Q312" s="16" t="str">
        <x:f>IF(A312="","",LOWER(Events!C311&amp;" "&amp;Events!K311&amp;" "&amp;Events!T311))</x:f>
      </x:c>
      <x:c r="R312" s="16" t="str">
        <x:f>IF(A312="","",IF(ISNUMBER(SEARCH("Occurrence verified",E312)),"Occurrence verified",E312))</x:f>
      </x:c>
      <x:c r="S312" s="79" t="str">
        <x:f>IF(A312="","",Events!X311)</x:f>
      </x:c>
      <x:c r="Z312" s="79" t="str">
        <x:f>IF(A312="","",Events!AD311)</x:f>
      </x:c>
      <x:c r="AA312" s="79" t="str">
        <x:f>IF(A312="","",Events!AE311)</x:f>
      </x:c>
    </x:row>
    <x:row r="313">
      <x:c r="A313" s="16" t="str">
        <x:f>IF(Events!A312="","",Events!A312)</x:f>
      </x:c>
      <x:c r="B313" s="16" t="str">
        <x:f>IF(A313="","",Events!B312)</x:f>
      </x:c>
      <x:c r="C313" s="16" t="str">
        <x:f>IF(A313="","",Events!E312)</x:f>
      </x:c>
      <x:c r="D313" s="16" t="str">
        <x:f>IF(A313="","",Events!J312)</x:f>
      </x:c>
      <x:c r="E313" s="16" t="str">
        <x:f>IF(A313="","",Events!N312)</x:f>
      </x:c>
      <x:c r="F313" s="109" t="str">
        <x:f>IF(OR(A313="",Events!H312=""),"",Events!H312)</x:f>
      </x:c>
      <x:c r="G313" s="109" t="str">
        <x:f>IF(A313="","",IF(Events!I312&lt;&gt;"",Events!I312,IF(Events!S312&lt;&gt;"",Events!S312,"")))</x:f>
      </x:c>
      <x:c r="H313" s="16" t="str">
        <x:f>IF(A313="","",Events!W312)</x:f>
      </x:c>
      <x:c r="I313" s="16" t="str">
        <x:f>IF(A313="","",IF(Events!Y312&lt;&gt;"",Events!Y312,IF(OR(ISNUMBER(SEARCH("education",P313)),ISNUMBER(SEARCH("exam",P313)),ISNUMBER(SEARCH("school",P313))),"Education",IF(OR(ISNUMBER(SEARCH("trade agreement",P313)),ISNUMBER(SEARCH("economic",P313)),ISNUMBER(SEARCH("import",P313))),"Trade &amp; economic policy",IF(OR(ISNUMBER(SEARCH("land acquisition",P313)),ISNUMBER(SEARCH("rehabilitation",P313)),ISNUMBER(SEARCH("displacement",P313)),ISNUMBER(SEARCH("township",P313))),"Land &amp; rehabilitation",IF(OR(ISNUMBER(SEARCH("forest",P313)),ISNUMBER(SEARCH("environment",P313)),ISNUMBER(SEARCH("ecological",P313)),ISNUMBER(SEARCH("biodiversity",P313)),ISNUMBER(SEARCH("green cover",P313))),"Environment",IF(OR(ISNUMBER(SEARCH("irrigation",P313)),ISNUMBER(SEARCH("water",P313)),ISNUMBER(SEARCH("crop",P313)),ISNUMBER(SEARCH("farmer",P313)),ISNUMBER(SEARCH("agriculture",P313))),"Agriculture &amp; water",IF(OR(ISNUMBER(SEARCH("health",P313)),ISNUMBER(SEARCH("hospital",P313)),ISNUMBER(SEARCH("medicine",P313))),"Public health",IF(OR(ISNUMBER(SEARCH("employee",P313)),ISNUMBER(SEARCH("labour",P313)),ISNUMBER(SEARCH("worker",P313)),ISNUMBER(SEARCH("salary",P313))),"Labour &amp; employment",IF(OR(ISNUMBER(SEARCH("rti",P313)),ISNUMBER(SEARCH("transparency",P313)),ISNUMBER(SEARCH("corruption",P313)),ISNUMBER(SEARCH("governance",P313))),"Governance &amp; transparency",IF(OR(ISNUMBER(SEARCH("police",P313)),ISNUMBER(SEARCH("detention",P313)),ISNUMBER(SEARCH("civil rights",P313)),ISNUMBER(SEARCH("justice",P313))),"Civil rights &amp; justice",IF(OR(ISNUMBER(SEARCH("road",P313)),ISNUMBER(SEARCH("utility",P313)),ISNUMBER(SEARCH("infrastructure",P313)),ISNUMBER(SEARCH("public service",P313))),"Infrastructure &amp; public services","Other"))))))))))))</x:f>
      </x:c>
      <x:c r="J313" s="16" t="str">
        <x:f>IF(A313="","",IF(OR(ISNUMBER(SEARCH("fatal",Q313)),ISNUMBER(SEARCH("death",Q313)),ISNUMBER(SEARCH("riot",Q313)),ISNUMBER(SEARCH("curfew",Q313)),ISNUMBER(SEARCH("internet shutdown",Q313))),5,MIN(4,1+IF(H313&gt;=7,1,0)+IF(OR(ISNUMBER(SEARCH("hunger strike",Q313)),ISNUMBER(SEARCH("blockade",Q313)),ISNUMBER(SEARCH("strike",Q313)),ISNUMBER(SEARCH("jal satyagraha",Q313)),ISNUMBER(SEARCH("survey",Q313)),ISNUMBER(SEARCH("human chain",Q313)),ISNUMBER(SEARCH("march",Q313))),1,0)+IF(OR(ISNUMBER(SEARCH("fir",Q313)),ISNUMBER(SEARCH("confrontation",Q313)),ISNUMBER(SEARCH("violence",Q313)),ISNUMBER(SEARCH("detention",Q313)),ISNUMBER(SEARCH("arrest",Q313)),ISNUMBER(SEARCH("demolition",Q313)),ISNUMBER(SEARCH("injury",Q313))),1,0)+IF(OR(D313="Ongoing",D313="Unresolved"),1,0))))</x:f>
      </x:c>
      <x:c r="K313" s="16" t="str">
        <x:f>IF(J313="","",IF(J313=1,"Limited",IF(J313=2,"Local",IF(J313=3,"Significant",IF(J313=4,"High","Critical")))))</x:f>
      </x:c>
      <x:c r="L313" s="16" t="str">
        <x:f>IF(A313="","",Events!U312)</x:f>
      </x:c>
      <x:c r="M313" s="16" t="str">
        <x:f>IF(A313="","",Events!V312)</x:f>
      </x:c>
      <x:c r="N313" s="16" t="str">
        <x:f>IF(A313="","",Events!Q312)</x:f>
      </x:c>
      <x:c r="O313" s="16" t="str">
        <x:f>IF(A313="","",Events!R312)</x:f>
      </x:c>
      <x:c r="P313" s="16" t="str">
        <x:f>IF(A313="","",LOWER(Events!B312&amp;" "&amp;Events!D312&amp;" "&amp;Events!K312))</x:f>
      </x:c>
      <x:c r="Q313" s="16" t="str">
        <x:f>IF(A313="","",LOWER(Events!C312&amp;" "&amp;Events!K312&amp;" "&amp;Events!T312))</x:f>
      </x:c>
      <x:c r="R313" s="16" t="str">
        <x:f>IF(A313="","",IF(ISNUMBER(SEARCH("Occurrence verified",E313)),"Occurrence verified",E313))</x:f>
      </x:c>
      <x:c r="S313" s="79" t="str">
        <x:f>IF(A313="","",Events!X312)</x:f>
      </x:c>
      <x:c r="Z313" s="79" t="str">
        <x:f>IF(A313="","",Events!AD312)</x:f>
      </x:c>
      <x:c r="AA313" s="79" t="str">
        <x:f>IF(A313="","",Events!AE312)</x:f>
      </x:c>
    </x:row>
    <x:row r="314">
      <x:c r="A314" s="16" t="str">
        <x:f>IF(Events!A313="","",Events!A313)</x:f>
      </x:c>
      <x:c r="B314" s="16" t="str">
        <x:f>IF(A314="","",Events!B313)</x:f>
      </x:c>
      <x:c r="C314" s="16" t="str">
        <x:f>IF(A314="","",Events!E313)</x:f>
      </x:c>
      <x:c r="D314" s="16" t="str">
        <x:f>IF(A314="","",Events!J313)</x:f>
      </x:c>
      <x:c r="E314" s="16" t="str">
        <x:f>IF(A314="","",Events!N313)</x:f>
      </x:c>
      <x:c r="F314" s="109" t="str">
        <x:f>IF(OR(A314="",Events!H313=""),"",Events!H313)</x:f>
      </x:c>
      <x:c r="G314" s="109" t="str">
        <x:f>IF(A314="","",IF(Events!I313&lt;&gt;"",Events!I313,IF(Events!S313&lt;&gt;"",Events!S313,"")))</x:f>
      </x:c>
      <x:c r="H314" s="16" t="str">
        <x:f>IF(A314="","",Events!W313)</x:f>
      </x:c>
      <x:c r="I314" s="16" t="str">
        <x:f>IF(A314="","",IF(Events!Y313&lt;&gt;"",Events!Y313,IF(OR(ISNUMBER(SEARCH("education",P314)),ISNUMBER(SEARCH("exam",P314)),ISNUMBER(SEARCH("school",P314))),"Education",IF(OR(ISNUMBER(SEARCH("trade agreement",P314)),ISNUMBER(SEARCH("economic",P314)),ISNUMBER(SEARCH("import",P314))),"Trade &amp; economic policy",IF(OR(ISNUMBER(SEARCH("land acquisition",P314)),ISNUMBER(SEARCH("rehabilitation",P314)),ISNUMBER(SEARCH("displacement",P314)),ISNUMBER(SEARCH("township",P314))),"Land &amp; rehabilitation",IF(OR(ISNUMBER(SEARCH("forest",P314)),ISNUMBER(SEARCH("environment",P314)),ISNUMBER(SEARCH("ecological",P314)),ISNUMBER(SEARCH("biodiversity",P314)),ISNUMBER(SEARCH("green cover",P314))),"Environment",IF(OR(ISNUMBER(SEARCH("irrigation",P314)),ISNUMBER(SEARCH("water",P314)),ISNUMBER(SEARCH("crop",P314)),ISNUMBER(SEARCH("farmer",P314)),ISNUMBER(SEARCH("agriculture",P314))),"Agriculture &amp; water",IF(OR(ISNUMBER(SEARCH("health",P314)),ISNUMBER(SEARCH("hospital",P314)),ISNUMBER(SEARCH("medicine",P314))),"Public health",IF(OR(ISNUMBER(SEARCH("employee",P314)),ISNUMBER(SEARCH("labour",P314)),ISNUMBER(SEARCH("worker",P314)),ISNUMBER(SEARCH("salary",P314))),"Labour &amp; employment",IF(OR(ISNUMBER(SEARCH("rti",P314)),ISNUMBER(SEARCH("transparency",P314)),ISNUMBER(SEARCH("corruption",P314)),ISNUMBER(SEARCH("governance",P314))),"Governance &amp; transparency",IF(OR(ISNUMBER(SEARCH("police",P314)),ISNUMBER(SEARCH("detention",P314)),ISNUMBER(SEARCH("civil rights",P314)),ISNUMBER(SEARCH("justice",P314))),"Civil rights &amp; justice",IF(OR(ISNUMBER(SEARCH("road",P314)),ISNUMBER(SEARCH("utility",P314)),ISNUMBER(SEARCH("infrastructure",P314)),ISNUMBER(SEARCH("public service",P314))),"Infrastructure &amp; public services","Other"))))))))))))</x:f>
      </x:c>
      <x:c r="J314" s="16" t="str">
        <x:f>IF(A314="","",IF(OR(ISNUMBER(SEARCH("fatal",Q314)),ISNUMBER(SEARCH("death",Q314)),ISNUMBER(SEARCH("riot",Q314)),ISNUMBER(SEARCH("curfew",Q314)),ISNUMBER(SEARCH("internet shutdown",Q314))),5,MIN(4,1+IF(H314&gt;=7,1,0)+IF(OR(ISNUMBER(SEARCH("hunger strike",Q314)),ISNUMBER(SEARCH("blockade",Q314)),ISNUMBER(SEARCH("strike",Q314)),ISNUMBER(SEARCH("jal satyagraha",Q314)),ISNUMBER(SEARCH("survey",Q314)),ISNUMBER(SEARCH("human chain",Q314)),ISNUMBER(SEARCH("march",Q314))),1,0)+IF(OR(ISNUMBER(SEARCH("fir",Q314)),ISNUMBER(SEARCH("confrontation",Q314)),ISNUMBER(SEARCH("violence",Q314)),ISNUMBER(SEARCH("detention",Q314)),ISNUMBER(SEARCH("arrest",Q314)),ISNUMBER(SEARCH("demolition",Q314)),ISNUMBER(SEARCH("injury",Q314))),1,0)+IF(OR(D314="Ongoing",D314="Unresolved"),1,0))))</x:f>
      </x:c>
      <x:c r="K314" s="16" t="str">
        <x:f>IF(J314="","",IF(J314=1,"Limited",IF(J314=2,"Local",IF(J314=3,"Significant",IF(J314=4,"High","Critical")))))</x:f>
      </x:c>
      <x:c r="L314" s="16" t="str">
        <x:f>IF(A314="","",Events!U313)</x:f>
      </x:c>
      <x:c r="M314" s="16" t="str">
        <x:f>IF(A314="","",Events!V313)</x:f>
      </x:c>
      <x:c r="N314" s="16" t="str">
        <x:f>IF(A314="","",Events!Q313)</x:f>
      </x:c>
      <x:c r="O314" s="16" t="str">
        <x:f>IF(A314="","",Events!R313)</x:f>
      </x:c>
      <x:c r="P314" s="16" t="str">
        <x:f>IF(A314="","",LOWER(Events!B313&amp;" "&amp;Events!D313&amp;" "&amp;Events!K313))</x:f>
      </x:c>
      <x:c r="Q314" s="16" t="str">
        <x:f>IF(A314="","",LOWER(Events!C313&amp;" "&amp;Events!K313&amp;" "&amp;Events!T313))</x:f>
      </x:c>
      <x:c r="R314" s="16" t="str">
        <x:f>IF(A314="","",IF(ISNUMBER(SEARCH("Occurrence verified",E314)),"Occurrence verified",E314))</x:f>
      </x:c>
      <x:c r="S314" s="79" t="str">
        <x:f>IF(A314="","",Events!X313)</x:f>
      </x:c>
      <x:c r="Z314" s="79" t="str">
        <x:f>IF(A314="","",Events!AD313)</x:f>
      </x:c>
      <x:c r="AA314" s="79" t="str">
        <x:f>IF(A314="","",Events!AE313)</x:f>
      </x:c>
    </x:row>
    <x:row r="315">
      <x:c r="A315" s="16" t="str">
        <x:f>IF(Events!A314="","",Events!A314)</x:f>
      </x:c>
      <x:c r="B315" s="16" t="str">
        <x:f>IF(A315="","",Events!B314)</x:f>
      </x:c>
      <x:c r="C315" s="16" t="str">
        <x:f>IF(A315="","",Events!E314)</x:f>
      </x:c>
      <x:c r="D315" s="16" t="str">
        <x:f>IF(A315="","",Events!J314)</x:f>
      </x:c>
      <x:c r="E315" s="16" t="str">
        <x:f>IF(A315="","",Events!N314)</x:f>
      </x:c>
      <x:c r="F315" s="109" t="str">
        <x:f>IF(OR(A315="",Events!H314=""),"",Events!H314)</x:f>
      </x:c>
      <x:c r="G315" s="109" t="str">
        <x:f>IF(A315="","",IF(Events!I314&lt;&gt;"",Events!I314,IF(Events!S314&lt;&gt;"",Events!S314,"")))</x:f>
      </x:c>
      <x:c r="H315" s="16" t="str">
        <x:f>IF(A315="","",Events!W314)</x:f>
      </x:c>
      <x:c r="I315" s="16" t="str">
        <x:f>IF(A315="","",IF(Events!Y314&lt;&gt;"",Events!Y314,IF(OR(ISNUMBER(SEARCH("education",P315)),ISNUMBER(SEARCH("exam",P315)),ISNUMBER(SEARCH("school",P315))),"Education",IF(OR(ISNUMBER(SEARCH("trade agreement",P315)),ISNUMBER(SEARCH("economic",P315)),ISNUMBER(SEARCH("import",P315))),"Trade &amp; economic policy",IF(OR(ISNUMBER(SEARCH("land acquisition",P315)),ISNUMBER(SEARCH("rehabilitation",P315)),ISNUMBER(SEARCH("displacement",P315)),ISNUMBER(SEARCH("township",P315))),"Land &amp; rehabilitation",IF(OR(ISNUMBER(SEARCH("forest",P315)),ISNUMBER(SEARCH("environment",P315)),ISNUMBER(SEARCH("ecological",P315)),ISNUMBER(SEARCH("biodiversity",P315)),ISNUMBER(SEARCH("green cover",P315))),"Environment",IF(OR(ISNUMBER(SEARCH("irrigation",P315)),ISNUMBER(SEARCH("water",P315)),ISNUMBER(SEARCH("crop",P315)),ISNUMBER(SEARCH("farmer",P315)),ISNUMBER(SEARCH("agriculture",P315))),"Agriculture &amp; water",IF(OR(ISNUMBER(SEARCH("health",P315)),ISNUMBER(SEARCH("hospital",P315)),ISNUMBER(SEARCH("medicine",P315))),"Public health",IF(OR(ISNUMBER(SEARCH("employee",P315)),ISNUMBER(SEARCH("labour",P315)),ISNUMBER(SEARCH("worker",P315)),ISNUMBER(SEARCH("salary",P315))),"Labour &amp; employment",IF(OR(ISNUMBER(SEARCH("rti",P315)),ISNUMBER(SEARCH("transparency",P315)),ISNUMBER(SEARCH("corruption",P315)),ISNUMBER(SEARCH("governance",P315))),"Governance &amp; transparency",IF(OR(ISNUMBER(SEARCH("police",P315)),ISNUMBER(SEARCH("detention",P315)),ISNUMBER(SEARCH("civil rights",P315)),ISNUMBER(SEARCH("justice",P315))),"Civil rights &amp; justice",IF(OR(ISNUMBER(SEARCH("road",P315)),ISNUMBER(SEARCH("utility",P315)),ISNUMBER(SEARCH("infrastructure",P315)),ISNUMBER(SEARCH("public service",P315))),"Infrastructure &amp; public services","Other"))))))))))))</x:f>
      </x:c>
      <x:c r="J315" s="16" t="str">
        <x:f>IF(A315="","",IF(OR(ISNUMBER(SEARCH("fatal",Q315)),ISNUMBER(SEARCH("death",Q315)),ISNUMBER(SEARCH("riot",Q315)),ISNUMBER(SEARCH("curfew",Q315)),ISNUMBER(SEARCH("internet shutdown",Q315))),5,MIN(4,1+IF(H315&gt;=7,1,0)+IF(OR(ISNUMBER(SEARCH("hunger strike",Q315)),ISNUMBER(SEARCH("blockade",Q315)),ISNUMBER(SEARCH("strike",Q315)),ISNUMBER(SEARCH("jal satyagraha",Q315)),ISNUMBER(SEARCH("survey",Q315)),ISNUMBER(SEARCH("human chain",Q315)),ISNUMBER(SEARCH("march",Q315))),1,0)+IF(OR(ISNUMBER(SEARCH("fir",Q315)),ISNUMBER(SEARCH("confrontation",Q315)),ISNUMBER(SEARCH("violence",Q315)),ISNUMBER(SEARCH("detention",Q315)),ISNUMBER(SEARCH("arrest",Q315)),ISNUMBER(SEARCH("demolition",Q315)),ISNUMBER(SEARCH("injury",Q315))),1,0)+IF(OR(D315="Ongoing",D315="Unresolved"),1,0))))</x:f>
      </x:c>
      <x:c r="K315" s="16" t="str">
        <x:f>IF(J315="","",IF(J315=1,"Limited",IF(J315=2,"Local",IF(J315=3,"Significant",IF(J315=4,"High","Critical")))))</x:f>
      </x:c>
      <x:c r="L315" s="16" t="str">
        <x:f>IF(A315="","",Events!U314)</x:f>
      </x:c>
      <x:c r="M315" s="16" t="str">
        <x:f>IF(A315="","",Events!V314)</x:f>
      </x:c>
      <x:c r="N315" s="16" t="str">
        <x:f>IF(A315="","",Events!Q314)</x:f>
      </x:c>
      <x:c r="O315" s="16" t="str">
        <x:f>IF(A315="","",Events!R314)</x:f>
      </x:c>
      <x:c r="P315" s="16" t="str">
        <x:f>IF(A315="","",LOWER(Events!B314&amp;" "&amp;Events!D314&amp;" "&amp;Events!K314))</x:f>
      </x:c>
      <x:c r="Q315" s="16" t="str">
        <x:f>IF(A315="","",LOWER(Events!C314&amp;" "&amp;Events!K314&amp;" "&amp;Events!T314))</x:f>
      </x:c>
      <x:c r="R315" s="16" t="str">
        <x:f>IF(A315="","",IF(ISNUMBER(SEARCH("Occurrence verified",E315)),"Occurrence verified",E315))</x:f>
      </x:c>
      <x:c r="S315" s="79" t="str">
        <x:f>IF(A315="","",Events!X314)</x:f>
      </x:c>
      <x:c r="Z315" s="79" t="str">
        <x:f>IF(A315="","",Events!AD314)</x:f>
      </x:c>
      <x:c r="AA315" s="79" t="str">
        <x:f>IF(A315="","",Events!AE314)</x:f>
      </x:c>
    </x:row>
    <x:row r="316">
      <x:c r="A316" s="16" t="str">
        <x:f>IF(Events!A315="","",Events!A315)</x:f>
      </x:c>
      <x:c r="B316" s="16" t="str">
        <x:f>IF(A316="","",Events!B315)</x:f>
      </x:c>
      <x:c r="C316" s="16" t="str">
        <x:f>IF(A316="","",Events!E315)</x:f>
      </x:c>
      <x:c r="D316" s="16" t="str">
        <x:f>IF(A316="","",Events!J315)</x:f>
      </x:c>
      <x:c r="E316" s="16" t="str">
        <x:f>IF(A316="","",Events!N315)</x:f>
      </x:c>
      <x:c r="F316" s="109" t="str">
        <x:f>IF(OR(A316="",Events!H315=""),"",Events!H315)</x:f>
      </x:c>
      <x:c r="G316" s="109" t="str">
        <x:f>IF(A316="","",IF(Events!I315&lt;&gt;"",Events!I315,IF(Events!S315&lt;&gt;"",Events!S315,"")))</x:f>
      </x:c>
      <x:c r="H316" s="16" t="str">
        <x:f>IF(A316="","",Events!W315)</x:f>
      </x:c>
      <x:c r="I316" s="16" t="str">
        <x:f>IF(A316="","",IF(Events!Y315&lt;&gt;"",Events!Y315,IF(OR(ISNUMBER(SEARCH("education",P316)),ISNUMBER(SEARCH("exam",P316)),ISNUMBER(SEARCH("school",P316))),"Education",IF(OR(ISNUMBER(SEARCH("trade agreement",P316)),ISNUMBER(SEARCH("economic",P316)),ISNUMBER(SEARCH("import",P316))),"Trade &amp; economic policy",IF(OR(ISNUMBER(SEARCH("land acquisition",P316)),ISNUMBER(SEARCH("rehabilitation",P316)),ISNUMBER(SEARCH("displacement",P316)),ISNUMBER(SEARCH("township",P316))),"Land &amp; rehabilitation",IF(OR(ISNUMBER(SEARCH("forest",P316)),ISNUMBER(SEARCH("environment",P316)),ISNUMBER(SEARCH("ecological",P316)),ISNUMBER(SEARCH("biodiversity",P316)),ISNUMBER(SEARCH("green cover",P316))),"Environment",IF(OR(ISNUMBER(SEARCH("irrigation",P316)),ISNUMBER(SEARCH("water",P316)),ISNUMBER(SEARCH("crop",P316)),ISNUMBER(SEARCH("farmer",P316)),ISNUMBER(SEARCH("agriculture",P316))),"Agriculture &amp; water",IF(OR(ISNUMBER(SEARCH("health",P316)),ISNUMBER(SEARCH("hospital",P316)),ISNUMBER(SEARCH("medicine",P316))),"Public health",IF(OR(ISNUMBER(SEARCH("employee",P316)),ISNUMBER(SEARCH("labour",P316)),ISNUMBER(SEARCH("worker",P316)),ISNUMBER(SEARCH("salary",P316))),"Labour &amp; employment",IF(OR(ISNUMBER(SEARCH("rti",P316)),ISNUMBER(SEARCH("transparency",P316)),ISNUMBER(SEARCH("corruption",P316)),ISNUMBER(SEARCH("governance",P316))),"Governance &amp; transparency",IF(OR(ISNUMBER(SEARCH("police",P316)),ISNUMBER(SEARCH("detention",P316)),ISNUMBER(SEARCH("civil rights",P316)),ISNUMBER(SEARCH("justice",P316))),"Civil rights &amp; justice",IF(OR(ISNUMBER(SEARCH("road",P316)),ISNUMBER(SEARCH("utility",P316)),ISNUMBER(SEARCH("infrastructure",P316)),ISNUMBER(SEARCH("public service",P316))),"Infrastructure &amp; public services","Other"))))))))))))</x:f>
      </x:c>
      <x:c r="J316" s="16" t="str">
        <x:f>IF(A316="","",IF(OR(ISNUMBER(SEARCH("fatal",Q316)),ISNUMBER(SEARCH("death",Q316)),ISNUMBER(SEARCH("riot",Q316)),ISNUMBER(SEARCH("curfew",Q316)),ISNUMBER(SEARCH("internet shutdown",Q316))),5,MIN(4,1+IF(H316&gt;=7,1,0)+IF(OR(ISNUMBER(SEARCH("hunger strike",Q316)),ISNUMBER(SEARCH("blockade",Q316)),ISNUMBER(SEARCH("strike",Q316)),ISNUMBER(SEARCH("jal satyagraha",Q316)),ISNUMBER(SEARCH("survey",Q316)),ISNUMBER(SEARCH("human chain",Q316)),ISNUMBER(SEARCH("march",Q316))),1,0)+IF(OR(ISNUMBER(SEARCH("fir",Q316)),ISNUMBER(SEARCH("confrontation",Q316)),ISNUMBER(SEARCH("violence",Q316)),ISNUMBER(SEARCH("detention",Q316)),ISNUMBER(SEARCH("arrest",Q316)),ISNUMBER(SEARCH("demolition",Q316)),ISNUMBER(SEARCH("injury",Q316))),1,0)+IF(OR(D316="Ongoing",D316="Unresolved"),1,0))))</x:f>
      </x:c>
      <x:c r="K316" s="16" t="str">
        <x:f>IF(J316="","",IF(J316=1,"Limited",IF(J316=2,"Local",IF(J316=3,"Significant",IF(J316=4,"High","Critical")))))</x:f>
      </x:c>
      <x:c r="L316" s="16" t="str">
        <x:f>IF(A316="","",Events!U315)</x:f>
      </x:c>
      <x:c r="M316" s="16" t="str">
        <x:f>IF(A316="","",Events!V315)</x:f>
      </x:c>
      <x:c r="N316" s="16" t="str">
        <x:f>IF(A316="","",Events!Q315)</x:f>
      </x:c>
      <x:c r="O316" s="16" t="str">
        <x:f>IF(A316="","",Events!R315)</x:f>
      </x:c>
      <x:c r="P316" s="16" t="str">
        <x:f>IF(A316="","",LOWER(Events!B315&amp;" "&amp;Events!D315&amp;" "&amp;Events!K315))</x:f>
      </x:c>
      <x:c r="Q316" s="16" t="str">
        <x:f>IF(A316="","",LOWER(Events!C315&amp;" "&amp;Events!K315&amp;" "&amp;Events!T315))</x:f>
      </x:c>
      <x:c r="R316" s="16" t="str">
        <x:f>IF(A316="","",IF(ISNUMBER(SEARCH("Occurrence verified",E316)),"Occurrence verified",E316))</x:f>
      </x:c>
      <x:c r="S316" s="79" t="str">
        <x:f>IF(A316="","",Events!X315)</x:f>
      </x:c>
      <x:c r="Z316" s="79" t="str">
        <x:f>IF(A316="","",Events!AD315)</x:f>
      </x:c>
      <x:c r="AA316" s="79" t="str">
        <x:f>IF(A316="","",Events!AE315)</x:f>
      </x:c>
    </x:row>
    <x:row r="317">
      <x:c r="A317" s="16" t="str">
        <x:f>IF(Events!A316="","",Events!A316)</x:f>
      </x:c>
      <x:c r="B317" s="16" t="str">
        <x:f>IF(A317="","",Events!B316)</x:f>
      </x:c>
      <x:c r="C317" s="16" t="str">
        <x:f>IF(A317="","",Events!E316)</x:f>
      </x:c>
      <x:c r="D317" s="16" t="str">
        <x:f>IF(A317="","",Events!J316)</x:f>
      </x:c>
      <x:c r="E317" s="16" t="str">
        <x:f>IF(A317="","",Events!N316)</x:f>
      </x:c>
      <x:c r="F317" s="109" t="str">
        <x:f>IF(OR(A317="",Events!H316=""),"",Events!H316)</x:f>
      </x:c>
      <x:c r="G317" s="109" t="str">
        <x:f>IF(A317="","",IF(Events!I316&lt;&gt;"",Events!I316,IF(Events!S316&lt;&gt;"",Events!S316,"")))</x:f>
      </x:c>
      <x:c r="H317" s="16" t="str">
        <x:f>IF(A317="","",Events!W316)</x:f>
      </x:c>
      <x:c r="I317" s="16" t="str">
        <x:f>IF(A317="","",IF(Events!Y316&lt;&gt;"",Events!Y316,IF(OR(ISNUMBER(SEARCH("education",P317)),ISNUMBER(SEARCH("exam",P317)),ISNUMBER(SEARCH("school",P317))),"Education",IF(OR(ISNUMBER(SEARCH("trade agreement",P317)),ISNUMBER(SEARCH("economic",P317)),ISNUMBER(SEARCH("import",P317))),"Trade &amp; economic policy",IF(OR(ISNUMBER(SEARCH("land acquisition",P317)),ISNUMBER(SEARCH("rehabilitation",P317)),ISNUMBER(SEARCH("displacement",P317)),ISNUMBER(SEARCH("township",P317))),"Land &amp; rehabilitation",IF(OR(ISNUMBER(SEARCH("forest",P317)),ISNUMBER(SEARCH("environment",P317)),ISNUMBER(SEARCH("ecological",P317)),ISNUMBER(SEARCH("biodiversity",P317)),ISNUMBER(SEARCH("green cover",P317))),"Environment",IF(OR(ISNUMBER(SEARCH("irrigation",P317)),ISNUMBER(SEARCH("water",P317)),ISNUMBER(SEARCH("crop",P317)),ISNUMBER(SEARCH("farmer",P317)),ISNUMBER(SEARCH("agriculture",P317))),"Agriculture &amp; water",IF(OR(ISNUMBER(SEARCH("health",P317)),ISNUMBER(SEARCH("hospital",P317)),ISNUMBER(SEARCH("medicine",P317))),"Public health",IF(OR(ISNUMBER(SEARCH("employee",P317)),ISNUMBER(SEARCH("labour",P317)),ISNUMBER(SEARCH("worker",P317)),ISNUMBER(SEARCH("salary",P317))),"Labour &amp; employment",IF(OR(ISNUMBER(SEARCH("rti",P317)),ISNUMBER(SEARCH("transparency",P317)),ISNUMBER(SEARCH("corruption",P317)),ISNUMBER(SEARCH("governance",P317))),"Governance &amp; transparency",IF(OR(ISNUMBER(SEARCH("police",P317)),ISNUMBER(SEARCH("detention",P317)),ISNUMBER(SEARCH("civil rights",P317)),ISNUMBER(SEARCH("justice",P317))),"Civil rights &amp; justice",IF(OR(ISNUMBER(SEARCH("road",P317)),ISNUMBER(SEARCH("utility",P317)),ISNUMBER(SEARCH("infrastructure",P317)),ISNUMBER(SEARCH("public service",P317))),"Infrastructure &amp; public services","Other"))))))))))))</x:f>
      </x:c>
      <x:c r="J317" s="16" t="str">
        <x:f>IF(A317="","",IF(OR(ISNUMBER(SEARCH("fatal",Q317)),ISNUMBER(SEARCH("death",Q317)),ISNUMBER(SEARCH("riot",Q317)),ISNUMBER(SEARCH("curfew",Q317)),ISNUMBER(SEARCH("internet shutdown",Q317))),5,MIN(4,1+IF(H317&gt;=7,1,0)+IF(OR(ISNUMBER(SEARCH("hunger strike",Q317)),ISNUMBER(SEARCH("blockade",Q317)),ISNUMBER(SEARCH("strike",Q317)),ISNUMBER(SEARCH("jal satyagraha",Q317)),ISNUMBER(SEARCH("survey",Q317)),ISNUMBER(SEARCH("human chain",Q317)),ISNUMBER(SEARCH("march",Q317))),1,0)+IF(OR(ISNUMBER(SEARCH("fir",Q317)),ISNUMBER(SEARCH("confrontation",Q317)),ISNUMBER(SEARCH("violence",Q317)),ISNUMBER(SEARCH("detention",Q317)),ISNUMBER(SEARCH("arrest",Q317)),ISNUMBER(SEARCH("demolition",Q317)),ISNUMBER(SEARCH("injury",Q317))),1,0)+IF(OR(D317="Ongoing",D317="Unresolved"),1,0))))</x:f>
      </x:c>
      <x:c r="K317" s="16" t="str">
        <x:f>IF(J317="","",IF(J317=1,"Limited",IF(J317=2,"Local",IF(J317=3,"Significant",IF(J317=4,"High","Critical")))))</x:f>
      </x:c>
      <x:c r="L317" s="16" t="str">
        <x:f>IF(A317="","",Events!U316)</x:f>
      </x:c>
      <x:c r="M317" s="16" t="str">
        <x:f>IF(A317="","",Events!V316)</x:f>
      </x:c>
      <x:c r="N317" s="16" t="str">
        <x:f>IF(A317="","",Events!Q316)</x:f>
      </x:c>
      <x:c r="O317" s="16" t="str">
        <x:f>IF(A317="","",Events!R316)</x:f>
      </x:c>
      <x:c r="P317" s="16" t="str">
        <x:f>IF(A317="","",LOWER(Events!B316&amp;" "&amp;Events!D316&amp;" "&amp;Events!K316))</x:f>
      </x:c>
      <x:c r="Q317" s="16" t="str">
        <x:f>IF(A317="","",LOWER(Events!C316&amp;" "&amp;Events!K316&amp;" "&amp;Events!T316))</x:f>
      </x:c>
      <x:c r="R317" s="16" t="str">
        <x:f>IF(A317="","",IF(ISNUMBER(SEARCH("Occurrence verified",E317)),"Occurrence verified",E317))</x:f>
      </x:c>
      <x:c r="S317" s="79" t="str">
        <x:f>IF(A317="","",Events!X316)</x:f>
      </x:c>
      <x:c r="Z317" s="79" t="str">
        <x:f>IF(A317="","",Events!AD316)</x:f>
      </x:c>
      <x:c r="AA317" s="79" t="str">
        <x:f>IF(A317="","",Events!AE316)</x:f>
      </x:c>
    </x:row>
    <x:row r="318">
      <x:c r="A318" s="16" t="str">
        <x:f>IF(Events!A317="","",Events!A317)</x:f>
      </x:c>
      <x:c r="B318" s="16" t="str">
        <x:f>IF(A318="","",Events!B317)</x:f>
      </x:c>
      <x:c r="C318" s="16" t="str">
        <x:f>IF(A318="","",Events!E317)</x:f>
      </x:c>
      <x:c r="D318" s="16" t="str">
        <x:f>IF(A318="","",Events!J317)</x:f>
      </x:c>
      <x:c r="E318" s="16" t="str">
        <x:f>IF(A318="","",Events!N317)</x:f>
      </x:c>
      <x:c r="F318" s="109" t="str">
        <x:f>IF(OR(A318="",Events!H317=""),"",Events!H317)</x:f>
      </x:c>
      <x:c r="G318" s="109" t="str">
        <x:f>IF(A318="","",IF(Events!I317&lt;&gt;"",Events!I317,IF(Events!S317&lt;&gt;"",Events!S317,"")))</x:f>
      </x:c>
      <x:c r="H318" s="16" t="str">
        <x:f>IF(A318="","",Events!W317)</x:f>
      </x:c>
      <x:c r="I318" s="16" t="str">
        <x:f>IF(A318="","",IF(Events!Y317&lt;&gt;"",Events!Y317,IF(OR(ISNUMBER(SEARCH("education",P318)),ISNUMBER(SEARCH("exam",P318)),ISNUMBER(SEARCH("school",P318))),"Education",IF(OR(ISNUMBER(SEARCH("trade agreement",P318)),ISNUMBER(SEARCH("economic",P318)),ISNUMBER(SEARCH("import",P318))),"Trade &amp; economic policy",IF(OR(ISNUMBER(SEARCH("land acquisition",P318)),ISNUMBER(SEARCH("rehabilitation",P318)),ISNUMBER(SEARCH("displacement",P318)),ISNUMBER(SEARCH("township",P318))),"Land &amp; rehabilitation",IF(OR(ISNUMBER(SEARCH("forest",P318)),ISNUMBER(SEARCH("environment",P318)),ISNUMBER(SEARCH("ecological",P318)),ISNUMBER(SEARCH("biodiversity",P318)),ISNUMBER(SEARCH("green cover",P318))),"Environment",IF(OR(ISNUMBER(SEARCH("irrigation",P318)),ISNUMBER(SEARCH("water",P318)),ISNUMBER(SEARCH("crop",P318)),ISNUMBER(SEARCH("farmer",P318)),ISNUMBER(SEARCH("agriculture",P318))),"Agriculture &amp; water",IF(OR(ISNUMBER(SEARCH("health",P318)),ISNUMBER(SEARCH("hospital",P318)),ISNUMBER(SEARCH("medicine",P318))),"Public health",IF(OR(ISNUMBER(SEARCH("employee",P318)),ISNUMBER(SEARCH("labour",P318)),ISNUMBER(SEARCH("worker",P318)),ISNUMBER(SEARCH("salary",P318))),"Labour &amp; employment",IF(OR(ISNUMBER(SEARCH("rti",P318)),ISNUMBER(SEARCH("transparency",P318)),ISNUMBER(SEARCH("corruption",P318)),ISNUMBER(SEARCH("governance",P318))),"Governance &amp; transparency",IF(OR(ISNUMBER(SEARCH("police",P318)),ISNUMBER(SEARCH("detention",P318)),ISNUMBER(SEARCH("civil rights",P318)),ISNUMBER(SEARCH("justice",P318))),"Civil rights &amp; justice",IF(OR(ISNUMBER(SEARCH("road",P318)),ISNUMBER(SEARCH("utility",P318)),ISNUMBER(SEARCH("infrastructure",P318)),ISNUMBER(SEARCH("public service",P318))),"Infrastructure &amp; public services","Other"))))))))))))</x:f>
      </x:c>
      <x:c r="J318" s="16" t="str">
        <x:f>IF(A318="","",IF(OR(ISNUMBER(SEARCH("fatal",Q318)),ISNUMBER(SEARCH("death",Q318)),ISNUMBER(SEARCH("riot",Q318)),ISNUMBER(SEARCH("curfew",Q318)),ISNUMBER(SEARCH("internet shutdown",Q318))),5,MIN(4,1+IF(H318&gt;=7,1,0)+IF(OR(ISNUMBER(SEARCH("hunger strike",Q318)),ISNUMBER(SEARCH("blockade",Q318)),ISNUMBER(SEARCH("strike",Q318)),ISNUMBER(SEARCH("jal satyagraha",Q318)),ISNUMBER(SEARCH("survey",Q318)),ISNUMBER(SEARCH("human chain",Q318)),ISNUMBER(SEARCH("march",Q318))),1,0)+IF(OR(ISNUMBER(SEARCH("fir",Q318)),ISNUMBER(SEARCH("confrontation",Q318)),ISNUMBER(SEARCH("violence",Q318)),ISNUMBER(SEARCH("detention",Q318)),ISNUMBER(SEARCH("arrest",Q318)),ISNUMBER(SEARCH("demolition",Q318)),ISNUMBER(SEARCH("injury",Q318))),1,0)+IF(OR(D318="Ongoing",D318="Unresolved"),1,0))))</x:f>
      </x:c>
      <x:c r="K318" s="16" t="str">
        <x:f>IF(J318="","",IF(J318=1,"Limited",IF(J318=2,"Local",IF(J318=3,"Significant",IF(J318=4,"High","Critical")))))</x:f>
      </x:c>
      <x:c r="L318" s="16" t="str">
        <x:f>IF(A318="","",Events!U317)</x:f>
      </x:c>
      <x:c r="M318" s="16" t="str">
        <x:f>IF(A318="","",Events!V317)</x:f>
      </x:c>
      <x:c r="N318" s="16" t="str">
        <x:f>IF(A318="","",Events!Q317)</x:f>
      </x:c>
      <x:c r="O318" s="16" t="str">
        <x:f>IF(A318="","",Events!R317)</x:f>
      </x:c>
      <x:c r="P318" s="16" t="str">
        <x:f>IF(A318="","",LOWER(Events!B317&amp;" "&amp;Events!D317&amp;" "&amp;Events!K317))</x:f>
      </x:c>
      <x:c r="Q318" s="16" t="str">
        <x:f>IF(A318="","",LOWER(Events!C317&amp;" "&amp;Events!K317&amp;" "&amp;Events!T317))</x:f>
      </x:c>
      <x:c r="R318" s="16" t="str">
        <x:f>IF(A318="","",IF(ISNUMBER(SEARCH("Occurrence verified",E318)),"Occurrence verified",E318))</x:f>
      </x:c>
      <x:c r="S318" s="79" t="str">
        <x:f>IF(A318="","",Events!X317)</x:f>
      </x:c>
      <x:c r="Z318" s="79" t="str">
        <x:f>IF(A318="","",Events!AD317)</x:f>
      </x:c>
      <x:c r="AA318" s="79" t="str">
        <x:f>IF(A318="","",Events!AE317)</x:f>
      </x:c>
    </x:row>
    <x:row r="319">
      <x:c r="A319" s="16" t="str">
        <x:f>IF(Events!A318="","",Events!A318)</x:f>
      </x:c>
      <x:c r="B319" s="16" t="str">
        <x:f>IF(A319="","",Events!B318)</x:f>
      </x:c>
      <x:c r="C319" s="16" t="str">
        <x:f>IF(A319="","",Events!E318)</x:f>
      </x:c>
      <x:c r="D319" s="16" t="str">
        <x:f>IF(A319="","",Events!J318)</x:f>
      </x:c>
      <x:c r="E319" s="16" t="str">
        <x:f>IF(A319="","",Events!N318)</x:f>
      </x:c>
      <x:c r="F319" s="109" t="str">
        <x:f>IF(OR(A319="",Events!H318=""),"",Events!H318)</x:f>
      </x:c>
      <x:c r="G319" s="109" t="str">
        <x:f>IF(A319="","",IF(Events!I318&lt;&gt;"",Events!I318,IF(Events!S318&lt;&gt;"",Events!S318,"")))</x:f>
      </x:c>
      <x:c r="H319" s="16" t="str">
        <x:f>IF(A319="","",Events!W318)</x:f>
      </x:c>
      <x:c r="I319" s="16" t="str">
        <x:f>IF(A319="","",IF(Events!Y318&lt;&gt;"",Events!Y318,IF(OR(ISNUMBER(SEARCH("education",P319)),ISNUMBER(SEARCH("exam",P319)),ISNUMBER(SEARCH("school",P319))),"Education",IF(OR(ISNUMBER(SEARCH("trade agreement",P319)),ISNUMBER(SEARCH("economic",P319)),ISNUMBER(SEARCH("import",P319))),"Trade &amp; economic policy",IF(OR(ISNUMBER(SEARCH("land acquisition",P319)),ISNUMBER(SEARCH("rehabilitation",P319)),ISNUMBER(SEARCH("displacement",P319)),ISNUMBER(SEARCH("township",P319))),"Land &amp; rehabilitation",IF(OR(ISNUMBER(SEARCH("forest",P319)),ISNUMBER(SEARCH("environment",P319)),ISNUMBER(SEARCH("ecological",P319)),ISNUMBER(SEARCH("biodiversity",P319)),ISNUMBER(SEARCH("green cover",P319))),"Environment",IF(OR(ISNUMBER(SEARCH("irrigation",P319)),ISNUMBER(SEARCH("water",P319)),ISNUMBER(SEARCH("crop",P319)),ISNUMBER(SEARCH("farmer",P319)),ISNUMBER(SEARCH("agriculture",P319))),"Agriculture &amp; water",IF(OR(ISNUMBER(SEARCH("health",P319)),ISNUMBER(SEARCH("hospital",P319)),ISNUMBER(SEARCH("medicine",P319))),"Public health",IF(OR(ISNUMBER(SEARCH("employee",P319)),ISNUMBER(SEARCH("labour",P319)),ISNUMBER(SEARCH("worker",P319)),ISNUMBER(SEARCH("salary",P319))),"Labour &amp; employment",IF(OR(ISNUMBER(SEARCH("rti",P319)),ISNUMBER(SEARCH("transparency",P319)),ISNUMBER(SEARCH("corruption",P319)),ISNUMBER(SEARCH("governance",P319))),"Governance &amp; transparency",IF(OR(ISNUMBER(SEARCH("police",P319)),ISNUMBER(SEARCH("detention",P319)),ISNUMBER(SEARCH("civil rights",P319)),ISNUMBER(SEARCH("justice",P319))),"Civil rights &amp; justice",IF(OR(ISNUMBER(SEARCH("road",P319)),ISNUMBER(SEARCH("utility",P319)),ISNUMBER(SEARCH("infrastructure",P319)),ISNUMBER(SEARCH("public service",P319))),"Infrastructure &amp; public services","Other"))))))))))))</x:f>
      </x:c>
      <x:c r="J319" s="16" t="str">
        <x:f>IF(A319="","",IF(OR(ISNUMBER(SEARCH("fatal",Q319)),ISNUMBER(SEARCH("death",Q319)),ISNUMBER(SEARCH("riot",Q319)),ISNUMBER(SEARCH("curfew",Q319)),ISNUMBER(SEARCH("internet shutdown",Q319))),5,MIN(4,1+IF(H319&gt;=7,1,0)+IF(OR(ISNUMBER(SEARCH("hunger strike",Q319)),ISNUMBER(SEARCH("blockade",Q319)),ISNUMBER(SEARCH("strike",Q319)),ISNUMBER(SEARCH("jal satyagraha",Q319)),ISNUMBER(SEARCH("survey",Q319)),ISNUMBER(SEARCH("human chain",Q319)),ISNUMBER(SEARCH("march",Q319))),1,0)+IF(OR(ISNUMBER(SEARCH("fir",Q319)),ISNUMBER(SEARCH("confrontation",Q319)),ISNUMBER(SEARCH("violence",Q319)),ISNUMBER(SEARCH("detention",Q319)),ISNUMBER(SEARCH("arrest",Q319)),ISNUMBER(SEARCH("demolition",Q319)),ISNUMBER(SEARCH("injury",Q319))),1,0)+IF(OR(D319="Ongoing",D319="Unresolved"),1,0))))</x:f>
      </x:c>
      <x:c r="K319" s="16" t="str">
        <x:f>IF(J319="","",IF(J319=1,"Limited",IF(J319=2,"Local",IF(J319=3,"Significant",IF(J319=4,"High","Critical")))))</x:f>
      </x:c>
      <x:c r="L319" s="16" t="str">
        <x:f>IF(A319="","",Events!U318)</x:f>
      </x:c>
      <x:c r="M319" s="16" t="str">
        <x:f>IF(A319="","",Events!V318)</x:f>
      </x:c>
      <x:c r="N319" s="16" t="str">
        <x:f>IF(A319="","",Events!Q318)</x:f>
      </x:c>
      <x:c r="O319" s="16" t="str">
        <x:f>IF(A319="","",Events!R318)</x:f>
      </x:c>
      <x:c r="P319" s="16" t="str">
        <x:f>IF(A319="","",LOWER(Events!B318&amp;" "&amp;Events!D318&amp;" "&amp;Events!K318))</x:f>
      </x:c>
      <x:c r="Q319" s="16" t="str">
        <x:f>IF(A319="","",LOWER(Events!C318&amp;" "&amp;Events!K318&amp;" "&amp;Events!T318))</x:f>
      </x:c>
      <x:c r="R319" s="16" t="str">
        <x:f>IF(A319="","",IF(ISNUMBER(SEARCH("Occurrence verified",E319)),"Occurrence verified",E319))</x:f>
      </x:c>
      <x:c r="S319" s="79" t="str">
        <x:f>IF(A319="","",Events!X318)</x:f>
      </x:c>
      <x:c r="Z319" s="79" t="str">
        <x:f>IF(A319="","",Events!AD318)</x:f>
      </x:c>
      <x:c r="AA319" s="79" t="str">
        <x:f>IF(A319="","",Events!AE318)</x:f>
      </x:c>
    </x:row>
    <x:row r="320">
      <x:c r="A320" s="16" t="str">
        <x:f>IF(Events!A319="","",Events!A319)</x:f>
      </x:c>
      <x:c r="B320" s="16" t="str">
        <x:f>IF(A320="","",Events!B319)</x:f>
      </x:c>
      <x:c r="C320" s="16" t="str">
        <x:f>IF(A320="","",Events!E319)</x:f>
      </x:c>
      <x:c r="D320" s="16" t="str">
        <x:f>IF(A320="","",Events!J319)</x:f>
      </x:c>
      <x:c r="E320" s="16" t="str">
        <x:f>IF(A320="","",Events!N319)</x:f>
      </x:c>
      <x:c r="F320" s="109" t="str">
        <x:f>IF(OR(A320="",Events!H319=""),"",Events!H319)</x:f>
      </x:c>
      <x:c r="G320" s="109" t="str">
        <x:f>IF(A320="","",IF(Events!I319&lt;&gt;"",Events!I319,IF(Events!S319&lt;&gt;"",Events!S319,"")))</x:f>
      </x:c>
      <x:c r="H320" s="16" t="str">
        <x:f>IF(A320="","",Events!W319)</x:f>
      </x:c>
      <x:c r="I320" s="16" t="str">
        <x:f>IF(A320="","",IF(Events!Y319&lt;&gt;"",Events!Y319,IF(OR(ISNUMBER(SEARCH("education",P320)),ISNUMBER(SEARCH("exam",P320)),ISNUMBER(SEARCH("school",P320))),"Education",IF(OR(ISNUMBER(SEARCH("trade agreement",P320)),ISNUMBER(SEARCH("economic",P320)),ISNUMBER(SEARCH("import",P320))),"Trade &amp; economic policy",IF(OR(ISNUMBER(SEARCH("land acquisition",P320)),ISNUMBER(SEARCH("rehabilitation",P320)),ISNUMBER(SEARCH("displacement",P320)),ISNUMBER(SEARCH("township",P320))),"Land &amp; rehabilitation",IF(OR(ISNUMBER(SEARCH("forest",P320)),ISNUMBER(SEARCH("environment",P320)),ISNUMBER(SEARCH("ecological",P320)),ISNUMBER(SEARCH("biodiversity",P320)),ISNUMBER(SEARCH("green cover",P320))),"Environment",IF(OR(ISNUMBER(SEARCH("irrigation",P320)),ISNUMBER(SEARCH("water",P320)),ISNUMBER(SEARCH("crop",P320)),ISNUMBER(SEARCH("farmer",P320)),ISNUMBER(SEARCH("agriculture",P320))),"Agriculture &amp; water",IF(OR(ISNUMBER(SEARCH("health",P320)),ISNUMBER(SEARCH("hospital",P320)),ISNUMBER(SEARCH("medicine",P320))),"Public health",IF(OR(ISNUMBER(SEARCH("employee",P320)),ISNUMBER(SEARCH("labour",P320)),ISNUMBER(SEARCH("worker",P320)),ISNUMBER(SEARCH("salary",P320))),"Labour &amp; employment",IF(OR(ISNUMBER(SEARCH("rti",P320)),ISNUMBER(SEARCH("transparency",P320)),ISNUMBER(SEARCH("corruption",P320)),ISNUMBER(SEARCH("governance",P320))),"Governance &amp; transparency",IF(OR(ISNUMBER(SEARCH("police",P320)),ISNUMBER(SEARCH("detention",P320)),ISNUMBER(SEARCH("civil rights",P320)),ISNUMBER(SEARCH("justice",P320))),"Civil rights &amp; justice",IF(OR(ISNUMBER(SEARCH("road",P320)),ISNUMBER(SEARCH("utility",P320)),ISNUMBER(SEARCH("infrastructure",P320)),ISNUMBER(SEARCH("public service",P320))),"Infrastructure &amp; public services","Other"))))))))))))</x:f>
      </x:c>
      <x:c r="J320" s="16" t="str">
        <x:f>IF(A320="","",IF(OR(ISNUMBER(SEARCH("fatal",Q320)),ISNUMBER(SEARCH("death",Q320)),ISNUMBER(SEARCH("riot",Q320)),ISNUMBER(SEARCH("curfew",Q320)),ISNUMBER(SEARCH("internet shutdown",Q320))),5,MIN(4,1+IF(H320&gt;=7,1,0)+IF(OR(ISNUMBER(SEARCH("hunger strike",Q320)),ISNUMBER(SEARCH("blockade",Q320)),ISNUMBER(SEARCH("strike",Q320)),ISNUMBER(SEARCH("jal satyagraha",Q320)),ISNUMBER(SEARCH("survey",Q320)),ISNUMBER(SEARCH("human chain",Q320)),ISNUMBER(SEARCH("march",Q320))),1,0)+IF(OR(ISNUMBER(SEARCH("fir",Q320)),ISNUMBER(SEARCH("confrontation",Q320)),ISNUMBER(SEARCH("violence",Q320)),ISNUMBER(SEARCH("detention",Q320)),ISNUMBER(SEARCH("arrest",Q320)),ISNUMBER(SEARCH("demolition",Q320)),ISNUMBER(SEARCH("injury",Q320))),1,0)+IF(OR(D320="Ongoing",D320="Unresolved"),1,0))))</x:f>
      </x:c>
      <x:c r="K320" s="16" t="str">
        <x:f>IF(J320="","",IF(J320=1,"Limited",IF(J320=2,"Local",IF(J320=3,"Significant",IF(J320=4,"High","Critical")))))</x:f>
      </x:c>
      <x:c r="L320" s="16" t="str">
        <x:f>IF(A320="","",Events!U319)</x:f>
      </x:c>
      <x:c r="M320" s="16" t="str">
        <x:f>IF(A320="","",Events!V319)</x:f>
      </x:c>
      <x:c r="N320" s="16" t="str">
        <x:f>IF(A320="","",Events!Q319)</x:f>
      </x:c>
      <x:c r="O320" s="16" t="str">
        <x:f>IF(A320="","",Events!R319)</x:f>
      </x:c>
      <x:c r="P320" s="16" t="str">
        <x:f>IF(A320="","",LOWER(Events!B319&amp;" "&amp;Events!D319&amp;" "&amp;Events!K319))</x:f>
      </x:c>
      <x:c r="Q320" s="16" t="str">
        <x:f>IF(A320="","",LOWER(Events!C319&amp;" "&amp;Events!K319&amp;" "&amp;Events!T319))</x:f>
      </x:c>
      <x:c r="R320" s="16" t="str">
        <x:f>IF(A320="","",IF(ISNUMBER(SEARCH("Occurrence verified",E320)),"Occurrence verified",E320))</x:f>
      </x:c>
      <x:c r="S320" s="79" t="str">
        <x:f>IF(A320="","",Events!X319)</x:f>
      </x:c>
      <x:c r="Z320" s="79" t="str">
        <x:f>IF(A320="","",Events!AD319)</x:f>
      </x:c>
      <x:c r="AA320" s="79" t="str">
        <x:f>IF(A320="","",Events!AE319)</x:f>
      </x:c>
    </x:row>
    <x:row r="321">
      <x:c r="A321" s="16" t="str">
        <x:f>IF(Events!A320="","",Events!A320)</x:f>
      </x:c>
      <x:c r="B321" s="16" t="str">
        <x:f>IF(A321="","",Events!B320)</x:f>
      </x:c>
      <x:c r="C321" s="16" t="str">
        <x:f>IF(A321="","",Events!E320)</x:f>
      </x:c>
      <x:c r="D321" s="16" t="str">
        <x:f>IF(A321="","",Events!J320)</x:f>
      </x:c>
      <x:c r="E321" s="16" t="str">
        <x:f>IF(A321="","",Events!N320)</x:f>
      </x:c>
      <x:c r="F321" s="109" t="str">
        <x:f>IF(OR(A321="",Events!H320=""),"",Events!H320)</x:f>
      </x:c>
      <x:c r="G321" s="109" t="str">
        <x:f>IF(A321="","",IF(Events!I320&lt;&gt;"",Events!I320,IF(Events!S320&lt;&gt;"",Events!S320,"")))</x:f>
      </x:c>
      <x:c r="H321" s="16" t="str">
        <x:f>IF(A321="","",Events!W320)</x:f>
      </x:c>
      <x:c r="I321" s="16" t="str">
        <x:f>IF(A321="","",IF(Events!Y320&lt;&gt;"",Events!Y320,IF(OR(ISNUMBER(SEARCH("education",P321)),ISNUMBER(SEARCH("exam",P321)),ISNUMBER(SEARCH("school",P321))),"Education",IF(OR(ISNUMBER(SEARCH("trade agreement",P321)),ISNUMBER(SEARCH("economic",P321)),ISNUMBER(SEARCH("import",P321))),"Trade &amp; economic policy",IF(OR(ISNUMBER(SEARCH("land acquisition",P321)),ISNUMBER(SEARCH("rehabilitation",P321)),ISNUMBER(SEARCH("displacement",P321)),ISNUMBER(SEARCH("township",P321))),"Land &amp; rehabilitation",IF(OR(ISNUMBER(SEARCH("forest",P321)),ISNUMBER(SEARCH("environment",P321)),ISNUMBER(SEARCH("ecological",P321)),ISNUMBER(SEARCH("biodiversity",P321)),ISNUMBER(SEARCH("green cover",P321))),"Environment",IF(OR(ISNUMBER(SEARCH("irrigation",P321)),ISNUMBER(SEARCH("water",P321)),ISNUMBER(SEARCH("crop",P321)),ISNUMBER(SEARCH("farmer",P321)),ISNUMBER(SEARCH("agriculture",P321))),"Agriculture &amp; water",IF(OR(ISNUMBER(SEARCH("health",P321)),ISNUMBER(SEARCH("hospital",P321)),ISNUMBER(SEARCH("medicine",P321))),"Public health",IF(OR(ISNUMBER(SEARCH("employee",P321)),ISNUMBER(SEARCH("labour",P321)),ISNUMBER(SEARCH("worker",P321)),ISNUMBER(SEARCH("salary",P321))),"Labour &amp; employment",IF(OR(ISNUMBER(SEARCH("rti",P321)),ISNUMBER(SEARCH("transparency",P321)),ISNUMBER(SEARCH("corruption",P321)),ISNUMBER(SEARCH("governance",P321))),"Governance &amp; transparency",IF(OR(ISNUMBER(SEARCH("police",P321)),ISNUMBER(SEARCH("detention",P321)),ISNUMBER(SEARCH("civil rights",P321)),ISNUMBER(SEARCH("justice",P321))),"Civil rights &amp; justice",IF(OR(ISNUMBER(SEARCH("road",P321)),ISNUMBER(SEARCH("utility",P321)),ISNUMBER(SEARCH("infrastructure",P321)),ISNUMBER(SEARCH("public service",P321))),"Infrastructure &amp; public services","Other"))))))))))))</x:f>
      </x:c>
      <x:c r="J321" s="16" t="str">
        <x:f>IF(A321="","",IF(OR(ISNUMBER(SEARCH("fatal",Q321)),ISNUMBER(SEARCH("death",Q321)),ISNUMBER(SEARCH("riot",Q321)),ISNUMBER(SEARCH("curfew",Q321)),ISNUMBER(SEARCH("internet shutdown",Q321))),5,MIN(4,1+IF(H321&gt;=7,1,0)+IF(OR(ISNUMBER(SEARCH("hunger strike",Q321)),ISNUMBER(SEARCH("blockade",Q321)),ISNUMBER(SEARCH("strike",Q321)),ISNUMBER(SEARCH("jal satyagraha",Q321)),ISNUMBER(SEARCH("survey",Q321)),ISNUMBER(SEARCH("human chain",Q321)),ISNUMBER(SEARCH("march",Q321))),1,0)+IF(OR(ISNUMBER(SEARCH("fir",Q321)),ISNUMBER(SEARCH("confrontation",Q321)),ISNUMBER(SEARCH("violence",Q321)),ISNUMBER(SEARCH("detention",Q321)),ISNUMBER(SEARCH("arrest",Q321)),ISNUMBER(SEARCH("demolition",Q321)),ISNUMBER(SEARCH("injury",Q321))),1,0)+IF(OR(D321="Ongoing",D321="Unresolved"),1,0))))</x:f>
      </x:c>
      <x:c r="K321" s="16" t="str">
        <x:f>IF(J321="","",IF(J321=1,"Limited",IF(J321=2,"Local",IF(J321=3,"Significant",IF(J321=4,"High","Critical")))))</x:f>
      </x:c>
      <x:c r="L321" s="16" t="str">
        <x:f>IF(A321="","",Events!U320)</x:f>
      </x:c>
      <x:c r="M321" s="16" t="str">
        <x:f>IF(A321="","",Events!V320)</x:f>
      </x:c>
      <x:c r="N321" s="16" t="str">
        <x:f>IF(A321="","",Events!Q320)</x:f>
      </x:c>
      <x:c r="O321" s="16" t="str">
        <x:f>IF(A321="","",Events!R320)</x:f>
      </x:c>
      <x:c r="P321" s="16" t="str">
        <x:f>IF(A321="","",LOWER(Events!B320&amp;" "&amp;Events!D320&amp;" "&amp;Events!K320))</x:f>
      </x:c>
      <x:c r="Q321" s="16" t="str">
        <x:f>IF(A321="","",LOWER(Events!C320&amp;" "&amp;Events!K320&amp;" "&amp;Events!T320))</x:f>
      </x:c>
      <x:c r="R321" s="16" t="str">
        <x:f>IF(A321="","",IF(ISNUMBER(SEARCH("Occurrence verified",E321)),"Occurrence verified",E321))</x:f>
      </x:c>
      <x:c r="S321" s="79" t="str">
        <x:f>IF(A321="","",Events!X320)</x:f>
      </x:c>
      <x:c r="Z321" s="79" t="str">
        <x:f>IF(A321="","",Events!AD320)</x:f>
      </x:c>
      <x:c r="AA321" s="79" t="str">
        <x:f>IF(A321="","",Events!AE320)</x:f>
      </x:c>
    </x:row>
    <x:row r="322">
      <x:c r="A322" s="16" t="str">
        <x:f>IF(Events!A321="","",Events!A321)</x:f>
      </x:c>
      <x:c r="B322" s="16" t="str">
        <x:f>IF(A322="","",Events!B321)</x:f>
      </x:c>
      <x:c r="C322" s="16" t="str">
        <x:f>IF(A322="","",Events!E321)</x:f>
      </x:c>
      <x:c r="D322" s="16" t="str">
        <x:f>IF(A322="","",Events!J321)</x:f>
      </x:c>
      <x:c r="E322" s="16" t="str">
        <x:f>IF(A322="","",Events!N321)</x:f>
      </x:c>
      <x:c r="F322" s="109" t="str">
        <x:f>IF(OR(A322="",Events!H321=""),"",Events!H321)</x:f>
      </x:c>
      <x:c r="G322" s="109" t="str">
        <x:f>IF(A322="","",IF(Events!I321&lt;&gt;"",Events!I321,IF(Events!S321&lt;&gt;"",Events!S321,"")))</x:f>
      </x:c>
      <x:c r="H322" s="16" t="str">
        <x:f>IF(A322="","",Events!W321)</x:f>
      </x:c>
      <x:c r="I322" s="16" t="str">
        <x:f>IF(A322="","",IF(Events!Y321&lt;&gt;"",Events!Y321,IF(OR(ISNUMBER(SEARCH("education",P322)),ISNUMBER(SEARCH("exam",P322)),ISNUMBER(SEARCH("school",P322))),"Education",IF(OR(ISNUMBER(SEARCH("trade agreement",P322)),ISNUMBER(SEARCH("economic",P322)),ISNUMBER(SEARCH("import",P322))),"Trade &amp; economic policy",IF(OR(ISNUMBER(SEARCH("land acquisition",P322)),ISNUMBER(SEARCH("rehabilitation",P322)),ISNUMBER(SEARCH("displacement",P322)),ISNUMBER(SEARCH("township",P322))),"Land &amp; rehabilitation",IF(OR(ISNUMBER(SEARCH("forest",P322)),ISNUMBER(SEARCH("environment",P322)),ISNUMBER(SEARCH("ecological",P322)),ISNUMBER(SEARCH("biodiversity",P322)),ISNUMBER(SEARCH("green cover",P322))),"Environment",IF(OR(ISNUMBER(SEARCH("irrigation",P322)),ISNUMBER(SEARCH("water",P322)),ISNUMBER(SEARCH("crop",P322)),ISNUMBER(SEARCH("farmer",P322)),ISNUMBER(SEARCH("agriculture",P322))),"Agriculture &amp; water",IF(OR(ISNUMBER(SEARCH("health",P322)),ISNUMBER(SEARCH("hospital",P322)),ISNUMBER(SEARCH("medicine",P322))),"Public health",IF(OR(ISNUMBER(SEARCH("employee",P322)),ISNUMBER(SEARCH("labour",P322)),ISNUMBER(SEARCH("worker",P322)),ISNUMBER(SEARCH("salary",P322))),"Labour &amp; employment",IF(OR(ISNUMBER(SEARCH("rti",P322)),ISNUMBER(SEARCH("transparency",P322)),ISNUMBER(SEARCH("corruption",P322)),ISNUMBER(SEARCH("governance",P322))),"Governance &amp; transparency",IF(OR(ISNUMBER(SEARCH("police",P322)),ISNUMBER(SEARCH("detention",P322)),ISNUMBER(SEARCH("civil rights",P322)),ISNUMBER(SEARCH("justice",P322))),"Civil rights &amp; justice",IF(OR(ISNUMBER(SEARCH("road",P322)),ISNUMBER(SEARCH("utility",P322)),ISNUMBER(SEARCH("infrastructure",P322)),ISNUMBER(SEARCH("public service",P322))),"Infrastructure &amp; public services","Other"))))))))))))</x:f>
      </x:c>
      <x:c r="J322" s="16" t="str">
        <x:f>IF(A322="","",IF(OR(ISNUMBER(SEARCH("fatal",Q322)),ISNUMBER(SEARCH("death",Q322)),ISNUMBER(SEARCH("riot",Q322)),ISNUMBER(SEARCH("curfew",Q322)),ISNUMBER(SEARCH("internet shutdown",Q322))),5,MIN(4,1+IF(H322&gt;=7,1,0)+IF(OR(ISNUMBER(SEARCH("hunger strike",Q322)),ISNUMBER(SEARCH("blockade",Q322)),ISNUMBER(SEARCH("strike",Q322)),ISNUMBER(SEARCH("jal satyagraha",Q322)),ISNUMBER(SEARCH("survey",Q322)),ISNUMBER(SEARCH("human chain",Q322)),ISNUMBER(SEARCH("march",Q322))),1,0)+IF(OR(ISNUMBER(SEARCH("fir",Q322)),ISNUMBER(SEARCH("confrontation",Q322)),ISNUMBER(SEARCH("violence",Q322)),ISNUMBER(SEARCH("detention",Q322)),ISNUMBER(SEARCH("arrest",Q322)),ISNUMBER(SEARCH("demolition",Q322)),ISNUMBER(SEARCH("injury",Q322))),1,0)+IF(OR(D322="Ongoing",D322="Unresolved"),1,0))))</x:f>
      </x:c>
      <x:c r="K322" s="16" t="str">
        <x:f>IF(J322="","",IF(J322=1,"Limited",IF(J322=2,"Local",IF(J322=3,"Significant",IF(J322=4,"High","Critical")))))</x:f>
      </x:c>
      <x:c r="L322" s="16" t="str">
        <x:f>IF(A322="","",Events!U321)</x:f>
      </x:c>
      <x:c r="M322" s="16" t="str">
        <x:f>IF(A322="","",Events!V321)</x:f>
      </x:c>
      <x:c r="N322" s="16" t="str">
        <x:f>IF(A322="","",Events!Q321)</x:f>
      </x:c>
      <x:c r="O322" s="16" t="str">
        <x:f>IF(A322="","",Events!R321)</x:f>
      </x:c>
      <x:c r="P322" s="16" t="str">
        <x:f>IF(A322="","",LOWER(Events!B321&amp;" "&amp;Events!D321&amp;" "&amp;Events!K321))</x:f>
      </x:c>
      <x:c r="Q322" s="16" t="str">
        <x:f>IF(A322="","",LOWER(Events!C321&amp;" "&amp;Events!K321&amp;" "&amp;Events!T321))</x:f>
      </x:c>
      <x:c r="R322" s="16" t="str">
        <x:f>IF(A322="","",IF(ISNUMBER(SEARCH("Occurrence verified",E322)),"Occurrence verified",E322))</x:f>
      </x:c>
      <x:c r="S322" s="79" t="str">
        <x:f>IF(A322="","",Events!X321)</x:f>
      </x:c>
      <x:c r="Z322" s="79" t="str">
        <x:f>IF(A322="","",Events!AD321)</x:f>
      </x:c>
      <x:c r="AA322" s="79" t="str">
        <x:f>IF(A322="","",Events!AE321)</x:f>
      </x:c>
    </x:row>
    <x:row r="323">
      <x:c r="A323" s="16" t="str">
        <x:f>IF(Events!A322="","",Events!A322)</x:f>
      </x:c>
      <x:c r="B323" s="16" t="str">
        <x:f>IF(A323="","",Events!B322)</x:f>
      </x:c>
      <x:c r="C323" s="16" t="str">
        <x:f>IF(A323="","",Events!E322)</x:f>
      </x:c>
      <x:c r="D323" s="16" t="str">
        <x:f>IF(A323="","",Events!J322)</x:f>
      </x:c>
      <x:c r="E323" s="16" t="str">
        <x:f>IF(A323="","",Events!N322)</x:f>
      </x:c>
      <x:c r="F323" s="109" t="str">
        <x:f>IF(OR(A323="",Events!H322=""),"",Events!H322)</x:f>
      </x:c>
      <x:c r="G323" s="109" t="str">
        <x:f>IF(A323="","",IF(Events!I322&lt;&gt;"",Events!I322,IF(Events!S322&lt;&gt;"",Events!S322,"")))</x:f>
      </x:c>
      <x:c r="H323" s="16" t="str">
        <x:f>IF(A323="","",Events!W322)</x:f>
      </x:c>
      <x:c r="I323" s="16" t="str">
        <x:f>IF(A323="","",IF(Events!Y322&lt;&gt;"",Events!Y322,IF(OR(ISNUMBER(SEARCH("education",P323)),ISNUMBER(SEARCH("exam",P323)),ISNUMBER(SEARCH("school",P323))),"Education",IF(OR(ISNUMBER(SEARCH("trade agreement",P323)),ISNUMBER(SEARCH("economic",P323)),ISNUMBER(SEARCH("import",P323))),"Trade &amp; economic policy",IF(OR(ISNUMBER(SEARCH("land acquisition",P323)),ISNUMBER(SEARCH("rehabilitation",P323)),ISNUMBER(SEARCH("displacement",P323)),ISNUMBER(SEARCH("township",P323))),"Land &amp; rehabilitation",IF(OR(ISNUMBER(SEARCH("forest",P323)),ISNUMBER(SEARCH("environment",P323)),ISNUMBER(SEARCH("ecological",P323)),ISNUMBER(SEARCH("biodiversity",P323)),ISNUMBER(SEARCH("green cover",P323))),"Environment",IF(OR(ISNUMBER(SEARCH("irrigation",P323)),ISNUMBER(SEARCH("water",P323)),ISNUMBER(SEARCH("crop",P323)),ISNUMBER(SEARCH("farmer",P323)),ISNUMBER(SEARCH("agriculture",P323))),"Agriculture &amp; water",IF(OR(ISNUMBER(SEARCH("health",P323)),ISNUMBER(SEARCH("hospital",P323)),ISNUMBER(SEARCH("medicine",P323))),"Public health",IF(OR(ISNUMBER(SEARCH("employee",P323)),ISNUMBER(SEARCH("labour",P323)),ISNUMBER(SEARCH("worker",P323)),ISNUMBER(SEARCH("salary",P323))),"Labour &amp; employment",IF(OR(ISNUMBER(SEARCH("rti",P323)),ISNUMBER(SEARCH("transparency",P323)),ISNUMBER(SEARCH("corruption",P323)),ISNUMBER(SEARCH("governance",P323))),"Governance &amp; transparency",IF(OR(ISNUMBER(SEARCH("police",P323)),ISNUMBER(SEARCH("detention",P323)),ISNUMBER(SEARCH("civil rights",P323)),ISNUMBER(SEARCH("justice",P323))),"Civil rights &amp; justice",IF(OR(ISNUMBER(SEARCH("road",P323)),ISNUMBER(SEARCH("utility",P323)),ISNUMBER(SEARCH("infrastructure",P323)),ISNUMBER(SEARCH("public service",P323))),"Infrastructure &amp; public services","Other"))))))))))))</x:f>
      </x:c>
      <x:c r="J323" s="16" t="str">
        <x:f>IF(A323="","",IF(OR(ISNUMBER(SEARCH("fatal",Q323)),ISNUMBER(SEARCH("death",Q323)),ISNUMBER(SEARCH("riot",Q323)),ISNUMBER(SEARCH("curfew",Q323)),ISNUMBER(SEARCH("internet shutdown",Q323))),5,MIN(4,1+IF(H323&gt;=7,1,0)+IF(OR(ISNUMBER(SEARCH("hunger strike",Q323)),ISNUMBER(SEARCH("blockade",Q323)),ISNUMBER(SEARCH("strike",Q323)),ISNUMBER(SEARCH("jal satyagraha",Q323)),ISNUMBER(SEARCH("survey",Q323)),ISNUMBER(SEARCH("human chain",Q323)),ISNUMBER(SEARCH("march",Q323))),1,0)+IF(OR(ISNUMBER(SEARCH("fir",Q323)),ISNUMBER(SEARCH("confrontation",Q323)),ISNUMBER(SEARCH("violence",Q323)),ISNUMBER(SEARCH("detention",Q323)),ISNUMBER(SEARCH("arrest",Q323)),ISNUMBER(SEARCH("demolition",Q323)),ISNUMBER(SEARCH("injury",Q323))),1,0)+IF(OR(D323="Ongoing",D323="Unresolved"),1,0))))</x:f>
      </x:c>
      <x:c r="K323" s="16" t="str">
        <x:f>IF(J323="","",IF(J323=1,"Limited",IF(J323=2,"Local",IF(J323=3,"Significant",IF(J323=4,"High","Critical")))))</x:f>
      </x:c>
      <x:c r="L323" s="16" t="str">
        <x:f>IF(A323="","",Events!U322)</x:f>
      </x:c>
      <x:c r="M323" s="16" t="str">
        <x:f>IF(A323="","",Events!V322)</x:f>
      </x:c>
      <x:c r="N323" s="16" t="str">
        <x:f>IF(A323="","",Events!Q322)</x:f>
      </x:c>
      <x:c r="O323" s="16" t="str">
        <x:f>IF(A323="","",Events!R322)</x:f>
      </x:c>
      <x:c r="P323" s="16" t="str">
        <x:f>IF(A323="","",LOWER(Events!B322&amp;" "&amp;Events!D322&amp;" "&amp;Events!K322))</x:f>
      </x:c>
      <x:c r="Q323" s="16" t="str">
        <x:f>IF(A323="","",LOWER(Events!C322&amp;" "&amp;Events!K322&amp;" "&amp;Events!T322))</x:f>
      </x:c>
      <x:c r="R323" s="16" t="str">
        <x:f>IF(A323="","",IF(ISNUMBER(SEARCH("Occurrence verified",E323)),"Occurrence verified",E323))</x:f>
      </x:c>
      <x:c r="S323" s="79" t="str">
        <x:f>IF(A323="","",Events!X322)</x:f>
      </x:c>
      <x:c r="Z323" s="79" t="str">
        <x:f>IF(A323="","",Events!AD322)</x:f>
      </x:c>
      <x:c r="AA323" s="79" t="str">
        <x:f>IF(A323="","",Events!AE322)</x:f>
      </x:c>
    </x:row>
    <x:row r="324">
      <x:c r="A324" s="16" t="str">
        <x:f>IF(Events!A323="","",Events!A323)</x:f>
      </x:c>
      <x:c r="B324" s="16" t="str">
        <x:f>IF(A324="","",Events!B323)</x:f>
      </x:c>
      <x:c r="C324" s="16" t="str">
        <x:f>IF(A324="","",Events!E323)</x:f>
      </x:c>
      <x:c r="D324" s="16" t="str">
        <x:f>IF(A324="","",Events!J323)</x:f>
      </x:c>
      <x:c r="E324" s="16" t="str">
        <x:f>IF(A324="","",Events!N323)</x:f>
      </x:c>
      <x:c r="F324" s="109" t="str">
        <x:f>IF(OR(A324="",Events!H323=""),"",Events!H323)</x:f>
      </x:c>
      <x:c r="G324" s="109" t="str">
        <x:f>IF(A324="","",IF(Events!I323&lt;&gt;"",Events!I323,IF(Events!S323&lt;&gt;"",Events!S323,"")))</x:f>
      </x:c>
      <x:c r="H324" s="16" t="str">
        <x:f>IF(A324="","",Events!W323)</x:f>
      </x:c>
      <x:c r="I324" s="16" t="str">
        <x:f>IF(A324="","",IF(Events!Y323&lt;&gt;"",Events!Y323,IF(OR(ISNUMBER(SEARCH("education",P324)),ISNUMBER(SEARCH("exam",P324)),ISNUMBER(SEARCH("school",P324))),"Education",IF(OR(ISNUMBER(SEARCH("trade agreement",P324)),ISNUMBER(SEARCH("economic",P324)),ISNUMBER(SEARCH("import",P324))),"Trade &amp; economic policy",IF(OR(ISNUMBER(SEARCH("land acquisition",P324)),ISNUMBER(SEARCH("rehabilitation",P324)),ISNUMBER(SEARCH("displacement",P324)),ISNUMBER(SEARCH("township",P324))),"Land &amp; rehabilitation",IF(OR(ISNUMBER(SEARCH("forest",P324)),ISNUMBER(SEARCH("environment",P324)),ISNUMBER(SEARCH("ecological",P324)),ISNUMBER(SEARCH("biodiversity",P324)),ISNUMBER(SEARCH("green cover",P324))),"Environment",IF(OR(ISNUMBER(SEARCH("irrigation",P324)),ISNUMBER(SEARCH("water",P324)),ISNUMBER(SEARCH("crop",P324)),ISNUMBER(SEARCH("farmer",P324)),ISNUMBER(SEARCH("agriculture",P324))),"Agriculture &amp; water",IF(OR(ISNUMBER(SEARCH("health",P324)),ISNUMBER(SEARCH("hospital",P324)),ISNUMBER(SEARCH("medicine",P324))),"Public health",IF(OR(ISNUMBER(SEARCH("employee",P324)),ISNUMBER(SEARCH("labour",P324)),ISNUMBER(SEARCH("worker",P324)),ISNUMBER(SEARCH("salary",P324))),"Labour &amp; employment",IF(OR(ISNUMBER(SEARCH("rti",P324)),ISNUMBER(SEARCH("transparency",P324)),ISNUMBER(SEARCH("corruption",P324)),ISNUMBER(SEARCH("governance",P324))),"Governance &amp; transparency",IF(OR(ISNUMBER(SEARCH("police",P324)),ISNUMBER(SEARCH("detention",P324)),ISNUMBER(SEARCH("civil rights",P324)),ISNUMBER(SEARCH("justice",P324))),"Civil rights &amp; justice",IF(OR(ISNUMBER(SEARCH("road",P324)),ISNUMBER(SEARCH("utility",P324)),ISNUMBER(SEARCH("infrastructure",P324)),ISNUMBER(SEARCH("public service",P324))),"Infrastructure &amp; public services","Other"))))))))))))</x:f>
      </x:c>
      <x:c r="J324" s="16" t="str">
        <x:f>IF(A324="","",IF(OR(ISNUMBER(SEARCH("fatal",Q324)),ISNUMBER(SEARCH("death",Q324)),ISNUMBER(SEARCH("riot",Q324)),ISNUMBER(SEARCH("curfew",Q324)),ISNUMBER(SEARCH("internet shutdown",Q324))),5,MIN(4,1+IF(H324&gt;=7,1,0)+IF(OR(ISNUMBER(SEARCH("hunger strike",Q324)),ISNUMBER(SEARCH("blockade",Q324)),ISNUMBER(SEARCH("strike",Q324)),ISNUMBER(SEARCH("jal satyagraha",Q324)),ISNUMBER(SEARCH("survey",Q324)),ISNUMBER(SEARCH("human chain",Q324)),ISNUMBER(SEARCH("march",Q324))),1,0)+IF(OR(ISNUMBER(SEARCH("fir",Q324)),ISNUMBER(SEARCH("confrontation",Q324)),ISNUMBER(SEARCH("violence",Q324)),ISNUMBER(SEARCH("detention",Q324)),ISNUMBER(SEARCH("arrest",Q324)),ISNUMBER(SEARCH("demolition",Q324)),ISNUMBER(SEARCH("injury",Q324))),1,0)+IF(OR(D324="Ongoing",D324="Unresolved"),1,0))))</x:f>
      </x:c>
      <x:c r="K324" s="16" t="str">
        <x:f>IF(J324="","",IF(J324=1,"Limited",IF(J324=2,"Local",IF(J324=3,"Significant",IF(J324=4,"High","Critical")))))</x:f>
      </x:c>
      <x:c r="L324" s="16" t="str">
        <x:f>IF(A324="","",Events!U323)</x:f>
      </x:c>
      <x:c r="M324" s="16" t="str">
        <x:f>IF(A324="","",Events!V323)</x:f>
      </x:c>
      <x:c r="N324" s="16" t="str">
        <x:f>IF(A324="","",Events!Q323)</x:f>
      </x:c>
      <x:c r="O324" s="16" t="str">
        <x:f>IF(A324="","",Events!R323)</x:f>
      </x:c>
      <x:c r="P324" s="16" t="str">
        <x:f>IF(A324="","",LOWER(Events!B323&amp;" "&amp;Events!D323&amp;" "&amp;Events!K323))</x:f>
      </x:c>
      <x:c r="Q324" s="16" t="str">
        <x:f>IF(A324="","",LOWER(Events!C323&amp;" "&amp;Events!K323&amp;" "&amp;Events!T323))</x:f>
      </x:c>
      <x:c r="R324" s="16" t="str">
        <x:f>IF(A324="","",IF(ISNUMBER(SEARCH("Occurrence verified",E324)),"Occurrence verified",E324))</x:f>
      </x:c>
      <x:c r="S324" s="79" t="str">
        <x:f>IF(A324="","",Events!X323)</x:f>
      </x:c>
      <x:c r="Z324" s="79" t="str">
        <x:f>IF(A324="","",Events!AD323)</x:f>
      </x:c>
      <x:c r="AA324" s="79" t="str">
        <x:f>IF(A324="","",Events!AE323)</x:f>
      </x:c>
    </x:row>
    <x:row r="325">
      <x:c r="A325" s="16" t="str">
        <x:f>IF(Events!A324="","",Events!A324)</x:f>
      </x:c>
      <x:c r="B325" s="16" t="str">
        <x:f>IF(A325="","",Events!B324)</x:f>
      </x:c>
      <x:c r="C325" s="16" t="str">
        <x:f>IF(A325="","",Events!E324)</x:f>
      </x:c>
      <x:c r="D325" s="16" t="str">
        <x:f>IF(A325="","",Events!J324)</x:f>
      </x:c>
      <x:c r="E325" s="16" t="str">
        <x:f>IF(A325="","",Events!N324)</x:f>
      </x:c>
      <x:c r="F325" s="109" t="str">
        <x:f>IF(OR(A325="",Events!H324=""),"",Events!H324)</x:f>
      </x:c>
      <x:c r="G325" s="109" t="str">
        <x:f>IF(A325="","",IF(Events!I324&lt;&gt;"",Events!I324,IF(Events!S324&lt;&gt;"",Events!S324,"")))</x:f>
      </x:c>
      <x:c r="H325" s="16" t="str">
        <x:f>IF(A325="","",Events!W324)</x:f>
      </x:c>
      <x:c r="I325" s="16" t="str">
        <x:f>IF(A325="","",IF(Events!Y324&lt;&gt;"",Events!Y324,IF(OR(ISNUMBER(SEARCH("education",P325)),ISNUMBER(SEARCH("exam",P325)),ISNUMBER(SEARCH("school",P325))),"Education",IF(OR(ISNUMBER(SEARCH("trade agreement",P325)),ISNUMBER(SEARCH("economic",P325)),ISNUMBER(SEARCH("import",P325))),"Trade &amp; economic policy",IF(OR(ISNUMBER(SEARCH("land acquisition",P325)),ISNUMBER(SEARCH("rehabilitation",P325)),ISNUMBER(SEARCH("displacement",P325)),ISNUMBER(SEARCH("township",P325))),"Land &amp; rehabilitation",IF(OR(ISNUMBER(SEARCH("forest",P325)),ISNUMBER(SEARCH("environment",P325)),ISNUMBER(SEARCH("ecological",P325)),ISNUMBER(SEARCH("biodiversity",P325)),ISNUMBER(SEARCH("green cover",P325))),"Environment",IF(OR(ISNUMBER(SEARCH("irrigation",P325)),ISNUMBER(SEARCH("water",P325)),ISNUMBER(SEARCH("crop",P325)),ISNUMBER(SEARCH("farmer",P325)),ISNUMBER(SEARCH("agriculture",P325))),"Agriculture &amp; water",IF(OR(ISNUMBER(SEARCH("health",P325)),ISNUMBER(SEARCH("hospital",P325)),ISNUMBER(SEARCH("medicine",P325))),"Public health",IF(OR(ISNUMBER(SEARCH("employee",P325)),ISNUMBER(SEARCH("labour",P325)),ISNUMBER(SEARCH("worker",P325)),ISNUMBER(SEARCH("salary",P325))),"Labour &amp; employment",IF(OR(ISNUMBER(SEARCH("rti",P325)),ISNUMBER(SEARCH("transparency",P325)),ISNUMBER(SEARCH("corruption",P325)),ISNUMBER(SEARCH("governance",P325))),"Governance &amp; transparency",IF(OR(ISNUMBER(SEARCH("police",P325)),ISNUMBER(SEARCH("detention",P325)),ISNUMBER(SEARCH("civil rights",P325)),ISNUMBER(SEARCH("justice",P325))),"Civil rights &amp; justice",IF(OR(ISNUMBER(SEARCH("road",P325)),ISNUMBER(SEARCH("utility",P325)),ISNUMBER(SEARCH("infrastructure",P325)),ISNUMBER(SEARCH("public service",P325))),"Infrastructure &amp; public services","Other"))))))))))))</x:f>
      </x:c>
      <x:c r="J325" s="16" t="str">
        <x:f>IF(A325="","",IF(OR(ISNUMBER(SEARCH("fatal",Q325)),ISNUMBER(SEARCH("death",Q325)),ISNUMBER(SEARCH("riot",Q325)),ISNUMBER(SEARCH("curfew",Q325)),ISNUMBER(SEARCH("internet shutdown",Q325))),5,MIN(4,1+IF(H325&gt;=7,1,0)+IF(OR(ISNUMBER(SEARCH("hunger strike",Q325)),ISNUMBER(SEARCH("blockade",Q325)),ISNUMBER(SEARCH("strike",Q325)),ISNUMBER(SEARCH("jal satyagraha",Q325)),ISNUMBER(SEARCH("survey",Q325)),ISNUMBER(SEARCH("human chain",Q325)),ISNUMBER(SEARCH("march",Q325))),1,0)+IF(OR(ISNUMBER(SEARCH("fir",Q325)),ISNUMBER(SEARCH("confrontation",Q325)),ISNUMBER(SEARCH("violence",Q325)),ISNUMBER(SEARCH("detention",Q325)),ISNUMBER(SEARCH("arrest",Q325)),ISNUMBER(SEARCH("demolition",Q325)),ISNUMBER(SEARCH("injury",Q325))),1,0)+IF(OR(D325="Ongoing",D325="Unresolved"),1,0))))</x:f>
      </x:c>
      <x:c r="K325" s="16" t="str">
        <x:f>IF(J325="","",IF(J325=1,"Limited",IF(J325=2,"Local",IF(J325=3,"Significant",IF(J325=4,"High","Critical")))))</x:f>
      </x:c>
      <x:c r="L325" s="16" t="str">
        <x:f>IF(A325="","",Events!U324)</x:f>
      </x:c>
      <x:c r="M325" s="16" t="str">
        <x:f>IF(A325="","",Events!V324)</x:f>
      </x:c>
      <x:c r="N325" s="16" t="str">
        <x:f>IF(A325="","",Events!Q324)</x:f>
      </x:c>
      <x:c r="O325" s="16" t="str">
        <x:f>IF(A325="","",Events!R324)</x:f>
      </x:c>
      <x:c r="P325" s="16" t="str">
        <x:f>IF(A325="","",LOWER(Events!B324&amp;" "&amp;Events!D324&amp;" "&amp;Events!K324))</x:f>
      </x:c>
      <x:c r="Q325" s="16" t="str">
        <x:f>IF(A325="","",LOWER(Events!C324&amp;" "&amp;Events!K324&amp;" "&amp;Events!T324))</x:f>
      </x:c>
      <x:c r="R325" s="16" t="str">
        <x:f>IF(A325="","",IF(ISNUMBER(SEARCH("Occurrence verified",E325)),"Occurrence verified",E325))</x:f>
      </x:c>
      <x:c r="S325" s="79" t="str">
        <x:f>IF(A325="","",Events!X324)</x:f>
      </x:c>
      <x:c r="Z325" s="79" t="str">
        <x:f>IF(A325="","",Events!AD324)</x:f>
      </x:c>
      <x:c r="AA325" s="79" t="str">
        <x:f>IF(A325="","",Events!AE324)</x:f>
      </x:c>
    </x:row>
    <x:row r="326">
      <x:c r="A326" s="16" t="str">
        <x:f>IF(Events!A325="","",Events!A325)</x:f>
      </x:c>
      <x:c r="B326" s="16" t="str">
        <x:f>IF(A326="","",Events!B325)</x:f>
      </x:c>
      <x:c r="C326" s="16" t="str">
        <x:f>IF(A326="","",Events!E325)</x:f>
      </x:c>
      <x:c r="D326" s="16" t="str">
        <x:f>IF(A326="","",Events!J325)</x:f>
      </x:c>
      <x:c r="E326" s="16" t="str">
        <x:f>IF(A326="","",Events!N325)</x:f>
      </x:c>
      <x:c r="F326" s="109" t="str">
        <x:f>IF(OR(A326="",Events!H325=""),"",Events!H325)</x:f>
      </x:c>
      <x:c r="G326" s="109" t="str">
        <x:f>IF(A326="","",IF(Events!I325&lt;&gt;"",Events!I325,IF(Events!S325&lt;&gt;"",Events!S325,"")))</x:f>
      </x:c>
      <x:c r="H326" s="16" t="str">
        <x:f>IF(A326="","",Events!W325)</x:f>
      </x:c>
      <x:c r="I326" s="16" t="str">
        <x:f>IF(A326="","",IF(Events!Y325&lt;&gt;"",Events!Y325,IF(OR(ISNUMBER(SEARCH("education",P326)),ISNUMBER(SEARCH("exam",P326)),ISNUMBER(SEARCH("school",P326))),"Education",IF(OR(ISNUMBER(SEARCH("trade agreement",P326)),ISNUMBER(SEARCH("economic",P326)),ISNUMBER(SEARCH("import",P326))),"Trade &amp; economic policy",IF(OR(ISNUMBER(SEARCH("land acquisition",P326)),ISNUMBER(SEARCH("rehabilitation",P326)),ISNUMBER(SEARCH("displacement",P326)),ISNUMBER(SEARCH("township",P326))),"Land &amp; rehabilitation",IF(OR(ISNUMBER(SEARCH("forest",P326)),ISNUMBER(SEARCH("environment",P326)),ISNUMBER(SEARCH("ecological",P326)),ISNUMBER(SEARCH("biodiversity",P326)),ISNUMBER(SEARCH("green cover",P326))),"Environment",IF(OR(ISNUMBER(SEARCH("irrigation",P326)),ISNUMBER(SEARCH("water",P326)),ISNUMBER(SEARCH("crop",P326)),ISNUMBER(SEARCH("farmer",P326)),ISNUMBER(SEARCH("agriculture",P326))),"Agriculture &amp; water",IF(OR(ISNUMBER(SEARCH("health",P326)),ISNUMBER(SEARCH("hospital",P326)),ISNUMBER(SEARCH("medicine",P326))),"Public health",IF(OR(ISNUMBER(SEARCH("employee",P326)),ISNUMBER(SEARCH("labour",P326)),ISNUMBER(SEARCH("worker",P326)),ISNUMBER(SEARCH("salary",P326))),"Labour &amp; employment",IF(OR(ISNUMBER(SEARCH("rti",P326)),ISNUMBER(SEARCH("transparency",P326)),ISNUMBER(SEARCH("corruption",P326)),ISNUMBER(SEARCH("governance",P326))),"Governance &amp; transparency",IF(OR(ISNUMBER(SEARCH("police",P326)),ISNUMBER(SEARCH("detention",P326)),ISNUMBER(SEARCH("civil rights",P326)),ISNUMBER(SEARCH("justice",P326))),"Civil rights &amp; justice",IF(OR(ISNUMBER(SEARCH("road",P326)),ISNUMBER(SEARCH("utility",P326)),ISNUMBER(SEARCH("infrastructure",P326)),ISNUMBER(SEARCH("public service",P326))),"Infrastructure &amp; public services","Other"))))))))))))</x:f>
      </x:c>
      <x:c r="J326" s="16" t="str">
        <x:f>IF(A326="","",IF(OR(ISNUMBER(SEARCH("fatal",Q326)),ISNUMBER(SEARCH("death",Q326)),ISNUMBER(SEARCH("riot",Q326)),ISNUMBER(SEARCH("curfew",Q326)),ISNUMBER(SEARCH("internet shutdown",Q326))),5,MIN(4,1+IF(H326&gt;=7,1,0)+IF(OR(ISNUMBER(SEARCH("hunger strike",Q326)),ISNUMBER(SEARCH("blockade",Q326)),ISNUMBER(SEARCH("strike",Q326)),ISNUMBER(SEARCH("jal satyagraha",Q326)),ISNUMBER(SEARCH("survey",Q326)),ISNUMBER(SEARCH("human chain",Q326)),ISNUMBER(SEARCH("march",Q326))),1,0)+IF(OR(ISNUMBER(SEARCH("fir",Q326)),ISNUMBER(SEARCH("confrontation",Q326)),ISNUMBER(SEARCH("violence",Q326)),ISNUMBER(SEARCH("detention",Q326)),ISNUMBER(SEARCH("arrest",Q326)),ISNUMBER(SEARCH("demolition",Q326)),ISNUMBER(SEARCH("injury",Q326))),1,0)+IF(OR(D326="Ongoing",D326="Unresolved"),1,0))))</x:f>
      </x:c>
      <x:c r="K326" s="16" t="str">
        <x:f>IF(J326="","",IF(J326=1,"Limited",IF(J326=2,"Local",IF(J326=3,"Significant",IF(J326=4,"High","Critical")))))</x:f>
      </x:c>
      <x:c r="L326" s="16" t="str">
        <x:f>IF(A326="","",Events!U325)</x:f>
      </x:c>
      <x:c r="M326" s="16" t="str">
        <x:f>IF(A326="","",Events!V325)</x:f>
      </x:c>
      <x:c r="N326" s="16" t="str">
        <x:f>IF(A326="","",Events!Q325)</x:f>
      </x:c>
      <x:c r="O326" s="16" t="str">
        <x:f>IF(A326="","",Events!R325)</x:f>
      </x:c>
      <x:c r="P326" s="16" t="str">
        <x:f>IF(A326="","",LOWER(Events!B325&amp;" "&amp;Events!D325&amp;" "&amp;Events!K325))</x:f>
      </x:c>
      <x:c r="Q326" s="16" t="str">
        <x:f>IF(A326="","",LOWER(Events!C325&amp;" "&amp;Events!K325&amp;" "&amp;Events!T325))</x:f>
      </x:c>
      <x:c r="R326" s="16" t="str">
        <x:f>IF(A326="","",IF(ISNUMBER(SEARCH("Occurrence verified",E326)),"Occurrence verified",E326))</x:f>
      </x:c>
      <x:c r="S326" s="79" t="str">
        <x:f>IF(A326="","",Events!X325)</x:f>
      </x:c>
      <x:c r="Z326" s="79" t="str">
        <x:f>IF(A326="","",Events!AD325)</x:f>
      </x:c>
      <x:c r="AA326" s="79" t="str">
        <x:f>IF(A326="","",Events!AE325)</x:f>
      </x:c>
    </x:row>
    <x:row r="327">
      <x:c r="A327" s="16" t="str">
        <x:f>IF(Events!A326="","",Events!A326)</x:f>
      </x:c>
      <x:c r="B327" s="16" t="str">
        <x:f>IF(A327="","",Events!B326)</x:f>
      </x:c>
      <x:c r="C327" s="16" t="str">
        <x:f>IF(A327="","",Events!E326)</x:f>
      </x:c>
      <x:c r="D327" s="16" t="str">
        <x:f>IF(A327="","",Events!J326)</x:f>
      </x:c>
      <x:c r="E327" s="16" t="str">
        <x:f>IF(A327="","",Events!N326)</x:f>
      </x:c>
      <x:c r="F327" s="109" t="str">
        <x:f>IF(OR(A327="",Events!H326=""),"",Events!H326)</x:f>
      </x:c>
      <x:c r="G327" s="109" t="str">
        <x:f>IF(A327="","",IF(Events!I326&lt;&gt;"",Events!I326,IF(Events!S326&lt;&gt;"",Events!S326,"")))</x:f>
      </x:c>
      <x:c r="H327" s="16" t="str">
        <x:f>IF(A327="","",Events!W326)</x:f>
      </x:c>
      <x:c r="I327" s="16" t="str">
        <x:f>IF(A327="","",IF(Events!Y326&lt;&gt;"",Events!Y326,IF(OR(ISNUMBER(SEARCH("education",P327)),ISNUMBER(SEARCH("exam",P327)),ISNUMBER(SEARCH("school",P327))),"Education",IF(OR(ISNUMBER(SEARCH("trade agreement",P327)),ISNUMBER(SEARCH("economic",P327)),ISNUMBER(SEARCH("import",P327))),"Trade &amp; economic policy",IF(OR(ISNUMBER(SEARCH("land acquisition",P327)),ISNUMBER(SEARCH("rehabilitation",P327)),ISNUMBER(SEARCH("displacement",P327)),ISNUMBER(SEARCH("township",P327))),"Land &amp; rehabilitation",IF(OR(ISNUMBER(SEARCH("forest",P327)),ISNUMBER(SEARCH("environment",P327)),ISNUMBER(SEARCH("ecological",P327)),ISNUMBER(SEARCH("biodiversity",P327)),ISNUMBER(SEARCH("green cover",P327))),"Environment",IF(OR(ISNUMBER(SEARCH("irrigation",P327)),ISNUMBER(SEARCH("water",P327)),ISNUMBER(SEARCH("crop",P327)),ISNUMBER(SEARCH("farmer",P327)),ISNUMBER(SEARCH("agriculture",P327))),"Agriculture &amp; water",IF(OR(ISNUMBER(SEARCH("health",P327)),ISNUMBER(SEARCH("hospital",P327)),ISNUMBER(SEARCH("medicine",P327))),"Public health",IF(OR(ISNUMBER(SEARCH("employee",P327)),ISNUMBER(SEARCH("labour",P327)),ISNUMBER(SEARCH("worker",P327)),ISNUMBER(SEARCH("salary",P327))),"Labour &amp; employment",IF(OR(ISNUMBER(SEARCH("rti",P327)),ISNUMBER(SEARCH("transparency",P327)),ISNUMBER(SEARCH("corruption",P327)),ISNUMBER(SEARCH("governance",P327))),"Governance &amp; transparency",IF(OR(ISNUMBER(SEARCH("police",P327)),ISNUMBER(SEARCH("detention",P327)),ISNUMBER(SEARCH("civil rights",P327)),ISNUMBER(SEARCH("justice",P327))),"Civil rights &amp; justice",IF(OR(ISNUMBER(SEARCH("road",P327)),ISNUMBER(SEARCH("utility",P327)),ISNUMBER(SEARCH("infrastructure",P327)),ISNUMBER(SEARCH("public service",P327))),"Infrastructure &amp; public services","Other"))))))))))))</x:f>
      </x:c>
      <x:c r="J327" s="16" t="str">
        <x:f>IF(A327="","",IF(OR(ISNUMBER(SEARCH("fatal",Q327)),ISNUMBER(SEARCH("death",Q327)),ISNUMBER(SEARCH("riot",Q327)),ISNUMBER(SEARCH("curfew",Q327)),ISNUMBER(SEARCH("internet shutdown",Q327))),5,MIN(4,1+IF(H327&gt;=7,1,0)+IF(OR(ISNUMBER(SEARCH("hunger strike",Q327)),ISNUMBER(SEARCH("blockade",Q327)),ISNUMBER(SEARCH("strike",Q327)),ISNUMBER(SEARCH("jal satyagraha",Q327)),ISNUMBER(SEARCH("survey",Q327)),ISNUMBER(SEARCH("human chain",Q327)),ISNUMBER(SEARCH("march",Q327))),1,0)+IF(OR(ISNUMBER(SEARCH("fir",Q327)),ISNUMBER(SEARCH("confrontation",Q327)),ISNUMBER(SEARCH("violence",Q327)),ISNUMBER(SEARCH("detention",Q327)),ISNUMBER(SEARCH("arrest",Q327)),ISNUMBER(SEARCH("demolition",Q327)),ISNUMBER(SEARCH("injury",Q327))),1,0)+IF(OR(D327="Ongoing",D327="Unresolved"),1,0))))</x:f>
      </x:c>
      <x:c r="K327" s="16" t="str">
        <x:f>IF(J327="","",IF(J327=1,"Limited",IF(J327=2,"Local",IF(J327=3,"Significant",IF(J327=4,"High","Critical")))))</x:f>
      </x:c>
      <x:c r="L327" s="16" t="str">
        <x:f>IF(A327="","",Events!U326)</x:f>
      </x:c>
      <x:c r="M327" s="16" t="str">
        <x:f>IF(A327="","",Events!V326)</x:f>
      </x:c>
      <x:c r="N327" s="16" t="str">
        <x:f>IF(A327="","",Events!Q326)</x:f>
      </x:c>
      <x:c r="O327" s="16" t="str">
        <x:f>IF(A327="","",Events!R326)</x:f>
      </x:c>
      <x:c r="P327" s="16" t="str">
        <x:f>IF(A327="","",LOWER(Events!B326&amp;" "&amp;Events!D326&amp;" "&amp;Events!K326))</x:f>
      </x:c>
      <x:c r="Q327" s="16" t="str">
        <x:f>IF(A327="","",LOWER(Events!C326&amp;" "&amp;Events!K326&amp;" "&amp;Events!T326))</x:f>
      </x:c>
      <x:c r="R327" s="16" t="str">
        <x:f>IF(A327="","",IF(ISNUMBER(SEARCH("Occurrence verified",E327)),"Occurrence verified",E327))</x:f>
      </x:c>
      <x:c r="S327" s="79" t="str">
        <x:f>IF(A327="","",Events!X326)</x:f>
      </x:c>
      <x:c r="Z327" s="79" t="str">
        <x:f>IF(A327="","",Events!AD326)</x:f>
      </x:c>
      <x:c r="AA327" s="79" t="str">
        <x:f>IF(A327="","",Events!AE326)</x:f>
      </x:c>
    </x:row>
    <x:row r="328">
      <x:c r="A328" s="16" t="str">
        <x:f>IF(Events!A327="","",Events!A327)</x:f>
      </x:c>
      <x:c r="B328" s="16" t="str">
        <x:f>IF(A328="","",Events!B327)</x:f>
      </x:c>
      <x:c r="C328" s="16" t="str">
        <x:f>IF(A328="","",Events!E327)</x:f>
      </x:c>
      <x:c r="D328" s="16" t="str">
        <x:f>IF(A328="","",Events!J327)</x:f>
      </x:c>
      <x:c r="E328" s="16" t="str">
        <x:f>IF(A328="","",Events!N327)</x:f>
      </x:c>
      <x:c r="F328" s="109" t="str">
        <x:f>IF(OR(A328="",Events!H327=""),"",Events!H327)</x:f>
      </x:c>
      <x:c r="G328" s="109" t="str">
        <x:f>IF(A328="","",IF(Events!I327&lt;&gt;"",Events!I327,IF(Events!S327&lt;&gt;"",Events!S327,"")))</x:f>
      </x:c>
      <x:c r="H328" s="16" t="str">
        <x:f>IF(A328="","",Events!W327)</x:f>
      </x:c>
      <x:c r="I328" s="16" t="str">
        <x:f>IF(A328="","",IF(Events!Y327&lt;&gt;"",Events!Y327,IF(OR(ISNUMBER(SEARCH("education",P328)),ISNUMBER(SEARCH("exam",P328)),ISNUMBER(SEARCH("school",P328))),"Education",IF(OR(ISNUMBER(SEARCH("trade agreement",P328)),ISNUMBER(SEARCH("economic",P328)),ISNUMBER(SEARCH("import",P328))),"Trade &amp; economic policy",IF(OR(ISNUMBER(SEARCH("land acquisition",P328)),ISNUMBER(SEARCH("rehabilitation",P328)),ISNUMBER(SEARCH("displacement",P328)),ISNUMBER(SEARCH("township",P328))),"Land &amp; rehabilitation",IF(OR(ISNUMBER(SEARCH("forest",P328)),ISNUMBER(SEARCH("environment",P328)),ISNUMBER(SEARCH("ecological",P328)),ISNUMBER(SEARCH("biodiversity",P328)),ISNUMBER(SEARCH("green cover",P328))),"Environment",IF(OR(ISNUMBER(SEARCH("irrigation",P328)),ISNUMBER(SEARCH("water",P328)),ISNUMBER(SEARCH("crop",P328)),ISNUMBER(SEARCH("farmer",P328)),ISNUMBER(SEARCH("agriculture",P328))),"Agriculture &amp; water",IF(OR(ISNUMBER(SEARCH("health",P328)),ISNUMBER(SEARCH("hospital",P328)),ISNUMBER(SEARCH("medicine",P328))),"Public health",IF(OR(ISNUMBER(SEARCH("employee",P328)),ISNUMBER(SEARCH("labour",P328)),ISNUMBER(SEARCH("worker",P328)),ISNUMBER(SEARCH("salary",P328))),"Labour &amp; employment",IF(OR(ISNUMBER(SEARCH("rti",P328)),ISNUMBER(SEARCH("transparency",P328)),ISNUMBER(SEARCH("corruption",P328)),ISNUMBER(SEARCH("governance",P328))),"Governance &amp; transparency",IF(OR(ISNUMBER(SEARCH("police",P328)),ISNUMBER(SEARCH("detention",P328)),ISNUMBER(SEARCH("civil rights",P328)),ISNUMBER(SEARCH("justice",P328))),"Civil rights &amp; justice",IF(OR(ISNUMBER(SEARCH("road",P328)),ISNUMBER(SEARCH("utility",P328)),ISNUMBER(SEARCH("infrastructure",P328)),ISNUMBER(SEARCH("public service",P328))),"Infrastructure &amp; public services","Other"))))))))))))</x:f>
      </x:c>
      <x:c r="J328" s="16" t="str">
        <x:f>IF(A328="","",IF(OR(ISNUMBER(SEARCH("fatal",Q328)),ISNUMBER(SEARCH("death",Q328)),ISNUMBER(SEARCH("riot",Q328)),ISNUMBER(SEARCH("curfew",Q328)),ISNUMBER(SEARCH("internet shutdown",Q328))),5,MIN(4,1+IF(H328&gt;=7,1,0)+IF(OR(ISNUMBER(SEARCH("hunger strike",Q328)),ISNUMBER(SEARCH("blockade",Q328)),ISNUMBER(SEARCH("strike",Q328)),ISNUMBER(SEARCH("jal satyagraha",Q328)),ISNUMBER(SEARCH("survey",Q328)),ISNUMBER(SEARCH("human chain",Q328)),ISNUMBER(SEARCH("march",Q328))),1,0)+IF(OR(ISNUMBER(SEARCH("fir",Q328)),ISNUMBER(SEARCH("confrontation",Q328)),ISNUMBER(SEARCH("violence",Q328)),ISNUMBER(SEARCH("detention",Q328)),ISNUMBER(SEARCH("arrest",Q328)),ISNUMBER(SEARCH("demolition",Q328)),ISNUMBER(SEARCH("injury",Q328))),1,0)+IF(OR(D328="Ongoing",D328="Unresolved"),1,0))))</x:f>
      </x:c>
      <x:c r="K328" s="16" t="str">
        <x:f>IF(J328="","",IF(J328=1,"Limited",IF(J328=2,"Local",IF(J328=3,"Significant",IF(J328=4,"High","Critical")))))</x:f>
      </x:c>
      <x:c r="L328" s="16" t="str">
        <x:f>IF(A328="","",Events!U327)</x:f>
      </x:c>
      <x:c r="M328" s="16" t="str">
        <x:f>IF(A328="","",Events!V327)</x:f>
      </x:c>
      <x:c r="N328" s="16" t="str">
        <x:f>IF(A328="","",Events!Q327)</x:f>
      </x:c>
      <x:c r="O328" s="16" t="str">
        <x:f>IF(A328="","",Events!R327)</x:f>
      </x:c>
      <x:c r="P328" s="16" t="str">
        <x:f>IF(A328="","",LOWER(Events!B327&amp;" "&amp;Events!D327&amp;" "&amp;Events!K327))</x:f>
      </x:c>
      <x:c r="Q328" s="16" t="str">
        <x:f>IF(A328="","",LOWER(Events!C327&amp;" "&amp;Events!K327&amp;" "&amp;Events!T327))</x:f>
      </x:c>
      <x:c r="R328" s="16" t="str">
        <x:f>IF(A328="","",IF(ISNUMBER(SEARCH("Occurrence verified",E328)),"Occurrence verified",E328))</x:f>
      </x:c>
      <x:c r="S328" s="79" t="str">
        <x:f>IF(A328="","",Events!X327)</x:f>
      </x:c>
      <x:c r="Z328" s="79" t="str">
        <x:f>IF(A328="","",Events!AD327)</x:f>
      </x:c>
      <x:c r="AA328" s="79" t="str">
        <x:f>IF(A328="","",Events!AE327)</x:f>
      </x:c>
    </x:row>
    <x:row r="329">
      <x:c r="A329" s="16" t="str">
        <x:f>IF(Events!A328="","",Events!A328)</x:f>
      </x:c>
      <x:c r="B329" s="16" t="str">
        <x:f>IF(A329="","",Events!B328)</x:f>
      </x:c>
      <x:c r="C329" s="16" t="str">
        <x:f>IF(A329="","",Events!E328)</x:f>
      </x:c>
      <x:c r="D329" s="16" t="str">
        <x:f>IF(A329="","",Events!J328)</x:f>
      </x:c>
      <x:c r="E329" s="16" t="str">
        <x:f>IF(A329="","",Events!N328)</x:f>
      </x:c>
      <x:c r="F329" s="109" t="str">
        <x:f>IF(OR(A329="",Events!H328=""),"",Events!H328)</x:f>
      </x:c>
      <x:c r="G329" s="109" t="str">
        <x:f>IF(A329="","",IF(Events!I328&lt;&gt;"",Events!I328,IF(Events!S328&lt;&gt;"",Events!S328,"")))</x:f>
      </x:c>
      <x:c r="H329" s="16" t="str">
        <x:f>IF(A329="","",Events!W328)</x:f>
      </x:c>
      <x:c r="I329" s="16" t="str">
        <x:f>IF(A329="","",IF(Events!Y328&lt;&gt;"",Events!Y328,IF(OR(ISNUMBER(SEARCH("education",P329)),ISNUMBER(SEARCH("exam",P329)),ISNUMBER(SEARCH("school",P329))),"Education",IF(OR(ISNUMBER(SEARCH("trade agreement",P329)),ISNUMBER(SEARCH("economic",P329)),ISNUMBER(SEARCH("import",P329))),"Trade &amp; economic policy",IF(OR(ISNUMBER(SEARCH("land acquisition",P329)),ISNUMBER(SEARCH("rehabilitation",P329)),ISNUMBER(SEARCH("displacement",P329)),ISNUMBER(SEARCH("township",P329))),"Land &amp; rehabilitation",IF(OR(ISNUMBER(SEARCH("forest",P329)),ISNUMBER(SEARCH("environment",P329)),ISNUMBER(SEARCH("ecological",P329)),ISNUMBER(SEARCH("biodiversity",P329)),ISNUMBER(SEARCH("green cover",P329))),"Environment",IF(OR(ISNUMBER(SEARCH("irrigation",P329)),ISNUMBER(SEARCH("water",P329)),ISNUMBER(SEARCH("crop",P329)),ISNUMBER(SEARCH("farmer",P329)),ISNUMBER(SEARCH("agriculture",P329))),"Agriculture &amp; water",IF(OR(ISNUMBER(SEARCH("health",P329)),ISNUMBER(SEARCH("hospital",P329)),ISNUMBER(SEARCH("medicine",P329))),"Public health",IF(OR(ISNUMBER(SEARCH("employee",P329)),ISNUMBER(SEARCH("labour",P329)),ISNUMBER(SEARCH("worker",P329)),ISNUMBER(SEARCH("salary",P329))),"Labour &amp; employment",IF(OR(ISNUMBER(SEARCH("rti",P329)),ISNUMBER(SEARCH("transparency",P329)),ISNUMBER(SEARCH("corruption",P329)),ISNUMBER(SEARCH("governance",P329))),"Governance &amp; transparency",IF(OR(ISNUMBER(SEARCH("police",P329)),ISNUMBER(SEARCH("detention",P329)),ISNUMBER(SEARCH("civil rights",P329)),ISNUMBER(SEARCH("justice",P329))),"Civil rights &amp; justice",IF(OR(ISNUMBER(SEARCH("road",P329)),ISNUMBER(SEARCH("utility",P329)),ISNUMBER(SEARCH("infrastructure",P329)),ISNUMBER(SEARCH("public service",P329))),"Infrastructure &amp; public services","Other"))))))))))))</x:f>
      </x:c>
      <x:c r="J329" s="16" t="str">
        <x:f>IF(A329="","",IF(OR(ISNUMBER(SEARCH("fatal",Q329)),ISNUMBER(SEARCH("death",Q329)),ISNUMBER(SEARCH("riot",Q329)),ISNUMBER(SEARCH("curfew",Q329)),ISNUMBER(SEARCH("internet shutdown",Q329))),5,MIN(4,1+IF(H329&gt;=7,1,0)+IF(OR(ISNUMBER(SEARCH("hunger strike",Q329)),ISNUMBER(SEARCH("blockade",Q329)),ISNUMBER(SEARCH("strike",Q329)),ISNUMBER(SEARCH("jal satyagraha",Q329)),ISNUMBER(SEARCH("survey",Q329)),ISNUMBER(SEARCH("human chain",Q329)),ISNUMBER(SEARCH("march",Q329))),1,0)+IF(OR(ISNUMBER(SEARCH("fir",Q329)),ISNUMBER(SEARCH("confrontation",Q329)),ISNUMBER(SEARCH("violence",Q329)),ISNUMBER(SEARCH("detention",Q329)),ISNUMBER(SEARCH("arrest",Q329)),ISNUMBER(SEARCH("demolition",Q329)),ISNUMBER(SEARCH("injury",Q329))),1,0)+IF(OR(D329="Ongoing",D329="Unresolved"),1,0))))</x:f>
      </x:c>
      <x:c r="K329" s="16" t="str">
        <x:f>IF(J329="","",IF(J329=1,"Limited",IF(J329=2,"Local",IF(J329=3,"Significant",IF(J329=4,"High","Critical")))))</x:f>
      </x:c>
      <x:c r="L329" s="16" t="str">
        <x:f>IF(A329="","",Events!U328)</x:f>
      </x:c>
      <x:c r="M329" s="16" t="str">
        <x:f>IF(A329="","",Events!V328)</x:f>
      </x:c>
      <x:c r="N329" s="16" t="str">
        <x:f>IF(A329="","",Events!Q328)</x:f>
      </x:c>
      <x:c r="O329" s="16" t="str">
        <x:f>IF(A329="","",Events!R328)</x:f>
      </x:c>
      <x:c r="P329" s="16" t="str">
        <x:f>IF(A329="","",LOWER(Events!B328&amp;" "&amp;Events!D328&amp;" "&amp;Events!K328))</x:f>
      </x:c>
      <x:c r="Q329" s="16" t="str">
        <x:f>IF(A329="","",LOWER(Events!C328&amp;" "&amp;Events!K328&amp;" "&amp;Events!T328))</x:f>
      </x:c>
      <x:c r="R329" s="16" t="str">
        <x:f>IF(A329="","",IF(ISNUMBER(SEARCH("Occurrence verified",E329)),"Occurrence verified",E329))</x:f>
      </x:c>
      <x:c r="S329" s="79" t="str">
        <x:f>IF(A329="","",Events!X328)</x:f>
      </x:c>
      <x:c r="Z329" s="79" t="str">
        <x:f>IF(A329="","",Events!AD328)</x:f>
      </x:c>
      <x:c r="AA329" s="79" t="str">
        <x:f>IF(A329="","",Events!AE328)</x:f>
      </x:c>
    </x:row>
    <x:row r="330">
      <x:c r="A330" s="16" t="str">
        <x:f>IF(Events!A329="","",Events!A329)</x:f>
      </x:c>
      <x:c r="B330" s="16" t="str">
        <x:f>IF(A330="","",Events!B329)</x:f>
      </x:c>
      <x:c r="C330" s="16" t="str">
        <x:f>IF(A330="","",Events!E329)</x:f>
      </x:c>
      <x:c r="D330" s="16" t="str">
        <x:f>IF(A330="","",Events!J329)</x:f>
      </x:c>
      <x:c r="E330" s="16" t="str">
        <x:f>IF(A330="","",Events!N329)</x:f>
      </x:c>
      <x:c r="F330" s="109" t="str">
        <x:f>IF(OR(A330="",Events!H329=""),"",Events!H329)</x:f>
      </x:c>
      <x:c r="G330" s="109" t="str">
        <x:f>IF(A330="","",IF(Events!I329&lt;&gt;"",Events!I329,IF(Events!S329&lt;&gt;"",Events!S329,"")))</x:f>
      </x:c>
      <x:c r="H330" s="16" t="str">
        <x:f>IF(A330="","",Events!W329)</x:f>
      </x:c>
      <x:c r="I330" s="16" t="str">
        <x:f>IF(A330="","",IF(Events!Y329&lt;&gt;"",Events!Y329,IF(OR(ISNUMBER(SEARCH("education",P330)),ISNUMBER(SEARCH("exam",P330)),ISNUMBER(SEARCH("school",P330))),"Education",IF(OR(ISNUMBER(SEARCH("trade agreement",P330)),ISNUMBER(SEARCH("economic",P330)),ISNUMBER(SEARCH("import",P330))),"Trade &amp; economic policy",IF(OR(ISNUMBER(SEARCH("land acquisition",P330)),ISNUMBER(SEARCH("rehabilitation",P330)),ISNUMBER(SEARCH("displacement",P330)),ISNUMBER(SEARCH("township",P330))),"Land &amp; rehabilitation",IF(OR(ISNUMBER(SEARCH("forest",P330)),ISNUMBER(SEARCH("environment",P330)),ISNUMBER(SEARCH("ecological",P330)),ISNUMBER(SEARCH("biodiversity",P330)),ISNUMBER(SEARCH("green cover",P330))),"Environment",IF(OR(ISNUMBER(SEARCH("irrigation",P330)),ISNUMBER(SEARCH("water",P330)),ISNUMBER(SEARCH("crop",P330)),ISNUMBER(SEARCH("farmer",P330)),ISNUMBER(SEARCH("agriculture",P330))),"Agriculture &amp; water",IF(OR(ISNUMBER(SEARCH("health",P330)),ISNUMBER(SEARCH("hospital",P330)),ISNUMBER(SEARCH("medicine",P330))),"Public health",IF(OR(ISNUMBER(SEARCH("employee",P330)),ISNUMBER(SEARCH("labour",P330)),ISNUMBER(SEARCH("worker",P330)),ISNUMBER(SEARCH("salary",P330))),"Labour &amp; employment",IF(OR(ISNUMBER(SEARCH("rti",P330)),ISNUMBER(SEARCH("transparency",P330)),ISNUMBER(SEARCH("corruption",P330)),ISNUMBER(SEARCH("governance",P330))),"Governance &amp; transparency",IF(OR(ISNUMBER(SEARCH("police",P330)),ISNUMBER(SEARCH("detention",P330)),ISNUMBER(SEARCH("civil rights",P330)),ISNUMBER(SEARCH("justice",P330))),"Civil rights &amp; justice",IF(OR(ISNUMBER(SEARCH("road",P330)),ISNUMBER(SEARCH("utility",P330)),ISNUMBER(SEARCH("infrastructure",P330)),ISNUMBER(SEARCH("public service",P330))),"Infrastructure &amp; public services","Other"))))))))))))</x:f>
      </x:c>
      <x:c r="J330" s="16" t="str">
        <x:f>IF(A330="","",IF(OR(ISNUMBER(SEARCH("fatal",Q330)),ISNUMBER(SEARCH("death",Q330)),ISNUMBER(SEARCH("riot",Q330)),ISNUMBER(SEARCH("curfew",Q330)),ISNUMBER(SEARCH("internet shutdown",Q330))),5,MIN(4,1+IF(H330&gt;=7,1,0)+IF(OR(ISNUMBER(SEARCH("hunger strike",Q330)),ISNUMBER(SEARCH("blockade",Q330)),ISNUMBER(SEARCH("strike",Q330)),ISNUMBER(SEARCH("jal satyagraha",Q330)),ISNUMBER(SEARCH("survey",Q330)),ISNUMBER(SEARCH("human chain",Q330)),ISNUMBER(SEARCH("march",Q330))),1,0)+IF(OR(ISNUMBER(SEARCH("fir",Q330)),ISNUMBER(SEARCH("confrontation",Q330)),ISNUMBER(SEARCH("violence",Q330)),ISNUMBER(SEARCH("detention",Q330)),ISNUMBER(SEARCH("arrest",Q330)),ISNUMBER(SEARCH("demolition",Q330)),ISNUMBER(SEARCH("injury",Q330))),1,0)+IF(OR(D330="Ongoing",D330="Unresolved"),1,0))))</x:f>
      </x:c>
      <x:c r="K330" s="16" t="str">
        <x:f>IF(J330="","",IF(J330=1,"Limited",IF(J330=2,"Local",IF(J330=3,"Significant",IF(J330=4,"High","Critical")))))</x:f>
      </x:c>
      <x:c r="L330" s="16" t="str">
        <x:f>IF(A330="","",Events!U329)</x:f>
      </x:c>
      <x:c r="M330" s="16" t="str">
        <x:f>IF(A330="","",Events!V329)</x:f>
      </x:c>
      <x:c r="N330" s="16" t="str">
        <x:f>IF(A330="","",Events!Q329)</x:f>
      </x:c>
      <x:c r="O330" s="16" t="str">
        <x:f>IF(A330="","",Events!R329)</x:f>
      </x:c>
      <x:c r="P330" s="16" t="str">
        <x:f>IF(A330="","",LOWER(Events!B329&amp;" "&amp;Events!D329&amp;" "&amp;Events!K329))</x:f>
      </x:c>
      <x:c r="Q330" s="16" t="str">
        <x:f>IF(A330="","",LOWER(Events!C329&amp;" "&amp;Events!K329&amp;" "&amp;Events!T329))</x:f>
      </x:c>
      <x:c r="R330" s="16" t="str">
        <x:f>IF(A330="","",IF(ISNUMBER(SEARCH("Occurrence verified",E330)),"Occurrence verified",E330))</x:f>
      </x:c>
      <x:c r="S330" s="79" t="str">
        <x:f>IF(A330="","",Events!X329)</x:f>
      </x:c>
      <x:c r="Z330" s="79" t="str">
        <x:f>IF(A330="","",Events!AD329)</x:f>
      </x:c>
      <x:c r="AA330" s="79" t="str">
        <x:f>IF(A330="","",Events!AE329)</x:f>
      </x:c>
    </x:row>
    <x:row r="331">
      <x:c r="A331" s="16" t="str">
        <x:f>IF(Events!A330="","",Events!A330)</x:f>
      </x:c>
      <x:c r="B331" s="16" t="str">
        <x:f>IF(A331="","",Events!B330)</x:f>
      </x:c>
      <x:c r="C331" s="16" t="str">
        <x:f>IF(A331="","",Events!E330)</x:f>
      </x:c>
      <x:c r="D331" s="16" t="str">
        <x:f>IF(A331="","",Events!J330)</x:f>
      </x:c>
      <x:c r="E331" s="16" t="str">
        <x:f>IF(A331="","",Events!N330)</x:f>
      </x:c>
      <x:c r="F331" s="109" t="str">
        <x:f>IF(OR(A331="",Events!H330=""),"",Events!H330)</x:f>
      </x:c>
      <x:c r="G331" s="109" t="str">
        <x:f>IF(A331="","",IF(Events!I330&lt;&gt;"",Events!I330,IF(Events!S330&lt;&gt;"",Events!S330,"")))</x:f>
      </x:c>
      <x:c r="H331" s="16" t="str">
        <x:f>IF(A331="","",Events!W330)</x:f>
      </x:c>
      <x:c r="I331" s="16" t="str">
        <x:f>IF(A331="","",IF(Events!Y330&lt;&gt;"",Events!Y330,IF(OR(ISNUMBER(SEARCH("education",P331)),ISNUMBER(SEARCH("exam",P331)),ISNUMBER(SEARCH("school",P331))),"Education",IF(OR(ISNUMBER(SEARCH("trade agreement",P331)),ISNUMBER(SEARCH("economic",P331)),ISNUMBER(SEARCH("import",P331))),"Trade &amp; economic policy",IF(OR(ISNUMBER(SEARCH("land acquisition",P331)),ISNUMBER(SEARCH("rehabilitation",P331)),ISNUMBER(SEARCH("displacement",P331)),ISNUMBER(SEARCH("township",P331))),"Land &amp; rehabilitation",IF(OR(ISNUMBER(SEARCH("forest",P331)),ISNUMBER(SEARCH("environment",P331)),ISNUMBER(SEARCH("ecological",P331)),ISNUMBER(SEARCH("biodiversity",P331)),ISNUMBER(SEARCH("green cover",P331))),"Environment",IF(OR(ISNUMBER(SEARCH("irrigation",P331)),ISNUMBER(SEARCH("water",P331)),ISNUMBER(SEARCH("crop",P331)),ISNUMBER(SEARCH("farmer",P331)),ISNUMBER(SEARCH("agriculture",P331))),"Agriculture &amp; water",IF(OR(ISNUMBER(SEARCH("health",P331)),ISNUMBER(SEARCH("hospital",P331)),ISNUMBER(SEARCH("medicine",P331))),"Public health",IF(OR(ISNUMBER(SEARCH("employee",P331)),ISNUMBER(SEARCH("labour",P331)),ISNUMBER(SEARCH("worker",P331)),ISNUMBER(SEARCH("salary",P331))),"Labour &amp; employment",IF(OR(ISNUMBER(SEARCH("rti",P331)),ISNUMBER(SEARCH("transparency",P331)),ISNUMBER(SEARCH("corruption",P331)),ISNUMBER(SEARCH("governance",P331))),"Governance &amp; transparency",IF(OR(ISNUMBER(SEARCH("police",P331)),ISNUMBER(SEARCH("detention",P331)),ISNUMBER(SEARCH("civil rights",P331)),ISNUMBER(SEARCH("justice",P331))),"Civil rights &amp; justice",IF(OR(ISNUMBER(SEARCH("road",P331)),ISNUMBER(SEARCH("utility",P331)),ISNUMBER(SEARCH("infrastructure",P331)),ISNUMBER(SEARCH("public service",P331))),"Infrastructure &amp; public services","Other"))))))))))))</x:f>
      </x:c>
      <x:c r="J331" s="16" t="str">
        <x:f>IF(A331="","",IF(OR(ISNUMBER(SEARCH("fatal",Q331)),ISNUMBER(SEARCH("death",Q331)),ISNUMBER(SEARCH("riot",Q331)),ISNUMBER(SEARCH("curfew",Q331)),ISNUMBER(SEARCH("internet shutdown",Q331))),5,MIN(4,1+IF(H331&gt;=7,1,0)+IF(OR(ISNUMBER(SEARCH("hunger strike",Q331)),ISNUMBER(SEARCH("blockade",Q331)),ISNUMBER(SEARCH("strike",Q331)),ISNUMBER(SEARCH("jal satyagraha",Q331)),ISNUMBER(SEARCH("survey",Q331)),ISNUMBER(SEARCH("human chain",Q331)),ISNUMBER(SEARCH("march",Q331))),1,0)+IF(OR(ISNUMBER(SEARCH("fir",Q331)),ISNUMBER(SEARCH("confrontation",Q331)),ISNUMBER(SEARCH("violence",Q331)),ISNUMBER(SEARCH("detention",Q331)),ISNUMBER(SEARCH("arrest",Q331)),ISNUMBER(SEARCH("demolition",Q331)),ISNUMBER(SEARCH("injury",Q331))),1,0)+IF(OR(D331="Ongoing",D331="Unresolved"),1,0))))</x:f>
      </x:c>
      <x:c r="K331" s="16" t="str">
        <x:f>IF(J331="","",IF(J331=1,"Limited",IF(J331=2,"Local",IF(J331=3,"Significant",IF(J331=4,"High","Critical")))))</x:f>
      </x:c>
      <x:c r="L331" s="16" t="str">
        <x:f>IF(A331="","",Events!U330)</x:f>
      </x:c>
      <x:c r="M331" s="16" t="str">
        <x:f>IF(A331="","",Events!V330)</x:f>
      </x:c>
      <x:c r="N331" s="16" t="str">
        <x:f>IF(A331="","",Events!Q330)</x:f>
      </x:c>
      <x:c r="O331" s="16" t="str">
        <x:f>IF(A331="","",Events!R330)</x:f>
      </x:c>
      <x:c r="P331" s="16" t="str">
        <x:f>IF(A331="","",LOWER(Events!B330&amp;" "&amp;Events!D330&amp;" "&amp;Events!K330))</x:f>
      </x:c>
      <x:c r="Q331" s="16" t="str">
        <x:f>IF(A331="","",LOWER(Events!C330&amp;" "&amp;Events!K330&amp;" "&amp;Events!T330))</x:f>
      </x:c>
      <x:c r="R331" s="16" t="str">
        <x:f>IF(A331="","",IF(ISNUMBER(SEARCH("Occurrence verified",E331)),"Occurrence verified",E331))</x:f>
      </x:c>
      <x:c r="S331" s="79" t="str">
        <x:f>IF(A331="","",Events!X330)</x:f>
      </x:c>
      <x:c r="Z331" s="79" t="str">
        <x:f>IF(A331="","",Events!AD330)</x:f>
      </x:c>
      <x:c r="AA331" s="79" t="str">
        <x:f>IF(A331="","",Events!AE330)</x:f>
      </x:c>
    </x:row>
    <x:row r="332">
      <x:c r="A332" s="16" t="str">
        <x:f>IF(Events!A331="","",Events!A331)</x:f>
      </x:c>
      <x:c r="B332" s="16" t="str">
        <x:f>IF(A332="","",Events!B331)</x:f>
      </x:c>
      <x:c r="C332" s="16" t="str">
        <x:f>IF(A332="","",Events!E331)</x:f>
      </x:c>
      <x:c r="D332" s="16" t="str">
        <x:f>IF(A332="","",Events!J331)</x:f>
      </x:c>
      <x:c r="E332" s="16" t="str">
        <x:f>IF(A332="","",Events!N331)</x:f>
      </x:c>
      <x:c r="F332" s="109" t="str">
        <x:f>IF(OR(A332="",Events!H331=""),"",Events!H331)</x:f>
      </x:c>
      <x:c r="G332" s="109" t="str">
        <x:f>IF(A332="","",IF(Events!I331&lt;&gt;"",Events!I331,IF(Events!S331&lt;&gt;"",Events!S331,"")))</x:f>
      </x:c>
      <x:c r="H332" s="16" t="str">
        <x:f>IF(A332="","",Events!W331)</x:f>
      </x:c>
      <x:c r="I332" s="16" t="str">
        <x:f>IF(A332="","",IF(Events!Y331&lt;&gt;"",Events!Y331,IF(OR(ISNUMBER(SEARCH("education",P332)),ISNUMBER(SEARCH("exam",P332)),ISNUMBER(SEARCH("school",P332))),"Education",IF(OR(ISNUMBER(SEARCH("trade agreement",P332)),ISNUMBER(SEARCH("economic",P332)),ISNUMBER(SEARCH("import",P332))),"Trade &amp; economic policy",IF(OR(ISNUMBER(SEARCH("land acquisition",P332)),ISNUMBER(SEARCH("rehabilitation",P332)),ISNUMBER(SEARCH("displacement",P332)),ISNUMBER(SEARCH("township",P332))),"Land &amp; rehabilitation",IF(OR(ISNUMBER(SEARCH("forest",P332)),ISNUMBER(SEARCH("environment",P332)),ISNUMBER(SEARCH("ecological",P332)),ISNUMBER(SEARCH("biodiversity",P332)),ISNUMBER(SEARCH("green cover",P332))),"Environment",IF(OR(ISNUMBER(SEARCH("irrigation",P332)),ISNUMBER(SEARCH("water",P332)),ISNUMBER(SEARCH("crop",P332)),ISNUMBER(SEARCH("farmer",P332)),ISNUMBER(SEARCH("agriculture",P332))),"Agriculture &amp; water",IF(OR(ISNUMBER(SEARCH("health",P332)),ISNUMBER(SEARCH("hospital",P332)),ISNUMBER(SEARCH("medicine",P332))),"Public health",IF(OR(ISNUMBER(SEARCH("employee",P332)),ISNUMBER(SEARCH("labour",P332)),ISNUMBER(SEARCH("worker",P332)),ISNUMBER(SEARCH("salary",P332))),"Labour &amp; employment",IF(OR(ISNUMBER(SEARCH("rti",P332)),ISNUMBER(SEARCH("transparency",P332)),ISNUMBER(SEARCH("corruption",P332)),ISNUMBER(SEARCH("governance",P332))),"Governance &amp; transparency",IF(OR(ISNUMBER(SEARCH("police",P332)),ISNUMBER(SEARCH("detention",P332)),ISNUMBER(SEARCH("civil rights",P332)),ISNUMBER(SEARCH("justice",P332))),"Civil rights &amp; justice",IF(OR(ISNUMBER(SEARCH("road",P332)),ISNUMBER(SEARCH("utility",P332)),ISNUMBER(SEARCH("infrastructure",P332)),ISNUMBER(SEARCH("public service",P332))),"Infrastructure &amp; public services","Other"))))))))))))</x:f>
      </x:c>
      <x:c r="J332" s="16" t="str">
        <x:f>IF(A332="","",IF(OR(ISNUMBER(SEARCH("fatal",Q332)),ISNUMBER(SEARCH("death",Q332)),ISNUMBER(SEARCH("riot",Q332)),ISNUMBER(SEARCH("curfew",Q332)),ISNUMBER(SEARCH("internet shutdown",Q332))),5,MIN(4,1+IF(H332&gt;=7,1,0)+IF(OR(ISNUMBER(SEARCH("hunger strike",Q332)),ISNUMBER(SEARCH("blockade",Q332)),ISNUMBER(SEARCH("strike",Q332)),ISNUMBER(SEARCH("jal satyagraha",Q332)),ISNUMBER(SEARCH("survey",Q332)),ISNUMBER(SEARCH("human chain",Q332)),ISNUMBER(SEARCH("march",Q332))),1,0)+IF(OR(ISNUMBER(SEARCH("fir",Q332)),ISNUMBER(SEARCH("confrontation",Q332)),ISNUMBER(SEARCH("violence",Q332)),ISNUMBER(SEARCH("detention",Q332)),ISNUMBER(SEARCH("arrest",Q332)),ISNUMBER(SEARCH("demolition",Q332)),ISNUMBER(SEARCH("injury",Q332))),1,0)+IF(OR(D332="Ongoing",D332="Unresolved"),1,0))))</x:f>
      </x:c>
      <x:c r="K332" s="16" t="str">
        <x:f>IF(J332="","",IF(J332=1,"Limited",IF(J332=2,"Local",IF(J332=3,"Significant",IF(J332=4,"High","Critical")))))</x:f>
      </x:c>
      <x:c r="L332" s="16" t="str">
        <x:f>IF(A332="","",Events!U331)</x:f>
      </x:c>
      <x:c r="M332" s="16" t="str">
        <x:f>IF(A332="","",Events!V331)</x:f>
      </x:c>
      <x:c r="N332" s="16" t="str">
        <x:f>IF(A332="","",Events!Q331)</x:f>
      </x:c>
      <x:c r="O332" s="16" t="str">
        <x:f>IF(A332="","",Events!R331)</x:f>
      </x:c>
      <x:c r="P332" s="16" t="str">
        <x:f>IF(A332="","",LOWER(Events!B331&amp;" "&amp;Events!D331&amp;" "&amp;Events!K331))</x:f>
      </x:c>
      <x:c r="Q332" s="16" t="str">
        <x:f>IF(A332="","",LOWER(Events!C331&amp;" "&amp;Events!K331&amp;" "&amp;Events!T331))</x:f>
      </x:c>
      <x:c r="R332" s="16" t="str">
        <x:f>IF(A332="","",IF(ISNUMBER(SEARCH("Occurrence verified",E332)),"Occurrence verified",E332))</x:f>
      </x:c>
      <x:c r="S332" s="79" t="str">
        <x:f>IF(A332="","",Events!X331)</x:f>
      </x:c>
      <x:c r="Z332" s="79" t="str">
        <x:f>IF(A332="","",Events!AD331)</x:f>
      </x:c>
      <x:c r="AA332" s="79" t="str">
        <x:f>IF(A332="","",Events!AE331)</x:f>
      </x:c>
    </x:row>
    <x:row r="333">
      <x:c r="A333" s="16" t="str">
        <x:f>IF(Events!A332="","",Events!A332)</x:f>
      </x:c>
      <x:c r="B333" s="16" t="str">
        <x:f>IF(A333="","",Events!B332)</x:f>
      </x:c>
      <x:c r="C333" s="16" t="str">
        <x:f>IF(A333="","",Events!E332)</x:f>
      </x:c>
      <x:c r="D333" s="16" t="str">
        <x:f>IF(A333="","",Events!J332)</x:f>
      </x:c>
      <x:c r="E333" s="16" t="str">
        <x:f>IF(A333="","",Events!N332)</x:f>
      </x:c>
      <x:c r="F333" s="109" t="str">
        <x:f>IF(OR(A333="",Events!H332=""),"",Events!H332)</x:f>
      </x:c>
      <x:c r="G333" s="109" t="str">
        <x:f>IF(A333="","",IF(Events!I332&lt;&gt;"",Events!I332,IF(Events!S332&lt;&gt;"",Events!S332,"")))</x:f>
      </x:c>
      <x:c r="H333" s="16" t="str">
        <x:f>IF(A333="","",Events!W332)</x:f>
      </x:c>
      <x:c r="I333" s="16" t="str">
        <x:f>IF(A333="","",IF(Events!Y332&lt;&gt;"",Events!Y332,IF(OR(ISNUMBER(SEARCH("education",P333)),ISNUMBER(SEARCH("exam",P333)),ISNUMBER(SEARCH("school",P333))),"Education",IF(OR(ISNUMBER(SEARCH("trade agreement",P333)),ISNUMBER(SEARCH("economic",P333)),ISNUMBER(SEARCH("import",P333))),"Trade &amp; economic policy",IF(OR(ISNUMBER(SEARCH("land acquisition",P333)),ISNUMBER(SEARCH("rehabilitation",P333)),ISNUMBER(SEARCH("displacement",P333)),ISNUMBER(SEARCH("township",P333))),"Land &amp; rehabilitation",IF(OR(ISNUMBER(SEARCH("forest",P333)),ISNUMBER(SEARCH("environment",P333)),ISNUMBER(SEARCH("ecological",P333)),ISNUMBER(SEARCH("biodiversity",P333)),ISNUMBER(SEARCH("green cover",P333))),"Environment",IF(OR(ISNUMBER(SEARCH("irrigation",P333)),ISNUMBER(SEARCH("water",P333)),ISNUMBER(SEARCH("crop",P333)),ISNUMBER(SEARCH("farmer",P333)),ISNUMBER(SEARCH("agriculture",P333))),"Agriculture &amp; water",IF(OR(ISNUMBER(SEARCH("health",P333)),ISNUMBER(SEARCH("hospital",P333)),ISNUMBER(SEARCH("medicine",P333))),"Public health",IF(OR(ISNUMBER(SEARCH("employee",P333)),ISNUMBER(SEARCH("labour",P333)),ISNUMBER(SEARCH("worker",P333)),ISNUMBER(SEARCH("salary",P333))),"Labour &amp; employment",IF(OR(ISNUMBER(SEARCH("rti",P333)),ISNUMBER(SEARCH("transparency",P333)),ISNUMBER(SEARCH("corruption",P333)),ISNUMBER(SEARCH("governance",P333))),"Governance &amp; transparency",IF(OR(ISNUMBER(SEARCH("police",P333)),ISNUMBER(SEARCH("detention",P333)),ISNUMBER(SEARCH("civil rights",P333)),ISNUMBER(SEARCH("justice",P333))),"Civil rights &amp; justice",IF(OR(ISNUMBER(SEARCH("road",P333)),ISNUMBER(SEARCH("utility",P333)),ISNUMBER(SEARCH("infrastructure",P333)),ISNUMBER(SEARCH("public service",P333))),"Infrastructure &amp; public services","Other"))))))))))))</x:f>
      </x:c>
      <x:c r="J333" s="16" t="str">
        <x:f>IF(A333="","",IF(OR(ISNUMBER(SEARCH("fatal",Q333)),ISNUMBER(SEARCH("death",Q333)),ISNUMBER(SEARCH("riot",Q333)),ISNUMBER(SEARCH("curfew",Q333)),ISNUMBER(SEARCH("internet shutdown",Q333))),5,MIN(4,1+IF(H333&gt;=7,1,0)+IF(OR(ISNUMBER(SEARCH("hunger strike",Q333)),ISNUMBER(SEARCH("blockade",Q333)),ISNUMBER(SEARCH("strike",Q333)),ISNUMBER(SEARCH("jal satyagraha",Q333)),ISNUMBER(SEARCH("survey",Q333)),ISNUMBER(SEARCH("human chain",Q333)),ISNUMBER(SEARCH("march",Q333))),1,0)+IF(OR(ISNUMBER(SEARCH("fir",Q333)),ISNUMBER(SEARCH("confrontation",Q333)),ISNUMBER(SEARCH("violence",Q333)),ISNUMBER(SEARCH("detention",Q333)),ISNUMBER(SEARCH("arrest",Q333)),ISNUMBER(SEARCH("demolition",Q333)),ISNUMBER(SEARCH("injury",Q333))),1,0)+IF(OR(D333="Ongoing",D333="Unresolved"),1,0))))</x:f>
      </x:c>
      <x:c r="K333" s="16" t="str">
        <x:f>IF(J333="","",IF(J333=1,"Limited",IF(J333=2,"Local",IF(J333=3,"Significant",IF(J333=4,"High","Critical")))))</x:f>
      </x:c>
      <x:c r="L333" s="16" t="str">
        <x:f>IF(A333="","",Events!U332)</x:f>
      </x:c>
      <x:c r="M333" s="16" t="str">
        <x:f>IF(A333="","",Events!V332)</x:f>
      </x:c>
      <x:c r="N333" s="16" t="str">
        <x:f>IF(A333="","",Events!Q332)</x:f>
      </x:c>
      <x:c r="O333" s="16" t="str">
        <x:f>IF(A333="","",Events!R332)</x:f>
      </x:c>
      <x:c r="P333" s="16" t="str">
        <x:f>IF(A333="","",LOWER(Events!B332&amp;" "&amp;Events!D332&amp;" "&amp;Events!K332))</x:f>
      </x:c>
      <x:c r="Q333" s="16" t="str">
        <x:f>IF(A333="","",LOWER(Events!C332&amp;" "&amp;Events!K332&amp;" "&amp;Events!T332))</x:f>
      </x:c>
      <x:c r="R333" s="16" t="str">
        <x:f>IF(A333="","",IF(ISNUMBER(SEARCH("Occurrence verified",E333)),"Occurrence verified",E333))</x:f>
      </x:c>
      <x:c r="S333" s="79" t="str">
        <x:f>IF(A333="","",Events!X332)</x:f>
      </x:c>
      <x:c r="Z333" s="79" t="str">
        <x:f>IF(A333="","",Events!AD332)</x:f>
      </x:c>
      <x:c r="AA333" s="79" t="str">
        <x:f>IF(A333="","",Events!AE332)</x:f>
      </x:c>
    </x:row>
    <x:row r="334">
      <x:c r="A334" s="16" t="str">
        <x:f>IF(Events!A333="","",Events!A333)</x:f>
      </x:c>
      <x:c r="B334" s="16" t="str">
        <x:f>IF(A334="","",Events!B333)</x:f>
      </x:c>
      <x:c r="C334" s="16" t="str">
        <x:f>IF(A334="","",Events!E333)</x:f>
      </x:c>
      <x:c r="D334" s="16" t="str">
        <x:f>IF(A334="","",Events!J333)</x:f>
      </x:c>
      <x:c r="E334" s="16" t="str">
        <x:f>IF(A334="","",Events!N333)</x:f>
      </x:c>
      <x:c r="F334" s="109" t="str">
        <x:f>IF(OR(A334="",Events!H333=""),"",Events!H333)</x:f>
      </x:c>
      <x:c r="G334" s="109" t="str">
        <x:f>IF(A334="","",IF(Events!I333&lt;&gt;"",Events!I333,IF(Events!S333&lt;&gt;"",Events!S333,"")))</x:f>
      </x:c>
      <x:c r="H334" s="16" t="str">
        <x:f>IF(A334="","",Events!W333)</x:f>
      </x:c>
      <x:c r="I334" s="16" t="str">
        <x:f>IF(A334="","",IF(Events!Y333&lt;&gt;"",Events!Y333,IF(OR(ISNUMBER(SEARCH("education",P334)),ISNUMBER(SEARCH("exam",P334)),ISNUMBER(SEARCH("school",P334))),"Education",IF(OR(ISNUMBER(SEARCH("trade agreement",P334)),ISNUMBER(SEARCH("economic",P334)),ISNUMBER(SEARCH("import",P334))),"Trade &amp; economic policy",IF(OR(ISNUMBER(SEARCH("land acquisition",P334)),ISNUMBER(SEARCH("rehabilitation",P334)),ISNUMBER(SEARCH("displacement",P334)),ISNUMBER(SEARCH("township",P334))),"Land &amp; rehabilitation",IF(OR(ISNUMBER(SEARCH("forest",P334)),ISNUMBER(SEARCH("environment",P334)),ISNUMBER(SEARCH("ecological",P334)),ISNUMBER(SEARCH("biodiversity",P334)),ISNUMBER(SEARCH("green cover",P334))),"Environment",IF(OR(ISNUMBER(SEARCH("irrigation",P334)),ISNUMBER(SEARCH("water",P334)),ISNUMBER(SEARCH("crop",P334)),ISNUMBER(SEARCH("farmer",P334)),ISNUMBER(SEARCH("agriculture",P334))),"Agriculture &amp; water",IF(OR(ISNUMBER(SEARCH("health",P334)),ISNUMBER(SEARCH("hospital",P334)),ISNUMBER(SEARCH("medicine",P334))),"Public health",IF(OR(ISNUMBER(SEARCH("employee",P334)),ISNUMBER(SEARCH("labour",P334)),ISNUMBER(SEARCH("worker",P334)),ISNUMBER(SEARCH("salary",P334))),"Labour &amp; employment",IF(OR(ISNUMBER(SEARCH("rti",P334)),ISNUMBER(SEARCH("transparency",P334)),ISNUMBER(SEARCH("corruption",P334)),ISNUMBER(SEARCH("governance",P334))),"Governance &amp; transparency",IF(OR(ISNUMBER(SEARCH("police",P334)),ISNUMBER(SEARCH("detention",P334)),ISNUMBER(SEARCH("civil rights",P334)),ISNUMBER(SEARCH("justice",P334))),"Civil rights &amp; justice",IF(OR(ISNUMBER(SEARCH("road",P334)),ISNUMBER(SEARCH("utility",P334)),ISNUMBER(SEARCH("infrastructure",P334)),ISNUMBER(SEARCH("public service",P334))),"Infrastructure &amp; public services","Other"))))))))))))</x:f>
      </x:c>
      <x:c r="J334" s="16" t="str">
        <x:f>IF(A334="","",IF(OR(ISNUMBER(SEARCH("fatal",Q334)),ISNUMBER(SEARCH("death",Q334)),ISNUMBER(SEARCH("riot",Q334)),ISNUMBER(SEARCH("curfew",Q334)),ISNUMBER(SEARCH("internet shutdown",Q334))),5,MIN(4,1+IF(H334&gt;=7,1,0)+IF(OR(ISNUMBER(SEARCH("hunger strike",Q334)),ISNUMBER(SEARCH("blockade",Q334)),ISNUMBER(SEARCH("strike",Q334)),ISNUMBER(SEARCH("jal satyagraha",Q334)),ISNUMBER(SEARCH("survey",Q334)),ISNUMBER(SEARCH("human chain",Q334)),ISNUMBER(SEARCH("march",Q334))),1,0)+IF(OR(ISNUMBER(SEARCH("fir",Q334)),ISNUMBER(SEARCH("confrontation",Q334)),ISNUMBER(SEARCH("violence",Q334)),ISNUMBER(SEARCH("detention",Q334)),ISNUMBER(SEARCH("arrest",Q334)),ISNUMBER(SEARCH("demolition",Q334)),ISNUMBER(SEARCH("injury",Q334))),1,0)+IF(OR(D334="Ongoing",D334="Unresolved"),1,0))))</x:f>
      </x:c>
      <x:c r="K334" s="16" t="str">
        <x:f>IF(J334="","",IF(J334=1,"Limited",IF(J334=2,"Local",IF(J334=3,"Significant",IF(J334=4,"High","Critical")))))</x:f>
      </x:c>
      <x:c r="L334" s="16" t="str">
        <x:f>IF(A334="","",Events!U333)</x:f>
      </x:c>
      <x:c r="M334" s="16" t="str">
        <x:f>IF(A334="","",Events!V333)</x:f>
      </x:c>
      <x:c r="N334" s="16" t="str">
        <x:f>IF(A334="","",Events!Q333)</x:f>
      </x:c>
      <x:c r="O334" s="16" t="str">
        <x:f>IF(A334="","",Events!R333)</x:f>
      </x:c>
      <x:c r="P334" s="16" t="str">
        <x:f>IF(A334="","",LOWER(Events!B333&amp;" "&amp;Events!D333&amp;" "&amp;Events!K333))</x:f>
      </x:c>
      <x:c r="Q334" s="16" t="str">
        <x:f>IF(A334="","",LOWER(Events!C333&amp;" "&amp;Events!K333&amp;" "&amp;Events!T333))</x:f>
      </x:c>
      <x:c r="R334" s="16" t="str">
        <x:f>IF(A334="","",IF(ISNUMBER(SEARCH("Occurrence verified",E334)),"Occurrence verified",E334))</x:f>
      </x:c>
      <x:c r="S334" s="79" t="str">
        <x:f>IF(A334="","",Events!X333)</x:f>
      </x:c>
      <x:c r="Z334" s="79" t="str">
        <x:f>IF(A334="","",Events!AD333)</x:f>
      </x:c>
      <x:c r="AA334" s="79" t="str">
        <x:f>IF(A334="","",Events!AE333)</x:f>
      </x:c>
    </x:row>
    <x:row r="335">
      <x:c r="A335" s="16" t="str">
        <x:f>IF(Events!A334="","",Events!A334)</x:f>
      </x:c>
      <x:c r="B335" s="16" t="str">
        <x:f>IF(A335="","",Events!B334)</x:f>
      </x:c>
      <x:c r="C335" s="16" t="str">
        <x:f>IF(A335="","",Events!E334)</x:f>
      </x:c>
      <x:c r="D335" s="16" t="str">
        <x:f>IF(A335="","",Events!J334)</x:f>
      </x:c>
      <x:c r="E335" s="16" t="str">
        <x:f>IF(A335="","",Events!N334)</x:f>
      </x:c>
      <x:c r="F335" s="109" t="str">
        <x:f>IF(OR(A335="",Events!H334=""),"",Events!H334)</x:f>
      </x:c>
      <x:c r="G335" s="109" t="str">
        <x:f>IF(A335="","",IF(Events!I334&lt;&gt;"",Events!I334,IF(Events!S334&lt;&gt;"",Events!S334,"")))</x:f>
      </x:c>
      <x:c r="H335" s="16" t="str">
        <x:f>IF(A335="","",Events!W334)</x:f>
      </x:c>
      <x:c r="I335" s="16" t="str">
        <x:f>IF(A335="","",IF(Events!Y334&lt;&gt;"",Events!Y334,IF(OR(ISNUMBER(SEARCH("education",P335)),ISNUMBER(SEARCH("exam",P335)),ISNUMBER(SEARCH("school",P335))),"Education",IF(OR(ISNUMBER(SEARCH("trade agreement",P335)),ISNUMBER(SEARCH("economic",P335)),ISNUMBER(SEARCH("import",P335))),"Trade &amp; economic policy",IF(OR(ISNUMBER(SEARCH("land acquisition",P335)),ISNUMBER(SEARCH("rehabilitation",P335)),ISNUMBER(SEARCH("displacement",P335)),ISNUMBER(SEARCH("township",P335))),"Land &amp; rehabilitation",IF(OR(ISNUMBER(SEARCH("forest",P335)),ISNUMBER(SEARCH("environment",P335)),ISNUMBER(SEARCH("ecological",P335)),ISNUMBER(SEARCH("biodiversity",P335)),ISNUMBER(SEARCH("green cover",P335))),"Environment",IF(OR(ISNUMBER(SEARCH("irrigation",P335)),ISNUMBER(SEARCH("water",P335)),ISNUMBER(SEARCH("crop",P335)),ISNUMBER(SEARCH("farmer",P335)),ISNUMBER(SEARCH("agriculture",P335))),"Agriculture &amp; water",IF(OR(ISNUMBER(SEARCH("health",P335)),ISNUMBER(SEARCH("hospital",P335)),ISNUMBER(SEARCH("medicine",P335))),"Public health",IF(OR(ISNUMBER(SEARCH("employee",P335)),ISNUMBER(SEARCH("labour",P335)),ISNUMBER(SEARCH("worker",P335)),ISNUMBER(SEARCH("salary",P335))),"Labour &amp; employment",IF(OR(ISNUMBER(SEARCH("rti",P335)),ISNUMBER(SEARCH("transparency",P335)),ISNUMBER(SEARCH("corruption",P335)),ISNUMBER(SEARCH("governance",P335))),"Governance &amp; transparency",IF(OR(ISNUMBER(SEARCH("police",P335)),ISNUMBER(SEARCH("detention",P335)),ISNUMBER(SEARCH("civil rights",P335)),ISNUMBER(SEARCH("justice",P335))),"Civil rights &amp; justice",IF(OR(ISNUMBER(SEARCH("road",P335)),ISNUMBER(SEARCH("utility",P335)),ISNUMBER(SEARCH("infrastructure",P335)),ISNUMBER(SEARCH("public service",P335))),"Infrastructure &amp; public services","Other"))))))))))))</x:f>
      </x:c>
      <x:c r="J335" s="16" t="str">
        <x:f>IF(A335="","",IF(OR(ISNUMBER(SEARCH("fatal",Q335)),ISNUMBER(SEARCH("death",Q335)),ISNUMBER(SEARCH("riot",Q335)),ISNUMBER(SEARCH("curfew",Q335)),ISNUMBER(SEARCH("internet shutdown",Q335))),5,MIN(4,1+IF(H335&gt;=7,1,0)+IF(OR(ISNUMBER(SEARCH("hunger strike",Q335)),ISNUMBER(SEARCH("blockade",Q335)),ISNUMBER(SEARCH("strike",Q335)),ISNUMBER(SEARCH("jal satyagraha",Q335)),ISNUMBER(SEARCH("survey",Q335)),ISNUMBER(SEARCH("human chain",Q335)),ISNUMBER(SEARCH("march",Q335))),1,0)+IF(OR(ISNUMBER(SEARCH("fir",Q335)),ISNUMBER(SEARCH("confrontation",Q335)),ISNUMBER(SEARCH("violence",Q335)),ISNUMBER(SEARCH("detention",Q335)),ISNUMBER(SEARCH("arrest",Q335)),ISNUMBER(SEARCH("demolition",Q335)),ISNUMBER(SEARCH("injury",Q335))),1,0)+IF(OR(D335="Ongoing",D335="Unresolved"),1,0))))</x:f>
      </x:c>
      <x:c r="K335" s="16" t="str">
        <x:f>IF(J335="","",IF(J335=1,"Limited",IF(J335=2,"Local",IF(J335=3,"Significant",IF(J335=4,"High","Critical")))))</x:f>
      </x:c>
      <x:c r="L335" s="16" t="str">
        <x:f>IF(A335="","",Events!U334)</x:f>
      </x:c>
      <x:c r="M335" s="16" t="str">
        <x:f>IF(A335="","",Events!V334)</x:f>
      </x:c>
      <x:c r="N335" s="16" t="str">
        <x:f>IF(A335="","",Events!Q334)</x:f>
      </x:c>
      <x:c r="O335" s="16" t="str">
        <x:f>IF(A335="","",Events!R334)</x:f>
      </x:c>
      <x:c r="P335" s="16" t="str">
        <x:f>IF(A335="","",LOWER(Events!B334&amp;" "&amp;Events!D334&amp;" "&amp;Events!K334))</x:f>
      </x:c>
      <x:c r="Q335" s="16" t="str">
        <x:f>IF(A335="","",LOWER(Events!C334&amp;" "&amp;Events!K334&amp;" "&amp;Events!T334))</x:f>
      </x:c>
      <x:c r="R335" s="16" t="str">
        <x:f>IF(A335="","",IF(ISNUMBER(SEARCH("Occurrence verified",E335)),"Occurrence verified",E335))</x:f>
      </x:c>
      <x:c r="S335" s="79" t="str">
        <x:f>IF(A335="","",Events!X334)</x:f>
      </x:c>
      <x:c r="Z335" s="79" t="str">
        <x:f>IF(A335="","",Events!AD334)</x:f>
      </x:c>
      <x:c r="AA335" s="79" t="str">
        <x:f>IF(A335="","",Events!AE334)</x:f>
      </x:c>
    </x:row>
    <x:row r="336">
      <x:c r="A336" s="16" t="str">
        <x:f>IF(Events!A335="","",Events!A335)</x:f>
      </x:c>
      <x:c r="B336" s="16" t="str">
        <x:f>IF(A336="","",Events!B335)</x:f>
      </x:c>
      <x:c r="C336" s="16" t="str">
        <x:f>IF(A336="","",Events!E335)</x:f>
      </x:c>
      <x:c r="D336" s="16" t="str">
        <x:f>IF(A336="","",Events!J335)</x:f>
      </x:c>
      <x:c r="E336" s="16" t="str">
        <x:f>IF(A336="","",Events!N335)</x:f>
      </x:c>
      <x:c r="F336" s="109" t="str">
        <x:f>IF(OR(A336="",Events!H335=""),"",Events!H335)</x:f>
      </x:c>
      <x:c r="G336" s="109" t="str">
        <x:f>IF(A336="","",IF(Events!I335&lt;&gt;"",Events!I335,IF(Events!S335&lt;&gt;"",Events!S335,"")))</x:f>
      </x:c>
      <x:c r="H336" s="16" t="str">
        <x:f>IF(A336="","",Events!W335)</x:f>
      </x:c>
      <x:c r="I336" s="16" t="str">
        <x:f>IF(A336="","",IF(Events!Y335&lt;&gt;"",Events!Y335,IF(OR(ISNUMBER(SEARCH("education",P336)),ISNUMBER(SEARCH("exam",P336)),ISNUMBER(SEARCH("school",P336))),"Education",IF(OR(ISNUMBER(SEARCH("trade agreement",P336)),ISNUMBER(SEARCH("economic",P336)),ISNUMBER(SEARCH("import",P336))),"Trade &amp; economic policy",IF(OR(ISNUMBER(SEARCH("land acquisition",P336)),ISNUMBER(SEARCH("rehabilitation",P336)),ISNUMBER(SEARCH("displacement",P336)),ISNUMBER(SEARCH("township",P336))),"Land &amp; rehabilitation",IF(OR(ISNUMBER(SEARCH("forest",P336)),ISNUMBER(SEARCH("environment",P336)),ISNUMBER(SEARCH("ecological",P336)),ISNUMBER(SEARCH("biodiversity",P336)),ISNUMBER(SEARCH("green cover",P336))),"Environment",IF(OR(ISNUMBER(SEARCH("irrigation",P336)),ISNUMBER(SEARCH("water",P336)),ISNUMBER(SEARCH("crop",P336)),ISNUMBER(SEARCH("farmer",P336)),ISNUMBER(SEARCH("agriculture",P336))),"Agriculture &amp; water",IF(OR(ISNUMBER(SEARCH("health",P336)),ISNUMBER(SEARCH("hospital",P336)),ISNUMBER(SEARCH("medicine",P336))),"Public health",IF(OR(ISNUMBER(SEARCH("employee",P336)),ISNUMBER(SEARCH("labour",P336)),ISNUMBER(SEARCH("worker",P336)),ISNUMBER(SEARCH("salary",P336))),"Labour &amp; employment",IF(OR(ISNUMBER(SEARCH("rti",P336)),ISNUMBER(SEARCH("transparency",P336)),ISNUMBER(SEARCH("corruption",P336)),ISNUMBER(SEARCH("governance",P336))),"Governance &amp; transparency",IF(OR(ISNUMBER(SEARCH("police",P336)),ISNUMBER(SEARCH("detention",P336)),ISNUMBER(SEARCH("civil rights",P336)),ISNUMBER(SEARCH("justice",P336))),"Civil rights &amp; justice",IF(OR(ISNUMBER(SEARCH("road",P336)),ISNUMBER(SEARCH("utility",P336)),ISNUMBER(SEARCH("infrastructure",P336)),ISNUMBER(SEARCH("public service",P336))),"Infrastructure &amp; public services","Other"))))))))))))</x:f>
      </x:c>
      <x:c r="J336" s="16" t="str">
        <x:f>IF(A336="","",IF(OR(ISNUMBER(SEARCH("fatal",Q336)),ISNUMBER(SEARCH("death",Q336)),ISNUMBER(SEARCH("riot",Q336)),ISNUMBER(SEARCH("curfew",Q336)),ISNUMBER(SEARCH("internet shutdown",Q336))),5,MIN(4,1+IF(H336&gt;=7,1,0)+IF(OR(ISNUMBER(SEARCH("hunger strike",Q336)),ISNUMBER(SEARCH("blockade",Q336)),ISNUMBER(SEARCH("strike",Q336)),ISNUMBER(SEARCH("jal satyagraha",Q336)),ISNUMBER(SEARCH("survey",Q336)),ISNUMBER(SEARCH("human chain",Q336)),ISNUMBER(SEARCH("march",Q336))),1,0)+IF(OR(ISNUMBER(SEARCH("fir",Q336)),ISNUMBER(SEARCH("confrontation",Q336)),ISNUMBER(SEARCH("violence",Q336)),ISNUMBER(SEARCH("detention",Q336)),ISNUMBER(SEARCH("arrest",Q336)),ISNUMBER(SEARCH("demolition",Q336)),ISNUMBER(SEARCH("injury",Q336))),1,0)+IF(OR(D336="Ongoing",D336="Unresolved"),1,0))))</x:f>
      </x:c>
      <x:c r="K336" s="16" t="str">
        <x:f>IF(J336="","",IF(J336=1,"Limited",IF(J336=2,"Local",IF(J336=3,"Significant",IF(J336=4,"High","Critical")))))</x:f>
      </x:c>
      <x:c r="L336" s="16" t="str">
        <x:f>IF(A336="","",Events!U335)</x:f>
      </x:c>
      <x:c r="M336" s="16" t="str">
        <x:f>IF(A336="","",Events!V335)</x:f>
      </x:c>
      <x:c r="N336" s="16" t="str">
        <x:f>IF(A336="","",Events!Q335)</x:f>
      </x:c>
      <x:c r="O336" s="16" t="str">
        <x:f>IF(A336="","",Events!R335)</x:f>
      </x:c>
      <x:c r="P336" s="16" t="str">
        <x:f>IF(A336="","",LOWER(Events!B335&amp;" "&amp;Events!D335&amp;" "&amp;Events!K335))</x:f>
      </x:c>
      <x:c r="Q336" s="16" t="str">
        <x:f>IF(A336="","",LOWER(Events!C335&amp;" "&amp;Events!K335&amp;" "&amp;Events!T335))</x:f>
      </x:c>
      <x:c r="R336" s="16" t="str">
        <x:f>IF(A336="","",IF(ISNUMBER(SEARCH("Occurrence verified",E336)),"Occurrence verified",E336))</x:f>
      </x:c>
      <x:c r="S336" s="79" t="str">
        <x:f>IF(A336="","",Events!X335)</x:f>
      </x:c>
      <x:c r="Z336" s="79" t="str">
        <x:f>IF(A336="","",Events!AD335)</x:f>
      </x:c>
      <x:c r="AA336" s="79" t="str">
        <x:f>IF(A336="","",Events!AE335)</x:f>
      </x:c>
    </x:row>
    <x:row r="337">
      <x:c r="A337" s="16" t="str">
        <x:f>IF(Events!A336="","",Events!A336)</x:f>
      </x:c>
      <x:c r="B337" s="16" t="str">
        <x:f>IF(A337="","",Events!B336)</x:f>
      </x:c>
      <x:c r="C337" s="16" t="str">
        <x:f>IF(A337="","",Events!E336)</x:f>
      </x:c>
      <x:c r="D337" s="16" t="str">
        <x:f>IF(A337="","",Events!J336)</x:f>
      </x:c>
      <x:c r="E337" s="16" t="str">
        <x:f>IF(A337="","",Events!N336)</x:f>
      </x:c>
      <x:c r="F337" s="109" t="str">
        <x:f>IF(OR(A337="",Events!H336=""),"",Events!H336)</x:f>
      </x:c>
      <x:c r="G337" s="109" t="str">
        <x:f>IF(A337="","",IF(Events!I336&lt;&gt;"",Events!I336,IF(Events!S336&lt;&gt;"",Events!S336,"")))</x:f>
      </x:c>
      <x:c r="H337" s="16" t="str">
        <x:f>IF(A337="","",Events!W336)</x:f>
      </x:c>
      <x:c r="I337" s="16" t="str">
        <x:f>IF(A337="","",IF(Events!Y336&lt;&gt;"",Events!Y336,IF(OR(ISNUMBER(SEARCH("education",P337)),ISNUMBER(SEARCH("exam",P337)),ISNUMBER(SEARCH("school",P337))),"Education",IF(OR(ISNUMBER(SEARCH("trade agreement",P337)),ISNUMBER(SEARCH("economic",P337)),ISNUMBER(SEARCH("import",P337))),"Trade &amp; economic policy",IF(OR(ISNUMBER(SEARCH("land acquisition",P337)),ISNUMBER(SEARCH("rehabilitation",P337)),ISNUMBER(SEARCH("displacement",P337)),ISNUMBER(SEARCH("township",P337))),"Land &amp; rehabilitation",IF(OR(ISNUMBER(SEARCH("forest",P337)),ISNUMBER(SEARCH("environment",P337)),ISNUMBER(SEARCH("ecological",P337)),ISNUMBER(SEARCH("biodiversity",P337)),ISNUMBER(SEARCH("green cover",P337))),"Environment",IF(OR(ISNUMBER(SEARCH("irrigation",P337)),ISNUMBER(SEARCH("water",P337)),ISNUMBER(SEARCH("crop",P337)),ISNUMBER(SEARCH("farmer",P337)),ISNUMBER(SEARCH("agriculture",P337))),"Agriculture &amp; water",IF(OR(ISNUMBER(SEARCH("health",P337)),ISNUMBER(SEARCH("hospital",P337)),ISNUMBER(SEARCH("medicine",P337))),"Public health",IF(OR(ISNUMBER(SEARCH("employee",P337)),ISNUMBER(SEARCH("labour",P337)),ISNUMBER(SEARCH("worker",P337)),ISNUMBER(SEARCH("salary",P337))),"Labour &amp; employment",IF(OR(ISNUMBER(SEARCH("rti",P337)),ISNUMBER(SEARCH("transparency",P337)),ISNUMBER(SEARCH("corruption",P337)),ISNUMBER(SEARCH("governance",P337))),"Governance &amp; transparency",IF(OR(ISNUMBER(SEARCH("police",P337)),ISNUMBER(SEARCH("detention",P337)),ISNUMBER(SEARCH("civil rights",P337)),ISNUMBER(SEARCH("justice",P337))),"Civil rights &amp; justice",IF(OR(ISNUMBER(SEARCH("road",P337)),ISNUMBER(SEARCH("utility",P337)),ISNUMBER(SEARCH("infrastructure",P337)),ISNUMBER(SEARCH("public service",P337))),"Infrastructure &amp; public services","Other"))))))))))))</x:f>
      </x:c>
      <x:c r="J337" s="16" t="str">
        <x:f>IF(A337="","",IF(OR(ISNUMBER(SEARCH("fatal",Q337)),ISNUMBER(SEARCH("death",Q337)),ISNUMBER(SEARCH("riot",Q337)),ISNUMBER(SEARCH("curfew",Q337)),ISNUMBER(SEARCH("internet shutdown",Q337))),5,MIN(4,1+IF(H337&gt;=7,1,0)+IF(OR(ISNUMBER(SEARCH("hunger strike",Q337)),ISNUMBER(SEARCH("blockade",Q337)),ISNUMBER(SEARCH("strike",Q337)),ISNUMBER(SEARCH("jal satyagraha",Q337)),ISNUMBER(SEARCH("survey",Q337)),ISNUMBER(SEARCH("human chain",Q337)),ISNUMBER(SEARCH("march",Q337))),1,0)+IF(OR(ISNUMBER(SEARCH("fir",Q337)),ISNUMBER(SEARCH("confrontation",Q337)),ISNUMBER(SEARCH("violence",Q337)),ISNUMBER(SEARCH("detention",Q337)),ISNUMBER(SEARCH("arrest",Q337)),ISNUMBER(SEARCH("demolition",Q337)),ISNUMBER(SEARCH("injury",Q337))),1,0)+IF(OR(D337="Ongoing",D337="Unresolved"),1,0))))</x:f>
      </x:c>
      <x:c r="K337" s="16" t="str">
        <x:f>IF(J337="","",IF(J337=1,"Limited",IF(J337=2,"Local",IF(J337=3,"Significant",IF(J337=4,"High","Critical")))))</x:f>
      </x:c>
      <x:c r="L337" s="16" t="str">
        <x:f>IF(A337="","",Events!U336)</x:f>
      </x:c>
      <x:c r="M337" s="16" t="str">
        <x:f>IF(A337="","",Events!V336)</x:f>
      </x:c>
      <x:c r="N337" s="16" t="str">
        <x:f>IF(A337="","",Events!Q336)</x:f>
      </x:c>
      <x:c r="O337" s="16" t="str">
        <x:f>IF(A337="","",Events!R336)</x:f>
      </x:c>
      <x:c r="P337" s="16" t="str">
        <x:f>IF(A337="","",LOWER(Events!B336&amp;" "&amp;Events!D336&amp;" "&amp;Events!K336))</x:f>
      </x:c>
      <x:c r="Q337" s="16" t="str">
        <x:f>IF(A337="","",LOWER(Events!C336&amp;" "&amp;Events!K336&amp;" "&amp;Events!T336))</x:f>
      </x:c>
      <x:c r="R337" s="16" t="str">
        <x:f>IF(A337="","",IF(ISNUMBER(SEARCH("Occurrence verified",E337)),"Occurrence verified",E337))</x:f>
      </x:c>
      <x:c r="S337" s="79" t="str">
        <x:f>IF(A337="","",Events!X336)</x:f>
      </x:c>
      <x:c r="Z337" s="79" t="str">
        <x:f>IF(A337="","",Events!AD336)</x:f>
      </x:c>
      <x:c r="AA337" s="79" t="str">
        <x:f>IF(A337="","",Events!AE336)</x:f>
      </x:c>
    </x:row>
    <x:row r="338">
      <x:c r="A338" s="16" t="str">
        <x:f>IF(Events!A337="","",Events!A337)</x:f>
      </x:c>
      <x:c r="B338" s="16" t="str">
        <x:f>IF(A338="","",Events!B337)</x:f>
      </x:c>
      <x:c r="C338" s="16" t="str">
        <x:f>IF(A338="","",Events!E337)</x:f>
      </x:c>
      <x:c r="D338" s="16" t="str">
        <x:f>IF(A338="","",Events!J337)</x:f>
      </x:c>
      <x:c r="E338" s="16" t="str">
        <x:f>IF(A338="","",Events!N337)</x:f>
      </x:c>
      <x:c r="F338" s="109" t="str">
        <x:f>IF(OR(A338="",Events!H337=""),"",Events!H337)</x:f>
      </x:c>
      <x:c r="G338" s="109" t="str">
        <x:f>IF(A338="","",IF(Events!I337&lt;&gt;"",Events!I337,IF(Events!S337&lt;&gt;"",Events!S337,"")))</x:f>
      </x:c>
      <x:c r="H338" s="16" t="str">
        <x:f>IF(A338="","",Events!W337)</x:f>
      </x:c>
      <x:c r="I338" s="16" t="str">
        <x:f>IF(A338="","",IF(Events!Y337&lt;&gt;"",Events!Y337,IF(OR(ISNUMBER(SEARCH("education",P338)),ISNUMBER(SEARCH("exam",P338)),ISNUMBER(SEARCH("school",P338))),"Education",IF(OR(ISNUMBER(SEARCH("trade agreement",P338)),ISNUMBER(SEARCH("economic",P338)),ISNUMBER(SEARCH("import",P338))),"Trade &amp; economic policy",IF(OR(ISNUMBER(SEARCH("land acquisition",P338)),ISNUMBER(SEARCH("rehabilitation",P338)),ISNUMBER(SEARCH("displacement",P338)),ISNUMBER(SEARCH("township",P338))),"Land &amp; rehabilitation",IF(OR(ISNUMBER(SEARCH("forest",P338)),ISNUMBER(SEARCH("environment",P338)),ISNUMBER(SEARCH("ecological",P338)),ISNUMBER(SEARCH("biodiversity",P338)),ISNUMBER(SEARCH("green cover",P338))),"Environment",IF(OR(ISNUMBER(SEARCH("irrigation",P338)),ISNUMBER(SEARCH("water",P338)),ISNUMBER(SEARCH("crop",P338)),ISNUMBER(SEARCH("farmer",P338)),ISNUMBER(SEARCH("agriculture",P338))),"Agriculture &amp; water",IF(OR(ISNUMBER(SEARCH("health",P338)),ISNUMBER(SEARCH("hospital",P338)),ISNUMBER(SEARCH("medicine",P338))),"Public health",IF(OR(ISNUMBER(SEARCH("employee",P338)),ISNUMBER(SEARCH("labour",P338)),ISNUMBER(SEARCH("worker",P338)),ISNUMBER(SEARCH("salary",P338))),"Labour &amp; employment",IF(OR(ISNUMBER(SEARCH("rti",P338)),ISNUMBER(SEARCH("transparency",P338)),ISNUMBER(SEARCH("corruption",P338)),ISNUMBER(SEARCH("governance",P338))),"Governance &amp; transparency",IF(OR(ISNUMBER(SEARCH("police",P338)),ISNUMBER(SEARCH("detention",P338)),ISNUMBER(SEARCH("civil rights",P338)),ISNUMBER(SEARCH("justice",P338))),"Civil rights &amp; justice",IF(OR(ISNUMBER(SEARCH("road",P338)),ISNUMBER(SEARCH("utility",P338)),ISNUMBER(SEARCH("infrastructure",P338)),ISNUMBER(SEARCH("public service",P338))),"Infrastructure &amp; public services","Other"))))))))))))</x:f>
      </x:c>
      <x:c r="J338" s="16" t="str">
        <x:f>IF(A338="","",IF(OR(ISNUMBER(SEARCH("fatal",Q338)),ISNUMBER(SEARCH("death",Q338)),ISNUMBER(SEARCH("riot",Q338)),ISNUMBER(SEARCH("curfew",Q338)),ISNUMBER(SEARCH("internet shutdown",Q338))),5,MIN(4,1+IF(H338&gt;=7,1,0)+IF(OR(ISNUMBER(SEARCH("hunger strike",Q338)),ISNUMBER(SEARCH("blockade",Q338)),ISNUMBER(SEARCH("strike",Q338)),ISNUMBER(SEARCH("jal satyagraha",Q338)),ISNUMBER(SEARCH("survey",Q338)),ISNUMBER(SEARCH("human chain",Q338)),ISNUMBER(SEARCH("march",Q338))),1,0)+IF(OR(ISNUMBER(SEARCH("fir",Q338)),ISNUMBER(SEARCH("confrontation",Q338)),ISNUMBER(SEARCH("violence",Q338)),ISNUMBER(SEARCH("detention",Q338)),ISNUMBER(SEARCH("arrest",Q338)),ISNUMBER(SEARCH("demolition",Q338)),ISNUMBER(SEARCH("injury",Q338))),1,0)+IF(OR(D338="Ongoing",D338="Unresolved"),1,0))))</x:f>
      </x:c>
      <x:c r="K338" s="16" t="str">
        <x:f>IF(J338="","",IF(J338=1,"Limited",IF(J338=2,"Local",IF(J338=3,"Significant",IF(J338=4,"High","Critical")))))</x:f>
      </x:c>
      <x:c r="L338" s="16" t="str">
        <x:f>IF(A338="","",Events!U337)</x:f>
      </x:c>
      <x:c r="M338" s="16" t="str">
        <x:f>IF(A338="","",Events!V337)</x:f>
      </x:c>
      <x:c r="N338" s="16" t="str">
        <x:f>IF(A338="","",Events!Q337)</x:f>
      </x:c>
      <x:c r="O338" s="16" t="str">
        <x:f>IF(A338="","",Events!R337)</x:f>
      </x:c>
      <x:c r="P338" s="16" t="str">
        <x:f>IF(A338="","",LOWER(Events!B337&amp;" "&amp;Events!D337&amp;" "&amp;Events!K337))</x:f>
      </x:c>
      <x:c r="Q338" s="16" t="str">
        <x:f>IF(A338="","",LOWER(Events!C337&amp;" "&amp;Events!K337&amp;" "&amp;Events!T337))</x:f>
      </x:c>
      <x:c r="R338" s="16" t="str">
        <x:f>IF(A338="","",IF(ISNUMBER(SEARCH("Occurrence verified",E338)),"Occurrence verified",E338))</x:f>
      </x:c>
      <x:c r="S338" s="79" t="str">
        <x:f>IF(A338="","",Events!X337)</x:f>
      </x:c>
      <x:c r="Z338" s="79" t="str">
        <x:f>IF(A338="","",Events!AD337)</x:f>
      </x:c>
      <x:c r="AA338" s="79" t="str">
        <x:f>IF(A338="","",Events!AE337)</x:f>
      </x:c>
    </x:row>
    <x:row r="339">
      <x:c r="A339" s="16" t="str">
        <x:f>IF(Events!A338="","",Events!A338)</x:f>
      </x:c>
      <x:c r="B339" s="16" t="str">
        <x:f>IF(A339="","",Events!B338)</x:f>
      </x:c>
      <x:c r="C339" s="16" t="str">
        <x:f>IF(A339="","",Events!E338)</x:f>
      </x:c>
      <x:c r="D339" s="16" t="str">
        <x:f>IF(A339="","",Events!J338)</x:f>
      </x:c>
      <x:c r="E339" s="16" t="str">
        <x:f>IF(A339="","",Events!N338)</x:f>
      </x:c>
      <x:c r="F339" s="109" t="str">
        <x:f>IF(OR(A339="",Events!H338=""),"",Events!H338)</x:f>
      </x:c>
      <x:c r="G339" s="109" t="str">
        <x:f>IF(A339="","",IF(Events!I338&lt;&gt;"",Events!I338,IF(Events!S338&lt;&gt;"",Events!S338,"")))</x:f>
      </x:c>
      <x:c r="H339" s="16" t="str">
        <x:f>IF(A339="","",Events!W338)</x:f>
      </x:c>
      <x:c r="I339" s="16" t="str">
        <x:f>IF(A339="","",IF(Events!Y338&lt;&gt;"",Events!Y338,IF(OR(ISNUMBER(SEARCH("education",P339)),ISNUMBER(SEARCH("exam",P339)),ISNUMBER(SEARCH("school",P339))),"Education",IF(OR(ISNUMBER(SEARCH("trade agreement",P339)),ISNUMBER(SEARCH("economic",P339)),ISNUMBER(SEARCH("import",P339))),"Trade &amp; economic policy",IF(OR(ISNUMBER(SEARCH("land acquisition",P339)),ISNUMBER(SEARCH("rehabilitation",P339)),ISNUMBER(SEARCH("displacement",P339)),ISNUMBER(SEARCH("township",P339))),"Land &amp; rehabilitation",IF(OR(ISNUMBER(SEARCH("forest",P339)),ISNUMBER(SEARCH("environment",P339)),ISNUMBER(SEARCH("ecological",P339)),ISNUMBER(SEARCH("biodiversity",P339)),ISNUMBER(SEARCH("green cover",P339))),"Environment",IF(OR(ISNUMBER(SEARCH("irrigation",P339)),ISNUMBER(SEARCH("water",P339)),ISNUMBER(SEARCH("crop",P339)),ISNUMBER(SEARCH("farmer",P339)),ISNUMBER(SEARCH("agriculture",P339))),"Agriculture &amp; water",IF(OR(ISNUMBER(SEARCH("health",P339)),ISNUMBER(SEARCH("hospital",P339)),ISNUMBER(SEARCH("medicine",P339))),"Public health",IF(OR(ISNUMBER(SEARCH("employee",P339)),ISNUMBER(SEARCH("labour",P339)),ISNUMBER(SEARCH("worker",P339)),ISNUMBER(SEARCH("salary",P339))),"Labour &amp; employment",IF(OR(ISNUMBER(SEARCH("rti",P339)),ISNUMBER(SEARCH("transparency",P339)),ISNUMBER(SEARCH("corruption",P339)),ISNUMBER(SEARCH("governance",P339))),"Governance &amp; transparency",IF(OR(ISNUMBER(SEARCH("police",P339)),ISNUMBER(SEARCH("detention",P339)),ISNUMBER(SEARCH("civil rights",P339)),ISNUMBER(SEARCH("justice",P339))),"Civil rights &amp; justice",IF(OR(ISNUMBER(SEARCH("road",P339)),ISNUMBER(SEARCH("utility",P339)),ISNUMBER(SEARCH("infrastructure",P339)),ISNUMBER(SEARCH("public service",P339))),"Infrastructure &amp; public services","Other"))))))))))))</x:f>
      </x:c>
      <x:c r="J339" s="16" t="str">
        <x:f>IF(A339="","",IF(OR(ISNUMBER(SEARCH("fatal",Q339)),ISNUMBER(SEARCH("death",Q339)),ISNUMBER(SEARCH("riot",Q339)),ISNUMBER(SEARCH("curfew",Q339)),ISNUMBER(SEARCH("internet shutdown",Q339))),5,MIN(4,1+IF(H339&gt;=7,1,0)+IF(OR(ISNUMBER(SEARCH("hunger strike",Q339)),ISNUMBER(SEARCH("blockade",Q339)),ISNUMBER(SEARCH("strike",Q339)),ISNUMBER(SEARCH("jal satyagraha",Q339)),ISNUMBER(SEARCH("survey",Q339)),ISNUMBER(SEARCH("human chain",Q339)),ISNUMBER(SEARCH("march",Q339))),1,0)+IF(OR(ISNUMBER(SEARCH("fir",Q339)),ISNUMBER(SEARCH("confrontation",Q339)),ISNUMBER(SEARCH("violence",Q339)),ISNUMBER(SEARCH("detention",Q339)),ISNUMBER(SEARCH("arrest",Q339)),ISNUMBER(SEARCH("demolition",Q339)),ISNUMBER(SEARCH("injury",Q339))),1,0)+IF(OR(D339="Ongoing",D339="Unresolved"),1,0))))</x:f>
      </x:c>
      <x:c r="K339" s="16" t="str">
        <x:f>IF(J339="","",IF(J339=1,"Limited",IF(J339=2,"Local",IF(J339=3,"Significant",IF(J339=4,"High","Critical")))))</x:f>
      </x:c>
      <x:c r="L339" s="16" t="str">
        <x:f>IF(A339="","",Events!U338)</x:f>
      </x:c>
      <x:c r="M339" s="16" t="str">
        <x:f>IF(A339="","",Events!V338)</x:f>
      </x:c>
      <x:c r="N339" s="16" t="str">
        <x:f>IF(A339="","",Events!Q338)</x:f>
      </x:c>
      <x:c r="O339" s="16" t="str">
        <x:f>IF(A339="","",Events!R338)</x:f>
      </x:c>
      <x:c r="P339" s="16" t="str">
        <x:f>IF(A339="","",LOWER(Events!B338&amp;" "&amp;Events!D338&amp;" "&amp;Events!K338))</x:f>
      </x:c>
      <x:c r="Q339" s="16" t="str">
        <x:f>IF(A339="","",LOWER(Events!C338&amp;" "&amp;Events!K338&amp;" "&amp;Events!T338))</x:f>
      </x:c>
      <x:c r="R339" s="16" t="str">
        <x:f>IF(A339="","",IF(ISNUMBER(SEARCH("Occurrence verified",E339)),"Occurrence verified",E339))</x:f>
      </x:c>
      <x:c r="S339" s="79" t="str">
        <x:f>IF(A339="","",Events!X338)</x:f>
      </x:c>
      <x:c r="Z339" s="79" t="str">
        <x:f>IF(A339="","",Events!AD338)</x:f>
      </x:c>
      <x:c r="AA339" s="79" t="str">
        <x:f>IF(A339="","",Events!AE338)</x:f>
      </x:c>
    </x:row>
    <x:row r="340">
      <x:c r="A340" s="16" t="str">
        <x:f>IF(Events!A339="","",Events!A339)</x:f>
      </x:c>
      <x:c r="B340" s="16" t="str">
        <x:f>IF(A340="","",Events!B339)</x:f>
      </x:c>
      <x:c r="C340" s="16" t="str">
        <x:f>IF(A340="","",Events!E339)</x:f>
      </x:c>
      <x:c r="D340" s="16" t="str">
        <x:f>IF(A340="","",Events!J339)</x:f>
      </x:c>
      <x:c r="E340" s="16" t="str">
        <x:f>IF(A340="","",Events!N339)</x:f>
      </x:c>
      <x:c r="F340" s="109" t="str">
        <x:f>IF(OR(A340="",Events!H339=""),"",Events!H339)</x:f>
      </x:c>
      <x:c r="G340" s="109" t="str">
        <x:f>IF(A340="","",IF(Events!I339&lt;&gt;"",Events!I339,IF(Events!S339&lt;&gt;"",Events!S339,"")))</x:f>
      </x:c>
      <x:c r="H340" s="16" t="str">
        <x:f>IF(A340="","",Events!W339)</x:f>
      </x:c>
      <x:c r="I340" s="16" t="str">
        <x:f>IF(A340="","",IF(Events!Y339&lt;&gt;"",Events!Y339,IF(OR(ISNUMBER(SEARCH("education",P340)),ISNUMBER(SEARCH("exam",P340)),ISNUMBER(SEARCH("school",P340))),"Education",IF(OR(ISNUMBER(SEARCH("trade agreement",P340)),ISNUMBER(SEARCH("economic",P340)),ISNUMBER(SEARCH("import",P340))),"Trade &amp; economic policy",IF(OR(ISNUMBER(SEARCH("land acquisition",P340)),ISNUMBER(SEARCH("rehabilitation",P340)),ISNUMBER(SEARCH("displacement",P340)),ISNUMBER(SEARCH("township",P340))),"Land &amp; rehabilitation",IF(OR(ISNUMBER(SEARCH("forest",P340)),ISNUMBER(SEARCH("environment",P340)),ISNUMBER(SEARCH("ecological",P340)),ISNUMBER(SEARCH("biodiversity",P340)),ISNUMBER(SEARCH("green cover",P340))),"Environment",IF(OR(ISNUMBER(SEARCH("irrigation",P340)),ISNUMBER(SEARCH("water",P340)),ISNUMBER(SEARCH("crop",P340)),ISNUMBER(SEARCH("farmer",P340)),ISNUMBER(SEARCH("agriculture",P340))),"Agriculture &amp; water",IF(OR(ISNUMBER(SEARCH("health",P340)),ISNUMBER(SEARCH("hospital",P340)),ISNUMBER(SEARCH("medicine",P340))),"Public health",IF(OR(ISNUMBER(SEARCH("employee",P340)),ISNUMBER(SEARCH("labour",P340)),ISNUMBER(SEARCH("worker",P340)),ISNUMBER(SEARCH("salary",P340))),"Labour &amp; employment",IF(OR(ISNUMBER(SEARCH("rti",P340)),ISNUMBER(SEARCH("transparency",P340)),ISNUMBER(SEARCH("corruption",P340)),ISNUMBER(SEARCH("governance",P340))),"Governance &amp; transparency",IF(OR(ISNUMBER(SEARCH("police",P340)),ISNUMBER(SEARCH("detention",P340)),ISNUMBER(SEARCH("civil rights",P340)),ISNUMBER(SEARCH("justice",P340))),"Civil rights &amp; justice",IF(OR(ISNUMBER(SEARCH("road",P340)),ISNUMBER(SEARCH("utility",P340)),ISNUMBER(SEARCH("infrastructure",P340)),ISNUMBER(SEARCH("public service",P340))),"Infrastructure &amp; public services","Other"))))))))))))</x:f>
      </x:c>
      <x:c r="J340" s="16" t="str">
        <x:f>IF(A340="","",IF(OR(ISNUMBER(SEARCH("fatal",Q340)),ISNUMBER(SEARCH("death",Q340)),ISNUMBER(SEARCH("riot",Q340)),ISNUMBER(SEARCH("curfew",Q340)),ISNUMBER(SEARCH("internet shutdown",Q340))),5,MIN(4,1+IF(H340&gt;=7,1,0)+IF(OR(ISNUMBER(SEARCH("hunger strike",Q340)),ISNUMBER(SEARCH("blockade",Q340)),ISNUMBER(SEARCH("strike",Q340)),ISNUMBER(SEARCH("jal satyagraha",Q340)),ISNUMBER(SEARCH("survey",Q340)),ISNUMBER(SEARCH("human chain",Q340)),ISNUMBER(SEARCH("march",Q340))),1,0)+IF(OR(ISNUMBER(SEARCH("fir",Q340)),ISNUMBER(SEARCH("confrontation",Q340)),ISNUMBER(SEARCH("violence",Q340)),ISNUMBER(SEARCH("detention",Q340)),ISNUMBER(SEARCH("arrest",Q340)),ISNUMBER(SEARCH("demolition",Q340)),ISNUMBER(SEARCH("injury",Q340))),1,0)+IF(OR(D340="Ongoing",D340="Unresolved"),1,0))))</x:f>
      </x:c>
      <x:c r="K340" s="16" t="str">
        <x:f>IF(J340="","",IF(J340=1,"Limited",IF(J340=2,"Local",IF(J340=3,"Significant",IF(J340=4,"High","Critical")))))</x:f>
      </x:c>
      <x:c r="L340" s="16" t="str">
        <x:f>IF(A340="","",Events!U339)</x:f>
      </x:c>
      <x:c r="M340" s="16" t="str">
        <x:f>IF(A340="","",Events!V339)</x:f>
      </x:c>
      <x:c r="N340" s="16" t="str">
        <x:f>IF(A340="","",Events!Q339)</x:f>
      </x:c>
      <x:c r="O340" s="16" t="str">
        <x:f>IF(A340="","",Events!R339)</x:f>
      </x:c>
      <x:c r="P340" s="16" t="str">
        <x:f>IF(A340="","",LOWER(Events!B339&amp;" "&amp;Events!D339&amp;" "&amp;Events!K339))</x:f>
      </x:c>
      <x:c r="Q340" s="16" t="str">
        <x:f>IF(A340="","",LOWER(Events!C339&amp;" "&amp;Events!K339&amp;" "&amp;Events!T339))</x:f>
      </x:c>
      <x:c r="R340" s="16" t="str">
        <x:f>IF(A340="","",IF(ISNUMBER(SEARCH("Occurrence verified",E340)),"Occurrence verified",E340))</x:f>
      </x:c>
      <x:c r="S340" s="79" t="str">
        <x:f>IF(A340="","",Events!X339)</x:f>
      </x:c>
      <x:c r="Z340" s="79" t="str">
        <x:f>IF(A340="","",Events!AD339)</x:f>
      </x:c>
      <x:c r="AA340" s="79" t="str">
        <x:f>IF(A340="","",Events!AE339)</x:f>
      </x:c>
    </x:row>
    <x:row r="341">
      <x:c r="A341" s="16" t="str">
        <x:f>IF(Events!A340="","",Events!A340)</x:f>
      </x:c>
      <x:c r="B341" s="16" t="str">
        <x:f>IF(A341="","",Events!B340)</x:f>
      </x:c>
      <x:c r="C341" s="16" t="str">
        <x:f>IF(A341="","",Events!E340)</x:f>
      </x:c>
      <x:c r="D341" s="16" t="str">
        <x:f>IF(A341="","",Events!J340)</x:f>
      </x:c>
      <x:c r="E341" s="16" t="str">
        <x:f>IF(A341="","",Events!N340)</x:f>
      </x:c>
      <x:c r="F341" s="109" t="str">
        <x:f>IF(OR(A341="",Events!H340=""),"",Events!H340)</x:f>
      </x:c>
      <x:c r="G341" s="109" t="str">
        <x:f>IF(A341="","",IF(Events!I340&lt;&gt;"",Events!I340,IF(Events!S340&lt;&gt;"",Events!S340,"")))</x:f>
      </x:c>
      <x:c r="H341" s="16" t="str">
        <x:f>IF(A341="","",Events!W340)</x:f>
      </x:c>
      <x:c r="I341" s="16" t="str">
        <x:f>IF(A341="","",IF(Events!Y340&lt;&gt;"",Events!Y340,IF(OR(ISNUMBER(SEARCH("education",P341)),ISNUMBER(SEARCH("exam",P341)),ISNUMBER(SEARCH("school",P341))),"Education",IF(OR(ISNUMBER(SEARCH("trade agreement",P341)),ISNUMBER(SEARCH("economic",P341)),ISNUMBER(SEARCH("import",P341))),"Trade &amp; economic policy",IF(OR(ISNUMBER(SEARCH("land acquisition",P341)),ISNUMBER(SEARCH("rehabilitation",P341)),ISNUMBER(SEARCH("displacement",P341)),ISNUMBER(SEARCH("township",P341))),"Land &amp; rehabilitation",IF(OR(ISNUMBER(SEARCH("forest",P341)),ISNUMBER(SEARCH("environment",P341)),ISNUMBER(SEARCH("ecological",P341)),ISNUMBER(SEARCH("biodiversity",P341)),ISNUMBER(SEARCH("green cover",P341))),"Environment",IF(OR(ISNUMBER(SEARCH("irrigation",P341)),ISNUMBER(SEARCH("water",P341)),ISNUMBER(SEARCH("crop",P341)),ISNUMBER(SEARCH("farmer",P341)),ISNUMBER(SEARCH("agriculture",P341))),"Agriculture &amp; water",IF(OR(ISNUMBER(SEARCH("health",P341)),ISNUMBER(SEARCH("hospital",P341)),ISNUMBER(SEARCH("medicine",P341))),"Public health",IF(OR(ISNUMBER(SEARCH("employee",P341)),ISNUMBER(SEARCH("labour",P341)),ISNUMBER(SEARCH("worker",P341)),ISNUMBER(SEARCH("salary",P341))),"Labour &amp; employment",IF(OR(ISNUMBER(SEARCH("rti",P341)),ISNUMBER(SEARCH("transparency",P341)),ISNUMBER(SEARCH("corruption",P341)),ISNUMBER(SEARCH("governance",P341))),"Governance &amp; transparency",IF(OR(ISNUMBER(SEARCH("police",P341)),ISNUMBER(SEARCH("detention",P341)),ISNUMBER(SEARCH("civil rights",P341)),ISNUMBER(SEARCH("justice",P341))),"Civil rights &amp; justice",IF(OR(ISNUMBER(SEARCH("road",P341)),ISNUMBER(SEARCH("utility",P341)),ISNUMBER(SEARCH("infrastructure",P341)),ISNUMBER(SEARCH("public service",P341))),"Infrastructure &amp; public services","Other"))))))))))))</x:f>
      </x:c>
      <x:c r="J341" s="16" t="str">
        <x:f>IF(A341="","",IF(OR(ISNUMBER(SEARCH("fatal",Q341)),ISNUMBER(SEARCH("death",Q341)),ISNUMBER(SEARCH("riot",Q341)),ISNUMBER(SEARCH("curfew",Q341)),ISNUMBER(SEARCH("internet shutdown",Q341))),5,MIN(4,1+IF(H341&gt;=7,1,0)+IF(OR(ISNUMBER(SEARCH("hunger strike",Q341)),ISNUMBER(SEARCH("blockade",Q341)),ISNUMBER(SEARCH("strike",Q341)),ISNUMBER(SEARCH("jal satyagraha",Q341)),ISNUMBER(SEARCH("survey",Q341)),ISNUMBER(SEARCH("human chain",Q341)),ISNUMBER(SEARCH("march",Q341))),1,0)+IF(OR(ISNUMBER(SEARCH("fir",Q341)),ISNUMBER(SEARCH("confrontation",Q341)),ISNUMBER(SEARCH("violence",Q341)),ISNUMBER(SEARCH("detention",Q341)),ISNUMBER(SEARCH("arrest",Q341)),ISNUMBER(SEARCH("demolition",Q341)),ISNUMBER(SEARCH("injury",Q341))),1,0)+IF(OR(D341="Ongoing",D341="Unresolved"),1,0))))</x:f>
      </x:c>
      <x:c r="K341" s="16" t="str">
        <x:f>IF(J341="","",IF(J341=1,"Limited",IF(J341=2,"Local",IF(J341=3,"Significant",IF(J341=4,"High","Critical")))))</x:f>
      </x:c>
      <x:c r="L341" s="16" t="str">
        <x:f>IF(A341="","",Events!U340)</x:f>
      </x:c>
      <x:c r="M341" s="16" t="str">
        <x:f>IF(A341="","",Events!V340)</x:f>
      </x:c>
      <x:c r="N341" s="16" t="str">
        <x:f>IF(A341="","",Events!Q340)</x:f>
      </x:c>
      <x:c r="O341" s="16" t="str">
        <x:f>IF(A341="","",Events!R340)</x:f>
      </x:c>
      <x:c r="P341" s="16" t="str">
        <x:f>IF(A341="","",LOWER(Events!B340&amp;" "&amp;Events!D340&amp;" "&amp;Events!K340))</x:f>
      </x:c>
      <x:c r="Q341" s="16" t="str">
        <x:f>IF(A341="","",LOWER(Events!C340&amp;" "&amp;Events!K340&amp;" "&amp;Events!T340))</x:f>
      </x:c>
      <x:c r="R341" s="16" t="str">
        <x:f>IF(A341="","",IF(ISNUMBER(SEARCH("Occurrence verified",E341)),"Occurrence verified",E341))</x:f>
      </x:c>
      <x:c r="S341" s="79" t="str">
        <x:f>IF(A341="","",Events!X340)</x:f>
      </x:c>
      <x:c r="Z341" s="79" t="str">
        <x:f>IF(A341="","",Events!AD340)</x:f>
      </x:c>
      <x:c r="AA341" s="79" t="str">
        <x:f>IF(A341="","",Events!AE340)</x:f>
      </x:c>
    </x:row>
    <x:row r="342">
      <x:c r="A342" s="16" t="str">
        <x:f>IF(Events!A341="","",Events!A341)</x:f>
      </x:c>
      <x:c r="B342" s="16" t="str">
        <x:f>IF(A342="","",Events!B341)</x:f>
      </x:c>
      <x:c r="C342" s="16" t="str">
        <x:f>IF(A342="","",Events!E341)</x:f>
      </x:c>
      <x:c r="D342" s="16" t="str">
        <x:f>IF(A342="","",Events!J341)</x:f>
      </x:c>
      <x:c r="E342" s="16" t="str">
        <x:f>IF(A342="","",Events!N341)</x:f>
      </x:c>
      <x:c r="F342" s="109" t="str">
        <x:f>IF(OR(A342="",Events!H341=""),"",Events!H341)</x:f>
      </x:c>
      <x:c r="G342" s="109" t="str">
        <x:f>IF(A342="","",IF(Events!I341&lt;&gt;"",Events!I341,IF(Events!S341&lt;&gt;"",Events!S341,"")))</x:f>
      </x:c>
      <x:c r="H342" s="16" t="str">
        <x:f>IF(A342="","",Events!W341)</x:f>
      </x:c>
      <x:c r="I342" s="16" t="str">
        <x:f>IF(A342="","",IF(Events!Y341&lt;&gt;"",Events!Y341,IF(OR(ISNUMBER(SEARCH("education",P342)),ISNUMBER(SEARCH("exam",P342)),ISNUMBER(SEARCH("school",P342))),"Education",IF(OR(ISNUMBER(SEARCH("trade agreement",P342)),ISNUMBER(SEARCH("economic",P342)),ISNUMBER(SEARCH("import",P342))),"Trade &amp; economic policy",IF(OR(ISNUMBER(SEARCH("land acquisition",P342)),ISNUMBER(SEARCH("rehabilitation",P342)),ISNUMBER(SEARCH("displacement",P342)),ISNUMBER(SEARCH("township",P342))),"Land &amp; rehabilitation",IF(OR(ISNUMBER(SEARCH("forest",P342)),ISNUMBER(SEARCH("environment",P342)),ISNUMBER(SEARCH("ecological",P342)),ISNUMBER(SEARCH("biodiversity",P342)),ISNUMBER(SEARCH("green cover",P342))),"Environment",IF(OR(ISNUMBER(SEARCH("irrigation",P342)),ISNUMBER(SEARCH("water",P342)),ISNUMBER(SEARCH("crop",P342)),ISNUMBER(SEARCH("farmer",P342)),ISNUMBER(SEARCH("agriculture",P342))),"Agriculture &amp; water",IF(OR(ISNUMBER(SEARCH("health",P342)),ISNUMBER(SEARCH("hospital",P342)),ISNUMBER(SEARCH("medicine",P342))),"Public health",IF(OR(ISNUMBER(SEARCH("employee",P342)),ISNUMBER(SEARCH("labour",P342)),ISNUMBER(SEARCH("worker",P342)),ISNUMBER(SEARCH("salary",P342))),"Labour &amp; employment",IF(OR(ISNUMBER(SEARCH("rti",P342)),ISNUMBER(SEARCH("transparency",P342)),ISNUMBER(SEARCH("corruption",P342)),ISNUMBER(SEARCH("governance",P342))),"Governance &amp; transparency",IF(OR(ISNUMBER(SEARCH("police",P342)),ISNUMBER(SEARCH("detention",P342)),ISNUMBER(SEARCH("civil rights",P342)),ISNUMBER(SEARCH("justice",P342))),"Civil rights &amp; justice",IF(OR(ISNUMBER(SEARCH("road",P342)),ISNUMBER(SEARCH("utility",P342)),ISNUMBER(SEARCH("infrastructure",P342)),ISNUMBER(SEARCH("public service",P342))),"Infrastructure &amp; public services","Other"))))))))))))</x:f>
      </x:c>
      <x:c r="J342" s="16" t="str">
        <x:f>IF(A342="","",IF(OR(ISNUMBER(SEARCH("fatal",Q342)),ISNUMBER(SEARCH("death",Q342)),ISNUMBER(SEARCH("riot",Q342)),ISNUMBER(SEARCH("curfew",Q342)),ISNUMBER(SEARCH("internet shutdown",Q342))),5,MIN(4,1+IF(H342&gt;=7,1,0)+IF(OR(ISNUMBER(SEARCH("hunger strike",Q342)),ISNUMBER(SEARCH("blockade",Q342)),ISNUMBER(SEARCH("strike",Q342)),ISNUMBER(SEARCH("jal satyagraha",Q342)),ISNUMBER(SEARCH("survey",Q342)),ISNUMBER(SEARCH("human chain",Q342)),ISNUMBER(SEARCH("march",Q342))),1,0)+IF(OR(ISNUMBER(SEARCH("fir",Q342)),ISNUMBER(SEARCH("confrontation",Q342)),ISNUMBER(SEARCH("violence",Q342)),ISNUMBER(SEARCH("detention",Q342)),ISNUMBER(SEARCH("arrest",Q342)),ISNUMBER(SEARCH("demolition",Q342)),ISNUMBER(SEARCH("injury",Q342))),1,0)+IF(OR(D342="Ongoing",D342="Unresolved"),1,0))))</x:f>
      </x:c>
      <x:c r="K342" s="16" t="str">
        <x:f>IF(J342="","",IF(J342=1,"Limited",IF(J342=2,"Local",IF(J342=3,"Significant",IF(J342=4,"High","Critical")))))</x:f>
      </x:c>
      <x:c r="L342" s="16" t="str">
        <x:f>IF(A342="","",Events!U341)</x:f>
      </x:c>
      <x:c r="M342" s="16" t="str">
        <x:f>IF(A342="","",Events!V341)</x:f>
      </x:c>
      <x:c r="N342" s="16" t="str">
        <x:f>IF(A342="","",Events!Q341)</x:f>
      </x:c>
      <x:c r="O342" s="16" t="str">
        <x:f>IF(A342="","",Events!R341)</x:f>
      </x:c>
      <x:c r="P342" s="16" t="str">
        <x:f>IF(A342="","",LOWER(Events!B341&amp;" "&amp;Events!D341&amp;" "&amp;Events!K341))</x:f>
      </x:c>
      <x:c r="Q342" s="16" t="str">
        <x:f>IF(A342="","",LOWER(Events!C341&amp;" "&amp;Events!K341&amp;" "&amp;Events!T341))</x:f>
      </x:c>
      <x:c r="R342" s="16" t="str">
        <x:f>IF(A342="","",IF(ISNUMBER(SEARCH("Occurrence verified",E342)),"Occurrence verified",E342))</x:f>
      </x:c>
      <x:c r="S342" s="79" t="str">
        <x:f>IF(A342="","",Events!X341)</x:f>
      </x:c>
      <x:c r="Z342" s="79" t="str">
        <x:f>IF(A342="","",Events!AD341)</x:f>
      </x:c>
      <x:c r="AA342" s="79" t="str">
        <x:f>IF(A342="","",Events!AE341)</x:f>
      </x:c>
    </x:row>
    <x:row r="343">
      <x:c r="A343" s="16" t="str">
        <x:f>IF(Events!A342="","",Events!A342)</x:f>
      </x:c>
      <x:c r="B343" s="16" t="str">
        <x:f>IF(A343="","",Events!B342)</x:f>
      </x:c>
      <x:c r="C343" s="16" t="str">
        <x:f>IF(A343="","",Events!E342)</x:f>
      </x:c>
      <x:c r="D343" s="16" t="str">
        <x:f>IF(A343="","",Events!J342)</x:f>
      </x:c>
      <x:c r="E343" s="16" t="str">
        <x:f>IF(A343="","",Events!N342)</x:f>
      </x:c>
      <x:c r="F343" s="109" t="str">
        <x:f>IF(OR(A343="",Events!H342=""),"",Events!H342)</x:f>
      </x:c>
      <x:c r="G343" s="109" t="str">
        <x:f>IF(A343="","",IF(Events!I342&lt;&gt;"",Events!I342,IF(Events!S342&lt;&gt;"",Events!S342,"")))</x:f>
      </x:c>
      <x:c r="H343" s="16" t="str">
        <x:f>IF(A343="","",Events!W342)</x:f>
      </x:c>
      <x:c r="I343" s="16" t="str">
        <x:f>IF(A343="","",IF(Events!Y342&lt;&gt;"",Events!Y342,IF(OR(ISNUMBER(SEARCH("education",P343)),ISNUMBER(SEARCH("exam",P343)),ISNUMBER(SEARCH("school",P343))),"Education",IF(OR(ISNUMBER(SEARCH("trade agreement",P343)),ISNUMBER(SEARCH("economic",P343)),ISNUMBER(SEARCH("import",P343))),"Trade &amp; economic policy",IF(OR(ISNUMBER(SEARCH("land acquisition",P343)),ISNUMBER(SEARCH("rehabilitation",P343)),ISNUMBER(SEARCH("displacement",P343)),ISNUMBER(SEARCH("township",P343))),"Land &amp; rehabilitation",IF(OR(ISNUMBER(SEARCH("forest",P343)),ISNUMBER(SEARCH("environment",P343)),ISNUMBER(SEARCH("ecological",P343)),ISNUMBER(SEARCH("biodiversity",P343)),ISNUMBER(SEARCH("green cover",P343))),"Environment",IF(OR(ISNUMBER(SEARCH("irrigation",P343)),ISNUMBER(SEARCH("water",P343)),ISNUMBER(SEARCH("crop",P343)),ISNUMBER(SEARCH("farmer",P343)),ISNUMBER(SEARCH("agriculture",P343))),"Agriculture &amp; water",IF(OR(ISNUMBER(SEARCH("health",P343)),ISNUMBER(SEARCH("hospital",P343)),ISNUMBER(SEARCH("medicine",P343))),"Public health",IF(OR(ISNUMBER(SEARCH("employee",P343)),ISNUMBER(SEARCH("labour",P343)),ISNUMBER(SEARCH("worker",P343)),ISNUMBER(SEARCH("salary",P343))),"Labour &amp; employment",IF(OR(ISNUMBER(SEARCH("rti",P343)),ISNUMBER(SEARCH("transparency",P343)),ISNUMBER(SEARCH("corruption",P343)),ISNUMBER(SEARCH("governance",P343))),"Governance &amp; transparency",IF(OR(ISNUMBER(SEARCH("police",P343)),ISNUMBER(SEARCH("detention",P343)),ISNUMBER(SEARCH("civil rights",P343)),ISNUMBER(SEARCH("justice",P343))),"Civil rights &amp; justice",IF(OR(ISNUMBER(SEARCH("road",P343)),ISNUMBER(SEARCH("utility",P343)),ISNUMBER(SEARCH("infrastructure",P343)),ISNUMBER(SEARCH("public service",P343))),"Infrastructure &amp; public services","Other"))))))))))))</x:f>
      </x:c>
      <x:c r="J343" s="16" t="str">
        <x:f>IF(A343="","",IF(OR(ISNUMBER(SEARCH("fatal",Q343)),ISNUMBER(SEARCH("death",Q343)),ISNUMBER(SEARCH("riot",Q343)),ISNUMBER(SEARCH("curfew",Q343)),ISNUMBER(SEARCH("internet shutdown",Q343))),5,MIN(4,1+IF(H343&gt;=7,1,0)+IF(OR(ISNUMBER(SEARCH("hunger strike",Q343)),ISNUMBER(SEARCH("blockade",Q343)),ISNUMBER(SEARCH("strike",Q343)),ISNUMBER(SEARCH("jal satyagraha",Q343)),ISNUMBER(SEARCH("survey",Q343)),ISNUMBER(SEARCH("human chain",Q343)),ISNUMBER(SEARCH("march",Q343))),1,0)+IF(OR(ISNUMBER(SEARCH("fir",Q343)),ISNUMBER(SEARCH("confrontation",Q343)),ISNUMBER(SEARCH("violence",Q343)),ISNUMBER(SEARCH("detention",Q343)),ISNUMBER(SEARCH("arrest",Q343)),ISNUMBER(SEARCH("demolition",Q343)),ISNUMBER(SEARCH("injury",Q343))),1,0)+IF(OR(D343="Ongoing",D343="Unresolved"),1,0))))</x:f>
      </x:c>
      <x:c r="K343" s="16" t="str">
        <x:f>IF(J343="","",IF(J343=1,"Limited",IF(J343=2,"Local",IF(J343=3,"Significant",IF(J343=4,"High","Critical")))))</x:f>
      </x:c>
      <x:c r="L343" s="16" t="str">
        <x:f>IF(A343="","",Events!U342)</x:f>
      </x:c>
      <x:c r="M343" s="16" t="str">
        <x:f>IF(A343="","",Events!V342)</x:f>
      </x:c>
      <x:c r="N343" s="16" t="str">
        <x:f>IF(A343="","",Events!Q342)</x:f>
      </x:c>
      <x:c r="O343" s="16" t="str">
        <x:f>IF(A343="","",Events!R342)</x:f>
      </x:c>
      <x:c r="P343" s="16" t="str">
        <x:f>IF(A343="","",LOWER(Events!B342&amp;" "&amp;Events!D342&amp;" "&amp;Events!K342))</x:f>
      </x:c>
      <x:c r="Q343" s="16" t="str">
        <x:f>IF(A343="","",LOWER(Events!C342&amp;" "&amp;Events!K342&amp;" "&amp;Events!T342))</x:f>
      </x:c>
      <x:c r="R343" s="16" t="str">
        <x:f>IF(A343="","",IF(ISNUMBER(SEARCH("Occurrence verified",E343)),"Occurrence verified",E343))</x:f>
      </x:c>
      <x:c r="S343" s="79" t="str">
        <x:f>IF(A343="","",Events!X342)</x:f>
      </x:c>
      <x:c r="Z343" s="79" t="str">
        <x:f>IF(A343="","",Events!AD342)</x:f>
      </x:c>
      <x:c r="AA343" s="79" t="str">
        <x:f>IF(A343="","",Events!AE342)</x:f>
      </x:c>
    </x:row>
    <x:row r="344">
      <x:c r="A344" s="16" t="str">
        <x:f>IF(Events!A343="","",Events!A343)</x:f>
      </x:c>
      <x:c r="B344" s="16" t="str">
        <x:f>IF(A344="","",Events!B343)</x:f>
      </x:c>
      <x:c r="C344" s="16" t="str">
        <x:f>IF(A344="","",Events!E343)</x:f>
      </x:c>
      <x:c r="D344" s="16" t="str">
        <x:f>IF(A344="","",Events!J343)</x:f>
      </x:c>
      <x:c r="E344" s="16" t="str">
        <x:f>IF(A344="","",Events!N343)</x:f>
      </x:c>
      <x:c r="F344" s="109" t="str">
        <x:f>IF(OR(A344="",Events!H343=""),"",Events!H343)</x:f>
      </x:c>
      <x:c r="G344" s="109" t="str">
        <x:f>IF(A344="","",IF(Events!I343&lt;&gt;"",Events!I343,IF(Events!S343&lt;&gt;"",Events!S343,"")))</x:f>
      </x:c>
      <x:c r="H344" s="16" t="str">
        <x:f>IF(A344="","",Events!W343)</x:f>
      </x:c>
      <x:c r="I344" s="16" t="str">
        <x:f>IF(A344="","",IF(Events!Y343&lt;&gt;"",Events!Y343,IF(OR(ISNUMBER(SEARCH("education",P344)),ISNUMBER(SEARCH("exam",P344)),ISNUMBER(SEARCH("school",P344))),"Education",IF(OR(ISNUMBER(SEARCH("trade agreement",P344)),ISNUMBER(SEARCH("economic",P344)),ISNUMBER(SEARCH("import",P344))),"Trade &amp; economic policy",IF(OR(ISNUMBER(SEARCH("land acquisition",P344)),ISNUMBER(SEARCH("rehabilitation",P344)),ISNUMBER(SEARCH("displacement",P344)),ISNUMBER(SEARCH("township",P344))),"Land &amp; rehabilitation",IF(OR(ISNUMBER(SEARCH("forest",P344)),ISNUMBER(SEARCH("environment",P344)),ISNUMBER(SEARCH("ecological",P344)),ISNUMBER(SEARCH("biodiversity",P344)),ISNUMBER(SEARCH("green cover",P344))),"Environment",IF(OR(ISNUMBER(SEARCH("irrigation",P344)),ISNUMBER(SEARCH("water",P344)),ISNUMBER(SEARCH("crop",P344)),ISNUMBER(SEARCH("farmer",P344)),ISNUMBER(SEARCH("agriculture",P344))),"Agriculture &amp; water",IF(OR(ISNUMBER(SEARCH("health",P344)),ISNUMBER(SEARCH("hospital",P344)),ISNUMBER(SEARCH("medicine",P344))),"Public health",IF(OR(ISNUMBER(SEARCH("employee",P344)),ISNUMBER(SEARCH("labour",P344)),ISNUMBER(SEARCH("worker",P344)),ISNUMBER(SEARCH("salary",P344))),"Labour &amp; employment",IF(OR(ISNUMBER(SEARCH("rti",P344)),ISNUMBER(SEARCH("transparency",P344)),ISNUMBER(SEARCH("corruption",P344)),ISNUMBER(SEARCH("governance",P344))),"Governance &amp; transparency",IF(OR(ISNUMBER(SEARCH("police",P344)),ISNUMBER(SEARCH("detention",P344)),ISNUMBER(SEARCH("civil rights",P344)),ISNUMBER(SEARCH("justice",P344))),"Civil rights &amp; justice",IF(OR(ISNUMBER(SEARCH("road",P344)),ISNUMBER(SEARCH("utility",P344)),ISNUMBER(SEARCH("infrastructure",P344)),ISNUMBER(SEARCH("public service",P344))),"Infrastructure &amp; public services","Other"))))))))))))</x:f>
      </x:c>
      <x:c r="J344" s="16" t="str">
        <x:f>IF(A344="","",IF(OR(ISNUMBER(SEARCH("fatal",Q344)),ISNUMBER(SEARCH("death",Q344)),ISNUMBER(SEARCH("riot",Q344)),ISNUMBER(SEARCH("curfew",Q344)),ISNUMBER(SEARCH("internet shutdown",Q344))),5,MIN(4,1+IF(H344&gt;=7,1,0)+IF(OR(ISNUMBER(SEARCH("hunger strike",Q344)),ISNUMBER(SEARCH("blockade",Q344)),ISNUMBER(SEARCH("strike",Q344)),ISNUMBER(SEARCH("jal satyagraha",Q344)),ISNUMBER(SEARCH("survey",Q344)),ISNUMBER(SEARCH("human chain",Q344)),ISNUMBER(SEARCH("march",Q344))),1,0)+IF(OR(ISNUMBER(SEARCH("fir",Q344)),ISNUMBER(SEARCH("confrontation",Q344)),ISNUMBER(SEARCH("violence",Q344)),ISNUMBER(SEARCH("detention",Q344)),ISNUMBER(SEARCH("arrest",Q344)),ISNUMBER(SEARCH("demolition",Q344)),ISNUMBER(SEARCH("injury",Q344))),1,0)+IF(OR(D344="Ongoing",D344="Unresolved"),1,0))))</x:f>
      </x:c>
      <x:c r="K344" s="16" t="str">
        <x:f>IF(J344="","",IF(J344=1,"Limited",IF(J344=2,"Local",IF(J344=3,"Significant",IF(J344=4,"High","Critical")))))</x:f>
      </x:c>
      <x:c r="L344" s="16" t="str">
        <x:f>IF(A344="","",Events!U343)</x:f>
      </x:c>
      <x:c r="M344" s="16" t="str">
        <x:f>IF(A344="","",Events!V343)</x:f>
      </x:c>
      <x:c r="N344" s="16" t="str">
        <x:f>IF(A344="","",Events!Q343)</x:f>
      </x:c>
      <x:c r="O344" s="16" t="str">
        <x:f>IF(A344="","",Events!R343)</x:f>
      </x:c>
      <x:c r="P344" s="16" t="str">
        <x:f>IF(A344="","",LOWER(Events!B343&amp;" "&amp;Events!D343&amp;" "&amp;Events!K343))</x:f>
      </x:c>
      <x:c r="Q344" s="16" t="str">
        <x:f>IF(A344="","",LOWER(Events!C343&amp;" "&amp;Events!K343&amp;" "&amp;Events!T343))</x:f>
      </x:c>
      <x:c r="R344" s="16" t="str">
        <x:f>IF(A344="","",IF(ISNUMBER(SEARCH("Occurrence verified",E344)),"Occurrence verified",E344))</x:f>
      </x:c>
      <x:c r="S344" s="79" t="str">
        <x:f>IF(A344="","",Events!X343)</x:f>
      </x:c>
      <x:c r="Z344" s="79" t="str">
        <x:f>IF(A344="","",Events!AD343)</x:f>
      </x:c>
      <x:c r="AA344" s="79" t="str">
        <x:f>IF(A344="","",Events!AE343)</x:f>
      </x:c>
    </x:row>
    <x:row r="345">
      <x:c r="A345" s="16" t="str">
        <x:f>IF(Events!A344="","",Events!A344)</x:f>
      </x:c>
      <x:c r="B345" s="16" t="str">
        <x:f>IF(A345="","",Events!B344)</x:f>
      </x:c>
      <x:c r="C345" s="16" t="str">
        <x:f>IF(A345="","",Events!E344)</x:f>
      </x:c>
      <x:c r="D345" s="16" t="str">
        <x:f>IF(A345="","",Events!J344)</x:f>
      </x:c>
      <x:c r="E345" s="16" t="str">
        <x:f>IF(A345="","",Events!N344)</x:f>
      </x:c>
      <x:c r="F345" s="109" t="str">
        <x:f>IF(OR(A345="",Events!H344=""),"",Events!H344)</x:f>
      </x:c>
      <x:c r="G345" s="109" t="str">
        <x:f>IF(A345="","",IF(Events!I344&lt;&gt;"",Events!I344,IF(Events!S344&lt;&gt;"",Events!S344,"")))</x:f>
      </x:c>
      <x:c r="H345" s="16" t="str">
        <x:f>IF(A345="","",Events!W344)</x:f>
      </x:c>
      <x:c r="I345" s="16" t="str">
        <x:f>IF(A345="","",IF(Events!Y344&lt;&gt;"",Events!Y344,IF(OR(ISNUMBER(SEARCH("education",P345)),ISNUMBER(SEARCH("exam",P345)),ISNUMBER(SEARCH("school",P345))),"Education",IF(OR(ISNUMBER(SEARCH("trade agreement",P345)),ISNUMBER(SEARCH("economic",P345)),ISNUMBER(SEARCH("import",P345))),"Trade &amp; economic policy",IF(OR(ISNUMBER(SEARCH("land acquisition",P345)),ISNUMBER(SEARCH("rehabilitation",P345)),ISNUMBER(SEARCH("displacement",P345)),ISNUMBER(SEARCH("township",P345))),"Land &amp; rehabilitation",IF(OR(ISNUMBER(SEARCH("forest",P345)),ISNUMBER(SEARCH("environment",P345)),ISNUMBER(SEARCH("ecological",P345)),ISNUMBER(SEARCH("biodiversity",P345)),ISNUMBER(SEARCH("green cover",P345))),"Environment",IF(OR(ISNUMBER(SEARCH("irrigation",P345)),ISNUMBER(SEARCH("water",P345)),ISNUMBER(SEARCH("crop",P345)),ISNUMBER(SEARCH("farmer",P345)),ISNUMBER(SEARCH("agriculture",P345))),"Agriculture &amp; water",IF(OR(ISNUMBER(SEARCH("health",P345)),ISNUMBER(SEARCH("hospital",P345)),ISNUMBER(SEARCH("medicine",P345))),"Public health",IF(OR(ISNUMBER(SEARCH("employee",P345)),ISNUMBER(SEARCH("labour",P345)),ISNUMBER(SEARCH("worker",P345)),ISNUMBER(SEARCH("salary",P345))),"Labour &amp; employment",IF(OR(ISNUMBER(SEARCH("rti",P345)),ISNUMBER(SEARCH("transparency",P345)),ISNUMBER(SEARCH("corruption",P345)),ISNUMBER(SEARCH("governance",P345))),"Governance &amp; transparency",IF(OR(ISNUMBER(SEARCH("police",P345)),ISNUMBER(SEARCH("detention",P345)),ISNUMBER(SEARCH("civil rights",P345)),ISNUMBER(SEARCH("justice",P345))),"Civil rights &amp; justice",IF(OR(ISNUMBER(SEARCH("road",P345)),ISNUMBER(SEARCH("utility",P345)),ISNUMBER(SEARCH("infrastructure",P345)),ISNUMBER(SEARCH("public service",P345))),"Infrastructure &amp; public services","Other"))))))))))))</x:f>
      </x:c>
      <x:c r="J345" s="16" t="str">
        <x:f>IF(A345="","",IF(OR(ISNUMBER(SEARCH("fatal",Q345)),ISNUMBER(SEARCH("death",Q345)),ISNUMBER(SEARCH("riot",Q345)),ISNUMBER(SEARCH("curfew",Q345)),ISNUMBER(SEARCH("internet shutdown",Q345))),5,MIN(4,1+IF(H345&gt;=7,1,0)+IF(OR(ISNUMBER(SEARCH("hunger strike",Q345)),ISNUMBER(SEARCH("blockade",Q345)),ISNUMBER(SEARCH("strike",Q345)),ISNUMBER(SEARCH("jal satyagraha",Q345)),ISNUMBER(SEARCH("survey",Q345)),ISNUMBER(SEARCH("human chain",Q345)),ISNUMBER(SEARCH("march",Q345))),1,0)+IF(OR(ISNUMBER(SEARCH("fir",Q345)),ISNUMBER(SEARCH("confrontation",Q345)),ISNUMBER(SEARCH("violence",Q345)),ISNUMBER(SEARCH("detention",Q345)),ISNUMBER(SEARCH("arrest",Q345)),ISNUMBER(SEARCH("demolition",Q345)),ISNUMBER(SEARCH("injury",Q345))),1,0)+IF(OR(D345="Ongoing",D345="Unresolved"),1,0))))</x:f>
      </x:c>
      <x:c r="K345" s="16" t="str">
        <x:f>IF(J345="","",IF(J345=1,"Limited",IF(J345=2,"Local",IF(J345=3,"Significant",IF(J345=4,"High","Critical")))))</x:f>
      </x:c>
      <x:c r="L345" s="16" t="str">
        <x:f>IF(A345="","",Events!U344)</x:f>
      </x:c>
      <x:c r="M345" s="16" t="str">
        <x:f>IF(A345="","",Events!V344)</x:f>
      </x:c>
      <x:c r="N345" s="16" t="str">
        <x:f>IF(A345="","",Events!Q344)</x:f>
      </x:c>
      <x:c r="O345" s="16" t="str">
        <x:f>IF(A345="","",Events!R344)</x:f>
      </x:c>
      <x:c r="P345" s="16" t="str">
        <x:f>IF(A345="","",LOWER(Events!B344&amp;" "&amp;Events!D344&amp;" "&amp;Events!K344))</x:f>
      </x:c>
      <x:c r="Q345" s="16" t="str">
        <x:f>IF(A345="","",LOWER(Events!C344&amp;" "&amp;Events!K344&amp;" "&amp;Events!T344))</x:f>
      </x:c>
      <x:c r="R345" s="16" t="str">
        <x:f>IF(A345="","",IF(ISNUMBER(SEARCH("Occurrence verified",E345)),"Occurrence verified",E345))</x:f>
      </x:c>
      <x:c r="S345" s="79" t="str">
        <x:f>IF(A345="","",Events!X344)</x:f>
      </x:c>
      <x:c r="Z345" s="79" t="str">
        <x:f>IF(A345="","",Events!AD344)</x:f>
      </x:c>
      <x:c r="AA345" s="79" t="str">
        <x:f>IF(A345="","",Events!AE344)</x:f>
      </x:c>
    </x:row>
    <x:row r="346">
      <x:c r="A346" s="16" t="str">
        <x:f>IF(Events!A345="","",Events!A345)</x:f>
      </x:c>
      <x:c r="B346" s="16" t="str">
        <x:f>IF(A346="","",Events!B345)</x:f>
      </x:c>
      <x:c r="C346" s="16" t="str">
        <x:f>IF(A346="","",Events!E345)</x:f>
      </x:c>
      <x:c r="D346" s="16" t="str">
        <x:f>IF(A346="","",Events!J345)</x:f>
      </x:c>
      <x:c r="E346" s="16" t="str">
        <x:f>IF(A346="","",Events!N345)</x:f>
      </x:c>
      <x:c r="F346" s="109" t="str">
        <x:f>IF(OR(A346="",Events!H345=""),"",Events!H345)</x:f>
      </x:c>
      <x:c r="G346" s="109" t="str">
        <x:f>IF(A346="","",IF(Events!I345&lt;&gt;"",Events!I345,IF(Events!S345&lt;&gt;"",Events!S345,"")))</x:f>
      </x:c>
      <x:c r="H346" s="16" t="str">
        <x:f>IF(A346="","",Events!W345)</x:f>
      </x:c>
      <x:c r="I346" s="16" t="str">
        <x:f>IF(A346="","",IF(Events!Y345&lt;&gt;"",Events!Y345,IF(OR(ISNUMBER(SEARCH("education",P346)),ISNUMBER(SEARCH("exam",P346)),ISNUMBER(SEARCH("school",P346))),"Education",IF(OR(ISNUMBER(SEARCH("trade agreement",P346)),ISNUMBER(SEARCH("economic",P346)),ISNUMBER(SEARCH("import",P346))),"Trade &amp; economic policy",IF(OR(ISNUMBER(SEARCH("land acquisition",P346)),ISNUMBER(SEARCH("rehabilitation",P346)),ISNUMBER(SEARCH("displacement",P346)),ISNUMBER(SEARCH("township",P346))),"Land &amp; rehabilitation",IF(OR(ISNUMBER(SEARCH("forest",P346)),ISNUMBER(SEARCH("environment",P346)),ISNUMBER(SEARCH("ecological",P346)),ISNUMBER(SEARCH("biodiversity",P346)),ISNUMBER(SEARCH("green cover",P346))),"Environment",IF(OR(ISNUMBER(SEARCH("irrigation",P346)),ISNUMBER(SEARCH("water",P346)),ISNUMBER(SEARCH("crop",P346)),ISNUMBER(SEARCH("farmer",P346)),ISNUMBER(SEARCH("agriculture",P346))),"Agriculture &amp; water",IF(OR(ISNUMBER(SEARCH("health",P346)),ISNUMBER(SEARCH("hospital",P346)),ISNUMBER(SEARCH("medicine",P346))),"Public health",IF(OR(ISNUMBER(SEARCH("employee",P346)),ISNUMBER(SEARCH("labour",P346)),ISNUMBER(SEARCH("worker",P346)),ISNUMBER(SEARCH("salary",P346))),"Labour &amp; employment",IF(OR(ISNUMBER(SEARCH("rti",P346)),ISNUMBER(SEARCH("transparency",P346)),ISNUMBER(SEARCH("corruption",P346)),ISNUMBER(SEARCH("governance",P346))),"Governance &amp; transparency",IF(OR(ISNUMBER(SEARCH("police",P346)),ISNUMBER(SEARCH("detention",P346)),ISNUMBER(SEARCH("civil rights",P346)),ISNUMBER(SEARCH("justice",P346))),"Civil rights &amp; justice",IF(OR(ISNUMBER(SEARCH("road",P346)),ISNUMBER(SEARCH("utility",P346)),ISNUMBER(SEARCH("infrastructure",P346)),ISNUMBER(SEARCH("public service",P346))),"Infrastructure &amp; public services","Other"))))))))))))</x:f>
      </x:c>
      <x:c r="J346" s="16" t="str">
        <x:f>IF(A346="","",IF(OR(ISNUMBER(SEARCH("fatal",Q346)),ISNUMBER(SEARCH("death",Q346)),ISNUMBER(SEARCH("riot",Q346)),ISNUMBER(SEARCH("curfew",Q346)),ISNUMBER(SEARCH("internet shutdown",Q346))),5,MIN(4,1+IF(H346&gt;=7,1,0)+IF(OR(ISNUMBER(SEARCH("hunger strike",Q346)),ISNUMBER(SEARCH("blockade",Q346)),ISNUMBER(SEARCH("strike",Q346)),ISNUMBER(SEARCH("jal satyagraha",Q346)),ISNUMBER(SEARCH("survey",Q346)),ISNUMBER(SEARCH("human chain",Q346)),ISNUMBER(SEARCH("march",Q346))),1,0)+IF(OR(ISNUMBER(SEARCH("fir",Q346)),ISNUMBER(SEARCH("confrontation",Q346)),ISNUMBER(SEARCH("violence",Q346)),ISNUMBER(SEARCH("detention",Q346)),ISNUMBER(SEARCH("arrest",Q346)),ISNUMBER(SEARCH("demolition",Q346)),ISNUMBER(SEARCH("injury",Q346))),1,0)+IF(OR(D346="Ongoing",D346="Unresolved"),1,0))))</x:f>
      </x:c>
      <x:c r="K346" s="16" t="str">
        <x:f>IF(J346="","",IF(J346=1,"Limited",IF(J346=2,"Local",IF(J346=3,"Significant",IF(J346=4,"High","Critical")))))</x:f>
      </x:c>
      <x:c r="L346" s="16" t="str">
        <x:f>IF(A346="","",Events!U345)</x:f>
      </x:c>
      <x:c r="M346" s="16" t="str">
        <x:f>IF(A346="","",Events!V345)</x:f>
      </x:c>
      <x:c r="N346" s="16" t="str">
        <x:f>IF(A346="","",Events!Q345)</x:f>
      </x:c>
      <x:c r="O346" s="16" t="str">
        <x:f>IF(A346="","",Events!R345)</x:f>
      </x:c>
      <x:c r="P346" s="16" t="str">
        <x:f>IF(A346="","",LOWER(Events!B345&amp;" "&amp;Events!D345&amp;" "&amp;Events!K345))</x:f>
      </x:c>
      <x:c r="Q346" s="16" t="str">
        <x:f>IF(A346="","",LOWER(Events!C345&amp;" "&amp;Events!K345&amp;" "&amp;Events!T345))</x:f>
      </x:c>
      <x:c r="R346" s="16" t="str">
        <x:f>IF(A346="","",IF(ISNUMBER(SEARCH("Occurrence verified",E346)),"Occurrence verified",E346))</x:f>
      </x:c>
      <x:c r="S346" s="79" t="str">
        <x:f>IF(A346="","",Events!X345)</x:f>
      </x:c>
      <x:c r="Z346" s="79" t="str">
        <x:f>IF(A346="","",Events!AD345)</x:f>
      </x:c>
      <x:c r="AA346" s="79" t="str">
        <x:f>IF(A346="","",Events!AE345)</x:f>
      </x:c>
    </x:row>
    <x:row r="347">
      <x:c r="A347" s="16" t="str">
        <x:f>IF(Events!A346="","",Events!A346)</x:f>
      </x:c>
      <x:c r="B347" s="16" t="str">
        <x:f>IF(A347="","",Events!B346)</x:f>
      </x:c>
      <x:c r="C347" s="16" t="str">
        <x:f>IF(A347="","",Events!E346)</x:f>
      </x:c>
      <x:c r="D347" s="16" t="str">
        <x:f>IF(A347="","",Events!J346)</x:f>
      </x:c>
      <x:c r="E347" s="16" t="str">
        <x:f>IF(A347="","",Events!N346)</x:f>
      </x:c>
      <x:c r="F347" s="109" t="str">
        <x:f>IF(OR(A347="",Events!H346=""),"",Events!H346)</x:f>
      </x:c>
      <x:c r="G347" s="109" t="str">
        <x:f>IF(A347="","",IF(Events!I346&lt;&gt;"",Events!I346,IF(Events!S346&lt;&gt;"",Events!S346,"")))</x:f>
      </x:c>
      <x:c r="H347" s="16" t="str">
        <x:f>IF(A347="","",Events!W346)</x:f>
      </x:c>
      <x:c r="I347" s="16" t="str">
        <x:f>IF(A347="","",IF(Events!Y346&lt;&gt;"",Events!Y346,IF(OR(ISNUMBER(SEARCH("education",P347)),ISNUMBER(SEARCH("exam",P347)),ISNUMBER(SEARCH("school",P347))),"Education",IF(OR(ISNUMBER(SEARCH("trade agreement",P347)),ISNUMBER(SEARCH("economic",P347)),ISNUMBER(SEARCH("import",P347))),"Trade &amp; economic policy",IF(OR(ISNUMBER(SEARCH("land acquisition",P347)),ISNUMBER(SEARCH("rehabilitation",P347)),ISNUMBER(SEARCH("displacement",P347)),ISNUMBER(SEARCH("township",P347))),"Land &amp; rehabilitation",IF(OR(ISNUMBER(SEARCH("forest",P347)),ISNUMBER(SEARCH("environment",P347)),ISNUMBER(SEARCH("ecological",P347)),ISNUMBER(SEARCH("biodiversity",P347)),ISNUMBER(SEARCH("green cover",P347))),"Environment",IF(OR(ISNUMBER(SEARCH("irrigation",P347)),ISNUMBER(SEARCH("water",P347)),ISNUMBER(SEARCH("crop",P347)),ISNUMBER(SEARCH("farmer",P347)),ISNUMBER(SEARCH("agriculture",P347))),"Agriculture &amp; water",IF(OR(ISNUMBER(SEARCH("health",P347)),ISNUMBER(SEARCH("hospital",P347)),ISNUMBER(SEARCH("medicine",P347))),"Public health",IF(OR(ISNUMBER(SEARCH("employee",P347)),ISNUMBER(SEARCH("labour",P347)),ISNUMBER(SEARCH("worker",P347)),ISNUMBER(SEARCH("salary",P347))),"Labour &amp; employment",IF(OR(ISNUMBER(SEARCH("rti",P347)),ISNUMBER(SEARCH("transparency",P347)),ISNUMBER(SEARCH("corruption",P347)),ISNUMBER(SEARCH("governance",P347))),"Governance &amp; transparency",IF(OR(ISNUMBER(SEARCH("police",P347)),ISNUMBER(SEARCH("detention",P347)),ISNUMBER(SEARCH("civil rights",P347)),ISNUMBER(SEARCH("justice",P347))),"Civil rights &amp; justice",IF(OR(ISNUMBER(SEARCH("road",P347)),ISNUMBER(SEARCH("utility",P347)),ISNUMBER(SEARCH("infrastructure",P347)),ISNUMBER(SEARCH("public service",P347))),"Infrastructure &amp; public services","Other"))))))))))))</x:f>
      </x:c>
      <x:c r="J347" s="16" t="str">
        <x:f>IF(A347="","",IF(OR(ISNUMBER(SEARCH("fatal",Q347)),ISNUMBER(SEARCH("death",Q347)),ISNUMBER(SEARCH("riot",Q347)),ISNUMBER(SEARCH("curfew",Q347)),ISNUMBER(SEARCH("internet shutdown",Q347))),5,MIN(4,1+IF(H347&gt;=7,1,0)+IF(OR(ISNUMBER(SEARCH("hunger strike",Q347)),ISNUMBER(SEARCH("blockade",Q347)),ISNUMBER(SEARCH("strike",Q347)),ISNUMBER(SEARCH("jal satyagraha",Q347)),ISNUMBER(SEARCH("survey",Q347)),ISNUMBER(SEARCH("human chain",Q347)),ISNUMBER(SEARCH("march",Q347))),1,0)+IF(OR(ISNUMBER(SEARCH("fir",Q347)),ISNUMBER(SEARCH("confrontation",Q347)),ISNUMBER(SEARCH("violence",Q347)),ISNUMBER(SEARCH("detention",Q347)),ISNUMBER(SEARCH("arrest",Q347)),ISNUMBER(SEARCH("demolition",Q347)),ISNUMBER(SEARCH("injury",Q347))),1,0)+IF(OR(D347="Ongoing",D347="Unresolved"),1,0))))</x:f>
      </x:c>
      <x:c r="K347" s="16" t="str">
        <x:f>IF(J347="","",IF(J347=1,"Limited",IF(J347=2,"Local",IF(J347=3,"Significant",IF(J347=4,"High","Critical")))))</x:f>
      </x:c>
      <x:c r="L347" s="16" t="str">
        <x:f>IF(A347="","",Events!U346)</x:f>
      </x:c>
      <x:c r="M347" s="16" t="str">
        <x:f>IF(A347="","",Events!V346)</x:f>
      </x:c>
      <x:c r="N347" s="16" t="str">
        <x:f>IF(A347="","",Events!Q346)</x:f>
      </x:c>
      <x:c r="O347" s="16" t="str">
        <x:f>IF(A347="","",Events!R346)</x:f>
      </x:c>
      <x:c r="P347" s="16" t="str">
        <x:f>IF(A347="","",LOWER(Events!B346&amp;" "&amp;Events!D346&amp;" "&amp;Events!K346))</x:f>
      </x:c>
      <x:c r="Q347" s="16" t="str">
        <x:f>IF(A347="","",LOWER(Events!C346&amp;" "&amp;Events!K346&amp;" "&amp;Events!T346))</x:f>
      </x:c>
      <x:c r="R347" s="16" t="str">
        <x:f>IF(A347="","",IF(ISNUMBER(SEARCH("Occurrence verified",E347)),"Occurrence verified",E347))</x:f>
      </x:c>
      <x:c r="S347" s="79" t="str">
        <x:f>IF(A347="","",Events!X346)</x:f>
      </x:c>
      <x:c r="Z347" s="79" t="str">
        <x:f>IF(A347="","",Events!AD346)</x:f>
      </x:c>
      <x:c r="AA347" s="79" t="str">
        <x:f>IF(A347="","",Events!AE346)</x:f>
      </x:c>
    </x:row>
    <x:row r="348">
      <x:c r="A348" s="16" t="str">
        <x:f>IF(Events!A347="","",Events!A347)</x:f>
      </x:c>
      <x:c r="B348" s="16" t="str">
        <x:f>IF(A348="","",Events!B347)</x:f>
      </x:c>
      <x:c r="C348" s="16" t="str">
        <x:f>IF(A348="","",Events!E347)</x:f>
      </x:c>
      <x:c r="D348" s="16" t="str">
        <x:f>IF(A348="","",Events!J347)</x:f>
      </x:c>
      <x:c r="E348" s="16" t="str">
        <x:f>IF(A348="","",Events!N347)</x:f>
      </x:c>
      <x:c r="F348" s="109" t="str">
        <x:f>IF(OR(A348="",Events!H347=""),"",Events!H347)</x:f>
      </x:c>
      <x:c r="G348" s="109" t="str">
        <x:f>IF(A348="","",IF(Events!I347&lt;&gt;"",Events!I347,IF(Events!S347&lt;&gt;"",Events!S347,"")))</x:f>
      </x:c>
      <x:c r="H348" s="16" t="str">
        <x:f>IF(A348="","",Events!W347)</x:f>
      </x:c>
      <x:c r="I348" s="16" t="str">
        <x:f>IF(A348="","",IF(Events!Y347&lt;&gt;"",Events!Y347,IF(OR(ISNUMBER(SEARCH("education",P348)),ISNUMBER(SEARCH("exam",P348)),ISNUMBER(SEARCH("school",P348))),"Education",IF(OR(ISNUMBER(SEARCH("trade agreement",P348)),ISNUMBER(SEARCH("economic",P348)),ISNUMBER(SEARCH("import",P348))),"Trade &amp; economic policy",IF(OR(ISNUMBER(SEARCH("land acquisition",P348)),ISNUMBER(SEARCH("rehabilitation",P348)),ISNUMBER(SEARCH("displacement",P348)),ISNUMBER(SEARCH("township",P348))),"Land &amp; rehabilitation",IF(OR(ISNUMBER(SEARCH("forest",P348)),ISNUMBER(SEARCH("environment",P348)),ISNUMBER(SEARCH("ecological",P348)),ISNUMBER(SEARCH("biodiversity",P348)),ISNUMBER(SEARCH("green cover",P348))),"Environment",IF(OR(ISNUMBER(SEARCH("irrigation",P348)),ISNUMBER(SEARCH("water",P348)),ISNUMBER(SEARCH("crop",P348)),ISNUMBER(SEARCH("farmer",P348)),ISNUMBER(SEARCH("agriculture",P348))),"Agriculture &amp; water",IF(OR(ISNUMBER(SEARCH("health",P348)),ISNUMBER(SEARCH("hospital",P348)),ISNUMBER(SEARCH("medicine",P348))),"Public health",IF(OR(ISNUMBER(SEARCH("employee",P348)),ISNUMBER(SEARCH("labour",P348)),ISNUMBER(SEARCH("worker",P348)),ISNUMBER(SEARCH("salary",P348))),"Labour &amp; employment",IF(OR(ISNUMBER(SEARCH("rti",P348)),ISNUMBER(SEARCH("transparency",P348)),ISNUMBER(SEARCH("corruption",P348)),ISNUMBER(SEARCH("governance",P348))),"Governance &amp; transparency",IF(OR(ISNUMBER(SEARCH("police",P348)),ISNUMBER(SEARCH("detention",P348)),ISNUMBER(SEARCH("civil rights",P348)),ISNUMBER(SEARCH("justice",P348))),"Civil rights &amp; justice",IF(OR(ISNUMBER(SEARCH("road",P348)),ISNUMBER(SEARCH("utility",P348)),ISNUMBER(SEARCH("infrastructure",P348)),ISNUMBER(SEARCH("public service",P348))),"Infrastructure &amp; public services","Other"))))))))))))</x:f>
      </x:c>
      <x:c r="J348" s="16" t="str">
        <x:f>IF(A348="","",IF(OR(ISNUMBER(SEARCH("fatal",Q348)),ISNUMBER(SEARCH("death",Q348)),ISNUMBER(SEARCH("riot",Q348)),ISNUMBER(SEARCH("curfew",Q348)),ISNUMBER(SEARCH("internet shutdown",Q348))),5,MIN(4,1+IF(H348&gt;=7,1,0)+IF(OR(ISNUMBER(SEARCH("hunger strike",Q348)),ISNUMBER(SEARCH("blockade",Q348)),ISNUMBER(SEARCH("strike",Q348)),ISNUMBER(SEARCH("jal satyagraha",Q348)),ISNUMBER(SEARCH("survey",Q348)),ISNUMBER(SEARCH("human chain",Q348)),ISNUMBER(SEARCH("march",Q348))),1,0)+IF(OR(ISNUMBER(SEARCH("fir",Q348)),ISNUMBER(SEARCH("confrontation",Q348)),ISNUMBER(SEARCH("violence",Q348)),ISNUMBER(SEARCH("detention",Q348)),ISNUMBER(SEARCH("arrest",Q348)),ISNUMBER(SEARCH("demolition",Q348)),ISNUMBER(SEARCH("injury",Q348))),1,0)+IF(OR(D348="Ongoing",D348="Unresolved"),1,0))))</x:f>
      </x:c>
      <x:c r="K348" s="16" t="str">
        <x:f>IF(J348="","",IF(J348=1,"Limited",IF(J348=2,"Local",IF(J348=3,"Significant",IF(J348=4,"High","Critical")))))</x:f>
      </x:c>
      <x:c r="L348" s="16" t="str">
        <x:f>IF(A348="","",Events!U347)</x:f>
      </x:c>
      <x:c r="M348" s="16" t="str">
        <x:f>IF(A348="","",Events!V347)</x:f>
      </x:c>
      <x:c r="N348" s="16" t="str">
        <x:f>IF(A348="","",Events!Q347)</x:f>
      </x:c>
      <x:c r="O348" s="16" t="str">
        <x:f>IF(A348="","",Events!R347)</x:f>
      </x:c>
      <x:c r="P348" s="16" t="str">
        <x:f>IF(A348="","",LOWER(Events!B347&amp;" "&amp;Events!D347&amp;" "&amp;Events!K347))</x:f>
      </x:c>
      <x:c r="Q348" s="16" t="str">
        <x:f>IF(A348="","",LOWER(Events!C347&amp;" "&amp;Events!K347&amp;" "&amp;Events!T347))</x:f>
      </x:c>
      <x:c r="R348" s="16" t="str">
        <x:f>IF(A348="","",IF(ISNUMBER(SEARCH("Occurrence verified",E348)),"Occurrence verified",E348))</x:f>
      </x:c>
      <x:c r="S348" s="79" t="str">
        <x:f>IF(A348="","",Events!X347)</x:f>
      </x:c>
      <x:c r="Z348" s="79" t="str">
        <x:f>IF(A348="","",Events!AD347)</x:f>
      </x:c>
      <x:c r="AA348" s="79" t="str">
        <x:f>IF(A348="","",Events!AE347)</x:f>
      </x:c>
    </x:row>
    <x:row r="349">
      <x:c r="A349" s="16" t="str">
        <x:f>IF(Events!A348="","",Events!A348)</x:f>
      </x:c>
      <x:c r="B349" s="16" t="str">
        <x:f>IF(A349="","",Events!B348)</x:f>
      </x:c>
      <x:c r="C349" s="16" t="str">
        <x:f>IF(A349="","",Events!E348)</x:f>
      </x:c>
      <x:c r="D349" s="16" t="str">
        <x:f>IF(A349="","",Events!J348)</x:f>
      </x:c>
      <x:c r="E349" s="16" t="str">
        <x:f>IF(A349="","",Events!N348)</x:f>
      </x:c>
      <x:c r="F349" s="109" t="str">
        <x:f>IF(OR(A349="",Events!H348=""),"",Events!H348)</x:f>
      </x:c>
      <x:c r="G349" s="109" t="str">
        <x:f>IF(A349="","",IF(Events!I348&lt;&gt;"",Events!I348,IF(Events!S348&lt;&gt;"",Events!S348,"")))</x:f>
      </x:c>
      <x:c r="H349" s="16" t="str">
        <x:f>IF(A349="","",Events!W348)</x:f>
      </x:c>
      <x:c r="I349" s="16" t="str">
        <x:f>IF(A349="","",IF(Events!Y348&lt;&gt;"",Events!Y348,IF(OR(ISNUMBER(SEARCH("education",P349)),ISNUMBER(SEARCH("exam",P349)),ISNUMBER(SEARCH("school",P349))),"Education",IF(OR(ISNUMBER(SEARCH("trade agreement",P349)),ISNUMBER(SEARCH("economic",P349)),ISNUMBER(SEARCH("import",P349))),"Trade &amp; economic policy",IF(OR(ISNUMBER(SEARCH("land acquisition",P349)),ISNUMBER(SEARCH("rehabilitation",P349)),ISNUMBER(SEARCH("displacement",P349)),ISNUMBER(SEARCH("township",P349))),"Land &amp; rehabilitation",IF(OR(ISNUMBER(SEARCH("forest",P349)),ISNUMBER(SEARCH("environment",P349)),ISNUMBER(SEARCH("ecological",P349)),ISNUMBER(SEARCH("biodiversity",P349)),ISNUMBER(SEARCH("green cover",P349))),"Environment",IF(OR(ISNUMBER(SEARCH("irrigation",P349)),ISNUMBER(SEARCH("water",P349)),ISNUMBER(SEARCH("crop",P349)),ISNUMBER(SEARCH("farmer",P349)),ISNUMBER(SEARCH("agriculture",P349))),"Agriculture &amp; water",IF(OR(ISNUMBER(SEARCH("health",P349)),ISNUMBER(SEARCH("hospital",P349)),ISNUMBER(SEARCH("medicine",P349))),"Public health",IF(OR(ISNUMBER(SEARCH("employee",P349)),ISNUMBER(SEARCH("labour",P349)),ISNUMBER(SEARCH("worker",P349)),ISNUMBER(SEARCH("salary",P349))),"Labour &amp; employment",IF(OR(ISNUMBER(SEARCH("rti",P349)),ISNUMBER(SEARCH("transparency",P349)),ISNUMBER(SEARCH("corruption",P349)),ISNUMBER(SEARCH("governance",P349))),"Governance &amp; transparency",IF(OR(ISNUMBER(SEARCH("police",P349)),ISNUMBER(SEARCH("detention",P349)),ISNUMBER(SEARCH("civil rights",P349)),ISNUMBER(SEARCH("justice",P349))),"Civil rights &amp; justice",IF(OR(ISNUMBER(SEARCH("road",P349)),ISNUMBER(SEARCH("utility",P349)),ISNUMBER(SEARCH("infrastructure",P349)),ISNUMBER(SEARCH("public service",P349))),"Infrastructure &amp; public services","Other"))))))))))))</x:f>
      </x:c>
      <x:c r="J349" s="16" t="str">
        <x:f>IF(A349="","",IF(OR(ISNUMBER(SEARCH("fatal",Q349)),ISNUMBER(SEARCH("death",Q349)),ISNUMBER(SEARCH("riot",Q349)),ISNUMBER(SEARCH("curfew",Q349)),ISNUMBER(SEARCH("internet shutdown",Q349))),5,MIN(4,1+IF(H349&gt;=7,1,0)+IF(OR(ISNUMBER(SEARCH("hunger strike",Q349)),ISNUMBER(SEARCH("blockade",Q349)),ISNUMBER(SEARCH("strike",Q349)),ISNUMBER(SEARCH("jal satyagraha",Q349)),ISNUMBER(SEARCH("survey",Q349)),ISNUMBER(SEARCH("human chain",Q349)),ISNUMBER(SEARCH("march",Q349))),1,0)+IF(OR(ISNUMBER(SEARCH("fir",Q349)),ISNUMBER(SEARCH("confrontation",Q349)),ISNUMBER(SEARCH("violence",Q349)),ISNUMBER(SEARCH("detention",Q349)),ISNUMBER(SEARCH("arrest",Q349)),ISNUMBER(SEARCH("demolition",Q349)),ISNUMBER(SEARCH("injury",Q349))),1,0)+IF(OR(D349="Ongoing",D349="Unresolved"),1,0))))</x:f>
      </x:c>
      <x:c r="K349" s="16" t="str">
        <x:f>IF(J349="","",IF(J349=1,"Limited",IF(J349=2,"Local",IF(J349=3,"Significant",IF(J349=4,"High","Critical")))))</x:f>
      </x:c>
      <x:c r="L349" s="16" t="str">
        <x:f>IF(A349="","",Events!U348)</x:f>
      </x:c>
      <x:c r="M349" s="16" t="str">
        <x:f>IF(A349="","",Events!V348)</x:f>
      </x:c>
      <x:c r="N349" s="16" t="str">
        <x:f>IF(A349="","",Events!Q348)</x:f>
      </x:c>
      <x:c r="O349" s="16" t="str">
        <x:f>IF(A349="","",Events!R348)</x:f>
      </x:c>
      <x:c r="P349" s="16" t="str">
        <x:f>IF(A349="","",LOWER(Events!B348&amp;" "&amp;Events!D348&amp;" "&amp;Events!K348))</x:f>
      </x:c>
      <x:c r="Q349" s="16" t="str">
        <x:f>IF(A349="","",LOWER(Events!C348&amp;" "&amp;Events!K348&amp;" "&amp;Events!T348))</x:f>
      </x:c>
      <x:c r="R349" s="16" t="str">
        <x:f>IF(A349="","",IF(ISNUMBER(SEARCH("Occurrence verified",E349)),"Occurrence verified",E349))</x:f>
      </x:c>
      <x:c r="S349" s="79" t="str">
        <x:f>IF(A349="","",Events!X348)</x:f>
      </x:c>
      <x:c r="Z349" s="79" t="str">
        <x:f>IF(A349="","",Events!AD348)</x:f>
      </x:c>
      <x:c r="AA349" s="79" t="str">
        <x:f>IF(A349="","",Events!AE348)</x:f>
      </x:c>
    </x:row>
    <x:row r="350">
      <x:c r="A350" s="16" t="str">
        <x:f>IF(Events!A349="","",Events!A349)</x:f>
      </x:c>
      <x:c r="B350" s="16" t="str">
        <x:f>IF(A350="","",Events!B349)</x:f>
      </x:c>
      <x:c r="C350" s="16" t="str">
        <x:f>IF(A350="","",Events!E349)</x:f>
      </x:c>
      <x:c r="D350" s="16" t="str">
        <x:f>IF(A350="","",Events!J349)</x:f>
      </x:c>
      <x:c r="E350" s="16" t="str">
        <x:f>IF(A350="","",Events!N349)</x:f>
      </x:c>
      <x:c r="F350" s="109" t="str">
        <x:f>IF(OR(A350="",Events!H349=""),"",Events!H349)</x:f>
      </x:c>
      <x:c r="G350" s="109" t="str">
        <x:f>IF(A350="","",IF(Events!I349&lt;&gt;"",Events!I349,IF(Events!S349&lt;&gt;"",Events!S349,"")))</x:f>
      </x:c>
      <x:c r="H350" s="16" t="str">
        <x:f>IF(A350="","",Events!W349)</x:f>
      </x:c>
      <x:c r="I350" s="16" t="str">
        <x:f>IF(A350="","",IF(Events!Y349&lt;&gt;"",Events!Y349,IF(OR(ISNUMBER(SEARCH("education",P350)),ISNUMBER(SEARCH("exam",P350)),ISNUMBER(SEARCH("school",P350))),"Education",IF(OR(ISNUMBER(SEARCH("trade agreement",P350)),ISNUMBER(SEARCH("economic",P350)),ISNUMBER(SEARCH("import",P350))),"Trade &amp; economic policy",IF(OR(ISNUMBER(SEARCH("land acquisition",P350)),ISNUMBER(SEARCH("rehabilitation",P350)),ISNUMBER(SEARCH("displacement",P350)),ISNUMBER(SEARCH("township",P350))),"Land &amp; rehabilitation",IF(OR(ISNUMBER(SEARCH("forest",P350)),ISNUMBER(SEARCH("environment",P350)),ISNUMBER(SEARCH("ecological",P350)),ISNUMBER(SEARCH("biodiversity",P350)),ISNUMBER(SEARCH("green cover",P350))),"Environment",IF(OR(ISNUMBER(SEARCH("irrigation",P350)),ISNUMBER(SEARCH("water",P350)),ISNUMBER(SEARCH("crop",P350)),ISNUMBER(SEARCH("farmer",P350)),ISNUMBER(SEARCH("agriculture",P350))),"Agriculture &amp; water",IF(OR(ISNUMBER(SEARCH("health",P350)),ISNUMBER(SEARCH("hospital",P350)),ISNUMBER(SEARCH("medicine",P350))),"Public health",IF(OR(ISNUMBER(SEARCH("employee",P350)),ISNUMBER(SEARCH("labour",P350)),ISNUMBER(SEARCH("worker",P350)),ISNUMBER(SEARCH("salary",P350))),"Labour &amp; employment",IF(OR(ISNUMBER(SEARCH("rti",P350)),ISNUMBER(SEARCH("transparency",P350)),ISNUMBER(SEARCH("corruption",P350)),ISNUMBER(SEARCH("governance",P350))),"Governance &amp; transparency",IF(OR(ISNUMBER(SEARCH("police",P350)),ISNUMBER(SEARCH("detention",P350)),ISNUMBER(SEARCH("civil rights",P350)),ISNUMBER(SEARCH("justice",P350))),"Civil rights &amp; justice",IF(OR(ISNUMBER(SEARCH("road",P350)),ISNUMBER(SEARCH("utility",P350)),ISNUMBER(SEARCH("infrastructure",P350)),ISNUMBER(SEARCH("public service",P350))),"Infrastructure &amp; public services","Other"))))))))))))</x:f>
      </x:c>
      <x:c r="J350" s="16" t="str">
        <x:f>IF(A350="","",IF(OR(ISNUMBER(SEARCH("fatal",Q350)),ISNUMBER(SEARCH("death",Q350)),ISNUMBER(SEARCH("riot",Q350)),ISNUMBER(SEARCH("curfew",Q350)),ISNUMBER(SEARCH("internet shutdown",Q350))),5,MIN(4,1+IF(H350&gt;=7,1,0)+IF(OR(ISNUMBER(SEARCH("hunger strike",Q350)),ISNUMBER(SEARCH("blockade",Q350)),ISNUMBER(SEARCH("strike",Q350)),ISNUMBER(SEARCH("jal satyagraha",Q350)),ISNUMBER(SEARCH("survey",Q350)),ISNUMBER(SEARCH("human chain",Q350)),ISNUMBER(SEARCH("march",Q350))),1,0)+IF(OR(ISNUMBER(SEARCH("fir",Q350)),ISNUMBER(SEARCH("confrontation",Q350)),ISNUMBER(SEARCH("violence",Q350)),ISNUMBER(SEARCH("detention",Q350)),ISNUMBER(SEARCH("arrest",Q350)),ISNUMBER(SEARCH("demolition",Q350)),ISNUMBER(SEARCH("injury",Q350))),1,0)+IF(OR(D350="Ongoing",D350="Unresolved"),1,0))))</x:f>
      </x:c>
      <x:c r="K350" s="16" t="str">
        <x:f>IF(J350="","",IF(J350=1,"Limited",IF(J350=2,"Local",IF(J350=3,"Significant",IF(J350=4,"High","Critical")))))</x:f>
      </x:c>
      <x:c r="L350" s="16" t="str">
        <x:f>IF(A350="","",Events!U349)</x:f>
      </x:c>
      <x:c r="M350" s="16" t="str">
        <x:f>IF(A350="","",Events!V349)</x:f>
      </x:c>
      <x:c r="N350" s="16" t="str">
        <x:f>IF(A350="","",Events!Q349)</x:f>
      </x:c>
      <x:c r="O350" s="16" t="str">
        <x:f>IF(A350="","",Events!R349)</x:f>
      </x:c>
      <x:c r="P350" s="16" t="str">
        <x:f>IF(A350="","",LOWER(Events!B349&amp;" "&amp;Events!D349&amp;" "&amp;Events!K349))</x:f>
      </x:c>
      <x:c r="Q350" s="16" t="str">
        <x:f>IF(A350="","",LOWER(Events!C349&amp;" "&amp;Events!K349&amp;" "&amp;Events!T349))</x:f>
      </x:c>
      <x:c r="R350" s="16" t="str">
        <x:f>IF(A350="","",IF(ISNUMBER(SEARCH("Occurrence verified",E350)),"Occurrence verified",E350))</x:f>
      </x:c>
      <x:c r="S350" s="79" t="str">
        <x:f>IF(A350="","",Events!X349)</x:f>
      </x:c>
      <x:c r="Z350" s="79" t="str">
        <x:f>IF(A350="","",Events!AD349)</x:f>
      </x:c>
      <x:c r="AA350" s="79" t="str">
        <x:f>IF(A350="","",Events!AE349)</x:f>
      </x:c>
    </x:row>
    <x:row r="351">
      <x:c r="A351" s="16" t="str">
        <x:f>IF(Events!A350="","",Events!A350)</x:f>
      </x:c>
      <x:c r="B351" s="16" t="str">
        <x:f>IF(A351="","",Events!B350)</x:f>
      </x:c>
      <x:c r="C351" s="16" t="str">
        <x:f>IF(A351="","",Events!E350)</x:f>
      </x:c>
      <x:c r="D351" s="16" t="str">
        <x:f>IF(A351="","",Events!J350)</x:f>
      </x:c>
      <x:c r="E351" s="16" t="str">
        <x:f>IF(A351="","",Events!N350)</x:f>
      </x:c>
      <x:c r="F351" s="109" t="str">
        <x:f>IF(OR(A351="",Events!H350=""),"",Events!H350)</x:f>
      </x:c>
      <x:c r="G351" s="109" t="str">
        <x:f>IF(A351="","",IF(Events!I350&lt;&gt;"",Events!I350,IF(Events!S350&lt;&gt;"",Events!S350,"")))</x:f>
      </x:c>
      <x:c r="H351" s="16" t="str">
        <x:f>IF(A351="","",Events!W350)</x:f>
      </x:c>
      <x:c r="I351" s="16" t="str">
        <x:f>IF(A351="","",IF(Events!Y350&lt;&gt;"",Events!Y350,IF(OR(ISNUMBER(SEARCH("education",P351)),ISNUMBER(SEARCH("exam",P351)),ISNUMBER(SEARCH("school",P351))),"Education",IF(OR(ISNUMBER(SEARCH("trade agreement",P351)),ISNUMBER(SEARCH("economic",P351)),ISNUMBER(SEARCH("import",P351))),"Trade &amp; economic policy",IF(OR(ISNUMBER(SEARCH("land acquisition",P351)),ISNUMBER(SEARCH("rehabilitation",P351)),ISNUMBER(SEARCH("displacement",P351)),ISNUMBER(SEARCH("township",P351))),"Land &amp; rehabilitation",IF(OR(ISNUMBER(SEARCH("forest",P351)),ISNUMBER(SEARCH("environment",P351)),ISNUMBER(SEARCH("ecological",P351)),ISNUMBER(SEARCH("biodiversity",P351)),ISNUMBER(SEARCH("green cover",P351))),"Environment",IF(OR(ISNUMBER(SEARCH("irrigation",P351)),ISNUMBER(SEARCH("water",P351)),ISNUMBER(SEARCH("crop",P351)),ISNUMBER(SEARCH("farmer",P351)),ISNUMBER(SEARCH("agriculture",P351))),"Agriculture &amp; water",IF(OR(ISNUMBER(SEARCH("health",P351)),ISNUMBER(SEARCH("hospital",P351)),ISNUMBER(SEARCH("medicine",P351))),"Public health",IF(OR(ISNUMBER(SEARCH("employee",P351)),ISNUMBER(SEARCH("labour",P351)),ISNUMBER(SEARCH("worker",P351)),ISNUMBER(SEARCH("salary",P351))),"Labour &amp; employment",IF(OR(ISNUMBER(SEARCH("rti",P351)),ISNUMBER(SEARCH("transparency",P351)),ISNUMBER(SEARCH("corruption",P351)),ISNUMBER(SEARCH("governance",P351))),"Governance &amp; transparency",IF(OR(ISNUMBER(SEARCH("police",P351)),ISNUMBER(SEARCH("detention",P351)),ISNUMBER(SEARCH("civil rights",P351)),ISNUMBER(SEARCH("justice",P351))),"Civil rights &amp; justice",IF(OR(ISNUMBER(SEARCH("road",P351)),ISNUMBER(SEARCH("utility",P351)),ISNUMBER(SEARCH("infrastructure",P351)),ISNUMBER(SEARCH("public service",P351))),"Infrastructure &amp; public services","Other"))))))))))))</x:f>
      </x:c>
      <x:c r="J351" s="16" t="str">
        <x:f>IF(A351="","",IF(OR(ISNUMBER(SEARCH("fatal",Q351)),ISNUMBER(SEARCH("death",Q351)),ISNUMBER(SEARCH("riot",Q351)),ISNUMBER(SEARCH("curfew",Q351)),ISNUMBER(SEARCH("internet shutdown",Q351))),5,MIN(4,1+IF(H351&gt;=7,1,0)+IF(OR(ISNUMBER(SEARCH("hunger strike",Q351)),ISNUMBER(SEARCH("blockade",Q351)),ISNUMBER(SEARCH("strike",Q351)),ISNUMBER(SEARCH("jal satyagraha",Q351)),ISNUMBER(SEARCH("survey",Q351)),ISNUMBER(SEARCH("human chain",Q351)),ISNUMBER(SEARCH("march",Q351))),1,0)+IF(OR(ISNUMBER(SEARCH("fir",Q351)),ISNUMBER(SEARCH("confrontation",Q351)),ISNUMBER(SEARCH("violence",Q351)),ISNUMBER(SEARCH("detention",Q351)),ISNUMBER(SEARCH("arrest",Q351)),ISNUMBER(SEARCH("demolition",Q351)),ISNUMBER(SEARCH("injury",Q351))),1,0)+IF(OR(D351="Ongoing",D351="Unresolved"),1,0))))</x:f>
      </x:c>
      <x:c r="K351" s="16" t="str">
        <x:f>IF(J351="","",IF(J351=1,"Limited",IF(J351=2,"Local",IF(J351=3,"Significant",IF(J351=4,"High","Critical")))))</x:f>
      </x:c>
      <x:c r="L351" s="16" t="str">
        <x:f>IF(A351="","",Events!U350)</x:f>
      </x:c>
      <x:c r="M351" s="16" t="str">
        <x:f>IF(A351="","",Events!V350)</x:f>
      </x:c>
      <x:c r="N351" s="16" t="str">
        <x:f>IF(A351="","",Events!Q350)</x:f>
      </x:c>
      <x:c r="O351" s="16" t="str">
        <x:f>IF(A351="","",Events!R350)</x:f>
      </x:c>
      <x:c r="P351" s="16" t="str">
        <x:f>IF(A351="","",LOWER(Events!B350&amp;" "&amp;Events!D350&amp;" "&amp;Events!K350))</x:f>
      </x:c>
      <x:c r="Q351" s="16" t="str">
        <x:f>IF(A351="","",LOWER(Events!C350&amp;" "&amp;Events!K350&amp;" "&amp;Events!T350))</x:f>
      </x:c>
      <x:c r="R351" s="16" t="str">
        <x:f>IF(A351="","",IF(ISNUMBER(SEARCH("Occurrence verified",E351)),"Occurrence verified",E351))</x:f>
      </x:c>
      <x:c r="S351" s="79" t="str">
        <x:f>IF(A351="","",Events!X350)</x:f>
      </x:c>
      <x:c r="Z351" s="79" t="str">
        <x:f>IF(A351="","",Events!AD350)</x:f>
      </x:c>
      <x:c r="AA351" s="79" t="str">
        <x:f>IF(A351="","",Events!AE350)</x:f>
      </x:c>
    </x:row>
    <x:row r="352">
      <x:c r="A352" s="16" t="str">
        <x:f>IF(Events!A351="","",Events!A351)</x:f>
      </x:c>
      <x:c r="B352" s="16" t="str">
        <x:f>IF(A352="","",Events!B351)</x:f>
      </x:c>
      <x:c r="C352" s="16" t="str">
        <x:f>IF(A352="","",Events!E351)</x:f>
      </x:c>
      <x:c r="D352" s="16" t="str">
        <x:f>IF(A352="","",Events!J351)</x:f>
      </x:c>
      <x:c r="E352" s="16" t="str">
        <x:f>IF(A352="","",Events!N351)</x:f>
      </x:c>
      <x:c r="F352" s="109" t="str">
        <x:f>IF(OR(A352="",Events!H351=""),"",Events!H351)</x:f>
      </x:c>
      <x:c r="G352" s="109" t="str">
        <x:f>IF(A352="","",IF(Events!I351&lt;&gt;"",Events!I351,IF(Events!S351&lt;&gt;"",Events!S351,"")))</x:f>
      </x:c>
      <x:c r="H352" s="16" t="str">
        <x:f>IF(A352="","",Events!W351)</x:f>
      </x:c>
      <x:c r="I352" s="16" t="str">
        <x:f>IF(A352="","",IF(Events!Y351&lt;&gt;"",Events!Y351,IF(OR(ISNUMBER(SEARCH("education",P352)),ISNUMBER(SEARCH("exam",P352)),ISNUMBER(SEARCH("school",P352))),"Education",IF(OR(ISNUMBER(SEARCH("trade agreement",P352)),ISNUMBER(SEARCH("economic",P352)),ISNUMBER(SEARCH("import",P352))),"Trade &amp; economic policy",IF(OR(ISNUMBER(SEARCH("land acquisition",P352)),ISNUMBER(SEARCH("rehabilitation",P352)),ISNUMBER(SEARCH("displacement",P352)),ISNUMBER(SEARCH("township",P352))),"Land &amp; rehabilitation",IF(OR(ISNUMBER(SEARCH("forest",P352)),ISNUMBER(SEARCH("environment",P352)),ISNUMBER(SEARCH("ecological",P352)),ISNUMBER(SEARCH("biodiversity",P352)),ISNUMBER(SEARCH("green cover",P352))),"Environment",IF(OR(ISNUMBER(SEARCH("irrigation",P352)),ISNUMBER(SEARCH("water",P352)),ISNUMBER(SEARCH("crop",P352)),ISNUMBER(SEARCH("farmer",P352)),ISNUMBER(SEARCH("agriculture",P352))),"Agriculture &amp; water",IF(OR(ISNUMBER(SEARCH("health",P352)),ISNUMBER(SEARCH("hospital",P352)),ISNUMBER(SEARCH("medicine",P352))),"Public health",IF(OR(ISNUMBER(SEARCH("employee",P352)),ISNUMBER(SEARCH("labour",P352)),ISNUMBER(SEARCH("worker",P352)),ISNUMBER(SEARCH("salary",P352))),"Labour &amp; employment",IF(OR(ISNUMBER(SEARCH("rti",P352)),ISNUMBER(SEARCH("transparency",P352)),ISNUMBER(SEARCH("corruption",P352)),ISNUMBER(SEARCH("governance",P352))),"Governance &amp; transparency",IF(OR(ISNUMBER(SEARCH("police",P352)),ISNUMBER(SEARCH("detention",P352)),ISNUMBER(SEARCH("civil rights",P352)),ISNUMBER(SEARCH("justice",P352))),"Civil rights &amp; justice",IF(OR(ISNUMBER(SEARCH("road",P352)),ISNUMBER(SEARCH("utility",P352)),ISNUMBER(SEARCH("infrastructure",P352)),ISNUMBER(SEARCH("public service",P352))),"Infrastructure &amp; public services","Other"))))))))))))</x:f>
      </x:c>
      <x:c r="J352" s="16" t="str">
        <x:f>IF(A352="","",IF(OR(ISNUMBER(SEARCH("fatal",Q352)),ISNUMBER(SEARCH("death",Q352)),ISNUMBER(SEARCH("riot",Q352)),ISNUMBER(SEARCH("curfew",Q352)),ISNUMBER(SEARCH("internet shutdown",Q352))),5,MIN(4,1+IF(H352&gt;=7,1,0)+IF(OR(ISNUMBER(SEARCH("hunger strike",Q352)),ISNUMBER(SEARCH("blockade",Q352)),ISNUMBER(SEARCH("strike",Q352)),ISNUMBER(SEARCH("jal satyagraha",Q352)),ISNUMBER(SEARCH("survey",Q352)),ISNUMBER(SEARCH("human chain",Q352)),ISNUMBER(SEARCH("march",Q352))),1,0)+IF(OR(ISNUMBER(SEARCH("fir",Q352)),ISNUMBER(SEARCH("confrontation",Q352)),ISNUMBER(SEARCH("violence",Q352)),ISNUMBER(SEARCH("detention",Q352)),ISNUMBER(SEARCH("arrest",Q352)),ISNUMBER(SEARCH("demolition",Q352)),ISNUMBER(SEARCH("injury",Q352))),1,0)+IF(OR(D352="Ongoing",D352="Unresolved"),1,0))))</x:f>
      </x:c>
      <x:c r="K352" s="16" t="str">
        <x:f>IF(J352="","",IF(J352=1,"Limited",IF(J352=2,"Local",IF(J352=3,"Significant",IF(J352=4,"High","Critical")))))</x:f>
      </x:c>
      <x:c r="L352" s="16" t="str">
        <x:f>IF(A352="","",Events!U351)</x:f>
      </x:c>
      <x:c r="M352" s="16" t="str">
        <x:f>IF(A352="","",Events!V351)</x:f>
      </x:c>
      <x:c r="N352" s="16" t="str">
        <x:f>IF(A352="","",Events!Q351)</x:f>
      </x:c>
      <x:c r="O352" s="16" t="str">
        <x:f>IF(A352="","",Events!R351)</x:f>
      </x:c>
      <x:c r="P352" s="16" t="str">
        <x:f>IF(A352="","",LOWER(Events!B351&amp;" "&amp;Events!D351&amp;" "&amp;Events!K351))</x:f>
      </x:c>
      <x:c r="Q352" s="16" t="str">
        <x:f>IF(A352="","",LOWER(Events!C351&amp;" "&amp;Events!K351&amp;" "&amp;Events!T351))</x:f>
      </x:c>
      <x:c r="R352" s="16" t="str">
        <x:f>IF(A352="","",IF(ISNUMBER(SEARCH("Occurrence verified",E352)),"Occurrence verified",E352))</x:f>
      </x:c>
      <x:c r="S352" s="79" t="str">
        <x:f>IF(A352="","",Events!X351)</x:f>
      </x:c>
      <x:c r="Z352" s="79" t="str">
        <x:f>IF(A352="","",Events!AD351)</x:f>
      </x:c>
      <x:c r="AA352" s="79" t="str">
        <x:f>IF(A352="","",Events!AE351)</x:f>
      </x:c>
    </x:row>
    <x:row r="353">
      <x:c r="A353" s="16" t="str">
        <x:f>IF(Events!A352="","",Events!A352)</x:f>
      </x:c>
      <x:c r="B353" s="16" t="str">
        <x:f>IF(A353="","",Events!B352)</x:f>
      </x:c>
      <x:c r="C353" s="16" t="str">
        <x:f>IF(A353="","",Events!E352)</x:f>
      </x:c>
      <x:c r="D353" s="16" t="str">
        <x:f>IF(A353="","",Events!J352)</x:f>
      </x:c>
      <x:c r="E353" s="16" t="str">
        <x:f>IF(A353="","",Events!N352)</x:f>
      </x:c>
      <x:c r="F353" s="109" t="str">
        <x:f>IF(OR(A353="",Events!H352=""),"",Events!H352)</x:f>
      </x:c>
      <x:c r="G353" s="109" t="str">
        <x:f>IF(A353="","",IF(Events!I352&lt;&gt;"",Events!I352,IF(Events!S352&lt;&gt;"",Events!S352,"")))</x:f>
      </x:c>
      <x:c r="H353" s="16" t="str">
        <x:f>IF(A353="","",Events!W352)</x:f>
      </x:c>
      <x:c r="I353" s="16" t="str">
        <x:f>IF(A353="","",IF(Events!Y352&lt;&gt;"",Events!Y352,IF(OR(ISNUMBER(SEARCH("education",P353)),ISNUMBER(SEARCH("exam",P353)),ISNUMBER(SEARCH("school",P353))),"Education",IF(OR(ISNUMBER(SEARCH("trade agreement",P353)),ISNUMBER(SEARCH("economic",P353)),ISNUMBER(SEARCH("import",P353))),"Trade &amp; economic policy",IF(OR(ISNUMBER(SEARCH("land acquisition",P353)),ISNUMBER(SEARCH("rehabilitation",P353)),ISNUMBER(SEARCH("displacement",P353)),ISNUMBER(SEARCH("township",P353))),"Land &amp; rehabilitation",IF(OR(ISNUMBER(SEARCH("forest",P353)),ISNUMBER(SEARCH("environment",P353)),ISNUMBER(SEARCH("ecological",P353)),ISNUMBER(SEARCH("biodiversity",P353)),ISNUMBER(SEARCH("green cover",P353))),"Environment",IF(OR(ISNUMBER(SEARCH("irrigation",P353)),ISNUMBER(SEARCH("water",P353)),ISNUMBER(SEARCH("crop",P353)),ISNUMBER(SEARCH("farmer",P353)),ISNUMBER(SEARCH("agriculture",P353))),"Agriculture &amp; water",IF(OR(ISNUMBER(SEARCH("health",P353)),ISNUMBER(SEARCH("hospital",P353)),ISNUMBER(SEARCH("medicine",P353))),"Public health",IF(OR(ISNUMBER(SEARCH("employee",P353)),ISNUMBER(SEARCH("labour",P353)),ISNUMBER(SEARCH("worker",P353)),ISNUMBER(SEARCH("salary",P353))),"Labour &amp; employment",IF(OR(ISNUMBER(SEARCH("rti",P353)),ISNUMBER(SEARCH("transparency",P353)),ISNUMBER(SEARCH("corruption",P353)),ISNUMBER(SEARCH("governance",P353))),"Governance &amp; transparency",IF(OR(ISNUMBER(SEARCH("police",P353)),ISNUMBER(SEARCH("detention",P353)),ISNUMBER(SEARCH("civil rights",P353)),ISNUMBER(SEARCH("justice",P353))),"Civil rights &amp; justice",IF(OR(ISNUMBER(SEARCH("road",P353)),ISNUMBER(SEARCH("utility",P353)),ISNUMBER(SEARCH("infrastructure",P353)),ISNUMBER(SEARCH("public service",P353))),"Infrastructure &amp; public services","Other"))))))))))))</x:f>
      </x:c>
      <x:c r="J353" s="16" t="str">
        <x:f>IF(A353="","",IF(OR(ISNUMBER(SEARCH("fatal",Q353)),ISNUMBER(SEARCH("death",Q353)),ISNUMBER(SEARCH("riot",Q353)),ISNUMBER(SEARCH("curfew",Q353)),ISNUMBER(SEARCH("internet shutdown",Q353))),5,MIN(4,1+IF(H353&gt;=7,1,0)+IF(OR(ISNUMBER(SEARCH("hunger strike",Q353)),ISNUMBER(SEARCH("blockade",Q353)),ISNUMBER(SEARCH("strike",Q353)),ISNUMBER(SEARCH("jal satyagraha",Q353)),ISNUMBER(SEARCH("survey",Q353)),ISNUMBER(SEARCH("human chain",Q353)),ISNUMBER(SEARCH("march",Q353))),1,0)+IF(OR(ISNUMBER(SEARCH("fir",Q353)),ISNUMBER(SEARCH("confrontation",Q353)),ISNUMBER(SEARCH("violence",Q353)),ISNUMBER(SEARCH("detention",Q353)),ISNUMBER(SEARCH("arrest",Q353)),ISNUMBER(SEARCH("demolition",Q353)),ISNUMBER(SEARCH("injury",Q353))),1,0)+IF(OR(D353="Ongoing",D353="Unresolved"),1,0))))</x:f>
      </x:c>
      <x:c r="K353" s="16" t="str">
        <x:f>IF(J353="","",IF(J353=1,"Limited",IF(J353=2,"Local",IF(J353=3,"Significant",IF(J353=4,"High","Critical")))))</x:f>
      </x:c>
      <x:c r="L353" s="16" t="str">
        <x:f>IF(A353="","",Events!U352)</x:f>
      </x:c>
      <x:c r="M353" s="16" t="str">
        <x:f>IF(A353="","",Events!V352)</x:f>
      </x:c>
      <x:c r="N353" s="16" t="str">
        <x:f>IF(A353="","",Events!Q352)</x:f>
      </x:c>
      <x:c r="O353" s="16" t="str">
        <x:f>IF(A353="","",Events!R352)</x:f>
      </x:c>
      <x:c r="P353" s="16" t="str">
        <x:f>IF(A353="","",LOWER(Events!B352&amp;" "&amp;Events!D352&amp;" "&amp;Events!K352))</x:f>
      </x:c>
      <x:c r="Q353" s="16" t="str">
        <x:f>IF(A353="","",LOWER(Events!C352&amp;" "&amp;Events!K352&amp;" "&amp;Events!T352))</x:f>
      </x:c>
      <x:c r="R353" s="16" t="str">
        <x:f>IF(A353="","",IF(ISNUMBER(SEARCH("Occurrence verified",E353)),"Occurrence verified",E353))</x:f>
      </x:c>
      <x:c r="S353" s="79" t="str">
        <x:f>IF(A353="","",Events!X352)</x:f>
      </x:c>
      <x:c r="Z353" s="79" t="str">
        <x:f>IF(A353="","",Events!AD352)</x:f>
      </x:c>
      <x:c r="AA353" s="79" t="str">
        <x:f>IF(A353="","",Events!AE352)</x:f>
      </x:c>
    </x:row>
    <x:row r="354">
      <x:c r="A354" s="16" t="str">
        <x:f>IF(Events!A353="","",Events!A353)</x:f>
      </x:c>
      <x:c r="B354" s="16" t="str">
        <x:f>IF(A354="","",Events!B353)</x:f>
      </x:c>
      <x:c r="C354" s="16" t="str">
        <x:f>IF(A354="","",Events!E353)</x:f>
      </x:c>
      <x:c r="D354" s="16" t="str">
        <x:f>IF(A354="","",Events!J353)</x:f>
      </x:c>
      <x:c r="E354" s="16" t="str">
        <x:f>IF(A354="","",Events!N353)</x:f>
      </x:c>
      <x:c r="F354" s="109" t="str">
        <x:f>IF(OR(A354="",Events!H353=""),"",Events!H353)</x:f>
      </x:c>
      <x:c r="G354" s="109" t="str">
        <x:f>IF(A354="","",IF(Events!I353&lt;&gt;"",Events!I353,IF(Events!S353&lt;&gt;"",Events!S353,"")))</x:f>
      </x:c>
      <x:c r="H354" s="16" t="str">
        <x:f>IF(A354="","",Events!W353)</x:f>
      </x:c>
      <x:c r="I354" s="16" t="str">
        <x:f>IF(A354="","",IF(Events!Y353&lt;&gt;"",Events!Y353,IF(OR(ISNUMBER(SEARCH("education",P354)),ISNUMBER(SEARCH("exam",P354)),ISNUMBER(SEARCH("school",P354))),"Education",IF(OR(ISNUMBER(SEARCH("trade agreement",P354)),ISNUMBER(SEARCH("economic",P354)),ISNUMBER(SEARCH("import",P354))),"Trade &amp; economic policy",IF(OR(ISNUMBER(SEARCH("land acquisition",P354)),ISNUMBER(SEARCH("rehabilitation",P354)),ISNUMBER(SEARCH("displacement",P354)),ISNUMBER(SEARCH("township",P354))),"Land &amp; rehabilitation",IF(OR(ISNUMBER(SEARCH("forest",P354)),ISNUMBER(SEARCH("environment",P354)),ISNUMBER(SEARCH("ecological",P354)),ISNUMBER(SEARCH("biodiversity",P354)),ISNUMBER(SEARCH("green cover",P354))),"Environment",IF(OR(ISNUMBER(SEARCH("irrigation",P354)),ISNUMBER(SEARCH("water",P354)),ISNUMBER(SEARCH("crop",P354)),ISNUMBER(SEARCH("farmer",P354)),ISNUMBER(SEARCH("agriculture",P354))),"Agriculture &amp; water",IF(OR(ISNUMBER(SEARCH("health",P354)),ISNUMBER(SEARCH("hospital",P354)),ISNUMBER(SEARCH("medicine",P354))),"Public health",IF(OR(ISNUMBER(SEARCH("employee",P354)),ISNUMBER(SEARCH("labour",P354)),ISNUMBER(SEARCH("worker",P354)),ISNUMBER(SEARCH("salary",P354))),"Labour &amp; employment",IF(OR(ISNUMBER(SEARCH("rti",P354)),ISNUMBER(SEARCH("transparency",P354)),ISNUMBER(SEARCH("corruption",P354)),ISNUMBER(SEARCH("governance",P354))),"Governance &amp; transparency",IF(OR(ISNUMBER(SEARCH("police",P354)),ISNUMBER(SEARCH("detention",P354)),ISNUMBER(SEARCH("civil rights",P354)),ISNUMBER(SEARCH("justice",P354))),"Civil rights &amp; justice",IF(OR(ISNUMBER(SEARCH("road",P354)),ISNUMBER(SEARCH("utility",P354)),ISNUMBER(SEARCH("infrastructure",P354)),ISNUMBER(SEARCH("public service",P354))),"Infrastructure &amp; public services","Other"))))))))))))</x:f>
      </x:c>
      <x:c r="J354" s="16" t="str">
        <x:f>IF(A354="","",IF(OR(ISNUMBER(SEARCH("fatal",Q354)),ISNUMBER(SEARCH("death",Q354)),ISNUMBER(SEARCH("riot",Q354)),ISNUMBER(SEARCH("curfew",Q354)),ISNUMBER(SEARCH("internet shutdown",Q354))),5,MIN(4,1+IF(H354&gt;=7,1,0)+IF(OR(ISNUMBER(SEARCH("hunger strike",Q354)),ISNUMBER(SEARCH("blockade",Q354)),ISNUMBER(SEARCH("strike",Q354)),ISNUMBER(SEARCH("jal satyagraha",Q354)),ISNUMBER(SEARCH("survey",Q354)),ISNUMBER(SEARCH("human chain",Q354)),ISNUMBER(SEARCH("march",Q354))),1,0)+IF(OR(ISNUMBER(SEARCH("fir",Q354)),ISNUMBER(SEARCH("confrontation",Q354)),ISNUMBER(SEARCH("violence",Q354)),ISNUMBER(SEARCH("detention",Q354)),ISNUMBER(SEARCH("arrest",Q354)),ISNUMBER(SEARCH("demolition",Q354)),ISNUMBER(SEARCH("injury",Q354))),1,0)+IF(OR(D354="Ongoing",D354="Unresolved"),1,0))))</x:f>
      </x:c>
      <x:c r="K354" s="16" t="str">
        <x:f>IF(J354="","",IF(J354=1,"Limited",IF(J354=2,"Local",IF(J354=3,"Significant",IF(J354=4,"High","Critical")))))</x:f>
      </x:c>
      <x:c r="L354" s="16" t="str">
        <x:f>IF(A354="","",Events!U353)</x:f>
      </x:c>
      <x:c r="M354" s="16" t="str">
        <x:f>IF(A354="","",Events!V353)</x:f>
      </x:c>
      <x:c r="N354" s="16" t="str">
        <x:f>IF(A354="","",Events!Q353)</x:f>
      </x:c>
      <x:c r="O354" s="16" t="str">
        <x:f>IF(A354="","",Events!R353)</x:f>
      </x:c>
      <x:c r="P354" s="16" t="str">
        <x:f>IF(A354="","",LOWER(Events!B353&amp;" "&amp;Events!D353&amp;" "&amp;Events!K353))</x:f>
      </x:c>
      <x:c r="Q354" s="16" t="str">
        <x:f>IF(A354="","",LOWER(Events!C353&amp;" "&amp;Events!K353&amp;" "&amp;Events!T353))</x:f>
      </x:c>
      <x:c r="R354" s="16" t="str">
        <x:f>IF(A354="","",IF(ISNUMBER(SEARCH("Occurrence verified",E354)),"Occurrence verified",E354))</x:f>
      </x:c>
      <x:c r="S354" s="79" t="str">
        <x:f>IF(A354="","",Events!X353)</x:f>
      </x:c>
      <x:c r="Z354" s="79" t="str">
        <x:f>IF(A354="","",Events!AD353)</x:f>
      </x:c>
      <x:c r="AA354" s="79" t="str">
        <x:f>IF(A354="","",Events!AE353)</x:f>
      </x:c>
    </x:row>
    <x:row r="355">
      <x:c r="A355" s="16" t="str">
        <x:f>IF(Events!A354="","",Events!A354)</x:f>
      </x:c>
      <x:c r="B355" s="16" t="str">
        <x:f>IF(A355="","",Events!B354)</x:f>
      </x:c>
      <x:c r="C355" s="16" t="str">
        <x:f>IF(A355="","",Events!E354)</x:f>
      </x:c>
      <x:c r="D355" s="16" t="str">
        <x:f>IF(A355="","",Events!J354)</x:f>
      </x:c>
      <x:c r="E355" s="16" t="str">
        <x:f>IF(A355="","",Events!N354)</x:f>
      </x:c>
      <x:c r="F355" s="109" t="str">
        <x:f>IF(OR(A355="",Events!H354=""),"",Events!H354)</x:f>
      </x:c>
      <x:c r="G355" s="109" t="str">
        <x:f>IF(A355="","",IF(Events!I354&lt;&gt;"",Events!I354,IF(Events!S354&lt;&gt;"",Events!S354,"")))</x:f>
      </x:c>
      <x:c r="H355" s="16" t="str">
        <x:f>IF(A355="","",Events!W354)</x:f>
      </x:c>
      <x:c r="I355" s="16" t="str">
        <x:f>IF(A355="","",IF(Events!Y354&lt;&gt;"",Events!Y354,IF(OR(ISNUMBER(SEARCH("education",P355)),ISNUMBER(SEARCH("exam",P355)),ISNUMBER(SEARCH("school",P355))),"Education",IF(OR(ISNUMBER(SEARCH("trade agreement",P355)),ISNUMBER(SEARCH("economic",P355)),ISNUMBER(SEARCH("import",P355))),"Trade &amp; economic policy",IF(OR(ISNUMBER(SEARCH("land acquisition",P355)),ISNUMBER(SEARCH("rehabilitation",P355)),ISNUMBER(SEARCH("displacement",P355)),ISNUMBER(SEARCH("township",P355))),"Land &amp; rehabilitation",IF(OR(ISNUMBER(SEARCH("forest",P355)),ISNUMBER(SEARCH("environment",P355)),ISNUMBER(SEARCH("ecological",P355)),ISNUMBER(SEARCH("biodiversity",P355)),ISNUMBER(SEARCH("green cover",P355))),"Environment",IF(OR(ISNUMBER(SEARCH("irrigation",P355)),ISNUMBER(SEARCH("water",P355)),ISNUMBER(SEARCH("crop",P355)),ISNUMBER(SEARCH("farmer",P355)),ISNUMBER(SEARCH("agriculture",P355))),"Agriculture &amp; water",IF(OR(ISNUMBER(SEARCH("health",P355)),ISNUMBER(SEARCH("hospital",P355)),ISNUMBER(SEARCH("medicine",P355))),"Public health",IF(OR(ISNUMBER(SEARCH("employee",P355)),ISNUMBER(SEARCH("labour",P355)),ISNUMBER(SEARCH("worker",P355)),ISNUMBER(SEARCH("salary",P355))),"Labour &amp; employment",IF(OR(ISNUMBER(SEARCH("rti",P355)),ISNUMBER(SEARCH("transparency",P355)),ISNUMBER(SEARCH("corruption",P355)),ISNUMBER(SEARCH("governance",P355))),"Governance &amp; transparency",IF(OR(ISNUMBER(SEARCH("police",P355)),ISNUMBER(SEARCH("detention",P355)),ISNUMBER(SEARCH("civil rights",P355)),ISNUMBER(SEARCH("justice",P355))),"Civil rights &amp; justice",IF(OR(ISNUMBER(SEARCH("road",P355)),ISNUMBER(SEARCH("utility",P355)),ISNUMBER(SEARCH("infrastructure",P355)),ISNUMBER(SEARCH("public service",P355))),"Infrastructure &amp; public services","Other"))))))))))))</x:f>
      </x:c>
      <x:c r="J355" s="16" t="str">
        <x:f>IF(A355="","",IF(OR(ISNUMBER(SEARCH("fatal",Q355)),ISNUMBER(SEARCH("death",Q355)),ISNUMBER(SEARCH("riot",Q355)),ISNUMBER(SEARCH("curfew",Q355)),ISNUMBER(SEARCH("internet shutdown",Q355))),5,MIN(4,1+IF(H355&gt;=7,1,0)+IF(OR(ISNUMBER(SEARCH("hunger strike",Q355)),ISNUMBER(SEARCH("blockade",Q355)),ISNUMBER(SEARCH("strike",Q355)),ISNUMBER(SEARCH("jal satyagraha",Q355)),ISNUMBER(SEARCH("survey",Q355)),ISNUMBER(SEARCH("human chain",Q355)),ISNUMBER(SEARCH("march",Q355))),1,0)+IF(OR(ISNUMBER(SEARCH("fir",Q355)),ISNUMBER(SEARCH("confrontation",Q355)),ISNUMBER(SEARCH("violence",Q355)),ISNUMBER(SEARCH("detention",Q355)),ISNUMBER(SEARCH("arrest",Q355)),ISNUMBER(SEARCH("demolition",Q355)),ISNUMBER(SEARCH("injury",Q355))),1,0)+IF(OR(D355="Ongoing",D355="Unresolved"),1,0))))</x:f>
      </x:c>
      <x:c r="K355" s="16" t="str">
        <x:f>IF(J355="","",IF(J355=1,"Limited",IF(J355=2,"Local",IF(J355=3,"Significant",IF(J355=4,"High","Critical")))))</x:f>
      </x:c>
      <x:c r="L355" s="16" t="str">
        <x:f>IF(A355="","",Events!U354)</x:f>
      </x:c>
      <x:c r="M355" s="16" t="str">
        <x:f>IF(A355="","",Events!V354)</x:f>
      </x:c>
      <x:c r="N355" s="16" t="str">
        <x:f>IF(A355="","",Events!Q354)</x:f>
      </x:c>
      <x:c r="O355" s="16" t="str">
        <x:f>IF(A355="","",Events!R354)</x:f>
      </x:c>
      <x:c r="P355" s="16" t="str">
        <x:f>IF(A355="","",LOWER(Events!B354&amp;" "&amp;Events!D354&amp;" "&amp;Events!K354))</x:f>
      </x:c>
      <x:c r="Q355" s="16" t="str">
        <x:f>IF(A355="","",LOWER(Events!C354&amp;" "&amp;Events!K354&amp;" "&amp;Events!T354))</x:f>
      </x:c>
      <x:c r="R355" s="16" t="str">
        <x:f>IF(A355="","",IF(ISNUMBER(SEARCH("Occurrence verified",E355)),"Occurrence verified",E355))</x:f>
      </x:c>
      <x:c r="S355" s="79" t="str">
        <x:f>IF(A355="","",Events!X354)</x:f>
      </x:c>
      <x:c r="Z355" s="79" t="str">
        <x:f>IF(A355="","",Events!AD354)</x:f>
      </x:c>
      <x:c r="AA355" s="79" t="str">
        <x:f>IF(A355="","",Events!AE354)</x:f>
      </x:c>
    </x:row>
    <x:row r="356">
      <x:c r="A356" s="16" t="str">
        <x:f>IF(Events!A355="","",Events!A355)</x:f>
      </x:c>
      <x:c r="B356" s="16" t="str">
        <x:f>IF(A356="","",Events!B355)</x:f>
      </x:c>
      <x:c r="C356" s="16" t="str">
        <x:f>IF(A356="","",Events!E355)</x:f>
      </x:c>
      <x:c r="D356" s="16" t="str">
        <x:f>IF(A356="","",Events!J355)</x:f>
      </x:c>
      <x:c r="E356" s="16" t="str">
        <x:f>IF(A356="","",Events!N355)</x:f>
      </x:c>
      <x:c r="F356" s="109" t="str">
        <x:f>IF(OR(A356="",Events!H355=""),"",Events!H355)</x:f>
      </x:c>
      <x:c r="G356" s="109" t="str">
        <x:f>IF(A356="","",IF(Events!I355&lt;&gt;"",Events!I355,IF(Events!S355&lt;&gt;"",Events!S355,"")))</x:f>
      </x:c>
      <x:c r="H356" s="16" t="str">
        <x:f>IF(A356="","",Events!W355)</x:f>
      </x:c>
      <x:c r="I356" s="16" t="str">
        <x:f>IF(A356="","",IF(Events!Y355&lt;&gt;"",Events!Y355,IF(OR(ISNUMBER(SEARCH("education",P356)),ISNUMBER(SEARCH("exam",P356)),ISNUMBER(SEARCH("school",P356))),"Education",IF(OR(ISNUMBER(SEARCH("trade agreement",P356)),ISNUMBER(SEARCH("economic",P356)),ISNUMBER(SEARCH("import",P356))),"Trade &amp; economic policy",IF(OR(ISNUMBER(SEARCH("land acquisition",P356)),ISNUMBER(SEARCH("rehabilitation",P356)),ISNUMBER(SEARCH("displacement",P356)),ISNUMBER(SEARCH("township",P356))),"Land &amp; rehabilitation",IF(OR(ISNUMBER(SEARCH("forest",P356)),ISNUMBER(SEARCH("environment",P356)),ISNUMBER(SEARCH("ecological",P356)),ISNUMBER(SEARCH("biodiversity",P356)),ISNUMBER(SEARCH("green cover",P356))),"Environment",IF(OR(ISNUMBER(SEARCH("irrigation",P356)),ISNUMBER(SEARCH("water",P356)),ISNUMBER(SEARCH("crop",P356)),ISNUMBER(SEARCH("farmer",P356)),ISNUMBER(SEARCH("agriculture",P356))),"Agriculture &amp; water",IF(OR(ISNUMBER(SEARCH("health",P356)),ISNUMBER(SEARCH("hospital",P356)),ISNUMBER(SEARCH("medicine",P356))),"Public health",IF(OR(ISNUMBER(SEARCH("employee",P356)),ISNUMBER(SEARCH("labour",P356)),ISNUMBER(SEARCH("worker",P356)),ISNUMBER(SEARCH("salary",P356))),"Labour &amp; employment",IF(OR(ISNUMBER(SEARCH("rti",P356)),ISNUMBER(SEARCH("transparency",P356)),ISNUMBER(SEARCH("corruption",P356)),ISNUMBER(SEARCH("governance",P356))),"Governance &amp; transparency",IF(OR(ISNUMBER(SEARCH("police",P356)),ISNUMBER(SEARCH("detention",P356)),ISNUMBER(SEARCH("civil rights",P356)),ISNUMBER(SEARCH("justice",P356))),"Civil rights &amp; justice",IF(OR(ISNUMBER(SEARCH("road",P356)),ISNUMBER(SEARCH("utility",P356)),ISNUMBER(SEARCH("infrastructure",P356)),ISNUMBER(SEARCH("public service",P356))),"Infrastructure &amp; public services","Other"))))))))))))</x:f>
      </x:c>
      <x:c r="J356" s="16" t="str">
        <x:f>IF(A356="","",IF(OR(ISNUMBER(SEARCH("fatal",Q356)),ISNUMBER(SEARCH("death",Q356)),ISNUMBER(SEARCH("riot",Q356)),ISNUMBER(SEARCH("curfew",Q356)),ISNUMBER(SEARCH("internet shutdown",Q356))),5,MIN(4,1+IF(H356&gt;=7,1,0)+IF(OR(ISNUMBER(SEARCH("hunger strike",Q356)),ISNUMBER(SEARCH("blockade",Q356)),ISNUMBER(SEARCH("strike",Q356)),ISNUMBER(SEARCH("jal satyagraha",Q356)),ISNUMBER(SEARCH("survey",Q356)),ISNUMBER(SEARCH("human chain",Q356)),ISNUMBER(SEARCH("march",Q356))),1,0)+IF(OR(ISNUMBER(SEARCH("fir",Q356)),ISNUMBER(SEARCH("confrontation",Q356)),ISNUMBER(SEARCH("violence",Q356)),ISNUMBER(SEARCH("detention",Q356)),ISNUMBER(SEARCH("arrest",Q356)),ISNUMBER(SEARCH("demolition",Q356)),ISNUMBER(SEARCH("injury",Q356))),1,0)+IF(OR(D356="Ongoing",D356="Unresolved"),1,0))))</x:f>
      </x:c>
      <x:c r="K356" s="16" t="str">
        <x:f>IF(J356="","",IF(J356=1,"Limited",IF(J356=2,"Local",IF(J356=3,"Significant",IF(J356=4,"High","Critical")))))</x:f>
      </x:c>
      <x:c r="L356" s="16" t="str">
        <x:f>IF(A356="","",Events!U355)</x:f>
      </x:c>
      <x:c r="M356" s="16" t="str">
        <x:f>IF(A356="","",Events!V355)</x:f>
      </x:c>
      <x:c r="N356" s="16" t="str">
        <x:f>IF(A356="","",Events!Q355)</x:f>
      </x:c>
      <x:c r="O356" s="16" t="str">
        <x:f>IF(A356="","",Events!R355)</x:f>
      </x:c>
      <x:c r="P356" s="16" t="str">
        <x:f>IF(A356="","",LOWER(Events!B355&amp;" "&amp;Events!D355&amp;" "&amp;Events!K355))</x:f>
      </x:c>
      <x:c r="Q356" s="16" t="str">
        <x:f>IF(A356="","",LOWER(Events!C355&amp;" "&amp;Events!K355&amp;" "&amp;Events!T355))</x:f>
      </x:c>
      <x:c r="R356" s="16" t="str">
        <x:f>IF(A356="","",IF(ISNUMBER(SEARCH("Occurrence verified",E356)),"Occurrence verified",E356))</x:f>
      </x:c>
      <x:c r="S356" s="79" t="str">
        <x:f>IF(A356="","",Events!X355)</x:f>
      </x:c>
      <x:c r="Z356" s="79" t="str">
        <x:f>IF(A356="","",Events!AD355)</x:f>
      </x:c>
      <x:c r="AA356" s="79" t="str">
        <x:f>IF(A356="","",Events!AE355)</x:f>
      </x:c>
    </x:row>
    <x:row r="357">
      <x:c r="A357" s="16" t="str">
        <x:f>IF(Events!A356="","",Events!A356)</x:f>
      </x:c>
      <x:c r="B357" s="16" t="str">
        <x:f>IF(A357="","",Events!B356)</x:f>
      </x:c>
      <x:c r="C357" s="16" t="str">
        <x:f>IF(A357="","",Events!E356)</x:f>
      </x:c>
      <x:c r="D357" s="16" t="str">
        <x:f>IF(A357="","",Events!J356)</x:f>
      </x:c>
      <x:c r="E357" s="16" t="str">
        <x:f>IF(A357="","",Events!N356)</x:f>
      </x:c>
      <x:c r="F357" s="109" t="str">
        <x:f>IF(OR(A357="",Events!H356=""),"",Events!H356)</x:f>
      </x:c>
      <x:c r="G357" s="109" t="str">
        <x:f>IF(A357="","",IF(Events!I356&lt;&gt;"",Events!I356,IF(Events!S356&lt;&gt;"",Events!S356,"")))</x:f>
      </x:c>
      <x:c r="H357" s="16" t="str">
        <x:f>IF(A357="","",Events!W356)</x:f>
      </x:c>
      <x:c r="I357" s="16" t="str">
        <x:f>IF(A357="","",IF(Events!Y356&lt;&gt;"",Events!Y356,IF(OR(ISNUMBER(SEARCH("education",P357)),ISNUMBER(SEARCH("exam",P357)),ISNUMBER(SEARCH("school",P357))),"Education",IF(OR(ISNUMBER(SEARCH("trade agreement",P357)),ISNUMBER(SEARCH("economic",P357)),ISNUMBER(SEARCH("import",P357))),"Trade &amp; economic policy",IF(OR(ISNUMBER(SEARCH("land acquisition",P357)),ISNUMBER(SEARCH("rehabilitation",P357)),ISNUMBER(SEARCH("displacement",P357)),ISNUMBER(SEARCH("township",P357))),"Land &amp; rehabilitation",IF(OR(ISNUMBER(SEARCH("forest",P357)),ISNUMBER(SEARCH("environment",P357)),ISNUMBER(SEARCH("ecological",P357)),ISNUMBER(SEARCH("biodiversity",P357)),ISNUMBER(SEARCH("green cover",P357))),"Environment",IF(OR(ISNUMBER(SEARCH("irrigation",P357)),ISNUMBER(SEARCH("water",P357)),ISNUMBER(SEARCH("crop",P357)),ISNUMBER(SEARCH("farmer",P357)),ISNUMBER(SEARCH("agriculture",P357))),"Agriculture &amp; water",IF(OR(ISNUMBER(SEARCH("health",P357)),ISNUMBER(SEARCH("hospital",P357)),ISNUMBER(SEARCH("medicine",P357))),"Public health",IF(OR(ISNUMBER(SEARCH("employee",P357)),ISNUMBER(SEARCH("labour",P357)),ISNUMBER(SEARCH("worker",P357)),ISNUMBER(SEARCH("salary",P357))),"Labour &amp; employment",IF(OR(ISNUMBER(SEARCH("rti",P357)),ISNUMBER(SEARCH("transparency",P357)),ISNUMBER(SEARCH("corruption",P357)),ISNUMBER(SEARCH("governance",P357))),"Governance &amp; transparency",IF(OR(ISNUMBER(SEARCH("police",P357)),ISNUMBER(SEARCH("detention",P357)),ISNUMBER(SEARCH("civil rights",P357)),ISNUMBER(SEARCH("justice",P357))),"Civil rights &amp; justice",IF(OR(ISNUMBER(SEARCH("road",P357)),ISNUMBER(SEARCH("utility",P357)),ISNUMBER(SEARCH("infrastructure",P357)),ISNUMBER(SEARCH("public service",P357))),"Infrastructure &amp; public services","Other"))))))))))))</x:f>
      </x:c>
      <x:c r="J357" s="16" t="str">
        <x:f>IF(A357="","",IF(OR(ISNUMBER(SEARCH("fatal",Q357)),ISNUMBER(SEARCH("death",Q357)),ISNUMBER(SEARCH("riot",Q357)),ISNUMBER(SEARCH("curfew",Q357)),ISNUMBER(SEARCH("internet shutdown",Q357))),5,MIN(4,1+IF(H357&gt;=7,1,0)+IF(OR(ISNUMBER(SEARCH("hunger strike",Q357)),ISNUMBER(SEARCH("blockade",Q357)),ISNUMBER(SEARCH("strike",Q357)),ISNUMBER(SEARCH("jal satyagraha",Q357)),ISNUMBER(SEARCH("survey",Q357)),ISNUMBER(SEARCH("human chain",Q357)),ISNUMBER(SEARCH("march",Q357))),1,0)+IF(OR(ISNUMBER(SEARCH("fir",Q357)),ISNUMBER(SEARCH("confrontation",Q357)),ISNUMBER(SEARCH("violence",Q357)),ISNUMBER(SEARCH("detention",Q357)),ISNUMBER(SEARCH("arrest",Q357)),ISNUMBER(SEARCH("demolition",Q357)),ISNUMBER(SEARCH("injury",Q357))),1,0)+IF(OR(D357="Ongoing",D357="Unresolved"),1,0))))</x:f>
      </x:c>
      <x:c r="K357" s="16" t="str">
        <x:f>IF(J357="","",IF(J357=1,"Limited",IF(J357=2,"Local",IF(J357=3,"Significant",IF(J357=4,"High","Critical")))))</x:f>
      </x:c>
      <x:c r="L357" s="16" t="str">
        <x:f>IF(A357="","",Events!U356)</x:f>
      </x:c>
      <x:c r="M357" s="16" t="str">
        <x:f>IF(A357="","",Events!V356)</x:f>
      </x:c>
      <x:c r="N357" s="16" t="str">
        <x:f>IF(A357="","",Events!Q356)</x:f>
      </x:c>
      <x:c r="O357" s="16" t="str">
        <x:f>IF(A357="","",Events!R356)</x:f>
      </x:c>
      <x:c r="P357" s="16" t="str">
        <x:f>IF(A357="","",LOWER(Events!B356&amp;" "&amp;Events!D356&amp;" "&amp;Events!K356))</x:f>
      </x:c>
      <x:c r="Q357" s="16" t="str">
        <x:f>IF(A357="","",LOWER(Events!C356&amp;" "&amp;Events!K356&amp;" "&amp;Events!T356))</x:f>
      </x:c>
      <x:c r="R357" s="16" t="str">
        <x:f>IF(A357="","",IF(ISNUMBER(SEARCH("Occurrence verified",E357)),"Occurrence verified",E357))</x:f>
      </x:c>
      <x:c r="S357" s="79" t="str">
        <x:f>IF(A357="","",Events!X356)</x:f>
      </x:c>
      <x:c r="Z357" s="79" t="str">
        <x:f>IF(A357="","",Events!AD356)</x:f>
      </x:c>
      <x:c r="AA357" s="79" t="str">
        <x:f>IF(A357="","",Events!AE356)</x:f>
      </x:c>
    </x:row>
    <x:row r="358">
      <x:c r="A358" s="16" t="str">
        <x:f>IF(Events!A357="","",Events!A357)</x:f>
      </x:c>
      <x:c r="B358" s="16" t="str">
        <x:f>IF(A358="","",Events!B357)</x:f>
      </x:c>
      <x:c r="C358" s="16" t="str">
        <x:f>IF(A358="","",Events!E357)</x:f>
      </x:c>
      <x:c r="D358" s="16" t="str">
        <x:f>IF(A358="","",Events!J357)</x:f>
      </x:c>
      <x:c r="E358" s="16" t="str">
        <x:f>IF(A358="","",Events!N357)</x:f>
      </x:c>
      <x:c r="F358" s="109" t="str">
        <x:f>IF(OR(A358="",Events!H357=""),"",Events!H357)</x:f>
      </x:c>
      <x:c r="G358" s="109" t="str">
        <x:f>IF(A358="","",IF(Events!I357&lt;&gt;"",Events!I357,IF(Events!S357&lt;&gt;"",Events!S357,"")))</x:f>
      </x:c>
      <x:c r="H358" s="16" t="str">
        <x:f>IF(A358="","",Events!W357)</x:f>
      </x:c>
      <x:c r="I358" s="16" t="str">
        <x:f>IF(A358="","",IF(Events!Y357&lt;&gt;"",Events!Y357,IF(OR(ISNUMBER(SEARCH("education",P358)),ISNUMBER(SEARCH("exam",P358)),ISNUMBER(SEARCH("school",P358))),"Education",IF(OR(ISNUMBER(SEARCH("trade agreement",P358)),ISNUMBER(SEARCH("economic",P358)),ISNUMBER(SEARCH("import",P358))),"Trade &amp; economic policy",IF(OR(ISNUMBER(SEARCH("land acquisition",P358)),ISNUMBER(SEARCH("rehabilitation",P358)),ISNUMBER(SEARCH("displacement",P358)),ISNUMBER(SEARCH("township",P358))),"Land &amp; rehabilitation",IF(OR(ISNUMBER(SEARCH("forest",P358)),ISNUMBER(SEARCH("environment",P358)),ISNUMBER(SEARCH("ecological",P358)),ISNUMBER(SEARCH("biodiversity",P358)),ISNUMBER(SEARCH("green cover",P358))),"Environment",IF(OR(ISNUMBER(SEARCH("irrigation",P358)),ISNUMBER(SEARCH("water",P358)),ISNUMBER(SEARCH("crop",P358)),ISNUMBER(SEARCH("farmer",P358)),ISNUMBER(SEARCH("agriculture",P358))),"Agriculture &amp; water",IF(OR(ISNUMBER(SEARCH("health",P358)),ISNUMBER(SEARCH("hospital",P358)),ISNUMBER(SEARCH("medicine",P358))),"Public health",IF(OR(ISNUMBER(SEARCH("employee",P358)),ISNUMBER(SEARCH("labour",P358)),ISNUMBER(SEARCH("worker",P358)),ISNUMBER(SEARCH("salary",P358))),"Labour &amp; employment",IF(OR(ISNUMBER(SEARCH("rti",P358)),ISNUMBER(SEARCH("transparency",P358)),ISNUMBER(SEARCH("corruption",P358)),ISNUMBER(SEARCH("governance",P358))),"Governance &amp; transparency",IF(OR(ISNUMBER(SEARCH("police",P358)),ISNUMBER(SEARCH("detention",P358)),ISNUMBER(SEARCH("civil rights",P358)),ISNUMBER(SEARCH("justice",P358))),"Civil rights &amp; justice",IF(OR(ISNUMBER(SEARCH("road",P358)),ISNUMBER(SEARCH("utility",P358)),ISNUMBER(SEARCH("infrastructure",P358)),ISNUMBER(SEARCH("public service",P358))),"Infrastructure &amp; public services","Other"))))))))))))</x:f>
      </x:c>
      <x:c r="J358" s="16" t="str">
        <x:f>IF(A358="","",IF(OR(ISNUMBER(SEARCH("fatal",Q358)),ISNUMBER(SEARCH("death",Q358)),ISNUMBER(SEARCH("riot",Q358)),ISNUMBER(SEARCH("curfew",Q358)),ISNUMBER(SEARCH("internet shutdown",Q358))),5,MIN(4,1+IF(H358&gt;=7,1,0)+IF(OR(ISNUMBER(SEARCH("hunger strike",Q358)),ISNUMBER(SEARCH("blockade",Q358)),ISNUMBER(SEARCH("strike",Q358)),ISNUMBER(SEARCH("jal satyagraha",Q358)),ISNUMBER(SEARCH("survey",Q358)),ISNUMBER(SEARCH("human chain",Q358)),ISNUMBER(SEARCH("march",Q358))),1,0)+IF(OR(ISNUMBER(SEARCH("fir",Q358)),ISNUMBER(SEARCH("confrontation",Q358)),ISNUMBER(SEARCH("violence",Q358)),ISNUMBER(SEARCH("detention",Q358)),ISNUMBER(SEARCH("arrest",Q358)),ISNUMBER(SEARCH("demolition",Q358)),ISNUMBER(SEARCH("injury",Q358))),1,0)+IF(OR(D358="Ongoing",D358="Unresolved"),1,0))))</x:f>
      </x:c>
      <x:c r="K358" s="16" t="str">
        <x:f>IF(J358="","",IF(J358=1,"Limited",IF(J358=2,"Local",IF(J358=3,"Significant",IF(J358=4,"High","Critical")))))</x:f>
      </x:c>
      <x:c r="L358" s="16" t="str">
        <x:f>IF(A358="","",Events!U357)</x:f>
      </x:c>
      <x:c r="M358" s="16" t="str">
        <x:f>IF(A358="","",Events!V357)</x:f>
      </x:c>
      <x:c r="N358" s="16" t="str">
        <x:f>IF(A358="","",Events!Q357)</x:f>
      </x:c>
      <x:c r="O358" s="16" t="str">
        <x:f>IF(A358="","",Events!R357)</x:f>
      </x:c>
      <x:c r="P358" s="16" t="str">
        <x:f>IF(A358="","",LOWER(Events!B357&amp;" "&amp;Events!D357&amp;" "&amp;Events!K357))</x:f>
      </x:c>
      <x:c r="Q358" s="16" t="str">
        <x:f>IF(A358="","",LOWER(Events!C357&amp;" "&amp;Events!K357&amp;" "&amp;Events!T357))</x:f>
      </x:c>
      <x:c r="R358" s="16" t="str">
        <x:f>IF(A358="","",IF(ISNUMBER(SEARCH("Occurrence verified",E358)),"Occurrence verified",E358))</x:f>
      </x:c>
      <x:c r="S358" s="79" t="str">
        <x:f>IF(A358="","",Events!X357)</x:f>
      </x:c>
      <x:c r="Z358" s="79" t="str">
        <x:f>IF(A358="","",Events!AD357)</x:f>
      </x:c>
      <x:c r="AA358" s="79" t="str">
        <x:f>IF(A358="","",Events!AE357)</x:f>
      </x:c>
    </x:row>
    <x:row r="359">
      <x:c r="A359" s="16" t="str">
        <x:f>IF(Events!A358="","",Events!A358)</x:f>
      </x:c>
      <x:c r="B359" s="16" t="str">
        <x:f>IF(A359="","",Events!B358)</x:f>
      </x:c>
      <x:c r="C359" s="16" t="str">
        <x:f>IF(A359="","",Events!E358)</x:f>
      </x:c>
      <x:c r="D359" s="16" t="str">
        <x:f>IF(A359="","",Events!J358)</x:f>
      </x:c>
      <x:c r="E359" s="16" t="str">
        <x:f>IF(A359="","",Events!N358)</x:f>
      </x:c>
      <x:c r="F359" s="109" t="str">
        <x:f>IF(OR(A359="",Events!H358=""),"",Events!H358)</x:f>
      </x:c>
      <x:c r="G359" s="109" t="str">
        <x:f>IF(A359="","",IF(Events!I358&lt;&gt;"",Events!I358,IF(Events!S358&lt;&gt;"",Events!S358,"")))</x:f>
      </x:c>
      <x:c r="H359" s="16" t="str">
        <x:f>IF(A359="","",Events!W358)</x:f>
      </x:c>
      <x:c r="I359" s="16" t="str">
        <x:f>IF(A359="","",IF(Events!Y358&lt;&gt;"",Events!Y358,IF(OR(ISNUMBER(SEARCH("education",P359)),ISNUMBER(SEARCH("exam",P359)),ISNUMBER(SEARCH("school",P359))),"Education",IF(OR(ISNUMBER(SEARCH("trade agreement",P359)),ISNUMBER(SEARCH("economic",P359)),ISNUMBER(SEARCH("import",P359))),"Trade &amp; economic policy",IF(OR(ISNUMBER(SEARCH("land acquisition",P359)),ISNUMBER(SEARCH("rehabilitation",P359)),ISNUMBER(SEARCH("displacement",P359)),ISNUMBER(SEARCH("township",P359))),"Land &amp; rehabilitation",IF(OR(ISNUMBER(SEARCH("forest",P359)),ISNUMBER(SEARCH("environment",P359)),ISNUMBER(SEARCH("ecological",P359)),ISNUMBER(SEARCH("biodiversity",P359)),ISNUMBER(SEARCH("green cover",P359))),"Environment",IF(OR(ISNUMBER(SEARCH("irrigation",P359)),ISNUMBER(SEARCH("water",P359)),ISNUMBER(SEARCH("crop",P359)),ISNUMBER(SEARCH("farmer",P359)),ISNUMBER(SEARCH("agriculture",P359))),"Agriculture &amp; water",IF(OR(ISNUMBER(SEARCH("health",P359)),ISNUMBER(SEARCH("hospital",P359)),ISNUMBER(SEARCH("medicine",P359))),"Public health",IF(OR(ISNUMBER(SEARCH("employee",P359)),ISNUMBER(SEARCH("labour",P359)),ISNUMBER(SEARCH("worker",P359)),ISNUMBER(SEARCH("salary",P359))),"Labour &amp; employment",IF(OR(ISNUMBER(SEARCH("rti",P359)),ISNUMBER(SEARCH("transparency",P359)),ISNUMBER(SEARCH("corruption",P359)),ISNUMBER(SEARCH("governance",P359))),"Governance &amp; transparency",IF(OR(ISNUMBER(SEARCH("police",P359)),ISNUMBER(SEARCH("detention",P359)),ISNUMBER(SEARCH("civil rights",P359)),ISNUMBER(SEARCH("justice",P359))),"Civil rights &amp; justice",IF(OR(ISNUMBER(SEARCH("road",P359)),ISNUMBER(SEARCH("utility",P359)),ISNUMBER(SEARCH("infrastructure",P359)),ISNUMBER(SEARCH("public service",P359))),"Infrastructure &amp; public services","Other"))))))))))))</x:f>
      </x:c>
      <x:c r="J359" s="16" t="str">
        <x:f>IF(A359="","",IF(OR(ISNUMBER(SEARCH("fatal",Q359)),ISNUMBER(SEARCH("death",Q359)),ISNUMBER(SEARCH("riot",Q359)),ISNUMBER(SEARCH("curfew",Q359)),ISNUMBER(SEARCH("internet shutdown",Q359))),5,MIN(4,1+IF(H359&gt;=7,1,0)+IF(OR(ISNUMBER(SEARCH("hunger strike",Q359)),ISNUMBER(SEARCH("blockade",Q359)),ISNUMBER(SEARCH("strike",Q359)),ISNUMBER(SEARCH("jal satyagraha",Q359)),ISNUMBER(SEARCH("survey",Q359)),ISNUMBER(SEARCH("human chain",Q359)),ISNUMBER(SEARCH("march",Q359))),1,0)+IF(OR(ISNUMBER(SEARCH("fir",Q359)),ISNUMBER(SEARCH("confrontation",Q359)),ISNUMBER(SEARCH("violence",Q359)),ISNUMBER(SEARCH("detention",Q359)),ISNUMBER(SEARCH("arrest",Q359)),ISNUMBER(SEARCH("demolition",Q359)),ISNUMBER(SEARCH("injury",Q359))),1,0)+IF(OR(D359="Ongoing",D359="Unresolved"),1,0))))</x:f>
      </x:c>
      <x:c r="K359" s="16" t="str">
        <x:f>IF(J359="","",IF(J359=1,"Limited",IF(J359=2,"Local",IF(J359=3,"Significant",IF(J359=4,"High","Critical")))))</x:f>
      </x:c>
      <x:c r="L359" s="16" t="str">
        <x:f>IF(A359="","",Events!U358)</x:f>
      </x:c>
      <x:c r="M359" s="16" t="str">
        <x:f>IF(A359="","",Events!V358)</x:f>
      </x:c>
      <x:c r="N359" s="16" t="str">
        <x:f>IF(A359="","",Events!Q358)</x:f>
      </x:c>
      <x:c r="O359" s="16" t="str">
        <x:f>IF(A359="","",Events!R358)</x:f>
      </x:c>
      <x:c r="P359" s="16" t="str">
        <x:f>IF(A359="","",LOWER(Events!B358&amp;" "&amp;Events!D358&amp;" "&amp;Events!K358))</x:f>
      </x:c>
      <x:c r="Q359" s="16" t="str">
        <x:f>IF(A359="","",LOWER(Events!C358&amp;" "&amp;Events!K358&amp;" "&amp;Events!T358))</x:f>
      </x:c>
      <x:c r="R359" s="16" t="str">
        <x:f>IF(A359="","",IF(ISNUMBER(SEARCH("Occurrence verified",E359)),"Occurrence verified",E359))</x:f>
      </x:c>
      <x:c r="S359" s="79" t="str">
        <x:f>IF(A359="","",Events!X358)</x:f>
      </x:c>
      <x:c r="Z359" s="79" t="str">
        <x:f>IF(A359="","",Events!AD358)</x:f>
      </x:c>
      <x:c r="AA359" s="79" t="str">
        <x:f>IF(A359="","",Events!AE358)</x:f>
      </x:c>
    </x:row>
    <x:row r="360">
      <x:c r="A360" s="16" t="str">
        <x:f>IF(Events!A359="","",Events!A359)</x:f>
      </x:c>
      <x:c r="B360" s="16" t="str">
        <x:f>IF(A360="","",Events!B359)</x:f>
      </x:c>
      <x:c r="C360" s="16" t="str">
        <x:f>IF(A360="","",Events!E359)</x:f>
      </x:c>
      <x:c r="D360" s="16" t="str">
        <x:f>IF(A360="","",Events!J359)</x:f>
      </x:c>
      <x:c r="E360" s="16" t="str">
        <x:f>IF(A360="","",Events!N359)</x:f>
      </x:c>
      <x:c r="F360" s="109" t="str">
        <x:f>IF(OR(A360="",Events!H359=""),"",Events!H359)</x:f>
      </x:c>
      <x:c r="G360" s="109" t="str">
        <x:f>IF(A360="","",IF(Events!I359&lt;&gt;"",Events!I359,IF(Events!S359&lt;&gt;"",Events!S359,"")))</x:f>
      </x:c>
      <x:c r="H360" s="16" t="str">
        <x:f>IF(A360="","",Events!W359)</x:f>
      </x:c>
      <x:c r="I360" s="16" t="str">
        <x:f>IF(A360="","",IF(Events!Y359&lt;&gt;"",Events!Y359,IF(OR(ISNUMBER(SEARCH("education",P360)),ISNUMBER(SEARCH("exam",P360)),ISNUMBER(SEARCH("school",P360))),"Education",IF(OR(ISNUMBER(SEARCH("trade agreement",P360)),ISNUMBER(SEARCH("economic",P360)),ISNUMBER(SEARCH("import",P360))),"Trade &amp; economic policy",IF(OR(ISNUMBER(SEARCH("land acquisition",P360)),ISNUMBER(SEARCH("rehabilitation",P360)),ISNUMBER(SEARCH("displacement",P360)),ISNUMBER(SEARCH("township",P360))),"Land &amp; rehabilitation",IF(OR(ISNUMBER(SEARCH("forest",P360)),ISNUMBER(SEARCH("environment",P360)),ISNUMBER(SEARCH("ecological",P360)),ISNUMBER(SEARCH("biodiversity",P360)),ISNUMBER(SEARCH("green cover",P360))),"Environment",IF(OR(ISNUMBER(SEARCH("irrigation",P360)),ISNUMBER(SEARCH("water",P360)),ISNUMBER(SEARCH("crop",P360)),ISNUMBER(SEARCH("farmer",P360)),ISNUMBER(SEARCH("agriculture",P360))),"Agriculture &amp; water",IF(OR(ISNUMBER(SEARCH("health",P360)),ISNUMBER(SEARCH("hospital",P360)),ISNUMBER(SEARCH("medicine",P360))),"Public health",IF(OR(ISNUMBER(SEARCH("employee",P360)),ISNUMBER(SEARCH("labour",P360)),ISNUMBER(SEARCH("worker",P360)),ISNUMBER(SEARCH("salary",P360))),"Labour &amp; employment",IF(OR(ISNUMBER(SEARCH("rti",P360)),ISNUMBER(SEARCH("transparency",P360)),ISNUMBER(SEARCH("corruption",P360)),ISNUMBER(SEARCH("governance",P360))),"Governance &amp; transparency",IF(OR(ISNUMBER(SEARCH("police",P360)),ISNUMBER(SEARCH("detention",P360)),ISNUMBER(SEARCH("civil rights",P360)),ISNUMBER(SEARCH("justice",P360))),"Civil rights &amp; justice",IF(OR(ISNUMBER(SEARCH("road",P360)),ISNUMBER(SEARCH("utility",P360)),ISNUMBER(SEARCH("infrastructure",P360)),ISNUMBER(SEARCH("public service",P360))),"Infrastructure &amp; public services","Other"))))))))))))</x:f>
      </x:c>
      <x:c r="J360" s="16" t="str">
        <x:f>IF(A360="","",IF(OR(ISNUMBER(SEARCH("fatal",Q360)),ISNUMBER(SEARCH("death",Q360)),ISNUMBER(SEARCH("riot",Q360)),ISNUMBER(SEARCH("curfew",Q360)),ISNUMBER(SEARCH("internet shutdown",Q360))),5,MIN(4,1+IF(H360&gt;=7,1,0)+IF(OR(ISNUMBER(SEARCH("hunger strike",Q360)),ISNUMBER(SEARCH("blockade",Q360)),ISNUMBER(SEARCH("strike",Q360)),ISNUMBER(SEARCH("jal satyagraha",Q360)),ISNUMBER(SEARCH("survey",Q360)),ISNUMBER(SEARCH("human chain",Q360)),ISNUMBER(SEARCH("march",Q360))),1,0)+IF(OR(ISNUMBER(SEARCH("fir",Q360)),ISNUMBER(SEARCH("confrontation",Q360)),ISNUMBER(SEARCH("violence",Q360)),ISNUMBER(SEARCH("detention",Q360)),ISNUMBER(SEARCH("arrest",Q360)),ISNUMBER(SEARCH("demolition",Q360)),ISNUMBER(SEARCH("injury",Q360))),1,0)+IF(OR(D360="Ongoing",D360="Unresolved"),1,0))))</x:f>
      </x:c>
      <x:c r="K360" s="16" t="str">
        <x:f>IF(J360="","",IF(J360=1,"Limited",IF(J360=2,"Local",IF(J360=3,"Significant",IF(J360=4,"High","Critical")))))</x:f>
      </x:c>
      <x:c r="L360" s="16" t="str">
        <x:f>IF(A360="","",Events!U359)</x:f>
      </x:c>
      <x:c r="M360" s="16" t="str">
        <x:f>IF(A360="","",Events!V359)</x:f>
      </x:c>
      <x:c r="N360" s="16" t="str">
        <x:f>IF(A360="","",Events!Q359)</x:f>
      </x:c>
      <x:c r="O360" s="16" t="str">
        <x:f>IF(A360="","",Events!R359)</x:f>
      </x:c>
      <x:c r="P360" s="16" t="str">
        <x:f>IF(A360="","",LOWER(Events!B359&amp;" "&amp;Events!D359&amp;" "&amp;Events!K359))</x:f>
      </x:c>
      <x:c r="Q360" s="16" t="str">
        <x:f>IF(A360="","",LOWER(Events!C359&amp;" "&amp;Events!K359&amp;" "&amp;Events!T359))</x:f>
      </x:c>
      <x:c r="R360" s="16" t="str">
        <x:f>IF(A360="","",IF(ISNUMBER(SEARCH("Occurrence verified",E360)),"Occurrence verified",E360))</x:f>
      </x:c>
      <x:c r="S360" s="79" t="str">
        <x:f>IF(A360="","",Events!X359)</x:f>
      </x:c>
      <x:c r="Z360" s="79" t="str">
        <x:f>IF(A360="","",Events!AD359)</x:f>
      </x:c>
      <x:c r="AA360" s="79" t="str">
        <x:f>IF(A360="","",Events!AE359)</x:f>
      </x:c>
    </x:row>
    <x:row r="361">
      <x:c r="A361" s="16" t="str">
        <x:f>IF(Events!A360="","",Events!A360)</x:f>
      </x:c>
      <x:c r="B361" s="16" t="str">
        <x:f>IF(A361="","",Events!B360)</x:f>
      </x:c>
      <x:c r="C361" s="16" t="str">
        <x:f>IF(A361="","",Events!E360)</x:f>
      </x:c>
      <x:c r="D361" s="16" t="str">
        <x:f>IF(A361="","",Events!J360)</x:f>
      </x:c>
      <x:c r="E361" s="16" t="str">
        <x:f>IF(A361="","",Events!N360)</x:f>
      </x:c>
      <x:c r="F361" s="109" t="str">
        <x:f>IF(OR(A361="",Events!H360=""),"",Events!H360)</x:f>
      </x:c>
      <x:c r="G361" s="109" t="str">
        <x:f>IF(A361="","",IF(Events!I360&lt;&gt;"",Events!I360,IF(Events!S360&lt;&gt;"",Events!S360,"")))</x:f>
      </x:c>
      <x:c r="H361" s="16" t="str">
        <x:f>IF(A361="","",Events!W360)</x:f>
      </x:c>
      <x:c r="I361" s="16" t="str">
        <x:f>IF(A361="","",IF(Events!Y360&lt;&gt;"",Events!Y360,IF(OR(ISNUMBER(SEARCH("education",P361)),ISNUMBER(SEARCH("exam",P361)),ISNUMBER(SEARCH("school",P361))),"Education",IF(OR(ISNUMBER(SEARCH("trade agreement",P361)),ISNUMBER(SEARCH("economic",P361)),ISNUMBER(SEARCH("import",P361))),"Trade &amp; economic policy",IF(OR(ISNUMBER(SEARCH("land acquisition",P361)),ISNUMBER(SEARCH("rehabilitation",P361)),ISNUMBER(SEARCH("displacement",P361)),ISNUMBER(SEARCH("township",P361))),"Land &amp; rehabilitation",IF(OR(ISNUMBER(SEARCH("forest",P361)),ISNUMBER(SEARCH("environment",P361)),ISNUMBER(SEARCH("ecological",P361)),ISNUMBER(SEARCH("biodiversity",P361)),ISNUMBER(SEARCH("green cover",P361))),"Environment",IF(OR(ISNUMBER(SEARCH("irrigation",P361)),ISNUMBER(SEARCH("water",P361)),ISNUMBER(SEARCH("crop",P361)),ISNUMBER(SEARCH("farmer",P361)),ISNUMBER(SEARCH("agriculture",P361))),"Agriculture &amp; water",IF(OR(ISNUMBER(SEARCH("health",P361)),ISNUMBER(SEARCH("hospital",P361)),ISNUMBER(SEARCH("medicine",P361))),"Public health",IF(OR(ISNUMBER(SEARCH("employee",P361)),ISNUMBER(SEARCH("labour",P361)),ISNUMBER(SEARCH("worker",P361)),ISNUMBER(SEARCH("salary",P361))),"Labour &amp; employment",IF(OR(ISNUMBER(SEARCH("rti",P361)),ISNUMBER(SEARCH("transparency",P361)),ISNUMBER(SEARCH("corruption",P361)),ISNUMBER(SEARCH("governance",P361))),"Governance &amp; transparency",IF(OR(ISNUMBER(SEARCH("police",P361)),ISNUMBER(SEARCH("detention",P361)),ISNUMBER(SEARCH("civil rights",P361)),ISNUMBER(SEARCH("justice",P361))),"Civil rights &amp; justice",IF(OR(ISNUMBER(SEARCH("road",P361)),ISNUMBER(SEARCH("utility",P361)),ISNUMBER(SEARCH("infrastructure",P361)),ISNUMBER(SEARCH("public service",P361))),"Infrastructure &amp; public services","Other"))))))))))))</x:f>
      </x:c>
      <x:c r="J361" s="16" t="str">
        <x:f>IF(A361="","",IF(OR(ISNUMBER(SEARCH("fatal",Q361)),ISNUMBER(SEARCH("death",Q361)),ISNUMBER(SEARCH("riot",Q361)),ISNUMBER(SEARCH("curfew",Q361)),ISNUMBER(SEARCH("internet shutdown",Q361))),5,MIN(4,1+IF(H361&gt;=7,1,0)+IF(OR(ISNUMBER(SEARCH("hunger strike",Q361)),ISNUMBER(SEARCH("blockade",Q361)),ISNUMBER(SEARCH("strike",Q361)),ISNUMBER(SEARCH("jal satyagraha",Q361)),ISNUMBER(SEARCH("survey",Q361)),ISNUMBER(SEARCH("human chain",Q361)),ISNUMBER(SEARCH("march",Q361))),1,0)+IF(OR(ISNUMBER(SEARCH("fir",Q361)),ISNUMBER(SEARCH("confrontation",Q361)),ISNUMBER(SEARCH("violence",Q361)),ISNUMBER(SEARCH("detention",Q361)),ISNUMBER(SEARCH("arrest",Q361)),ISNUMBER(SEARCH("demolition",Q361)),ISNUMBER(SEARCH("injury",Q361))),1,0)+IF(OR(D361="Ongoing",D361="Unresolved"),1,0))))</x:f>
      </x:c>
      <x:c r="K361" s="16" t="str">
        <x:f>IF(J361="","",IF(J361=1,"Limited",IF(J361=2,"Local",IF(J361=3,"Significant",IF(J361=4,"High","Critical")))))</x:f>
      </x:c>
      <x:c r="L361" s="16" t="str">
        <x:f>IF(A361="","",Events!U360)</x:f>
      </x:c>
      <x:c r="M361" s="16" t="str">
        <x:f>IF(A361="","",Events!V360)</x:f>
      </x:c>
      <x:c r="N361" s="16" t="str">
        <x:f>IF(A361="","",Events!Q360)</x:f>
      </x:c>
      <x:c r="O361" s="16" t="str">
        <x:f>IF(A361="","",Events!R360)</x:f>
      </x:c>
      <x:c r="P361" s="16" t="str">
        <x:f>IF(A361="","",LOWER(Events!B360&amp;" "&amp;Events!D360&amp;" "&amp;Events!K360))</x:f>
      </x:c>
      <x:c r="Q361" s="16" t="str">
        <x:f>IF(A361="","",LOWER(Events!C360&amp;" "&amp;Events!K360&amp;" "&amp;Events!T360))</x:f>
      </x:c>
      <x:c r="R361" s="16" t="str">
        <x:f>IF(A361="","",IF(ISNUMBER(SEARCH("Occurrence verified",E361)),"Occurrence verified",E361))</x:f>
      </x:c>
      <x:c r="S361" s="79" t="str">
        <x:f>IF(A361="","",Events!X360)</x:f>
      </x:c>
      <x:c r="Z361" s="79" t="str">
        <x:f>IF(A361="","",Events!AD360)</x:f>
      </x:c>
      <x:c r="AA361" s="79" t="str">
        <x:f>IF(A361="","",Events!AE360)</x:f>
      </x:c>
    </x:row>
    <x:row r="362">
      <x:c r="A362" s="16" t="str">
        <x:f>IF(Events!A361="","",Events!A361)</x:f>
      </x:c>
      <x:c r="B362" s="16" t="str">
        <x:f>IF(A362="","",Events!B361)</x:f>
      </x:c>
      <x:c r="C362" s="16" t="str">
        <x:f>IF(A362="","",Events!E361)</x:f>
      </x:c>
      <x:c r="D362" s="16" t="str">
        <x:f>IF(A362="","",Events!J361)</x:f>
      </x:c>
      <x:c r="E362" s="16" t="str">
        <x:f>IF(A362="","",Events!N361)</x:f>
      </x:c>
      <x:c r="F362" s="109" t="str">
        <x:f>IF(OR(A362="",Events!H361=""),"",Events!H361)</x:f>
      </x:c>
      <x:c r="G362" s="109" t="str">
        <x:f>IF(A362="","",IF(Events!I361&lt;&gt;"",Events!I361,IF(Events!S361&lt;&gt;"",Events!S361,"")))</x:f>
      </x:c>
      <x:c r="H362" s="16" t="str">
        <x:f>IF(A362="","",Events!W361)</x:f>
      </x:c>
      <x:c r="I362" s="16" t="str">
        <x:f>IF(A362="","",IF(Events!Y361&lt;&gt;"",Events!Y361,IF(OR(ISNUMBER(SEARCH("education",P362)),ISNUMBER(SEARCH("exam",P362)),ISNUMBER(SEARCH("school",P362))),"Education",IF(OR(ISNUMBER(SEARCH("trade agreement",P362)),ISNUMBER(SEARCH("economic",P362)),ISNUMBER(SEARCH("import",P362))),"Trade &amp; economic policy",IF(OR(ISNUMBER(SEARCH("land acquisition",P362)),ISNUMBER(SEARCH("rehabilitation",P362)),ISNUMBER(SEARCH("displacement",P362)),ISNUMBER(SEARCH("township",P362))),"Land &amp; rehabilitation",IF(OR(ISNUMBER(SEARCH("forest",P362)),ISNUMBER(SEARCH("environment",P362)),ISNUMBER(SEARCH("ecological",P362)),ISNUMBER(SEARCH("biodiversity",P362)),ISNUMBER(SEARCH("green cover",P362))),"Environment",IF(OR(ISNUMBER(SEARCH("irrigation",P362)),ISNUMBER(SEARCH("water",P362)),ISNUMBER(SEARCH("crop",P362)),ISNUMBER(SEARCH("farmer",P362)),ISNUMBER(SEARCH("agriculture",P362))),"Agriculture &amp; water",IF(OR(ISNUMBER(SEARCH("health",P362)),ISNUMBER(SEARCH("hospital",P362)),ISNUMBER(SEARCH("medicine",P362))),"Public health",IF(OR(ISNUMBER(SEARCH("employee",P362)),ISNUMBER(SEARCH("labour",P362)),ISNUMBER(SEARCH("worker",P362)),ISNUMBER(SEARCH("salary",P362))),"Labour &amp; employment",IF(OR(ISNUMBER(SEARCH("rti",P362)),ISNUMBER(SEARCH("transparency",P362)),ISNUMBER(SEARCH("corruption",P362)),ISNUMBER(SEARCH("governance",P362))),"Governance &amp; transparency",IF(OR(ISNUMBER(SEARCH("police",P362)),ISNUMBER(SEARCH("detention",P362)),ISNUMBER(SEARCH("civil rights",P362)),ISNUMBER(SEARCH("justice",P362))),"Civil rights &amp; justice",IF(OR(ISNUMBER(SEARCH("road",P362)),ISNUMBER(SEARCH("utility",P362)),ISNUMBER(SEARCH("infrastructure",P362)),ISNUMBER(SEARCH("public service",P362))),"Infrastructure &amp; public services","Other"))))))))))))</x:f>
      </x:c>
      <x:c r="J362" s="16" t="str">
        <x:f>IF(A362="","",IF(OR(ISNUMBER(SEARCH("fatal",Q362)),ISNUMBER(SEARCH("death",Q362)),ISNUMBER(SEARCH("riot",Q362)),ISNUMBER(SEARCH("curfew",Q362)),ISNUMBER(SEARCH("internet shutdown",Q362))),5,MIN(4,1+IF(H362&gt;=7,1,0)+IF(OR(ISNUMBER(SEARCH("hunger strike",Q362)),ISNUMBER(SEARCH("blockade",Q362)),ISNUMBER(SEARCH("strike",Q362)),ISNUMBER(SEARCH("jal satyagraha",Q362)),ISNUMBER(SEARCH("survey",Q362)),ISNUMBER(SEARCH("human chain",Q362)),ISNUMBER(SEARCH("march",Q362))),1,0)+IF(OR(ISNUMBER(SEARCH("fir",Q362)),ISNUMBER(SEARCH("confrontation",Q362)),ISNUMBER(SEARCH("violence",Q362)),ISNUMBER(SEARCH("detention",Q362)),ISNUMBER(SEARCH("arrest",Q362)),ISNUMBER(SEARCH("demolition",Q362)),ISNUMBER(SEARCH("injury",Q362))),1,0)+IF(OR(D362="Ongoing",D362="Unresolved"),1,0))))</x:f>
      </x:c>
      <x:c r="K362" s="16" t="str">
        <x:f>IF(J362="","",IF(J362=1,"Limited",IF(J362=2,"Local",IF(J362=3,"Significant",IF(J362=4,"High","Critical")))))</x:f>
      </x:c>
      <x:c r="L362" s="16" t="str">
        <x:f>IF(A362="","",Events!U361)</x:f>
      </x:c>
      <x:c r="M362" s="16" t="str">
        <x:f>IF(A362="","",Events!V361)</x:f>
      </x:c>
      <x:c r="N362" s="16" t="str">
        <x:f>IF(A362="","",Events!Q361)</x:f>
      </x:c>
      <x:c r="O362" s="16" t="str">
        <x:f>IF(A362="","",Events!R361)</x:f>
      </x:c>
      <x:c r="P362" s="16" t="str">
        <x:f>IF(A362="","",LOWER(Events!B361&amp;" "&amp;Events!D361&amp;" "&amp;Events!K361))</x:f>
      </x:c>
      <x:c r="Q362" s="16" t="str">
        <x:f>IF(A362="","",LOWER(Events!C361&amp;" "&amp;Events!K361&amp;" "&amp;Events!T361))</x:f>
      </x:c>
      <x:c r="R362" s="16" t="str">
        <x:f>IF(A362="","",IF(ISNUMBER(SEARCH("Occurrence verified",E362)),"Occurrence verified",E362))</x:f>
      </x:c>
      <x:c r="S362" s="79" t="str">
        <x:f>IF(A362="","",Events!X361)</x:f>
      </x:c>
      <x:c r="Z362" s="79" t="str">
        <x:f>IF(A362="","",Events!AD361)</x:f>
      </x:c>
      <x:c r="AA362" s="79" t="str">
        <x:f>IF(A362="","",Events!AE361)</x:f>
      </x:c>
    </x:row>
    <x:row r="363">
      <x:c r="A363" s="16" t="str">
        <x:f>IF(Events!A362="","",Events!A362)</x:f>
      </x:c>
      <x:c r="B363" s="16" t="str">
        <x:f>IF(A363="","",Events!B362)</x:f>
      </x:c>
      <x:c r="C363" s="16" t="str">
        <x:f>IF(A363="","",Events!E362)</x:f>
      </x:c>
      <x:c r="D363" s="16" t="str">
        <x:f>IF(A363="","",Events!J362)</x:f>
      </x:c>
      <x:c r="E363" s="16" t="str">
        <x:f>IF(A363="","",Events!N362)</x:f>
      </x:c>
      <x:c r="F363" s="109" t="str">
        <x:f>IF(OR(A363="",Events!H362=""),"",Events!H362)</x:f>
      </x:c>
      <x:c r="G363" s="109" t="str">
        <x:f>IF(A363="","",IF(Events!I362&lt;&gt;"",Events!I362,IF(Events!S362&lt;&gt;"",Events!S362,"")))</x:f>
      </x:c>
      <x:c r="H363" s="16" t="str">
        <x:f>IF(A363="","",Events!W362)</x:f>
      </x:c>
      <x:c r="I363" s="16" t="str">
        <x:f>IF(A363="","",IF(Events!Y362&lt;&gt;"",Events!Y362,IF(OR(ISNUMBER(SEARCH("education",P363)),ISNUMBER(SEARCH("exam",P363)),ISNUMBER(SEARCH("school",P363))),"Education",IF(OR(ISNUMBER(SEARCH("trade agreement",P363)),ISNUMBER(SEARCH("economic",P363)),ISNUMBER(SEARCH("import",P363))),"Trade &amp; economic policy",IF(OR(ISNUMBER(SEARCH("land acquisition",P363)),ISNUMBER(SEARCH("rehabilitation",P363)),ISNUMBER(SEARCH("displacement",P363)),ISNUMBER(SEARCH("township",P363))),"Land &amp; rehabilitation",IF(OR(ISNUMBER(SEARCH("forest",P363)),ISNUMBER(SEARCH("environment",P363)),ISNUMBER(SEARCH("ecological",P363)),ISNUMBER(SEARCH("biodiversity",P363)),ISNUMBER(SEARCH("green cover",P363))),"Environment",IF(OR(ISNUMBER(SEARCH("irrigation",P363)),ISNUMBER(SEARCH("water",P363)),ISNUMBER(SEARCH("crop",P363)),ISNUMBER(SEARCH("farmer",P363)),ISNUMBER(SEARCH("agriculture",P363))),"Agriculture &amp; water",IF(OR(ISNUMBER(SEARCH("health",P363)),ISNUMBER(SEARCH("hospital",P363)),ISNUMBER(SEARCH("medicine",P363))),"Public health",IF(OR(ISNUMBER(SEARCH("employee",P363)),ISNUMBER(SEARCH("labour",P363)),ISNUMBER(SEARCH("worker",P363)),ISNUMBER(SEARCH("salary",P363))),"Labour &amp; employment",IF(OR(ISNUMBER(SEARCH("rti",P363)),ISNUMBER(SEARCH("transparency",P363)),ISNUMBER(SEARCH("corruption",P363)),ISNUMBER(SEARCH("governance",P363))),"Governance &amp; transparency",IF(OR(ISNUMBER(SEARCH("police",P363)),ISNUMBER(SEARCH("detention",P363)),ISNUMBER(SEARCH("civil rights",P363)),ISNUMBER(SEARCH("justice",P363))),"Civil rights &amp; justice",IF(OR(ISNUMBER(SEARCH("road",P363)),ISNUMBER(SEARCH("utility",P363)),ISNUMBER(SEARCH("infrastructure",P363)),ISNUMBER(SEARCH("public service",P363))),"Infrastructure &amp; public services","Other"))))))))))))</x:f>
      </x:c>
      <x:c r="J363" s="16" t="str">
        <x:f>IF(A363="","",IF(OR(ISNUMBER(SEARCH("fatal",Q363)),ISNUMBER(SEARCH("death",Q363)),ISNUMBER(SEARCH("riot",Q363)),ISNUMBER(SEARCH("curfew",Q363)),ISNUMBER(SEARCH("internet shutdown",Q363))),5,MIN(4,1+IF(H363&gt;=7,1,0)+IF(OR(ISNUMBER(SEARCH("hunger strike",Q363)),ISNUMBER(SEARCH("blockade",Q363)),ISNUMBER(SEARCH("strike",Q363)),ISNUMBER(SEARCH("jal satyagraha",Q363)),ISNUMBER(SEARCH("survey",Q363)),ISNUMBER(SEARCH("human chain",Q363)),ISNUMBER(SEARCH("march",Q363))),1,0)+IF(OR(ISNUMBER(SEARCH("fir",Q363)),ISNUMBER(SEARCH("confrontation",Q363)),ISNUMBER(SEARCH("violence",Q363)),ISNUMBER(SEARCH("detention",Q363)),ISNUMBER(SEARCH("arrest",Q363)),ISNUMBER(SEARCH("demolition",Q363)),ISNUMBER(SEARCH("injury",Q363))),1,0)+IF(OR(D363="Ongoing",D363="Unresolved"),1,0))))</x:f>
      </x:c>
      <x:c r="K363" s="16" t="str">
        <x:f>IF(J363="","",IF(J363=1,"Limited",IF(J363=2,"Local",IF(J363=3,"Significant",IF(J363=4,"High","Critical")))))</x:f>
      </x:c>
      <x:c r="L363" s="16" t="str">
        <x:f>IF(A363="","",Events!U362)</x:f>
      </x:c>
      <x:c r="M363" s="16" t="str">
        <x:f>IF(A363="","",Events!V362)</x:f>
      </x:c>
      <x:c r="N363" s="16" t="str">
        <x:f>IF(A363="","",Events!Q362)</x:f>
      </x:c>
      <x:c r="O363" s="16" t="str">
        <x:f>IF(A363="","",Events!R362)</x:f>
      </x:c>
      <x:c r="P363" s="16" t="str">
        <x:f>IF(A363="","",LOWER(Events!B362&amp;" "&amp;Events!D362&amp;" "&amp;Events!K362))</x:f>
      </x:c>
      <x:c r="Q363" s="16" t="str">
        <x:f>IF(A363="","",LOWER(Events!C362&amp;" "&amp;Events!K362&amp;" "&amp;Events!T362))</x:f>
      </x:c>
      <x:c r="R363" s="16" t="str">
        <x:f>IF(A363="","",IF(ISNUMBER(SEARCH("Occurrence verified",E363)),"Occurrence verified",E363))</x:f>
      </x:c>
      <x:c r="S363" s="79" t="str">
        <x:f>IF(A363="","",Events!X362)</x:f>
      </x:c>
      <x:c r="Z363" s="79" t="str">
        <x:f>IF(A363="","",Events!AD362)</x:f>
      </x:c>
      <x:c r="AA363" s="79" t="str">
        <x:f>IF(A363="","",Events!AE362)</x:f>
      </x:c>
    </x:row>
    <x:row r="364">
      <x:c r="A364" s="16" t="str">
        <x:f>IF(Events!A363="","",Events!A363)</x:f>
      </x:c>
      <x:c r="B364" s="16" t="str">
        <x:f>IF(A364="","",Events!B363)</x:f>
      </x:c>
      <x:c r="C364" s="16" t="str">
        <x:f>IF(A364="","",Events!E363)</x:f>
      </x:c>
      <x:c r="D364" s="16" t="str">
        <x:f>IF(A364="","",Events!J363)</x:f>
      </x:c>
      <x:c r="E364" s="16" t="str">
        <x:f>IF(A364="","",Events!N363)</x:f>
      </x:c>
      <x:c r="F364" s="109" t="str">
        <x:f>IF(OR(A364="",Events!H363=""),"",Events!H363)</x:f>
      </x:c>
      <x:c r="G364" s="109" t="str">
        <x:f>IF(A364="","",IF(Events!I363&lt;&gt;"",Events!I363,IF(Events!S363&lt;&gt;"",Events!S363,"")))</x:f>
      </x:c>
      <x:c r="H364" s="16" t="str">
        <x:f>IF(A364="","",Events!W363)</x:f>
      </x:c>
      <x:c r="I364" s="16" t="str">
        <x:f>IF(A364="","",IF(Events!Y363&lt;&gt;"",Events!Y363,IF(OR(ISNUMBER(SEARCH("education",P364)),ISNUMBER(SEARCH("exam",P364)),ISNUMBER(SEARCH("school",P364))),"Education",IF(OR(ISNUMBER(SEARCH("trade agreement",P364)),ISNUMBER(SEARCH("economic",P364)),ISNUMBER(SEARCH("import",P364))),"Trade &amp; economic policy",IF(OR(ISNUMBER(SEARCH("land acquisition",P364)),ISNUMBER(SEARCH("rehabilitation",P364)),ISNUMBER(SEARCH("displacement",P364)),ISNUMBER(SEARCH("township",P364))),"Land &amp; rehabilitation",IF(OR(ISNUMBER(SEARCH("forest",P364)),ISNUMBER(SEARCH("environment",P364)),ISNUMBER(SEARCH("ecological",P364)),ISNUMBER(SEARCH("biodiversity",P364)),ISNUMBER(SEARCH("green cover",P364))),"Environment",IF(OR(ISNUMBER(SEARCH("irrigation",P364)),ISNUMBER(SEARCH("water",P364)),ISNUMBER(SEARCH("crop",P364)),ISNUMBER(SEARCH("farmer",P364)),ISNUMBER(SEARCH("agriculture",P364))),"Agriculture &amp; water",IF(OR(ISNUMBER(SEARCH("health",P364)),ISNUMBER(SEARCH("hospital",P364)),ISNUMBER(SEARCH("medicine",P364))),"Public health",IF(OR(ISNUMBER(SEARCH("employee",P364)),ISNUMBER(SEARCH("labour",P364)),ISNUMBER(SEARCH("worker",P364)),ISNUMBER(SEARCH("salary",P364))),"Labour &amp; employment",IF(OR(ISNUMBER(SEARCH("rti",P364)),ISNUMBER(SEARCH("transparency",P364)),ISNUMBER(SEARCH("corruption",P364)),ISNUMBER(SEARCH("governance",P364))),"Governance &amp; transparency",IF(OR(ISNUMBER(SEARCH("police",P364)),ISNUMBER(SEARCH("detention",P364)),ISNUMBER(SEARCH("civil rights",P364)),ISNUMBER(SEARCH("justice",P364))),"Civil rights &amp; justice",IF(OR(ISNUMBER(SEARCH("road",P364)),ISNUMBER(SEARCH("utility",P364)),ISNUMBER(SEARCH("infrastructure",P364)),ISNUMBER(SEARCH("public service",P364))),"Infrastructure &amp; public services","Other"))))))))))))</x:f>
      </x:c>
      <x:c r="J364" s="16" t="str">
        <x:f>IF(A364="","",IF(OR(ISNUMBER(SEARCH("fatal",Q364)),ISNUMBER(SEARCH("death",Q364)),ISNUMBER(SEARCH("riot",Q364)),ISNUMBER(SEARCH("curfew",Q364)),ISNUMBER(SEARCH("internet shutdown",Q364))),5,MIN(4,1+IF(H364&gt;=7,1,0)+IF(OR(ISNUMBER(SEARCH("hunger strike",Q364)),ISNUMBER(SEARCH("blockade",Q364)),ISNUMBER(SEARCH("strike",Q364)),ISNUMBER(SEARCH("jal satyagraha",Q364)),ISNUMBER(SEARCH("survey",Q364)),ISNUMBER(SEARCH("human chain",Q364)),ISNUMBER(SEARCH("march",Q364))),1,0)+IF(OR(ISNUMBER(SEARCH("fir",Q364)),ISNUMBER(SEARCH("confrontation",Q364)),ISNUMBER(SEARCH("violence",Q364)),ISNUMBER(SEARCH("detention",Q364)),ISNUMBER(SEARCH("arrest",Q364)),ISNUMBER(SEARCH("demolition",Q364)),ISNUMBER(SEARCH("injury",Q364))),1,0)+IF(OR(D364="Ongoing",D364="Unresolved"),1,0))))</x:f>
      </x:c>
      <x:c r="K364" s="16" t="str">
        <x:f>IF(J364="","",IF(J364=1,"Limited",IF(J364=2,"Local",IF(J364=3,"Significant",IF(J364=4,"High","Critical")))))</x:f>
      </x:c>
      <x:c r="L364" s="16" t="str">
        <x:f>IF(A364="","",Events!U363)</x:f>
      </x:c>
      <x:c r="M364" s="16" t="str">
        <x:f>IF(A364="","",Events!V363)</x:f>
      </x:c>
      <x:c r="N364" s="16" t="str">
        <x:f>IF(A364="","",Events!Q363)</x:f>
      </x:c>
      <x:c r="O364" s="16" t="str">
        <x:f>IF(A364="","",Events!R363)</x:f>
      </x:c>
      <x:c r="P364" s="16" t="str">
        <x:f>IF(A364="","",LOWER(Events!B363&amp;" "&amp;Events!D363&amp;" "&amp;Events!K363))</x:f>
      </x:c>
      <x:c r="Q364" s="16" t="str">
        <x:f>IF(A364="","",LOWER(Events!C363&amp;" "&amp;Events!K363&amp;" "&amp;Events!T363))</x:f>
      </x:c>
      <x:c r="R364" s="16" t="str">
        <x:f>IF(A364="","",IF(ISNUMBER(SEARCH("Occurrence verified",E364)),"Occurrence verified",E364))</x:f>
      </x:c>
      <x:c r="S364" s="79" t="str">
        <x:f>IF(A364="","",Events!X363)</x:f>
      </x:c>
      <x:c r="Z364" s="79" t="str">
        <x:f>IF(A364="","",Events!AD363)</x:f>
      </x:c>
      <x:c r="AA364" s="79" t="str">
        <x:f>IF(A364="","",Events!AE363)</x:f>
      </x:c>
    </x:row>
    <x:row r="365">
      <x:c r="A365" s="16" t="str">
        <x:f>IF(Events!A364="","",Events!A364)</x:f>
      </x:c>
      <x:c r="B365" s="16" t="str">
        <x:f>IF(A365="","",Events!B364)</x:f>
      </x:c>
      <x:c r="C365" s="16" t="str">
        <x:f>IF(A365="","",Events!E364)</x:f>
      </x:c>
      <x:c r="D365" s="16" t="str">
        <x:f>IF(A365="","",Events!J364)</x:f>
      </x:c>
      <x:c r="E365" s="16" t="str">
        <x:f>IF(A365="","",Events!N364)</x:f>
      </x:c>
      <x:c r="F365" s="109" t="str">
        <x:f>IF(OR(A365="",Events!H364=""),"",Events!H364)</x:f>
      </x:c>
      <x:c r="G365" s="109" t="str">
        <x:f>IF(A365="","",IF(Events!I364&lt;&gt;"",Events!I364,IF(Events!S364&lt;&gt;"",Events!S364,"")))</x:f>
      </x:c>
      <x:c r="H365" s="16" t="str">
        <x:f>IF(A365="","",Events!W364)</x:f>
      </x:c>
      <x:c r="I365" s="16" t="str">
        <x:f>IF(A365="","",IF(Events!Y364&lt;&gt;"",Events!Y364,IF(OR(ISNUMBER(SEARCH("education",P365)),ISNUMBER(SEARCH("exam",P365)),ISNUMBER(SEARCH("school",P365))),"Education",IF(OR(ISNUMBER(SEARCH("trade agreement",P365)),ISNUMBER(SEARCH("economic",P365)),ISNUMBER(SEARCH("import",P365))),"Trade &amp; economic policy",IF(OR(ISNUMBER(SEARCH("land acquisition",P365)),ISNUMBER(SEARCH("rehabilitation",P365)),ISNUMBER(SEARCH("displacement",P365)),ISNUMBER(SEARCH("township",P365))),"Land &amp; rehabilitation",IF(OR(ISNUMBER(SEARCH("forest",P365)),ISNUMBER(SEARCH("environment",P365)),ISNUMBER(SEARCH("ecological",P365)),ISNUMBER(SEARCH("biodiversity",P365)),ISNUMBER(SEARCH("green cover",P365))),"Environment",IF(OR(ISNUMBER(SEARCH("irrigation",P365)),ISNUMBER(SEARCH("water",P365)),ISNUMBER(SEARCH("crop",P365)),ISNUMBER(SEARCH("farmer",P365)),ISNUMBER(SEARCH("agriculture",P365))),"Agriculture &amp; water",IF(OR(ISNUMBER(SEARCH("health",P365)),ISNUMBER(SEARCH("hospital",P365)),ISNUMBER(SEARCH("medicine",P365))),"Public health",IF(OR(ISNUMBER(SEARCH("employee",P365)),ISNUMBER(SEARCH("labour",P365)),ISNUMBER(SEARCH("worker",P365)),ISNUMBER(SEARCH("salary",P365))),"Labour &amp; employment",IF(OR(ISNUMBER(SEARCH("rti",P365)),ISNUMBER(SEARCH("transparency",P365)),ISNUMBER(SEARCH("corruption",P365)),ISNUMBER(SEARCH("governance",P365))),"Governance &amp; transparency",IF(OR(ISNUMBER(SEARCH("police",P365)),ISNUMBER(SEARCH("detention",P365)),ISNUMBER(SEARCH("civil rights",P365)),ISNUMBER(SEARCH("justice",P365))),"Civil rights &amp; justice",IF(OR(ISNUMBER(SEARCH("road",P365)),ISNUMBER(SEARCH("utility",P365)),ISNUMBER(SEARCH("infrastructure",P365)),ISNUMBER(SEARCH("public service",P365))),"Infrastructure &amp; public services","Other"))))))))))))</x:f>
      </x:c>
      <x:c r="J365" s="16" t="str">
        <x:f>IF(A365="","",IF(OR(ISNUMBER(SEARCH("fatal",Q365)),ISNUMBER(SEARCH("death",Q365)),ISNUMBER(SEARCH("riot",Q365)),ISNUMBER(SEARCH("curfew",Q365)),ISNUMBER(SEARCH("internet shutdown",Q365))),5,MIN(4,1+IF(H365&gt;=7,1,0)+IF(OR(ISNUMBER(SEARCH("hunger strike",Q365)),ISNUMBER(SEARCH("blockade",Q365)),ISNUMBER(SEARCH("strike",Q365)),ISNUMBER(SEARCH("jal satyagraha",Q365)),ISNUMBER(SEARCH("survey",Q365)),ISNUMBER(SEARCH("human chain",Q365)),ISNUMBER(SEARCH("march",Q365))),1,0)+IF(OR(ISNUMBER(SEARCH("fir",Q365)),ISNUMBER(SEARCH("confrontation",Q365)),ISNUMBER(SEARCH("violence",Q365)),ISNUMBER(SEARCH("detention",Q365)),ISNUMBER(SEARCH("arrest",Q365)),ISNUMBER(SEARCH("demolition",Q365)),ISNUMBER(SEARCH("injury",Q365))),1,0)+IF(OR(D365="Ongoing",D365="Unresolved"),1,0))))</x:f>
      </x:c>
      <x:c r="K365" s="16" t="str">
        <x:f>IF(J365="","",IF(J365=1,"Limited",IF(J365=2,"Local",IF(J365=3,"Significant",IF(J365=4,"High","Critical")))))</x:f>
      </x:c>
      <x:c r="L365" s="16" t="str">
        <x:f>IF(A365="","",Events!U364)</x:f>
      </x:c>
      <x:c r="M365" s="16" t="str">
        <x:f>IF(A365="","",Events!V364)</x:f>
      </x:c>
      <x:c r="N365" s="16" t="str">
        <x:f>IF(A365="","",Events!Q364)</x:f>
      </x:c>
      <x:c r="O365" s="16" t="str">
        <x:f>IF(A365="","",Events!R364)</x:f>
      </x:c>
      <x:c r="P365" s="16" t="str">
        <x:f>IF(A365="","",LOWER(Events!B364&amp;" "&amp;Events!D364&amp;" "&amp;Events!K364))</x:f>
      </x:c>
      <x:c r="Q365" s="16" t="str">
        <x:f>IF(A365="","",LOWER(Events!C364&amp;" "&amp;Events!K364&amp;" "&amp;Events!T364))</x:f>
      </x:c>
      <x:c r="R365" s="16" t="str">
        <x:f>IF(A365="","",IF(ISNUMBER(SEARCH("Occurrence verified",E365)),"Occurrence verified",E365))</x:f>
      </x:c>
      <x:c r="S365" s="79" t="str">
        <x:f>IF(A365="","",Events!X364)</x:f>
      </x:c>
      <x:c r="Z365" s="79" t="str">
        <x:f>IF(A365="","",Events!AD364)</x:f>
      </x:c>
      <x:c r="AA365" s="79" t="str">
        <x:f>IF(A365="","",Events!AE364)</x:f>
      </x:c>
    </x:row>
    <x:row r="366">
      <x:c r="A366" s="16" t="str">
        <x:f>IF(Events!A365="","",Events!A365)</x:f>
      </x:c>
      <x:c r="B366" s="16" t="str">
        <x:f>IF(A366="","",Events!B365)</x:f>
      </x:c>
      <x:c r="C366" s="16" t="str">
        <x:f>IF(A366="","",Events!E365)</x:f>
      </x:c>
      <x:c r="D366" s="16" t="str">
        <x:f>IF(A366="","",Events!J365)</x:f>
      </x:c>
      <x:c r="E366" s="16" t="str">
        <x:f>IF(A366="","",Events!N365)</x:f>
      </x:c>
      <x:c r="F366" s="109" t="str">
        <x:f>IF(OR(A366="",Events!H365=""),"",Events!H365)</x:f>
      </x:c>
      <x:c r="G366" s="109" t="str">
        <x:f>IF(A366="","",IF(Events!I365&lt;&gt;"",Events!I365,IF(Events!S365&lt;&gt;"",Events!S365,"")))</x:f>
      </x:c>
      <x:c r="H366" s="16" t="str">
        <x:f>IF(A366="","",Events!W365)</x:f>
      </x:c>
      <x:c r="I366" s="16" t="str">
        <x:f>IF(A366="","",IF(Events!Y365&lt;&gt;"",Events!Y365,IF(OR(ISNUMBER(SEARCH("education",P366)),ISNUMBER(SEARCH("exam",P366)),ISNUMBER(SEARCH("school",P366))),"Education",IF(OR(ISNUMBER(SEARCH("trade agreement",P366)),ISNUMBER(SEARCH("economic",P366)),ISNUMBER(SEARCH("import",P366))),"Trade &amp; economic policy",IF(OR(ISNUMBER(SEARCH("land acquisition",P366)),ISNUMBER(SEARCH("rehabilitation",P366)),ISNUMBER(SEARCH("displacement",P366)),ISNUMBER(SEARCH("township",P366))),"Land &amp; rehabilitation",IF(OR(ISNUMBER(SEARCH("forest",P366)),ISNUMBER(SEARCH("environment",P366)),ISNUMBER(SEARCH("ecological",P366)),ISNUMBER(SEARCH("biodiversity",P366)),ISNUMBER(SEARCH("green cover",P366))),"Environment",IF(OR(ISNUMBER(SEARCH("irrigation",P366)),ISNUMBER(SEARCH("water",P366)),ISNUMBER(SEARCH("crop",P366)),ISNUMBER(SEARCH("farmer",P366)),ISNUMBER(SEARCH("agriculture",P366))),"Agriculture &amp; water",IF(OR(ISNUMBER(SEARCH("health",P366)),ISNUMBER(SEARCH("hospital",P366)),ISNUMBER(SEARCH("medicine",P366))),"Public health",IF(OR(ISNUMBER(SEARCH("employee",P366)),ISNUMBER(SEARCH("labour",P366)),ISNUMBER(SEARCH("worker",P366)),ISNUMBER(SEARCH("salary",P366))),"Labour &amp; employment",IF(OR(ISNUMBER(SEARCH("rti",P366)),ISNUMBER(SEARCH("transparency",P366)),ISNUMBER(SEARCH("corruption",P366)),ISNUMBER(SEARCH("governance",P366))),"Governance &amp; transparency",IF(OR(ISNUMBER(SEARCH("police",P366)),ISNUMBER(SEARCH("detention",P366)),ISNUMBER(SEARCH("civil rights",P366)),ISNUMBER(SEARCH("justice",P366))),"Civil rights &amp; justice",IF(OR(ISNUMBER(SEARCH("road",P366)),ISNUMBER(SEARCH("utility",P366)),ISNUMBER(SEARCH("infrastructure",P366)),ISNUMBER(SEARCH("public service",P366))),"Infrastructure &amp; public services","Other"))))))))))))</x:f>
      </x:c>
      <x:c r="J366" s="16" t="str">
        <x:f>IF(A366="","",IF(OR(ISNUMBER(SEARCH("fatal",Q366)),ISNUMBER(SEARCH("death",Q366)),ISNUMBER(SEARCH("riot",Q366)),ISNUMBER(SEARCH("curfew",Q366)),ISNUMBER(SEARCH("internet shutdown",Q366))),5,MIN(4,1+IF(H366&gt;=7,1,0)+IF(OR(ISNUMBER(SEARCH("hunger strike",Q366)),ISNUMBER(SEARCH("blockade",Q366)),ISNUMBER(SEARCH("strike",Q366)),ISNUMBER(SEARCH("jal satyagraha",Q366)),ISNUMBER(SEARCH("survey",Q366)),ISNUMBER(SEARCH("human chain",Q366)),ISNUMBER(SEARCH("march",Q366))),1,0)+IF(OR(ISNUMBER(SEARCH("fir",Q366)),ISNUMBER(SEARCH("confrontation",Q366)),ISNUMBER(SEARCH("violence",Q366)),ISNUMBER(SEARCH("detention",Q366)),ISNUMBER(SEARCH("arrest",Q366)),ISNUMBER(SEARCH("demolition",Q366)),ISNUMBER(SEARCH("injury",Q366))),1,0)+IF(OR(D366="Ongoing",D366="Unresolved"),1,0))))</x:f>
      </x:c>
      <x:c r="K366" s="16" t="str">
        <x:f>IF(J366="","",IF(J366=1,"Limited",IF(J366=2,"Local",IF(J366=3,"Significant",IF(J366=4,"High","Critical")))))</x:f>
      </x:c>
      <x:c r="L366" s="16" t="str">
        <x:f>IF(A366="","",Events!U365)</x:f>
      </x:c>
      <x:c r="M366" s="16" t="str">
        <x:f>IF(A366="","",Events!V365)</x:f>
      </x:c>
      <x:c r="N366" s="16" t="str">
        <x:f>IF(A366="","",Events!Q365)</x:f>
      </x:c>
      <x:c r="O366" s="16" t="str">
        <x:f>IF(A366="","",Events!R365)</x:f>
      </x:c>
      <x:c r="P366" s="16" t="str">
        <x:f>IF(A366="","",LOWER(Events!B365&amp;" "&amp;Events!D365&amp;" "&amp;Events!K365))</x:f>
      </x:c>
      <x:c r="Q366" s="16" t="str">
        <x:f>IF(A366="","",LOWER(Events!C365&amp;" "&amp;Events!K365&amp;" "&amp;Events!T365))</x:f>
      </x:c>
      <x:c r="R366" s="16" t="str">
        <x:f>IF(A366="","",IF(ISNUMBER(SEARCH("Occurrence verified",E366)),"Occurrence verified",E366))</x:f>
      </x:c>
      <x:c r="S366" s="79" t="str">
        <x:f>IF(A366="","",Events!X365)</x:f>
      </x:c>
      <x:c r="Z366" s="79" t="str">
        <x:f>IF(A366="","",Events!AD365)</x:f>
      </x:c>
      <x:c r="AA366" s="79" t="str">
        <x:f>IF(A366="","",Events!AE365)</x:f>
      </x:c>
    </x:row>
    <x:row r="367">
      <x:c r="A367" s="16" t="str">
        <x:f>IF(Events!A366="","",Events!A366)</x:f>
      </x:c>
      <x:c r="B367" s="16" t="str">
        <x:f>IF(A367="","",Events!B366)</x:f>
      </x:c>
      <x:c r="C367" s="16" t="str">
        <x:f>IF(A367="","",Events!E366)</x:f>
      </x:c>
      <x:c r="D367" s="16" t="str">
        <x:f>IF(A367="","",Events!J366)</x:f>
      </x:c>
      <x:c r="E367" s="16" t="str">
        <x:f>IF(A367="","",Events!N366)</x:f>
      </x:c>
      <x:c r="F367" s="109" t="str">
        <x:f>IF(OR(A367="",Events!H366=""),"",Events!H366)</x:f>
      </x:c>
      <x:c r="G367" s="109" t="str">
        <x:f>IF(A367="","",IF(Events!I366&lt;&gt;"",Events!I366,IF(Events!S366&lt;&gt;"",Events!S366,"")))</x:f>
      </x:c>
      <x:c r="H367" s="16" t="str">
        <x:f>IF(A367="","",Events!W366)</x:f>
      </x:c>
      <x:c r="I367" s="16" t="str">
        <x:f>IF(A367="","",IF(Events!Y366&lt;&gt;"",Events!Y366,IF(OR(ISNUMBER(SEARCH("education",P367)),ISNUMBER(SEARCH("exam",P367)),ISNUMBER(SEARCH("school",P367))),"Education",IF(OR(ISNUMBER(SEARCH("trade agreement",P367)),ISNUMBER(SEARCH("economic",P367)),ISNUMBER(SEARCH("import",P367))),"Trade &amp; economic policy",IF(OR(ISNUMBER(SEARCH("land acquisition",P367)),ISNUMBER(SEARCH("rehabilitation",P367)),ISNUMBER(SEARCH("displacement",P367)),ISNUMBER(SEARCH("township",P367))),"Land &amp; rehabilitation",IF(OR(ISNUMBER(SEARCH("forest",P367)),ISNUMBER(SEARCH("environment",P367)),ISNUMBER(SEARCH("ecological",P367)),ISNUMBER(SEARCH("biodiversity",P367)),ISNUMBER(SEARCH("green cover",P367))),"Environment",IF(OR(ISNUMBER(SEARCH("irrigation",P367)),ISNUMBER(SEARCH("water",P367)),ISNUMBER(SEARCH("crop",P367)),ISNUMBER(SEARCH("farmer",P367)),ISNUMBER(SEARCH("agriculture",P367))),"Agriculture &amp; water",IF(OR(ISNUMBER(SEARCH("health",P367)),ISNUMBER(SEARCH("hospital",P367)),ISNUMBER(SEARCH("medicine",P367))),"Public health",IF(OR(ISNUMBER(SEARCH("employee",P367)),ISNUMBER(SEARCH("labour",P367)),ISNUMBER(SEARCH("worker",P367)),ISNUMBER(SEARCH("salary",P367))),"Labour &amp; employment",IF(OR(ISNUMBER(SEARCH("rti",P367)),ISNUMBER(SEARCH("transparency",P367)),ISNUMBER(SEARCH("corruption",P367)),ISNUMBER(SEARCH("governance",P367))),"Governance &amp; transparency",IF(OR(ISNUMBER(SEARCH("police",P367)),ISNUMBER(SEARCH("detention",P367)),ISNUMBER(SEARCH("civil rights",P367)),ISNUMBER(SEARCH("justice",P367))),"Civil rights &amp; justice",IF(OR(ISNUMBER(SEARCH("road",P367)),ISNUMBER(SEARCH("utility",P367)),ISNUMBER(SEARCH("infrastructure",P367)),ISNUMBER(SEARCH("public service",P367))),"Infrastructure &amp; public services","Other"))))))))))))</x:f>
      </x:c>
      <x:c r="J367" s="16" t="str">
        <x:f>IF(A367="","",IF(OR(ISNUMBER(SEARCH("fatal",Q367)),ISNUMBER(SEARCH("death",Q367)),ISNUMBER(SEARCH("riot",Q367)),ISNUMBER(SEARCH("curfew",Q367)),ISNUMBER(SEARCH("internet shutdown",Q367))),5,MIN(4,1+IF(H367&gt;=7,1,0)+IF(OR(ISNUMBER(SEARCH("hunger strike",Q367)),ISNUMBER(SEARCH("blockade",Q367)),ISNUMBER(SEARCH("strike",Q367)),ISNUMBER(SEARCH("jal satyagraha",Q367)),ISNUMBER(SEARCH("survey",Q367)),ISNUMBER(SEARCH("human chain",Q367)),ISNUMBER(SEARCH("march",Q367))),1,0)+IF(OR(ISNUMBER(SEARCH("fir",Q367)),ISNUMBER(SEARCH("confrontation",Q367)),ISNUMBER(SEARCH("violence",Q367)),ISNUMBER(SEARCH("detention",Q367)),ISNUMBER(SEARCH("arrest",Q367)),ISNUMBER(SEARCH("demolition",Q367)),ISNUMBER(SEARCH("injury",Q367))),1,0)+IF(OR(D367="Ongoing",D367="Unresolved"),1,0))))</x:f>
      </x:c>
      <x:c r="K367" s="16" t="str">
        <x:f>IF(J367="","",IF(J367=1,"Limited",IF(J367=2,"Local",IF(J367=3,"Significant",IF(J367=4,"High","Critical")))))</x:f>
      </x:c>
      <x:c r="L367" s="16" t="str">
        <x:f>IF(A367="","",Events!U366)</x:f>
      </x:c>
      <x:c r="M367" s="16" t="str">
        <x:f>IF(A367="","",Events!V366)</x:f>
      </x:c>
      <x:c r="N367" s="16" t="str">
        <x:f>IF(A367="","",Events!Q366)</x:f>
      </x:c>
      <x:c r="O367" s="16" t="str">
        <x:f>IF(A367="","",Events!R366)</x:f>
      </x:c>
      <x:c r="P367" s="16" t="str">
        <x:f>IF(A367="","",LOWER(Events!B366&amp;" "&amp;Events!D366&amp;" "&amp;Events!K366))</x:f>
      </x:c>
      <x:c r="Q367" s="16" t="str">
        <x:f>IF(A367="","",LOWER(Events!C366&amp;" "&amp;Events!K366&amp;" "&amp;Events!T366))</x:f>
      </x:c>
      <x:c r="R367" s="16" t="str">
        <x:f>IF(A367="","",IF(ISNUMBER(SEARCH("Occurrence verified",E367)),"Occurrence verified",E367))</x:f>
      </x:c>
      <x:c r="S367" s="79" t="str">
        <x:f>IF(A367="","",Events!X366)</x:f>
      </x:c>
      <x:c r="Z367" s="79" t="str">
        <x:f>IF(A367="","",Events!AD366)</x:f>
      </x:c>
      <x:c r="AA367" s="79" t="str">
        <x:f>IF(A367="","",Events!AE366)</x:f>
      </x:c>
    </x:row>
    <x:row r="368">
      <x:c r="A368" s="16" t="str">
        <x:f>IF(Events!A367="","",Events!A367)</x:f>
      </x:c>
      <x:c r="B368" s="16" t="str">
        <x:f>IF(A368="","",Events!B367)</x:f>
      </x:c>
      <x:c r="C368" s="16" t="str">
        <x:f>IF(A368="","",Events!E367)</x:f>
      </x:c>
      <x:c r="D368" s="16" t="str">
        <x:f>IF(A368="","",Events!J367)</x:f>
      </x:c>
      <x:c r="E368" s="16" t="str">
        <x:f>IF(A368="","",Events!N367)</x:f>
      </x:c>
      <x:c r="F368" s="109" t="str">
        <x:f>IF(OR(A368="",Events!H367=""),"",Events!H367)</x:f>
      </x:c>
      <x:c r="G368" s="109" t="str">
        <x:f>IF(A368="","",IF(Events!I367&lt;&gt;"",Events!I367,IF(Events!S367&lt;&gt;"",Events!S367,"")))</x:f>
      </x:c>
      <x:c r="H368" s="16" t="str">
        <x:f>IF(A368="","",Events!W367)</x:f>
      </x:c>
      <x:c r="I368" s="16" t="str">
        <x:f>IF(A368="","",IF(Events!Y367&lt;&gt;"",Events!Y367,IF(OR(ISNUMBER(SEARCH("education",P368)),ISNUMBER(SEARCH("exam",P368)),ISNUMBER(SEARCH("school",P368))),"Education",IF(OR(ISNUMBER(SEARCH("trade agreement",P368)),ISNUMBER(SEARCH("economic",P368)),ISNUMBER(SEARCH("import",P368))),"Trade &amp; economic policy",IF(OR(ISNUMBER(SEARCH("land acquisition",P368)),ISNUMBER(SEARCH("rehabilitation",P368)),ISNUMBER(SEARCH("displacement",P368)),ISNUMBER(SEARCH("township",P368))),"Land &amp; rehabilitation",IF(OR(ISNUMBER(SEARCH("forest",P368)),ISNUMBER(SEARCH("environment",P368)),ISNUMBER(SEARCH("ecological",P368)),ISNUMBER(SEARCH("biodiversity",P368)),ISNUMBER(SEARCH("green cover",P368))),"Environment",IF(OR(ISNUMBER(SEARCH("irrigation",P368)),ISNUMBER(SEARCH("water",P368)),ISNUMBER(SEARCH("crop",P368)),ISNUMBER(SEARCH("farmer",P368)),ISNUMBER(SEARCH("agriculture",P368))),"Agriculture &amp; water",IF(OR(ISNUMBER(SEARCH("health",P368)),ISNUMBER(SEARCH("hospital",P368)),ISNUMBER(SEARCH("medicine",P368))),"Public health",IF(OR(ISNUMBER(SEARCH("employee",P368)),ISNUMBER(SEARCH("labour",P368)),ISNUMBER(SEARCH("worker",P368)),ISNUMBER(SEARCH("salary",P368))),"Labour &amp; employment",IF(OR(ISNUMBER(SEARCH("rti",P368)),ISNUMBER(SEARCH("transparency",P368)),ISNUMBER(SEARCH("corruption",P368)),ISNUMBER(SEARCH("governance",P368))),"Governance &amp; transparency",IF(OR(ISNUMBER(SEARCH("police",P368)),ISNUMBER(SEARCH("detention",P368)),ISNUMBER(SEARCH("civil rights",P368)),ISNUMBER(SEARCH("justice",P368))),"Civil rights &amp; justice",IF(OR(ISNUMBER(SEARCH("road",P368)),ISNUMBER(SEARCH("utility",P368)),ISNUMBER(SEARCH("infrastructure",P368)),ISNUMBER(SEARCH("public service",P368))),"Infrastructure &amp; public services","Other"))))))))))))</x:f>
      </x:c>
      <x:c r="J368" s="16" t="str">
        <x:f>IF(A368="","",IF(OR(ISNUMBER(SEARCH("fatal",Q368)),ISNUMBER(SEARCH("death",Q368)),ISNUMBER(SEARCH("riot",Q368)),ISNUMBER(SEARCH("curfew",Q368)),ISNUMBER(SEARCH("internet shutdown",Q368))),5,MIN(4,1+IF(H368&gt;=7,1,0)+IF(OR(ISNUMBER(SEARCH("hunger strike",Q368)),ISNUMBER(SEARCH("blockade",Q368)),ISNUMBER(SEARCH("strike",Q368)),ISNUMBER(SEARCH("jal satyagraha",Q368)),ISNUMBER(SEARCH("survey",Q368)),ISNUMBER(SEARCH("human chain",Q368)),ISNUMBER(SEARCH("march",Q368))),1,0)+IF(OR(ISNUMBER(SEARCH("fir",Q368)),ISNUMBER(SEARCH("confrontation",Q368)),ISNUMBER(SEARCH("violence",Q368)),ISNUMBER(SEARCH("detention",Q368)),ISNUMBER(SEARCH("arrest",Q368)),ISNUMBER(SEARCH("demolition",Q368)),ISNUMBER(SEARCH("injury",Q368))),1,0)+IF(OR(D368="Ongoing",D368="Unresolved"),1,0))))</x:f>
      </x:c>
      <x:c r="K368" s="16" t="str">
        <x:f>IF(J368="","",IF(J368=1,"Limited",IF(J368=2,"Local",IF(J368=3,"Significant",IF(J368=4,"High","Critical")))))</x:f>
      </x:c>
      <x:c r="L368" s="16" t="str">
        <x:f>IF(A368="","",Events!U367)</x:f>
      </x:c>
      <x:c r="M368" s="16" t="str">
        <x:f>IF(A368="","",Events!V367)</x:f>
      </x:c>
      <x:c r="N368" s="16" t="str">
        <x:f>IF(A368="","",Events!Q367)</x:f>
      </x:c>
      <x:c r="O368" s="16" t="str">
        <x:f>IF(A368="","",Events!R367)</x:f>
      </x:c>
      <x:c r="P368" s="16" t="str">
        <x:f>IF(A368="","",LOWER(Events!B367&amp;" "&amp;Events!D367&amp;" "&amp;Events!K367))</x:f>
      </x:c>
      <x:c r="Q368" s="16" t="str">
        <x:f>IF(A368="","",LOWER(Events!C367&amp;" "&amp;Events!K367&amp;" "&amp;Events!T367))</x:f>
      </x:c>
      <x:c r="R368" s="16" t="str">
        <x:f>IF(A368="","",IF(ISNUMBER(SEARCH("Occurrence verified",E368)),"Occurrence verified",E368))</x:f>
      </x:c>
      <x:c r="S368" s="79" t="str">
        <x:f>IF(A368="","",Events!X367)</x:f>
      </x:c>
      <x:c r="Z368" s="79" t="str">
        <x:f>IF(A368="","",Events!AD367)</x:f>
      </x:c>
      <x:c r="AA368" s="79" t="str">
        <x:f>IF(A368="","",Events!AE367)</x:f>
      </x:c>
    </x:row>
    <x:row r="369">
      <x:c r="A369" s="16" t="str">
        <x:f>IF(Events!A368="","",Events!A368)</x:f>
      </x:c>
      <x:c r="B369" s="16" t="str">
        <x:f>IF(A369="","",Events!B368)</x:f>
      </x:c>
      <x:c r="C369" s="16" t="str">
        <x:f>IF(A369="","",Events!E368)</x:f>
      </x:c>
      <x:c r="D369" s="16" t="str">
        <x:f>IF(A369="","",Events!J368)</x:f>
      </x:c>
      <x:c r="E369" s="16" t="str">
        <x:f>IF(A369="","",Events!N368)</x:f>
      </x:c>
      <x:c r="F369" s="109" t="str">
        <x:f>IF(OR(A369="",Events!H368=""),"",Events!H368)</x:f>
      </x:c>
      <x:c r="G369" s="109" t="str">
        <x:f>IF(A369="","",IF(Events!I368&lt;&gt;"",Events!I368,IF(Events!S368&lt;&gt;"",Events!S368,"")))</x:f>
      </x:c>
      <x:c r="H369" s="16" t="str">
        <x:f>IF(A369="","",Events!W368)</x:f>
      </x:c>
      <x:c r="I369" s="16" t="str">
        <x:f>IF(A369="","",IF(Events!Y368&lt;&gt;"",Events!Y368,IF(OR(ISNUMBER(SEARCH("education",P369)),ISNUMBER(SEARCH("exam",P369)),ISNUMBER(SEARCH("school",P369))),"Education",IF(OR(ISNUMBER(SEARCH("trade agreement",P369)),ISNUMBER(SEARCH("economic",P369)),ISNUMBER(SEARCH("import",P369))),"Trade &amp; economic policy",IF(OR(ISNUMBER(SEARCH("land acquisition",P369)),ISNUMBER(SEARCH("rehabilitation",P369)),ISNUMBER(SEARCH("displacement",P369)),ISNUMBER(SEARCH("township",P369))),"Land &amp; rehabilitation",IF(OR(ISNUMBER(SEARCH("forest",P369)),ISNUMBER(SEARCH("environment",P369)),ISNUMBER(SEARCH("ecological",P369)),ISNUMBER(SEARCH("biodiversity",P369)),ISNUMBER(SEARCH("green cover",P369))),"Environment",IF(OR(ISNUMBER(SEARCH("irrigation",P369)),ISNUMBER(SEARCH("water",P369)),ISNUMBER(SEARCH("crop",P369)),ISNUMBER(SEARCH("farmer",P369)),ISNUMBER(SEARCH("agriculture",P369))),"Agriculture &amp; water",IF(OR(ISNUMBER(SEARCH("health",P369)),ISNUMBER(SEARCH("hospital",P369)),ISNUMBER(SEARCH("medicine",P369))),"Public health",IF(OR(ISNUMBER(SEARCH("employee",P369)),ISNUMBER(SEARCH("labour",P369)),ISNUMBER(SEARCH("worker",P369)),ISNUMBER(SEARCH("salary",P369))),"Labour &amp; employment",IF(OR(ISNUMBER(SEARCH("rti",P369)),ISNUMBER(SEARCH("transparency",P369)),ISNUMBER(SEARCH("corruption",P369)),ISNUMBER(SEARCH("governance",P369))),"Governance &amp; transparency",IF(OR(ISNUMBER(SEARCH("police",P369)),ISNUMBER(SEARCH("detention",P369)),ISNUMBER(SEARCH("civil rights",P369)),ISNUMBER(SEARCH("justice",P369))),"Civil rights &amp; justice",IF(OR(ISNUMBER(SEARCH("road",P369)),ISNUMBER(SEARCH("utility",P369)),ISNUMBER(SEARCH("infrastructure",P369)),ISNUMBER(SEARCH("public service",P369))),"Infrastructure &amp; public services","Other"))))))))))))</x:f>
      </x:c>
      <x:c r="J369" s="16" t="str">
        <x:f>IF(A369="","",IF(OR(ISNUMBER(SEARCH("fatal",Q369)),ISNUMBER(SEARCH("death",Q369)),ISNUMBER(SEARCH("riot",Q369)),ISNUMBER(SEARCH("curfew",Q369)),ISNUMBER(SEARCH("internet shutdown",Q369))),5,MIN(4,1+IF(H369&gt;=7,1,0)+IF(OR(ISNUMBER(SEARCH("hunger strike",Q369)),ISNUMBER(SEARCH("blockade",Q369)),ISNUMBER(SEARCH("strike",Q369)),ISNUMBER(SEARCH("jal satyagraha",Q369)),ISNUMBER(SEARCH("survey",Q369)),ISNUMBER(SEARCH("human chain",Q369)),ISNUMBER(SEARCH("march",Q369))),1,0)+IF(OR(ISNUMBER(SEARCH("fir",Q369)),ISNUMBER(SEARCH("confrontation",Q369)),ISNUMBER(SEARCH("violence",Q369)),ISNUMBER(SEARCH("detention",Q369)),ISNUMBER(SEARCH("arrest",Q369)),ISNUMBER(SEARCH("demolition",Q369)),ISNUMBER(SEARCH("injury",Q369))),1,0)+IF(OR(D369="Ongoing",D369="Unresolved"),1,0))))</x:f>
      </x:c>
      <x:c r="K369" s="16" t="str">
        <x:f>IF(J369="","",IF(J369=1,"Limited",IF(J369=2,"Local",IF(J369=3,"Significant",IF(J369=4,"High","Critical")))))</x:f>
      </x:c>
      <x:c r="L369" s="16" t="str">
        <x:f>IF(A369="","",Events!U368)</x:f>
      </x:c>
      <x:c r="M369" s="16" t="str">
        <x:f>IF(A369="","",Events!V368)</x:f>
      </x:c>
      <x:c r="N369" s="16" t="str">
        <x:f>IF(A369="","",Events!Q368)</x:f>
      </x:c>
      <x:c r="O369" s="16" t="str">
        <x:f>IF(A369="","",Events!R368)</x:f>
      </x:c>
      <x:c r="P369" s="16" t="str">
        <x:f>IF(A369="","",LOWER(Events!B368&amp;" "&amp;Events!D368&amp;" "&amp;Events!K368))</x:f>
      </x:c>
      <x:c r="Q369" s="16" t="str">
        <x:f>IF(A369="","",LOWER(Events!C368&amp;" "&amp;Events!K368&amp;" "&amp;Events!T368))</x:f>
      </x:c>
      <x:c r="R369" s="16" t="str">
        <x:f>IF(A369="","",IF(ISNUMBER(SEARCH("Occurrence verified",E369)),"Occurrence verified",E369))</x:f>
      </x:c>
      <x:c r="S369" s="79" t="str">
        <x:f>IF(A369="","",Events!X368)</x:f>
      </x:c>
      <x:c r="Z369" s="79" t="str">
        <x:f>IF(A369="","",Events!AD368)</x:f>
      </x:c>
      <x:c r="AA369" s="79" t="str">
        <x:f>IF(A369="","",Events!AE368)</x:f>
      </x:c>
    </x:row>
    <x:row r="370">
      <x:c r="A370" s="16" t="str">
        <x:f>IF(Events!A369="","",Events!A369)</x:f>
      </x:c>
      <x:c r="B370" s="16" t="str">
        <x:f>IF(A370="","",Events!B369)</x:f>
      </x:c>
      <x:c r="C370" s="16" t="str">
        <x:f>IF(A370="","",Events!E369)</x:f>
      </x:c>
      <x:c r="D370" s="16" t="str">
        <x:f>IF(A370="","",Events!J369)</x:f>
      </x:c>
      <x:c r="E370" s="16" t="str">
        <x:f>IF(A370="","",Events!N369)</x:f>
      </x:c>
      <x:c r="F370" s="109" t="str">
        <x:f>IF(OR(A370="",Events!H369=""),"",Events!H369)</x:f>
      </x:c>
      <x:c r="G370" s="109" t="str">
        <x:f>IF(A370="","",IF(Events!I369&lt;&gt;"",Events!I369,IF(Events!S369&lt;&gt;"",Events!S369,"")))</x:f>
      </x:c>
      <x:c r="H370" s="16" t="str">
        <x:f>IF(A370="","",Events!W369)</x:f>
      </x:c>
      <x:c r="I370" s="16" t="str">
        <x:f>IF(A370="","",IF(Events!Y369&lt;&gt;"",Events!Y369,IF(OR(ISNUMBER(SEARCH("education",P370)),ISNUMBER(SEARCH("exam",P370)),ISNUMBER(SEARCH("school",P370))),"Education",IF(OR(ISNUMBER(SEARCH("trade agreement",P370)),ISNUMBER(SEARCH("economic",P370)),ISNUMBER(SEARCH("import",P370))),"Trade &amp; economic policy",IF(OR(ISNUMBER(SEARCH("land acquisition",P370)),ISNUMBER(SEARCH("rehabilitation",P370)),ISNUMBER(SEARCH("displacement",P370)),ISNUMBER(SEARCH("township",P370))),"Land &amp; rehabilitation",IF(OR(ISNUMBER(SEARCH("forest",P370)),ISNUMBER(SEARCH("environment",P370)),ISNUMBER(SEARCH("ecological",P370)),ISNUMBER(SEARCH("biodiversity",P370)),ISNUMBER(SEARCH("green cover",P370))),"Environment",IF(OR(ISNUMBER(SEARCH("irrigation",P370)),ISNUMBER(SEARCH("water",P370)),ISNUMBER(SEARCH("crop",P370)),ISNUMBER(SEARCH("farmer",P370)),ISNUMBER(SEARCH("agriculture",P370))),"Agriculture &amp; water",IF(OR(ISNUMBER(SEARCH("health",P370)),ISNUMBER(SEARCH("hospital",P370)),ISNUMBER(SEARCH("medicine",P370))),"Public health",IF(OR(ISNUMBER(SEARCH("employee",P370)),ISNUMBER(SEARCH("labour",P370)),ISNUMBER(SEARCH("worker",P370)),ISNUMBER(SEARCH("salary",P370))),"Labour &amp; employment",IF(OR(ISNUMBER(SEARCH("rti",P370)),ISNUMBER(SEARCH("transparency",P370)),ISNUMBER(SEARCH("corruption",P370)),ISNUMBER(SEARCH("governance",P370))),"Governance &amp; transparency",IF(OR(ISNUMBER(SEARCH("police",P370)),ISNUMBER(SEARCH("detention",P370)),ISNUMBER(SEARCH("civil rights",P370)),ISNUMBER(SEARCH("justice",P370))),"Civil rights &amp; justice",IF(OR(ISNUMBER(SEARCH("road",P370)),ISNUMBER(SEARCH("utility",P370)),ISNUMBER(SEARCH("infrastructure",P370)),ISNUMBER(SEARCH("public service",P370))),"Infrastructure &amp; public services","Other"))))))))))))</x:f>
      </x:c>
      <x:c r="J370" s="16" t="str">
        <x:f>IF(A370="","",IF(OR(ISNUMBER(SEARCH("fatal",Q370)),ISNUMBER(SEARCH("death",Q370)),ISNUMBER(SEARCH("riot",Q370)),ISNUMBER(SEARCH("curfew",Q370)),ISNUMBER(SEARCH("internet shutdown",Q370))),5,MIN(4,1+IF(H370&gt;=7,1,0)+IF(OR(ISNUMBER(SEARCH("hunger strike",Q370)),ISNUMBER(SEARCH("blockade",Q370)),ISNUMBER(SEARCH("strike",Q370)),ISNUMBER(SEARCH("jal satyagraha",Q370)),ISNUMBER(SEARCH("survey",Q370)),ISNUMBER(SEARCH("human chain",Q370)),ISNUMBER(SEARCH("march",Q370))),1,0)+IF(OR(ISNUMBER(SEARCH("fir",Q370)),ISNUMBER(SEARCH("confrontation",Q370)),ISNUMBER(SEARCH("violence",Q370)),ISNUMBER(SEARCH("detention",Q370)),ISNUMBER(SEARCH("arrest",Q370)),ISNUMBER(SEARCH("demolition",Q370)),ISNUMBER(SEARCH("injury",Q370))),1,0)+IF(OR(D370="Ongoing",D370="Unresolved"),1,0))))</x:f>
      </x:c>
      <x:c r="K370" s="16" t="str">
        <x:f>IF(J370="","",IF(J370=1,"Limited",IF(J370=2,"Local",IF(J370=3,"Significant",IF(J370=4,"High","Critical")))))</x:f>
      </x:c>
      <x:c r="L370" s="16" t="str">
        <x:f>IF(A370="","",Events!U369)</x:f>
      </x:c>
      <x:c r="M370" s="16" t="str">
        <x:f>IF(A370="","",Events!V369)</x:f>
      </x:c>
      <x:c r="N370" s="16" t="str">
        <x:f>IF(A370="","",Events!Q369)</x:f>
      </x:c>
      <x:c r="O370" s="16" t="str">
        <x:f>IF(A370="","",Events!R369)</x:f>
      </x:c>
      <x:c r="P370" s="16" t="str">
        <x:f>IF(A370="","",LOWER(Events!B369&amp;" "&amp;Events!D369&amp;" "&amp;Events!K369))</x:f>
      </x:c>
      <x:c r="Q370" s="16" t="str">
        <x:f>IF(A370="","",LOWER(Events!C369&amp;" "&amp;Events!K369&amp;" "&amp;Events!T369))</x:f>
      </x:c>
      <x:c r="R370" s="16" t="str">
        <x:f>IF(A370="","",IF(ISNUMBER(SEARCH("Occurrence verified",E370)),"Occurrence verified",E370))</x:f>
      </x:c>
      <x:c r="S370" s="79" t="str">
        <x:f>IF(A370="","",Events!X369)</x:f>
      </x:c>
      <x:c r="Z370" s="79" t="str">
        <x:f>IF(A370="","",Events!AD369)</x:f>
      </x:c>
      <x:c r="AA370" s="79" t="str">
        <x:f>IF(A370="","",Events!AE369)</x:f>
      </x:c>
    </x:row>
    <x:row r="371">
      <x:c r="A371" s="16" t="str">
        <x:f>IF(Events!A370="","",Events!A370)</x:f>
      </x:c>
      <x:c r="B371" s="16" t="str">
        <x:f>IF(A371="","",Events!B370)</x:f>
      </x:c>
      <x:c r="C371" s="16" t="str">
        <x:f>IF(A371="","",Events!E370)</x:f>
      </x:c>
      <x:c r="D371" s="16" t="str">
        <x:f>IF(A371="","",Events!J370)</x:f>
      </x:c>
      <x:c r="E371" s="16" t="str">
        <x:f>IF(A371="","",Events!N370)</x:f>
      </x:c>
      <x:c r="F371" s="109" t="str">
        <x:f>IF(OR(A371="",Events!H370=""),"",Events!H370)</x:f>
      </x:c>
      <x:c r="G371" s="109" t="str">
        <x:f>IF(A371="","",IF(Events!I370&lt;&gt;"",Events!I370,IF(Events!S370&lt;&gt;"",Events!S370,"")))</x:f>
      </x:c>
      <x:c r="H371" s="16" t="str">
        <x:f>IF(A371="","",Events!W370)</x:f>
      </x:c>
      <x:c r="I371" s="16" t="str">
        <x:f>IF(A371="","",IF(Events!Y370&lt;&gt;"",Events!Y370,IF(OR(ISNUMBER(SEARCH("education",P371)),ISNUMBER(SEARCH("exam",P371)),ISNUMBER(SEARCH("school",P371))),"Education",IF(OR(ISNUMBER(SEARCH("trade agreement",P371)),ISNUMBER(SEARCH("economic",P371)),ISNUMBER(SEARCH("import",P371))),"Trade &amp; economic policy",IF(OR(ISNUMBER(SEARCH("land acquisition",P371)),ISNUMBER(SEARCH("rehabilitation",P371)),ISNUMBER(SEARCH("displacement",P371)),ISNUMBER(SEARCH("township",P371))),"Land &amp; rehabilitation",IF(OR(ISNUMBER(SEARCH("forest",P371)),ISNUMBER(SEARCH("environment",P371)),ISNUMBER(SEARCH("ecological",P371)),ISNUMBER(SEARCH("biodiversity",P371)),ISNUMBER(SEARCH("green cover",P371))),"Environment",IF(OR(ISNUMBER(SEARCH("irrigation",P371)),ISNUMBER(SEARCH("water",P371)),ISNUMBER(SEARCH("crop",P371)),ISNUMBER(SEARCH("farmer",P371)),ISNUMBER(SEARCH("agriculture",P371))),"Agriculture &amp; water",IF(OR(ISNUMBER(SEARCH("health",P371)),ISNUMBER(SEARCH("hospital",P371)),ISNUMBER(SEARCH("medicine",P371))),"Public health",IF(OR(ISNUMBER(SEARCH("employee",P371)),ISNUMBER(SEARCH("labour",P371)),ISNUMBER(SEARCH("worker",P371)),ISNUMBER(SEARCH("salary",P371))),"Labour &amp; employment",IF(OR(ISNUMBER(SEARCH("rti",P371)),ISNUMBER(SEARCH("transparency",P371)),ISNUMBER(SEARCH("corruption",P371)),ISNUMBER(SEARCH("governance",P371))),"Governance &amp; transparency",IF(OR(ISNUMBER(SEARCH("police",P371)),ISNUMBER(SEARCH("detention",P371)),ISNUMBER(SEARCH("civil rights",P371)),ISNUMBER(SEARCH("justice",P371))),"Civil rights &amp; justice",IF(OR(ISNUMBER(SEARCH("road",P371)),ISNUMBER(SEARCH("utility",P371)),ISNUMBER(SEARCH("infrastructure",P371)),ISNUMBER(SEARCH("public service",P371))),"Infrastructure &amp; public services","Other"))))))))))))</x:f>
      </x:c>
      <x:c r="J371" s="16" t="str">
        <x:f>IF(A371="","",IF(OR(ISNUMBER(SEARCH("fatal",Q371)),ISNUMBER(SEARCH("death",Q371)),ISNUMBER(SEARCH("riot",Q371)),ISNUMBER(SEARCH("curfew",Q371)),ISNUMBER(SEARCH("internet shutdown",Q371))),5,MIN(4,1+IF(H371&gt;=7,1,0)+IF(OR(ISNUMBER(SEARCH("hunger strike",Q371)),ISNUMBER(SEARCH("blockade",Q371)),ISNUMBER(SEARCH("strike",Q371)),ISNUMBER(SEARCH("jal satyagraha",Q371)),ISNUMBER(SEARCH("survey",Q371)),ISNUMBER(SEARCH("human chain",Q371)),ISNUMBER(SEARCH("march",Q371))),1,0)+IF(OR(ISNUMBER(SEARCH("fir",Q371)),ISNUMBER(SEARCH("confrontation",Q371)),ISNUMBER(SEARCH("violence",Q371)),ISNUMBER(SEARCH("detention",Q371)),ISNUMBER(SEARCH("arrest",Q371)),ISNUMBER(SEARCH("demolition",Q371)),ISNUMBER(SEARCH("injury",Q371))),1,0)+IF(OR(D371="Ongoing",D371="Unresolved"),1,0))))</x:f>
      </x:c>
      <x:c r="K371" s="16" t="str">
        <x:f>IF(J371="","",IF(J371=1,"Limited",IF(J371=2,"Local",IF(J371=3,"Significant",IF(J371=4,"High","Critical")))))</x:f>
      </x:c>
      <x:c r="L371" s="16" t="str">
        <x:f>IF(A371="","",Events!U370)</x:f>
      </x:c>
      <x:c r="M371" s="16" t="str">
        <x:f>IF(A371="","",Events!V370)</x:f>
      </x:c>
      <x:c r="N371" s="16" t="str">
        <x:f>IF(A371="","",Events!Q370)</x:f>
      </x:c>
      <x:c r="O371" s="16" t="str">
        <x:f>IF(A371="","",Events!R370)</x:f>
      </x:c>
      <x:c r="P371" s="16" t="str">
        <x:f>IF(A371="","",LOWER(Events!B370&amp;" "&amp;Events!D370&amp;" "&amp;Events!K370))</x:f>
      </x:c>
      <x:c r="Q371" s="16" t="str">
        <x:f>IF(A371="","",LOWER(Events!C370&amp;" "&amp;Events!K370&amp;" "&amp;Events!T370))</x:f>
      </x:c>
      <x:c r="R371" s="16" t="str">
        <x:f>IF(A371="","",IF(ISNUMBER(SEARCH("Occurrence verified",E371)),"Occurrence verified",E371))</x:f>
      </x:c>
      <x:c r="S371" s="79" t="str">
        <x:f>IF(A371="","",Events!X370)</x:f>
      </x:c>
      <x:c r="Z371" s="79" t="str">
        <x:f>IF(A371="","",Events!AD370)</x:f>
      </x:c>
      <x:c r="AA371" s="79" t="str">
        <x:f>IF(A371="","",Events!AE370)</x:f>
      </x:c>
    </x:row>
    <x:row r="372">
      <x:c r="A372" s="16" t="str">
        <x:f>IF(Events!A371="","",Events!A371)</x:f>
      </x:c>
      <x:c r="B372" s="16" t="str">
        <x:f>IF(A372="","",Events!B371)</x:f>
      </x:c>
      <x:c r="C372" s="16" t="str">
        <x:f>IF(A372="","",Events!E371)</x:f>
      </x:c>
      <x:c r="D372" s="16" t="str">
        <x:f>IF(A372="","",Events!J371)</x:f>
      </x:c>
      <x:c r="E372" s="16" t="str">
        <x:f>IF(A372="","",Events!N371)</x:f>
      </x:c>
      <x:c r="F372" s="109" t="str">
        <x:f>IF(OR(A372="",Events!H371=""),"",Events!H371)</x:f>
      </x:c>
      <x:c r="G372" s="109" t="str">
        <x:f>IF(A372="","",IF(Events!I371&lt;&gt;"",Events!I371,IF(Events!S371&lt;&gt;"",Events!S371,"")))</x:f>
      </x:c>
      <x:c r="H372" s="16" t="str">
        <x:f>IF(A372="","",Events!W371)</x:f>
      </x:c>
      <x:c r="I372" s="16" t="str">
        <x:f>IF(A372="","",IF(Events!Y371&lt;&gt;"",Events!Y371,IF(OR(ISNUMBER(SEARCH("education",P372)),ISNUMBER(SEARCH("exam",P372)),ISNUMBER(SEARCH("school",P372))),"Education",IF(OR(ISNUMBER(SEARCH("trade agreement",P372)),ISNUMBER(SEARCH("economic",P372)),ISNUMBER(SEARCH("import",P372))),"Trade &amp; economic policy",IF(OR(ISNUMBER(SEARCH("land acquisition",P372)),ISNUMBER(SEARCH("rehabilitation",P372)),ISNUMBER(SEARCH("displacement",P372)),ISNUMBER(SEARCH("township",P372))),"Land &amp; rehabilitation",IF(OR(ISNUMBER(SEARCH("forest",P372)),ISNUMBER(SEARCH("environment",P372)),ISNUMBER(SEARCH("ecological",P372)),ISNUMBER(SEARCH("biodiversity",P372)),ISNUMBER(SEARCH("green cover",P372))),"Environment",IF(OR(ISNUMBER(SEARCH("irrigation",P372)),ISNUMBER(SEARCH("water",P372)),ISNUMBER(SEARCH("crop",P372)),ISNUMBER(SEARCH("farmer",P372)),ISNUMBER(SEARCH("agriculture",P372))),"Agriculture &amp; water",IF(OR(ISNUMBER(SEARCH("health",P372)),ISNUMBER(SEARCH("hospital",P372)),ISNUMBER(SEARCH("medicine",P372))),"Public health",IF(OR(ISNUMBER(SEARCH("employee",P372)),ISNUMBER(SEARCH("labour",P372)),ISNUMBER(SEARCH("worker",P372)),ISNUMBER(SEARCH("salary",P372))),"Labour &amp; employment",IF(OR(ISNUMBER(SEARCH("rti",P372)),ISNUMBER(SEARCH("transparency",P372)),ISNUMBER(SEARCH("corruption",P372)),ISNUMBER(SEARCH("governance",P372))),"Governance &amp; transparency",IF(OR(ISNUMBER(SEARCH("police",P372)),ISNUMBER(SEARCH("detention",P372)),ISNUMBER(SEARCH("civil rights",P372)),ISNUMBER(SEARCH("justice",P372))),"Civil rights &amp; justice",IF(OR(ISNUMBER(SEARCH("road",P372)),ISNUMBER(SEARCH("utility",P372)),ISNUMBER(SEARCH("infrastructure",P372)),ISNUMBER(SEARCH("public service",P372))),"Infrastructure &amp; public services","Other"))))))))))))</x:f>
      </x:c>
      <x:c r="J372" s="16" t="str">
        <x:f>IF(A372="","",IF(OR(ISNUMBER(SEARCH("fatal",Q372)),ISNUMBER(SEARCH("death",Q372)),ISNUMBER(SEARCH("riot",Q372)),ISNUMBER(SEARCH("curfew",Q372)),ISNUMBER(SEARCH("internet shutdown",Q372))),5,MIN(4,1+IF(H372&gt;=7,1,0)+IF(OR(ISNUMBER(SEARCH("hunger strike",Q372)),ISNUMBER(SEARCH("blockade",Q372)),ISNUMBER(SEARCH("strike",Q372)),ISNUMBER(SEARCH("jal satyagraha",Q372)),ISNUMBER(SEARCH("survey",Q372)),ISNUMBER(SEARCH("human chain",Q372)),ISNUMBER(SEARCH("march",Q372))),1,0)+IF(OR(ISNUMBER(SEARCH("fir",Q372)),ISNUMBER(SEARCH("confrontation",Q372)),ISNUMBER(SEARCH("violence",Q372)),ISNUMBER(SEARCH("detention",Q372)),ISNUMBER(SEARCH("arrest",Q372)),ISNUMBER(SEARCH("demolition",Q372)),ISNUMBER(SEARCH("injury",Q372))),1,0)+IF(OR(D372="Ongoing",D372="Unresolved"),1,0))))</x:f>
      </x:c>
      <x:c r="K372" s="16" t="str">
        <x:f>IF(J372="","",IF(J372=1,"Limited",IF(J372=2,"Local",IF(J372=3,"Significant",IF(J372=4,"High","Critical")))))</x:f>
      </x:c>
      <x:c r="L372" s="16" t="str">
        <x:f>IF(A372="","",Events!U371)</x:f>
      </x:c>
      <x:c r="M372" s="16" t="str">
        <x:f>IF(A372="","",Events!V371)</x:f>
      </x:c>
      <x:c r="N372" s="16" t="str">
        <x:f>IF(A372="","",Events!Q371)</x:f>
      </x:c>
      <x:c r="O372" s="16" t="str">
        <x:f>IF(A372="","",Events!R371)</x:f>
      </x:c>
      <x:c r="P372" s="16" t="str">
        <x:f>IF(A372="","",LOWER(Events!B371&amp;" "&amp;Events!D371&amp;" "&amp;Events!K371))</x:f>
      </x:c>
      <x:c r="Q372" s="16" t="str">
        <x:f>IF(A372="","",LOWER(Events!C371&amp;" "&amp;Events!K371&amp;" "&amp;Events!T371))</x:f>
      </x:c>
      <x:c r="R372" s="16" t="str">
        <x:f>IF(A372="","",IF(ISNUMBER(SEARCH("Occurrence verified",E372)),"Occurrence verified",E372))</x:f>
      </x:c>
      <x:c r="S372" s="79" t="str">
        <x:f>IF(A372="","",Events!X371)</x:f>
      </x:c>
      <x:c r="Z372" s="79" t="str">
        <x:f>IF(A372="","",Events!AD371)</x:f>
      </x:c>
      <x:c r="AA372" s="79" t="str">
        <x:f>IF(A372="","",Events!AE371)</x:f>
      </x:c>
    </x:row>
    <x:row r="373">
      <x:c r="A373" s="16" t="str">
        <x:f>IF(Events!A372="","",Events!A372)</x:f>
      </x:c>
      <x:c r="B373" s="16" t="str">
        <x:f>IF(A373="","",Events!B372)</x:f>
      </x:c>
      <x:c r="C373" s="16" t="str">
        <x:f>IF(A373="","",Events!E372)</x:f>
      </x:c>
      <x:c r="D373" s="16" t="str">
        <x:f>IF(A373="","",Events!J372)</x:f>
      </x:c>
      <x:c r="E373" s="16" t="str">
        <x:f>IF(A373="","",Events!N372)</x:f>
      </x:c>
      <x:c r="F373" s="109" t="str">
        <x:f>IF(OR(A373="",Events!H372=""),"",Events!H372)</x:f>
      </x:c>
      <x:c r="G373" s="109" t="str">
        <x:f>IF(A373="","",IF(Events!I372&lt;&gt;"",Events!I372,IF(Events!S372&lt;&gt;"",Events!S372,"")))</x:f>
      </x:c>
      <x:c r="H373" s="16" t="str">
        <x:f>IF(A373="","",Events!W372)</x:f>
      </x:c>
      <x:c r="I373" s="16" t="str">
        <x:f>IF(A373="","",IF(Events!Y372&lt;&gt;"",Events!Y372,IF(OR(ISNUMBER(SEARCH("education",P373)),ISNUMBER(SEARCH("exam",P373)),ISNUMBER(SEARCH("school",P373))),"Education",IF(OR(ISNUMBER(SEARCH("trade agreement",P373)),ISNUMBER(SEARCH("economic",P373)),ISNUMBER(SEARCH("import",P373))),"Trade &amp; economic policy",IF(OR(ISNUMBER(SEARCH("land acquisition",P373)),ISNUMBER(SEARCH("rehabilitation",P373)),ISNUMBER(SEARCH("displacement",P373)),ISNUMBER(SEARCH("township",P373))),"Land &amp; rehabilitation",IF(OR(ISNUMBER(SEARCH("forest",P373)),ISNUMBER(SEARCH("environment",P373)),ISNUMBER(SEARCH("ecological",P373)),ISNUMBER(SEARCH("biodiversity",P373)),ISNUMBER(SEARCH("green cover",P373))),"Environment",IF(OR(ISNUMBER(SEARCH("irrigation",P373)),ISNUMBER(SEARCH("water",P373)),ISNUMBER(SEARCH("crop",P373)),ISNUMBER(SEARCH("farmer",P373)),ISNUMBER(SEARCH("agriculture",P373))),"Agriculture &amp; water",IF(OR(ISNUMBER(SEARCH("health",P373)),ISNUMBER(SEARCH("hospital",P373)),ISNUMBER(SEARCH("medicine",P373))),"Public health",IF(OR(ISNUMBER(SEARCH("employee",P373)),ISNUMBER(SEARCH("labour",P373)),ISNUMBER(SEARCH("worker",P373)),ISNUMBER(SEARCH("salary",P373))),"Labour &amp; employment",IF(OR(ISNUMBER(SEARCH("rti",P373)),ISNUMBER(SEARCH("transparency",P373)),ISNUMBER(SEARCH("corruption",P373)),ISNUMBER(SEARCH("governance",P373))),"Governance &amp; transparency",IF(OR(ISNUMBER(SEARCH("police",P373)),ISNUMBER(SEARCH("detention",P373)),ISNUMBER(SEARCH("civil rights",P373)),ISNUMBER(SEARCH("justice",P373))),"Civil rights &amp; justice",IF(OR(ISNUMBER(SEARCH("road",P373)),ISNUMBER(SEARCH("utility",P373)),ISNUMBER(SEARCH("infrastructure",P373)),ISNUMBER(SEARCH("public service",P373))),"Infrastructure &amp; public services","Other"))))))))))))</x:f>
      </x:c>
      <x:c r="J373" s="16" t="str">
        <x:f>IF(A373="","",IF(OR(ISNUMBER(SEARCH("fatal",Q373)),ISNUMBER(SEARCH("death",Q373)),ISNUMBER(SEARCH("riot",Q373)),ISNUMBER(SEARCH("curfew",Q373)),ISNUMBER(SEARCH("internet shutdown",Q373))),5,MIN(4,1+IF(H373&gt;=7,1,0)+IF(OR(ISNUMBER(SEARCH("hunger strike",Q373)),ISNUMBER(SEARCH("blockade",Q373)),ISNUMBER(SEARCH("strike",Q373)),ISNUMBER(SEARCH("jal satyagraha",Q373)),ISNUMBER(SEARCH("survey",Q373)),ISNUMBER(SEARCH("human chain",Q373)),ISNUMBER(SEARCH("march",Q373))),1,0)+IF(OR(ISNUMBER(SEARCH("fir",Q373)),ISNUMBER(SEARCH("confrontation",Q373)),ISNUMBER(SEARCH("violence",Q373)),ISNUMBER(SEARCH("detention",Q373)),ISNUMBER(SEARCH("arrest",Q373)),ISNUMBER(SEARCH("demolition",Q373)),ISNUMBER(SEARCH("injury",Q373))),1,0)+IF(OR(D373="Ongoing",D373="Unresolved"),1,0))))</x:f>
      </x:c>
      <x:c r="K373" s="16" t="str">
        <x:f>IF(J373="","",IF(J373=1,"Limited",IF(J373=2,"Local",IF(J373=3,"Significant",IF(J373=4,"High","Critical")))))</x:f>
      </x:c>
      <x:c r="L373" s="16" t="str">
        <x:f>IF(A373="","",Events!U372)</x:f>
      </x:c>
      <x:c r="M373" s="16" t="str">
        <x:f>IF(A373="","",Events!V372)</x:f>
      </x:c>
      <x:c r="N373" s="16" t="str">
        <x:f>IF(A373="","",Events!Q372)</x:f>
      </x:c>
      <x:c r="O373" s="16" t="str">
        <x:f>IF(A373="","",Events!R372)</x:f>
      </x:c>
      <x:c r="P373" s="16" t="str">
        <x:f>IF(A373="","",LOWER(Events!B372&amp;" "&amp;Events!D372&amp;" "&amp;Events!K372))</x:f>
      </x:c>
      <x:c r="Q373" s="16" t="str">
        <x:f>IF(A373="","",LOWER(Events!C372&amp;" "&amp;Events!K372&amp;" "&amp;Events!T372))</x:f>
      </x:c>
      <x:c r="R373" s="16" t="str">
        <x:f>IF(A373="","",IF(ISNUMBER(SEARCH("Occurrence verified",E373)),"Occurrence verified",E373))</x:f>
      </x:c>
      <x:c r="S373" s="79" t="str">
        <x:f>IF(A373="","",Events!X372)</x:f>
      </x:c>
      <x:c r="Z373" s="79" t="str">
        <x:f>IF(A373="","",Events!AD372)</x:f>
      </x:c>
      <x:c r="AA373" s="79" t="str">
        <x:f>IF(A373="","",Events!AE372)</x:f>
      </x:c>
    </x:row>
    <x:row r="374">
      <x:c r="A374" s="16" t="str">
        <x:f>IF(Events!A373="","",Events!A373)</x:f>
      </x:c>
      <x:c r="B374" s="16" t="str">
        <x:f>IF(A374="","",Events!B373)</x:f>
      </x:c>
      <x:c r="C374" s="16" t="str">
        <x:f>IF(A374="","",Events!E373)</x:f>
      </x:c>
      <x:c r="D374" s="16" t="str">
        <x:f>IF(A374="","",Events!J373)</x:f>
      </x:c>
      <x:c r="E374" s="16" t="str">
        <x:f>IF(A374="","",Events!N373)</x:f>
      </x:c>
      <x:c r="F374" s="109" t="str">
        <x:f>IF(OR(A374="",Events!H373=""),"",Events!H373)</x:f>
      </x:c>
      <x:c r="G374" s="109" t="str">
        <x:f>IF(A374="","",IF(Events!I373&lt;&gt;"",Events!I373,IF(Events!S373&lt;&gt;"",Events!S373,"")))</x:f>
      </x:c>
      <x:c r="H374" s="16" t="str">
        <x:f>IF(A374="","",Events!W373)</x:f>
      </x:c>
      <x:c r="I374" s="16" t="str">
        <x:f>IF(A374="","",IF(Events!Y373&lt;&gt;"",Events!Y373,IF(OR(ISNUMBER(SEARCH("education",P374)),ISNUMBER(SEARCH("exam",P374)),ISNUMBER(SEARCH("school",P374))),"Education",IF(OR(ISNUMBER(SEARCH("trade agreement",P374)),ISNUMBER(SEARCH("economic",P374)),ISNUMBER(SEARCH("import",P374))),"Trade &amp; economic policy",IF(OR(ISNUMBER(SEARCH("land acquisition",P374)),ISNUMBER(SEARCH("rehabilitation",P374)),ISNUMBER(SEARCH("displacement",P374)),ISNUMBER(SEARCH("township",P374))),"Land &amp; rehabilitation",IF(OR(ISNUMBER(SEARCH("forest",P374)),ISNUMBER(SEARCH("environment",P374)),ISNUMBER(SEARCH("ecological",P374)),ISNUMBER(SEARCH("biodiversity",P374)),ISNUMBER(SEARCH("green cover",P374))),"Environment",IF(OR(ISNUMBER(SEARCH("irrigation",P374)),ISNUMBER(SEARCH("water",P374)),ISNUMBER(SEARCH("crop",P374)),ISNUMBER(SEARCH("farmer",P374)),ISNUMBER(SEARCH("agriculture",P374))),"Agriculture &amp; water",IF(OR(ISNUMBER(SEARCH("health",P374)),ISNUMBER(SEARCH("hospital",P374)),ISNUMBER(SEARCH("medicine",P374))),"Public health",IF(OR(ISNUMBER(SEARCH("employee",P374)),ISNUMBER(SEARCH("labour",P374)),ISNUMBER(SEARCH("worker",P374)),ISNUMBER(SEARCH("salary",P374))),"Labour &amp; employment",IF(OR(ISNUMBER(SEARCH("rti",P374)),ISNUMBER(SEARCH("transparency",P374)),ISNUMBER(SEARCH("corruption",P374)),ISNUMBER(SEARCH("governance",P374))),"Governance &amp; transparency",IF(OR(ISNUMBER(SEARCH("police",P374)),ISNUMBER(SEARCH("detention",P374)),ISNUMBER(SEARCH("civil rights",P374)),ISNUMBER(SEARCH("justice",P374))),"Civil rights &amp; justice",IF(OR(ISNUMBER(SEARCH("road",P374)),ISNUMBER(SEARCH("utility",P374)),ISNUMBER(SEARCH("infrastructure",P374)),ISNUMBER(SEARCH("public service",P374))),"Infrastructure &amp; public services","Other"))))))))))))</x:f>
      </x:c>
      <x:c r="J374" s="16" t="str">
        <x:f>IF(A374="","",IF(OR(ISNUMBER(SEARCH("fatal",Q374)),ISNUMBER(SEARCH("death",Q374)),ISNUMBER(SEARCH("riot",Q374)),ISNUMBER(SEARCH("curfew",Q374)),ISNUMBER(SEARCH("internet shutdown",Q374))),5,MIN(4,1+IF(H374&gt;=7,1,0)+IF(OR(ISNUMBER(SEARCH("hunger strike",Q374)),ISNUMBER(SEARCH("blockade",Q374)),ISNUMBER(SEARCH("strike",Q374)),ISNUMBER(SEARCH("jal satyagraha",Q374)),ISNUMBER(SEARCH("survey",Q374)),ISNUMBER(SEARCH("human chain",Q374)),ISNUMBER(SEARCH("march",Q374))),1,0)+IF(OR(ISNUMBER(SEARCH("fir",Q374)),ISNUMBER(SEARCH("confrontation",Q374)),ISNUMBER(SEARCH("violence",Q374)),ISNUMBER(SEARCH("detention",Q374)),ISNUMBER(SEARCH("arrest",Q374)),ISNUMBER(SEARCH("demolition",Q374)),ISNUMBER(SEARCH("injury",Q374))),1,0)+IF(OR(D374="Ongoing",D374="Unresolved"),1,0))))</x:f>
      </x:c>
      <x:c r="K374" s="16" t="str">
        <x:f>IF(J374="","",IF(J374=1,"Limited",IF(J374=2,"Local",IF(J374=3,"Significant",IF(J374=4,"High","Critical")))))</x:f>
      </x:c>
      <x:c r="L374" s="16" t="str">
        <x:f>IF(A374="","",Events!U373)</x:f>
      </x:c>
      <x:c r="M374" s="16" t="str">
        <x:f>IF(A374="","",Events!V373)</x:f>
      </x:c>
      <x:c r="N374" s="16" t="str">
        <x:f>IF(A374="","",Events!Q373)</x:f>
      </x:c>
      <x:c r="O374" s="16" t="str">
        <x:f>IF(A374="","",Events!R373)</x:f>
      </x:c>
      <x:c r="P374" s="16" t="str">
        <x:f>IF(A374="","",LOWER(Events!B373&amp;" "&amp;Events!D373&amp;" "&amp;Events!K373))</x:f>
      </x:c>
      <x:c r="Q374" s="16" t="str">
        <x:f>IF(A374="","",LOWER(Events!C373&amp;" "&amp;Events!K373&amp;" "&amp;Events!T373))</x:f>
      </x:c>
      <x:c r="R374" s="16" t="str">
        <x:f>IF(A374="","",IF(ISNUMBER(SEARCH("Occurrence verified",E374)),"Occurrence verified",E374))</x:f>
      </x:c>
      <x:c r="S374" s="79" t="str">
        <x:f>IF(A374="","",Events!X373)</x:f>
      </x:c>
      <x:c r="Z374" s="79" t="str">
        <x:f>IF(A374="","",Events!AD373)</x:f>
      </x:c>
      <x:c r="AA374" s="79" t="str">
        <x:f>IF(A374="","",Events!AE373)</x:f>
      </x:c>
    </x:row>
    <x:row r="375">
      <x:c r="A375" s="16" t="str">
        <x:f>IF(Events!A374="","",Events!A374)</x:f>
      </x:c>
      <x:c r="B375" s="16" t="str">
        <x:f>IF(A375="","",Events!B374)</x:f>
      </x:c>
      <x:c r="C375" s="16" t="str">
        <x:f>IF(A375="","",Events!E374)</x:f>
      </x:c>
      <x:c r="D375" s="16" t="str">
        <x:f>IF(A375="","",Events!J374)</x:f>
      </x:c>
      <x:c r="E375" s="16" t="str">
        <x:f>IF(A375="","",Events!N374)</x:f>
      </x:c>
      <x:c r="F375" s="109" t="str">
        <x:f>IF(OR(A375="",Events!H374=""),"",Events!H374)</x:f>
      </x:c>
      <x:c r="G375" s="109" t="str">
        <x:f>IF(A375="","",IF(Events!I374&lt;&gt;"",Events!I374,IF(Events!S374&lt;&gt;"",Events!S374,"")))</x:f>
      </x:c>
      <x:c r="H375" s="16" t="str">
        <x:f>IF(A375="","",Events!W374)</x:f>
      </x:c>
      <x:c r="I375" s="16" t="str">
        <x:f>IF(A375="","",IF(Events!Y374&lt;&gt;"",Events!Y374,IF(OR(ISNUMBER(SEARCH("education",P375)),ISNUMBER(SEARCH("exam",P375)),ISNUMBER(SEARCH("school",P375))),"Education",IF(OR(ISNUMBER(SEARCH("trade agreement",P375)),ISNUMBER(SEARCH("economic",P375)),ISNUMBER(SEARCH("import",P375))),"Trade &amp; economic policy",IF(OR(ISNUMBER(SEARCH("land acquisition",P375)),ISNUMBER(SEARCH("rehabilitation",P375)),ISNUMBER(SEARCH("displacement",P375)),ISNUMBER(SEARCH("township",P375))),"Land &amp; rehabilitation",IF(OR(ISNUMBER(SEARCH("forest",P375)),ISNUMBER(SEARCH("environment",P375)),ISNUMBER(SEARCH("ecological",P375)),ISNUMBER(SEARCH("biodiversity",P375)),ISNUMBER(SEARCH("green cover",P375))),"Environment",IF(OR(ISNUMBER(SEARCH("irrigation",P375)),ISNUMBER(SEARCH("water",P375)),ISNUMBER(SEARCH("crop",P375)),ISNUMBER(SEARCH("farmer",P375)),ISNUMBER(SEARCH("agriculture",P375))),"Agriculture &amp; water",IF(OR(ISNUMBER(SEARCH("health",P375)),ISNUMBER(SEARCH("hospital",P375)),ISNUMBER(SEARCH("medicine",P375))),"Public health",IF(OR(ISNUMBER(SEARCH("employee",P375)),ISNUMBER(SEARCH("labour",P375)),ISNUMBER(SEARCH("worker",P375)),ISNUMBER(SEARCH("salary",P375))),"Labour &amp; employment",IF(OR(ISNUMBER(SEARCH("rti",P375)),ISNUMBER(SEARCH("transparency",P375)),ISNUMBER(SEARCH("corruption",P375)),ISNUMBER(SEARCH("governance",P375))),"Governance &amp; transparency",IF(OR(ISNUMBER(SEARCH("police",P375)),ISNUMBER(SEARCH("detention",P375)),ISNUMBER(SEARCH("civil rights",P375)),ISNUMBER(SEARCH("justice",P375))),"Civil rights &amp; justice",IF(OR(ISNUMBER(SEARCH("road",P375)),ISNUMBER(SEARCH("utility",P375)),ISNUMBER(SEARCH("infrastructure",P375)),ISNUMBER(SEARCH("public service",P375))),"Infrastructure &amp; public services","Other"))))))))))))</x:f>
      </x:c>
      <x:c r="J375" s="16" t="str">
        <x:f>IF(A375="","",IF(OR(ISNUMBER(SEARCH("fatal",Q375)),ISNUMBER(SEARCH("death",Q375)),ISNUMBER(SEARCH("riot",Q375)),ISNUMBER(SEARCH("curfew",Q375)),ISNUMBER(SEARCH("internet shutdown",Q375))),5,MIN(4,1+IF(H375&gt;=7,1,0)+IF(OR(ISNUMBER(SEARCH("hunger strike",Q375)),ISNUMBER(SEARCH("blockade",Q375)),ISNUMBER(SEARCH("strike",Q375)),ISNUMBER(SEARCH("jal satyagraha",Q375)),ISNUMBER(SEARCH("survey",Q375)),ISNUMBER(SEARCH("human chain",Q375)),ISNUMBER(SEARCH("march",Q375))),1,0)+IF(OR(ISNUMBER(SEARCH("fir",Q375)),ISNUMBER(SEARCH("confrontation",Q375)),ISNUMBER(SEARCH("violence",Q375)),ISNUMBER(SEARCH("detention",Q375)),ISNUMBER(SEARCH("arrest",Q375)),ISNUMBER(SEARCH("demolition",Q375)),ISNUMBER(SEARCH("injury",Q375))),1,0)+IF(OR(D375="Ongoing",D375="Unresolved"),1,0))))</x:f>
      </x:c>
      <x:c r="K375" s="16" t="str">
        <x:f>IF(J375="","",IF(J375=1,"Limited",IF(J375=2,"Local",IF(J375=3,"Significant",IF(J375=4,"High","Critical")))))</x:f>
      </x:c>
      <x:c r="L375" s="16" t="str">
        <x:f>IF(A375="","",Events!U374)</x:f>
      </x:c>
      <x:c r="M375" s="16" t="str">
        <x:f>IF(A375="","",Events!V374)</x:f>
      </x:c>
      <x:c r="N375" s="16" t="str">
        <x:f>IF(A375="","",Events!Q374)</x:f>
      </x:c>
      <x:c r="O375" s="16" t="str">
        <x:f>IF(A375="","",Events!R374)</x:f>
      </x:c>
      <x:c r="P375" s="16" t="str">
        <x:f>IF(A375="","",LOWER(Events!B374&amp;" "&amp;Events!D374&amp;" "&amp;Events!K374))</x:f>
      </x:c>
      <x:c r="Q375" s="16" t="str">
        <x:f>IF(A375="","",LOWER(Events!C374&amp;" "&amp;Events!K374&amp;" "&amp;Events!T374))</x:f>
      </x:c>
      <x:c r="R375" s="16" t="str">
        <x:f>IF(A375="","",IF(ISNUMBER(SEARCH("Occurrence verified",E375)),"Occurrence verified",E375))</x:f>
      </x:c>
      <x:c r="S375" s="79" t="str">
        <x:f>IF(A375="","",Events!X374)</x:f>
      </x:c>
      <x:c r="Z375" s="79" t="str">
        <x:f>IF(A375="","",Events!AD374)</x:f>
      </x:c>
      <x:c r="AA375" s="79" t="str">
        <x:f>IF(A375="","",Events!AE374)</x:f>
      </x:c>
    </x:row>
    <x:row r="376">
      <x:c r="A376" s="16" t="str">
        <x:f>IF(Events!A375="","",Events!A375)</x:f>
      </x:c>
      <x:c r="B376" s="16" t="str">
        <x:f>IF(A376="","",Events!B375)</x:f>
      </x:c>
      <x:c r="C376" s="16" t="str">
        <x:f>IF(A376="","",Events!E375)</x:f>
      </x:c>
      <x:c r="D376" s="16" t="str">
        <x:f>IF(A376="","",Events!J375)</x:f>
      </x:c>
      <x:c r="E376" s="16" t="str">
        <x:f>IF(A376="","",Events!N375)</x:f>
      </x:c>
      <x:c r="F376" s="109" t="str">
        <x:f>IF(OR(A376="",Events!H375=""),"",Events!H375)</x:f>
      </x:c>
      <x:c r="G376" s="109" t="str">
        <x:f>IF(A376="","",IF(Events!I375&lt;&gt;"",Events!I375,IF(Events!S375&lt;&gt;"",Events!S375,"")))</x:f>
      </x:c>
      <x:c r="H376" s="16" t="str">
        <x:f>IF(A376="","",Events!W375)</x:f>
      </x:c>
      <x:c r="I376" s="16" t="str">
        <x:f>IF(A376="","",IF(Events!Y375&lt;&gt;"",Events!Y375,IF(OR(ISNUMBER(SEARCH("education",P376)),ISNUMBER(SEARCH("exam",P376)),ISNUMBER(SEARCH("school",P376))),"Education",IF(OR(ISNUMBER(SEARCH("trade agreement",P376)),ISNUMBER(SEARCH("economic",P376)),ISNUMBER(SEARCH("import",P376))),"Trade &amp; economic policy",IF(OR(ISNUMBER(SEARCH("land acquisition",P376)),ISNUMBER(SEARCH("rehabilitation",P376)),ISNUMBER(SEARCH("displacement",P376)),ISNUMBER(SEARCH("township",P376))),"Land &amp; rehabilitation",IF(OR(ISNUMBER(SEARCH("forest",P376)),ISNUMBER(SEARCH("environment",P376)),ISNUMBER(SEARCH("ecological",P376)),ISNUMBER(SEARCH("biodiversity",P376)),ISNUMBER(SEARCH("green cover",P376))),"Environment",IF(OR(ISNUMBER(SEARCH("irrigation",P376)),ISNUMBER(SEARCH("water",P376)),ISNUMBER(SEARCH("crop",P376)),ISNUMBER(SEARCH("farmer",P376)),ISNUMBER(SEARCH("agriculture",P376))),"Agriculture &amp; water",IF(OR(ISNUMBER(SEARCH("health",P376)),ISNUMBER(SEARCH("hospital",P376)),ISNUMBER(SEARCH("medicine",P376))),"Public health",IF(OR(ISNUMBER(SEARCH("employee",P376)),ISNUMBER(SEARCH("labour",P376)),ISNUMBER(SEARCH("worker",P376)),ISNUMBER(SEARCH("salary",P376))),"Labour &amp; employment",IF(OR(ISNUMBER(SEARCH("rti",P376)),ISNUMBER(SEARCH("transparency",P376)),ISNUMBER(SEARCH("corruption",P376)),ISNUMBER(SEARCH("governance",P376))),"Governance &amp; transparency",IF(OR(ISNUMBER(SEARCH("police",P376)),ISNUMBER(SEARCH("detention",P376)),ISNUMBER(SEARCH("civil rights",P376)),ISNUMBER(SEARCH("justice",P376))),"Civil rights &amp; justice",IF(OR(ISNUMBER(SEARCH("road",P376)),ISNUMBER(SEARCH("utility",P376)),ISNUMBER(SEARCH("infrastructure",P376)),ISNUMBER(SEARCH("public service",P376))),"Infrastructure &amp; public services","Other"))))))))))))</x:f>
      </x:c>
      <x:c r="J376" s="16" t="str">
        <x:f>IF(A376="","",IF(OR(ISNUMBER(SEARCH("fatal",Q376)),ISNUMBER(SEARCH("death",Q376)),ISNUMBER(SEARCH("riot",Q376)),ISNUMBER(SEARCH("curfew",Q376)),ISNUMBER(SEARCH("internet shutdown",Q376))),5,MIN(4,1+IF(H376&gt;=7,1,0)+IF(OR(ISNUMBER(SEARCH("hunger strike",Q376)),ISNUMBER(SEARCH("blockade",Q376)),ISNUMBER(SEARCH("strike",Q376)),ISNUMBER(SEARCH("jal satyagraha",Q376)),ISNUMBER(SEARCH("survey",Q376)),ISNUMBER(SEARCH("human chain",Q376)),ISNUMBER(SEARCH("march",Q376))),1,0)+IF(OR(ISNUMBER(SEARCH("fir",Q376)),ISNUMBER(SEARCH("confrontation",Q376)),ISNUMBER(SEARCH("violence",Q376)),ISNUMBER(SEARCH("detention",Q376)),ISNUMBER(SEARCH("arrest",Q376)),ISNUMBER(SEARCH("demolition",Q376)),ISNUMBER(SEARCH("injury",Q376))),1,0)+IF(OR(D376="Ongoing",D376="Unresolved"),1,0))))</x:f>
      </x:c>
      <x:c r="K376" s="16" t="str">
        <x:f>IF(J376="","",IF(J376=1,"Limited",IF(J376=2,"Local",IF(J376=3,"Significant",IF(J376=4,"High","Critical")))))</x:f>
      </x:c>
      <x:c r="L376" s="16" t="str">
        <x:f>IF(A376="","",Events!U375)</x:f>
      </x:c>
      <x:c r="M376" s="16" t="str">
        <x:f>IF(A376="","",Events!V375)</x:f>
      </x:c>
      <x:c r="N376" s="16" t="str">
        <x:f>IF(A376="","",Events!Q375)</x:f>
      </x:c>
      <x:c r="O376" s="16" t="str">
        <x:f>IF(A376="","",Events!R375)</x:f>
      </x:c>
      <x:c r="P376" s="16" t="str">
        <x:f>IF(A376="","",LOWER(Events!B375&amp;" "&amp;Events!D375&amp;" "&amp;Events!K375))</x:f>
      </x:c>
      <x:c r="Q376" s="16" t="str">
        <x:f>IF(A376="","",LOWER(Events!C375&amp;" "&amp;Events!K375&amp;" "&amp;Events!T375))</x:f>
      </x:c>
      <x:c r="R376" s="16" t="str">
        <x:f>IF(A376="","",IF(ISNUMBER(SEARCH("Occurrence verified",E376)),"Occurrence verified",E376))</x:f>
      </x:c>
      <x:c r="S376" s="79" t="str">
        <x:f>IF(A376="","",Events!X375)</x:f>
      </x:c>
      <x:c r="Z376" s="79" t="str">
        <x:f>IF(A376="","",Events!AD375)</x:f>
      </x:c>
      <x:c r="AA376" s="79" t="str">
        <x:f>IF(A376="","",Events!AE375)</x:f>
      </x:c>
    </x:row>
    <x:row r="377">
      <x:c r="A377" s="16" t="str">
        <x:f>IF(Events!A376="","",Events!A376)</x:f>
      </x:c>
      <x:c r="B377" s="16" t="str">
        <x:f>IF(A377="","",Events!B376)</x:f>
      </x:c>
      <x:c r="C377" s="16" t="str">
        <x:f>IF(A377="","",Events!E376)</x:f>
      </x:c>
      <x:c r="D377" s="16" t="str">
        <x:f>IF(A377="","",Events!J376)</x:f>
      </x:c>
      <x:c r="E377" s="16" t="str">
        <x:f>IF(A377="","",Events!N376)</x:f>
      </x:c>
      <x:c r="F377" s="109" t="str">
        <x:f>IF(OR(A377="",Events!H376=""),"",Events!H376)</x:f>
      </x:c>
      <x:c r="G377" s="109" t="str">
        <x:f>IF(A377="","",IF(Events!I376&lt;&gt;"",Events!I376,IF(Events!S376&lt;&gt;"",Events!S376,"")))</x:f>
      </x:c>
      <x:c r="H377" s="16" t="str">
        <x:f>IF(A377="","",Events!W376)</x:f>
      </x:c>
      <x:c r="I377" s="16" t="str">
        <x:f>IF(A377="","",IF(Events!Y376&lt;&gt;"",Events!Y376,IF(OR(ISNUMBER(SEARCH("education",P377)),ISNUMBER(SEARCH("exam",P377)),ISNUMBER(SEARCH("school",P377))),"Education",IF(OR(ISNUMBER(SEARCH("trade agreement",P377)),ISNUMBER(SEARCH("economic",P377)),ISNUMBER(SEARCH("import",P377))),"Trade &amp; economic policy",IF(OR(ISNUMBER(SEARCH("land acquisition",P377)),ISNUMBER(SEARCH("rehabilitation",P377)),ISNUMBER(SEARCH("displacement",P377)),ISNUMBER(SEARCH("township",P377))),"Land &amp; rehabilitation",IF(OR(ISNUMBER(SEARCH("forest",P377)),ISNUMBER(SEARCH("environment",P377)),ISNUMBER(SEARCH("ecological",P377)),ISNUMBER(SEARCH("biodiversity",P377)),ISNUMBER(SEARCH("green cover",P377))),"Environment",IF(OR(ISNUMBER(SEARCH("irrigation",P377)),ISNUMBER(SEARCH("water",P377)),ISNUMBER(SEARCH("crop",P377)),ISNUMBER(SEARCH("farmer",P377)),ISNUMBER(SEARCH("agriculture",P377))),"Agriculture &amp; water",IF(OR(ISNUMBER(SEARCH("health",P377)),ISNUMBER(SEARCH("hospital",P377)),ISNUMBER(SEARCH("medicine",P377))),"Public health",IF(OR(ISNUMBER(SEARCH("employee",P377)),ISNUMBER(SEARCH("labour",P377)),ISNUMBER(SEARCH("worker",P377)),ISNUMBER(SEARCH("salary",P377))),"Labour &amp; employment",IF(OR(ISNUMBER(SEARCH("rti",P377)),ISNUMBER(SEARCH("transparency",P377)),ISNUMBER(SEARCH("corruption",P377)),ISNUMBER(SEARCH("governance",P377))),"Governance &amp; transparency",IF(OR(ISNUMBER(SEARCH("police",P377)),ISNUMBER(SEARCH("detention",P377)),ISNUMBER(SEARCH("civil rights",P377)),ISNUMBER(SEARCH("justice",P377))),"Civil rights &amp; justice",IF(OR(ISNUMBER(SEARCH("road",P377)),ISNUMBER(SEARCH("utility",P377)),ISNUMBER(SEARCH("infrastructure",P377)),ISNUMBER(SEARCH("public service",P377))),"Infrastructure &amp; public services","Other"))))))))))))</x:f>
      </x:c>
      <x:c r="J377" s="16" t="str">
        <x:f>IF(A377="","",IF(OR(ISNUMBER(SEARCH("fatal",Q377)),ISNUMBER(SEARCH("death",Q377)),ISNUMBER(SEARCH("riot",Q377)),ISNUMBER(SEARCH("curfew",Q377)),ISNUMBER(SEARCH("internet shutdown",Q377))),5,MIN(4,1+IF(H377&gt;=7,1,0)+IF(OR(ISNUMBER(SEARCH("hunger strike",Q377)),ISNUMBER(SEARCH("blockade",Q377)),ISNUMBER(SEARCH("strike",Q377)),ISNUMBER(SEARCH("jal satyagraha",Q377)),ISNUMBER(SEARCH("survey",Q377)),ISNUMBER(SEARCH("human chain",Q377)),ISNUMBER(SEARCH("march",Q377))),1,0)+IF(OR(ISNUMBER(SEARCH("fir",Q377)),ISNUMBER(SEARCH("confrontation",Q377)),ISNUMBER(SEARCH("violence",Q377)),ISNUMBER(SEARCH("detention",Q377)),ISNUMBER(SEARCH("arrest",Q377)),ISNUMBER(SEARCH("demolition",Q377)),ISNUMBER(SEARCH("injury",Q377))),1,0)+IF(OR(D377="Ongoing",D377="Unresolved"),1,0))))</x:f>
      </x:c>
      <x:c r="K377" s="16" t="str">
        <x:f>IF(J377="","",IF(J377=1,"Limited",IF(J377=2,"Local",IF(J377=3,"Significant",IF(J377=4,"High","Critical")))))</x:f>
      </x:c>
      <x:c r="L377" s="16" t="str">
        <x:f>IF(A377="","",Events!U376)</x:f>
      </x:c>
      <x:c r="M377" s="16" t="str">
        <x:f>IF(A377="","",Events!V376)</x:f>
      </x:c>
      <x:c r="N377" s="16" t="str">
        <x:f>IF(A377="","",Events!Q376)</x:f>
      </x:c>
      <x:c r="O377" s="16" t="str">
        <x:f>IF(A377="","",Events!R376)</x:f>
      </x:c>
      <x:c r="P377" s="16" t="str">
        <x:f>IF(A377="","",LOWER(Events!B376&amp;" "&amp;Events!D376&amp;" "&amp;Events!K376))</x:f>
      </x:c>
      <x:c r="Q377" s="16" t="str">
        <x:f>IF(A377="","",LOWER(Events!C376&amp;" "&amp;Events!K376&amp;" "&amp;Events!T376))</x:f>
      </x:c>
      <x:c r="R377" s="16" t="str">
        <x:f>IF(A377="","",IF(ISNUMBER(SEARCH("Occurrence verified",E377)),"Occurrence verified",E377))</x:f>
      </x:c>
      <x:c r="S377" s="79" t="str">
        <x:f>IF(A377="","",Events!X376)</x:f>
      </x:c>
      <x:c r="Z377" s="79" t="str">
        <x:f>IF(A377="","",Events!AD376)</x:f>
      </x:c>
      <x:c r="AA377" s="79" t="str">
        <x:f>IF(A377="","",Events!AE376)</x:f>
      </x:c>
    </x:row>
    <x:row r="378">
      <x:c r="A378" s="16" t="str">
        <x:f>IF(Events!A377="","",Events!A377)</x:f>
      </x:c>
      <x:c r="B378" s="16" t="str">
        <x:f>IF(A378="","",Events!B377)</x:f>
      </x:c>
      <x:c r="C378" s="16" t="str">
        <x:f>IF(A378="","",Events!E377)</x:f>
      </x:c>
      <x:c r="D378" s="16" t="str">
        <x:f>IF(A378="","",Events!J377)</x:f>
      </x:c>
      <x:c r="E378" s="16" t="str">
        <x:f>IF(A378="","",Events!N377)</x:f>
      </x:c>
      <x:c r="F378" s="109" t="str">
        <x:f>IF(OR(A378="",Events!H377=""),"",Events!H377)</x:f>
      </x:c>
      <x:c r="G378" s="109" t="str">
        <x:f>IF(A378="","",IF(Events!I377&lt;&gt;"",Events!I377,IF(Events!S377&lt;&gt;"",Events!S377,"")))</x:f>
      </x:c>
      <x:c r="H378" s="16" t="str">
        <x:f>IF(A378="","",Events!W377)</x:f>
      </x:c>
      <x:c r="I378" s="16" t="str">
        <x:f>IF(A378="","",IF(Events!Y377&lt;&gt;"",Events!Y377,IF(OR(ISNUMBER(SEARCH("education",P378)),ISNUMBER(SEARCH("exam",P378)),ISNUMBER(SEARCH("school",P378))),"Education",IF(OR(ISNUMBER(SEARCH("trade agreement",P378)),ISNUMBER(SEARCH("economic",P378)),ISNUMBER(SEARCH("import",P378))),"Trade &amp; economic policy",IF(OR(ISNUMBER(SEARCH("land acquisition",P378)),ISNUMBER(SEARCH("rehabilitation",P378)),ISNUMBER(SEARCH("displacement",P378)),ISNUMBER(SEARCH("township",P378))),"Land &amp; rehabilitation",IF(OR(ISNUMBER(SEARCH("forest",P378)),ISNUMBER(SEARCH("environment",P378)),ISNUMBER(SEARCH("ecological",P378)),ISNUMBER(SEARCH("biodiversity",P378)),ISNUMBER(SEARCH("green cover",P378))),"Environment",IF(OR(ISNUMBER(SEARCH("irrigation",P378)),ISNUMBER(SEARCH("water",P378)),ISNUMBER(SEARCH("crop",P378)),ISNUMBER(SEARCH("farmer",P378)),ISNUMBER(SEARCH("agriculture",P378))),"Agriculture &amp; water",IF(OR(ISNUMBER(SEARCH("health",P378)),ISNUMBER(SEARCH("hospital",P378)),ISNUMBER(SEARCH("medicine",P378))),"Public health",IF(OR(ISNUMBER(SEARCH("employee",P378)),ISNUMBER(SEARCH("labour",P378)),ISNUMBER(SEARCH("worker",P378)),ISNUMBER(SEARCH("salary",P378))),"Labour &amp; employment",IF(OR(ISNUMBER(SEARCH("rti",P378)),ISNUMBER(SEARCH("transparency",P378)),ISNUMBER(SEARCH("corruption",P378)),ISNUMBER(SEARCH("governance",P378))),"Governance &amp; transparency",IF(OR(ISNUMBER(SEARCH("police",P378)),ISNUMBER(SEARCH("detention",P378)),ISNUMBER(SEARCH("civil rights",P378)),ISNUMBER(SEARCH("justice",P378))),"Civil rights &amp; justice",IF(OR(ISNUMBER(SEARCH("road",P378)),ISNUMBER(SEARCH("utility",P378)),ISNUMBER(SEARCH("infrastructure",P378)),ISNUMBER(SEARCH("public service",P378))),"Infrastructure &amp; public services","Other"))))))))))))</x:f>
      </x:c>
      <x:c r="J378" s="16" t="str">
        <x:f>IF(A378="","",IF(OR(ISNUMBER(SEARCH("fatal",Q378)),ISNUMBER(SEARCH("death",Q378)),ISNUMBER(SEARCH("riot",Q378)),ISNUMBER(SEARCH("curfew",Q378)),ISNUMBER(SEARCH("internet shutdown",Q378))),5,MIN(4,1+IF(H378&gt;=7,1,0)+IF(OR(ISNUMBER(SEARCH("hunger strike",Q378)),ISNUMBER(SEARCH("blockade",Q378)),ISNUMBER(SEARCH("strike",Q378)),ISNUMBER(SEARCH("jal satyagraha",Q378)),ISNUMBER(SEARCH("survey",Q378)),ISNUMBER(SEARCH("human chain",Q378)),ISNUMBER(SEARCH("march",Q378))),1,0)+IF(OR(ISNUMBER(SEARCH("fir",Q378)),ISNUMBER(SEARCH("confrontation",Q378)),ISNUMBER(SEARCH("violence",Q378)),ISNUMBER(SEARCH("detention",Q378)),ISNUMBER(SEARCH("arrest",Q378)),ISNUMBER(SEARCH("demolition",Q378)),ISNUMBER(SEARCH("injury",Q378))),1,0)+IF(OR(D378="Ongoing",D378="Unresolved"),1,0))))</x:f>
      </x:c>
      <x:c r="K378" s="16" t="str">
        <x:f>IF(J378="","",IF(J378=1,"Limited",IF(J378=2,"Local",IF(J378=3,"Significant",IF(J378=4,"High","Critical")))))</x:f>
      </x:c>
      <x:c r="L378" s="16" t="str">
        <x:f>IF(A378="","",Events!U377)</x:f>
      </x:c>
      <x:c r="M378" s="16" t="str">
        <x:f>IF(A378="","",Events!V377)</x:f>
      </x:c>
      <x:c r="N378" s="16" t="str">
        <x:f>IF(A378="","",Events!Q377)</x:f>
      </x:c>
      <x:c r="O378" s="16" t="str">
        <x:f>IF(A378="","",Events!R377)</x:f>
      </x:c>
      <x:c r="P378" s="16" t="str">
        <x:f>IF(A378="","",LOWER(Events!B377&amp;" "&amp;Events!D377&amp;" "&amp;Events!K377))</x:f>
      </x:c>
      <x:c r="Q378" s="16" t="str">
        <x:f>IF(A378="","",LOWER(Events!C377&amp;" "&amp;Events!K377&amp;" "&amp;Events!T377))</x:f>
      </x:c>
      <x:c r="R378" s="16" t="str">
        <x:f>IF(A378="","",IF(ISNUMBER(SEARCH("Occurrence verified",E378)),"Occurrence verified",E378))</x:f>
      </x:c>
      <x:c r="S378" s="79" t="str">
        <x:f>IF(A378="","",Events!X377)</x:f>
      </x:c>
      <x:c r="Z378" s="79" t="str">
        <x:f>IF(A378="","",Events!AD377)</x:f>
      </x:c>
      <x:c r="AA378" s="79" t="str">
        <x:f>IF(A378="","",Events!AE377)</x:f>
      </x:c>
    </x:row>
    <x:row r="379">
      <x:c r="A379" s="16" t="str">
        <x:f>IF(Events!A378="","",Events!A378)</x:f>
      </x:c>
      <x:c r="B379" s="16" t="str">
        <x:f>IF(A379="","",Events!B378)</x:f>
      </x:c>
      <x:c r="C379" s="16" t="str">
        <x:f>IF(A379="","",Events!E378)</x:f>
      </x:c>
      <x:c r="D379" s="16" t="str">
        <x:f>IF(A379="","",Events!J378)</x:f>
      </x:c>
      <x:c r="E379" s="16" t="str">
        <x:f>IF(A379="","",Events!N378)</x:f>
      </x:c>
      <x:c r="F379" s="109" t="str">
        <x:f>IF(OR(A379="",Events!H378=""),"",Events!H378)</x:f>
      </x:c>
      <x:c r="G379" s="109" t="str">
        <x:f>IF(A379="","",IF(Events!I378&lt;&gt;"",Events!I378,IF(Events!S378&lt;&gt;"",Events!S378,"")))</x:f>
      </x:c>
      <x:c r="H379" s="16" t="str">
        <x:f>IF(A379="","",Events!W378)</x:f>
      </x:c>
      <x:c r="I379" s="16" t="str">
        <x:f>IF(A379="","",IF(Events!Y378&lt;&gt;"",Events!Y378,IF(OR(ISNUMBER(SEARCH("education",P379)),ISNUMBER(SEARCH("exam",P379)),ISNUMBER(SEARCH("school",P379))),"Education",IF(OR(ISNUMBER(SEARCH("trade agreement",P379)),ISNUMBER(SEARCH("economic",P379)),ISNUMBER(SEARCH("import",P379))),"Trade &amp; economic policy",IF(OR(ISNUMBER(SEARCH("land acquisition",P379)),ISNUMBER(SEARCH("rehabilitation",P379)),ISNUMBER(SEARCH("displacement",P379)),ISNUMBER(SEARCH("township",P379))),"Land &amp; rehabilitation",IF(OR(ISNUMBER(SEARCH("forest",P379)),ISNUMBER(SEARCH("environment",P379)),ISNUMBER(SEARCH("ecological",P379)),ISNUMBER(SEARCH("biodiversity",P379)),ISNUMBER(SEARCH("green cover",P379))),"Environment",IF(OR(ISNUMBER(SEARCH("irrigation",P379)),ISNUMBER(SEARCH("water",P379)),ISNUMBER(SEARCH("crop",P379)),ISNUMBER(SEARCH("farmer",P379)),ISNUMBER(SEARCH("agriculture",P379))),"Agriculture &amp; water",IF(OR(ISNUMBER(SEARCH("health",P379)),ISNUMBER(SEARCH("hospital",P379)),ISNUMBER(SEARCH("medicine",P379))),"Public health",IF(OR(ISNUMBER(SEARCH("employee",P379)),ISNUMBER(SEARCH("labour",P379)),ISNUMBER(SEARCH("worker",P379)),ISNUMBER(SEARCH("salary",P379))),"Labour &amp; employment",IF(OR(ISNUMBER(SEARCH("rti",P379)),ISNUMBER(SEARCH("transparency",P379)),ISNUMBER(SEARCH("corruption",P379)),ISNUMBER(SEARCH("governance",P379))),"Governance &amp; transparency",IF(OR(ISNUMBER(SEARCH("police",P379)),ISNUMBER(SEARCH("detention",P379)),ISNUMBER(SEARCH("civil rights",P379)),ISNUMBER(SEARCH("justice",P379))),"Civil rights &amp; justice",IF(OR(ISNUMBER(SEARCH("road",P379)),ISNUMBER(SEARCH("utility",P379)),ISNUMBER(SEARCH("infrastructure",P379)),ISNUMBER(SEARCH("public service",P379))),"Infrastructure &amp; public services","Other"))))))))))))</x:f>
      </x:c>
      <x:c r="J379" s="16" t="str">
        <x:f>IF(A379="","",IF(OR(ISNUMBER(SEARCH("fatal",Q379)),ISNUMBER(SEARCH("death",Q379)),ISNUMBER(SEARCH("riot",Q379)),ISNUMBER(SEARCH("curfew",Q379)),ISNUMBER(SEARCH("internet shutdown",Q379))),5,MIN(4,1+IF(H379&gt;=7,1,0)+IF(OR(ISNUMBER(SEARCH("hunger strike",Q379)),ISNUMBER(SEARCH("blockade",Q379)),ISNUMBER(SEARCH("strike",Q379)),ISNUMBER(SEARCH("jal satyagraha",Q379)),ISNUMBER(SEARCH("survey",Q379)),ISNUMBER(SEARCH("human chain",Q379)),ISNUMBER(SEARCH("march",Q379))),1,0)+IF(OR(ISNUMBER(SEARCH("fir",Q379)),ISNUMBER(SEARCH("confrontation",Q379)),ISNUMBER(SEARCH("violence",Q379)),ISNUMBER(SEARCH("detention",Q379)),ISNUMBER(SEARCH("arrest",Q379)),ISNUMBER(SEARCH("demolition",Q379)),ISNUMBER(SEARCH("injury",Q379))),1,0)+IF(OR(D379="Ongoing",D379="Unresolved"),1,0))))</x:f>
      </x:c>
      <x:c r="K379" s="16" t="str">
        <x:f>IF(J379="","",IF(J379=1,"Limited",IF(J379=2,"Local",IF(J379=3,"Significant",IF(J379=4,"High","Critical")))))</x:f>
      </x:c>
      <x:c r="L379" s="16" t="str">
        <x:f>IF(A379="","",Events!U378)</x:f>
      </x:c>
      <x:c r="M379" s="16" t="str">
        <x:f>IF(A379="","",Events!V378)</x:f>
      </x:c>
      <x:c r="N379" s="16" t="str">
        <x:f>IF(A379="","",Events!Q378)</x:f>
      </x:c>
      <x:c r="O379" s="16" t="str">
        <x:f>IF(A379="","",Events!R378)</x:f>
      </x:c>
      <x:c r="P379" s="16" t="str">
        <x:f>IF(A379="","",LOWER(Events!B378&amp;" "&amp;Events!D378&amp;" "&amp;Events!K378))</x:f>
      </x:c>
      <x:c r="Q379" s="16" t="str">
        <x:f>IF(A379="","",LOWER(Events!C378&amp;" "&amp;Events!K378&amp;" "&amp;Events!T378))</x:f>
      </x:c>
      <x:c r="R379" s="16" t="str">
        <x:f>IF(A379="","",IF(ISNUMBER(SEARCH("Occurrence verified",E379)),"Occurrence verified",E379))</x:f>
      </x:c>
      <x:c r="S379" s="79" t="str">
        <x:f>IF(A379="","",Events!X378)</x:f>
      </x:c>
      <x:c r="Z379" s="79" t="str">
        <x:f>IF(A379="","",Events!AD378)</x:f>
      </x:c>
      <x:c r="AA379" s="79" t="str">
        <x:f>IF(A379="","",Events!AE378)</x:f>
      </x:c>
    </x:row>
    <x:row r="380">
      <x:c r="A380" s="16" t="str">
        <x:f>IF(Events!A379="","",Events!A379)</x:f>
      </x:c>
      <x:c r="B380" s="16" t="str">
        <x:f>IF(A380="","",Events!B379)</x:f>
      </x:c>
      <x:c r="C380" s="16" t="str">
        <x:f>IF(A380="","",Events!E379)</x:f>
      </x:c>
      <x:c r="D380" s="16" t="str">
        <x:f>IF(A380="","",Events!J379)</x:f>
      </x:c>
      <x:c r="E380" s="16" t="str">
        <x:f>IF(A380="","",Events!N379)</x:f>
      </x:c>
      <x:c r="F380" s="109" t="str">
        <x:f>IF(OR(A380="",Events!H379=""),"",Events!H379)</x:f>
      </x:c>
      <x:c r="G380" s="109" t="str">
        <x:f>IF(A380="","",IF(Events!I379&lt;&gt;"",Events!I379,IF(Events!S379&lt;&gt;"",Events!S379,"")))</x:f>
      </x:c>
      <x:c r="H380" s="16" t="str">
        <x:f>IF(A380="","",Events!W379)</x:f>
      </x:c>
      <x:c r="I380" s="16" t="str">
        <x:f>IF(A380="","",IF(Events!Y379&lt;&gt;"",Events!Y379,IF(OR(ISNUMBER(SEARCH("education",P380)),ISNUMBER(SEARCH("exam",P380)),ISNUMBER(SEARCH("school",P380))),"Education",IF(OR(ISNUMBER(SEARCH("trade agreement",P380)),ISNUMBER(SEARCH("economic",P380)),ISNUMBER(SEARCH("import",P380))),"Trade &amp; economic policy",IF(OR(ISNUMBER(SEARCH("land acquisition",P380)),ISNUMBER(SEARCH("rehabilitation",P380)),ISNUMBER(SEARCH("displacement",P380)),ISNUMBER(SEARCH("township",P380))),"Land &amp; rehabilitation",IF(OR(ISNUMBER(SEARCH("forest",P380)),ISNUMBER(SEARCH("environment",P380)),ISNUMBER(SEARCH("ecological",P380)),ISNUMBER(SEARCH("biodiversity",P380)),ISNUMBER(SEARCH("green cover",P380))),"Environment",IF(OR(ISNUMBER(SEARCH("irrigation",P380)),ISNUMBER(SEARCH("water",P380)),ISNUMBER(SEARCH("crop",P380)),ISNUMBER(SEARCH("farmer",P380)),ISNUMBER(SEARCH("agriculture",P380))),"Agriculture &amp; water",IF(OR(ISNUMBER(SEARCH("health",P380)),ISNUMBER(SEARCH("hospital",P380)),ISNUMBER(SEARCH("medicine",P380))),"Public health",IF(OR(ISNUMBER(SEARCH("employee",P380)),ISNUMBER(SEARCH("labour",P380)),ISNUMBER(SEARCH("worker",P380)),ISNUMBER(SEARCH("salary",P380))),"Labour &amp; employment",IF(OR(ISNUMBER(SEARCH("rti",P380)),ISNUMBER(SEARCH("transparency",P380)),ISNUMBER(SEARCH("corruption",P380)),ISNUMBER(SEARCH("governance",P380))),"Governance &amp; transparency",IF(OR(ISNUMBER(SEARCH("police",P380)),ISNUMBER(SEARCH("detention",P380)),ISNUMBER(SEARCH("civil rights",P380)),ISNUMBER(SEARCH("justice",P380))),"Civil rights &amp; justice",IF(OR(ISNUMBER(SEARCH("road",P380)),ISNUMBER(SEARCH("utility",P380)),ISNUMBER(SEARCH("infrastructure",P380)),ISNUMBER(SEARCH("public service",P380))),"Infrastructure &amp; public services","Other"))))))))))))</x:f>
      </x:c>
      <x:c r="J380" s="16" t="str">
        <x:f>IF(A380="","",IF(OR(ISNUMBER(SEARCH("fatal",Q380)),ISNUMBER(SEARCH("death",Q380)),ISNUMBER(SEARCH("riot",Q380)),ISNUMBER(SEARCH("curfew",Q380)),ISNUMBER(SEARCH("internet shutdown",Q380))),5,MIN(4,1+IF(H380&gt;=7,1,0)+IF(OR(ISNUMBER(SEARCH("hunger strike",Q380)),ISNUMBER(SEARCH("blockade",Q380)),ISNUMBER(SEARCH("strike",Q380)),ISNUMBER(SEARCH("jal satyagraha",Q380)),ISNUMBER(SEARCH("survey",Q380)),ISNUMBER(SEARCH("human chain",Q380)),ISNUMBER(SEARCH("march",Q380))),1,0)+IF(OR(ISNUMBER(SEARCH("fir",Q380)),ISNUMBER(SEARCH("confrontation",Q380)),ISNUMBER(SEARCH("violence",Q380)),ISNUMBER(SEARCH("detention",Q380)),ISNUMBER(SEARCH("arrest",Q380)),ISNUMBER(SEARCH("demolition",Q380)),ISNUMBER(SEARCH("injury",Q380))),1,0)+IF(OR(D380="Ongoing",D380="Unresolved"),1,0))))</x:f>
      </x:c>
      <x:c r="K380" s="16" t="str">
        <x:f>IF(J380="","",IF(J380=1,"Limited",IF(J380=2,"Local",IF(J380=3,"Significant",IF(J380=4,"High","Critical")))))</x:f>
      </x:c>
      <x:c r="L380" s="16" t="str">
        <x:f>IF(A380="","",Events!U379)</x:f>
      </x:c>
      <x:c r="M380" s="16" t="str">
        <x:f>IF(A380="","",Events!V379)</x:f>
      </x:c>
      <x:c r="N380" s="16" t="str">
        <x:f>IF(A380="","",Events!Q379)</x:f>
      </x:c>
      <x:c r="O380" s="16" t="str">
        <x:f>IF(A380="","",Events!R379)</x:f>
      </x:c>
      <x:c r="P380" s="16" t="str">
        <x:f>IF(A380="","",LOWER(Events!B379&amp;" "&amp;Events!D379&amp;" "&amp;Events!K379))</x:f>
      </x:c>
      <x:c r="Q380" s="16" t="str">
        <x:f>IF(A380="","",LOWER(Events!C379&amp;" "&amp;Events!K379&amp;" "&amp;Events!T379))</x:f>
      </x:c>
      <x:c r="R380" s="16" t="str">
        <x:f>IF(A380="","",IF(ISNUMBER(SEARCH("Occurrence verified",E380)),"Occurrence verified",E380))</x:f>
      </x:c>
      <x:c r="S380" s="79" t="str">
        <x:f>IF(A380="","",Events!X379)</x:f>
      </x:c>
      <x:c r="Z380" s="79" t="str">
        <x:f>IF(A380="","",Events!AD379)</x:f>
      </x:c>
      <x:c r="AA380" s="79" t="str">
        <x:f>IF(A380="","",Events!AE379)</x:f>
      </x:c>
    </x:row>
    <x:row r="381">
      <x:c r="A381" s="16" t="str">
        <x:f>IF(Events!A380="","",Events!A380)</x:f>
      </x:c>
      <x:c r="B381" s="16" t="str">
        <x:f>IF(A381="","",Events!B380)</x:f>
      </x:c>
      <x:c r="C381" s="16" t="str">
        <x:f>IF(A381="","",Events!E380)</x:f>
      </x:c>
      <x:c r="D381" s="16" t="str">
        <x:f>IF(A381="","",Events!J380)</x:f>
      </x:c>
      <x:c r="E381" s="16" t="str">
        <x:f>IF(A381="","",Events!N380)</x:f>
      </x:c>
      <x:c r="F381" s="109" t="str">
        <x:f>IF(OR(A381="",Events!H380=""),"",Events!H380)</x:f>
      </x:c>
      <x:c r="G381" s="109" t="str">
        <x:f>IF(A381="","",IF(Events!I380&lt;&gt;"",Events!I380,IF(Events!S380&lt;&gt;"",Events!S380,"")))</x:f>
      </x:c>
      <x:c r="H381" s="16" t="str">
        <x:f>IF(A381="","",Events!W380)</x:f>
      </x:c>
      <x:c r="I381" s="16" t="str">
        <x:f>IF(A381="","",IF(Events!Y380&lt;&gt;"",Events!Y380,IF(OR(ISNUMBER(SEARCH("education",P381)),ISNUMBER(SEARCH("exam",P381)),ISNUMBER(SEARCH("school",P381))),"Education",IF(OR(ISNUMBER(SEARCH("trade agreement",P381)),ISNUMBER(SEARCH("economic",P381)),ISNUMBER(SEARCH("import",P381))),"Trade &amp; economic policy",IF(OR(ISNUMBER(SEARCH("land acquisition",P381)),ISNUMBER(SEARCH("rehabilitation",P381)),ISNUMBER(SEARCH("displacement",P381)),ISNUMBER(SEARCH("township",P381))),"Land &amp; rehabilitation",IF(OR(ISNUMBER(SEARCH("forest",P381)),ISNUMBER(SEARCH("environment",P381)),ISNUMBER(SEARCH("ecological",P381)),ISNUMBER(SEARCH("biodiversity",P381)),ISNUMBER(SEARCH("green cover",P381))),"Environment",IF(OR(ISNUMBER(SEARCH("irrigation",P381)),ISNUMBER(SEARCH("water",P381)),ISNUMBER(SEARCH("crop",P381)),ISNUMBER(SEARCH("farmer",P381)),ISNUMBER(SEARCH("agriculture",P381))),"Agriculture &amp; water",IF(OR(ISNUMBER(SEARCH("health",P381)),ISNUMBER(SEARCH("hospital",P381)),ISNUMBER(SEARCH("medicine",P381))),"Public health",IF(OR(ISNUMBER(SEARCH("employee",P381)),ISNUMBER(SEARCH("labour",P381)),ISNUMBER(SEARCH("worker",P381)),ISNUMBER(SEARCH("salary",P381))),"Labour &amp; employment",IF(OR(ISNUMBER(SEARCH("rti",P381)),ISNUMBER(SEARCH("transparency",P381)),ISNUMBER(SEARCH("corruption",P381)),ISNUMBER(SEARCH("governance",P381))),"Governance &amp; transparency",IF(OR(ISNUMBER(SEARCH("police",P381)),ISNUMBER(SEARCH("detention",P381)),ISNUMBER(SEARCH("civil rights",P381)),ISNUMBER(SEARCH("justice",P381))),"Civil rights &amp; justice",IF(OR(ISNUMBER(SEARCH("road",P381)),ISNUMBER(SEARCH("utility",P381)),ISNUMBER(SEARCH("infrastructure",P381)),ISNUMBER(SEARCH("public service",P381))),"Infrastructure &amp; public services","Other"))))))))))))</x:f>
      </x:c>
      <x:c r="J381" s="16" t="str">
        <x:f>IF(A381="","",IF(OR(ISNUMBER(SEARCH("fatal",Q381)),ISNUMBER(SEARCH("death",Q381)),ISNUMBER(SEARCH("riot",Q381)),ISNUMBER(SEARCH("curfew",Q381)),ISNUMBER(SEARCH("internet shutdown",Q381))),5,MIN(4,1+IF(H381&gt;=7,1,0)+IF(OR(ISNUMBER(SEARCH("hunger strike",Q381)),ISNUMBER(SEARCH("blockade",Q381)),ISNUMBER(SEARCH("strike",Q381)),ISNUMBER(SEARCH("jal satyagraha",Q381)),ISNUMBER(SEARCH("survey",Q381)),ISNUMBER(SEARCH("human chain",Q381)),ISNUMBER(SEARCH("march",Q381))),1,0)+IF(OR(ISNUMBER(SEARCH("fir",Q381)),ISNUMBER(SEARCH("confrontation",Q381)),ISNUMBER(SEARCH("violence",Q381)),ISNUMBER(SEARCH("detention",Q381)),ISNUMBER(SEARCH("arrest",Q381)),ISNUMBER(SEARCH("demolition",Q381)),ISNUMBER(SEARCH("injury",Q381))),1,0)+IF(OR(D381="Ongoing",D381="Unresolved"),1,0))))</x:f>
      </x:c>
      <x:c r="K381" s="16" t="str">
        <x:f>IF(J381="","",IF(J381=1,"Limited",IF(J381=2,"Local",IF(J381=3,"Significant",IF(J381=4,"High","Critical")))))</x:f>
      </x:c>
      <x:c r="L381" s="16" t="str">
        <x:f>IF(A381="","",Events!U380)</x:f>
      </x:c>
      <x:c r="M381" s="16" t="str">
        <x:f>IF(A381="","",Events!V380)</x:f>
      </x:c>
      <x:c r="N381" s="16" t="str">
        <x:f>IF(A381="","",Events!Q380)</x:f>
      </x:c>
      <x:c r="O381" s="16" t="str">
        <x:f>IF(A381="","",Events!R380)</x:f>
      </x:c>
      <x:c r="P381" s="16" t="str">
        <x:f>IF(A381="","",LOWER(Events!B380&amp;" "&amp;Events!D380&amp;" "&amp;Events!K380))</x:f>
      </x:c>
      <x:c r="Q381" s="16" t="str">
        <x:f>IF(A381="","",LOWER(Events!C380&amp;" "&amp;Events!K380&amp;" "&amp;Events!T380))</x:f>
      </x:c>
      <x:c r="R381" s="16" t="str">
        <x:f>IF(A381="","",IF(ISNUMBER(SEARCH("Occurrence verified",E381)),"Occurrence verified",E381))</x:f>
      </x:c>
      <x:c r="S381" s="79" t="str">
        <x:f>IF(A381="","",Events!X380)</x:f>
      </x:c>
      <x:c r="Z381" s="79" t="str">
        <x:f>IF(A381="","",Events!AD380)</x:f>
      </x:c>
      <x:c r="AA381" s="79" t="str">
        <x:f>IF(A381="","",Events!AE380)</x:f>
      </x:c>
    </x:row>
    <x:row r="382">
      <x:c r="A382" s="16" t="str">
        <x:f>IF(Events!A381="","",Events!A381)</x:f>
      </x:c>
      <x:c r="B382" s="16" t="str">
        <x:f>IF(A382="","",Events!B381)</x:f>
      </x:c>
      <x:c r="C382" s="16" t="str">
        <x:f>IF(A382="","",Events!E381)</x:f>
      </x:c>
      <x:c r="D382" s="16" t="str">
        <x:f>IF(A382="","",Events!J381)</x:f>
      </x:c>
      <x:c r="E382" s="16" t="str">
        <x:f>IF(A382="","",Events!N381)</x:f>
      </x:c>
      <x:c r="F382" s="109" t="str">
        <x:f>IF(OR(A382="",Events!H381=""),"",Events!H381)</x:f>
      </x:c>
      <x:c r="G382" s="109" t="str">
        <x:f>IF(A382="","",IF(Events!I381&lt;&gt;"",Events!I381,IF(Events!S381&lt;&gt;"",Events!S381,"")))</x:f>
      </x:c>
      <x:c r="H382" s="16" t="str">
        <x:f>IF(A382="","",Events!W381)</x:f>
      </x:c>
      <x:c r="I382" s="16" t="str">
        <x:f>IF(A382="","",IF(Events!Y381&lt;&gt;"",Events!Y381,IF(OR(ISNUMBER(SEARCH("education",P382)),ISNUMBER(SEARCH("exam",P382)),ISNUMBER(SEARCH("school",P382))),"Education",IF(OR(ISNUMBER(SEARCH("trade agreement",P382)),ISNUMBER(SEARCH("economic",P382)),ISNUMBER(SEARCH("import",P382))),"Trade &amp; economic policy",IF(OR(ISNUMBER(SEARCH("land acquisition",P382)),ISNUMBER(SEARCH("rehabilitation",P382)),ISNUMBER(SEARCH("displacement",P382)),ISNUMBER(SEARCH("township",P382))),"Land &amp; rehabilitation",IF(OR(ISNUMBER(SEARCH("forest",P382)),ISNUMBER(SEARCH("environment",P382)),ISNUMBER(SEARCH("ecological",P382)),ISNUMBER(SEARCH("biodiversity",P382)),ISNUMBER(SEARCH("green cover",P382))),"Environment",IF(OR(ISNUMBER(SEARCH("irrigation",P382)),ISNUMBER(SEARCH("water",P382)),ISNUMBER(SEARCH("crop",P382)),ISNUMBER(SEARCH("farmer",P382)),ISNUMBER(SEARCH("agriculture",P382))),"Agriculture &amp; water",IF(OR(ISNUMBER(SEARCH("health",P382)),ISNUMBER(SEARCH("hospital",P382)),ISNUMBER(SEARCH("medicine",P382))),"Public health",IF(OR(ISNUMBER(SEARCH("employee",P382)),ISNUMBER(SEARCH("labour",P382)),ISNUMBER(SEARCH("worker",P382)),ISNUMBER(SEARCH("salary",P382))),"Labour &amp; employment",IF(OR(ISNUMBER(SEARCH("rti",P382)),ISNUMBER(SEARCH("transparency",P382)),ISNUMBER(SEARCH("corruption",P382)),ISNUMBER(SEARCH("governance",P382))),"Governance &amp; transparency",IF(OR(ISNUMBER(SEARCH("police",P382)),ISNUMBER(SEARCH("detention",P382)),ISNUMBER(SEARCH("civil rights",P382)),ISNUMBER(SEARCH("justice",P382))),"Civil rights &amp; justice",IF(OR(ISNUMBER(SEARCH("road",P382)),ISNUMBER(SEARCH("utility",P382)),ISNUMBER(SEARCH("infrastructure",P382)),ISNUMBER(SEARCH("public service",P382))),"Infrastructure &amp; public services","Other"))))))))))))</x:f>
      </x:c>
      <x:c r="J382" s="16" t="str">
        <x:f>IF(A382="","",IF(OR(ISNUMBER(SEARCH("fatal",Q382)),ISNUMBER(SEARCH("death",Q382)),ISNUMBER(SEARCH("riot",Q382)),ISNUMBER(SEARCH("curfew",Q382)),ISNUMBER(SEARCH("internet shutdown",Q382))),5,MIN(4,1+IF(H382&gt;=7,1,0)+IF(OR(ISNUMBER(SEARCH("hunger strike",Q382)),ISNUMBER(SEARCH("blockade",Q382)),ISNUMBER(SEARCH("strike",Q382)),ISNUMBER(SEARCH("jal satyagraha",Q382)),ISNUMBER(SEARCH("survey",Q382)),ISNUMBER(SEARCH("human chain",Q382)),ISNUMBER(SEARCH("march",Q382))),1,0)+IF(OR(ISNUMBER(SEARCH("fir",Q382)),ISNUMBER(SEARCH("confrontation",Q382)),ISNUMBER(SEARCH("violence",Q382)),ISNUMBER(SEARCH("detention",Q382)),ISNUMBER(SEARCH("arrest",Q382)),ISNUMBER(SEARCH("demolition",Q382)),ISNUMBER(SEARCH("injury",Q382))),1,0)+IF(OR(D382="Ongoing",D382="Unresolved"),1,0))))</x:f>
      </x:c>
      <x:c r="K382" s="16" t="str">
        <x:f>IF(J382="","",IF(J382=1,"Limited",IF(J382=2,"Local",IF(J382=3,"Significant",IF(J382=4,"High","Critical")))))</x:f>
      </x:c>
      <x:c r="L382" s="16" t="str">
        <x:f>IF(A382="","",Events!U381)</x:f>
      </x:c>
      <x:c r="M382" s="16" t="str">
        <x:f>IF(A382="","",Events!V381)</x:f>
      </x:c>
      <x:c r="N382" s="16" t="str">
        <x:f>IF(A382="","",Events!Q381)</x:f>
      </x:c>
      <x:c r="O382" s="16" t="str">
        <x:f>IF(A382="","",Events!R381)</x:f>
      </x:c>
      <x:c r="P382" s="16" t="str">
        <x:f>IF(A382="","",LOWER(Events!B381&amp;" "&amp;Events!D381&amp;" "&amp;Events!K381))</x:f>
      </x:c>
      <x:c r="Q382" s="16" t="str">
        <x:f>IF(A382="","",LOWER(Events!C381&amp;" "&amp;Events!K381&amp;" "&amp;Events!T381))</x:f>
      </x:c>
      <x:c r="R382" s="16" t="str">
        <x:f>IF(A382="","",IF(ISNUMBER(SEARCH("Occurrence verified",E382)),"Occurrence verified",E382))</x:f>
      </x:c>
      <x:c r="S382" s="79" t="str">
        <x:f>IF(A382="","",Events!X381)</x:f>
      </x:c>
      <x:c r="Z382" s="79" t="str">
        <x:f>IF(A382="","",Events!AD381)</x:f>
      </x:c>
      <x:c r="AA382" s="79" t="str">
        <x:f>IF(A382="","",Events!AE381)</x:f>
      </x:c>
    </x:row>
    <x:row r="383">
      <x:c r="A383" s="16" t="str">
        <x:f>IF(Events!A382="","",Events!A382)</x:f>
      </x:c>
      <x:c r="B383" s="16" t="str">
        <x:f>IF(A383="","",Events!B382)</x:f>
      </x:c>
      <x:c r="C383" s="16" t="str">
        <x:f>IF(A383="","",Events!E382)</x:f>
      </x:c>
      <x:c r="D383" s="16" t="str">
        <x:f>IF(A383="","",Events!J382)</x:f>
      </x:c>
      <x:c r="E383" s="16" t="str">
        <x:f>IF(A383="","",Events!N382)</x:f>
      </x:c>
      <x:c r="F383" s="109" t="str">
        <x:f>IF(OR(A383="",Events!H382=""),"",Events!H382)</x:f>
      </x:c>
      <x:c r="G383" s="109" t="str">
        <x:f>IF(A383="","",IF(Events!I382&lt;&gt;"",Events!I382,IF(Events!S382&lt;&gt;"",Events!S382,"")))</x:f>
      </x:c>
      <x:c r="H383" s="16" t="str">
        <x:f>IF(A383="","",Events!W382)</x:f>
      </x:c>
      <x:c r="I383" s="16" t="str">
        <x:f>IF(A383="","",IF(Events!Y382&lt;&gt;"",Events!Y382,IF(OR(ISNUMBER(SEARCH("education",P383)),ISNUMBER(SEARCH("exam",P383)),ISNUMBER(SEARCH("school",P383))),"Education",IF(OR(ISNUMBER(SEARCH("trade agreement",P383)),ISNUMBER(SEARCH("economic",P383)),ISNUMBER(SEARCH("import",P383))),"Trade &amp; economic policy",IF(OR(ISNUMBER(SEARCH("land acquisition",P383)),ISNUMBER(SEARCH("rehabilitation",P383)),ISNUMBER(SEARCH("displacement",P383)),ISNUMBER(SEARCH("township",P383))),"Land &amp; rehabilitation",IF(OR(ISNUMBER(SEARCH("forest",P383)),ISNUMBER(SEARCH("environment",P383)),ISNUMBER(SEARCH("ecological",P383)),ISNUMBER(SEARCH("biodiversity",P383)),ISNUMBER(SEARCH("green cover",P383))),"Environment",IF(OR(ISNUMBER(SEARCH("irrigation",P383)),ISNUMBER(SEARCH("water",P383)),ISNUMBER(SEARCH("crop",P383)),ISNUMBER(SEARCH("farmer",P383)),ISNUMBER(SEARCH("agriculture",P383))),"Agriculture &amp; water",IF(OR(ISNUMBER(SEARCH("health",P383)),ISNUMBER(SEARCH("hospital",P383)),ISNUMBER(SEARCH("medicine",P383))),"Public health",IF(OR(ISNUMBER(SEARCH("employee",P383)),ISNUMBER(SEARCH("labour",P383)),ISNUMBER(SEARCH("worker",P383)),ISNUMBER(SEARCH("salary",P383))),"Labour &amp; employment",IF(OR(ISNUMBER(SEARCH("rti",P383)),ISNUMBER(SEARCH("transparency",P383)),ISNUMBER(SEARCH("corruption",P383)),ISNUMBER(SEARCH("governance",P383))),"Governance &amp; transparency",IF(OR(ISNUMBER(SEARCH("police",P383)),ISNUMBER(SEARCH("detention",P383)),ISNUMBER(SEARCH("civil rights",P383)),ISNUMBER(SEARCH("justice",P383))),"Civil rights &amp; justice",IF(OR(ISNUMBER(SEARCH("road",P383)),ISNUMBER(SEARCH("utility",P383)),ISNUMBER(SEARCH("infrastructure",P383)),ISNUMBER(SEARCH("public service",P383))),"Infrastructure &amp; public services","Other"))))))))))))</x:f>
      </x:c>
      <x:c r="J383" s="16" t="str">
        <x:f>IF(A383="","",IF(OR(ISNUMBER(SEARCH("fatal",Q383)),ISNUMBER(SEARCH("death",Q383)),ISNUMBER(SEARCH("riot",Q383)),ISNUMBER(SEARCH("curfew",Q383)),ISNUMBER(SEARCH("internet shutdown",Q383))),5,MIN(4,1+IF(H383&gt;=7,1,0)+IF(OR(ISNUMBER(SEARCH("hunger strike",Q383)),ISNUMBER(SEARCH("blockade",Q383)),ISNUMBER(SEARCH("strike",Q383)),ISNUMBER(SEARCH("jal satyagraha",Q383)),ISNUMBER(SEARCH("survey",Q383)),ISNUMBER(SEARCH("human chain",Q383)),ISNUMBER(SEARCH("march",Q383))),1,0)+IF(OR(ISNUMBER(SEARCH("fir",Q383)),ISNUMBER(SEARCH("confrontation",Q383)),ISNUMBER(SEARCH("violence",Q383)),ISNUMBER(SEARCH("detention",Q383)),ISNUMBER(SEARCH("arrest",Q383)),ISNUMBER(SEARCH("demolition",Q383)),ISNUMBER(SEARCH("injury",Q383))),1,0)+IF(OR(D383="Ongoing",D383="Unresolved"),1,0))))</x:f>
      </x:c>
      <x:c r="K383" s="16" t="str">
        <x:f>IF(J383="","",IF(J383=1,"Limited",IF(J383=2,"Local",IF(J383=3,"Significant",IF(J383=4,"High","Critical")))))</x:f>
      </x:c>
      <x:c r="L383" s="16" t="str">
        <x:f>IF(A383="","",Events!U382)</x:f>
      </x:c>
      <x:c r="M383" s="16" t="str">
        <x:f>IF(A383="","",Events!V382)</x:f>
      </x:c>
      <x:c r="N383" s="16" t="str">
        <x:f>IF(A383="","",Events!Q382)</x:f>
      </x:c>
      <x:c r="O383" s="16" t="str">
        <x:f>IF(A383="","",Events!R382)</x:f>
      </x:c>
      <x:c r="P383" s="16" t="str">
        <x:f>IF(A383="","",LOWER(Events!B382&amp;" "&amp;Events!D382&amp;" "&amp;Events!K382))</x:f>
      </x:c>
      <x:c r="Q383" s="16" t="str">
        <x:f>IF(A383="","",LOWER(Events!C382&amp;" "&amp;Events!K382&amp;" "&amp;Events!T382))</x:f>
      </x:c>
      <x:c r="R383" s="16" t="str">
        <x:f>IF(A383="","",IF(ISNUMBER(SEARCH("Occurrence verified",E383)),"Occurrence verified",E383))</x:f>
      </x:c>
      <x:c r="S383" s="79" t="str">
        <x:f>IF(A383="","",Events!X382)</x:f>
      </x:c>
      <x:c r="Z383" s="79" t="str">
        <x:f>IF(A383="","",Events!AD382)</x:f>
      </x:c>
      <x:c r="AA383" s="79" t="str">
        <x:f>IF(A383="","",Events!AE382)</x:f>
      </x:c>
    </x:row>
    <x:row r="384">
      <x:c r="A384" s="16" t="str">
        <x:f>IF(Events!A383="","",Events!A383)</x:f>
      </x:c>
      <x:c r="B384" s="16" t="str">
        <x:f>IF(A384="","",Events!B383)</x:f>
      </x:c>
      <x:c r="C384" s="16" t="str">
        <x:f>IF(A384="","",Events!E383)</x:f>
      </x:c>
      <x:c r="D384" s="16" t="str">
        <x:f>IF(A384="","",Events!J383)</x:f>
      </x:c>
      <x:c r="E384" s="16" t="str">
        <x:f>IF(A384="","",Events!N383)</x:f>
      </x:c>
      <x:c r="F384" s="109" t="str">
        <x:f>IF(OR(A384="",Events!H383=""),"",Events!H383)</x:f>
      </x:c>
      <x:c r="G384" s="109" t="str">
        <x:f>IF(A384="","",IF(Events!I383&lt;&gt;"",Events!I383,IF(Events!S383&lt;&gt;"",Events!S383,"")))</x:f>
      </x:c>
      <x:c r="H384" s="16" t="str">
        <x:f>IF(A384="","",Events!W383)</x:f>
      </x:c>
      <x:c r="I384" s="16" t="str">
        <x:f>IF(A384="","",IF(Events!Y383&lt;&gt;"",Events!Y383,IF(OR(ISNUMBER(SEARCH("education",P384)),ISNUMBER(SEARCH("exam",P384)),ISNUMBER(SEARCH("school",P384))),"Education",IF(OR(ISNUMBER(SEARCH("trade agreement",P384)),ISNUMBER(SEARCH("economic",P384)),ISNUMBER(SEARCH("import",P384))),"Trade &amp; economic policy",IF(OR(ISNUMBER(SEARCH("land acquisition",P384)),ISNUMBER(SEARCH("rehabilitation",P384)),ISNUMBER(SEARCH("displacement",P384)),ISNUMBER(SEARCH("township",P384))),"Land &amp; rehabilitation",IF(OR(ISNUMBER(SEARCH("forest",P384)),ISNUMBER(SEARCH("environment",P384)),ISNUMBER(SEARCH("ecological",P384)),ISNUMBER(SEARCH("biodiversity",P384)),ISNUMBER(SEARCH("green cover",P384))),"Environment",IF(OR(ISNUMBER(SEARCH("irrigation",P384)),ISNUMBER(SEARCH("water",P384)),ISNUMBER(SEARCH("crop",P384)),ISNUMBER(SEARCH("farmer",P384)),ISNUMBER(SEARCH("agriculture",P384))),"Agriculture &amp; water",IF(OR(ISNUMBER(SEARCH("health",P384)),ISNUMBER(SEARCH("hospital",P384)),ISNUMBER(SEARCH("medicine",P384))),"Public health",IF(OR(ISNUMBER(SEARCH("employee",P384)),ISNUMBER(SEARCH("labour",P384)),ISNUMBER(SEARCH("worker",P384)),ISNUMBER(SEARCH("salary",P384))),"Labour &amp; employment",IF(OR(ISNUMBER(SEARCH("rti",P384)),ISNUMBER(SEARCH("transparency",P384)),ISNUMBER(SEARCH("corruption",P384)),ISNUMBER(SEARCH("governance",P384))),"Governance &amp; transparency",IF(OR(ISNUMBER(SEARCH("police",P384)),ISNUMBER(SEARCH("detention",P384)),ISNUMBER(SEARCH("civil rights",P384)),ISNUMBER(SEARCH("justice",P384))),"Civil rights &amp; justice",IF(OR(ISNUMBER(SEARCH("road",P384)),ISNUMBER(SEARCH("utility",P384)),ISNUMBER(SEARCH("infrastructure",P384)),ISNUMBER(SEARCH("public service",P384))),"Infrastructure &amp; public services","Other"))))))))))))</x:f>
      </x:c>
      <x:c r="J384" s="16" t="str">
        <x:f>IF(A384="","",IF(OR(ISNUMBER(SEARCH("fatal",Q384)),ISNUMBER(SEARCH("death",Q384)),ISNUMBER(SEARCH("riot",Q384)),ISNUMBER(SEARCH("curfew",Q384)),ISNUMBER(SEARCH("internet shutdown",Q384))),5,MIN(4,1+IF(H384&gt;=7,1,0)+IF(OR(ISNUMBER(SEARCH("hunger strike",Q384)),ISNUMBER(SEARCH("blockade",Q384)),ISNUMBER(SEARCH("strike",Q384)),ISNUMBER(SEARCH("jal satyagraha",Q384)),ISNUMBER(SEARCH("survey",Q384)),ISNUMBER(SEARCH("human chain",Q384)),ISNUMBER(SEARCH("march",Q384))),1,0)+IF(OR(ISNUMBER(SEARCH("fir",Q384)),ISNUMBER(SEARCH("confrontation",Q384)),ISNUMBER(SEARCH("violence",Q384)),ISNUMBER(SEARCH("detention",Q384)),ISNUMBER(SEARCH("arrest",Q384)),ISNUMBER(SEARCH("demolition",Q384)),ISNUMBER(SEARCH("injury",Q384))),1,0)+IF(OR(D384="Ongoing",D384="Unresolved"),1,0))))</x:f>
      </x:c>
      <x:c r="K384" s="16" t="str">
        <x:f>IF(J384="","",IF(J384=1,"Limited",IF(J384=2,"Local",IF(J384=3,"Significant",IF(J384=4,"High","Critical")))))</x:f>
      </x:c>
      <x:c r="L384" s="16" t="str">
        <x:f>IF(A384="","",Events!U383)</x:f>
      </x:c>
      <x:c r="M384" s="16" t="str">
        <x:f>IF(A384="","",Events!V383)</x:f>
      </x:c>
      <x:c r="N384" s="16" t="str">
        <x:f>IF(A384="","",Events!Q383)</x:f>
      </x:c>
      <x:c r="O384" s="16" t="str">
        <x:f>IF(A384="","",Events!R383)</x:f>
      </x:c>
      <x:c r="P384" s="16" t="str">
        <x:f>IF(A384="","",LOWER(Events!B383&amp;" "&amp;Events!D383&amp;" "&amp;Events!K383))</x:f>
      </x:c>
      <x:c r="Q384" s="16" t="str">
        <x:f>IF(A384="","",LOWER(Events!C383&amp;" "&amp;Events!K383&amp;" "&amp;Events!T383))</x:f>
      </x:c>
      <x:c r="R384" s="16" t="str">
        <x:f>IF(A384="","",IF(ISNUMBER(SEARCH("Occurrence verified",E384)),"Occurrence verified",E384))</x:f>
      </x:c>
      <x:c r="S384" s="79" t="str">
        <x:f>IF(A384="","",Events!X383)</x:f>
      </x:c>
      <x:c r="Z384" s="79" t="str">
        <x:f>IF(A384="","",Events!AD383)</x:f>
      </x:c>
      <x:c r="AA384" s="79" t="str">
        <x:f>IF(A384="","",Events!AE383)</x:f>
      </x:c>
    </x:row>
    <x:row r="385">
      <x:c r="A385" s="16" t="str">
        <x:f>IF(Events!A384="","",Events!A384)</x:f>
      </x:c>
      <x:c r="B385" s="16" t="str">
        <x:f>IF(A385="","",Events!B384)</x:f>
      </x:c>
      <x:c r="C385" s="16" t="str">
        <x:f>IF(A385="","",Events!E384)</x:f>
      </x:c>
      <x:c r="D385" s="16" t="str">
        <x:f>IF(A385="","",Events!J384)</x:f>
      </x:c>
      <x:c r="E385" s="16" t="str">
        <x:f>IF(A385="","",Events!N384)</x:f>
      </x:c>
      <x:c r="F385" s="109" t="str">
        <x:f>IF(OR(A385="",Events!H384=""),"",Events!H384)</x:f>
      </x:c>
      <x:c r="G385" s="109" t="str">
        <x:f>IF(A385="","",IF(Events!I384&lt;&gt;"",Events!I384,IF(Events!S384&lt;&gt;"",Events!S384,"")))</x:f>
      </x:c>
      <x:c r="H385" s="16" t="str">
        <x:f>IF(A385="","",Events!W384)</x:f>
      </x:c>
      <x:c r="I385" s="16" t="str">
        <x:f>IF(A385="","",IF(Events!Y384&lt;&gt;"",Events!Y384,IF(OR(ISNUMBER(SEARCH("education",P385)),ISNUMBER(SEARCH("exam",P385)),ISNUMBER(SEARCH("school",P385))),"Education",IF(OR(ISNUMBER(SEARCH("trade agreement",P385)),ISNUMBER(SEARCH("economic",P385)),ISNUMBER(SEARCH("import",P385))),"Trade &amp; economic policy",IF(OR(ISNUMBER(SEARCH("land acquisition",P385)),ISNUMBER(SEARCH("rehabilitation",P385)),ISNUMBER(SEARCH("displacement",P385)),ISNUMBER(SEARCH("township",P385))),"Land &amp; rehabilitation",IF(OR(ISNUMBER(SEARCH("forest",P385)),ISNUMBER(SEARCH("environment",P385)),ISNUMBER(SEARCH("ecological",P385)),ISNUMBER(SEARCH("biodiversity",P385)),ISNUMBER(SEARCH("green cover",P385))),"Environment",IF(OR(ISNUMBER(SEARCH("irrigation",P385)),ISNUMBER(SEARCH("water",P385)),ISNUMBER(SEARCH("crop",P385)),ISNUMBER(SEARCH("farmer",P385)),ISNUMBER(SEARCH("agriculture",P385))),"Agriculture &amp; water",IF(OR(ISNUMBER(SEARCH("health",P385)),ISNUMBER(SEARCH("hospital",P385)),ISNUMBER(SEARCH("medicine",P385))),"Public health",IF(OR(ISNUMBER(SEARCH("employee",P385)),ISNUMBER(SEARCH("labour",P385)),ISNUMBER(SEARCH("worker",P385)),ISNUMBER(SEARCH("salary",P385))),"Labour &amp; employment",IF(OR(ISNUMBER(SEARCH("rti",P385)),ISNUMBER(SEARCH("transparency",P385)),ISNUMBER(SEARCH("corruption",P385)),ISNUMBER(SEARCH("governance",P385))),"Governance &amp; transparency",IF(OR(ISNUMBER(SEARCH("police",P385)),ISNUMBER(SEARCH("detention",P385)),ISNUMBER(SEARCH("civil rights",P385)),ISNUMBER(SEARCH("justice",P385))),"Civil rights &amp; justice",IF(OR(ISNUMBER(SEARCH("road",P385)),ISNUMBER(SEARCH("utility",P385)),ISNUMBER(SEARCH("infrastructure",P385)),ISNUMBER(SEARCH("public service",P385))),"Infrastructure &amp; public services","Other"))))))))))))</x:f>
      </x:c>
      <x:c r="J385" s="16" t="str">
        <x:f>IF(A385="","",IF(OR(ISNUMBER(SEARCH("fatal",Q385)),ISNUMBER(SEARCH("death",Q385)),ISNUMBER(SEARCH("riot",Q385)),ISNUMBER(SEARCH("curfew",Q385)),ISNUMBER(SEARCH("internet shutdown",Q385))),5,MIN(4,1+IF(H385&gt;=7,1,0)+IF(OR(ISNUMBER(SEARCH("hunger strike",Q385)),ISNUMBER(SEARCH("blockade",Q385)),ISNUMBER(SEARCH("strike",Q385)),ISNUMBER(SEARCH("jal satyagraha",Q385)),ISNUMBER(SEARCH("survey",Q385)),ISNUMBER(SEARCH("human chain",Q385)),ISNUMBER(SEARCH("march",Q385))),1,0)+IF(OR(ISNUMBER(SEARCH("fir",Q385)),ISNUMBER(SEARCH("confrontation",Q385)),ISNUMBER(SEARCH("violence",Q385)),ISNUMBER(SEARCH("detention",Q385)),ISNUMBER(SEARCH("arrest",Q385)),ISNUMBER(SEARCH("demolition",Q385)),ISNUMBER(SEARCH("injury",Q385))),1,0)+IF(OR(D385="Ongoing",D385="Unresolved"),1,0))))</x:f>
      </x:c>
      <x:c r="K385" s="16" t="str">
        <x:f>IF(J385="","",IF(J385=1,"Limited",IF(J385=2,"Local",IF(J385=3,"Significant",IF(J385=4,"High","Critical")))))</x:f>
      </x:c>
      <x:c r="L385" s="16" t="str">
        <x:f>IF(A385="","",Events!U384)</x:f>
      </x:c>
      <x:c r="M385" s="16" t="str">
        <x:f>IF(A385="","",Events!V384)</x:f>
      </x:c>
      <x:c r="N385" s="16" t="str">
        <x:f>IF(A385="","",Events!Q384)</x:f>
      </x:c>
      <x:c r="O385" s="16" t="str">
        <x:f>IF(A385="","",Events!R384)</x:f>
      </x:c>
      <x:c r="P385" s="16" t="str">
        <x:f>IF(A385="","",LOWER(Events!B384&amp;" "&amp;Events!D384&amp;" "&amp;Events!K384))</x:f>
      </x:c>
      <x:c r="Q385" s="16" t="str">
        <x:f>IF(A385="","",LOWER(Events!C384&amp;" "&amp;Events!K384&amp;" "&amp;Events!T384))</x:f>
      </x:c>
      <x:c r="R385" s="16" t="str">
        <x:f>IF(A385="","",IF(ISNUMBER(SEARCH("Occurrence verified",E385)),"Occurrence verified",E385))</x:f>
      </x:c>
      <x:c r="S385" s="79" t="str">
        <x:f>IF(A385="","",Events!X384)</x:f>
      </x:c>
      <x:c r="Z385" s="79" t="str">
        <x:f>IF(A385="","",Events!AD384)</x:f>
      </x:c>
      <x:c r="AA385" s="79" t="str">
        <x:f>IF(A385="","",Events!AE384)</x:f>
      </x:c>
    </x:row>
    <x:row r="386">
      <x:c r="A386" s="16" t="str">
        <x:f>IF(Events!A385="","",Events!A385)</x:f>
      </x:c>
      <x:c r="B386" s="16" t="str">
        <x:f>IF(A386="","",Events!B385)</x:f>
      </x:c>
      <x:c r="C386" s="16" t="str">
        <x:f>IF(A386="","",Events!E385)</x:f>
      </x:c>
      <x:c r="D386" s="16" t="str">
        <x:f>IF(A386="","",Events!J385)</x:f>
      </x:c>
      <x:c r="E386" s="16" t="str">
        <x:f>IF(A386="","",Events!N385)</x:f>
      </x:c>
      <x:c r="F386" s="109" t="str">
        <x:f>IF(OR(A386="",Events!H385=""),"",Events!H385)</x:f>
      </x:c>
      <x:c r="G386" s="109" t="str">
        <x:f>IF(A386="","",IF(Events!I385&lt;&gt;"",Events!I385,IF(Events!S385&lt;&gt;"",Events!S385,"")))</x:f>
      </x:c>
      <x:c r="H386" s="16" t="str">
        <x:f>IF(A386="","",Events!W385)</x:f>
      </x:c>
      <x:c r="I386" s="16" t="str">
        <x:f>IF(A386="","",IF(Events!Y385&lt;&gt;"",Events!Y385,IF(OR(ISNUMBER(SEARCH("education",P386)),ISNUMBER(SEARCH("exam",P386)),ISNUMBER(SEARCH("school",P386))),"Education",IF(OR(ISNUMBER(SEARCH("trade agreement",P386)),ISNUMBER(SEARCH("economic",P386)),ISNUMBER(SEARCH("import",P386))),"Trade &amp; economic policy",IF(OR(ISNUMBER(SEARCH("land acquisition",P386)),ISNUMBER(SEARCH("rehabilitation",P386)),ISNUMBER(SEARCH("displacement",P386)),ISNUMBER(SEARCH("township",P386))),"Land &amp; rehabilitation",IF(OR(ISNUMBER(SEARCH("forest",P386)),ISNUMBER(SEARCH("environment",P386)),ISNUMBER(SEARCH("ecological",P386)),ISNUMBER(SEARCH("biodiversity",P386)),ISNUMBER(SEARCH("green cover",P386))),"Environment",IF(OR(ISNUMBER(SEARCH("irrigation",P386)),ISNUMBER(SEARCH("water",P386)),ISNUMBER(SEARCH("crop",P386)),ISNUMBER(SEARCH("farmer",P386)),ISNUMBER(SEARCH("agriculture",P386))),"Agriculture &amp; water",IF(OR(ISNUMBER(SEARCH("health",P386)),ISNUMBER(SEARCH("hospital",P386)),ISNUMBER(SEARCH("medicine",P386))),"Public health",IF(OR(ISNUMBER(SEARCH("employee",P386)),ISNUMBER(SEARCH("labour",P386)),ISNUMBER(SEARCH("worker",P386)),ISNUMBER(SEARCH("salary",P386))),"Labour &amp; employment",IF(OR(ISNUMBER(SEARCH("rti",P386)),ISNUMBER(SEARCH("transparency",P386)),ISNUMBER(SEARCH("corruption",P386)),ISNUMBER(SEARCH("governance",P386))),"Governance &amp; transparency",IF(OR(ISNUMBER(SEARCH("police",P386)),ISNUMBER(SEARCH("detention",P386)),ISNUMBER(SEARCH("civil rights",P386)),ISNUMBER(SEARCH("justice",P386))),"Civil rights &amp; justice",IF(OR(ISNUMBER(SEARCH("road",P386)),ISNUMBER(SEARCH("utility",P386)),ISNUMBER(SEARCH("infrastructure",P386)),ISNUMBER(SEARCH("public service",P386))),"Infrastructure &amp; public services","Other"))))))))))))</x:f>
      </x:c>
      <x:c r="J386" s="16" t="str">
        <x:f>IF(A386="","",IF(OR(ISNUMBER(SEARCH("fatal",Q386)),ISNUMBER(SEARCH("death",Q386)),ISNUMBER(SEARCH("riot",Q386)),ISNUMBER(SEARCH("curfew",Q386)),ISNUMBER(SEARCH("internet shutdown",Q386))),5,MIN(4,1+IF(H386&gt;=7,1,0)+IF(OR(ISNUMBER(SEARCH("hunger strike",Q386)),ISNUMBER(SEARCH("blockade",Q386)),ISNUMBER(SEARCH("strike",Q386)),ISNUMBER(SEARCH("jal satyagraha",Q386)),ISNUMBER(SEARCH("survey",Q386)),ISNUMBER(SEARCH("human chain",Q386)),ISNUMBER(SEARCH("march",Q386))),1,0)+IF(OR(ISNUMBER(SEARCH("fir",Q386)),ISNUMBER(SEARCH("confrontation",Q386)),ISNUMBER(SEARCH("violence",Q386)),ISNUMBER(SEARCH("detention",Q386)),ISNUMBER(SEARCH("arrest",Q386)),ISNUMBER(SEARCH("demolition",Q386)),ISNUMBER(SEARCH("injury",Q386))),1,0)+IF(OR(D386="Ongoing",D386="Unresolved"),1,0))))</x:f>
      </x:c>
      <x:c r="K386" s="16" t="str">
        <x:f>IF(J386="","",IF(J386=1,"Limited",IF(J386=2,"Local",IF(J386=3,"Significant",IF(J386=4,"High","Critical")))))</x:f>
      </x:c>
      <x:c r="L386" s="16" t="str">
        <x:f>IF(A386="","",Events!U385)</x:f>
      </x:c>
      <x:c r="M386" s="16" t="str">
        <x:f>IF(A386="","",Events!V385)</x:f>
      </x:c>
      <x:c r="N386" s="16" t="str">
        <x:f>IF(A386="","",Events!Q385)</x:f>
      </x:c>
      <x:c r="O386" s="16" t="str">
        <x:f>IF(A386="","",Events!R385)</x:f>
      </x:c>
      <x:c r="P386" s="16" t="str">
        <x:f>IF(A386="","",LOWER(Events!B385&amp;" "&amp;Events!D385&amp;" "&amp;Events!K385))</x:f>
      </x:c>
      <x:c r="Q386" s="16" t="str">
        <x:f>IF(A386="","",LOWER(Events!C385&amp;" "&amp;Events!K385&amp;" "&amp;Events!T385))</x:f>
      </x:c>
      <x:c r="R386" s="16" t="str">
        <x:f>IF(A386="","",IF(ISNUMBER(SEARCH("Occurrence verified",E386)),"Occurrence verified",E386))</x:f>
      </x:c>
      <x:c r="S386" s="79" t="str">
        <x:f>IF(A386="","",Events!X385)</x:f>
      </x:c>
      <x:c r="Z386" s="79" t="str">
        <x:f>IF(A386="","",Events!AD385)</x:f>
      </x:c>
      <x:c r="AA386" s="79" t="str">
        <x:f>IF(A386="","",Events!AE385)</x:f>
      </x:c>
    </x:row>
    <x:row r="387">
      <x:c r="A387" s="16" t="str">
        <x:f>IF(Events!A386="","",Events!A386)</x:f>
      </x:c>
      <x:c r="B387" s="16" t="str">
        <x:f>IF(A387="","",Events!B386)</x:f>
      </x:c>
      <x:c r="C387" s="16" t="str">
        <x:f>IF(A387="","",Events!E386)</x:f>
      </x:c>
      <x:c r="D387" s="16" t="str">
        <x:f>IF(A387="","",Events!J386)</x:f>
      </x:c>
      <x:c r="E387" s="16" t="str">
        <x:f>IF(A387="","",Events!N386)</x:f>
      </x:c>
      <x:c r="F387" s="109" t="str">
        <x:f>IF(OR(A387="",Events!H386=""),"",Events!H386)</x:f>
      </x:c>
      <x:c r="G387" s="109" t="str">
        <x:f>IF(A387="","",IF(Events!I386&lt;&gt;"",Events!I386,IF(Events!S386&lt;&gt;"",Events!S386,"")))</x:f>
      </x:c>
      <x:c r="H387" s="16" t="str">
        <x:f>IF(A387="","",Events!W386)</x:f>
      </x:c>
      <x:c r="I387" s="16" t="str">
        <x:f>IF(A387="","",IF(Events!Y386&lt;&gt;"",Events!Y386,IF(OR(ISNUMBER(SEARCH("education",P387)),ISNUMBER(SEARCH("exam",P387)),ISNUMBER(SEARCH("school",P387))),"Education",IF(OR(ISNUMBER(SEARCH("trade agreement",P387)),ISNUMBER(SEARCH("economic",P387)),ISNUMBER(SEARCH("import",P387))),"Trade &amp; economic policy",IF(OR(ISNUMBER(SEARCH("land acquisition",P387)),ISNUMBER(SEARCH("rehabilitation",P387)),ISNUMBER(SEARCH("displacement",P387)),ISNUMBER(SEARCH("township",P387))),"Land &amp; rehabilitation",IF(OR(ISNUMBER(SEARCH("forest",P387)),ISNUMBER(SEARCH("environment",P387)),ISNUMBER(SEARCH("ecological",P387)),ISNUMBER(SEARCH("biodiversity",P387)),ISNUMBER(SEARCH("green cover",P387))),"Environment",IF(OR(ISNUMBER(SEARCH("irrigation",P387)),ISNUMBER(SEARCH("water",P387)),ISNUMBER(SEARCH("crop",P387)),ISNUMBER(SEARCH("farmer",P387)),ISNUMBER(SEARCH("agriculture",P387))),"Agriculture &amp; water",IF(OR(ISNUMBER(SEARCH("health",P387)),ISNUMBER(SEARCH("hospital",P387)),ISNUMBER(SEARCH("medicine",P387))),"Public health",IF(OR(ISNUMBER(SEARCH("employee",P387)),ISNUMBER(SEARCH("labour",P387)),ISNUMBER(SEARCH("worker",P387)),ISNUMBER(SEARCH("salary",P387))),"Labour &amp; employment",IF(OR(ISNUMBER(SEARCH("rti",P387)),ISNUMBER(SEARCH("transparency",P387)),ISNUMBER(SEARCH("corruption",P387)),ISNUMBER(SEARCH("governance",P387))),"Governance &amp; transparency",IF(OR(ISNUMBER(SEARCH("police",P387)),ISNUMBER(SEARCH("detention",P387)),ISNUMBER(SEARCH("civil rights",P387)),ISNUMBER(SEARCH("justice",P387))),"Civil rights &amp; justice",IF(OR(ISNUMBER(SEARCH("road",P387)),ISNUMBER(SEARCH("utility",P387)),ISNUMBER(SEARCH("infrastructure",P387)),ISNUMBER(SEARCH("public service",P387))),"Infrastructure &amp; public services","Other"))))))))))))</x:f>
      </x:c>
      <x:c r="J387" s="16" t="str">
        <x:f>IF(A387="","",IF(OR(ISNUMBER(SEARCH("fatal",Q387)),ISNUMBER(SEARCH("death",Q387)),ISNUMBER(SEARCH("riot",Q387)),ISNUMBER(SEARCH("curfew",Q387)),ISNUMBER(SEARCH("internet shutdown",Q387))),5,MIN(4,1+IF(H387&gt;=7,1,0)+IF(OR(ISNUMBER(SEARCH("hunger strike",Q387)),ISNUMBER(SEARCH("blockade",Q387)),ISNUMBER(SEARCH("strike",Q387)),ISNUMBER(SEARCH("jal satyagraha",Q387)),ISNUMBER(SEARCH("survey",Q387)),ISNUMBER(SEARCH("human chain",Q387)),ISNUMBER(SEARCH("march",Q387))),1,0)+IF(OR(ISNUMBER(SEARCH("fir",Q387)),ISNUMBER(SEARCH("confrontation",Q387)),ISNUMBER(SEARCH("violence",Q387)),ISNUMBER(SEARCH("detention",Q387)),ISNUMBER(SEARCH("arrest",Q387)),ISNUMBER(SEARCH("demolition",Q387)),ISNUMBER(SEARCH("injury",Q387))),1,0)+IF(OR(D387="Ongoing",D387="Unresolved"),1,0))))</x:f>
      </x:c>
      <x:c r="K387" s="16" t="str">
        <x:f>IF(J387="","",IF(J387=1,"Limited",IF(J387=2,"Local",IF(J387=3,"Significant",IF(J387=4,"High","Critical")))))</x:f>
      </x:c>
      <x:c r="L387" s="16" t="str">
        <x:f>IF(A387="","",Events!U386)</x:f>
      </x:c>
      <x:c r="M387" s="16" t="str">
        <x:f>IF(A387="","",Events!V386)</x:f>
      </x:c>
      <x:c r="N387" s="16" t="str">
        <x:f>IF(A387="","",Events!Q386)</x:f>
      </x:c>
      <x:c r="O387" s="16" t="str">
        <x:f>IF(A387="","",Events!R386)</x:f>
      </x:c>
      <x:c r="P387" s="16" t="str">
        <x:f>IF(A387="","",LOWER(Events!B386&amp;" "&amp;Events!D386&amp;" "&amp;Events!K386))</x:f>
      </x:c>
      <x:c r="Q387" s="16" t="str">
        <x:f>IF(A387="","",LOWER(Events!C386&amp;" "&amp;Events!K386&amp;" "&amp;Events!T386))</x:f>
      </x:c>
      <x:c r="R387" s="16" t="str">
        <x:f>IF(A387="","",IF(ISNUMBER(SEARCH("Occurrence verified",E387)),"Occurrence verified",E387))</x:f>
      </x:c>
      <x:c r="S387" s="79" t="str">
        <x:f>IF(A387="","",Events!X386)</x:f>
      </x:c>
      <x:c r="Z387" s="79" t="str">
        <x:f>IF(A387="","",Events!AD386)</x:f>
      </x:c>
      <x:c r="AA387" s="79" t="str">
        <x:f>IF(A387="","",Events!AE386)</x:f>
      </x:c>
    </x:row>
    <x:row r="388">
      <x:c r="A388" s="16" t="str">
        <x:f>IF(Events!A387="","",Events!A387)</x:f>
      </x:c>
      <x:c r="B388" s="16" t="str">
        <x:f>IF(A388="","",Events!B387)</x:f>
      </x:c>
      <x:c r="C388" s="16" t="str">
        <x:f>IF(A388="","",Events!E387)</x:f>
      </x:c>
      <x:c r="D388" s="16" t="str">
        <x:f>IF(A388="","",Events!J387)</x:f>
      </x:c>
      <x:c r="E388" s="16" t="str">
        <x:f>IF(A388="","",Events!N387)</x:f>
      </x:c>
      <x:c r="F388" s="109" t="str">
        <x:f>IF(OR(A388="",Events!H387=""),"",Events!H387)</x:f>
      </x:c>
      <x:c r="G388" s="109" t="str">
        <x:f>IF(A388="","",IF(Events!I387&lt;&gt;"",Events!I387,IF(Events!S387&lt;&gt;"",Events!S387,"")))</x:f>
      </x:c>
      <x:c r="H388" s="16" t="str">
        <x:f>IF(A388="","",Events!W387)</x:f>
      </x:c>
      <x:c r="I388" s="16" t="str">
        <x:f>IF(A388="","",IF(Events!Y387&lt;&gt;"",Events!Y387,IF(OR(ISNUMBER(SEARCH("education",P388)),ISNUMBER(SEARCH("exam",P388)),ISNUMBER(SEARCH("school",P388))),"Education",IF(OR(ISNUMBER(SEARCH("trade agreement",P388)),ISNUMBER(SEARCH("economic",P388)),ISNUMBER(SEARCH("import",P388))),"Trade &amp; economic policy",IF(OR(ISNUMBER(SEARCH("land acquisition",P388)),ISNUMBER(SEARCH("rehabilitation",P388)),ISNUMBER(SEARCH("displacement",P388)),ISNUMBER(SEARCH("township",P388))),"Land &amp; rehabilitation",IF(OR(ISNUMBER(SEARCH("forest",P388)),ISNUMBER(SEARCH("environment",P388)),ISNUMBER(SEARCH("ecological",P388)),ISNUMBER(SEARCH("biodiversity",P388)),ISNUMBER(SEARCH("green cover",P388))),"Environment",IF(OR(ISNUMBER(SEARCH("irrigation",P388)),ISNUMBER(SEARCH("water",P388)),ISNUMBER(SEARCH("crop",P388)),ISNUMBER(SEARCH("farmer",P388)),ISNUMBER(SEARCH("agriculture",P388))),"Agriculture &amp; water",IF(OR(ISNUMBER(SEARCH("health",P388)),ISNUMBER(SEARCH("hospital",P388)),ISNUMBER(SEARCH("medicine",P388))),"Public health",IF(OR(ISNUMBER(SEARCH("employee",P388)),ISNUMBER(SEARCH("labour",P388)),ISNUMBER(SEARCH("worker",P388)),ISNUMBER(SEARCH("salary",P388))),"Labour &amp; employment",IF(OR(ISNUMBER(SEARCH("rti",P388)),ISNUMBER(SEARCH("transparency",P388)),ISNUMBER(SEARCH("corruption",P388)),ISNUMBER(SEARCH("governance",P388))),"Governance &amp; transparency",IF(OR(ISNUMBER(SEARCH("police",P388)),ISNUMBER(SEARCH("detention",P388)),ISNUMBER(SEARCH("civil rights",P388)),ISNUMBER(SEARCH("justice",P388))),"Civil rights &amp; justice",IF(OR(ISNUMBER(SEARCH("road",P388)),ISNUMBER(SEARCH("utility",P388)),ISNUMBER(SEARCH("infrastructure",P388)),ISNUMBER(SEARCH("public service",P388))),"Infrastructure &amp; public services","Other"))))))))))))</x:f>
      </x:c>
      <x:c r="J388" s="16" t="str">
        <x:f>IF(A388="","",IF(OR(ISNUMBER(SEARCH("fatal",Q388)),ISNUMBER(SEARCH("death",Q388)),ISNUMBER(SEARCH("riot",Q388)),ISNUMBER(SEARCH("curfew",Q388)),ISNUMBER(SEARCH("internet shutdown",Q388))),5,MIN(4,1+IF(H388&gt;=7,1,0)+IF(OR(ISNUMBER(SEARCH("hunger strike",Q388)),ISNUMBER(SEARCH("blockade",Q388)),ISNUMBER(SEARCH("strike",Q388)),ISNUMBER(SEARCH("jal satyagraha",Q388)),ISNUMBER(SEARCH("survey",Q388)),ISNUMBER(SEARCH("human chain",Q388)),ISNUMBER(SEARCH("march",Q388))),1,0)+IF(OR(ISNUMBER(SEARCH("fir",Q388)),ISNUMBER(SEARCH("confrontation",Q388)),ISNUMBER(SEARCH("violence",Q388)),ISNUMBER(SEARCH("detention",Q388)),ISNUMBER(SEARCH("arrest",Q388)),ISNUMBER(SEARCH("demolition",Q388)),ISNUMBER(SEARCH("injury",Q388))),1,0)+IF(OR(D388="Ongoing",D388="Unresolved"),1,0))))</x:f>
      </x:c>
      <x:c r="K388" s="16" t="str">
        <x:f>IF(J388="","",IF(J388=1,"Limited",IF(J388=2,"Local",IF(J388=3,"Significant",IF(J388=4,"High","Critical")))))</x:f>
      </x:c>
      <x:c r="L388" s="16" t="str">
        <x:f>IF(A388="","",Events!U387)</x:f>
      </x:c>
      <x:c r="M388" s="16" t="str">
        <x:f>IF(A388="","",Events!V387)</x:f>
      </x:c>
      <x:c r="N388" s="16" t="str">
        <x:f>IF(A388="","",Events!Q387)</x:f>
      </x:c>
      <x:c r="O388" s="16" t="str">
        <x:f>IF(A388="","",Events!R387)</x:f>
      </x:c>
      <x:c r="P388" s="16" t="str">
        <x:f>IF(A388="","",LOWER(Events!B387&amp;" "&amp;Events!D387&amp;" "&amp;Events!K387))</x:f>
      </x:c>
      <x:c r="Q388" s="16" t="str">
        <x:f>IF(A388="","",LOWER(Events!C387&amp;" "&amp;Events!K387&amp;" "&amp;Events!T387))</x:f>
      </x:c>
      <x:c r="R388" s="16" t="str">
        <x:f>IF(A388="","",IF(ISNUMBER(SEARCH("Occurrence verified",E388)),"Occurrence verified",E388))</x:f>
      </x:c>
      <x:c r="S388" s="79" t="str">
        <x:f>IF(A388="","",Events!X387)</x:f>
      </x:c>
      <x:c r="Z388" s="79" t="str">
        <x:f>IF(A388="","",Events!AD387)</x:f>
      </x:c>
      <x:c r="AA388" s="79" t="str">
        <x:f>IF(A388="","",Events!AE387)</x:f>
      </x:c>
    </x:row>
    <x:row r="389">
      <x:c r="A389" s="16" t="str">
        <x:f>IF(Events!A388="","",Events!A388)</x:f>
      </x:c>
      <x:c r="B389" s="16" t="str">
        <x:f>IF(A389="","",Events!B388)</x:f>
      </x:c>
      <x:c r="C389" s="16" t="str">
        <x:f>IF(A389="","",Events!E388)</x:f>
      </x:c>
      <x:c r="D389" s="16" t="str">
        <x:f>IF(A389="","",Events!J388)</x:f>
      </x:c>
      <x:c r="E389" s="16" t="str">
        <x:f>IF(A389="","",Events!N388)</x:f>
      </x:c>
      <x:c r="F389" s="109" t="str">
        <x:f>IF(OR(A389="",Events!H388=""),"",Events!H388)</x:f>
      </x:c>
      <x:c r="G389" s="109" t="str">
        <x:f>IF(A389="","",IF(Events!I388&lt;&gt;"",Events!I388,IF(Events!S388&lt;&gt;"",Events!S388,"")))</x:f>
      </x:c>
      <x:c r="H389" s="16" t="str">
        <x:f>IF(A389="","",Events!W388)</x:f>
      </x:c>
      <x:c r="I389" s="16" t="str">
        <x:f>IF(A389="","",IF(Events!Y388&lt;&gt;"",Events!Y388,IF(OR(ISNUMBER(SEARCH("education",P389)),ISNUMBER(SEARCH("exam",P389)),ISNUMBER(SEARCH("school",P389))),"Education",IF(OR(ISNUMBER(SEARCH("trade agreement",P389)),ISNUMBER(SEARCH("economic",P389)),ISNUMBER(SEARCH("import",P389))),"Trade &amp; economic policy",IF(OR(ISNUMBER(SEARCH("land acquisition",P389)),ISNUMBER(SEARCH("rehabilitation",P389)),ISNUMBER(SEARCH("displacement",P389)),ISNUMBER(SEARCH("township",P389))),"Land &amp; rehabilitation",IF(OR(ISNUMBER(SEARCH("forest",P389)),ISNUMBER(SEARCH("environment",P389)),ISNUMBER(SEARCH("ecological",P389)),ISNUMBER(SEARCH("biodiversity",P389)),ISNUMBER(SEARCH("green cover",P389))),"Environment",IF(OR(ISNUMBER(SEARCH("irrigation",P389)),ISNUMBER(SEARCH("water",P389)),ISNUMBER(SEARCH("crop",P389)),ISNUMBER(SEARCH("farmer",P389)),ISNUMBER(SEARCH("agriculture",P389))),"Agriculture &amp; water",IF(OR(ISNUMBER(SEARCH("health",P389)),ISNUMBER(SEARCH("hospital",P389)),ISNUMBER(SEARCH("medicine",P389))),"Public health",IF(OR(ISNUMBER(SEARCH("employee",P389)),ISNUMBER(SEARCH("labour",P389)),ISNUMBER(SEARCH("worker",P389)),ISNUMBER(SEARCH("salary",P389))),"Labour &amp; employment",IF(OR(ISNUMBER(SEARCH("rti",P389)),ISNUMBER(SEARCH("transparency",P389)),ISNUMBER(SEARCH("corruption",P389)),ISNUMBER(SEARCH("governance",P389))),"Governance &amp; transparency",IF(OR(ISNUMBER(SEARCH("police",P389)),ISNUMBER(SEARCH("detention",P389)),ISNUMBER(SEARCH("civil rights",P389)),ISNUMBER(SEARCH("justice",P389))),"Civil rights &amp; justice",IF(OR(ISNUMBER(SEARCH("road",P389)),ISNUMBER(SEARCH("utility",P389)),ISNUMBER(SEARCH("infrastructure",P389)),ISNUMBER(SEARCH("public service",P389))),"Infrastructure &amp; public services","Other"))))))))))))</x:f>
      </x:c>
      <x:c r="J389" s="16" t="str">
        <x:f>IF(A389="","",IF(OR(ISNUMBER(SEARCH("fatal",Q389)),ISNUMBER(SEARCH("death",Q389)),ISNUMBER(SEARCH("riot",Q389)),ISNUMBER(SEARCH("curfew",Q389)),ISNUMBER(SEARCH("internet shutdown",Q389))),5,MIN(4,1+IF(H389&gt;=7,1,0)+IF(OR(ISNUMBER(SEARCH("hunger strike",Q389)),ISNUMBER(SEARCH("blockade",Q389)),ISNUMBER(SEARCH("strike",Q389)),ISNUMBER(SEARCH("jal satyagraha",Q389)),ISNUMBER(SEARCH("survey",Q389)),ISNUMBER(SEARCH("human chain",Q389)),ISNUMBER(SEARCH("march",Q389))),1,0)+IF(OR(ISNUMBER(SEARCH("fir",Q389)),ISNUMBER(SEARCH("confrontation",Q389)),ISNUMBER(SEARCH("violence",Q389)),ISNUMBER(SEARCH("detention",Q389)),ISNUMBER(SEARCH("arrest",Q389)),ISNUMBER(SEARCH("demolition",Q389)),ISNUMBER(SEARCH("injury",Q389))),1,0)+IF(OR(D389="Ongoing",D389="Unresolved"),1,0))))</x:f>
      </x:c>
      <x:c r="K389" s="16" t="str">
        <x:f>IF(J389="","",IF(J389=1,"Limited",IF(J389=2,"Local",IF(J389=3,"Significant",IF(J389=4,"High","Critical")))))</x:f>
      </x:c>
      <x:c r="L389" s="16" t="str">
        <x:f>IF(A389="","",Events!U388)</x:f>
      </x:c>
      <x:c r="M389" s="16" t="str">
        <x:f>IF(A389="","",Events!V388)</x:f>
      </x:c>
      <x:c r="N389" s="16" t="str">
        <x:f>IF(A389="","",Events!Q388)</x:f>
      </x:c>
      <x:c r="O389" s="16" t="str">
        <x:f>IF(A389="","",Events!R388)</x:f>
      </x:c>
      <x:c r="P389" s="16" t="str">
        <x:f>IF(A389="","",LOWER(Events!B388&amp;" "&amp;Events!D388&amp;" "&amp;Events!K388))</x:f>
      </x:c>
      <x:c r="Q389" s="16" t="str">
        <x:f>IF(A389="","",LOWER(Events!C388&amp;" "&amp;Events!K388&amp;" "&amp;Events!T388))</x:f>
      </x:c>
      <x:c r="R389" s="16" t="str">
        <x:f>IF(A389="","",IF(ISNUMBER(SEARCH("Occurrence verified",E389)),"Occurrence verified",E389))</x:f>
      </x:c>
      <x:c r="S389" s="79" t="str">
        <x:f>IF(A389="","",Events!X388)</x:f>
      </x:c>
      <x:c r="Z389" s="79" t="str">
        <x:f>IF(A389="","",Events!AD388)</x:f>
      </x:c>
      <x:c r="AA389" s="79" t="str">
        <x:f>IF(A389="","",Events!AE388)</x:f>
      </x:c>
    </x:row>
    <x:row r="390">
      <x:c r="A390" s="16" t="str">
        <x:f>IF(Events!A389="","",Events!A389)</x:f>
      </x:c>
      <x:c r="B390" s="16" t="str">
        <x:f>IF(A390="","",Events!B389)</x:f>
      </x:c>
      <x:c r="C390" s="16" t="str">
        <x:f>IF(A390="","",Events!E389)</x:f>
      </x:c>
      <x:c r="D390" s="16" t="str">
        <x:f>IF(A390="","",Events!J389)</x:f>
      </x:c>
      <x:c r="E390" s="16" t="str">
        <x:f>IF(A390="","",Events!N389)</x:f>
      </x:c>
      <x:c r="F390" s="109" t="str">
        <x:f>IF(OR(A390="",Events!H389=""),"",Events!H389)</x:f>
      </x:c>
      <x:c r="G390" s="109" t="str">
        <x:f>IF(A390="","",IF(Events!I389&lt;&gt;"",Events!I389,IF(Events!S389&lt;&gt;"",Events!S389,"")))</x:f>
      </x:c>
      <x:c r="H390" s="16" t="str">
        <x:f>IF(A390="","",Events!W389)</x:f>
      </x:c>
      <x:c r="I390" s="16" t="str">
        <x:f>IF(A390="","",IF(Events!Y389&lt;&gt;"",Events!Y389,IF(OR(ISNUMBER(SEARCH("education",P390)),ISNUMBER(SEARCH("exam",P390)),ISNUMBER(SEARCH("school",P390))),"Education",IF(OR(ISNUMBER(SEARCH("trade agreement",P390)),ISNUMBER(SEARCH("economic",P390)),ISNUMBER(SEARCH("import",P390))),"Trade &amp; economic policy",IF(OR(ISNUMBER(SEARCH("land acquisition",P390)),ISNUMBER(SEARCH("rehabilitation",P390)),ISNUMBER(SEARCH("displacement",P390)),ISNUMBER(SEARCH("township",P390))),"Land &amp; rehabilitation",IF(OR(ISNUMBER(SEARCH("forest",P390)),ISNUMBER(SEARCH("environment",P390)),ISNUMBER(SEARCH("ecological",P390)),ISNUMBER(SEARCH("biodiversity",P390)),ISNUMBER(SEARCH("green cover",P390))),"Environment",IF(OR(ISNUMBER(SEARCH("irrigation",P390)),ISNUMBER(SEARCH("water",P390)),ISNUMBER(SEARCH("crop",P390)),ISNUMBER(SEARCH("farmer",P390)),ISNUMBER(SEARCH("agriculture",P390))),"Agriculture &amp; water",IF(OR(ISNUMBER(SEARCH("health",P390)),ISNUMBER(SEARCH("hospital",P390)),ISNUMBER(SEARCH("medicine",P390))),"Public health",IF(OR(ISNUMBER(SEARCH("employee",P390)),ISNUMBER(SEARCH("labour",P390)),ISNUMBER(SEARCH("worker",P390)),ISNUMBER(SEARCH("salary",P390))),"Labour &amp; employment",IF(OR(ISNUMBER(SEARCH("rti",P390)),ISNUMBER(SEARCH("transparency",P390)),ISNUMBER(SEARCH("corruption",P390)),ISNUMBER(SEARCH("governance",P390))),"Governance &amp; transparency",IF(OR(ISNUMBER(SEARCH("police",P390)),ISNUMBER(SEARCH("detention",P390)),ISNUMBER(SEARCH("civil rights",P390)),ISNUMBER(SEARCH("justice",P390))),"Civil rights &amp; justice",IF(OR(ISNUMBER(SEARCH("road",P390)),ISNUMBER(SEARCH("utility",P390)),ISNUMBER(SEARCH("infrastructure",P390)),ISNUMBER(SEARCH("public service",P390))),"Infrastructure &amp; public services","Other"))))))))))))</x:f>
      </x:c>
      <x:c r="J390" s="16" t="str">
        <x:f>IF(A390="","",IF(OR(ISNUMBER(SEARCH("fatal",Q390)),ISNUMBER(SEARCH("death",Q390)),ISNUMBER(SEARCH("riot",Q390)),ISNUMBER(SEARCH("curfew",Q390)),ISNUMBER(SEARCH("internet shutdown",Q390))),5,MIN(4,1+IF(H390&gt;=7,1,0)+IF(OR(ISNUMBER(SEARCH("hunger strike",Q390)),ISNUMBER(SEARCH("blockade",Q390)),ISNUMBER(SEARCH("strike",Q390)),ISNUMBER(SEARCH("jal satyagraha",Q390)),ISNUMBER(SEARCH("survey",Q390)),ISNUMBER(SEARCH("human chain",Q390)),ISNUMBER(SEARCH("march",Q390))),1,0)+IF(OR(ISNUMBER(SEARCH("fir",Q390)),ISNUMBER(SEARCH("confrontation",Q390)),ISNUMBER(SEARCH("violence",Q390)),ISNUMBER(SEARCH("detention",Q390)),ISNUMBER(SEARCH("arrest",Q390)),ISNUMBER(SEARCH("demolition",Q390)),ISNUMBER(SEARCH("injury",Q390))),1,0)+IF(OR(D390="Ongoing",D390="Unresolved"),1,0))))</x:f>
      </x:c>
      <x:c r="K390" s="16" t="str">
        <x:f>IF(J390="","",IF(J390=1,"Limited",IF(J390=2,"Local",IF(J390=3,"Significant",IF(J390=4,"High","Critical")))))</x:f>
      </x:c>
      <x:c r="L390" s="16" t="str">
        <x:f>IF(A390="","",Events!U389)</x:f>
      </x:c>
      <x:c r="M390" s="16" t="str">
        <x:f>IF(A390="","",Events!V389)</x:f>
      </x:c>
      <x:c r="N390" s="16" t="str">
        <x:f>IF(A390="","",Events!Q389)</x:f>
      </x:c>
      <x:c r="O390" s="16" t="str">
        <x:f>IF(A390="","",Events!R389)</x:f>
      </x:c>
      <x:c r="P390" s="16" t="str">
        <x:f>IF(A390="","",LOWER(Events!B389&amp;" "&amp;Events!D389&amp;" "&amp;Events!K389))</x:f>
      </x:c>
      <x:c r="Q390" s="16" t="str">
        <x:f>IF(A390="","",LOWER(Events!C389&amp;" "&amp;Events!K389&amp;" "&amp;Events!T389))</x:f>
      </x:c>
      <x:c r="R390" s="16" t="str">
        <x:f>IF(A390="","",IF(ISNUMBER(SEARCH("Occurrence verified",E390)),"Occurrence verified",E390))</x:f>
      </x:c>
      <x:c r="S390" s="79" t="str">
        <x:f>IF(A390="","",Events!X389)</x:f>
      </x:c>
      <x:c r="Z390" s="79" t="str">
        <x:f>IF(A390="","",Events!AD389)</x:f>
      </x:c>
      <x:c r="AA390" s="79" t="str">
        <x:f>IF(A390="","",Events!AE389)</x:f>
      </x:c>
    </x:row>
    <x:row r="391">
      <x:c r="A391" s="16" t="str">
        <x:f>IF(Events!A390="","",Events!A390)</x:f>
      </x:c>
      <x:c r="B391" s="16" t="str">
        <x:f>IF(A391="","",Events!B390)</x:f>
      </x:c>
      <x:c r="C391" s="16" t="str">
        <x:f>IF(A391="","",Events!E390)</x:f>
      </x:c>
      <x:c r="D391" s="16" t="str">
        <x:f>IF(A391="","",Events!J390)</x:f>
      </x:c>
      <x:c r="E391" s="16" t="str">
        <x:f>IF(A391="","",Events!N390)</x:f>
      </x:c>
      <x:c r="F391" s="109" t="str">
        <x:f>IF(OR(A391="",Events!H390=""),"",Events!H390)</x:f>
      </x:c>
      <x:c r="G391" s="109" t="str">
        <x:f>IF(A391="","",IF(Events!I390&lt;&gt;"",Events!I390,IF(Events!S390&lt;&gt;"",Events!S390,"")))</x:f>
      </x:c>
      <x:c r="H391" s="16" t="str">
        <x:f>IF(A391="","",Events!W390)</x:f>
      </x:c>
      <x:c r="I391" s="16" t="str">
        <x:f>IF(A391="","",IF(Events!Y390&lt;&gt;"",Events!Y390,IF(OR(ISNUMBER(SEARCH("education",P391)),ISNUMBER(SEARCH("exam",P391)),ISNUMBER(SEARCH("school",P391))),"Education",IF(OR(ISNUMBER(SEARCH("trade agreement",P391)),ISNUMBER(SEARCH("economic",P391)),ISNUMBER(SEARCH("import",P391))),"Trade &amp; economic policy",IF(OR(ISNUMBER(SEARCH("land acquisition",P391)),ISNUMBER(SEARCH("rehabilitation",P391)),ISNUMBER(SEARCH("displacement",P391)),ISNUMBER(SEARCH("township",P391))),"Land &amp; rehabilitation",IF(OR(ISNUMBER(SEARCH("forest",P391)),ISNUMBER(SEARCH("environment",P391)),ISNUMBER(SEARCH("ecological",P391)),ISNUMBER(SEARCH("biodiversity",P391)),ISNUMBER(SEARCH("green cover",P391))),"Environment",IF(OR(ISNUMBER(SEARCH("irrigation",P391)),ISNUMBER(SEARCH("water",P391)),ISNUMBER(SEARCH("crop",P391)),ISNUMBER(SEARCH("farmer",P391)),ISNUMBER(SEARCH("agriculture",P391))),"Agriculture &amp; water",IF(OR(ISNUMBER(SEARCH("health",P391)),ISNUMBER(SEARCH("hospital",P391)),ISNUMBER(SEARCH("medicine",P391))),"Public health",IF(OR(ISNUMBER(SEARCH("employee",P391)),ISNUMBER(SEARCH("labour",P391)),ISNUMBER(SEARCH("worker",P391)),ISNUMBER(SEARCH("salary",P391))),"Labour &amp; employment",IF(OR(ISNUMBER(SEARCH("rti",P391)),ISNUMBER(SEARCH("transparency",P391)),ISNUMBER(SEARCH("corruption",P391)),ISNUMBER(SEARCH("governance",P391))),"Governance &amp; transparency",IF(OR(ISNUMBER(SEARCH("police",P391)),ISNUMBER(SEARCH("detention",P391)),ISNUMBER(SEARCH("civil rights",P391)),ISNUMBER(SEARCH("justice",P391))),"Civil rights &amp; justice",IF(OR(ISNUMBER(SEARCH("road",P391)),ISNUMBER(SEARCH("utility",P391)),ISNUMBER(SEARCH("infrastructure",P391)),ISNUMBER(SEARCH("public service",P391))),"Infrastructure &amp; public services","Other"))))))))))))</x:f>
      </x:c>
      <x:c r="J391" s="16" t="str">
        <x:f>IF(A391="","",IF(OR(ISNUMBER(SEARCH("fatal",Q391)),ISNUMBER(SEARCH("death",Q391)),ISNUMBER(SEARCH("riot",Q391)),ISNUMBER(SEARCH("curfew",Q391)),ISNUMBER(SEARCH("internet shutdown",Q391))),5,MIN(4,1+IF(H391&gt;=7,1,0)+IF(OR(ISNUMBER(SEARCH("hunger strike",Q391)),ISNUMBER(SEARCH("blockade",Q391)),ISNUMBER(SEARCH("strike",Q391)),ISNUMBER(SEARCH("jal satyagraha",Q391)),ISNUMBER(SEARCH("survey",Q391)),ISNUMBER(SEARCH("human chain",Q391)),ISNUMBER(SEARCH("march",Q391))),1,0)+IF(OR(ISNUMBER(SEARCH("fir",Q391)),ISNUMBER(SEARCH("confrontation",Q391)),ISNUMBER(SEARCH("violence",Q391)),ISNUMBER(SEARCH("detention",Q391)),ISNUMBER(SEARCH("arrest",Q391)),ISNUMBER(SEARCH("demolition",Q391)),ISNUMBER(SEARCH("injury",Q391))),1,0)+IF(OR(D391="Ongoing",D391="Unresolved"),1,0))))</x:f>
      </x:c>
      <x:c r="K391" s="16" t="str">
        <x:f>IF(J391="","",IF(J391=1,"Limited",IF(J391=2,"Local",IF(J391=3,"Significant",IF(J391=4,"High","Critical")))))</x:f>
      </x:c>
      <x:c r="L391" s="16" t="str">
        <x:f>IF(A391="","",Events!U390)</x:f>
      </x:c>
      <x:c r="M391" s="16" t="str">
        <x:f>IF(A391="","",Events!V390)</x:f>
      </x:c>
      <x:c r="N391" s="16" t="str">
        <x:f>IF(A391="","",Events!Q390)</x:f>
      </x:c>
      <x:c r="O391" s="16" t="str">
        <x:f>IF(A391="","",Events!R390)</x:f>
      </x:c>
      <x:c r="P391" s="16" t="str">
        <x:f>IF(A391="","",LOWER(Events!B390&amp;" "&amp;Events!D390&amp;" "&amp;Events!K390))</x:f>
      </x:c>
      <x:c r="Q391" s="16" t="str">
        <x:f>IF(A391="","",LOWER(Events!C390&amp;" "&amp;Events!K390&amp;" "&amp;Events!T390))</x:f>
      </x:c>
      <x:c r="R391" s="16" t="str">
        <x:f>IF(A391="","",IF(ISNUMBER(SEARCH("Occurrence verified",E391)),"Occurrence verified",E391))</x:f>
      </x:c>
      <x:c r="S391" s="79" t="str">
        <x:f>IF(A391="","",Events!X390)</x:f>
      </x:c>
      <x:c r="Z391" s="79" t="str">
        <x:f>IF(A391="","",Events!AD390)</x:f>
      </x:c>
      <x:c r="AA391" s="79" t="str">
        <x:f>IF(A391="","",Events!AE390)</x:f>
      </x:c>
    </x:row>
    <x:row r="392">
      <x:c r="A392" s="16" t="str">
        <x:f>IF(Events!A391="","",Events!A391)</x:f>
      </x:c>
      <x:c r="B392" s="16" t="str">
        <x:f>IF(A392="","",Events!B391)</x:f>
      </x:c>
      <x:c r="C392" s="16" t="str">
        <x:f>IF(A392="","",Events!E391)</x:f>
      </x:c>
      <x:c r="D392" s="16" t="str">
        <x:f>IF(A392="","",Events!J391)</x:f>
      </x:c>
      <x:c r="E392" s="16" t="str">
        <x:f>IF(A392="","",Events!N391)</x:f>
      </x:c>
      <x:c r="F392" s="109" t="str">
        <x:f>IF(OR(A392="",Events!H391=""),"",Events!H391)</x:f>
      </x:c>
      <x:c r="G392" s="109" t="str">
        <x:f>IF(A392="","",IF(Events!I391&lt;&gt;"",Events!I391,IF(Events!S391&lt;&gt;"",Events!S391,"")))</x:f>
      </x:c>
      <x:c r="H392" s="16" t="str">
        <x:f>IF(A392="","",Events!W391)</x:f>
      </x:c>
      <x:c r="I392" s="16" t="str">
        <x:f>IF(A392="","",IF(Events!Y391&lt;&gt;"",Events!Y391,IF(OR(ISNUMBER(SEARCH("education",P392)),ISNUMBER(SEARCH("exam",P392)),ISNUMBER(SEARCH("school",P392))),"Education",IF(OR(ISNUMBER(SEARCH("trade agreement",P392)),ISNUMBER(SEARCH("economic",P392)),ISNUMBER(SEARCH("import",P392))),"Trade &amp; economic policy",IF(OR(ISNUMBER(SEARCH("land acquisition",P392)),ISNUMBER(SEARCH("rehabilitation",P392)),ISNUMBER(SEARCH("displacement",P392)),ISNUMBER(SEARCH("township",P392))),"Land &amp; rehabilitation",IF(OR(ISNUMBER(SEARCH("forest",P392)),ISNUMBER(SEARCH("environment",P392)),ISNUMBER(SEARCH("ecological",P392)),ISNUMBER(SEARCH("biodiversity",P392)),ISNUMBER(SEARCH("green cover",P392))),"Environment",IF(OR(ISNUMBER(SEARCH("irrigation",P392)),ISNUMBER(SEARCH("water",P392)),ISNUMBER(SEARCH("crop",P392)),ISNUMBER(SEARCH("farmer",P392)),ISNUMBER(SEARCH("agriculture",P392))),"Agriculture &amp; water",IF(OR(ISNUMBER(SEARCH("health",P392)),ISNUMBER(SEARCH("hospital",P392)),ISNUMBER(SEARCH("medicine",P392))),"Public health",IF(OR(ISNUMBER(SEARCH("employee",P392)),ISNUMBER(SEARCH("labour",P392)),ISNUMBER(SEARCH("worker",P392)),ISNUMBER(SEARCH("salary",P392))),"Labour &amp; employment",IF(OR(ISNUMBER(SEARCH("rti",P392)),ISNUMBER(SEARCH("transparency",P392)),ISNUMBER(SEARCH("corruption",P392)),ISNUMBER(SEARCH("governance",P392))),"Governance &amp; transparency",IF(OR(ISNUMBER(SEARCH("police",P392)),ISNUMBER(SEARCH("detention",P392)),ISNUMBER(SEARCH("civil rights",P392)),ISNUMBER(SEARCH("justice",P392))),"Civil rights &amp; justice",IF(OR(ISNUMBER(SEARCH("road",P392)),ISNUMBER(SEARCH("utility",P392)),ISNUMBER(SEARCH("infrastructure",P392)),ISNUMBER(SEARCH("public service",P392))),"Infrastructure &amp; public services","Other"))))))))))))</x:f>
      </x:c>
      <x:c r="J392" s="16" t="str">
        <x:f>IF(A392="","",IF(OR(ISNUMBER(SEARCH("fatal",Q392)),ISNUMBER(SEARCH("death",Q392)),ISNUMBER(SEARCH("riot",Q392)),ISNUMBER(SEARCH("curfew",Q392)),ISNUMBER(SEARCH("internet shutdown",Q392))),5,MIN(4,1+IF(H392&gt;=7,1,0)+IF(OR(ISNUMBER(SEARCH("hunger strike",Q392)),ISNUMBER(SEARCH("blockade",Q392)),ISNUMBER(SEARCH("strike",Q392)),ISNUMBER(SEARCH("jal satyagraha",Q392)),ISNUMBER(SEARCH("survey",Q392)),ISNUMBER(SEARCH("human chain",Q392)),ISNUMBER(SEARCH("march",Q392))),1,0)+IF(OR(ISNUMBER(SEARCH("fir",Q392)),ISNUMBER(SEARCH("confrontation",Q392)),ISNUMBER(SEARCH("violence",Q392)),ISNUMBER(SEARCH("detention",Q392)),ISNUMBER(SEARCH("arrest",Q392)),ISNUMBER(SEARCH("demolition",Q392)),ISNUMBER(SEARCH("injury",Q392))),1,0)+IF(OR(D392="Ongoing",D392="Unresolved"),1,0))))</x:f>
      </x:c>
      <x:c r="K392" s="16" t="str">
        <x:f>IF(J392="","",IF(J392=1,"Limited",IF(J392=2,"Local",IF(J392=3,"Significant",IF(J392=4,"High","Critical")))))</x:f>
      </x:c>
      <x:c r="L392" s="16" t="str">
        <x:f>IF(A392="","",Events!U391)</x:f>
      </x:c>
      <x:c r="M392" s="16" t="str">
        <x:f>IF(A392="","",Events!V391)</x:f>
      </x:c>
      <x:c r="N392" s="16" t="str">
        <x:f>IF(A392="","",Events!Q391)</x:f>
      </x:c>
      <x:c r="O392" s="16" t="str">
        <x:f>IF(A392="","",Events!R391)</x:f>
      </x:c>
      <x:c r="P392" s="16" t="str">
        <x:f>IF(A392="","",LOWER(Events!B391&amp;" "&amp;Events!D391&amp;" "&amp;Events!K391))</x:f>
      </x:c>
      <x:c r="Q392" s="16" t="str">
        <x:f>IF(A392="","",LOWER(Events!C391&amp;" "&amp;Events!K391&amp;" "&amp;Events!T391))</x:f>
      </x:c>
      <x:c r="R392" s="16" t="str">
        <x:f>IF(A392="","",IF(ISNUMBER(SEARCH("Occurrence verified",E392)),"Occurrence verified",E392))</x:f>
      </x:c>
      <x:c r="S392" s="79" t="str">
        <x:f>IF(A392="","",Events!X391)</x:f>
      </x:c>
      <x:c r="Z392" s="79" t="str">
        <x:f>IF(A392="","",Events!AD391)</x:f>
      </x:c>
      <x:c r="AA392" s="79" t="str">
        <x:f>IF(A392="","",Events!AE391)</x:f>
      </x:c>
    </x:row>
    <x:row r="393">
      <x:c r="A393" s="16" t="str">
        <x:f>IF(Events!A392="","",Events!A392)</x:f>
      </x:c>
      <x:c r="B393" s="16" t="str">
        <x:f>IF(A393="","",Events!B392)</x:f>
      </x:c>
      <x:c r="C393" s="16" t="str">
        <x:f>IF(A393="","",Events!E392)</x:f>
      </x:c>
      <x:c r="D393" s="16" t="str">
        <x:f>IF(A393="","",Events!J392)</x:f>
      </x:c>
      <x:c r="E393" s="16" t="str">
        <x:f>IF(A393="","",Events!N392)</x:f>
      </x:c>
      <x:c r="F393" s="109" t="str">
        <x:f>IF(OR(A393="",Events!H392=""),"",Events!H392)</x:f>
      </x:c>
      <x:c r="G393" s="109" t="str">
        <x:f>IF(A393="","",IF(Events!I392&lt;&gt;"",Events!I392,IF(Events!S392&lt;&gt;"",Events!S392,"")))</x:f>
      </x:c>
      <x:c r="H393" s="16" t="str">
        <x:f>IF(A393="","",Events!W392)</x:f>
      </x:c>
      <x:c r="I393" s="16" t="str">
        <x:f>IF(A393="","",IF(Events!Y392&lt;&gt;"",Events!Y392,IF(OR(ISNUMBER(SEARCH("education",P393)),ISNUMBER(SEARCH("exam",P393)),ISNUMBER(SEARCH("school",P393))),"Education",IF(OR(ISNUMBER(SEARCH("trade agreement",P393)),ISNUMBER(SEARCH("economic",P393)),ISNUMBER(SEARCH("import",P393))),"Trade &amp; economic policy",IF(OR(ISNUMBER(SEARCH("land acquisition",P393)),ISNUMBER(SEARCH("rehabilitation",P393)),ISNUMBER(SEARCH("displacement",P393)),ISNUMBER(SEARCH("township",P393))),"Land &amp; rehabilitation",IF(OR(ISNUMBER(SEARCH("forest",P393)),ISNUMBER(SEARCH("environment",P393)),ISNUMBER(SEARCH("ecological",P393)),ISNUMBER(SEARCH("biodiversity",P393)),ISNUMBER(SEARCH("green cover",P393))),"Environment",IF(OR(ISNUMBER(SEARCH("irrigation",P393)),ISNUMBER(SEARCH("water",P393)),ISNUMBER(SEARCH("crop",P393)),ISNUMBER(SEARCH("farmer",P393)),ISNUMBER(SEARCH("agriculture",P393))),"Agriculture &amp; water",IF(OR(ISNUMBER(SEARCH("health",P393)),ISNUMBER(SEARCH("hospital",P393)),ISNUMBER(SEARCH("medicine",P393))),"Public health",IF(OR(ISNUMBER(SEARCH("employee",P393)),ISNUMBER(SEARCH("labour",P393)),ISNUMBER(SEARCH("worker",P393)),ISNUMBER(SEARCH("salary",P393))),"Labour &amp; employment",IF(OR(ISNUMBER(SEARCH("rti",P393)),ISNUMBER(SEARCH("transparency",P393)),ISNUMBER(SEARCH("corruption",P393)),ISNUMBER(SEARCH("governance",P393))),"Governance &amp; transparency",IF(OR(ISNUMBER(SEARCH("police",P393)),ISNUMBER(SEARCH("detention",P393)),ISNUMBER(SEARCH("civil rights",P393)),ISNUMBER(SEARCH("justice",P393))),"Civil rights &amp; justice",IF(OR(ISNUMBER(SEARCH("road",P393)),ISNUMBER(SEARCH("utility",P393)),ISNUMBER(SEARCH("infrastructure",P393)),ISNUMBER(SEARCH("public service",P393))),"Infrastructure &amp; public services","Other"))))))))))))</x:f>
      </x:c>
      <x:c r="J393" s="16" t="str">
        <x:f>IF(A393="","",IF(OR(ISNUMBER(SEARCH("fatal",Q393)),ISNUMBER(SEARCH("death",Q393)),ISNUMBER(SEARCH("riot",Q393)),ISNUMBER(SEARCH("curfew",Q393)),ISNUMBER(SEARCH("internet shutdown",Q393))),5,MIN(4,1+IF(H393&gt;=7,1,0)+IF(OR(ISNUMBER(SEARCH("hunger strike",Q393)),ISNUMBER(SEARCH("blockade",Q393)),ISNUMBER(SEARCH("strike",Q393)),ISNUMBER(SEARCH("jal satyagraha",Q393)),ISNUMBER(SEARCH("survey",Q393)),ISNUMBER(SEARCH("human chain",Q393)),ISNUMBER(SEARCH("march",Q393))),1,0)+IF(OR(ISNUMBER(SEARCH("fir",Q393)),ISNUMBER(SEARCH("confrontation",Q393)),ISNUMBER(SEARCH("violence",Q393)),ISNUMBER(SEARCH("detention",Q393)),ISNUMBER(SEARCH("arrest",Q393)),ISNUMBER(SEARCH("demolition",Q393)),ISNUMBER(SEARCH("injury",Q393))),1,0)+IF(OR(D393="Ongoing",D393="Unresolved"),1,0))))</x:f>
      </x:c>
      <x:c r="K393" s="16" t="str">
        <x:f>IF(J393="","",IF(J393=1,"Limited",IF(J393=2,"Local",IF(J393=3,"Significant",IF(J393=4,"High","Critical")))))</x:f>
      </x:c>
      <x:c r="L393" s="16" t="str">
        <x:f>IF(A393="","",Events!U392)</x:f>
      </x:c>
      <x:c r="M393" s="16" t="str">
        <x:f>IF(A393="","",Events!V392)</x:f>
      </x:c>
      <x:c r="N393" s="16" t="str">
        <x:f>IF(A393="","",Events!Q392)</x:f>
      </x:c>
      <x:c r="O393" s="16" t="str">
        <x:f>IF(A393="","",Events!R392)</x:f>
      </x:c>
      <x:c r="P393" s="16" t="str">
        <x:f>IF(A393="","",LOWER(Events!B392&amp;" "&amp;Events!D392&amp;" "&amp;Events!K392))</x:f>
      </x:c>
      <x:c r="Q393" s="16" t="str">
        <x:f>IF(A393="","",LOWER(Events!C392&amp;" "&amp;Events!K392&amp;" "&amp;Events!T392))</x:f>
      </x:c>
      <x:c r="R393" s="16" t="str">
        <x:f>IF(A393="","",IF(ISNUMBER(SEARCH("Occurrence verified",E393)),"Occurrence verified",E393))</x:f>
      </x:c>
      <x:c r="S393" s="79" t="str">
        <x:f>IF(A393="","",Events!X392)</x:f>
      </x:c>
      <x:c r="Z393" s="79" t="str">
        <x:f>IF(A393="","",Events!AD392)</x:f>
      </x:c>
      <x:c r="AA393" s="79" t="str">
        <x:f>IF(A393="","",Events!AE392)</x:f>
      </x:c>
    </x:row>
    <x:row r="394">
      <x:c r="A394" s="16" t="str">
        <x:f>IF(Events!A393="","",Events!A393)</x:f>
      </x:c>
      <x:c r="B394" s="16" t="str">
        <x:f>IF(A394="","",Events!B393)</x:f>
      </x:c>
      <x:c r="C394" s="16" t="str">
        <x:f>IF(A394="","",Events!E393)</x:f>
      </x:c>
      <x:c r="D394" s="16" t="str">
        <x:f>IF(A394="","",Events!J393)</x:f>
      </x:c>
      <x:c r="E394" s="16" t="str">
        <x:f>IF(A394="","",Events!N393)</x:f>
      </x:c>
      <x:c r="F394" s="109" t="str">
        <x:f>IF(OR(A394="",Events!H393=""),"",Events!H393)</x:f>
      </x:c>
      <x:c r="G394" s="109" t="str">
        <x:f>IF(A394="","",IF(Events!I393&lt;&gt;"",Events!I393,IF(Events!S393&lt;&gt;"",Events!S393,"")))</x:f>
      </x:c>
      <x:c r="H394" s="16" t="str">
        <x:f>IF(A394="","",Events!W393)</x:f>
      </x:c>
      <x:c r="I394" s="16" t="str">
        <x:f>IF(A394="","",IF(Events!Y393&lt;&gt;"",Events!Y393,IF(OR(ISNUMBER(SEARCH("education",P394)),ISNUMBER(SEARCH("exam",P394)),ISNUMBER(SEARCH("school",P394))),"Education",IF(OR(ISNUMBER(SEARCH("trade agreement",P394)),ISNUMBER(SEARCH("economic",P394)),ISNUMBER(SEARCH("import",P394))),"Trade &amp; economic policy",IF(OR(ISNUMBER(SEARCH("land acquisition",P394)),ISNUMBER(SEARCH("rehabilitation",P394)),ISNUMBER(SEARCH("displacement",P394)),ISNUMBER(SEARCH("township",P394))),"Land &amp; rehabilitation",IF(OR(ISNUMBER(SEARCH("forest",P394)),ISNUMBER(SEARCH("environment",P394)),ISNUMBER(SEARCH("ecological",P394)),ISNUMBER(SEARCH("biodiversity",P394)),ISNUMBER(SEARCH("green cover",P394))),"Environment",IF(OR(ISNUMBER(SEARCH("irrigation",P394)),ISNUMBER(SEARCH("water",P394)),ISNUMBER(SEARCH("crop",P394)),ISNUMBER(SEARCH("farmer",P394)),ISNUMBER(SEARCH("agriculture",P394))),"Agriculture &amp; water",IF(OR(ISNUMBER(SEARCH("health",P394)),ISNUMBER(SEARCH("hospital",P394)),ISNUMBER(SEARCH("medicine",P394))),"Public health",IF(OR(ISNUMBER(SEARCH("employee",P394)),ISNUMBER(SEARCH("labour",P394)),ISNUMBER(SEARCH("worker",P394)),ISNUMBER(SEARCH("salary",P394))),"Labour &amp; employment",IF(OR(ISNUMBER(SEARCH("rti",P394)),ISNUMBER(SEARCH("transparency",P394)),ISNUMBER(SEARCH("corruption",P394)),ISNUMBER(SEARCH("governance",P394))),"Governance &amp; transparency",IF(OR(ISNUMBER(SEARCH("police",P394)),ISNUMBER(SEARCH("detention",P394)),ISNUMBER(SEARCH("civil rights",P394)),ISNUMBER(SEARCH("justice",P394))),"Civil rights &amp; justice",IF(OR(ISNUMBER(SEARCH("road",P394)),ISNUMBER(SEARCH("utility",P394)),ISNUMBER(SEARCH("infrastructure",P394)),ISNUMBER(SEARCH("public service",P394))),"Infrastructure &amp; public services","Other"))))))))))))</x:f>
      </x:c>
      <x:c r="J394" s="16" t="str">
        <x:f>IF(A394="","",IF(OR(ISNUMBER(SEARCH("fatal",Q394)),ISNUMBER(SEARCH("death",Q394)),ISNUMBER(SEARCH("riot",Q394)),ISNUMBER(SEARCH("curfew",Q394)),ISNUMBER(SEARCH("internet shutdown",Q394))),5,MIN(4,1+IF(H394&gt;=7,1,0)+IF(OR(ISNUMBER(SEARCH("hunger strike",Q394)),ISNUMBER(SEARCH("blockade",Q394)),ISNUMBER(SEARCH("strike",Q394)),ISNUMBER(SEARCH("jal satyagraha",Q394)),ISNUMBER(SEARCH("survey",Q394)),ISNUMBER(SEARCH("human chain",Q394)),ISNUMBER(SEARCH("march",Q394))),1,0)+IF(OR(ISNUMBER(SEARCH("fir",Q394)),ISNUMBER(SEARCH("confrontation",Q394)),ISNUMBER(SEARCH("violence",Q394)),ISNUMBER(SEARCH("detention",Q394)),ISNUMBER(SEARCH("arrest",Q394)),ISNUMBER(SEARCH("demolition",Q394)),ISNUMBER(SEARCH("injury",Q394))),1,0)+IF(OR(D394="Ongoing",D394="Unresolved"),1,0))))</x:f>
      </x:c>
      <x:c r="K394" s="16" t="str">
        <x:f>IF(J394="","",IF(J394=1,"Limited",IF(J394=2,"Local",IF(J394=3,"Significant",IF(J394=4,"High","Critical")))))</x:f>
      </x:c>
      <x:c r="L394" s="16" t="str">
        <x:f>IF(A394="","",Events!U393)</x:f>
      </x:c>
      <x:c r="M394" s="16" t="str">
        <x:f>IF(A394="","",Events!V393)</x:f>
      </x:c>
      <x:c r="N394" s="16" t="str">
        <x:f>IF(A394="","",Events!Q393)</x:f>
      </x:c>
      <x:c r="O394" s="16" t="str">
        <x:f>IF(A394="","",Events!R393)</x:f>
      </x:c>
      <x:c r="P394" s="16" t="str">
        <x:f>IF(A394="","",LOWER(Events!B393&amp;" "&amp;Events!D393&amp;" "&amp;Events!K393))</x:f>
      </x:c>
      <x:c r="Q394" s="16" t="str">
        <x:f>IF(A394="","",LOWER(Events!C393&amp;" "&amp;Events!K393&amp;" "&amp;Events!T393))</x:f>
      </x:c>
      <x:c r="R394" s="16" t="str">
        <x:f>IF(A394="","",IF(ISNUMBER(SEARCH("Occurrence verified",E394)),"Occurrence verified",E394))</x:f>
      </x:c>
      <x:c r="S394" s="79" t="str">
        <x:f>IF(A394="","",Events!X393)</x:f>
      </x:c>
      <x:c r="Z394" s="79" t="str">
        <x:f>IF(A394="","",Events!AD393)</x:f>
      </x:c>
      <x:c r="AA394" s="79" t="str">
        <x:f>IF(A394="","",Events!AE393)</x:f>
      </x:c>
    </x:row>
    <x:row r="395">
      <x:c r="A395" s="16" t="str">
        <x:f>IF(Events!A394="","",Events!A394)</x:f>
      </x:c>
      <x:c r="B395" s="16" t="str">
        <x:f>IF(A395="","",Events!B394)</x:f>
      </x:c>
      <x:c r="C395" s="16" t="str">
        <x:f>IF(A395="","",Events!E394)</x:f>
      </x:c>
      <x:c r="D395" s="16" t="str">
        <x:f>IF(A395="","",Events!J394)</x:f>
      </x:c>
      <x:c r="E395" s="16" t="str">
        <x:f>IF(A395="","",Events!N394)</x:f>
      </x:c>
      <x:c r="F395" s="109" t="str">
        <x:f>IF(OR(A395="",Events!H394=""),"",Events!H394)</x:f>
      </x:c>
      <x:c r="G395" s="109" t="str">
        <x:f>IF(A395="","",IF(Events!I394&lt;&gt;"",Events!I394,IF(Events!S394&lt;&gt;"",Events!S394,"")))</x:f>
      </x:c>
      <x:c r="H395" s="16" t="str">
        <x:f>IF(A395="","",Events!W394)</x:f>
      </x:c>
      <x:c r="I395" s="16" t="str">
        <x:f>IF(A395="","",IF(Events!Y394&lt;&gt;"",Events!Y394,IF(OR(ISNUMBER(SEARCH("education",P395)),ISNUMBER(SEARCH("exam",P395)),ISNUMBER(SEARCH("school",P395))),"Education",IF(OR(ISNUMBER(SEARCH("trade agreement",P395)),ISNUMBER(SEARCH("economic",P395)),ISNUMBER(SEARCH("import",P395))),"Trade &amp; economic policy",IF(OR(ISNUMBER(SEARCH("land acquisition",P395)),ISNUMBER(SEARCH("rehabilitation",P395)),ISNUMBER(SEARCH("displacement",P395)),ISNUMBER(SEARCH("township",P395))),"Land &amp; rehabilitation",IF(OR(ISNUMBER(SEARCH("forest",P395)),ISNUMBER(SEARCH("environment",P395)),ISNUMBER(SEARCH("ecological",P395)),ISNUMBER(SEARCH("biodiversity",P395)),ISNUMBER(SEARCH("green cover",P395))),"Environment",IF(OR(ISNUMBER(SEARCH("irrigation",P395)),ISNUMBER(SEARCH("water",P395)),ISNUMBER(SEARCH("crop",P395)),ISNUMBER(SEARCH("farmer",P395)),ISNUMBER(SEARCH("agriculture",P395))),"Agriculture &amp; water",IF(OR(ISNUMBER(SEARCH("health",P395)),ISNUMBER(SEARCH("hospital",P395)),ISNUMBER(SEARCH("medicine",P395))),"Public health",IF(OR(ISNUMBER(SEARCH("employee",P395)),ISNUMBER(SEARCH("labour",P395)),ISNUMBER(SEARCH("worker",P395)),ISNUMBER(SEARCH("salary",P395))),"Labour &amp; employment",IF(OR(ISNUMBER(SEARCH("rti",P395)),ISNUMBER(SEARCH("transparency",P395)),ISNUMBER(SEARCH("corruption",P395)),ISNUMBER(SEARCH("governance",P395))),"Governance &amp; transparency",IF(OR(ISNUMBER(SEARCH("police",P395)),ISNUMBER(SEARCH("detention",P395)),ISNUMBER(SEARCH("civil rights",P395)),ISNUMBER(SEARCH("justice",P395))),"Civil rights &amp; justice",IF(OR(ISNUMBER(SEARCH("road",P395)),ISNUMBER(SEARCH("utility",P395)),ISNUMBER(SEARCH("infrastructure",P395)),ISNUMBER(SEARCH("public service",P395))),"Infrastructure &amp; public services","Other"))))))))))))</x:f>
      </x:c>
      <x:c r="J395" s="16" t="str">
        <x:f>IF(A395="","",IF(OR(ISNUMBER(SEARCH("fatal",Q395)),ISNUMBER(SEARCH("death",Q395)),ISNUMBER(SEARCH("riot",Q395)),ISNUMBER(SEARCH("curfew",Q395)),ISNUMBER(SEARCH("internet shutdown",Q395))),5,MIN(4,1+IF(H395&gt;=7,1,0)+IF(OR(ISNUMBER(SEARCH("hunger strike",Q395)),ISNUMBER(SEARCH("blockade",Q395)),ISNUMBER(SEARCH("strike",Q395)),ISNUMBER(SEARCH("jal satyagraha",Q395)),ISNUMBER(SEARCH("survey",Q395)),ISNUMBER(SEARCH("human chain",Q395)),ISNUMBER(SEARCH("march",Q395))),1,0)+IF(OR(ISNUMBER(SEARCH("fir",Q395)),ISNUMBER(SEARCH("confrontation",Q395)),ISNUMBER(SEARCH("violence",Q395)),ISNUMBER(SEARCH("detention",Q395)),ISNUMBER(SEARCH("arrest",Q395)),ISNUMBER(SEARCH("demolition",Q395)),ISNUMBER(SEARCH("injury",Q395))),1,0)+IF(OR(D395="Ongoing",D395="Unresolved"),1,0))))</x:f>
      </x:c>
      <x:c r="K395" s="16" t="str">
        <x:f>IF(J395="","",IF(J395=1,"Limited",IF(J395=2,"Local",IF(J395=3,"Significant",IF(J395=4,"High","Critical")))))</x:f>
      </x:c>
      <x:c r="L395" s="16" t="str">
        <x:f>IF(A395="","",Events!U394)</x:f>
      </x:c>
      <x:c r="M395" s="16" t="str">
        <x:f>IF(A395="","",Events!V394)</x:f>
      </x:c>
      <x:c r="N395" s="16" t="str">
        <x:f>IF(A395="","",Events!Q394)</x:f>
      </x:c>
      <x:c r="O395" s="16" t="str">
        <x:f>IF(A395="","",Events!R394)</x:f>
      </x:c>
      <x:c r="P395" s="16" t="str">
        <x:f>IF(A395="","",LOWER(Events!B394&amp;" "&amp;Events!D394&amp;" "&amp;Events!K394))</x:f>
      </x:c>
      <x:c r="Q395" s="16" t="str">
        <x:f>IF(A395="","",LOWER(Events!C394&amp;" "&amp;Events!K394&amp;" "&amp;Events!T394))</x:f>
      </x:c>
      <x:c r="R395" s="16" t="str">
        <x:f>IF(A395="","",IF(ISNUMBER(SEARCH("Occurrence verified",E395)),"Occurrence verified",E395))</x:f>
      </x:c>
      <x:c r="S395" s="79" t="str">
        <x:f>IF(A395="","",Events!X394)</x:f>
      </x:c>
      <x:c r="Z395" s="79" t="str">
        <x:f>IF(A395="","",Events!AD394)</x:f>
      </x:c>
      <x:c r="AA395" s="79" t="str">
        <x:f>IF(A395="","",Events!AE394)</x:f>
      </x:c>
    </x:row>
    <x:row r="396">
      <x:c r="A396" s="16" t="str">
        <x:f>IF(Events!A395="","",Events!A395)</x:f>
      </x:c>
      <x:c r="B396" s="16" t="str">
        <x:f>IF(A396="","",Events!B395)</x:f>
      </x:c>
      <x:c r="C396" s="16" t="str">
        <x:f>IF(A396="","",Events!E395)</x:f>
      </x:c>
      <x:c r="D396" s="16" t="str">
        <x:f>IF(A396="","",Events!J395)</x:f>
      </x:c>
      <x:c r="E396" s="16" t="str">
        <x:f>IF(A396="","",Events!N395)</x:f>
      </x:c>
      <x:c r="F396" s="109" t="str">
        <x:f>IF(OR(A396="",Events!H395=""),"",Events!H395)</x:f>
      </x:c>
      <x:c r="G396" s="109" t="str">
        <x:f>IF(A396="","",IF(Events!I395&lt;&gt;"",Events!I395,IF(Events!S395&lt;&gt;"",Events!S395,"")))</x:f>
      </x:c>
      <x:c r="H396" s="16" t="str">
        <x:f>IF(A396="","",Events!W395)</x:f>
      </x:c>
      <x:c r="I396" s="16" t="str">
        <x:f>IF(A396="","",IF(Events!Y395&lt;&gt;"",Events!Y395,IF(OR(ISNUMBER(SEARCH("education",P396)),ISNUMBER(SEARCH("exam",P396)),ISNUMBER(SEARCH("school",P396))),"Education",IF(OR(ISNUMBER(SEARCH("trade agreement",P396)),ISNUMBER(SEARCH("economic",P396)),ISNUMBER(SEARCH("import",P396))),"Trade &amp; economic policy",IF(OR(ISNUMBER(SEARCH("land acquisition",P396)),ISNUMBER(SEARCH("rehabilitation",P396)),ISNUMBER(SEARCH("displacement",P396)),ISNUMBER(SEARCH("township",P396))),"Land &amp; rehabilitation",IF(OR(ISNUMBER(SEARCH("forest",P396)),ISNUMBER(SEARCH("environment",P396)),ISNUMBER(SEARCH("ecological",P396)),ISNUMBER(SEARCH("biodiversity",P396)),ISNUMBER(SEARCH("green cover",P396))),"Environment",IF(OR(ISNUMBER(SEARCH("irrigation",P396)),ISNUMBER(SEARCH("water",P396)),ISNUMBER(SEARCH("crop",P396)),ISNUMBER(SEARCH("farmer",P396)),ISNUMBER(SEARCH("agriculture",P396))),"Agriculture &amp; water",IF(OR(ISNUMBER(SEARCH("health",P396)),ISNUMBER(SEARCH("hospital",P396)),ISNUMBER(SEARCH("medicine",P396))),"Public health",IF(OR(ISNUMBER(SEARCH("employee",P396)),ISNUMBER(SEARCH("labour",P396)),ISNUMBER(SEARCH("worker",P396)),ISNUMBER(SEARCH("salary",P396))),"Labour &amp; employment",IF(OR(ISNUMBER(SEARCH("rti",P396)),ISNUMBER(SEARCH("transparency",P396)),ISNUMBER(SEARCH("corruption",P396)),ISNUMBER(SEARCH("governance",P396))),"Governance &amp; transparency",IF(OR(ISNUMBER(SEARCH("police",P396)),ISNUMBER(SEARCH("detention",P396)),ISNUMBER(SEARCH("civil rights",P396)),ISNUMBER(SEARCH("justice",P396))),"Civil rights &amp; justice",IF(OR(ISNUMBER(SEARCH("road",P396)),ISNUMBER(SEARCH("utility",P396)),ISNUMBER(SEARCH("infrastructure",P396)),ISNUMBER(SEARCH("public service",P396))),"Infrastructure &amp; public services","Other"))))))))))))</x:f>
      </x:c>
      <x:c r="J396" s="16" t="str">
        <x:f>IF(A396="","",IF(OR(ISNUMBER(SEARCH("fatal",Q396)),ISNUMBER(SEARCH("death",Q396)),ISNUMBER(SEARCH("riot",Q396)),ISNUMBER(SEARCH("curfew",Q396)),ISNUMBER(SEARCH("internet shutdown",Q396))),5,MIN(4,1+IF(H396&gt;=7,1,0)+IF(OR(ISNUMBER(SEARCH("hunger strike",Q396)),ISNUMBER(SEARCH("blockade",Q396)),ISNUMBER(SEARCH("strike",Q396)),ISNUMBER(SEARCH("jal satyagraha",Q396)),ISNUMBER(SEARCH("survey",Q396)),ISNUMBER(SEARCH("human chain",Q396)),ISNUMBER(SEARCH("march",Q396))),1,0)+IF(OR(ISNUMBER(SEARCH("fir",Q396)),ISNUMBER(SEARCH("confrontation",Q396)),ISNUMBER(SEARCH("violence",Q396)),ISNUMBER(SEARCH("detention",Q396)),ISNUMBER(SEARCH("arrest",Q396)),ISNUMBER(SEARCH("demolition",Q396)),ISNUMBER(SEARCH("injury",Q396))),1,0)+IF(OR(D396="Ongoing",D396="Unresolved"),1,0))))</x:f>
      </x:c>
      <x:c r="K396" s="16" t="str">
        <x:f>IF(J396="","",IF(J396=1,"Limited",IF(J396=2,"Local",IF(J396=3,"Significant",IF(J396=4,"High","Critical")))))</x:f>
      </x:c>
      <x:c r="L396" s="16" t="str">
        <x:f>IF(A396="","",Events!U395)</x:f>
      </x:c>
      <x:c r="M396" s="16" t="str">
        <x:f>IF(A396="","",Events!V395)</x:f>
      </x:c>
      <x:c r="N396" s="16" t="str">
        <x:f>IF(A396="","",Events!Q395)</x:f>
      </x:c>
      <x:c r="O396" s="16" t="str">
        <x:f>IF(A396="","",Events!R395)</x:f>
      </x:c>
      <x:c r="P396" s="16" t="str">
        <x:f>IF(A396="","",LOWER(Events!B395&amp;" "&amp;Events!D395&amp;" "&amp;Events!K395))</x:f>
      </x:c>
      <x:c r="Q396" s="16" t="str">
        <x:f>IF(A396="","",LOWER(Events!C395&amp;" "&amp;Events!K395&amp;" "&amp;Events!T395))</x:f>
      </x:c>
      <x:c r="R396" s="16" t="str">
        <x:f>IF(A396="","",IF(ISNUMBER(SEARCH("Occurrence verified",E396)),"Occurrence verified",E396))</x:f>
      </x:c>
      <x:c r="S396" s="79" t="str">
        <x:f>IF(A396="","",Events!X395)</x:f>
      </x:c>
      <x:c r="Z396" s="79" t="str">
        <x:f>IF(A396="","",Events!AD395)</x:f>
      </x:c>
      <x:c r="AA396" s="79" t="str">
        <x:f>IF(A396="","",Events!AE395)</x:f>
      </x:c>
    </x:row>
    <x:row r="397">
      <x:c r="A397" s="16" t="str">
        <x:f>IF(Events!A396="","",Events!A396)</x:f>
      </x:c>
      <x:c r="B397" s="16" t="str">
        <x:f>IF(A397="","",Events!B396)</x:f>
      </x:c>
      <x:c r="C397" s="16" t="str">
        <x:f>IF(A397="","",Events!E396)</x:f>
      </x:c>
      <x:c r="D397" s="16" t="str">
        <x:f>IF(A397="","",Events!J396)</x:f>
      </x:c>
      <x:c r="E397" s="16" t="str">
        <x:f>IF(A397="","",Events!N396)</x:f>
      </x:c>
      <x:c r="F397" s="109" t="str">
        <x:f>IF(OR(A397="",Events!H396=""),"",Events!H396)</x:f>
      </x:c>
      <x:c r="G397" s="109" t="str">
        <x:f>IF(A397="","",IF(Events!I396&lt;&gt;"",Events!I396,IF(Events!S396&lt;&gt;"",Events!S396,"")))</x:f>
      </x:c>
      <x:c r="H397" s="16" t="str">
        <x:f>IF(A397="","",Events!W396)</x:f>
      </x:c>
      <x:c r="I397" s="16" t="str">
        <x:f>IF(A397="","",IF(Events!Y396&lt;&gt;"",Events!Y396,IF(OR(ISNUMBER(SEARCH("education",P397)),ISNUMBER(SEARCH("exam",P397)),ISNUMBER(SEARCH("school",P397))),"Education",IF(OR(ISNUMBER(SEARCH("trade agreement",P397)),ISNUMBER(SEARCH("economic",P397)),ISNUMBER(SEARCH("import",P397))),"Trade &amp; economic policy",IF(OR(ISNUMBER(SEARCH("land acquisition",P397)),ISNUMBER(SEARCH("rehabilitation",P397)),ISNUMBER(SEARCH("displacement",P397)),ISNUMBER(SEARCH("township",P397))),"Land &amp; rehabilitation",IF(OR(ISNUMBER(SEARCH("forest",P397)),ISNUMBER(SEARCH("environment",P397)),ISNUMBER(SEARCH("ecological",P397)),ISNUMBER(SEARCH("biodiversity",P397)),ISNUMBER(SEARCH("green cover",P397))),"Environment",IF(OR(ISNUMBER(SEARCH("irrigation",P397)),ISNUMBER(SEARCH("water",P397)),ISNUMBER(SEARCH("crop",P397)),ISNUMBER(SEARCH("farmer",P397)),ISNUMBER(SEARCH("agriculture",P397))),"Agriculture &amp; water",IF(OR(ISNUMBER(SEARCH("health",P397)),ISNUMBER(SEARCH("hospital",P397)),ISNUMBER(SEARCH("medicine",P397))),"Public health",IF(OR(ISNUMBER(SEARCH("employee",P397)),ISNUMBER(SEARCH("labour",P397)),ISNUMBER(SEARCH("worker",P397)),ISNUMBER(SEARCH("salary",P397))),"Labour &amp; employment",IF(OR(ISNUMBER(SEARCH("rti",P397)),ISNUMBER(SEARCH("transparency",P397)),ISNUMBER(SEARCH("corruption",P397)),ISNUMBER(SEARCH("governance",P397))),"Governance &amp; transparency",IF(OR(ISNUMBER(SEARCH("police",P397)),ISNUMBER(SEARCH("detention",P397)),ISNUMBER(SEARCH("civil rights",P397)),ISNUMBER(SEARCH("justice",P397))),"Civil rights &amp; justice",IF(OR(ISNUMBER(SEARCH("road",P397)),ISNUMBER(SEARCH("utility",P397)),ISNUMBER(SEARCH("infrastructure",P397)),ISNUMBER(SEARCH("public service",P397))),"Infrastructure &amp; public services","Other"))))))))))))</x:f>
      </x:c>
      <x:c r="J397" s="16" t="str">
        <x:f>IF(A397="","",IF(OR(ISNUMBER(SEARCH("fatal",Q397)),ISNUMBER(SEARCH("death",Q397)),ISNUMBER(SEARCH("riot",Q397)),ISNUMBER(SEARCH("curfew",Q397)),ISNUMBER(SEARCH("internet shutdown",Q397))),5,MIN(4,1+IF(H397&gt;=7,1,0)+IF(OR(ISNUMBER(SEARCH("hunger strike",Q397)),ISNUMBER(SEARCH("blockade",Q397)),ISNUMBER(SEARCH("strike",Q397)),ISNUMBER(SEARCH("jal satyagraha",Q397)),ISNUMBER(SEARCH("survey",Q397)),ISNUMBER(SEARCH("human chain",Q397)),ISNUMBER(SEARCH("march",Q397))),1,0)+IF(OR(ISNUMBER(SEARCH("fir",Q397)),ISNUMBER(SEARCH("confrontation",Q397)),ISNUMBER(SEARCH("violence",Q397)),ISNUMBER(SEARCH("detention",Q397)),ISNUMBER(SEARCH("arrest",Q397)),ISNUMBER(SEARCH("demolition",Q397)),ISNUMBER(SEARCH("injury",Q397))),1,0)+IF(OR(D397="Ongoing",D397="Unresolved"),1,0))))</x:f>
      </x:c>
      <x:c r="K397" s="16" t="str">
        <x:f>IF(J397="","",IF(J397=1,"Limited",IF(J397=2,"Local",IF(J397=3,"Significant",IF(J397=4,"High","Critical")))))</x:f>
      </x:c>
      <x:c r="L397" s="16" t="str">
        <x:f>IF(A397="","",Events!U396)</x:f>
      </x:c>
      <x:c r="M397" s="16" t="str">
        <x:f>IF(A397="","",Events!V396)</x:f>
      </x:c>
      <x:c r="N397" s="16" t="str">
        <x:f>IF(A397="","",Events!Q396)</x:f>
      </x:c>
      <x:c r="O397" s="16" t="str">
        <x:f>IF(A397="","",Events!R396)</x:f>
      </x:c>
      <x:c r="P397" s="16" t="str">
        <x:f>IF(A397="","",LOWER(Events!B396&amp;" "&amp;Events!D396&amp;" "&amp;Events!K396))</x:f>
      </x:c>
      <x:c r="Q397" s="16" t="str">
        <x:f>IF(A397="","",LOWER(Events!C396&amp;" "&amp;Events!K396&amp;" "&amp;Events!T396))</x:f>
      </x:c>
      <x:c r="R397" s="16" t="str">
        <x:f>IF(A397="","",IF(ISNUMBER(SEARCH("Occurrence verified",E397)),"Occurrence verified",E397))</x:f>
      </x:c>
      <x:c r="S397" s="79" t="str">
        <x:f>IF(A397="","",Events!X396)</x:f>
      </x:c>
      <x:c r="Z397" s="79" t="str">
        <x:f>IF(A397="","",Events!AD396)</x:f>
      </x:c>
      <x:c r="AA397" s="79" t="str">
        <x:f>IF(A397="","",Events!AE396)</x:f>
      </x:c>
    </x:row>
    <x:row r="398">
      <x:c r="A398" s="16" t="str">
        <x:f>IF(Events!A397="","",Events!A397)</x:f>
      </x:c>
      <x:c r="B398" s="16" t="str">
        <x:f>IF(A398="","",Events!B397)</x:f>
      </x:c>
      <x:c r="C398" s="16" t="str">
        <x:f>IF(A398="","",Events!E397)</x:f>
      </x:c>
      <x:c r="D398" s="16" t="str">
        <x:f>IF(A398="","",Events!J397)</x:f>
      </x:c>
      <x:c r="E398" s="16" t="str">
        <x:f>IF(A398="","",Events!N397)</x:f>
      </x:c>
      <x:c r="F398" s="109" t="str">
        <x:f>IF(OR(A398="",Events!H397=""),"",Events!H397)</x:f>
      </x:c>
      <x:c r="G398" s="109" t="str">
        <x:f>IF(A398="","",IF(Events!I397&lt;&gt;"",Events!I397,IF(Events!S397&lt;&gt;"",Events!S397,"")))</x:f>
      </x:c>
      <x:c r="H398" s="16" t="str">
        <x:f>IF(A398="","",Events!W397)</x:f>
      </x:c>
      <x:c r="I398" s="16" t="str">
        <x:f>IF(A398="","",IF(Events!Y397&lt;&gt;"",Events!Y397,IF(OR(ISNUMBER(SEARCH("education",P398)),ISNUMBER(SEARCH("exam",P398)),ISNUMBER(SEARCH("school",P398))),"Education",IF(OR(ISNUMBER(SEARCH("trade agreement",P398)),ISNUMBER(SEARCH("economic",P398)),ISNUMBER(SEARCH("import",P398))),"Trade &amp; economic policy",IF(OR(ISNUMBER(SEARCH("land acquisition",P398)),ISNUMBER(SEARCH("rehabilitation",P398)),ISNUMBER(SEARCH("displacement",P398)),ISNUMBER(SEARCH("township",P398))),"Land &amp; rehabilitation",IF(OR(ISNUMBER(SEARCH("forest",P398)),ISNUMBER(SEARCH("environment",P398)),ISNUMBER(SEARCH("ecological",P398)),ISNUMBER(SEARCH("biodiversity",P398)),ISNUMBER(SEARCH("green cover",P398))),"Environment",IF(OR(ISNUMBER(SEARCH("irrigation",P398)),ISNUMBER(SEARCH("water",P398)),ISNUMBER(SEARCH("crop",P398)),ISNUMBER(SEARCH("farmer",P398)),ISNUMBER(SEARCH("agriculture",P398))),"Agriculture &amp; water",IF(OR(ISNUMBER(SEARCH("health",P398)),ISNUMBER(SEARCH("hospital",P398)),ISNUMBER(SEARCH("medicine",P398))),"Public health",IF(OR(ISNUMBER(SEARCH("employee",P398)),ISNUMBER(SEARCH("labour",P398)),ISNUMBER(SEARCH("worker",P398)),ISNUMBER(SEARCH("salary",P398))),"Labour &amp; employment",IF(OR(ISNUMBER(SEARCH("rti",P398)),ISNUMBER(SEARCH("transparency",P398)),ISNUMBER(SEARCH("corruption",P398)),ISNUMBER(SEARCH("governance",P398))),"Governance &amp; transparency",IF(OR(ISNUMBER(SEARCH("police",P398)),ISNUMBER(SEARCH("detention",P398)),ISNUMBER(SEARCH("civil rights",P398)),ISNUMBER(SEARCH("justice",P398))),"Civil rights &amp; justice",IF(OR(ISNUMBER(SEARCH("road",P398)),ISNUMBER(SEARCH("utility",P398)),ISNUMBER(SEARCH("infrastructure",P398)),ISNUMBER(SEARCH("public service",P398))),"Infrastructure &amp; public services","Other"))))))))))))</x:f>
      </x:c>
      <x:c r="J398" s="16" t="str">
        <x:f>IF(A398="","",IF(OR(ISNUMBER(SEARCH("fatal",Q398)),ISNUMBER(SEARCH("death",Q398)),ISNUMBER(SEARCH("riot",Q398)),ISNUMBER(SEARCH("curfew",Q398)),ISNUMBER(SEARCH("internet shutdown",Q398))),5,MIN(4,1+IF(H398&gt;=7,1,0)+IF(OR(ISNUMBER(SEARCH("hunger strike",Q398)),ISNUMBER(SEARCH("blockade",Q398)),ISNUMBER(SEARCH("strike",Q398)),ISNUMBER(SEARCH("jal satyagraha",Q398)),ISNUMBER(SEARCH("survey",Q398)),ISNUMBER(SEARCH("human chain",Q398)),ISNUMBER(SEARCH("march",Q398))),1,0)+IF(OR(ISNUMBER(SEARCH("fir",Q398)),ISNUMBER(SEARCH("confrontation",Q398)),ISNUMBER(SEARCH("violence",Q398)),ISNUMBER(SEARCH("detention",Q398)),ISNUMBER(SEARCH("arrest",Q398)),ISNUMBER(SEARCH("demolition",Q398)),ISNUMBER(SEARCH("injury",Q398))),1,0)+IF(OR(D398="Ongoing",D398="Unresolved"),1,0))))</x:f>
      </x:c>
      <x:c r="K398" s="16" t="str">
        <x:f>IF(J398="","",IF(J398=1,"Limited",IF(J398=2,"Local",IF(J398=3,"Significant",IF(J398=4,"High","Critical")))))</x:f>
      </x:c>
      <x:c r="L398" s="16" t="str">
        <x:f>IF(A398="","",Events!U397)</x:f>
      </x:c>
      <x:c r="M398" s="16" t="str">
        <x:f>IF(A398="","",Events!V397)</x:f>
      </x:c>
      <x:c r="N398" s="16" t="str">
        <x:f>IF(A398="","",Events!Q397)</x:f>
      </x:c>
      <x:c r="O398" s="16" t="str">
        <x:f>IF(A398="","",Events!R397)</x:f>
      </x:c>
      <x:c r="P398" s="16" t="str">
        <x:f>IF(A398="","",LOWER(Events!B397&amp;" "&amp;Events!D397&amp;" "&amp;Events!K397))</x:f>
      </x:c>
      <x:c r="Q398" s="16" t="str">
        <x:f>IF(A398="","",LOWER(Events!C397&amp;" "&amp;Events!K397&amp;" "&amp;Events!T397))</x:f>
      </x:c>
      <x:c r="R398" s="16" t="str">
        <x:f>IF(A398="","",IF(ISNUMBER(SEARCH("Occurrence verified",E398)),"Occurrence verified",E398))</x:f>
      </x:c>
      <x:c r="S398" s="79" t="str">
        <x:f>IF(A398="","",Events!X397)</x:f>
      </x:c>
      <x:c r="Z398" s="79" t="str">
        <x:f>IF(A398="","",Events!AD397)</x:f>
      </x:c>
      <x:c r="AA398" s="79" t="str">
        <x:f>IF(A398="","",Events!AE397)</x:f>
      </x:c>
    </x:row>
    <x:row r="399">
      <x:c r="A399" s="16" t="str">
        <x:f>IF(Events!A398="","",Events!A398)</x:f>
      </x:c>
      <x:c r="B399" s="16" t="str">
        <x:f>IF(A399="","",Events!B398)</x:f>
      </x:c>
      <x:c r="C399" s="16" t="str">
        <x:f>IF(A399="","",Events!E398)</x:f>
      </x:c>
      <x:c r="D399" s="16" t="str">
        <x:f>IF(A399="","",Events!J398)</x:f>
      </x:c>
      <x:c r="E399" s="16" t="str">
        <x:f>IF(A399="","",Events!N398)</x:f>
      </x:c>
      <x:c r="F399" s="109" t="str">
        <x:f>IF(OR(A399="",Events!H398=""),"",Events!H398)</x:f>
      </x:c>
      <x:c r="G399" s="109" t="str">
        <x:f>IF(A399="","",IF(Events!I398&lt;&gt;"",Events!I398,IF(Events!S398&lt;&gt;"",Events!S398,"")))</x:f>
      </x:c>
      <x:c r="H399" s="16" t="str">
        <x:f>IF(A399="","",Events!W398)</x:f>
      </x:c>
      <x:c r="I399" s="16" t="str">
        <x:f>IF(A399="","",IF(Events!Y398&lt;&gt;"",Events!Y398,IF(OR(ISNUMBER(SEARCH("education",P399)),ISNUMBER(SEARCH("exam",P399)),ISNUMBER(SEARCH("school",P399))),"Education",IF(OR(ISNUMBER(SEARCH("trade agreement",P399)),ISNUMBER(SEARCH("economic",P399)),ISNUMBER(SEARCH("import",P399))),"Trade &amp; economic policy",IF(OR(ISNUMBER(SEARCH("land acquisition",P399)),ISNUMBER(SEARCH("rehabilitation",P399)),ISNUMBER(SEARCH("displacement",P399)),ISNUMBER(SEARCH("township",P399))),"Land &amp; rehabilitation",IF(OR(ISNUMBER(SEARCH("forest",P399)),ISNUMBER(SEARCH("environment",P399)),ISNUMBER(SEARCH("ecological",P399)),ISNUMBER(SEARCH("biodiversity",P399)),ISNUMBER(SEARCH("green cover",P399))),"Environment",IF(OR(ISNUMBER(SEARCH("irrigation",P399)),ISNUMBER(SEARCH("water",P399)),ISNUMBER(SEARCH("crop",P399)),ISNUMBER(SEARCH("farmer",P399)),ISNUMBER(SEARCH("agriculture",P399))),"Agriculture &amp; water",IF(OR(ISNUMBER(SEARCH("health",P399)),ISNUMBER(SEARCH("hospital",P399)),ISNUMBER(SEARCH("medicine",P399))),"Public health",IF(OR(ISNUMBER(SEARCH("employee",P399)),ISNUMBER(SEARCH("labour",P399)),ISNUMBER(SEARCH("worker",P399)),ISNUMBER(SEARCH("salary",P399))),"Labour &amp; employment",IF(OR(ISNUMBER(SEARCH("rti",P399)),ISNUMBER(SEARCH("transparency",P399)),ISNUMBER(SEARCH("corruption",P399)),ISNUMBER(SEARCH("governance",P399))),"Governance &amp; transparency",IF(OR(ISNUMBER(SEARCH("police",P399)),ISNUMBER(SEARCH("detention",P399)),ISNUMBER(SEARCH("civil rights",P399)),ISNUMBER(SEARCH("justice",P399))),"Civil rights &amp; justice",IF(OR(ISNUMBER(SEARCH("road",P399)),ISNUMBER(SEARCH("utility",P399)),ISNUMBER(SEARCH("infrastructure",P399)),ISNUMBER(SEARCH("public service",P399))),"Infrastructure &amp; public services","Other"))))))))))))</x:f>
      </x:c>
      <x:c r="J399" s="16" t="str">
        <x:f>IF(A399="","",IF(OR(ISNUMBER(SEARCH("fatal",Q399)),ISNUMBER(SEARCH("death",Q399)),ISNUMBER(SEARCH("riot",Q399)),ISNUMBER(SEARCH("curfew",Q399)),ISNUMBER(SEARCH("internet shutdown",Q399))),5,MIN(4,1+IF(H399&gt;=7,1,0)+IF(OR(ISNUMBER(SEARCH("hunger strike",Q399)),ISNUMBER(SEARCH("blockade",Q399)),ISNUMBER(SEARCH("strike",Q399)),ISNUMBER(SEARCH("jal satyagraha",Q399)),ISNUMBER(SEARCH("survey",Q399)),ISNUMBER(SEARCH("human chain",Q399)),ISNUMBER(SEARCH("march",Q399))),1,0)+IF(OR(ISNUMBER(SEARCH("fir",Q399)),ISNUMBER(SEARCH("confrontation",Q399)),ISNUMBER(SEARCH("violence",Q399)),ISNUMBER(SEARCH("detention",Q399)),ISNUMBER(SEARCH("arrest",Q399)),ISNUMBER(SEARCH("demolition",Q399)),ISNUMBER(SEARCH("injury",Q399))),1,0)+IF(OR(D399="Ongoing",D399="Unresolved"),1,0))))</x:f>
      </x:c>
      <x:c r="K399" s="16" t="str">
        <x:f>IF(J399="","",IF(J399=1,"Limited",IF(J399=2,"Local",IF(J399=3,"Significant",IF(J399=4,"High","Critical")))))</x:f>
      </x:c>
      <x:c r="L399" s="16" t="str">
        <x:f>IF(A399="","",Events!U398)</x:f>
      </x:c>
      <x:c r="M399" s="16" t="str">
        <x:f>IF(A399="","",Events!V398)</x:f>
      </x:c>
      <x:c r="N399" s="16" t="str">
        <x:f>IF(A399="","",Events!Q398)</x:f>
      </x:c>
      <x:c r="O399" s="16" t="str">
        <x:f>IF(A399="","",Events!R398)</x:f>
      </x:c>
      <x:c r="P399" s="16" t="str">
        <x:f>IF(A399="","",LOWER(Events!B398&amp;" "&amp;Events!D398&amp;" "&amp;Events!K398))</x:f>
      </x:c>
      <x:c r="Q399" s="16" t="str">
        <x:f>IF(A399="","",LOWER(Events!C398&amp;" "&amp;Events!K398&amp;" "&amp;Events!T398))</x:f>
      </x:c>
      <x:c r="R399" s="16" t="str">
        <x:f>IF(A399="","",IF(ISNUMBER(SEARCH("Occurrence verified",E399)),"Occurrence verified",E399))</x:f>
      </x:c>
      <x:c r="S399" s="79" t="str">
        <x:f>IF(A399="","",Events!X398)</x:f>
      </x:c>
      <x:c r="Z399" s="79" t="str">
        <x:f>IF(A399="","",Events!AD398)</x:f>
      </x:c>
      <x:c r="AA399" s="79" t="str">
        <x:f>IF(A399="","",Events!AE398)</x:f>
      </x:c>
    </x:row>
    <x:row r="400">
      <x:c r="A400" s="16" t="str">
        <x:f>IF(Events!A399="","",Events!A399)</x:f>
      </x:c>
      <x:c r="B400" s="16" t="str">
        <x:f>IF(A400="","",Events!B399)</x:f>
      </x:c>
      <x:c r="C400" s="16" t="str">
        <x:f>IF(A400="","",Events!E399)</x:f>
      </x:c>
      <x:c r="D400" s="16" t="str">
        <x:f>IF(A400="","",Events!J399)</x:f>
      </x:c>
      <x:c r="E400" s="16" t="str">
        <x:f>IF(A400="","",Events!N399)</x:f>
      </x:c>
      <x:c r="F400" s="109" t="str">
        <x:f>IF(OR(A400="",Events!H399=""),"",Events!H399)</x:f>
      </x:c>
      <x:c r="G400" s="109" t="str">
        <x:f>IF(A400="","",IF(Events!I399&lt;&gt;"",Events!I399,IF(Events!S399&lt;&gt;"",Events!S399,"")))</x:f>
      </x:c>
      <x:c r="H400" s="16" t="str">
        <x:f>IF(A400="","",Events!W399)</x:f>
      </x:c>
      <x:c r="I400" s="16" t="str">
        <x:f>IF(A400="","",IF(Events!Y399&lt;&gt;"",Events!Y399,IF(OR(ISNUMBER(SEARCH("education",P400)),ISNUMBER(SEARCH("exam",P400)),ISNUMBER(SEARCH("school",P400))),"Education",IF(OR(ISNUMBER(SEARCH("trade agreement",P400)),ISNUMBER(SEARCH("economic",P400)),ISNUMBER(SEARCH("import",P400))),"Trade &amp; economic policy",IF(OR(ISNUMBER(SEARCH("land acquisition",P400)),ISNUMBER(SEARCH("rehabilitation",P400)),ISNUMBER(SEARCH("displacement",P400)),ISNUMBER(SEARCH("township",P400))),"Land &amp; rehabilitation",IF(OR(ISNUMBER(SEARCH("forest",P400)),ISNUMBER(SEARCH("environment",P400)),ISNUMBER(SEARCH("ecological",P400)),ISNUMBER(SEARCH("biodiversity",P400)),ISNUMBER(SEARCH("green cover",P400))),"Environment",IF(OR(ISNUMBER(SEARCH("irrigation",P400)),ISNUMBER(SEARCH("water",P400)),ISNUMBER(SEARCH("crop",P400)),ISNUMBER(SEARCH("farmer",P400)),ISNUMBER(SEARCH("agriculture",P400))),"Agriculture &amp; water",IF(OR(ISNUMBER(SEARCH("health",P400)),ISNUMBER(SEARCH("hospital",P400)),ISNUMBER(SEARCH("medicine",P400))),"Public health",IF(OR(ISNUMBER(SEARCH("employee",P400)),ISNUMBER(SEARCH("labour",P400)),ISNUMBER(SEARCH("worker",P400)),ISNUMBER(SEARCH("salary",P400))),"Labour &amp; employment",IF(OR(ISNUMBER(SEARCH("rti",P400)),ISNUMBER(SEARCH("transparency",P400)),ISNUMBER(SEARCH("corruption",P400)),ISNUMBER(SEARCH("governance",P400))),"Governance &amp; transparency",IF(OR(ISNUMBER(SEARCH("police",P400)),ISNUMBER(SEARCH("detention",P400)),ISNUMBER(SEARCH("civil rights",P400)),ISNUMBER(SEARCH("justice",P400))),"Civil rights &amp; justice",IF(OR(ISNUMBER(SEARCH("road",P400)),ISNUMBER(SEARCH("utility",P400)),ISNUMBER(SEARCH("infrastructure",P400)),ISNUMBER(SEARCH("public service",P400))),"Infrastructure &amp; public services","Other"))))))))))))</x:f>
      </x:c>
      <x:c r="J400" s="16" t="str">
        <x:f>IF(A400="","",IF(OR(ISNUMBER(SEARCH("fatal",Q400)),ISNUMBER(SEARCH("death",Q400)),ISNUMBER(SEARCH("riot",Q400)),ISNUMBER(SEARCH("curfew",Q400)),ISNUMBER(SEARCH("internet shutdown",Q400))),5,MIN(4,1+IF(H400&gt;=7,1,0)+IF(OR(ISNUMBER(SEARCH("hunger strike",Q400)),ISNUMBER(SEARCH("blockade",Q400)),ISNUMBER(SEARCH("strike",Q400)),ISNUMBER(SEARCH("jal satyagraha",Q400)),ISNUMBER(SEARCH("survey",Q400)),ISNUMBER(SEARCH("human chain",Q400)),ISNUMBER(SEARCH("march",Q400))),1,0)+IF(OR(ISNUMBER(SEARCH("fir",Q400)),ISNUMBER(SEARCH("confrontation",Q400)),ISNUMBER(SEARCH("violence",Q400)),ISNUMBER(SEARCH("detention",Q400)),ISNUMBER(SEARCH("arrest",Q400)),ISNUMBER(SEARCH("demolition",Q400)),ISNUMBER(SEARCH("injury",Q400))),1,0)+IF(OR(D400="Ongoing",D400="Unresolved"),1,0))))</x:f>
      </x:c>
      <x:c r="K400" s="16" t="str">
        <x:f>IF(J400="","",IF(J400=1,"Limited",IF(J400=2,"Local",IF(J400=3,"Significant",IF(J400=4,"High","Critical")))))</x:f>
      </x:c>
      <x:c r="L400" s="16" t="str">
        <x:f>IF(A400="","",Events!U399)</x:f>
      </x:c>
      <x:c r="M400" s="16" t="str">
        <x:f>IF(A400="","",Events!V399)</x:f>
      </x:c>
      <x:c r="N400" s="16" t="str">
        <x:f>IF(A400="","",Events!Q399)</x:f>
      </x:c>
      <x:c r="O400" s="16" t="str">
        <x:f>IF(A400="","",Events!R399)</x:f>
      </x:c>
      <x:c r="P400" s="16" t="str">
        <x:f>IF(A400="","",LOWER(Events!B399&amp;" "&amp;Events!D399&amp;" "&amp;Events!K399))</x:f>
      </x:c>
      <x:c r="Q400" s="16" t="str">
        <x:f>IF(A400="","",LOWER(Events!C399&amp;" "&amp;Events!K399&amp;" "&amp;Events!T399))</x:f>
      </x:c>
      <x:c r="R400" s="16" t="str">
        <x:f>IF(A400="","",IF(ISNUMBER(SEARCH("Occurrence verified",E400)),"Occurrence verified",E400))</x:f>
      </x:c>
      <x:c r="S400" s="79" t="str">
        <x:f>IF(A400="","",Events!X399)</x:f>
      </x:c>
      <x:c r="Z400" s="79" t="str">
        <x:f>IF(A400="","",Events!AD399)</x:f>
      </x:c>
      <x:c r="AA400" s="79" t="str">
        <x:f>IF(A400="","",Events!AE399)</x:f>
      </x:c>
    </x:row>
    <x:row r="401">
      <x:c r="A401" s="16" t="str">
        <x:f>IF(Events!A400="","",Events!A400)</x:f>
      </x:c>
      <x:c r="B401" s="16" t="str">
        <x:f>IF(A401="","",Events!B400)</x:f>
      </x:c>
      <x:c r="C401" s="16" t="str">
        <x:f>IF(A401="","",Events!E400)</x:f>
      </x:c>
      <x:c r="D401" s="16" t="str">
        <x:f>IF(A401="","",Events!J400)</x:f>
      </x:c>
      <x:c r="E401" s="16" t="str">
        <x:f>IF(A401="","",Events!N400)</x:f>
      </x:c>
      <x:c r="F401" s="109" t="str">
        <x:f>IF(OR(A401="",Events!H400=""),"",Events!H400)</x:f>
      </x:c>
      <x:c r="G401" s="109" t="str">
        <x:f>IF(A401="","",IF(Events!I400&lt;&gt;"",Events!I400,IF(Events!S400&lt;&gt;"",Events!S400,"")))</x:f>
      </x:c>
      <x:c r="H401" s="16" t="str">
        <x:f>IF(A401="","",Events!W400)</x:f>
      </x:c>
      <x:c r="I401" s="16" t="str">
        <x:f>IF(A401="","",IF(Events!Y400&lt;&gt;"",Events!Y400,IF(OR(ISNUMBER(SEARCH("education",P401)),ISNUMBER(SEARCH("exam",P401)),ISNUMBER(SEARCH("school",P401))),"Education",IF(OR(ISNUMBER(SEARCH("trade agreement",P401)),ISNUMBER(SEARCH("economic",P401)),ISNUMBER(SEARCH("import",P401))),"Trade &amp; economic policy",IF(OR(ISNUMBER(SEARCH("land acquisition",P401)),ISNUMBER(SEARCH("rehabilitation",P401)),ISNUMBER(SEARCH("displacement",P401)),ISNUMBER(SEARCH("township",P401))),"Land &amp; rehabilitation",IF(OR(ISNUMBER(SEARCH("forest",P401)),ISNUMBER(SEARCH("environment",P401)),ISNUMBER(SEARCH("ecological",P401)),ISNUMBER(SEARCH("biodiversity",P401)),ISNUMBER(SEARCH("green cover",P401))),"Environment",IF(OR(ISNUMBER(SEARCH("irrigation",P401)),ISNUMBER(SEARCH("water",P401)),ISNUMBER(SEARCH("crop",P401)),ISNUMBER(SEARCH("farmer",P401)),ISNUMBER(SEARCH("agriculture",P401))),"Agriculture &amp; water",IF(OR(ISNUMBER(SEARCH("health",P401)),ISNUMBER(SEARCH("hospital",P401)),ISNUMBER(SEARCH("medicine",P401))),"Public health",IF(OR(ISNUMBER(SEARCH("employee",P401)),ISNUMBER(SEARCH("labour",P401)),ISNUMBER(SEARCH("worker",P401)),ISNUMBER(SEARCH("salary",P401))),"Labour &amp; employment",IF(OR(ISNUMBER(SEARCH("rti",P401)),ISNUMBER(SEARCH("transparency",P401)),ISNUMBER(SEARCH("corruption",P401)),ISNUMBER(SEARCH("governance",P401))),"Governance &amp; transparency",IF(OR(ISNUMBER(SEARCH("police",P401)),ISNUMBER(SEARCH("detention",P401)),ISNUMBER(SEARCH("civil rights",P401)),ISNUMBER(SEARCH("justice",P401))),"Civil rights &amp; justice",IF(OR(ISNUMBER(SEARCH("road",P401)),ISNUMBER(SEARCH("utility",P401)),ISNUMBER(SEARCH("infrastructure",P401)),ISNUMBER(SEARCH("public service",P401))),"Infrastructure &amp; public services","Other"))))))))))))</x:f>
      </x:c>
      <x:c r="J401" s="16" t="str">
        <x:f>IF(A401="","",IF(OR(ISNUMBER(SEARCH("fatal",Q401)),ISNUMBER(SEARCH("death",Q401)),ISNUMBER(SEARCH("riot",Q401)),ISNUMBER(SEARCH("curfew",Q401)),ISNUMBER(SEARCH("internet shutdown",Q401))),5,MIN(4,1+IF(H401&gt;=7,1,0)+IF(OR(ISNUMBER(SEARCH("hunger strike",Q401)),ISNUMBER(SEARCH("blockade",Q401)),ISNUMBER(SEARCH("strike",Q401)),ISNUMBER(SEARCH("jal satyagraha",Q401)),ISNUMBER(SEARCH("survey",Q401)),ISNUMBER(SEARCH("human chain",Q401)),ISNUMBER(SEARCH("march",Q401))),1,0)+IF(OR(ISNUMBER(SEARCH("fir",Q401)),ISNUMBER(SEARCH("confrontation",Q401)),ISNUMBER(SEARCH("violence",Q401)),ISNUMBER(SEARCH("detention",Q401)),ISNUMBER(SEARCH("arrest",Q401)),ISNUMBER(SEARCH("demolition",Q401)),ISNUMBER(SEARCH("injury",Q401))),1,0)+IF(OR(D401="Ongoing",D401="Unresolved"),1,0))))</x:f>
      </x:c>
      <x:c r="K401" s="16" t="str">
        <x:f>IF(J401="","",IF(J401=1,"Limited",IF(J401=2,"Local",IF(J401=3,"Significant",IF(J401=4,"High","Critical")))))</x:f>
      </x:c>
      <x:c r="L401" s="16" t="str">
        <x:f>IF(A401="","",Events!U400)</x:f>
      </x:c>
      <x:c r="M401" s="16" t="str">
        <x:f>IF(A401="","",Events!V400)</x:f>
      </x:c>
      <x:c r="N401" s="16" t="str">
        <x:f>IF(A401="","",Events!Q400)</x:f>
      </x:c>
      <x:c r="O401" s="16" t="str">
        <x:f>IF(A401="","",Events!R400)</x:f>
      </x:c>
      <x:c r="P401" s="16" t="str">
        <x:f>IF(A401="","",LOWER(Events!B400&amp;" "&amp;Events!D400&amp;" "&amp;Events!K400))</x:f>
      </x:c>
      <x:c r="Q401" s="16" t="str">
        <x:f>IF(A401="","",LOWER(Events!C400&amp;" "&amp;Events!K400&amp;" "&amp;Events!T400))</x:f>
      </x:c>
      <x:c r="R401" s="16" t="str">
        <x:f>IF(A401="","",IF(ISNUMBER(SEARCH("Occurrence verified",E401)),"Occurrence verified",E401))</x:f>
      </x:c>
      <x:c r="S401" s="79" t="str">
        <x:f>IF(A401="","",Events!X400)</x:f>
      </x:c>
      <x:c r="Z401" s="79" t="str">
        <x:f>IF(A401="","",Events!AD400)</x:f>
      </x:c>
      <x:c r="AA401" s="79" t="str">
        <x:f>IF(A401="","",Events!AE400)</x:f>
      </x:c>
    </x:row>
    <x:row r="402">
      <x:c r="A402" s="16" t="str">
        <x:f>IF(Events!A401="","",Events!A401)</x:f>
      </x:c>
      <x:c r="B402" s="16" t="str">
        <x:f>IF(A402="","",Events!B401)</x:f>
      </x:c>
      <x:c r="C402" s="16" t="str">
        <x:f>IF(A402="","",Events!E401)</x:f>
      </x:c>
      <x:c r="D402" s="16" t="str">
        <x:f>IF(A402="","",Events!J401)</x:f>
      </x:c>
      <x:c r="E402" s="16" t="str">
        <x:f>IF(A402="","",Events!N401)</x:f>
      </x:c>
      <x:c r="F402" s="109" t="str">
        <x:f>IF(OR(A402="",Events!H401=""),"",Events!H401)</x:f>
      </x:c>
      <x:c r="G402" s="109" t="str">
        <x:f>IF(A402="","",IF(Events!I401&lt;&gt;"",Events!I401,IF(Events!S401&lt;&gt;"",Events!S401,"")))</x:f>
      </x:c>
      <x:c r="H402" s="16" t="str">
        <x:f>IF(A402="","",Events!W401)</x:f>
      </x:c>
      <x:c r="I402" s="16" t="str">
        <x:f>IF(A402="","",IF(Events!Y401&lt;&gt;"",Events!Y401,IF(OR(ISNUMBER(SEARCH("education",P402)),ISNUMBER(SEARCH("exam",P402)),ISNUMBER(SEARCH("school",P402))),"Education",IF(OR(ISNUMBER(SEARCH("trade agreement",P402)),ISNUMBER(SEARCH("economic",P402)),ISNUMBER(SEARCH("import",P402))),"Trade &amp; economic policy",IF(OR(ISNUMBER(SEARCH("land acquisition",P402)),ISNUMBER(SEARCH("rehabilitation",P402)),ISNUMBER(SEARCH("displacement",P402)),ISNUMBER(SEARCH("township",P402))),"Land &amp; rehabilitation",IF(OR(ISNUMBER(SEARCH("forest",P402)),ISNUMBER(SEARCH("environment",P402)),ISNUMBER(SEARCH("ecological",P402)),ISNUMBER(SEARCH("biodiversity",P402)),ISNUMBER(SEARCH("green cover",P402))),"Environment",IF(OR(ISNUMBER(SEARCH("irrigation",P402)),ISNUMBER(SEARCH("water",P402)),ISNUMBER(SEARCH("crop",P402)),ISNUMBER(SEARCH("farmer",P402)),ISNUMBER(SEARCH("agriculture",P402))),"Agriculture &amp; water",IF(OR(ISNUMBER(SEARCH("health",P402)),ISNUMBER(SEARCH("hospital",P402)),ISNUMBER(SEARCH("medicine",P402))),"Public health",IF(OR(ISNUMBER(SEARCH("employee",P402)),ISNUMBER(SEARCH("labour",P402)),ISNUMBER(SEARCH("worker",P402)),ISNUMBER(SEARCH("salary",P402))),"Labour &amp; employment",IF(OR(ISNUMBER(SEARCH("rti",P402)),ISNUMBER(SEARCH("transparency",P402)),ISNUMBER(SEARCH("corruption",P402)),ISNUMBER(SEARCH("governance",P402))),"Governance &amp; transparency",IF(OR(ISNUMBER(SEARCH("police",P402)),ISNUMBER(SEARCH("detention",P402)),ISNUMBER(SEARCH("civil rights",P402)),ISNUMBER(SEARCH("justice",P402))),"Civil rights &amp; justice",IF(OR(ISNUMBER(SEARCH("road",P402)),ISNUMBER(SEARCH("utility",P402)),ISNUMBER(SEARCH("infrastructure",P402)),ISNUMBER(SEARCH("public service",P402))),"Infrastructure &amp; public services","Other"))))))))))))</x:f>
      </x:c>
      <x:c r="J402" s="16" t="str">
        <x:f>IF(A402="","",IF(OR(ISNUMBER(SEARCH("fatal",Q402)),ISNUMBER(SEARCH("death",Q402)),ISNUMBER(SEARCH("riot",Q402)),ISNUMBER(SEARCH("curfew",Q402)),ISNUMBER(SEARCH("internet shutdown",Q402))),5,MIN(4,1+IF(H402&gt;=7,1,0)+IF(OR(ISNUMBER(SEARCH("hunger strike",Q402)),ISNUMBER(SEARCH("blockade",Q402)),ISNUMBER(SEARCH("strike",Q402)),ISNUMBER(SEARCH("jal satyagraha",Q402)),ISNUMBER(SEARCH("survey",Q402)),ISNUMBER(SEARCH("human chain",Q402)),ISNUMBER(SEARCH("march",Q402))),1,0)+IF(OR(ISNUMBER(SEARCH("fir",Q402)),ISNUMBER(SEARCH("confrontation",Q402)),ISNUMBER(SEARCH("violence",Q402)),ISNUMBER(SEARCH("detention",Q402)),ISNUMBER(SEARCH("arrest",Q402)),ISNUMBER(SEARCH("demolition",Q402)),ISNUMBER(SEARCH("injury",Q402))),1,0)+IF(OR(D402="Ongoing",D402="Unresolved"),1,0))))</x:f>
      </x:c>
      <x:c r="K402" s="16" t="str">
        <x:f>IF(J402="","",IF(J402=1,"Limited",IF(J402=2,"Local",IF(J402=3,"Significant",IF(J402=4,"High","Critical")))))</x:f>
      </x:c>
      <x:c r="L402" s="16" t="str">
        <x:f>IF(A402="","",Events!U401)</x:f>
      </x:c>
      <x:c r="M402" s="16" t="str">
        <x:f>IF(A402="","",Events!V401)</x:f>
      </x:c>
      <x:c r="N402" s="16" t="str">
        <x:f>IF(A402="","",Events!Q401)</x:f>
      </x:c>
      <x:c r="O402" s="16" t="str">
        <x:f>IF(A402="","",Events!R401)</x:f>
      </x:c>
      <x:c r="P402" s="16" t="str">
        <x:f>IF(A402="","",LOWER(Events!B401&amp;" "&amp;Events!D401&amp;" "&amp;Events!K401))</x:f>
      </x:c>
      <x:c r="Q402" s="16" t="str">
        <x:f>IF(A402="","",LOWER(Events!C401&amp;" "&amp;Events!K401&amp;" "&amp;Events!T401))</x:f>
      </x:c>
      <x:c r="R402" s="16" t="str">
        <x:f>IF(A402="","",IF(ISNUMBER(SEARCH("Occurrence verified",E402)),"Occurrence verified",E402))</x:f>
      </x:c>
      <x:c r="S402" s="79" t="str">
        <x:f>IF(A402="","",Events!X401)</x:f>
      </x:c>
      <x:c r="Z402" s="79" t="str">
        <x:f>IF(A402="","",Events!AD401)</x:f>
      </x:c>
      <x:c r="AA402" s="79" t="str">
        <x:f>IF(A402="","",Events!AE401)</x:f>
      </x:c>
    </x:row>
    <x:row r="403">
      <x:c r="A403" s="16" t="str">
        <x:f>IF(Events!A402="","",Events!A402)</x:f>
      </x:c>
      <x:c r="B403" s="16" t="str">
        <x:f>IF(A403="","",Events!B402)</x:f>
      </x:c>
      <x:c r="C403" s="16" t="str">
        <x:f>IF(A403="","",Events!E402)</x:f>
      </x:c>
      <x:c r="D403" s="16" t="str">
        <x:f>IF(A403="","",Events!J402)</x:f>
      </x:c>
      <x:c r="E403" s="16" t="str">
        <x:f>IF(A403="","",Events!N402)</x:f>
      </x:c>
      <x:c r="F403" s="109" t="str">
        <x:f>IF(OR(A403="",Events!H402=""),"",Events!H402)</x:f>
      </x:c>
      <x:c r="G403" s="109" t="str">
        <x:f>IF(A403="","",IF(Events!I402&lt;&gt;"",Events!I402,IF(Events!S402&lt;&gt;"",Events!S402,"")))</x:f>
      </x:c>
      <x:c r="H403" s="16" t="str">
        <x:f>IF(A403="","",Events!W402)</x:f>
      </x:c>
      <x:c r="I403" s="16" t="str">
        <x:f>IF(A403="","",IF(Events!Y402&lt;&gt;"",Events!Y402,IF(OR(ISNUMBER(SEARCH("education",P403)),ISNUMBER(SEARCH("exam",P403)),ISNUMBER(SEARCH("school",P403))),"Education",IF(OR(ISNUMBER(SEARCH("trade agreement",P403)),ISNUMBER(SEARCH("economic",P403)),ISNUMBER(SEARCH("import",P403))),"Trade &amp; economic policy",IF(OR(ISNUMBER(SEARCH("land acquisition",P403)),ISNUMBER(SEARCH("rehabilitation",P403)),ISNUMBER(SEARCH("displacement",P403)),ISNUMBER(SEARCH("township",P403))),"Land &amp; rehabilitation",IF(OR(ISNUMBER(SEARCH("forest",P403)),ISNUMBER(SEARCH("environment",P403)),ISNUMBER(SEARCH("ecological",P403)),ISNUMBER(SEARCH("biodiversity",P403)),ISNUMBER(SEARCH("green cover",P403))),"Environment",IF(OR(ISNUMBER(SEARCH("irrigation",P403)),ISNUMBER(SEARCH("water",P403)),ISNUMBER(SEARCH("crop",P403)),ISNUMBER(SEARCH("farmer",P403)),ISNUMBER(SEARCH("agriculture",P403))),"Agriculture &amp; water",IF(OR(ISNUMBER(SEARCH("health",P403)),ISNUMBER(SEARCH("hospital",P403)),ISNUMBER(SEARCH("medicine",P403))),"Public health",IF(OR(ISNUMBER(SEARCH("employee",P403)),ISNUMBER(SEARCH("labour",P403)),ISNUMBER(SEARCH("worker",P403)),ISNUMBER(SEARCH("salary",P403))),"Labour &amp; employment",IF(OR(ISNUMBER(SEARCH("rti",P403)),ISNUMBER(SEARCH("transparency",P403)),ISNUMBER(SEARCH("corruption",P403)),ISNUMBER(SEARCH("governance",P403))),"Governance &amp; transparency",IF(OR(ISNUMBER(SEARCH("police",P403)),ISNUMBER(SEARCH("detention",P403)),ISNUMBER(SEARCH("civil rights",P403)),ISNUMBER(SEARCH("justice",P403))),"Civil rights &amp; justice",IF(OR(ISNUMBER(SEARCH("road",P403)),ISNUMBER(SEARCH("utility",P403)),ISNUMBER(SEARCH("infrastructure",P403)),ISNUMBER(SEARCH("public service",P403))),"Infrastructure &amp; public services","Other"))))))))))))</x:f>
      </x:c>
      <x:c r="J403" s="16" t="str">
        <x:f>IF(A403="","",IF(OR(ISNUMBER(SEARCH("fatal",Q403)),ISNUMBER(SEARCH("death",Q403)),ISNUMBER(SEARCH("riot",Q403)),ISNUMBER(SEARCH("curfew",Q403)),ISNUMBER(SEARCH("internet shutdown",Q403))),5,MIN(4,1+IF(H403&gt;=7,1,0)+IF(OR(ISNUMBER(SEARCH("hunger strike",Q403)),ISNUMBER(SEARCH("blockade",Q403)),ISNUMBER(SEARCH("strike",Q403)),ISNUMBER(SEARCH("jal satyagraha",Q403)),ISNUMBER(SEARCH("survey",Q403)),ISNUMBER(SEARCH("human chain",Q403)),ISNUMBER(SEARCH("march",Q403))),1,0)+IF(OR(ISNUMBER(SEARCH("fir",Q403)),ISNUMBER(SEARCH("confrontation",Q403)),ISNUMBER(SEARCH("violence",Q403)),ISNUMBER(SEARCH("detention",Q403)),ISNUMBER(SEARCH("arrest",Q403)),ISNUMBER(SEARCH("demolition",Q403)),ISNUMBER(SEARCH("injury",Q403))),1,0)+IF(OR(D403="Ongoing",D403="Unresolved"),1,0))))</x:f>
      </x:c>
      <x:c r="K403" s="16" t="str">
        <x:f>IF(J403="","",IF(J403=1,"Limited",IF(J403=2,"Local",IF(J403=3,"Significant",IF(J403=4,"High","Critical")))))</x:f>
      </x:c>
      <x:c r="L403" s="16" t="str">
        <x:f>IF(A403="","",Events!U402)</x:f>
      </x:c>
      <x:c r="M403" s="16" t="str">
        <x:f>IF(A403="","",Events!V402)</x:f>
      </x:c>
      <x:c r="N403" s="16" t="str">
        <x:f>IF(A403="","",Events!Q402)</x:f>
      </x:c>
      <x:c r="O403" s="16" t="str">
        <x:f>IF(A403="","",Events!R402)</x:f>
      </x:c>
      <x:c r="P403" s="16" t="str">
        <x:f>IF(A403="","",LOWER(Events!B402&amp;" "&amp;Events!D402&amp;" "&amp;Events!K402))</x:f>
      </x:c>
      <x:c r="Q403" s="16" t="str">
        <x:f>IF(A403="","",LOWER(Events!C402&amp;" "&amp;Events!K402&amp;" "&amp;Events!T402))</x:f>
      </x:c>
      <x:c r="R403" s="16" t="str">
        <x:f>IF(A403="","",IF(ISNUMBER(SEARCH("Occurrence verified",E403)),"Occurrence verified",E403))</x:f>
      </x:c>
      <x:c r="S403" s="79" t="str">
        <x:f>IF(A403="","",Events!X402)</x:f>
      </x:c>
      <x:c r="Z403" s="79" t="str">
        <x:f>IF(A403="","",Events!AD402)</x:f>
      </x:c>
      <x:c r="AA403" s="79" t="str">
        <x:f>IF(A403="","",Events!AE402)</x:f>
      </x:c>
    </x:row>
    <x:row r="404">
      <x:c r="A404" s="16" t="str">
        <x:f>IF(Events!A403="","",Events!A403)</x:f>
      </x:c>
      <x:c r="B404" s="16" t="str">
        <x:f>IF(A404="","",Events!B403)</x:f>
      </x:c>
      <x:c r="C404" s="16" t="str">
        <x:f>IF(A404="","",Events!E403)</x:f>
      </x:c>
      <x:c r="D404" s="16" t="str">
        <x:f>IF(A404="","",Events!J403)</x:f>
      </x:c>
      <x:c r="E404" s="16" t="str">
        <x:f>IF(A404="","",Events!N403)</x:f>
      </x:c>
      <x:c r="F404" s="109" t="str">
        <x:f>IF(OR(A404="",Events!H403=""),"",Events!H403)</x:f>
      </x:c>
      <x:c r="G404" s="109" t="str">
        <x:f>IF(A404="","",IF(Events!I403&lt;&gt;"",Events!I403,IF(Events!S403&lt;&gt;"",Events!S403,"")))</x:f>
      </x:c>
      <x:c r="H404" s="16" t="str">
        <x:f>IF(A404="","",Events!W403)</x:f>
      </x:c>
      <x:c r="I404" s="16" t="str">
        <x:f>IF(A404="","",IF(Events!Y403&lt;&gt;"",Events!Y403,IF(OR(ISNUMBER(SEARCH("education",P404)),ISNUMBER(SEARCH("exam",P404)),ISNUMBER(SEARCH("school",P404))),"Education",IF(OR(ISNUMBER(SEARCH("trade agreement",P404)),ISNUMBER(SEARCH("economic",P404)),ISNUMBER(SEARCH("import",P404))),"Trade &amp; economic policy",IF(OR(ISNUMBER(SEARCH("land acquisition",P404)),ISNUMBER(SEARCH("rehabilitation",P404)),ISNUMBER(SEARCH("displacement",P404)),ISNUMBER(SEARCH("township",P404))),"Land &amp; rehabilitation",IF(OR(ISNUMBER(SEARCH("forest",P404)),ISNUMBER(SEARCH("environment",P404)),ISNUMBER(SEARCH("ecological",P404)),ISNUMBER(SEARCH("biodiversity",P404)),ISNUMBER(SEARCH("green cover",P404))),"Environment",IF(OR(ISNUMBER(SEARCH("irrigation",P404)),ISNUMBER(SEARCH("water",P404)),ISNUMBER(SEARCH("crop",P404)),ISNUMBER(SEARCH("farmer",P404)),ISNUMBER(SEARCH("agriculture",P404))),"Agriculture &amp; water",IF(OR(ISNUMBER(SEARCH("health",P404)),ISNUMBER(SEARCH("hospital",P404)),ISNUMBER(SEARCH("medicine",P404))),"Public health",IF(OR(ISNUMBER(SEARCH("employee",P404)),ISNUMBER(SEARCH("labour",P404)),ISNUMBER(SEARCH("worker",P404)),ISNUMBER(SEARCH("salary",P404))),"Labour &amp; employment",IF(OR(ISNUMBER(SEARCH("rti",P404)),ISNUMBER(SEARCH("transparency",P404)),ISNUMBER(SEARCH("corruption",P404)),ISNUMBER(SEARCH("governance",P404))),"Governance &amp; transparency",IF(OR(ISNUMBER(SEARCH("police",P404)),ISNUMBER(SEARCH("detention",P404)),ISNUMBER(SEARCH("civil rights",P404)),ISNUMBER(SEARCH("justice",P404))),"Civil rights &amp; justice",IF(OR(ISNUMBER(SEARCH("road",P404)),ISNUMBER(SEARCH("utility",P404)),ISNUMBER(SEARCH("infrastructure",P404)),ISNUMBER(SEARCH("public service",P404))),"Infrastructure &amp; public services","Other"))))))))))))</x:f>
      </x:c>
      <x:c r="J404" s="16" t="str">
        <x:f>IF(A404="","",IF(OR(ISNUMBER(SEARCH("fatal",Q404)),ISNUMBER(SEARCH("death",Q404)),ISNUMBER(SEARCH("riot",Q404)),ISNUMBER(SEARCH("curfew",Q404)),ISNUMBER(SEARCH("internet shutdown",Q404))),5,MIN(4,1+IF(H404&gt;=7,1,0)+IF(OR(ISNUMBER(SEARCH("hunger strike",Q404)),ISNUMBER(SEARCH("blockade",Q404)),ISNUMBER(SEARCH("strike",Q404)),ISNUMBER(SEARCH("jal satyagraha",Q404)),ISNUMBER(SEARCH("survey",Q404)),ISNUMBER(SEARCH("human chain",Q404)),ISNUMBER(SEARCH("march",Q404))),1,0)+IF(OR(ISNUMBER(SEARCH("fir",Q404)),ISNUMBER(SEARCH("confrontation",Q404)),ISNUMBER(SEARCH("violence",Q404)),ISNUMBER(SEARCH("detention",Q404)),ISNUMBER(SEARCH("arrest",Q404)),ISNUMBER(SEARCH("demolition",Q404)),ISNUMBER(SEARCH("injury",Q404))),1,0)+IF(OR(D404="Ongoing",D404="Unresolved"),1,0))))</x:f>
      </x:c>
      <x:c r="K404" s="16" t="str">
        <x:f>IF(J404="","",IF(J404=1,"Limited",IF(J404=2,"Local",IF(J404=3,"Significant",IF(J404=4,"High","Critical")))))</x:f>
      </x:c>
      <x:c r="L404" s="16" t="str">
        <x:f>IF(A404="","",Events!U403)</x:f>
      </x:c>
      <x:c r="M404" s="16" t="str">
        <x:f>IF(A404="","",Events!V403)</x:f>
      </x:c>
      <x:c r="N404" s="16" t="str">
        <x:f>IF(A404="","",Events!Q403)</x:f>
      </x:c>
      <x:c r="O404" s="16" t="str">
        <x:f>IF(A404="","",Events!R403)</x:f>
      </x:c>
      <x:c r="P404" s="16" t="str">
        <x:f>IF(A404="","",LOWER(Events!B403&amp;" "&amp;Events!D403&amp;" "&amp;Events!K403))</x:f>
      </x:c>
      <x:c r="Q404" s="16" t="str">
        <x:f>IF(A404="","",LOWER(Events!C403&amp;" "&amp;Events!K403&amp;" "&amp;Events!T403))</x:f>
      </x:c>
      <x:c r="R404" s="16" t="str">
        <x:f>IF(A404="","",IF(ISNUMBER(SEARCH("Occurrence verified",E404)),"Occurrence verified",E404))</x:f>
      </x:c>
      <x:c r="S404" s="79" t="str">
        <x:f>IF(A404="","",Events!X403)</x:f>
      </x:c>
      <x:c r="Z404" s="79" t="str">
        <x:f>IF(A404="","",Events!AD403)</x:f>
      </x:c>
      <x:c r="AA404" s="79" t="str">
        <x:f>IF(A404="","",Events!AE403)</x:f>
      </x:c>
    </x:row>
    <x:row r="405">
      <x:c r="A405" s="16" t="str">
        <x:f>IF(Events!A404="","",Events!A404)</x:f>
      </x:c>
      <x:c r="B405" s="16" t="str">
        <x:f>IF(A405="","",Events!B404)</x:f>
      </x:c>
      <x:c r="C405" s="16" t="str">
        <x:f>IF(A405="","",Events!E404)</x:f>
      </x:c>
      <x:c r="D405" s="16" t="str">
        <x:f>IF(A405="","",Events!J404)</x:f>
      </x:c>
      <x:c r="E405" s="16" t="str">
        <x:f>IF(A405="","",Events!N404)</x:f>
      </x:c>
      <x:c r="F405" s="109" t="str">
        <x:f>IF(OR(A405="",Events!H404=""),"",Events!H404)</x:f>
      </x:c>
      <x:c r="G405" s="109" t="str">
        <x:f>IF(A405="","",IF(Events!I404&lt;&gt;"",Events!I404,IF(Events!S404&lt;&gt;"",Events!S404,"")))</x:f>
      </x:c>
      <x:c r="H405" s="16" t="str">
        <x:f>IF(A405="","",Events!W404)</x:f>
      </x:c>
      <x:c r="I405" s="16" t="str">
        <x:f>IF(A405="","",IF(Events!Y404&lt;&gt;"",Events!Y404,IF(OR(ISNUMBER(SEARCH("education",P405)),ISNUMBER(SEARCH("exam",P405)),ISNUMBER(SEARCH("school",P405))),"Education",IF(OR(ISNUMBER(SEARCH("trade agreement",P405)),ISNUMBER(SEARCH("economic",P405)),ISNUMBER(SEARCH("import",P405))),"Trade &amp; economic policy",IF(OR(ISNUMBER(SEARCH("land acquisition",P405)),ISNUMBER(SEARCH("rehabilitation",P405)),ISNUMBER(SEARCH("displacement",P405)),ISNUMBER(SEARCH("township",P405))),"Land &amp; rehabilitation",IF(OR(ISNUMBER(SEARCH("forest",P405)),ISNUMBER(SEARCH("environment",P405)),ISNUMBER(SEARCH("ecological",P405)),ISNUMBER(SEARCH("biodiversity",P405)),ISNUMBER(SEARCH("green cover",P405))),"Environment",IF(OR(ISNUMBER(SEARCH("irrigation",P405)),ISNUMBER(SEARCH("water",P405)),ISNUMBER(SEARCH("crop",P405)),ISNUMBER(SEARCH("farmer",P405)),ISNUMBER(SEARCH("agriculture",P405))),"Agriculture &amp; water",IF(OR(ISNUMBER(SEARCH("health",P405)),ISNUMBER(SEARCH("hospital",P405)),ISNUMBER(SEARCH("medicine",P405))),"Public health",IF(OR(ISNUMBER(SEARCH("employee",P405)),ISNUMBER(SEARCH("labour",P405)),ISNUMBER(SEARCH("worker",P405)),ISNUMBER(SEARCH("salary",P405))),"Labour &amp; employment",IF(OR(ISNUMBER(SEARCH("rti",P405)),ISNUMBER(SEARCH("transparency",P405)),ISNUMBER(SEARCH("corruption",P405)),ISNUMBER(SEARCH("governance",P405))),"Governance &amp; transparency",IF(OR(ISNUMBER(SEARCH("police",P405)),ISNUMBER(SEARCH("detention",P405)),ISNUMBER(SEARCH("civil rights",P405)),ISNUMBER(SEARCH("justice",P405))),"Civil rights &amp; justice",IF(OR(ISNUMBER(SEARCH("road",P405)),ISNUMBER(SEARCH("utility",P405)),ISNUMBER(SEARCH("infrastructure",P405)),ISNUMBER(SEARCH("public service",P405))),"Infrastructure &amp; public services","Other"))))))))))))</x:f>
      </x:c>
      <x:c r="J405" s="16" t="str">
        <x:f>IF(A405="","",IF(OR(ISNUMBER(SEARCH("fatal",Q405)),ISNUMBER(SEARCH("death",Q405)),ISNUMBER(SEARCH("riot",Q405)),ISNUMBER(SEARCH("curfew",Q405)),ISNUMBER(SEARCH("internet shutdown",Q405))),5,MIN(4,1+IF(H405&gt;=7,1,0)+IF(OR(ISNUMBER(SEARCH("hunger strike",Q405)),ISNUMBER(SEARCH("blockade",Q405)),ISNUMBER(SEARCH("strike",Q405)),ISNUMBER(SEARCH("jal satyagraha",Q405)),ISNUMBER(SEARCH("survey",Q405)),ISNUMBER(SEARCH("human chain",Q405)),ISNUMBER(SEARCH("march",Q405))),1,0)+IF(OR(ISNUMBER(SEARCH("fir",Q405)),ISNUMBER(SEARCH("confrontation",Q405)),ISNUMBER(SEARCH("violence",Q405)),ISNUMBER(SEARCH("detention",Q405)),ISNUMBER(SEARCH("arrest",Q405)),ISNUMBER(SEARCH("demolition",Q405)),ISNUMBER(SEARCH("injury",Q405))),1,0)+IF(OR(D405="Ongoing",D405="Unresolved"),1,0))))</x:f>
      </x:c>
      <x:c r="K405" s="16" t="str">
        <x:f>IF(J405="","",IF(J405=1,"Limited",IF(J405=2,"Local",IF(J405=3,"Significant",IF(J405=4,"High","Critical")))))</x:f>
      </x:c>
      <x:c r="L405" s="16" t="str">
        <x:f>IF(A405="","",Events!U404)</x:f>
      </x:c>
      <x:c r="M405" s="16" t="str">
        <x:f>IF(A405="","",Events!V404)</x:f>
      </x:c>
      <x:c r="N405" s="16" t="str">
        <x:f>IF(A405="","",Events!Q404)</x:f>
      </x:c>
      <x:c r="O405" s="16" t="str">
        <x:f>IF(A405="","",Events!R404)</x:f>
      </x:c>
      <x:c r="P405" s="16" t="str">
        <x:f>IF(A405="","",LOWER(Events!B404&amp;" "&amp;Events!D404&amp;" "&amp;Events!K404))</x:f>
      </x:c>
      <x:c r="Q405" s="16" t="str">
        <x:f>IF(A405="","",LOWER(Events!C404&amp;" "&amp;Events!K404&amp;" "&amp;Events!T404))</x:f>
      </x:c>
      <x:c r="R405" s="16" t="str">
        <x:f>IF(A405="","",IF(ISNUMBER(SEARCH("Occurrence verified",E405)),"Occurrence verified",E405))</x:f>
      </x:c>
      <x:c r="S405" s="79" t="str">
        <x:f>IF(A405="","",Events!X404)</x:f>
      </x:c>
      <x:c r="Z405" s="79" t="str">
        <x:f>IF(A405="","",Events!AD404)</x:f>
      </x:c>
      <x:c r="AA405" s="79" t="str">
        <x:f>IF(A405="","",Events!AE404)</x:f>
      </x:c>
    </x:row>
    <x:row r="406">
      <x:c r="A406" s="16" t="str">
        <x:f>IF(Events!A405="","",Events!A405)</x:f>
      </x:c>
      <x:c r="B406" s="16" t="str">
        <x:f>IF(A406="","",Events!B405)</x:f>
      </x:c>
      <x:c r="C406" s="16" t="str">
        <x:f>IF(A406="","",Events!E405)</x:f>
      </x:c>
      <x:c r="D406" s="16" t="str">
        <x:f>IF(A406="","",Events!J405)</x:f>
      </x:c>
      <x:c r="E406" s="16" t="str">
        <x:f>IF(A406="","",Events!N405)</x:f>
      </x:c>
      <x:c r="F406" s="109" t="str">
        <x:f>IF(OR(A406="",Events!H405=""),"",Events!H405)</x:f>
      </x:c>
      <x:c r="G406" s="109" t="str">
        <x:f>IF(A406="","",IF(Events!I405&lt;&gt;"",Events!I405,IF(Events!S405&lt;&gt;"",Events!S405,"")))</x:f>
      </x:c>
      <x:c r="H406" s="16" t="str">
        <x:f>IF(A406="","",Events!W405)</x:f>
      </x:c>
      <x:c r="I406" s="16" t="str">
        <x:f>IF(A406="","",IF(Events!Y405&lt;&gt;"",Events!Y405,IF(OR(ISNUMBER(SEARCH("education",P406)),ISNUMBER(SEARCH("exam",P406)),ISNUMBER(SEARCH("school",P406))),"Education",IF(OR(ISNUMBER(SEARCH("trade agreement",P406)),ISNUMBER(SEARCH("economic",P406)),ISNUMBER(SEARCH("import",P406))),"Trade &amp; economic policy",IF(OR(ISNUMBER(SEARCH("land acquisition",P406)),ISNUMBER(SEARCH("rehabilitation",P406)),ISNUMBER(SEARCH("displacement",P406)),ISNUMBER(SEARCH("township",P406))),"Land &amp; rehabilitation",IF(OR(ISNUMBER(SEARCH("forest",P406)),ISNUMBER(SEARCH("environment",P406)),ISNUMBER(SEARCH("ecological",P406)),ISNUMBER(SEARCH("biodiversity",P406)),ISNUMBER(SEARCH("green cover",P406))),"Environment",IF(OR(ISNUMBER(SEARCH("irrigation",P406)),ISNUMBER(SEARCH("water",P406)),ISNUMBER(SEARCH("crop",P406)),ISNUMBER(SEARCH("farmer",P406)),ISNUMBER(SEARCH("agriculture",P406))),"Agriculture &amp; water",IF(OR(ISNUMBER(SEARCH("health",P406)),ISNUMBER(SEARCH("hospital",P406)),ISNUMBER(SEARCH("medicine",P406))),"Public health",IF(OR(ISNUMBER(SEARCH("employee",P406)),ISNUMBER(SEARCH("labour",P406)),ISNUMBER(SEARCH("worker",P406)),ISNUMBER(SEARCH("salary",P406))),"Labour &amp; employment",IF(OR(ISNUMBER(SEARCH("rti",P406)),ISNUMBER(SEARCH("transparency",P406)),ISNUMBER(SEARCH("corruption",P406)),ISNUMBER(SEARCH("governance",P406))),"Governance &amp; transparency",IF(OR(ISNUMBER(SEARCH("police",P406)),ISNUMBER(SEARCH("detention",P406)),ISNUMBER(SEARCH("civil rights",P406)),ISNUMBER(SEARCH("justice",P406))),"Civil rights &amp; justice",IF(OR(ISNUMBER(SEARCH("road",P406)),ISNUMBER(SEARCH("utility",P406)),ISNUMBER(SEARCH("infrastructure",P406)),ISNUMBER(SEARCH("public service",P406))),"Infrastructure &amp; public services","Other"))))))))))))</x:f>
      </x:c>
      <x:c r="J406" s="16" t="str">
        <x:f>IF(A406="","",IF(OR(ISNUMBER(SEARCH("fatal",Q406)),ISNUMBER(SEARCH("death",Q406)),ISNUMBER(SEARCH("riot",Q406)),ISNUMBER(SEARCH("curfew",Q406)),ISNUMBER(SEARCH("internet shutdown",Q406))),5,MIN(4,1+IF(H406&gt;=7,1,0)+IF(OR(ISNUMBER(SEARCH("hunger strike",Q406)),ISNUMBER(SEARCH("blockade",Q406)),ISNUMBER(SEARCH("strike",Q406)),ISNUMBER(SEARCH("jal satyagraha",Q406)),ISNUMBER(SEARCH("survey",Q406)),ISNUMBER(SEARCH("human chain",Q406)),ISNUMBER(SEARCH("march",Q406))),1,0)+IF(OR(ISNUMBER(SEARCH("fir",Q406)),ISNUMBER(SEARCH("confrontation",Q406)),ISNUMBER(SEARCH("violence",Q406)),ISNUMBER(SEARCH("detention",Q406)),ISNUMBER(SEARCH("arrest",Q406)),ISNUMBER(SEARCH("demolition",Q406)),ISNUMBER(SEARCH("injury",Q406))),1,0)+IF(OR(D406="Ongoing",D406="Unresolved"),1,0))))</x:f>
      </x:c>
      <x:c r="K406" s="16" t="str">
        <x:f>IF(J406="","",IF(J406=1,"Limited",IF(J406=2,"Local",IF(J406=3,"Significant",IF(J406=4,"High","Critical")))))</x:f>
      </x:c>
      <x:c r="L406" s="16" t="str">
        <x:f>IF(A406="","",Events!U405)</x:f>
      </x:c>
      <x:c r="M406" s="16" t="str">
        <x:f>IF(A406="","",Events!V405)</x:f>
      </x:c>
      <x:c r="N406" s="16" t="str">
        <x:f>IF(A406="","",Events!Q405)</x:f>
      </x:c>
      <x:c r="O406" s="16" t="str">
        <x:f>IF(A406="","",Events!R405)</x:f>
      </x:c>
      <x:c r="P406" s="16" t="str">
        <x:f>IF(A406="","",LOWER(Events!B405&amp;" "&amp;Events!D405&amp;" "&amp;Events!K405))</x:f>
      </x:c>
      <x:c r="Q406" s="16" t="str">
        <x:f>IF(A406="","",LOWER(Events!C405&amp;" "&amp;Events!K405&amp;" "&amp;Events!T405))</x:f>
      </x:c>
      <x:c r="R406" s="16" t="str">
        <x:f>IF(A406="","",IF(ISNUMBER(SEARCH("Occurrence verified",E406)),"Occurrence verified",E406))</x:f>
      </x:c>
      <x:c r="S406" s="79" t="str">
        <x:f>IF(A406="","",Events!X405)</x:f>
      </x:c>
      <x:c r="Z406" s="79" t="str">
        <x:f>IF(A406="","",Events!AD405)</x:f>
      </x:c>
      <x:c r="AA406" s="79" t="str">
        <x:f>IF(A406="","",Events!AE405)</x:f>
      </x:c>
    </x:row>
    <x:row r="407">
      <x:c r="A407" s="16" t="str">
        <x:f>IF(Events!A406="","",Events!A406)</x:f>
      </x:c>
      <x:c r="B407" s="16" t="str">
        <x:f>IF(A407="","",Events!B406)</x:f>
      </x:c>
      <x:c r="C407" s="16" t="str">
        <x:f>IF(A407="","",Events!E406)</x:f>
      </x:c>
      <x:c r="D407" s="16" t="str">
        <x:f>IF(A407="","",Events!J406)</x:f>
      </x:c>
      <x:c r="E407" s="16" t="str">
        <x:f>IF(A407="","",Events!N406)</x:f>
      </x:c>
      <x:c r="F407" s="109" t="str">
        <x:f>IF(OR(A407="",Events!H406=""),"",Events!H406)</x:f>
      </x:c>
      <x:c r="G407" s="109" t="str">
        <x:f>IF(A407="","",IF(Events!I406&lt;&gt;"",Events!I406,IF(Events!S406&lt;&gt;"",Events!S406,"")))</x:f>
      </x:c>
      <x:c r="H407" s="16" t="str">
        <x:f>IF(A407="","",Events!W406)</x:f>
      </x:c>
      <x:c r="I407" s="16" t="str">
        <x:f>IF(A407="","",IF(Events!Y406&lt;&gt;"",Events!Y406,IF(OR(ISNUMBER(SEARCH("education",P407)),ISNUMBER(SEARCH("exam",P407)),ISNUMBER(SEARCH("school",P407))),"Education",IF(OR(ISNUMBER(SEARCH("trade agreement",P407)),ISNUMBER(SEARCH("economic",P407)),ISNUMBER(SEARCH("import",P407))),"Trade &amp; economic policy",IF(OR(ISNUMBER(SEARCH("land acquisition",P407)),ISNUMBER(SEARCH("rehabilitation",P407)),ISNUMBER(SEARCH("displacement",P407)),ISNUMBER(SEARCH("township",P407))),"Land &amp; rehabilitation",IF(OR(ISNUMBER(SEARCH("forest",P407)),ISNUMBER(SEARCH("environment",P407)),ISNUMBER(SEARCH("ecological",P407)),ISNUMBER(SEARCH("biodiversity",P407)),ISNUMBER(SEARCH("green cover",P407))),"Environment",IF(OR(ISNUMBER(SEARCH("irrigation",P407)),ISNUMBER(SEARCH("water",P407)),ISNUMBER(SEARCH("crop",P407)),ISNUMBER(SEARCH("farmer",P407)),ISNUMBER(SEARCH("agriculture",P407))),"Agriculture &amp; water",IF(OR(ISNUMBER(SEARCH("health",P407)),ISNUMBER(SEARCH("hospital",P407)),ISNUMBER(SEARCH("medicine",P407))),"Public health",IF(OR(ISNUMBER(SEARCH("employee",P407)),ISNUMBER(SEARCH("labour",P407)),ISNUMBER(SEARCH("worker",P407)),ISNUMBER(SEARCH("salary",P407))),"Labour &amp; employment",IF(OR(ISNUMBER(SEARCH("rti",P407)),ISNUMBER(SEARCH("transparency",P407)),ISNUMBER(SEARCH("corruption",P407)),ISNUMBER(SEARCH("governance",P407))),"Governance &amp; transparency",IF(OR(ISNUMBER(SEARCH("police",P407)),ISNUMBER(SEARCH("detention",P407)),ISNUMBER(SEARCH("civil rights",P407)),ISNUMBER(SEARCH("justice",P407))),"Civil rights &amp; justice",IF(OR(ISNUMBER(SEARCH("road",P407)),ISNUMBER(SEARCH("utility",P407)),ISNUMBER(SEARCH("infrastructure",P407)),ISNUMBER(SEARCH("public service",P407))),"Infrastructure &amp; public services","Other"))))))))))))</x:f>
      </x:c>
      <x:c r="J407" s="16" t="str">
        <x:f>IF(A407="","",IF(OR(ISNUMBER(SEARCH("fatal",Q407)),ISNUMBER(SEARCH("death",Q407)),ISNUMBER(SEARCH("riot",Q407)),ISNUMBER(SEARCH("curfew",Q407)),ISNUMBER(SEARCH("internet shutdown",Q407))),5,MIN(4,1+IF(H407&gt;=7,1,0)+IF(OR(ISNUMBER(SEARCH("hunger strike",Q407)),ISNUMBER(SEARCH("blockade",Q407)),ISNUMBER(SEARCH("strike",Q407)),ISNUMBER(SEARCH("jal satyagraha",Q407)),ISNUMBER(SEARCH("survey",Q407)),ISNUMBER(SEARCH("human chain",Q407)),ISNUMBER(SEARCH("march",Q407))),1,0)+IF(OR(ISNUMBER(SEARCH("fir",Q407)),ISNUMBER(SEARCH("confrontation",Q407)),ISNUMBER(SEARCH("violence",Q407)),ISNUMBER(SEARCH("detention",Q407)),ISNUMBER(SEARCH("arrest",Q407)),ISNUMBER(SEARCH("demolition",Q407)),ISNUMBER(SEARCH("injury",Q407))),1,0)+IF(OR(D407="Ongoing",D407="Unresolved"),1,0))))</x:f>
      </x:c>
      <x:c r="K407" s="16" t="str">
        <x:f>IF(J407="","",IF(J407=1,"Limited",IF(J407=2,"Local",IF(J407=3,"Significant",IF(J407=4,"High","Critical")))))</x:f>
      </x:c>
      <x:c r="L407" s="16" t="str">
        <x:f>IF(A407="","",Events!U406)</x:f>
      </x:c>
      <x:c r="M407" s="16" t="str">
        <x:f>IF(A407="","",Events!V406)</x:f>
      </x:c>
      <x:c r="N407" s="16" t="str">
        <x:f>IF(A407="","",Events!Q406)</x:f>
      </x:c>
      <x:c r="O407" s="16" t="str">
        <x:f>IF(A407="","",Events!R406)</x:f>
      </x:c>
      <x:c r="P407" s="16" t="str">
        <x:f>IF(A407="","",LOWER(Events!B406&amp;" "&amp;Events!D406&amp;" "&amp;Events!K406))</x:f>
      </x:c>
      <x:c r="Q407" s="16" t="str">
        <x:f>IF(A407="","",LOWER(Events!C406&amp;" "&amp;Events!K406&amp;" "&amp;Events!T406))</x:f>
      </x:c>
      <x:c r="R407" s="16" t="str">
        <x:f>IF(A407="","",IF(ISNUMBER(SEARCH("Occurrence verified",E407)),"Occurrence verified",E407))</x:f>
      </x:c>
      <x:c r="S407" s="79" t="str">
        <x:f>IF(A407="","",Events!X406)</x:f>
      </x:c>
      <x:c r="Z407" s="79" t="str">
        <x:f>IF(A407="","",Events!AD406)</x:f>
      </x:c>
      <x:c r="AA407" s="79" t="str">
        <x:f>IF(A407="","",Events!AE406)</x:f>
      </x:c>
    </x:row>
    <x:row r="408">
      <x:c r="A408" s="16" t="str">
        <x:f>IF(Events!A407="","",Events!A407)</x:f>
      </x:c>
      <x:c r="B408" s="16" t="str">
        <x:f>IF(A408="","",Events!B407)</x:f>
      </x:c>
      <x:c r="C408" s="16" t="str">
        <x:f>IF(A408="","",Events!E407)</x:f>
      </x:c>
      <x:c r="D408" s="16" t="str">
        <x:f>IF(A408="","",Events!J407)</x:f>
      </x:c>
      <x:c r="E408" s="16" t="str">
        <x:f>IF(A408="","",Events!N407)</x:f>
      </x:c>
      <x:c r="F408" s="109" t="str">
        <x:f>IF(OR(A408="",Events!H407=""),"",Events!H407)</x:f>
      </x:c>
      <x:c r="G408" s="109" t="str">
        <x:f>IF(A408="","",IF(Events!I407&lt;&gt;"",Events!I407,IF(Events!S407&lt;&gt;"",Events!S407,"")))</x:f>
      </x:c>
      <x:c r="H408" s="16" t="str">
        <x:f>IF(A408="","",Events!W407)</x:f>
      </x:c>
      <x:c r="I408" s="16" t="str">
        <x:f>IF(A408="","",IF(Events!Y407&lt;&gt;"",Events!Y407,IF(OR(ISNUMBER(SEARCH("education",P408)),ISNUMBER(SEARCH("exam",P408)),ISNUMBER(SEARCH("school",P408))),"Education",IF(OR(ISNUMBER(SEARCH("trade agreement",P408)),ISNUMBER(SEARCH("economic",P408)),ISNUMBER(SEARCH("import",P408))),"Trade &amp; economic policy",IF(OR(ISNUMBER(SEARCH("land acquisition",P408)),ISNUMBER(SEARCH("rehabilitation",P408)),ISNUMBER(SEARCH("displacement",P408)),ISNUMBER(SEARCH("township",P408))),"Land &amp; rehabilitation",IF(OR(ISNUMBER(SEARCH("forest",P408)),ISNUMBER(SEARCH("environment",P408)),ISNUMBER(SEARCH("ecological",P408)),ISNUMBER(SEARCH("biodiversity",P408)),ISNUMBER(SEARCH("green cover",P408))),"Environment",IF(OR(ISNUMBER(SEARCH("irrigation",P408)),ISNUMBER(SEARCH("water",P408)),ISNUMBER(SEARCH("crop",P408)),ISNUMBER(SEARCH("farmer",P408)),ISNUMBER(SEARCH("agriculture",P408))),"Agriculture &amp; water",IF(OR(ISNUMBER(SEARCH("health",P408)),ISNUMBER(SEARCH("hospital",P408)),ISNUMBER(SEARCH("medicine",P408))),"Public health",IF(OR(ISNUMBER(SEARCH("employee",P408)),ISNUMBER(SEARCH("labour",P408)),ISNUMBER(SEARCH("worker",P408)),ISNUMBER(SEARCH("salary",P408))),"Labour &amp; employment",IF(OR(ISNUMBER(SEARCH("rti",P408)),ISNUMBER(SEARCH("transparency",P408)),ISNUMBER(SEARCH("corruption",P408)),ISNUMBER(SEARCH("governance",P408))),"Governance &amp; transparency",IF(OR(ISNUMBER(SEARCH("police",P408)),ISNUMBER(SEARCH("detention",P408)),ISNUMBER(SEARCH("civil rights",P408)),ISNUMBER(SEARCH("justice",P408))),"Civil rights &amp; justice",IF(OR(ISNUMBER(SEARCH("road",P408)),ISNUMBER(SEARCH("utility",P408)),ISNUMBER(SEARCH("infrastructure",P408)),ISNUMBER(SEARCH("public service",P408))),"Infrastructure &amp; public services","Other"))))))))))))</x:f>
      </x:c>
      <x:c r="J408" s="16" t="str">
        <x:f>IF(A408="","",IF(OR(ISNUMBER(SEARCH("fatal",Q408)),ISNUMBER(SEARCH("death",Q408)),ISNUMBER(SEARCH("riot",Q408)),ISNUMBER(SEARCH("curfew",Q408)),ISNUMBER(SEARCH("internet shutdown",Q408))),5,MIN(4,1+IF(H408&gt;=7,1,0)+IF(OR(ISNUMBER(SEARCH("hunger strike",Q408)),ISNUMBER(SEARCH("blockade",Q408)),ISNUMBER(SEARCH("strike",Q408)),ISNUMBER(SEARCH("jal satyagraha",Q408)),ISNUMBER(SEARCH("survey",Q408)),ISNUMBER(SEARCH("human chain",Q408)),ISNUMBER(SEARCH("march",Q408))),1,0)+IF(OR(ISNUMBER(SEARCH("fir",Q408)),ISNUMBER(SEARCH("confrontation",Q408)),ISNUMBER(SEARCH("violence",Q408)),ISNUMBER(SEARCH("detention",Q408)),ISNUMBER(SEARCH("arrest",Q408)),ISNUMBER(SEARCH("demolition",Q408)),ISNUMBER(SEARCH("injury",Q408))),1,0)+IF(OR(D408="Ongoing",D408="Unresolved"),1,0))))</x:f>
      </x:c>
      <x:c r="K408" s="16" t="str">
        <x:f>IF(J408="","",IF(J408=1,"Limited",IF(J408=2,"Local",IF(J408=3,"Significant",IF(J408=4,"High","Critical")))))</x:f>
      </x:c>
      <x:c r="L408" s="16" t="str">
        <x:f>IF(A408="","",Events!U407)</x:f>
      </x:c>
      <x:c r="M408" s="16" t="str">
        <x:f>IF(A408="","",Events!V407)</x:f>
      </x:c>
      <x:c r="N408" s="16" t="str">
        <x:f>IF(A408="","",Events!Q407)</x:f>
      </x:c>
      <x:c r="O408" s="16" t="str">
        <x:f>IF(A408="","",Events!R407)</x:f>
      </x:c>
      <x:c r="P408" s="16" t="str">
        <x:f>IF(A408="","",LOWER(Events!B407&amp;" "&amp;Events!D407&amp;" "&amp;Events!K407))</x:f>
      </x:c>
      <x:c r="Q408" s="16" t="str">
        <x:f>IF(A408="","",LOWER(Events!C407&amp;" "&amp;Events!K407&amp;" "&amp;Events!T407))</x:f>
      </x:c>
      <x:c r="R408" s="16" t="str">
        <x:f>IF(A408="","",IF(ISNUMBER(SEARCH("Occurrence verified",E408)),"Occurrence verified",E408))</x:f>
      </x:c>
      <x:c r="S408" s="79" t="str">
        <x:f>IF(A408="","",Events!X407)</x:f>
      </x:c>
      <x:c r="Z408" s="79" t="str">
        <x:f>IF(A408="","",Events!AD407)</x:f>
      </x:c>
      <x:c r="AA408" s="79" t="str">
        <x:f>IF(A408="","",Events!AE407)</x:f>
      </x:c>
    </x:row>
    <x:row r="409">
      <x:c r="A409" s="16" t="str">
        <x:f>IF(Events!A408="","",Events!A408)</x:f>
      </x:c>
      <x:c r="B409" s="16" t="str">
        <x:f>IF(A409="","",Events!B408)</x:f>
      </x:c>
      <x:c r="C409" s="16" t="str">
        <x:f>IF(A409="","",Events!E408)</x:f>
      </x:c>
      <x:c r="D409" s="16" t="str">
        <x:f>IF(A409="","",Events!J408)</x:f>
      </x:c>
      <x:c r="E409" s="16" t="str">
        <x:f>IF(A409="","",Events!N408)</x:f>
      </x:c>
      <x:c r="F409" s="109" t="str">
        <x:f>IF(OR(A409="",Events!H408=""),"",Events!H408)</x:f>
      </x:c>
      <x:c r="G409" s="109" t="str">
        <x:f>IF(A409="","",IF(Events!I408&lt;&gt;"",Events!I408,IF(Events!S408&lt;&gt;"",Events!S408,"")))</x:f>
      </x:c>
      <x:c r="H409" s="16" t="str">
        <x:f>IF(A409="","",Events!W408)</x:f>
      </x:c>
      <x:c r="I409" s="16" t="str">
        <x:f>IF(A409="","",IF(Events!Y408&lt;&gt;"",Events!Y408,IF(OR(ISNUMBER(SEARCH("education",P409)),ISNUMBER(SEARCH("exam",P409)),ISNUMBER(SEARCH("school",P409))),"Education",IF(OR(ISNUMBER(SEARCH("trade agreement",P409)),ISNUMBER(SEARCH("economic",P409)),ISNUMBER(SEARCH("import",P409))),"Trade &amp; economic policy",IF(OR(ISNUMBER(SEARCH("land acquisition",P409)),ISNUMBER(SEARCH("rehabilitation",P409)),ISNUMBER(SEARCH("displacement",P409)),ISNUMBER(SEARCH("township",P409))),"Land &amp; rehabilitation",IF(OR(ISNUMBER(SEARCH("forest",P409)),ISNUMBER(SEARCH("environment",P409)),ISNUMBER(SEARCH("ecological",P409)),ISNUMBER(SEARCH("biodiversity",P409)),ISNUMBER(SEARCH("green cover",P409))),"Environment",IF(OR(ISNUMBER(SEARCH("irrigation",P409)),ISNUMBER(SEARCH("water",P409)),ISNUMBER(SEARCH("crop",P409)),ISNUMBER(SEARCH("farmer",P409)),ISNUMBER(SEARCH("agriculture",P409))),"Agriculture &amp; water",IF(OR(ISNUMBER(SEARCH("health",P409)),ISNUMBER(SEARCH("hospital",P409)),ISNUMBER(SEARCH("medicine",P409))),"Public health",IF(OR(ISNUMBER(SEARCH("employee",P409)),ISNUMBER(SEARCH("labour",P409)),ISNUMBER(SEARCH("worker",P409)),ISNUMBER(SEARCH("salary",P409))),"Labour &amp; employment",IF(OR(ISNUMBER(SEARCH("rti",P409)),ISNUMBER(SEARCH("transparency",P409)),ISNUMBER(SEARCH("corruption",P409)),ISNUMBER(SEARCH("governance",P409))),"Governance &amp; transparency",IF(OR(ISNUMBER(SEARCH("police",P409)),ISNUMBER(SEARCH("detention",P409)),ISNUMBER(SEARCH("civil rights",P409)),ISNUMBER(SEARCH("justice",P409))),"Civil rights &amp; justice",IF(OR(ISNUMBER(SEARCH("road",P409)),ISNUMBER(SEARCH("utility",P409)),ISNUMBER(SEARCH("infrastructure",P409)),ISNUMBER(SEARCH("public service",P409))),"Infrastructure &amp; public services","Other"))))))))))))</x:f>
      </x:c>
      <x:c r="J409" s="16" t="str">
        <x:f>IF(A409="","",IF(OR(ISNUMBER(SEARCH("fatal",Q409)),ISNUMBER(SEARCH("death",Q409)),ISNUMBER(SEARCH("riot",Q409)),ISNUMBER(SEARCH("curfew",Q409)),ISNUMBER(SEARCH("internet shutdown",Q409))),5,MIN(4,1+IF(H409&gt;=7,1,0)+IF(OR(ISNUMBER(SEARCH("hunger strike",Q409)),ISNUMBER(SEARCH("blockade",Q409)),ISNUMBER(SEARCH("strike",Q409)),ISNUMBER(SEARCH("jal satyagraha",Q409)),ISNUMBER(SEARCH("survey",Q409)),ISNUMBER(SEARCH("human chain",Q409)),ISNUMBER(SEARCH("march",Q409))),1,0)+IF(OR(ISNUMBER(SEARCH("fir",Q409)),ISNUMBER(SEARCH("confrontation",Q409)),ISNUMBER(SEARCH("violence",Q409)),ISNUMBER(SEARCH("detention",Q409)),ISNUMBER(SEARCH("arrest",Q409)),ISNUMBER(SEARCH("demolition",Q409)),ISNUMBER(SEARCH("injury",Q409))),1,0)+IF(OR(D409="Ongoing",D409="Unresolved"),1,0))))</x:f>
      </x:c>
      <x:c r="K409" s="16" t="str">
        <x:f>IF(J409="","",IF(J409=1,"Limited",IF(J409=2,"Local",IF(J409=3,"Significant",IF(J409=4,"High","Critical")))))</x:f>
      </x:c>
      <x:c r="L409" s="16" t="str">
        <x:f>IF(A409="","",Events!U408)</x:f>
      </x:c>
      <x:c r="M409" s="16" t="str">
        <x:f>IF(A409="","",Events!V408)</x:f>
      </x:c>
      <x:c r="N409" s="16" t="str">
        <x:f>IF(A409="","",Events!Q408)</x:f>
      </x:c>
      <x:c r="O409" s="16" t="str">
        <x:f>IF(A409="","",Events!R408)</x:f>
      </x:c>
      <x:c r="P409" s="16" t="str">
        <x:f>IF(A409="","",LOWER(Events!B408&amp;" "&amp;Events!D408&amp;" "&amp;Events!K408))</x:f>
      </x:c>
      <x:c r="Q409" s="16" t="str">
        <x:f>IF(A409="","",LOWER(Events!C408&amp;" "&amp;Events!K408&amp;" "&amp;Events!T408))</x:f>
      </x:c>
      <x:c r="R409" s="16" t="str">
        <x:f>IF(A409="","",IF(ISNUMBER(SEARCH("Occurrence verified",E409)),"Occurrence verified",E409))</x:f>
      </x:c>
      <x:c r="S409" s="79" t="str">
        <x:f>IF(A409="","",Events!X408)</x:f>
      </x:c>
      <x:c r="Z409" s="79" t="str">
        <x:f>IF(A409="","",Events!AD408)</x:f>
      </x:c>
      <x:c r="AA409" s="79" t="str">
        <x:f>IF(A409="","",Events!AE408)</x:f>
      </x:c>
    </x:row>
    <x:row r="410">
      <x:c r="A410" s="16" t="str">
        <x:f>IF(Events!A409="","",Events!A409)</x:f>
      </x:c>
      <x:c r="B410" s="16" t="str">
        <x:f>IF(A410="","",Events!B409)</x:f>
      </x:c>
      <x:c r="C410" s="16" t="str">
        <x:f>IF(A410="","",Events!E409)</x:f>
      </x:c>
      <x:c r="D410" s="16" t="str">
        <x:f>IF(A410="","",Events!J409)</x:f>
      </x:c>
      <x:c r="E410" s="16" t="str">
        <x:f>IF(A410="","",Events!N409)</x:f>
      </x:c>
      <x:c r="F410" s="109" t="str">
        <x:f>IF(OR(A410="",Events!H409=""),"",Events!H409)</x:f>
      </x:c>
      <x:c r="G410" s="109" t="str">
        <x:f>IF(A410="","",IF(Events!I409&lt;&gt;"",Events!I409,IF(Events!S409&lt;&gt;"",Events!S409,"")))</x:f>
      </x:c>
      <x:c r="H410" s="16" t="str">
        <x:f>IF(A410="","",Events!W409)</x:f>
      </x:c>
      <x:c r="I410" s="16" t="str">
        <x:f>IF(A410="","",IF(Events!Y409&lt;&gt;"",Events!Y409,IF(OR(ISNUMBER(SEARCH("education",P410)),ISNUMBER(SEARCH("exam",P410)),ISNUMBER(SEARCH("school",P410))),"Education",IF(OR(ISNUMBER(SEARCH("trade agreement",P410)),ISNUMBER(SEARCH("economic",P410)),ISNUMBER(SEARCH("import",P410))),"Trade &amp; economic policy",IF(OR(ISNUMBER(SEARCH("land acquisition",P410)),ISNUMBER(SEARCH("rehabilitation",P410)),ISNUMBER(SEARCH("displacement",P410)),ISNUMBER(SEARCH("township",P410))),"Land &amp; rehabilitation",IF(OR(ISNUMBER(SEARCH("forest",P410)),ISNUMBER(SEARCH("environment",P410)),ISNUMBER(SEARCH("ecological",P410)),ISNUMBER(SEARCH("biodiversity",P410)),ISNUMBER(SEARCH("green cover",P410))),"Environment",IF(OR(ISNUMBER(SEARCH("irrigation",P410)),ISNUMBER(SEARCH("water",P410)),ISNUMBER(SEARCH("crop",P410)),ISNUMBER(SEARCH("farmer",P410)),ISNUMBER(SEARCH("agriculture",P410))),"Agriculture &amp; water",IF(OR(ISNUMBER(SEARCH("health",P410)),ISNUMBER(SEARCH("hospital",P410)),ISNUMBER(SEARCH("medicine",P410))),"Public health",IF(OR(ISNUMBER(SEARCH("employee",P410)),ISNUMBER(SEARCH("labour",P410)),ISNUMBER(SEARCH("worker",P410)),ISNUMBER(SEARCH("salary",P410))),"Labour &amp; employment",IF(OR(ISNUMBER(SEARCH("rti",P410)),ISNUMBER(SEARCH("transparency",P410)),ISNUMBER(SEARCH("corruption",P410)),ISNUMBER(SEARCH("governance",P410))),"Governance &amp; transparency",IF(OR(ISNUMBER(SEARCH("police",P410)),ISNUMBER(SEARCH("detention",P410)),ISNUMBER(SEARCH("civil rights",P410)),ISNUMBER(SEARCH("justice",P410))),"Civil rights &amp; justice",IF(OR(ISNUMBER(SEARCH("road",P410)),ISNUMBER(SEARCH("utility",P410)),ISNUMBER(SEARCH("infrastructure",P410)),ISNUMBER(SEARCH("public service",P410))),"Infrastructure &amp; public services","Other"))))))))))))</x:f>
      </x:c>
      <x:c r="J410" s="16" t="str">
        <x:f>IF(A410="","",IF(OR(ISNUMBER(SEARCH("fatal",Q410)),ISNUMBER(SEARCH("death",Q410)),ISNUMBER(SEARCH("riot",Q410)),ISNUMBER(SEARCH("curfew",Q410)),ISNUMBER(SEARCH("internet shutdown",Q410))),5,MIN(4,1+IF(H410&gt;=7,1,0)+IF(OR(ISNUMBER(SEARCH("hunger strike",Q410)),ISNUMBER(SEARCH("blockade",Q410)),ISNUMBER(SEARCH("strike",Q410)),ISNUMBER(SEARCH("jal satyagraha",Q410)),ISNUMBER(SEARCH("survey",Q410)),ISNUMBER(SEARCH("human chain",Q410)),ISNUMBER(SEARCH("march",Q410))),1,0)+IF(OR(ISNUMBER(SEARCH("fir",Q410)),ISNUMBER(SEARCH("confrontation",Q410)),ISNUMBER(SEARCH("violence",Q410)),ISNUMBER(SEARCH("detention",Q410)),ISNUMBER(SEARCH("arrest",Q410)),ISNUMBER(SEARCH("demolition",Q410)),ISNUMBER(SEARCH("injury",Q410))),1,0)+IF(OR(D410="Ongoing",D410="Unresolved"),1,0))))</x:f>
      </x:c>
      <x:c r="K410" s="16" t="str">
        <x:f>IF(J410="","",IF(J410=1,"Limited",IF(J410=2,"Local",IF(J410=3,"Significant",IF(J410=4,"High","Critical")))))</x:f>
      </x:c>
      <x:c r="L410" s="16" t="str">
        <x:f>IF(A410="","",Events!U409)</x:f>
      </x:c>
      <x:c r="M410" s="16" t="str">
        <x:f>IF(A410="","",Events!V409)</x:f>
      </x:c>
      <x:c r="N410" s="16" t="str">
        <x:f>IF(A410="","",Events!Q409)</x:f>
      </x:c>
      <x:c r="O410" s="16" t="str">
        <x:f>IF(A410="","",Events!R409)</x:f>
      </x:c>
      <x:c r="P410" s="16" t="str">
        <x:f>IF(A410="","",LOWER(Events!B409&amp;" "&amp;Events!D409&amp;" "&amp;Events!K409))</x:f>
      </x:c>
      <x:c r="Q410" s="16" t="str">
        <x:f>IF(A410="","",LOWER(Events!C409&amp;" "&amp;Events!K409&amp;" "&amp;Events!T409))</x:f>
      </x:c>
      <x:c r="R410" s="16" t="str">
        <x:f>IF(A410="","",IF(ISNUMBER(SEARCH("Occurrence verified",E410)),"Occurrence verified",E410))</x:f>
      </x:c>
      <x:c r="S410" s="79" t="str">
        <x:f>IF(A410="","",Events!X409)</x:f>
      </x:c>
      <x:c r="Z410" s="79" t="str">
        <x:f>IF(A410="","",Events!AD409)</x:f>
      </x:c>
      <x:c r="AA410" s="79" t="str">
        <x:f>IF(A410="","",Events!AE409)</x:f>
      </x:c>
    </x:row>
    <x:row r="411">
      <x:c r="A411" s="16" t="str">
        <x:f>IF(Events!A410="","",Events!A410)</x:f>
      </x:c>
      <x:c r="B411" s="16" t="str">
        <x:f>IF(A411="","",Events!B410)</x:f>
      </x:c>
      <x:c r="C411" s="16" t="str">
        <x:f>IF(A411="","",Events!E410)</x:f>
      </x:c>
      <x:c r="D411" s="16" t="str">
        <x:f>IF(A411="","",Events!J410)</x:f>
      </x:c>
      <x:c r="E411" s="16" t="str">
        <x:f>IF(A411="","",Events!N410)</x:f>
      </x:c>
      <x:c r="F411" s="109" t="str">
        <x:f>IF(OR(A411="",Events!H410=""),"",Events!H410)</x:f>
      </x:c>
      <x:c r="G411" s="109" t="str">
        <x:f>IF(A411="","",IF(Events!I410&lt;&gt;"",Events!I410,IF(Events!S410&lt;&gt;"",Events!S410,"")))</x:f>
      </x:c>
      <x:c r="H411" s="16" t="str">
        <x:f>IF(A411="","",Events!W410)</x:f>
      </x:c>
      <x:c r="I411" s="16" t="str">
        <x:f>IF(A411="","",IF(Events!Y410&lt;&gt;"",Events!Y410,IF(OR(ISNUMBER(SEARCH("education",P411)),ISNUMBER(SEARCH("exam",P411)),ISNUMBER(SEARCH("school",P411))),"Education",IF(OR(ISNUMBER(SEARCH("trade agreement",P411)),ISNUMBER(SEARCH("economic",P411)),ISNUMBER(SEARCH("import",P411))),"Trade &amp; economic policy",IF(OR(ISNUMBER(SEARCH("land acquisition",P411)),ISNUMBER(SEARCH("rehabilitation",P411)),ISNUMBER(SEARCH("displacement",P411)),ISNUMBER(SEARCH("township",P411))),"Land &amp; rehabilitation",IF(OR(ISNUMBER(SEARCH("forest",P411)),ISNUMBER(SEARCH("environment",P411)),ISNUMBER(SEARCH("ecological",P411)),ISNUMBER(SEARCH("biodiversity",P411)),ISNUMBER(SEARCH("green cover",P411))),"Environment",IF(OR(ISNUMBER(SEARCH("irrigation",P411)),ISNUMBER(SEARCH("water",P411)),ISNUMBER(SEARCH("crop",P411)),ISNUMBER(SEARCH("farmer",P411)),ISNUMBER(SEARCH("agriculture",P411))),"Agriculture &amp; water",IF(OR(ISNUMBER(SEARCH("health",P411)),ISNUMBER(SEARCH("hospital",P411)),ISNUMBER(SEARCH("medicine",P411))),"Public health",IF(OR(ISNUMBER(SEARCH("employee",P411)),ISNUMBER(SEARCH("labour",P411)),ISNUMBER(SEARCH("worker",P411)),ISNUMBER(SEARCH("salary",P411))),"Labour &amp; employment",IF(OR(ISNUMBER(SEARCH("rti",P411)),ISNUMBER(SEARCH("transparency",P411)),ISNUMBER(SEARCH("corruption",P411)),ISNUMBER(SEARCH("governance",P411))),"Governance &amp; transparency",IF(OR(ISNUMBER(SEARCH("police",P411)),ISNUMBER(SEARCH("detention",P411)),ISNUMBER(SEARCH("civil rights",P411)),ISNUMBER(SEARCH("justice",P411))),"Civil rights &amp; justice",IF(OR(ISNUMBER(SEARCH("road",P411)),ISNUMBER(SEARCH("utility",P411)),ISNUMBER(SEARCH("infrastructure",P411)),ISNUMBER(SEARCH("public service",P411))),"Infrastructure &amp; public services","Other"))))))))))))</x:f>
      </x:c>
      <x:c r="J411" s="16" t="str">
        <x:f>IF(A411="","",IF(OR(ISNUMBER(SEARCH("fatal",Q411)),ISNUMBER(SEARCH("death",Q411)),ISNUMBER(SEARCH("riot",Q411)),ISNUMBER(SEARCH("curfew",Q411)),ISNUMBER(SEARCH("internet shutdown",Q411))),5,MIN(4,1+IF(H411&gt;=7,1,0)+IF(OR(ISNUMBER(SEARCH("hunger strike",Q411)),ISNUMBER(SEARCH("blockade",Q411)),ISNUMBER(SEARCH("strike",Q411)),ISNUMBER(SEARCH("jal satyagraha",Q411)),ISNUMBER(SEARCH("survey",Q411)),ISNUMBER(SEARCH("human chain",Q411)),ISNUMBER(SEARCH("march",Q411))),1,0)+IF(OR(ISNUMBER(SEARCH("fir",Q411)),ISNUMBER(SEARCH("confrontation",Q411)),ISNUMBER(SEARCH("violence",Q411)),ISNUMBER(SEARCH("detention",Q411)),ISNUMBER(SEARCH("arrest",Q411)),ISNUMBER(SEARCH("demolition",Q411)),ISNUMBER(SEARCH("injury",Q411))),1,0)+IF(OR(D411="Ongoing",D411="Unresolved"),1,0))))</x:f>
      </x:c>
      <x:c r="K411" s="16" t="str">
        <x:f>IF(J411="","",IF(J411=1,"Limited",IF(J411=2,"Local",IF(J411=3,"Significant",IF(J411=4,"High","Critical")))))</x:f>
      </x:c>
      <x:c r="L411" s="16" t="str">
        <x:f>IF(A411="","",Events!U410)</x:f>
      </x:c>
      <x:c r="M411" s="16" t="str">
        <x:f>IF(A411="","",Events!V410)</x:f>
      </x:c>
      <x:c r="N411" s="16" t="str">
        <x:f>IF(A411="","",Events!Q410)</x:f>
      </x:c>
      <x:c r="O411" s="16" t="str">
        <x:f>IF(A411="","",Events!R410)</x:f>
      </x:c>
      <x:c r="P411" s="16" t="str">
        <x:f>IF(A411="","",LOWER(Events!B410&amp;" "&amp;Events!D410&amp;" "&amp;Events!K410))</x:f>
      </x:c>
      <x:c r="Q411" s="16" t="str">
        <x:f>IF(A411="","",LOWER(Events!C410&amp;" "&amp;Events!K410&amp;" "&amp;Events!T410))</x:f>
      </x:c>
      <x:c r="R411" s="16" t="str">
        <x:f>IF(A411="","",IF(ISNUMBER(SEARCH("Occurrence verified",E411)),"Occurrence verified",E411))</x:f>
      </x:c>
      <x:c r="S411" s="79" t="str">
        <x:f>IF(A411="","",Events!X410)</x:f>
      </x:c>
      <x:c r="Z411" s="79" t="str">
        <x:f>IF(A411="","",Events!AD410)</x:f>
      </x:c>
      <x:c r="AA411" s="79" t="str">
        <x:f>IF(A411="","",Events!AE410)</x:f>
      </x:c>
    </x:row>
    <x:row r="412">
      <x:c r="A412" s="16" t="str">
        <x:f>IF(Events!A411="","",Events!A411)</x:f>
      </x:c>
      <x:c r="B412" s="16" t="str">
        <x:f>IF(A412="","",Events!B411)</x:f>
      </x:c>
      <x:c r="C412" s="16" t="str">
        <x:f>IF(A412="","",Events!E411)</x:f>
      </x:c>
      <x:c r="D412" s="16" t="str">
        <x:f>IF(A412="","",Events!J411)</x:f>
      </x:c>
      <x:c r="E412" s="16" t="str">
        <x:f>IF(A412="","",Events!N411)</x:f>
      </x:c>
      <x:c r="F412" s="109" t="str">
        <x:f>IF(OR(A412="",Events!H411=""),"",Events!H411)</x:f>
      </x:c>
      <x:c r="G412" s="109" t="str">
        <x:f>IF(A412="","",IF(Events!I411&lt;&gt;"",Events!I411,IF(Events!S411&lt;&gt;"",Events!S411,"")))</x:f>
      </x:c>
      <x:c r="H412" s="16" t="str">
        <x:f>IF(A412="","",Events!W411)</x:f>
      </x:c>
      <x:c r="I412" s="16" t="str">
        <x:f>IF(A412="","",IF(Events!Y411&lt;&gt;"",Events!Y411,IF(OR(ISNUMBER(SEARCH("education",P412)),ISNUMBER(SEARCH("exam",P412)),ISNUMBER(SEARCH("school",P412))),"Education",IF(OR(ISNUMBER(SEARCH("trade agreement",P412)),ISNUMBER(SEARCH("economic",P412)),ISNUMBER(SEARCH("import",P412))),"Trade &amp; economic policy",IF(OR(ISNUMBER(SEARCH("land acquisition",P412)),ISNUMBER(SEARCH("rehabilitation",P412)),ISNUMBER(SEARCH("displacement",P412)),ISNUMBER(SEARCH("township",P412))),"Land &amp; rehabilitation",IF(OR(ISNUMBER(SEARCH("forest",P412)),ISNUMBER(SEARCH("environment",P412)),ISNUMBER(SEARCH("ecological",P412)),ISNUMBER(SEARCH("biodiversity",P412)),ISNUMBER(SEARCH("green cover",P412))),"Environment",IF(OR(ISNUMBER(SEARCH("irrigation",P412)),ISNUMBER(SEARCH("water",P412)),ISNUMBER(SEARCH("crop",P412)),ISNUMBER(SEARCH("farmer",P412)),ISNUMBER(SEARCH("agriculture",P412))),"Agriculture &amp; water",IF(OR(ISNUMBER(SEARCH("health",P412)),ISNUMBER(SEARCH("hospital",P412)),ISNUMBER(SEARCH("medicine",P412))),"Public health",IF(OR(ISNUMBER(SEARCH("employee",P412)),ISNUMBER(SEARCH("labour",P412)),ISNUMBER(SEARCH("worker",P412)),ISNUMBER(SEARCH("salary",P412))),"Labour &amp; employment",IF(OR(ISNUMBER(SEARCH("rti",P412)),ISNUMBER(SEARCH("transparency",P412)),ISNUMBER(SEARCH("corruption",P412)),ISNUMBER(SEARCH("governance",P412))),"Governance &amp; transparency",IF(OR(ISNUMBER(SEARCH("police",P412)),ISNUMBER(SEARCH("detention",P412)),ISNUMBER(SEARCH("civil rights",P412)),ISNUMBER(SEARCH("justice",P412))),"Civil rights &amp; justice",IF(OR(ISNUMBER(SEARCH("road",P412)),ISNUMBER(SEARCH("utility",P412)),ISNUMBER(SEARCH("infrastructure",P412)),ISNUMBER(SEARCH("public service",P412))),"Infrastructure &amp; public services","Other"))))))))))))</x:f>
      </x:c>
      <x:c r="J412" s="16" t="str">
        <x:f>IF(A412="","",IF(OR(ISNUMBER(SEARCH("fatal",Q412)),ISNUMBER(SEARCH("death",Q412)),ISNUMBER(SEARCH("riot",Q412)),ISNUMBER(SEARCH("curfew",Q412)),ISNUMBER(SEARCH("internet shutdown",Q412))),5,MIN(4,1+IF(H412&gt;=7,1,0)+IF(OR(ISNUMBER(SEARCH("hunger strike",Q412)),ISNUMBER(SEARCH("blockade",Q412)),ISNUMBER(SEARCH("strike",Q412)),ISNUMBER(SEARCH("jal satyagraha",Q412)),ISNUMBER(SEARCH("survey",Q412)),ISNUMBER(SEARCH("human chain",Q412)),ISNUMBER(SEARCH("march",Q412))),1,0)+IF(OR(ISNUMBER(SEARCH("fir",Q412)),ISNUMBER(SEARCH("confrontation",Q412)),ISNUMBER(SEARCH("violence",Q412)),ISNUMBER(SEARCH("detention",Q412)),ISNUMBER(SEARCH("arrest",Q412)),ISNUMBER(SEARCH("demolition",Q412)),ISNUMBER(SEARCH("injury",Q412))),1,0)+IF(OR(D412="Ongoing",D412="Unresolved"),1,0))))</x:f>
      </x:c>
      <x:c r="K412" s="16" t="str">
        <x:f>IF(J412="","",IF(J412=1,"Limited",IF(J412=2,"Local",IF(J412=3,"Significant",IF(J412=4,"High","Critical")))))</x:f>
      </x:c>
      <x:c r="L412" s="16" t="str">
        <x:f>IF(A412="","",Events!U411)</x:f>
      </x:c>
      <x:c r="M412" s="16" t="str">
        <x:f>IF(A412="","",Events!V411)</x:f>
      </x:c>
      <x:c r="N412" s="16" t="str">
        <x:f>IF(A412="","",Events!Q411)</x:f>
      </x:c>
      <x:c r="O412" s="16" t="str">
        <x:f>IF(A412="","",Events!R411)</x:f>
      </x:c>
      <x:c r="P412" s="16" t="str">
        <x:f>IF(A412="","",LOWER(Events!B411&amp;" "&amp;Events!D411&amp;" "&amp;Events!K411))</x:f>
      </x:c>
      <x:c r="Q412" s="16" t="str">
        <x:f>IF(A412="","",LOWER(Events!C411&amp;" "&amp;Events!K411&amp;" "&amp;Events!T411))</x:f>
      </x:c>
      <x:c r="R412" s="16" t="str">
        <x:f>IF(A412="","",IF(ISNUMBER(SEARCH("Occurrence verified",E412)),"Occurrence verified",E412))</x:f>
      </x:c>
      <x:c r="S412" s="79" t="str">
        <x:f>IF(A412="","",Events!X411)</x:f>
      </x:c>
      <x:c r="Z412" s="79" t="str">
        <x:f>IF(A412="","",Events!AD411)</x:f>
      </x:c>
      <x:c r="AA412" s="79" t="str">
        <x:f>IF(A412="","",Events!AE411)</x:f>
      </x:c>
    </x:row>
    <x:row r="413">
      <x:c r="A413" s="16" t="str">
        <x:f>IF(Events!A412="","",Events!A412)</x:f>
      </x:c>
      <x:c r="B413" s="16" t="str">
        <x:f>IF(A413="","",Events!B412)</x:f>
      </x:c>
      <x:c r="C413" s="16" t="str">
        <x:f>IF(A413="","",Events!E412)</x:f>
      </x:c>
      <x:c r="D413" s="16" t="str">
        <x:f>IF(A413="","",Events!J412)</x:f>
      </x:c>
      <x:c r="E413" s="16" t="str">
        <x:f>IF(A413="","",Events!N412)</x:f>
      </x:c>
      <x:c r="F413" s="109" t="str">
        <x:f>IF(OR(A413="",Events!H412=""),"",Events!H412)</x:f>
      </x:c>
      <x:c r="G413" s="109" t="str">
        <x:f>IF(A413="","",IF(Events!I412&lt;&gt;"",Events!I412,IF(Events!S412&lt;&gt;"",Events!S412,"")))</x:f>
      </x:c>
      <x:c r="H413" s="16" t="str">
        <x:f>IF(A413="","",Events!W412)</x:f>
      </x:c>
      <x:c r="I413" s="16" t="str">
        <x:f>IF(A413="","",IF(Events!Y412&lt;&gt;"",Events!Y412,IF(OR(ISNUMBER(SEARCH("education",P413)),ISNUMBER(SEARCH("exam",P413)),ISNUMBER(SEARCH("school",P413))),"Education",IF(OR(ISNUMBER(SEARCH("trade agreement",P413)),ISNUMBER(SEARCH("economic",P413)),ISNUMBER(SEARCH("import",P413))),"Trade &amp; economic policy",IF(OR(ISNUMBER(SEARCH("land acquisition",P413)),ISNUMBER(SEARCH("rehabilitation",P413)),ISNUMBER(SEARCH("displacement",P413)),ISNUMBER(SEARCH("township",P413))),"Land &amp; rehabilitation",IF(OR(ISNUMBER(SEARCH("forest",P413)),ISNUMBER(SEARCH("environment",P413)),ISNUMBER(SEARCH("ecological",P413)),ISNUMBER(SEARCH("biodiversity",P413)),ISNUMBER(SEARCH("green cover",P413))),"Environment",IF(OR(ISNUMBER(SEARCH("irrigation",P413)),ISNUMBER(SEARCH("water",P413)),ISNUMBER(SEARCH("crop",P413)),ISNUMBER(SEARCH("farmer",P413)),ISNUMBER(SEARCH("agriculture",P413))),"Agriculture &amp; water",IF(OR(ISNUMBER(SEARCH("health",P413)),ISNUMBER(SEARCH("hospital",P413)),ISNUMBER(SEARCH("medicine",P413))),"Public health",IF(OR(ISNUMBER(SEARCH("employee",P413)),ISNUMBER(SEARCH("labour",P413)),ISNUMBER(SEARCH("worker",P413)),ISNUMBER(SEARCH("salary",P413))),"Labour &amp; employment",IF(OR(ISNUMBER(SEARCH("rti",P413)),ISNUMBER(SEARCH("transparency",P413)),ISNUMBER(SEARCH("corruption",P413)),ISNUMBER(SEARCH("governance",P413))),"Governance &amp; transparency",IF(OR(ISNUMBER(SEARCH("police",P413)),ISNUMBER(SEARCH("detention",P413)),ISNUMBER(SEARCH("civil rights",P413)),ISNUMBER(SEARCH("justice",P413))),"Civil rights &amp; justice",IF(OR(ISNUMBER(SEARCH("road",P413)),ISNUMBER(SEARCH("utility",P413)),ISNUMBER(SEARCH("infrastructure",P413)),ISNUMBER(SEARCH("public service",P413))),"Infrastructure &amp; public services","Other"))))))))))))</x:f>
      </x:c>
      <x:c r="J413" s="16" t="str">
        <x:f>IF(A413="","",IF(OR(ISNUMBER(SEARCH("fatal",Q413)),ISNUMBER(SEARCH("death",Q413)),ISNUMBER(SEARCH("riot",Q413)),ISNUMBER(SEARCH("curfew",Q413)),ISNUMBER(SEARCH("internet shutdown",Q413))),5,MIN(4,1+IF(H413&gt;=7,1,0)+IF(OR(ISNUMBER(SEARCH("hunger strike",Q413)),ISNUMBER(SEARCH("blockade",Q413)),ISNUMBER(SEARCH("strike",Q413)),ISNUMBER(SEARCH("jal satyagraha",Q413)),ISNUMBER(SEARCH("survey",Q413)),ISNUMBER(SEARCH("human chain",Q413)),ISNUMBER(SEARCH("march",Q413))),1,0)+IF(OR(ISNUMBER(SEARCH("fir",Q413)),ISNUMBER(SEARCH("confrontation",Q413)),ISNUMBER(SEARCH("violence",Q413)),ISNUMBER(SEARCH("detention",Q413)),ISNUMBER(SEARCH("arrest",Q413)),ISNUMBER(SEARCH("demolition",Q413)),ISNUMBER(SEARCH("injury",Q413))),1,0)+IF(OR(D413="Ongoing",D413="Unresolved"),1,0))))</x:f>
      </x:c>
      <x:c r="K413" s="16" t="str">
        <x:f>IF(J413="","",IF(J413=1,"Limited",IF(J413=2,"Local",IF(J413=3,"Significant",IF(J413=4,"High","Critical")))))</x:f>
      </x:c>
      <x:c r="L413" s="16" t="str">
        <x:f>IF(A413="","",Events!U412)</x:f>
      </x:c>
      <x:c r="M413" s="16" t="str">
        <x:f>IF(A413="","",Events!V412)</x:f>
      </x:c>
      <x:c r="N413" s="16" t="str">
        <x:f>IF(A413="","",Events!Q412)</x:f>
      </x:c>
      <x:c r="O413" s="16" t="str">
        <x:f>IF(A413="","",Events!R412)</x:f>
      </x:c>
      <x:c r="P413" s="16" t="str">
        <x:f>IF(A413="","",LOWER(Events!B412&amp;" "&amp;Events!D412&amp;" "&amp;Events!K412))</x:f>
      </x:c>
      <x:c r="Q413" s="16" t="str">
        <x:f>IF(A413="","",LOWER(Events!C412&amp;" "&amp;Events!K412&amp;" "&amp;Events!T412))</x:f>
      </x:c>
      <x:c r="R413" s="16" t="str">
        <x:f>IF(A413="","",IF(ISNUMBER(SEARCH("Occurrence verified",E413)),"Occurrence verified",E413))</x:f>
      </x:c>
      <x:c r="S413" s="79" t="str">
        <x:f>IF(A413="","",Events!X412)</x:f>
      </x:c>
      <x:c r="Z413" s="79" t="str">
        <x:f>IF(A413="","",Events!AD412)</x:f>
      </x:c>
      <x:c r="AA413" s="79" t="str">
        <x:f>IF(A413="","",Events!AE412)</x:f>
      </x:c>
    </x:row>
    <x:row r="414">
      <x:c r="A414" s="16" t="str">
        <x:f>IF(Events!A413="","",Events!A413)</x:f>
      </x:c>
      <x:c r="B414" s="16" t="str">
        <x:f>IF(A414="","",Events!B413)</x:f>
      </x:c>
      <x:c r="C414" s="16" t="str">
        <x:f>IF(A414="","",Events!E413)</x:f>
      </x:c>
      <x:c r="D414" s="16" t="str">
        <x:f>IF(A414="","",Events!J413)</x:f>
      </x:c>
      <x:c r="E414" s="16" t="str">
        <x:f>IF(A414="","",Events!N413)</x:f>
      </x:c>
      <x:c r="F414" s="109" t="str">
        <x:f>IF(OR(A414="",Events!H413=""),"",Events!H413)</x:f>
      </x:c>
      <x:c r="G414" s="109" t="str">
        <x:f>IF(A414="","",IF(Events!I413&lt;&gt;"",Events!I413,IF(Events!S413&lt;&gt;"",Events!S413,"")))</x:f>
      </x:c>
      <x:c r="H414" s="16" t="str">
        <x:f>IF(A414="","",Events!W413)</x:f>
      </x:c>
      <x:c r="I414" s="16" t="str">
        <x:f>IF(A414="","",IF(Events!Y413&lt;&gt;"",Events!Y413,IF(OR(ISNUMBER(SEARCH("education",P414)),ISNUMBER(SEARCH("exam",P414)),ISNUMBER(SEARCH("school",P414))),"Education",IF(OR(ISNUMBER(SEARCH("trade agreement",P414)),ISNUMBER(SEARCH("economic",P414)),ISNUMBER(SEARCH("import",P414))),"Trade &amp; economic policy",IF(OR(ISNUMBER(SEARCH("land acquisition",P414)),ISNUMBER(SEARCH("rehabilitation",P414)),ISNUMBER(SEARCH("displacement",P414)),ISNUMBER(SEARCH("township",P414))),"Land &amp; rehabilitation",IF(OR(ISNUMBER(SEARCH("forest",P414)),ISNUMBER(SEARCH("environment",P414)),ISNUMBER(SEARCH("ecological",P414)),ISNUMBER(SEARCH("biodiversity",P414)),ISNUMBER(SEARCH("green cover",P414))),"Environment",IF(OR(ISNUMBER(SEARCH("irrigation",P414)),ISNUMBER(SEARCH("water",P414)),ISNUMBER(SEARCH("crop",P414)),ISNUMBER(SEARCH("farmer",P414)),ISNUMBER(SEARCH("agriculture",P414))),"Agriculture &amp; water",IF(OR(ISNUMBER(SEARCH("health",P414)),ISNUMBER(SEARCH("hospital",P414)),ISNUMBER(SEARCH("medicine",P414))),"Public health",IF(OR(ISNUMBER(SEARCH("employee",P414)),ISNUMBER(SEARCH("labour",P414)),ISNUMBER(SEARCH("worker",P414)),ISNUMBER(SEARCH("salary",P414))),"Labour &amp; employment",IF(OR(ISNUMBER(SEARCH("rti",P414)),ISNUMBER(SEARCH("transparency",P414)),ISNUMBER(SEARCH("corruption",P414)),ISNUMBER(SEARCH("governance",P414))),"Governance &amp; transparency",IF(OR(ISNUMBER(SEARCH("police",P414)),ISNUMBER(SEARCH("detention",P414)),ISNUMBER(SEARCH("civil rights",P414)),ISNUMBER(SEARCH("justice",P414))),"Civil rights &amp; justice",IF(OR(ISNUMBER(SEARCH("road",P414)),ISNUMBER(SEARCH("utility",P414)),ISNUMBER(SEARCH("infrastructure",P414)),ISNUMBER(SEARCH("public service",P414))),"Infrastructure &amp; public services","Other"))))))))))))</x:f>
      </x:c>
      <x:c r="J414" s="16" t="str">
        <x:f>IF(A414="","",IF(OR(ISNUMBER(SEARCH("fatal",Q414)),ISNUMBER(SEARCH("death",Q414)),ISNUMBER(SEARCH("riot",Q414)),ISNUMBER(SEARCH("curfew",Q414)),ISNUMBER(SEARCH("internet shutdown",Q414))),5,MIN(4,1+IF(H414&gt;=7,1,0)+IF(OR(ISNUMBER(SEARCH("hunger strike",Q414)),ISNUMBER(SEARCH("blockade",Q414)),ISNUMBER(SEARCH("strike",Q414)),ISNUMBER(SEARCH("jal satyagraha",Q414)),ISNUMBER(SEARCH("survey",Q414)),ISNUMBER(SEARCH("human chain",Q414)),ISNUMBER(SEARCH("march",Q414))),1,0)+IF(OR(ISNUMBER(SEARCH("fir",Q414)),ISNUMBER(SEARCH("confrontation",Q414)),ISNUMBER(SEARCH("violence",Q414)),ISNUMBER(SEARCH("detention",Q414)),ISNUMBER(SEARCH("arrest",Q414)),ISNUMBER(SEARCH("demolition",Q414)),ISNUMBER(SEARCH("injury",Q414))),1,0)+IF(OR(D414="Ongoing",D414="Unresolved"),1,0))))</x:f>
      </x:c>
      <x:c r="K414" s="16" t="str">
        <x:f>IF(J414="","",IF(J414=1,"Limited",IF(J414=2,"Local",IF(J414=3,"Significant",IF(J414=4,"High","Critical")))))</x:f>
      </x:c>
      <x:c r="L414" s="16" t="str">
        <x:f>IF(A414="","",Events!U413)</x:f>
      </x:c>
      <x:c r="M414" s="16" t="str">
        <x:f>IF(A414="","",Events!V413)</x:f>
      </x:c>
      <x:c r="N414" s="16" t="str">
        <x:f>IF(A414="","",Events!Q413)</x:f>
      </x:c>
      <x:c r="O414" s="16" t="str">
        <x:f>IF(A414="","",Events!R413)</x:f>
      </x:c>
      <x:c r="P414" s="16" t="str">
        <x:f>IF(A414="","",LOWER(Events!B413&amp;" "&amp;Events!D413&amp;" "&amp;Events!K413))</x:f>
      </x:c>
      <x:c r="Q414" s="16" t="str">
        <x:f>IF(A414="","",LOWER(Events!C413&amp;" "&amp;Events!K413&amp;" "&amp;Events!T413))</x:f>
      </x:c>
      <x:c r="R414" s="16" t="str">
        <x:f>IF(A414="","",IF(ISNUMBER(SEARCH("Occurrence verified",E414)),"Occurrence verified",E414))</x:f>
      </x:c>
      <x:c r="S414" s="79" t="str">
        <x:f>IF(A414="","",Events!X413)</x:f>
      </x:c>
      <x:c r="Z414" s="79" t="str">
        <x:f>IF(A414="","",Events!AD413)</x:f>
      </x:c>
      <x:c r="AA414" s="79" t="str">
        <x:f>IF(A414="","",Events!AE413)</x:f>
      </x:c>
    </x:row>
    <x:row r="415">
      <x:c r="A415" s="16" t="str">
        <x:f>IF(Events!A414="","",Events!A414)</x:f>
      </x:c>
      <x:c r="B415" s="16" t="str">
        <x:f>IF(A415="","",Events!B414)</x:f>
      </x:c>
      <x:c r="C415" s="16" t="str">
        <x:f>IF(A415="","",Events!E414)</x:f>
      </x:c>
      <x:c r="D415" s="16" t="str">
        <x:f>IF(A415="","",Events!J414)</x:f>
      </x:c>
      <x:c r="E415" s="16" t="str">
        <x:f>IF(A415="","",Events!N414)</x:f>
      </x:c>
      <x:c r="F415" s="109" t="str">
        <x:f>IF(OR(A415="",Events!H414=""),"",Events!H414)</x:f>
      </x:c>
      <x:c r="G415" s="109" t="str">
        <x:f>IF(A415="","",IF(Events!I414&lt;&gt;"",Events!I414,IF(Events!S414&lt;&gt;"",Events!S414,"")))</x:f>
      </x:c>
      <x:c r="H415" s="16" t="str">
        <x:f>IF(A415="","",Events!W414)</x:f>
      </x:c>
      <x:c r="I415" s="16" t="str">
        <x:f>IF(A415="","",IF(Events!Y414&lt;&gt;"",Events!Y414,IF(OR(ISNUMBER(SEARCH("education",P415)),ISNUMBER(SEARCH("exam",P415)),ISNUMBER(SEARCH("school",P415))),"Education",IF(OR(ISNUMBER(SEARCH("trade agreement",P415)),ISNUMBER(SEARCH("economic",P415)),ISNUMBER(SEARCH("import",P415))),"Trade &amp; economic policy",IF(OR(ISNUMBER(SEARCH("land acquisition",P415)),ISNUMBER(SEARCH("rehabilitation",P415)),ISNUMBER(SEARCH("displacement",P415)),ISNUMBER(SEARCH("township",P415))),"Land &amp; rehabilitation",IF(OR(ISNUMBER(SEARCH("forest",P415)),ISNUMBER(SEARCH("environment",P415)),ISNUMBER(SEARCH("ecological",P415)),ISNUMBER(SEARCH("biodiversity",P415)),ISNUMBER(SEARCH("green cover",P415))),"Environment",IF(OR(ISNUMBER(SEARCH("irrigation",P415)),ISNUMBER(SEARCH("water",P415)),ISNUMBER(SEARCH("crop",P415)),ISNUMBER(SEARCH("farmer",P415)),ISNUMBER(SEARCH("agriculture",P415))),"Agriculture &amp; water",IF(OR(ISNUMBER(SEARCH("health",P415)),ISNUMBER(SEARCH("hospital",P415)),ISNUMBER(SEARCH("medicine",P415))),"Public health",IF(OR(ISNUMBER(SEARCH("employee",P415)),ISNUMBER(SEARCH("labour",P415)),ISNUMBER(SEARCH("worker",P415)),ISNUMBER(SEARCH("salary",P415))),"Labour &amp; employment",IF(OR(ISNUMBER(SEARCH("rti",P415)),ISNUMBER(SEARCH("transparency",P415)),ISNUMBER(SEARCH("corruption",P415)),ISNUMBER(SEARCH("governance",P415))),"Governance &amp; transparency",IF(OR(ISNUMBER(SEARCH("police",P415)),ISNUMBER(SEARCH("detention",P415)),ISNUMBER(SEARCH("civil rights",P415)),ISNUMBER(SEARCH("justice",P415))),"Civil rights &amp; justice",IF(OR(ISNUMBER(SEARCH("road",P415)),ISNUMBER(SEARCH("utility",P415)),ISNUMBER(SEARCH("infrastructure",P415)),ISNUMBER(SEARCH("public service",P415))),"Infrastructure &amp; public services","Other"))))))))))))</x:f>
      </x:c>
      <x:c r="J415" s="16" t="str">
        <x:f>IF(A415="","",IF(OR(ISNUMBER(SEARCH("fatal",Q415)),ISNUMBER(SEARCH("death",Q415)),ISNUMBER(SEARCH("riot",Q415)),ISNUMBER(SEARCH("curfew",Q415)),ISNUMBER(SEARCH("internet shutdown",Q415))),5,MIN(4,1+IF(H415&gt;=7,1,0)+IF(OR(ISNUMBER(SEARCH("hunger strike",Q415)),ISNUMBER(SEARCH("blockade",Q415)),ISNUMBER(SEARCH("strike",Q415)),ISNUMBER(SEARCH("jal satyagraha",Q415)),ISNUMBER(SEARCH("survey",Q415)),ISNUMBER(SEARCH("human chain",Q415)),ISNUMBER(SEARCH("march",Q415))),1,0)+IF(OR(ISNUMBER(SEARCH("fir",Q415)),ISNUMBER(SEARCH("confrontation",Q415)),ISNUMBER(SEARCH("violence",Q415)),ISNUMBER(SEARCH("detention",Q415)),ISNUMBER(SEARCH("arrest",Q415)),ISNUMBER(SEARCH("demolition",Q415)),ISNUMBER(SEARCH("injury",Q415))),1,0)+IF(OR(D415="Ongoing",D415="Unresolved"),1,0))))</x:f>
      </x:c>
      <x:c r="K415" s="16" t="str">
        <x:f>IF(J415="","",IF(J415=1,"Limited",IF(J415=2,"Local",IF(J415=3,"Significant",IF(J415=4,"High","Critical")))))</x:f>
      </x:c>
      <x:c r="L415" s="16" t="str">
        <x:f>IF(A415="","",Events!U414)</x:f>
      </x:c>
      <x:c r="M415" s="16" t="str">
        <x:f>IF(A415="","",Events!V414)</x:f>
      </x:c>
      <x:c r="N415" s="16" t="str">
        <x:f>IF(A415="","",Events!Q414)</x:f>
      </x:c>
      <x:c r="O415" s="16" t="str">
        <x:f>IF(A415="","",Events!R414)</x:f>
      </x:c>
      <x:c r="P415" s="16" t="str">
        <x:f>IF(A415="","",LOWER(Events!B414&amp;" "&amp;Events!D414&amp;" "&amp;Events!K414))</x:f>
      </x:c>
      <x:c r="Q415" s="16" t="str">
        <x:f>IF(A415="","",LOWER(Events!C414&amp;" "&amp;Events!K414&amp;" "&amp;Events!T414))</x:f>
      </x:c>
      <x:c r="R415" s="16" t="str">
        <x:f>IF(A415="","",IF(ISNUMBER(SEARCH("Occurrence verified",E415)),"Occurrence verified",E415))</x:f>
      </x:c>
      <x:c r="S415" s="79" t="str">
        <x:f>IF(A415="","",Events!X414)</x:f>
      </x:c>
      <x:c r="Z415" s="79" t="str">
        <x:f>IF(A415="","",Events!AD414)</x:f>
      </x:c>
      <x:c r="AA415" s="79" t="str">
        <x:f>IF(A415="","",Events!AE414)</x:f>
      </x:c>
    </x:row>
    <x:row r="416">
      <x:c r="A416" s="16" t="str">
        <x:f>IF(Events!A415="","",Events!A415)</x:f>
      </x:c>
      <x:c r="B416" s="16" t="str">
        <x:f>IF(A416="","",Events!B415)</x:f>
      </x:c>
      <x:c r="C416" s="16" t="str">
        <x:f>IF(A416="","",Events!E415)</x:f>
      </x:c>
      <x:c r="D416" s="16" t="str">
        <x:f>IF(A416="","",Events!J415)</x:f>
      </x:c>
      <x:c r="E416" s="16" t="str">
        <x:f>IF(A416="","",Events!N415)</x:f>
      </x:c>
      <x:c r="F416" s="109" t="str">
        <x:f>IF(OR(A416="",Events!H415=""),"",Events!H415)</x:f>
      </x:c>
      <x:c r="G416" s="109" t="str">
        <x:f>IF(A416="","",IF(Events!I415&lt;&gt;"",Events!I415,IF(Events!S415&lt;&gt;"",Events!S415,"")))</x:f>
      </x:c>
      <x:c r="H416" s="16" t="str">
        <x:f>IF(A416="","",Events!W415)</x:f>
      </x:c>
      <x:c r="I416" s="16" t="str">
        <x:f>IF(A416="","",IF(Events!Y415&lt;&gt;"",Events!Y415,IF(OR(ISNUMBER(SEARCH("education",P416)),ISNUMBER(SEARCH("exam",P416)),ISNUMBER(SEARCH("school",P416))),"Education",IF(OR(ISNUMBER(SEARCH("trade agreement",P416)),ISNUMBER(SEARCH("economic",P416)),ISNUMBER(SEARCH("import",P416))),"Trade &amp; economic policy",IF(OR(ISNUMBER(SEARCH("land acquisition",P416)),ISNUMBER(SEARCH("rehabilitation",P416)),ISNUMBER(SEARCH("displacement",P416)),ISNUMBER(SEARCH("township",P416))),"Land &amp; rehabilitation",IF(OR(ISNUMBER(SEARCH("forest",P416)),ISNUMBER(SEARCH("environment",P416)),ISNUMBER(SEARCH("ecological",P416)),ISNUMBER(SEARCH("biodiversity",P416)),ISNUMBER(SEARCH("green cover",P416))),"Environment",IF(OR(ISNUMBER(SEARCH("irrigation",P416)),ISNUMBER(SEARCH("water",P416)),ISNUMBER(SEARCH("crop",P416)),ISNUMBER(SEARCH("farmer",P416)),ISNUMBER(SEARCH("agriculture",P416))),"Agriculture &amp; water",IF(OR(ISNUMBER(SEARCH("health",P416)),ISNUMBER(SEARCH("hospital",P416)),ISNUMBER(SEARCH("medicine",P416))),"Public health",IF(OR(ISNUMBER(SEARCH("employee",P416)),ISNUMBER(SEARCH("labour",P416)),ISNUMBER(SEARCH("worker",P416)),ISNUMBER(SEARCH("salary",P416))),"Labour &amp; employment",IF(OR(ISNUMBER(SEARCH("rti",P416)),ISNUMBER(SEARCH("transparency",P416)),ISNUMBER(SEARCH("corruption",P416)),ISNUMBER(SEARCH("governance",P416))),"Governance &amp; transparency",IF(OR(ISNUMBER(SEARCH("police",P416)),ISNUMBER(SEARCH("detention",P416)),ISNUMBER(SEARCH("civil rights",P416)),ISNUMBER(SEARCH("justice",P416))),"Civil rights &amp; justice",IF(OR(ISNUMBER(SEARCH("road",P416)),ISNUMBER(SEARCH("utility",P416)),ISNUMBER(SEARCH("infrastructure",P416)),ISNUMBER(SEARCH("public service",P416))),"Infrastructure &amp; public services","Other"))))))))))))</x:f>
      </x:c>
      <x:c r="J416" s="16" t="str">
        <x:f>IF(A416="","",IF(OR(ISNUMBER(SEARCH("fatal",Q416)),ISNUMBER(SEARCH("death",Q416)),ISNUMBER(SEARCH("riot",Q416)),ISNUMBER(SEARCH("curfew",Q416)),ISNUMBER(SEARCH("internet shutdown",Q416))),5,MIN(4,1+IF(H416&gt;=7,1,0)+IF(OR(ISNUMBER(SEARCH("hunger strike",Q416)),ISNUMBER(SEARCH("blockade",Q416)),ISNUMBER(SEARCH("strike",Q416)),ISNUMBER(SEARCH("jal satyagraha",Q416)),ISNUMBER(SEARCH("survey",Q416)),ISNUMBER(SEARCH("human chain",Q416)),ISNUMBER(SEARCH("march",Q416))),1,0)+IF(OR(ISNUMBER(SEARCH("fir",Q416)),ISNUMBER(SEARCH("confrontation",Q416)),ISNUMBER(SEARCH("violence",Q416)),ISNUMBER(SEARCH("detention",Q416)),ISNUMBER(SEARCH("arrest",Q416)),ISNUMBER(SEARCH("demolition",Q416)),ISNUMBER(SEARCH("injury",Q416))),1,0)+IF(OR(D416="Ongoing",D416="Unresolved"),1,0))))</x:f>
      </x:c>
      <x:c r="K416" s="16" t="str">
        <x:f>IF(J416="","",IF(J416=1,"Limited",IF(J416=2,"Local",IF(J416=3,"Significant",IF(J416=4,"High","Critical")))))</x:f>
      </x:c>
      <x:c r="L416" s="16" t="str">
        <x:f>IF(A416="","",Events!U415)</x:f>
      </x:c>
      <x:c r="M416" s="16" t="str">
        <x:f>IF(A416="","",Events!V415)</x:f>
      </x:c>
      <x:c r="N416" s="16" t="str">
        <x:f>IF(A416="","",Events!Q415)</x:f>
      </x:c>
      <x:c r="O416" s="16" t="str">
        <x:f>IF(A416="","",Events!R415)</x:f>
      </x:c>
      <x:c r="P416" s="16" t="str">
        <x:f>IF(A416="","",LOWER(Events!B415&amp;" "&amp;Events!D415&amp;" "&amp;Events!K415))</x:f>
      </x:c>
      <x:c r="Q416" s="16" t="str">
        <x:f>IF(A416="","",LOWER(Events!C415&amp;" "&amp;Events!K415&amp;" "&amp;Events!T415))</x:f>
      </x:c>
      <x:c r="R416" s="16" t="str">
        <x:f>IF(A416="","",IF(ISNUMBER(SEARCH("Occurrence verified",E416)),"Occurrence verified",E416))</x:f>
      </x:c>
      <x:c r="S416" s="79" t="str">
        <x:f>IF(A416="","",Events!X415)</x:f>
      </x:c>
      <x:c r="Z416" s="79" t="str">
        <x:f>IF(A416="","",Events!AD415)</x:f>
      </x:c>
      <x:c r="AA416" s="79" t="str">
        <x:f>IF(A416="","",Events!AE415)</x:f>
      </x:c>
    </x:row>
    <x:row r="417">
      <x:c r="A417" s="16" t="str">
        <x:f>IF(Events!A416="","",Events!A416)</x:f>
      </x:c>
      <x:c r="B417" s="16" t="str">
        <x:f>IF(A417="","",Events!B416)</x:f>
      </x:c>
      <x:c r="C417" s="16" t="str">
        <x:f>IF(A417="","",Events!E416)</x:f>
      </x:c>
      <x:c r="D417" s="16" t="str">
        <x:f>IF(A417="","",Events!J416)</x:f>
      </x:c>
      <x:c r="E417" s="16" t="str">
        <x:f>IF(A417="","",Events!N416)</x:f>
      </x:c>
      <x:c r="F417" s="109" t="str">
        <x:f>IF(OR(A417="",Events!H416=""),"",Events!H416)</x:f>
      </x:c>
      <x:c r="G417" s="109" t="str">
        <x:f>IF(A417="","",IF(Events!I416&lt;&gt;"",Events!I416,IF(Events!S416&lt;&gt;"",Events!S416,"")))</x:f>
      </x:c>
      <x:c r="H417" s="16" t="str">
        <x:f>IF(A417="","",Events!W416)</x:f>
      </x:c>
      <x:c r="I417" s="16" t="str">
        <x:f>IF(A417="","",IF(Events!Y416&lt;&gt;"",Events!Y416,IF(OR(ISNUMBER(SEARCH("education",P417)),ISNUMBER(SEARCH("exam",P417)),ISNUMBER(SEARCH("school",P417))),"Education",IF(OR(ISNUMBER(SEARCH("trade agreement",P417)),ISNUMBER(SEARCH("economic",P417)),ISNUMBER(SEARCH("import",P417))),"Trade &amp; economic policy",IF(OR(ISNUMBER(SEARCH("land acquisition",P417)),ISNUMBER(SEARCH("rehabilitation",P417)),ISNUMBER(SEARCH("displacement",P417)),ISNUMBER(SEARCH("township",P417))),"Land &amp; rehabilitation",IF(OR(ISNUMBER(SEARCH("forest",P417)),ISNUMBER(SEARCH("environment",P417)),ISNUMBER(SEARCH("ecological",P417)),ISNUMBER(SEARCH("biodiversity",P417)),ISNUMBER(SEARCH("green cover",P417))),"Environment",IF(OR(ISNUMBER(SEARCH("irrigation",P417)),ISNUMBER(SEARCH("water",P417)),ISNUMBER(SEARCH("crop",P417)),ISNUMBER(SEARCH("farmer",P417)),ISNUMBER(SEARCH("agriculture",P417))),"Agriculture &amp; water",IF(OR(ISNUMBER(SEARCH("health",P417)),ISNUMBER(SEARCH("hospital",P417)),ISNUMBER(SEARCH("medicine",P417))),"Public health",IF(OR(ISNUMBER(SEARCH("employee",P417)),ISNUMBER(SEARCH("labour",P417)),ISNUMBER(SEARCH("worker",P417)),ISNUMBER(SEARCH("salary",P417))),"Labour &amp; employment",IF(OR(ISNUMBER(SEARCH("rti",P417)),ISNUMBER(SEARCH("transparency",P417)),ISNUMBER(SEARCH("corruption",P417)),ISNUMBER(SEARCH("governance",P417))),"Governance &amp; transparency",IF(OR(ISNUMBER(SEARCH("police",P417)),ISNUMBER(SEARCH("detention",P417)),ISNUMBER(SEARCH("civil rights",P417)),ISNUMBER(SEARCH("justice",P417))),"Civil rights &amp; justice",IF(OR(ISNUMBER(SEARCH("road",P417)),ISNUMBER(SEARCH("utility",P417)),ISNUMBER(SEARCH("infrastructure",P417)),ISNUMBER(SEARCH("public service",P417))),"Infrastructure &amp; public services","Other"))))))))))))</x:f>
      </x:c>
      <x:c r="J417" s="16" t="str">
        <x:f>IF(A417="","",IF(OR(ISNUMBER(SEARCH("fatal",Q417)),ISNUMBER(SEARCH("death",Q417)),ISNUMBER(SEARCH("riot",Q417)),ISNUMBER(SEARCH("curfew",Q417)),ISNUMBER(SEARCH("internet shutdown",Q417))),5,MIN(4,1+IF(H417&gt;=7,1,0)+IF(OR(ISNUMBER(SEARCH("hunger strike",Q417)),ISNUMBER(SEARCH("blockade",Q417)),ISNUMBER(SEARCH("strike",Q417)),ISNUMBER(SEARCH("jal satyagraha",Q417)),ISNUMBER(SEARCH("survey",Q417)),ISNUMBER(SEARCH("human chain",Q417)),ISNUMBER(SEARCH("march",Q417))),1,0)+IF(OR(ISNUMBER(SEARCH("fir",Q417)),ISNUMBER(SEARCH("confrontation",Q417)),ISNUMBER(SEARCH("violence",Q417)),ISNUMBER(SEARCH("detention",Q417)),ISNUMBER(SEARCH("arrest",Q417)),ISNUMBER(SEARCH("demolition",Q417)),ISNUMBER(SEARCH("injury",Q417))),1,0)+IF(OR(D417="Ongoing",D417="Unresolved"),1,0))))</x:f>
      </x:c>
      <x:c r="K417" s="16" t="str">
        <x:f>IF(J417="","",IF(J417=1,"Limited",IF(J417=2,"Local",IF(J417=3,"Significant",IF(J417=4,"High","Critical")))))</x:f>
      </x:c>
      <x:c r="L417" s="16" t="str">
        <x:f>IF(A417="","",Events!U416)</x:f>
      </x:c>
      <x:c r="M417" s="16" t="str">
        <x:f>IF(A417="","",Events!V416)</x:f>
      </x:c>
      <x:c r="N417" s="16" t="str">
        <x:f>IF(A417="","",Events!Q416)</x:f>
      </x:c>
      <x:c r="O417" s="16" t="str">
        <x:f>IF(A417="","",Events!R416)</x:f>
      </x:c>
      <x:c r="P417" s="16" t="str">
        <x:f>IF(A417="","",LOWER(Events!B416&amp;" "&amp;Events!D416&amp;" "&amp;Events!K416))</x:f>
      </x:c>
      <x:c r="Q417" s="16" t="str">
        <x:f>IF(A417="","",LOWER(Events!C416&amp;" "&amp;Events!K416&amp;" "&amp;Events!T416))</x:f>
      </x:c>
      <x:c r="R417" s="16" t="str">
        <x:f>IF(A417="","",IF(ISNUMBER(SEARCH("Occurrence verified",E417)),"Occurrence verified",E417))</x:f>
      </x:c>
      <x:c r="S417" s="79" t="str">
        <x:f>IF(A417="","",Events!X416)</x:f>
      </x:c>
      <x:c r="Z417" s="79" t="str">
        <x:f>IF(A417="","",Events!AD416)</x:f>
      </x:c>
      <x:c r="AA417" s="79" t="str">
        <x:f>IF(A417="","",Events!AE416)</x:f>
      </x:c>
    </x:row>
    <x:row r="418">
      <x:c r="A418" s="16" t="str">
        <x:f>IF(Events!A417="","",Events!A417)</x:f>
      </x:c>
      <x:c r="B418" s="16" t="str">
        <x:f>IF(A418="","",Events!B417)</x:f>
      </x:c>
      <x:c r="C418" s="16" t="str">
        <x:f>IF(A418="","",Events!E417)</x:f>
      </x:c>
      <x:c r="D418" s="16" t="str">
        <x:f>IF(A418="","",Events!J417)</x:f>
      </x:c>
      <x:c r="E418" s="16" t="str">
        <x:f>IF(A418="","",Events!N417)</x:f>
      </x:c>
      <x:c r="F418" s="109" t="str">
        <x:f>IF(OR(A418="",Events!H417=""),"",Events!H417)</x:f>
      </x:c>
      <x:c r="G418" s="109" t="str">
        <x:f>IF(A418="","",IF(Events!I417&lt;&gt;"",Events!I417,IF(Events!S417&lt;&gt;"",Events!S417,"")))</x:f>
      </x:c>
      <x:c r="H418" s="16" t="str">
        <x:f>IF(A418="","",Events!W417)</x:f>
      </x:c>
      <x:c r="I418" s="16" t="str">
        <x:f>IF(A418="","",IF(Events!Y417&lt;&gt;"",Events!Y417,IF(OR(ISNUMBER(SEARCH("education",P418)),ISNUMBER(SEARCH("exam",P418)),ISNUMBER(SEARCH("school",P418))),"Education",IF(OR(ISNUMBER(SEARCH("trade agreement",P418)),ISNUMBER(SEARCH("economic",P418)),ISNUMBER(SEARCH("import",P418))),"Trade &amp; economic policy",IF(OR(ISNUMBER(SEARCH("land acquisition",P418)),ISNUMBER(SEARCH("rehabilitation",P418)),ISNUMBER(SEARCH("displacement",P418)),ISNUMBER(SEARCH("township",P418))),"Land &amp; rehabilitation",IF(OR(ISNUMBER(SEARCH("forest",P418)),ISNUMBER(SEARCH("environment",P418)),ISNUMBER(SEARCH("ecological",P418)),ISNUMBER(SEARCH("biodiversity",P418)),ISNUMBER(SEARCH("green cover",P418))),"Environment",IF(OR(ISNUMBER(SEARCH("irrigation",P418)),ISNUMBER(SEARCH("water",P418)),ISNUMBER(SEARCH("crop",P418)),ISNUMBER(SEARCH("farmer",P418)),ISNUMBER(SEARCH("agriculture",P418))),"Agriculture &amp; water",IF(OR(ISNUMBER(SEARCH("health",P418)),ISNUMBER(SEARCH("hospital",P418)),ISNUMBER(SEARCH("medicine",P418))),"Public health",IF(OR(ISNUMBER(SEARCH("employee",P418)),ISNUMBER(SEARCH("labour",P418)),ISNUMBER(SEARCH("worker",P418)),ISNUMBER(SEARCH("salary",P418))),"Labour &amp; employment",IF(OR(ISNUMBER(SEARCH("rti",P418)),ISNUMBER(SEARCH("transparency",P418)),ISNUMBER(SEARCH("corruption",P418)),ISNUMBER(SEARCH("governance",P418))),"Governance &amp; transparency",IF(OR(ISNUMBER(SEARCH("police",P418)),ISNUMBER(SEARCH("detention",P418)),ISNUMBER(SEARCH("civil rights",P418)),ISNUMBER(SEARCH("justice",P418))),"Civil rights &amp; justice",IF(OR(ISNUMBER(SEARCH("road",P418)),ISNUMBER(SEARCH("utility",P418)),ISNUMBER(SEARCH("infrastructure",P418)),ISNUMBER(SEARCH("public service",P418))),"Infrastructure &amp; public services","Other"))))))))))))</x:f>
      </x:c>
      <x:c r="J418" s="16" t="str">
        <x:f>IF(A418="","",IF(OR(ISNUMBER(SEARCH("fatal",Q418)),ISNUMBER(SEARCH("death",Q418)),ISNUMBER(SEARCH("riot",Q418)),ISNUMBER(SEARCH("curfew",Q418)),ISNUMBER(SEARCH("internet shutdown",Q418))),5,MIN(4,1+IF(H418&gt;=7,1,0)+IF(OR(ISNUMBER(SEARCH("hunger strike",Q418)),ISNUMBER(SEARCH("blockade",Q418)),ISNUMBER(SEARCH("strike",Q418)),ISNUMBER(SEARCH("jal satyagraha",Q418)),ISNUMBER(SEARCH("survey",Q418)),ISNUMBER(SEARCH("human chain",Q418)),ISNUMBER(SEARCH("march",Q418))),1,0)+IF(OR(ISNUMBER(SEARCH("fir",Q418)),ISNUMBER(SEARCH("confrontation",Q418)),ISNUMBER(SEARCH("violence",Q418)),ISNUMBER(SEARCH("detention",Q418)),ISNUMBER(SEARCH("arrest",Q418)),ISNUMBER(SEARCH("demolition",Q418)),ISNUMBER(SEARCH("injury",Q418))),1,0)+IF(OR(D418="Ongoing",D418="Unresolved"),1,0))))</x:f>
      </x:c>
      <x:c r="K418" s="16" t="str">
        <x:f>IF(J418="","",IF(J418=1,"Limited",IF(J418=2,"Local",IF(J418=3,"Significant",IF(J418=4,"High","Critical")))))</x:f>
      </x:c>
      <x:c r="L418" s="16" t="str">
        <x:f>IF(A418="","",Events!U417)</x:f>
      </x:c>
      <x:c r="M418" s="16" t="str">
        <x:f>IF(A418="","",Events!V417)</x:f>
      </x:c>
      <x:c r="N418" s="16" t="str">
        <x:f>IF(A418="","",Events!Q417)</x:f>
      </x:c>
      <x:c r="O418" s="16" t="str">
        <x:f>IF(A418="","",Events!R417)</x:f>
      </x:c>
      <x:c r="P418" s="16" t="str">
        <x:f>IF(A418="","",LOWER(Events!B417&amp;" "&amp;Events!D417&amp;" "&amp;Events!K417))</x:f>
      </x:c>
      <x:c r="Q418" s="16" t="str">
        <x:f>IF(A418="","",LOWER(Events!C417&amp;" "&amp;Events!K417&amp;" "&amp;Events!T417))</x:f>
      </x:c>
      <x:c r="R418" s="16" t="str">
        <x:f>IF(A418="","",IF(ISNUMBER(SEARCH("Occurrence verified",E418)),"Occurrence verified",E418))</x:f>
      </x:c>
      <x:c r="S418" s="79" t="str">
        <x:f>IF(A418="","",Events!X417)</x:f>
      </x:c>
      <x:c r="Z418" s="79" t="str">
        <x:f>IF(A418="","",Events!AD417)</x:f>
      </x:c>
      <x:c r="AA418" s="79" t="str">
        <x:f>IF(A418="","",Events!AE417)</x:f>
      </x:c>
    </x:row>
    <x:row r="419">
      <x:c r="A419" s="16" t="str">
        <x:f>IF(Events!A418="","",Events!A418)</x:f>
      </x:c>
      <x:c r="B419" s="16" t="str">
        <x:f>IF(A419="","",Events!B418)</x:f>
      </x:c>
      <x:c r="C419" s="16" t="str">
        <x:f>IF(A419="","",Events!E418)</x:f>
      </x:c>
      <x:c r="D419" s="16" t="str">
        <x:f>IF(A419="","",Events!J418)</x:f>
      </x:c>
      <x:c r="E419" s="16" t="str">
        <x:f>IF(A419="","",Events!N418)</x:f>
      </x:c>
      <x:c r="F419" s="109" t="str">
        <x:f>IF(OR(A419="",Events!H418=""),"",Events!H418)</x:f>
      </x:c>
      <x:c r="G419" s="109" t="str">
        <x:f>IF(A419="","",IF(Events!I418&lt;&gt;"",Events!I418,IF(Events!S418&lt;&gt;"",Events!S418,"")))</x:f>
      </x:c>
      <x:c r="H419" s="16" t="str">
        <x:f>IF(A419="","",Events!W418)</x:f>
      </x:c>
      <x:c r="I419" s="16" t="str">
        <x:f>IF(A419="","",IF(Events!Y418&lt;&gt;"",Events!Y418,IF(OR(ISNUMBER(SEARCH("education",P419)),ISNUMBER(SEARCH("exam",P419)),ISNUMBER(SEARCH("school",P419))),"Education",IF(OR(ISNUMBER(SEARCH("trade agreement",P419)),ISNUMBER(SEARCH("economic",P419)),ISNUMBER(SEARCH("import",P419))),"Trade &amp; economic policy",IF(OR(ISNUMBER(SEARCH("land acquisition",P419)),ISNUMBER(SEARCH("rehabilitation",P419)),ISNUMBER(SEARCH("displacement",P419)),ISNUMBER(SEARCH("township",P419))),"Land &amp; rehabilitation",IF(OR(ISNUMBER(SEARCH("forest",P419)),ISNUMBER(SEARCH("environment",P419)),ISNUMBER(SEARCH("ecological",P419)),ISNUMBER(SEARCH("biodiversity",P419)),ISNUMBER(SEARCH("green cover",P419))),"Environment",IF(OR(ISNUMBER(SEARCH("irrigation",P419)),ISNUMBER(SEARCH("water",P419)),ISNUMBER(SEARCH("crop",P419)),ISNUMBER(SEARCH("farmer",P419)),ISNUMBER(SEARCH("agriculture",P419))),"Agriculture &amp; water",IF(OR(ISNUMBER(SEARCH("health",P419)),ISNUMBER(SEARCH("hospital",P419)),ISNUMBER(SEARCH("medicine",P419))),"Public health",IF(OR(ISNUMBER(SEARCH("employee",P419)),ISNUMBER(SEARCH("labour",P419)),ISNUMBER(SEARCH("worker",P419)),ISNUMBER(SEARCH("salary",P419))),"Labour &amp; employment",IF(OR(ISNUMBER(SEARCH("rti",P419)),ISNUMBER(SEARCH("transparency",P419)),ISNUMBER(SEARCH("corruption",P419)),ISNUMBER(SEARCH("governance",P419))),"Governance &amp; transparency",IF(OR(ISNUMBER(SEARCH("police",P419)),ISNUMBER(SEARCH("detention",P419)),ISNUMBER(SEARCH("civil rights",P419)),ISNUMBER(SEARCH("justice",P419))),"Civil rights &amp; justice",IF(OR(ISNUMBER(SEARCH("road",P419)),ISNUMBER(SEARCH("utility",P419)),ISNUMBER(SEARCH("infrastructure",P419)),ISNUMBER(SEARCH("public service",P419))),"Infrastructure &amp; public services","Other"))))))))))))</x:f>
      </x:c>
      <x:c r="J419" s="16" t="str">
        <x:f>IF(A419="","",IF(OR(ISNUMBER(SEARCH("fatal",Q419)),ISNUMBER(SEARCH("death",Q419)),ISNUMBER(SEARCH("riot",Q419)),ISNUMBER(SEARCH("curfew",Q419)),ISNUMBER(SEARCH("internet shutdown",Q419))),5,MIN(4,1+IF(H419&gt;=7,1,0)+IF(OR(ISNUMBER(SEARCH("hunger strike",Q419)),ISNUMBER(SEARCH("blockade",Q419)),ISNUMBER(SEARCH("strike",Q419)),ISNUMBER(SEARCH("jal satyagraha",Q419)),ISNUMBER(SEARCH("survey",Q419)),ISNUMBER(SEARCH("human chain",Q419)),ISNUMBER(SEARCH("march",Q419))),1,0)+IF(OR(ISNUMBER(SEARCH("fir",Q419)),ISNUMBER(SEARCH("confrontation",Q419)),ISNUMBER(SEARCH("violence",Q419)),ISNUMBER(SEARCH("detention",Q419)),ISNUMBER(SEARCH("arrest",Q419)),ISNUMBER(SEARCH("demolition",Q419)),ISNUMBER(SEARCH("injury",Q419))),1,0)+IF(OR(D419="Ongoing",D419="Unresolved"),1,0))))</x:f>
      </x:c>
      <x:c r="K419" s="16" t="str">
        <x:f>IF(J419="","",IF(J419=1,"Limited",IF(J419=2,"Local",IF(J419=3,"Significant",IF(J419=4,"High","Critical")))))</x:f>
      </x:c>
      <x:c r="L419" s="16" t="str">
        <x:f>IF(A419="","",Events!U418)</x:f>
      </x:c>
      <x:c r="M419" s="16" t="str">
        <x:f>IF(A419="","",Events!V418)</x:f>
      </x:c>
      <x:c r="N419" s="16" t="str">
        <x:f>IF(A419="","",Events!Q418)</x:f>
      </x:c>
      <x:c r="O419" s="16" t="str">
        <x:f>IF(A419="","",Events!R418)</x:f>
      </x:c>
      <x:c r="P419" s="16" t="str">
        <x:f>IF(A419="","",LOWER(Events!B418&amp;" "&amp;Events!D418&amp;" "&amp;Events!K418))</x:f>
      </x:c>
      <x:c r="Q419" s="16" t="str">
        <x:f>IF(A419="","",LOWER(Events!C418&amp;" "&amp;Events!K418&amp;" "&amp;Events!T418))</x:f>
      </x:c>
      <x:c r="R419" s="16" t="str">
        <x:f>IF(A419="","",IF(ISNUMBER(SEARCH("Occurrence verified",E419)),"Occurrence verified",E419))</x:f>
      </x:c>
      <x:c r="S419" s="79" t="str">
        <x:f>IF(A419="","",Events!X418)</x:f>
      </x:c>
      <x:c r="Z419" s="79" t="str">
        <x:f>IF(A419="","",Events!AD418)</x:f>
      </x:c>
      <x:c r="AA419" s="79" t="str">
        <x:f>IF(A419="","",Events!AE418)</x:f>
      </x:c>
    </x:row>
    <x:row r="420">
      <x:c r="A420" s="16" t="str">
        <x:f>IF(Events!A419="","",Events!A419)</x:f>
      </x:c>
      <x:c r="B420" s="16" t="str">
        <x:f>IF(A420="","",Events!B419)</x:f>
      </x:c>
      <x:c r="C420" s="16" t="str">
        <x:f>IF(A420="","",Events!E419)</x:f>
      </x:c>
      <x:c r="D420" s="16" t="str">
        <x:f>IF(A420="","",Events!J419)</x:f>
      </x:c>
      <x:c r="E420" s="16" t="str">
        <x:f>IF(A420="","",Events!N419)</x:f>
      </x:c>
      <x:c r="F420" s="109" t="str">
        <x:f>IF(OR(A420="",Events!H419=""),"",Events!H419)</x:f>
      </x:c>
      <x:c r="G420" s="109" t="str">
        <x:f>IF(A420="","",IF(Events!I419&lt;&gt;"",Events!I419,IF(Events!S419&lt;&gt;"",Events!S419,"")))</x:f>
      </x:c>
      <x:c r="H420" s="16" t="str">
        <x:f>IF(A420="","",Events!W419)</x:f>
      </x:c>
      <x:c r="I420" s="16" t="str">
        <x:f>IF(A420="","",IF(Events!Y419&lt;&gt;"",Events!Y419,IF(OR(ISNUMBER(SEARCH("education",P420)),ISNUMBER(SEARCH("exam",P420)),ISNUMBER(SEARCH("school",P420))),"Education",IF(OR(ISNUMBER(SEARCH("trade agreement",P420)),ISNUMBER(SEARCH("economic",P420)),ISNUMBER(SEARCH("import",P420))),"Trade &amp; economic policy",IF(OR(ISNUMBER(SEARCH("land acquisition",P420)),ISNUMBER(SEARCH("rehabilitation",P420)),ISNUMBER(SEARCH("displacement",P420)),ISNUMBER(SEARCH("township",P420))),"Land &amp; rehabilitation",IF(OR(ISNUMBER(SEARCH("forest",P420)),ISNUMBER(SEARCH("environment",P420)),ISNUMBER(SEARCH("ecological",P420)),ISNUMBER(SEARCH("biodiversity",P420)),ISNUMBER(SEARCH("green cover",P420))),"Environment",IF(OR(ISNUMBER(SEARCH("irrigation",P420)),ISNUMBER(SEARCH("water",P420)),ISNUMBER(SEARCH("crop",P420)),ISNUMBER(SEARCH("farmer",P420)),ISNUMBER(SEARCH("agriculture",P420))),"Agriculture &amp; water",IF(OR(ISNUMBER(SEARCH("health",P420)),ISNUMBER(SEARCH("hospital",P420)),ISNUMBER(SEARCH("medicine",P420))),"Public health",IF(OR(ISNUMBER(SEARCH("employee",P420)),ISNUMBER(SEARCH("labour",P420)),ISNUMBER(SEARCH("worker",P420)),ISNUMBER(SEARCH("salary",P420))),"Labour &amp; employment",IF(OR(ISNUMBER(SEARCH("rti",P420)),ISNUMBER(SEARCH("transparency",P420)),ISNUMBER(SEARCH("corruption",P420)),ISNUMBER(SEARCH("governance",P420))),"Governance &amp; transparency",IF(OR(ISNUMBER(SEARCH("police",P420)),ISNUMBER(SEARCH("detention",P420)),ISNUMBER(SEARCH("civil rights",P420)),ISNUMBER(SEARCH("justice",P420))),"Civil rights &amp; justice",IF(OR(ISNUMBER(SEARCH("road",P420)),ISNUMBER(SEARCH("utility",P420)),ISNUMBER(SEARCH("infrastructure",P420)),ISNUMBER(SEARCH("public service",P420))),"Infrastructure &amp; public services","Other"))))))))))))</x:f>
      </x:c>
      <x:c r="J420" s="16" t="str">
        <x:f>IF(A420="","",IF(OR(ISNUMBER(SEARCH("fatal",Q420)),ISNUMBER(SEARCH("death",Q420)),ISNUMBER(SEARCH("riot",Q420)),ISNUMBER(SEARCH("curfew",Q420)),ISNUMBER(SEARCH("internet shutdown",Q420))),5,MIN(4,1+IF(H420&gt;=7,1,0)+IF(OR(ISNUMBER(SEARCH("hunger strike",Q420)),ISNUMBER(SEARCH("blockade",Q420)),ISNUMBER(SEARCH("strike",Q420)),ISNUMBER(SEARCH("jal satyagraha",Q420)),ISNUMBER(SEARCH("survey",Q420)),ISNUMBER(SEARCH("human chain",Q420)),ISNUMBER(SEARCH("march",Q420))),1,0)+IF(OR(ISNUMBER(SEARCH("fir",Q420)),ISNUMBER(SEARCH("confrontation",Q420)),ISNUMBER(SEARCH("violence",Q420)),ISNUMBER(SEARCH("detention",Q420)),ISNUMBER(SEARCH("arrest",Q420)),ISNUMBER(SEARCH("demolition",Q420)),ISNUMBER(SEARCH("injury",Q420))),1,0)+IF(OR(D420="Ongoing",D420="Unresolved"),1,0))))</x:f>
      </x:c>
      <x:c r="K420" s="16" t="str">
        <x:f>IF(J420="","",IF(J420=1,"Limited",IF(J420=2,"Local",IF(J420=3,"Significant",IF(J420=4,"High","Critical")))))</x:f>
      </x:c>
      <x:c r="L420" s="16" t="str">
        <x:f>IF(A420="","",Events!U419)</x:f>
      </x:c>
      <x:c r="M420" s="16" t="str">
        <x:f>IF(A420="","",Events!V419)</x:f>
      </x:c>
      <x:c r="N420" s="16" t="str">
        <x:f>IF(A420="","",Events!Q419)</x:f>
      </x:c>
      <x:c r="O420" s="16" t="str">
        <x:f>IF(A420="","",Events!R419)</x:f>
      </x:c>
      <x:c r="P420" s="16" t="str">
        <x:f>IF(A420="","",LOWER(Events!B419&amp;" "&amp;Events!D419&amp;" "&amp;Events!K419))</x:f>
      </x:c>
      <x:c r="Q420" s="16" t="str">
        <x:f>IF(A420="","",LOWER(Events!C419&amp;" "&amp;Events!K419&amp;" "&amp;Events!T419))</x:f>
      </x:c>
      <x:c r="R420" s="16" t="str">
        <x:f>IF(A420="","",IF(ISNUMBER(SEARCH("Occurrence verified",E420)),"Occurrence verified",E420))</x:f>
      </x:c>
      <x:c r="S420" s="79" t="str">
        <x:f>IF(A420="","",Events!X419)</x:f>
      </x:c>
      <x:c r="Z420" s="79" t="str">
        <x:f>IF(A420="","",Events!AD419)</x:f>
      </x:c>
      <x:c r="AA420" s="79" t="str">
        <x:f>IF(A420="","",Events!AE419)</x:f>
      </x:c>
    </x:row>
    <x:row r="421">
      <x:c r="A421" s="16" t="str">
        <x:f>IF(Events!A420="","",Events!A420)</x:f>
      </x:c>
      <x:c r="B421" s="16" t="str">
        <x:f>IF(A421="","",Events!B420)</x:f>
      </x:c>
      <x:c r="C421" s="16" t="str">
        <x:f>IF(A421="","",Events!E420)</x:f>
      </x:c>
      <x:c r="D421" s="16" t="str">
        <x:f>IF(A421="","",Events!J420)</x:f>
      </x:c>
      <x:c r="E421" s="16" t="str">
        <x:f>IF(A421="","",Events!N420)</x:f>
      </x:c>
      <x:c r="F421" s="109" t="str">
        <x:f>IF(OR(A421="",Events!H420=""),"",Events!H420)</x:f>
      </x:c>
      <x:c r="G421" s="109" t="str">
        <x:f>IF(A421="","",IF(Events!I420&lt;&gt;"",Events!I420,IF(Events!S420&lt;&gt;"",Events!S420,"")))</x:f>
      </x:c>
      <x:c r="H421" s="16" t="str">
        <x:f>IF(A421="","",Events!W420)</x:f>
      </x:c>
      <x:c r="I421" s="16" t="str">
        <x:f>IF(A421="","",IF(Events!Y420&lt;&gt;"",Events!Y420,IF(OR(ISNUMBER(SEARCH("education",P421)),ISNUMBER(SEARCH("exam",P421)),ISNUMBER(SEARCH("school",P421))),"Education",IF(OR(ISNUMBER(SEARCH("trade agreement",P421)),ISNUMBER(SEARCH("economic",P421)),ISNUMBER(SEARCH("import",P421))),"Trade &amp; economic policy",IF(OR(ISNUMBER(SEARCH("land acquisition",P421)),ISNUMBER(SEARCH("rehabilitation",P421)),ISNUMBER(SEARCH("displacement",P421)),ISNUMBER(SEARCH("township",P421))),"Land &amp; rehabilitation",IF(OR(ISNUMBER(SEARCH("forest",P421)),ISNUMBER(SEARCH("environment",P421)),ISNUMBER(SEARCH("ecological",P421)),ISNUMBER(SEARCH("biodiversity",P421)),ISNUMBER(SEARCH("green cover",P421))),"Environment",IF(OR(ISNUMBER(SEARCH("irrigation",P421)),ISNUMBER(SEARCH("water",P421)),ISNUMBER(SEARCH("crop",P421)),ISNUMBER(SEARCH("farmer",P421)),ISNUMBER(SEARCH("agriculture",P421))),"Agriculture &amp; water",IF(OR(ISNUMBER(SEARCH("health",P421)),ISNUMBER(SEARCH("hospital",P421)),ISNUMBER(SEARCH("medicine",P421))),"Public health",IF(OR(ISNUMBER(SEARCH("employee",P421)),ISNUMBER(SEARCH("labour",P421)),ISNUMBER(SEARCH("worker",P421)),ISNUMBER(SEARCH("salary",P421))),"Labour &amp; employment",IF(OR(ISNUMBER(SEARCH("rti",P421)),ISNUMBER(SEARCH("transparency",P421)),ISNUMBER(SEARCH("corruption",P421)),ISNUMBER(SEARCH("governance",P421))),"Governance &amp; transparency",IF(OR(ISNUMBER(SEARCH("police",P421)),ISNUMBER(SEARCH("detention",P421)),ISNUMBER(SEARCH("civil rights",P421)),ISNUMBER(SEARCH("justice",P421))),"Civil rights &amp; justice",IF(OR(ISNUMBER(SEARCH("road",P421)),ISNUMBER(SEARCH("utility",P421)),ISNUMBER(SEARCH("infrastructure",P421)),ISNUMBER(SEARCH("public service",P421))),"Infrastructure &amp; public services","Other"))))))))))))</x:f>
      </x:c>
      <x:c r="J421" s="16" t="str">
        <x:f>IF(A421="","",IF(OR(ISNUMBER(SEARCH("fatal",Q421)),ISNUMBER(SEARCH("death",Q421)),ISNUMBER(SEARCH("riot",Q421)),ISNUMBER(SEARCH("curfew",Q421)),ISNUMBER(SEARCH("internet shutdown",Q421))),5,MIN(4,1+IF(H421&gt;=7,1,0)+IF(OR(ISNUMBER(SEARCH("hunger strike",Q421)),ISNUMBER(SEARCH("blockade",Q421)),ISNUMBER(SEARCH("strike",Q421)),ISNUMBER(SEARCH("jal satyagraha",Q421)),ISNUMBER(SEARCH("survey",Q421)),ISNUMBER(SEARCH("human chain",Q421)),ISNUMBER(SEARCH("march",Q421))),1,0)+IF(OR(ISNUMBER(SEARCH("fir",Q421)),ISNUMBER(SEARCH("confrontation",Q421)),ISNUMBER(SEARCH("violence",Q421)),ISNUMBER(SEARCH("detention",Q421)),ISNUMBER(SEARCH("arrest",Q421)),ISNUMBER(SEARCH("demolition",Q421)),ISNUMBER(SEARCH("injury",Q421))),1,0)+IF(OR(D421="Ongoing",D421="Unresolved"),1,0))))</x:f>
      </x:c>
      <x:c r="K421" s="16" t="str">
        <x:f>IF(J421="","",IF(J421=1,"Limited",IF(J421=2,"Local",IF(J421=3,"Significant",IF(J421=4,"High","Critical")))))</x:f>
      </x:c>
      <x:c r="L421" s="16" t="str">
        <x:f>IF(A421="","",Events!U420)</x:f>
      </x:c>
      <x:c r="M421" s="16" t="str">
        <x:f>IF(A421="","",Events!V420)</x:f>
      </x:c>
      <x:c r="N421" s="16" t="str">
        <x:f>IF(A421="","",Events!Q420)</x:f>
      </x:c>
      <x:c r="O421" s="16" t="str">
        <x:f>IF(A421="","",Events!R420)</x:f>
      </x:c>
      <x:c r="P421" s="16" t="str">
        <x:f>IF(A421="","",LOWER(Events!B420&amp;" "&amp;Events!D420&amp;" "&amp;Events!K420))</x:f>
      </x:c>
      <x:c r="Q421" s="16" t="str">
        <x:f>IF(A421="","",LOWER(Events!C420&amp;" "&amp;Events!K420&amp;" "&amp;Events!T420))</x:f>
      </x:c>
      <x:c r="R421" s="16" t="str">
        <x:f>IF(A421="","",IF(ISNUMBER(SEARCH("Occurrence verified",E421)),"Occurrence verified",E421))</x:f>
      </x:c>
      <x:c r="S421" s="79" t="str">
        <x:f>IF(A421="","",Events!X420)</x:f>
      </x:c>
      <x:c r="Z421" s="79" t="str">
        <x:f>IF(A421="","",Events!AD420)</x:f>
      </x:c>
      <x:c r="AA421" s="79" t="str">
        <x:f>IF(A421="","",Events!AE420)</x:f>
      </x:c>
    </x:row>
    <x:row r="422">
      <x:c r="A422" s="16" t="str">
        <x:f>IF(Events!A421="","",Events!A421)</x:f>
      </x:c>
      <x:c r="B422" s="16" t="str">
        <x:f>IF(A422="","",Events!B421)</x:f>
      </x:c>
      <x:c r="C422" s="16" t="str">
        <x:f>IF(A422="","",Events!E421)</x:f>
      </x:c>
      <x:c r="D422" s="16" t="str">
        <x:f>IF(A422="","",Events!J421)</x:f>
      </x:c>
      <x:c r="E422" s="16" t="str">
        <x:f>IF(A422="","",Events!N421)</x:f>
      </x:c>
      <x:c r="F422" s="109" t="str">
        <x:f>IF(OR(A422="",Events!H421=""),"",Events!H421)</x:f>
      </x:c>
      <x:c r="G422" s="109" t="str">
        <x:f>IF(A422="","",IF(Events!I421&lt;&gt;"",Events!I421,IF(Events!S421&lt;&gt;"",Events!S421,"")))</x:f>
      </x:c>
      <x:c r="H422" s="16" t="str">
        <x:f>IF(A422="","",Events!W421)</x:f>
      </x:c>
      <x:c r="I422" s="16" t="str">
        <x:f>IF(A422="","",IF(Events!Y421&lt;&gt;"",Events!Y421,IF(OR(ISNUMBER(SEARCH("education",P422)),ISNUMBER(SEARCH("exam",P422)),ISNUMBER(SEARCH("school",P422))),"Education",IF(OR(ISNUMBER(SEARCH("trade agreement",P422)),ISNUMBER(SEARCH("economic",P422)),ISNUMBER(SEARCH("import",P422))),"Trade &amp; economic policy",IF(OR(ISNUMBER(SEARCH("land acquisition",P422)),ISNUMBER(SEARCH("rehabilitation",P422)),ISNUMBER(SEARCH("displacement",P422)),ISNUMBER(SEARCH("township",P422))),"Land &amp; rehabilitation",IF(OR(ISNUMBER(SEARCH("forest",P422)),ISNUMBER(SEARCH("environment",P422)),ISNUMBER(SEARCH("ecological",P422)),ISNUMBER(SEARCH("biodiversity",P422)),ISNUMBER(SEARCH("green cover",P422))),"Environment",IF(OR(ISNUMBER(SEARCH("irrigation",P422)),ISNUMBER(SEARCH("water",P422)),ISNUMBER(SEARCH("crop",P422)),ISNUMBER(SEARCH("farmer",P422)),ISNUMBER(SEARCH("agriculture",P422))),"Agriculture &amp; water",IF(OR(ISNUMBER(SEARCH("health",P422)),ISNUMBER(SEARCH("hospital",P422)),ISNUMBER(SEARCH("medicine",P422))),"Public health",IF(OR(ISNUMBER(SEARCH("employee",P422)),ISNUMBER(SEARCH("labour",P422)),ISNUMBER(SEARCH("worker",P422)),ISNUMBER(SEARCH("salary",P422))),"Labour &amp; employment",IF(OR(ISNUMBER(SEARCH("rti",P422)),ISNUMBER(SEARCH("transparency",P422)),ISNUMBER(SEARCH("corruption",P422)),ISNUMBER(SEARCH("governance",P422))),"Governance &amp; transparency",IF(OR(ISNUMBER(SEARCH("police",P422)),ISNUMBER(SEARCH("detention",P422)),ISNUMBER(SEARCH("civil rights",P422)),ISNUMBER(SEARCH("justice",P422))),"Civil rights &amp; justice",IF(OR(ISNUMBER(SEARCH("road",P422)),ISNUMBER(SEARCH("utility",P422)),ISNUMBER(SEARCH("infrastructure",P422)),ISNUMBER(SEARCH("public service",P422))),"Infrastructure &amp; public services","Other"))))))))))))</x:f>
      </x:c>
      <x:c r="J422" s="16" t="str">
        <x:f>IF(A422="","",IF(OR(ISNUMBER(SEARCH("fatal",Q422)),ISNUMBER(SEARCH("death",Q422)),ISNUMBER(SEARCH("riot",Q422)),ISNUMBER(SEARCH("curfew",Q422)),ISNUMBER(SEARCH("internet shutdown",Q422))),5,MIN(4,1+IF(H422&gt;=7,1,0)+IF(OR(ISNUMBER(SEARCH("hunger strike",Q422)),ISNUMBER(SEARCH("blockade",Q422)),ISNUMBER(SEARCH("strike",Q422)),ISNUMBER(SEARCH("jal satyagraha",Q422)),ISNUMBER(SEARCH("survey",Q422)),ISNUMBER(SEARCH("human chain",Q422)),ISNUMBER(SEARCH("march",Q422))),1,0)+IF(OR(ISNUMBER(SEARCH("fir",Q422)),ISNUMBER(SEARCH("confrontation",Q422)),ISNUMBER(SEARCH("violence",Q422)),ISNUMBER(SEARCH("detention",Q422)),ISNUMBER(SEARCH("arrest",Q422)),ISNUMBER(SEARCH("demolition",Q422)),ISNUMBER(SEARCH("injury",Q422))),1,0)+IF(OR(D422="Ongoing",D422="Unresolved"),1,0))))</x:f>
      </x:c>
      <x:c r="K422" s="16" t="str">
        <x:f>IF(J422="","",IF(J422=1,"Limited",IF(J422=2,"Local",IF(J422=3,"Significant",IF(J422=4,"High","Critical")))))</x:f>
      </x:c>
      <x:c r="L422" s="16" t="str">
        <x:f>IF(A422="","",Events!U421)</x:f>
      </x:c>
      <x:c r="M422" s="16" t="str">
        <x:f>IF(A422="","",Events!V421)</x:f>
      </x:c>
      <x:c r="N422" s="16" t="str">
        <x:f>IF(A422="","",Events!Q421)</x:f>
      </x:c>
      <x:c r="O422" s="16" t="str">
        <x:f>IF(A422="","",Events!R421)</x:f>
      </x:c>
      <x:c r="P422" s="16" t="str">
        <x:f>IF(A422="","",LOWER(Events!B421&amp;" "&amp;Events!D421&amp;" "&amp;Events!K421))</x:f>
      </x:c>
      <x:c r="Q422" s="16" t="str">
        <x:f>IF(A422="","",LOWER(Events!C421&amp;" "&amp;Events!K421&amp;" "&amp;Events!T421))</x:f>
      </x:c>
      <x:c r="R422" s="16" t="str">
        <x:f>IF(A422="","",IF(ISNUMBER(SEARCH("Occurrence verified",E422)),"Occurrence verified",E422))</x:f>
      </x:c>
      <x:c r="S422" s="79" t="str">
        <x:f>IF(A422="","",Events!X421)</x:f>
      </x:c>
      <x:c r="Z422" s="79" t="str">
        <x:f>IF(A422="","",Events!AD421)</x:f>
      </x:c>
      <x:c r="AA422" s="79" t="str">
        <x:f>IF(A422="","",Events!AE421)</x:f>
      </x:c>
    </x:row>
    <x:row r="423">
      <x:c r="A423" s="16" t="str">
        <x:f>IF(Events!A422="","",Events!A422)</x:f>
      </x:c>
      <x:c r="B423" s="16" t="str">
        <x:f>IF(A423="","",Events!B422)</x:f>
      </x:c>
      <x:c r="C423" s="16" t="str">
        <x:f>IF(A423="","",Events!E422)</x:f>
      </x:c>
      <x:c r="D423" s="16" t="str">
        <x:f>IF(A423="","",Events!J422)</x:f>
      </x:c>
      <x:c r="E423" s="16" t="str">
        <x:f>IF(A423="","",Events!N422)</x:f>
      </x:c>
      <x:c r="F423" s="109" t="str">
        <x:f>IF(OR(A423="",Events!H422=""),"",Events!H422)</x:f>
      </x:c>
      <x:c r="G423" s="109" t="str">
        <x:f>IF(A423="","",IF(Events!I422&lt;&gt;"",Events!I422,IF(Events!S422&lt;&gt;"",Events!S422,"")))</x:f>
      </x:c>
      <x:c r="H423" s="16" t="str">
        <x:f>IF(A423="","",Events!W422)</x:f>
      </x:c>
      <x:c r="I423" s="16" t="str">
        <x:f>IF(A423="","",IF(Events!Y422&lt;&gt;"",Events!Y422,IF(OR(ISNUMBER(SEARCH("education",P423)),ISNUMBER(SEARCH("exam",P423)),ISNUMBER(SEARCH("school",P423))),"Education",IF(OR(ISNUMBER(SEARCH("trade agreement",P423)),ISNUMBER(SEARCH("economic",P423)),ISNUMBER(SEARCH("import",P423))),"Trade &amp; economic policy",IF(OR(ISNUMBER(SEARCH("land acquisition",P423)),ISNUMBER(SEARCH("rehabilitation",P423)),ISNUMBER(SEARCH("displacement",P423)),ISNUMBER(SEARCH("township",P423))),"Land &amp; rehabilitation",IF(OR(ISNUMBER(SEARCH("forest",P423)),ISNUMBER(SEARCH("environment",P423)),ISNUMBER(SEARCH("ecological",P423)),ISNUMBER(SEARCH("biodiversity",P423)),ISNUMBER(SEARCH("green cover",P423))),"Environment",IF(OR(ISNUMBER(SEARCH("irrigation",P423)),ISNUMBER(SEARCH("water",P423)),ISNUMBER(SEARCH("crop",P423)),ISNUMBER(SEARCH("farmer",P423)),ISNUMBER(SEARCH("agriculture",P423))),"Agriculture &amp; water",IF(OR(ISNUMBER(SEARCH("health",P423)),ISNUMBER(SEARCH("hospital",P423)),ISNUMBER(SEARCH("medicine",P423))),"Public health",IF(OR(ISNUMBER(SEARCH("employee",P423)),ISNUMBER(SEARCH("labour",P423)),ISNUMBER(SEARCH("worker",P423)),ISNUMBER(SEARCH("salary",P423))),"Labour &amp; employment",IF(OR(ISNUMBER(SEARCH("rti",P423)),ISNUMBER(SEARCH("transparency",P423)),ISNUMBER(SEARCH("corruption",P423)),ISNUMBER(SEARCH("governance",P423))),"Governance &amp; transparency",IF(OR(ISNUMBER(SEARCH("police",P423)),ISNUMBER(SEARCH("detention",P423)),ISNUMBER(SEARCH("civil rights",P423)),ISNUMBER(SEARCH("justice",P423))),"Civil rights &amp; justice",IF(OR(ISNUMBER(SEARCH("road",P423)),ISNUMBER(SEARCH("utility",P423)),ISNUMBER(SEARCH("infrastructure",P423)),ISNUMBER(SEARCH("public service",P423))),"Infrastructure &amp; public services","Other"))))))))))))</x:f>
      </x:c>
      <x:c r="J423" s="16" t="str">
        <x:f>IF(A423="","",IF(OR(ISNUMBER(SEARCH("fatal",Q423)),ISNUMBER(SEARCH("death",Q423)),ISNUMBER(SEARCH("riot",Q423)),ISNUMBER(SEARCH("curfew",Q423)),ISNUMBER(SEARCH("internet shutdown",Q423))),5,MIN(4,1+IF(H423&gt;=7,1,0)+IF(OR(ISNUMBER(SEARCH("hunger strike",Q423)),ISNUMBER(SEARCH("blockade",Q423)),ISNUMBER(SEARCH("strike",Q423)),ISNUMBER(SEARCH("jal satyagraha",Q423)),ISNUMBER(SEARCH("survey",Q423)),ISNUMBER(SEARCH("human chain",Q423)),ISNUMBER(SEARCH("march",Q423))),1,0)+IF(OR(ISNUMBER(SEARCH("fir",Q423)),ISNUMBER(SEARCH("confrontation",Q423)),ISNUMBER(SEARCH("violence",Q423)),ISNUMBER(SEARCH("detention",Q423)),ISNUMBER(SEARCH("arrest",Q423)),ISNUMBER(SEARCH("demolition",Q423)),ISNUMBER(SEARCH("injury",Q423))),1,0)+IF(OR(D423="Ongoing",D423="Unresolved"),1,0))))</x:f>
      </x:c>
      <x:c r="K423" s="16" t="str">
        <x:f>IF(J423="","",IF(J423=1,"Limited",IF(J423=2,"Local",IF(J423=3,"Significant",IF(J423=4,"High","Critical")))))</x:f>
      </x:c>
      <x:c r="L423" s="16" t="str">
        <x:f>IF(A423="","",Events!U422)</x:f>
      </x:c>
      <x:c r="M423" s="16" t="str">
        <x:f>IF(A423="","",Events!V422)</x:f>
      </x:c>
      <x:c r="N423" s="16" t="str">
        <x:f>IF(A423="","",Events!Q422)</x:f>
      </x:c>
      <x:c r="O423" s="16" t="str">
        <x:f>IF(A423="","",Events!R422)</x:f>
      </x:c>
      <x:c r="P423" s="16" t="str">
        <x:f>IF(A423="","",LOWER(Events!B422&amp;" "&amp;Events!D422&amp;" "&amp;Events!K422))</x:f>
      </x:c>
      <x:c r="Q423" s="16" t="str">
        <x:f>IF(A423="","",LOWER(Events!C422&amp;" "&amp;Events!K422&amp;" "&amp;Events!T422))</x:f>
      </x:c>
      <x:c r="R423" s="16" t="str">
        <x:f>IF(A423="","",IF(ISNUMBER(SEARCH("Occurrence verified",E423)),"Occurrence verified",E423))</x:f>
      </x:c>
      <x:c r="S423" s="79" t="str">
        <x:f>IF(A423="","",Events!X422)</x:f>
      </x:c>
      <x:c r="Z423" s="79" t="str">
        <x:f>IF(A423="","",Events!AD422)</x:f>
      </x:c>
      <x:c r="AA423" s="79" t="str">
        <x:f>IF(A423="","",Events!AE422)</x:f>
      </x:c>
    </x:row>
    <x:row r="424">
      <x:c r="A424" s="16" t="str">
        <x:f>IF(Events!A423="","",Events!A423)</x:f>
      </x:c>
      <x:c r="B424" s="16" t="str">
        <x:f>IF(A424="","",Events!B423)</x:f>
      </x:c>
      <x:c r="C424" s="16" t="str">
        <x:f>IF(A424="","",Events!E423)</x:f>
      </x:c>
      <x:c r="D424" s="16" t="str">
        <x:f>IF(A424="","",Events!J423)</x:f>
      </x:c>
      <x:c r="E424" s="16" t="str">
        <x:f>IF(A424="","",Events!N423)</x:f>
      </x:c>
      <x:c r="F424" s="109" t="str">
        <x:f>IF(OR(A424="",Events!H423=""),"",Events!H423)</x:f>
      </x:c>
      <x:c r="G424" s="109" t="str">
        <x:f>IF(A424="","",IF(Events!I423&lt;&gt;"",Events!I423,IF(Events!S423&lt;&gt;"",Events!S423,"")))</x:f>
      </x:c>
      <x:c r="H424" s="16" t="str">
        <x:f>IF(A424="","",Events!W423)</x:f>
      </x:c>
      <x:c r="I424" s="16" t="str">
        <x:f>IF(A424="","",IF(Events!Y423&lt;&gt;"",Events!Y423,IF(OR(ISNUMBER(SEARCH("education",P424)),ISNUMBER(SEARCH("exam",P424)),ISNUMBER(SEARCH("school",P424))),"Education",IF(OR(ISNUMBER(SEARCH("trade agreement",P424)),ISNUMBER(SEARCH("economic",P424)),ISNUMBER(SEARCH("import",P424))),"Trade &amp; economic policy",IF(OR(ISNUMBER(SEARCH("land acquisition",P424)),ISNUMBER(SEARCH("rehabilitation",P424)),ISNUMBER(SEARCH("displacement",P424)),ISNUMBER(SEARCH("township",P424))),"Land &amp; rehabilitation",IF(OR(ISNUMBER(SEARCH("forest",P424)),ISNUMBER(SEARCH("environment",P424)),ISNUMBER(SEARCH("ecological",P424)),ISNUMBER(SEARCH("biodiversity",P424)),ISNUMBER(SEARCH("green cover",P424))),"Environment",IF(OR(ISNUMBER(SEARCH("irrigation",P424)),ISNUMBER(SEARCH("water",P424)),ISNUMBER(SEARCH("crop",P424)),ISNUMBER(SEARCH("farmer",P424)),ISNUMBER(SEARCH("agriculture",P424))),"Agriculture &amp; water",IF(OR(ISNUMBER(SEARCH("health",P424)),ISNUMBER(SEARCH("hospital",P424)),ISNUMBER(SEARCH("medicine",P424))),"Public health",IF(OR(ISNUMBER(SEARCH("employee",P424)),ISNUMBER(SEARCH("labour",P424)),ISNUMBER(SEARCH("worker",P424)),ISNUMBER(SEARCH("salary",P424))),"Labour &amp; employment",IF(OR(ISNUMBER(SEARCH("rti",P424)),ISNUMBER(SEARCH("transparency",P424)),ISNUMBER(SEARCH("corruption",P424)),ISNUMBER(SEARCH("governance",P424))),"Governance &amp; transparency",IF(OR(ISNUMBER(SEARCH("police",P424)),ISNUMBER(SEARCH("detention",P424)),ISNUMBER(SEARCH("civil rights",P424)),ISNUMBER(SEARCH("justice",P424))),"Civil rights &amp; justice",IF(OR(ISNUMBER(SEARCH("road",P424)),ISNUMBER(SEARCH("utility",P424)),ISNUMBER(SEARCH("infrastructure",P424)),ISNUMBER(SEARCH("public service",P424))),"Infrastructure &amp; public services","Other"))))))))))))</x:f>
      </x:c>
      <x:c r="J424" s="16" t="str">
        <x:f>IF(A424="","",IF(OR(ISNUMBER(SEARCH("fatal",Q424)),ISNUMBER(SEARCH("death",Q424)),ISNUMBER(SEARCH("riot",Q424)),ISNUMBER(SEARCH("curfew",Q424)),ISNUMBER(SEARCH("internet shutdown",Q424))),5,MIN(4,1+IF(H424&gt;=7,1,0)+IF(OR(ISNUMBER(SEARCH("hunger strike",Q424)),ISNUMBER(SEARCH("blockade",Q424)),ISNUMBER(SEARCH("strike",Q424)),ISNUMBER(SEARCH("jal satyagraha",Q424)),ISNUMBER(SEARCH("survey",Q424)),ISNUMBER(SEARCH("human chain",Q424)),ISNUMBER(SEARCH("march",Q424))),1,0)+IF(OR(ISNUMBER(SEARCH("fir",Q424)),ISNUMBER(SEARCH("confrontation",Q424)),ISNUMBER(SEARCH("violence",Q424)),ISNUMBER(SEARCH("detention",Q424)),ISNUMBER(SEARCH("arrest",Q424)),ISNUMBER(SEARCH("demolition",Q424)),ISNUMBER(SEARCH("injury",Q424))),1,0)+IF(OR(D424="Ongoing",D424="Unresolved"),1,0))))</x:f>
      </x:c>
      <x:c r="K424" s="16" t="str">
        <x:f>IF(J424="","",IF(J424=1,"Limited",IF(J424=2,"Local",IF(J424=3,"Significant",IF(J424=4,"High","Critical")))))</x:f>
      </x:c>
      <x:c r="L424" s="16" t="str">
        <x:f>IF(A424="","",Events!U423)</x:f>
      </x:c>
      <x:c r="M424" s="16" t="str">
        <x:f>IF(A424="","",Events!V423)</x:f>
      </x:c>
      <x:c r="N424" s="16" t="str">
        <x:f>IF(A424="","",Events!Q423)</x:f>
      </x:c>
      <x:c r="O424" s="16" t="str">
        <x:f>IF(A424="","",Events!R423)</x:f>
      </x:c>
      <x:c r="P424" s="16" t="str">
        <x:f>IF(A424="","",LOWER(Events!B423&amp;" "&amp;Events!D423&amp;" "&amp;Events!K423))</x:f>
      </x:c>
      <x:c r="Q424" s="16" t="str">
        <x:f>IF(A424="","",LOWER(Events!C423&amp;" "&amp;Events!K423&amp;" "&amp;Events!T423))</x:f>
      </x:c>
      <x:c r="R424" s="16" t="str">
        <x:f>IF(A424="","",IF(ISNUMBER(SEARCH("Occurrence verified",E424)),"Occurrence verified",E424))</x:f>
      </x:c>
      <x:c r="S424" s="79" t="str">
        <x:f>IF(A424="","",Events!X423)</x:f>
      </x:c>
      <x:c r="Z424" s="79" t="str">
        <x:f>IF(A424="","",Events!AD423)</x:f>
      </x:c>
      <x:c r="AA424" s="79" t="str">
        <x:f>IF(A424="","",Events!AE423)</x:f>
      </x:c>
    </x:row>
    <x:row r="425">
      <x:c r="A425" s="16" t="str">
        <x:f>IF(Events!A424="","",Events!A424)</x:f>
      </x:c>
      <x:c r="B425" s="16" t="str">
        <x:f>IF(A425="","",Events!B424)</x:f>
      </x:c>
      <x:c r="C425" s="16" t="str">
        <x:f>IF(A425="","",Events!E424)</x:f>
      </x:c>
      <x:c r="D425" s="16" t="str">
        <x:f>IF(A425="","",Events!J424)</x:f>
      </x:c>
      <x:c r="E425" s="16" t="str">
        <x:f>IF(A425="","",Events!N424)</x:f>
      </x:c>
      <x:c r="F425" s="109" t="str">
        <x:f>IF(OR(A425="",Events!H424=""),"",Events!H424)</x:f>
      </x:c>
      <x:c r="G425" s="109" t="str">
        <x:f>IF(A425="","",IF(Events!I424&lt;&gt;"",Events!I424,IF(Events!S424&lt;&gt;"",Events!S424,"")))</x:f>
      </x:c>
      <x:c r="H425" s="16" t="str">
        <x:f>IF(A425="","",Events!W424)</x:f>
      </x:c>
      <x:c r="I425" s="16" t="str">
        <x:f>IF(A425="","",IF(Events!Y424&lt;&gt;"",Events!Y424,IF(OR(ISNUMBER(SEARCH("education",P425)),ISNUMBER(SEARCH("exam",P425)),ISNUMBER(SEARCH("school",P425))),"Education",IF(OR(ISNUMBER(SEARCH("trade agreement",P425)),ISNUMBER(SEARCH("economic",P425)),ISNUMBER(SEARCH("import",P425))),"Trade &amp; economic policy",IF(OR(ISNUMBER(SEARCH("land acquisition",P425)),ISNUMBER(SEARCH("rehabilitation",P425)),ISNUMBER(SEARCH("displacement",P425)),ISNUMBER(SEARCH("township",P425))),"Land &amp; rehabilitation",IF(OR(ISNUMBER(SEARCH("forest",P425)),ISNUMBER(SEARCH("environment",P425)),ISNUMBER(SEARCH("ecological",P425)),ISNUMBER(SEARCH("biodiversity",P425)),ISNUMBER(SEARCH("green cover",P425))),"Environment",IF(OR(ISNUMBER(SEARCH("irrigation",P425)),ISNUMBER(SEARCH("water",P425)),ISNUMBER(SEARCH("crop",P425)),ISNUMBER(SEARCH("farmer",P425)),ISNUMBER(SEARCH("agriculture",P425))),"Agriculture &amp; water",IF(OR(ISNUMBER(SEARCH("health",P425)),ISNUMBER(SEARCH("hospital",P425)),ISNUMBER(SEARCH("medicine",P425))),"Public health",IF(OR(ISNUMBER(SEARCH("employee",P425)),ISNUMBER(SEARCH("labour",P425)),ISNUMBER(SEARCH("worker",P425)),ISNUMBER(SEARCH("salary",P425))),"Labour &amp; employment",IF(OR(ISNUMBER(SEARCH("rti",P425)),ISNUMBER(SEARCH("transparency",P425)),ISNUMBER(SEARCH("corruption",P425)),ISNUMBER(SEARCH("governance",P425))),"Governance &amp; transparency",IF(OR(ISNUMBER(SEARCH("police",P425)),ISNUMBER(SEARCH("detention",P425)),ISNUMBER(SEARCH("civil rights",P425)),ISNUMBER(SEARCH("justice",P425))),"Civil rights &amp; justice",IF(OR(ISNUMBER(SEARCH("road",P425)),ISNUMBER(SEARCH("utility",P425)),ISNUMBER(SEARCH("infrastructure",P425)),ISNUMBER(SEARCH("public service",P425))),"Infrastructure &amp; public services","Other"))))))))))))</x:f>
      </x:c>
      <x:c r="J425" s="16" t="str">
        <x:f>IF(A425="","",IF(OR(ISNUMBER(SEARCH("fatal",Q425)),ISNUMBER(SEARCH("death",Q425)),ISNUMBER(SEARCH("riot",Q425)),ISNUMBER(SEARCH("curfew",Q425)),ISNUMBER(SEARCH("internet shutdown",Q425))),5,MIN(4,1+IF(H425&gt;=7,1,0)+IF(OR(ISNUMBER(SEARCH("hunger strike",Q425)),ISNUMBER(SEARCH("blockade",Q425)),ISNUMBER(SEARCH("strike",Q425)),ISNUMBER(SEARCH("jal satyagraha",Q425)),ISNUMBER(SEARCH("survey",Q425)),ISNUMBER(SEARCH("human chain",Q425)),ISNUMBER(SEARCH("march",Q425))),1,0)+IF(OR(ISNUMBER(SEARCH("fir",Q425)),ISNUMBER(SEARCH("confrontation",Q425)),ISNUMBER(SEARCH("violence",Q425)),ISNUMBER(SEARCH("detention",Q425)),ISNUMBER(SEARCH("arrest",Q425)),ISNUMBER(SEARCH("demolition",Q425)),ISNUMBER(SEARCH("injury",Q425))),1,0)+IF(OR(D425="Ongoing",D425="Unresolved"),1,0))))</x:f>
      </x:c>
      <x:c r="K425" s="16" t="str">
        <x:f>IF(J425="","",IF(J425=1,"Limited",IF(J425=2,"Local",IF(J425=3,"Significant",IF(J425=4,"High","Critical")))))</x:f>
      </x:c>
      <x:c r="L425" s="16" t="str">
        <x:f>IF(A425="","",Events!U424)</x:f>
      </x:c>
      <x:c r="M425" s="16" t="str">
        <x:f>IF(A425="","",Events!V424)</x:f>
      </x:c>
      <x:c r="N425" s="16" t="str">
        <x:f>IF(A425="","",Events!Q424)</x:f>
      </x:c>
      <x:c r="O425" s="16" t="str">
        <x:f>IF(A425="","",Events!R424)</x:f>
      </x:c>
      <x:c r="P425" s="16" t="str">
        <x:f>IF(A425="","",LOWER(Events!B424&amp;" "&amp;Events!D424&amp;" "&amp;Events!K424))</x:f>
      </x:c>
      <x:c r="Q425" s="16" t="str">
        <x:f>IF(A425="","",LOWER(Events!C424&amp;" "&amp;Events!K424&amp;" "&amp;Events!T424))</x:f>
      </x:c>
      <x:c r="R425" s="16" t="str">
        <x:f>IF(A425="","",IF(ISNUMBER(SEARCH("Occurrence verified",E425)),"Occurrence verified",E425))</x:f>
      </x:c>
      <x:c r="S425" s="79" t="str">
        <x:f>IF(A425="","",Events!X424)</x:f>
      </x:c>
      <x:c r="Z425" s="79" t="str">
        <x:f>IF(A425="","",Events!AD424)</x:f>
      </x:c>
      <x:c r="AA425" s="79" t="str">
        <x:f>IF(A425="","",Events!AE424)</x:f>
      </x:c>
    </x:row>
    <x:row r="426">
      <x:c r="A426" s="16" t="str">
        <x:f>IF(Events!A425="","",Events!A425)</x:f>
      </x:c>
      <x:c r="B426" s="16" t="str">
        <x:f>IF(A426="","",Events!B425)</x:f>
      </x:c>
      <x:c r="C426" s="16" t="str">
        <x:f>IF(A426="","",Events!E425)</x:f>
      </x:c>
      <x:c r="D426" s="16" t="str">
        <x:f>IF(A426="","",Events!J425)</x:f>
      </x:c>
      <x:c r="E426" s="16" t="str">
        <x:f>IF(A426="","",Events!N425)</x:f>
      </x:c>
      <x:c r="F426" s="109" t="str">
        <x:f>IF(OR(A426="",Events!H425=""),"",Events!H425)</x:f>
      </x:c>
      <x:c r="G426" s="109" t="str">
        <x:f>IF(A426="","",IF(Events!I425&lt;&gt;"",Events!I425,IF(Events!S425&lt;&gt;"",Events!S425,"")))</x:f>
      </x:c>
      <x:c r="H426" s="16" t="str">
        <x:f>IF(A426="","",Events!W425)</x:f>
      </x:c>
      <x:c r="I426" s="16" t="str">
        <x:f>IF(A426="","",IF(Events!Y425&lt;&gt;"",Events!Y425,IF(OR(ISNUMBER(SEARCH("education",P426)),ISNUMBER(SEARCH("exam",P426)),ISNUMBER(SEARCH("school",P426))),"Education",IF(OR(ISNUMBER(SEARCH("trade agreement",P426)),ISNUMBER(SEARCH("economic",P426)),ISNUMBER(SEARCH("import",P426))),"Trade &amp; economic policy",IF(OR(ISNUMBER(SEARCH("land acquisition",P426)),ISNUMBER(SEARCH("rehabilitation",P426)),ISNUMBER(SEARCH("displacement",P426)),ISNUMBER(SEARCH("township",P426))),"Land &amp; rehabilitation",IF(OR(ISNUMBER(SEARCH("forest",P426)),ISNUMBER(SEARCH("environment",P426)),ISNUMBER(SEARCH("ecological",P426)),ISNUMBER(SEARCH("biodiversity",P426)),ISNUMBER(SEARCH("green cover",P426))),"Environment",IF(OR(ISNUMBER(SEARCH("irrigation",P426)),ISNUMBER(SEARCH("water",P426)),ISNUMBER(SEARCH("crop",P426)),ISNUMBER(SEARCH("farmer",P426)),ISNUMBER(SEARCH("agriculture",P426))),"Agriculture &amp; water",IF(OR(ISNUMBER(SEARCH("health",P426)),ISNUMBER(SEARCH("hospital",P426)),ISNUMBER(SEARCH("medicine",P426))),"Public health",IF(OR(ISNUMBER(SEARCH("employee",P426)),ISNUMBER(SEARCH("labour",P426)),ISNUMBER(SEARCH("worker",P426)),ISNUMBER(SEARCH("salary",P426))),"Labour &amp; employment",IF(OR(ISNUMBER(SEARCH("rti",P426)),ISNUMBER(SEARCH("transparency",P426)),ISNUMBER(SEARCH("corruption",P426)),ISNUMBER(SEARCH("governance",P426))),"Governance &amp; transparency",IF(OR(ISNUMBER(SEARCH("police",P426)),ISNUMBER(SEARCH("detention",P426)),ISNUMBER(SEARCH("civil rights",P426)),ISNUMBER(SEARCH("justice",P426))),"Civil rights &amp; justice",IF(OR(ISNUMBER(SEARCH("road",P426)),ISNUMBER(SEARCH("utility",P426)),ISNUMBER(SEARCH("infrastructure",P426)),ISNUMBER(SEARCH("public service",P426))),"Infrastructure &amp; public services","Other"))))))))))))</x:f>
      </x:c>
      <x:c r="J426" s="16" t="str">
        <x:f>IF(A426="","",IF(OR(ISNUMBER(SEARCH("fatal",Q426)),ISNUMBER(SEARCH("death",Q426)),ISNUMBER(SEARCH("riot",Q426)),ISNUMBER(SEARCH("curfew",Q426)),ISNUMBER(SEARCH("internet shutdown",Q426))),5,MIN(4,1+IF(H426&gt;=7,1,0)+IF(OR(ISNUMBER(SEARCH("hunger strike",Q426)),ISNUMBER(SEARCH("blockade",Q426)),ISNUMBER(SEARCH("strike",Q426)),ISNUMBER(SEARCH("jal satyagraha",Q426)),ISNUMBER(SEARCH("survey",Q426)),ISNUMBER(SEARCH("human chain",Q426)),ISNUMBER(SEARCH("march",Q426))),1,0)+IF(OR(ISNUMBER(SEARCH("fir",Q426)),ISNUMBER(SEARCH("confrontation",Q426)),ISNUMBER(SEARCH("violence",Q426)),ISNUMBER(SEARCH("detention",Q426)),ISNUMBER(SEARCH("arrest",Q426)),ISNUMBER(SEARCH("demolition",Q426)),ISNUMBER(SEARCH("injury",Q426))),1,0)+IF(OR(D426="Ongoing",D426="Unresolved"),1,0))))</x:f>
      </x:c>
      <x:c r="K426" s="16" t="str">
        <x:f>IF(J426="","",IF(J426=1,"Limited",IF(J426=2,"Local",IF(J426=3,"Significant",IF(J426=4,"High","Critical")))))</x:f>
      </x:c>
      <x:c r="L426" s="16" t="str">
        <x:f>IF(A426="","",Events!U425)</x:f>
      </x:c>
      <x:c r="M426" s="16" t="str">
        <x:f>IF(A426="","",Events!V425)</x:f>
      </x:c>
      <x:c r="N426" s="16" t="str">
        <x:f>IF(A426="","",Events!Q425)</x:f>
      </x:c>
      <x:c r="O426" s="16" t="str">
        <x:f>IF(A426="","",Events!R425)</x:f>
      </x:c>
      <x:c r="P426" s="16" t="str">
        <x:f>IF(A426="","",LOWER(Events!B425&amp;" "&amp;Events!D425&amp;" "&amp;Events!K425))</x:f>
      </x:c>
      <x:c r="Q426" s="16" t="str">
        <x:f>IF(A426="","",LOWER(Events!C425&amp;" "&amp;Events!K425&amp;" "&amp;Events!T425))</x:f>
      </x:c>
      <x:c r="R426" s="16" t="str">
        <x:f>IF(A426="","",IF(ISNUMBER(SEARCH("Occurrence verified",E426)),"Occurrence verified",E426))</x:f>
      </x:c>
      <x:c r="S426" s="79" t="str">
        <x:f>IF(A426="","",Events!X425)</x:f>
      </x:c>
      <x:c r="Z426" s="79" t="str">
        <x:f>IF(A426="","",Events!AD425)</x:f>
      </x:c>
      <x:c r="AA426" s="79" t="str">
        <x:f>IF(A426="","",Events!AE425)</x:f>
      </x:c>
    </x:row>
    <x:row r="427">
      <x:c r="A427" s="16" t="str">
        <x:f>IF(Events!A426="","",Events!A426)</x:f>
      </x:c>
      <x:c r="B427" s="16" t="str">
        <x:f>IF(A427="","",Events!B426)</x:f>
      </x:c>
      <x:c r="C427" s="16" t="str">
        <x:f>IF(A427="","",Events!E426)</x:f>
      </x:c>
      <x:c r="D427" s="16" t="str">
        <x:f>IF(A427="","",Events!J426)</x:f>
      </x:c>
      <x:c r="E427" s="16" t="str">
        <x:f>IF(A427="","",Events!N426)</x:f>
      </x:c>
      <x:c r="F427" s="109" t="str">
        <x:f>IF(OR(A427="",Events!H426=""),"",Events!H426)</x:f>
      </x:c>
      <x:c r="G427" s="109" t="str">
        <x:f>IF(A427="","",IF(Events!I426&lt;&gt;"",Events!I426,IF(Events!S426&lt;&gt;"",Events!S426,"")))</x:f>
      </x:c>
      <x:c r="H427" s="16" t="str">
        <x:f>IF(A427="","",Events!W426)</x:f>
      </x:c>
      <x:c r="I427" s="16" t="str">
        <x:f>IF(A427="","",IF(Events!Y426&lt;&gt;"",Events!Y426,IF(OR(ISNUMBER(SEARCH("education",P427)),ISNUMBER(SEARCH("exam",P427)),ISNUMBER(SEARCH("school",P427))),"Education",IF(OR(ISNUMBER(SEARCH("trade agreement",P427)),ISNUMBER(SEARCH("economic",P427)),ISNUMBER(SEARCH("import",P427))),"Trade &amp; economic policy",IF(OR(ISNUMBER(SEARCH("land acquisition",P427)),ISNUMBER(SEARCH("rehabilitation",P427)),ISNUMBER(SEARCH("displacement",P427)),ISNUMBER(SEARCH("township",P427))),"Land &amp; rehabilitation",IF(OR(ISNUMBER(SEARCH("forest",P427)),ISNUMBER(SEARCH("environment",P427)),ISNUMBER(SEARCH("ecological",P427)),ISNUMBER(SEARCH("biodiversity",P427)),ISNUMBER(SEARCH("green cover",P427))),"Environment",IF(OR(ISNUMBER(SEARCH("irrigation",P427)),ISNUMBER(SEARCH("water",P427)),ISNUMBER(SEARCH("crop",P427)),ISNUMBER(SEARCH("farmer",P427)),ISNUMBER(SEARCH("agriculture",P427))),"Agriculture &amp; water",IF(OR(ISNUMBER(SEARCH("health",P427)),ISNUMBER(SEARCH("hospital",P427)),ISNUMBER(SEARCH("medicine",P427))),"Public health",IF(OR(ISNUMBER(SEARCH("employee",P427)),ISNUMBER(SEARCH("labour",P427)),ISNUMBER(SEARCH("worker",P427)),ISNUMBER(SEARCH("salary",P427))),"Labour &amp; employment",IF(OR(ISNUMBER(SEARCH("rti",P427)),ISNUMBER(SEARCH("transparency",P427)),ISNUMBER(SEARCH("corruption",P427)),ISNUMBER(SEARCH("governance",P427))),"Governance &amp; transparency",IF(OR(ISNUMBER(SEARCH("police",P427)),ISNUMBER(SEARCH("detention",P427)),ISNUMBER(SEARCH("civil rights",P427)),ISNUMBER(SEARCH("justice",P427))),"Civil rights &amp; justice",IF(OR(ISNUMBER(SEARCH("road",P427)),ISNUMBER(SEARCH("utility",P427)),ISNUMBER(SEARCH("infrastructure",P427)),ISNUMBER(SEARCH("public service",P427))),"Infrastructure &amp; public services","Other"))))))))))))</x:f>
      </x:c>
      <x:c r="J427" s="16" t="str">
        <x:f>IF(A427="","",IF(OR(ISNUMBER(SEARCH("fatal",Q427)),ISNUMBER(SEARCH("death",Q427)),ISNUMBER(SEARCH("riot",Q427)),ISNUMBER(SEARCH("curfew",Q427)),ISNUMBER(SEARCH("internet shutdown",Q427))),5,MIN(4,1+IF(H427&gt;=7,1,0)+IF(OR(ISNUMBER(SEARCH("hunger strike",Q427)),ISNUMBER(SEARCH("blockade",Q427)),ISNUMBER(SEARCH("strike",Q427)),ISNUMBER(SEARCH("jal satyagraha",Q427)),ISNUMBER(SEARCH("survey",Q427)),ISNUMBER(SEARCH("human chain",Q427)),ISNUMBER(SEARCH("march",Q427))),1,0)+IF(OR(ISNUMBER(SEARCH("fir",Q427)),ISNUMBER(SEARCH("confrontation",Q427)),ISNUMBER(SEARCH("violence",Q427)),ISNUMBER(SEARCH("detention",Q427)),ISNUMBER(SEARCH("arrest",Q427)),ISNUMBER(SEARCH("demolition",Q427)),ISNUMBER(SEARCH("injury",Q427))),1,0)+IF(OR(D427="Ongoing",D427="Unresolved"),1,0))))</x:f>
      </x:c>
      <x:c r="K427" s="16" t="str">
        <x:f>IF(J427="","",IF(J427=1,"Limited",IF(J427=2,"Local",IF(J427=3,"Significant",IF(J427=4,"High","Critical")))))</x:f>
      </x:c>
      <x:c r="L427" s="16" t="str">
        <x:f>IF(A427="","",Events!U426)</x:f>
      </x:c>
      <x:c r="M427" s="16" t="str">
        <x:f>IF(A427="","",Events!V426)</x:f>
      </x:c>
      <x:c r="N427" s="16" t="str">
        <x:f>IF(A427="","",Events!Q426)</x:f>
      </x:c>
      <x:c r="O427" s="16" t="str">
        <x:f>IF(A427="","",Events!R426)</x:f>
      </x:c>
      <x:c r="P427" s="16" t="str">
        <x:f>IF(A427="","",LOWER(Events!B426&amp;" "&amp;Events!D426&amp;" "&amp;Events!K426))</x:f>
      </x:c>
      <x:c r="Q427" s="16" t="str">
        <x:f>IF(A427="","",LOWER(Events!C426&amp;" "&amp;Events!K426&amp;" "&amp;Events!T426))</x:f>
      </x:c>
      <x:c r="R427" s="16" t="str">
        <x:f>IF(A427="","",IF(ISNUMBER(SEARCH("Occurrence verified",E427)),"Occurrence verified",E427))</x:f>
      </x:c>
      <x:c r="S427" s="79" t="str">
        <x:f>IF(A427="","",Events!X426)</x:f>
      </x:c>
      <x:c r="Z427" s="79" t="str">
        <x:f>IF(A427="","",Events!AD426)</x:f>
      </x:c>
      <x:c r="AA427" s="79" t="str">
        <x:f>IF(A427="","",Events!AE426)</x:f>
      </x:c>
    </x:row>
    <x:row r="428">
      <x:c r="A428" s="16" t="str">
        <x:f>IF(Events!A427="","",Events!A427)</x:f>
      </x:c>
      <x:c r="B428" s="16" t="str">
        <x:f>IF(A428="","",Events!B427)</x:f>
      </x:c>
      <x:c r="C428" s="16" t="str">
        <x:f>IF(A428="","",Events!E427)</x:f>
      </x:c>
      <x:c r="D428" s="16" t="str">
        <x:f>IF(A428="","",Events!J427)</x:f>
      </x:c>
      <x:c r="E428" s="16" t="str">
        <x:f>IF(A428="","",Events!N427)</x:f>
      </x:c>
      <x:c r="F428" s="109" t="str">
        <x:f>IF(OR(A428="",Events!H427=""),"",Events!H427)</x:f>
      </x:c>
      <x:c r="G428" s="109" t="str">
        <x:f>IF(A428="","",IF(Events!I427&lt;&gt;"",Events!I427,IF(Events!S427&lt;&gt;"",Events!S427,"")))</x:f>
      </x:c>
      <x:c r="H428" s="16" t="str">
        <x:f>IF(A428="","",Events!W427)</x:f>
      </x:c>
      <x:c r="I428" s="16" t="str">
        <x:f>IF(A428="","",IF(Events!Y427&lt;&gt;"",Events!Y427,IF(OR(ISNUMBER(SEARCH("education",P428)),ISNUMBER(SEARCH("exam",P428)),ISNUMBER(SEARCH("school",P428))),"Education",IF(OR(ISNUMBER(SEARCH("trade agreement",P428)),ISNUMBER(SEARCH("economic",P428)),ISNUMBER(SEARCH("import",P428))),"Trade &amp; economic policy",IF(OR(ISNUMBER(SEARCH("land acquisition",P428)),ISNUMBER(SEARCH("rehabilitation",P428)),ISNUMBER(SEARCH("displacement",P428)),ISNUMBER(SEARCH("township",P428))),"Land &amp; rehabilitation",IF(OR(ISNUMBER(SEARCH("forest",P428)),ISNUMBER(SEARCH("environment",P428)),ISNUMBER(SEARCH("ecological",P428)),ISNUMBER(SEARCH("biodiversity",P428)),ISNUMBER(SEARCH("green cover",P428))),"Environment",IF(OR(ISNUMBER(SEARCH("irrigation",P428)),ISNUMBER(SEARCH("water",P428)),ISNUMBER(SEARCH("crop",P428)),ISNUMBER(SEARCH("farmer",P428)),ISNUMBER(SEARCH("agriculture",P428))),"Agriculture &amp; water",IF(OR(ISNUMBER(SEARCH("health",P428)),ISNUMBER(SEARCH("hospital",P428)),ISNUMBER(SEARCH("medicine",P428))),"Public health",IF(OR(ISNUMBER(SEARCH("employee",P428)),ISNUMBER(SEARCH("labour",P428)),ISNUMBER(SEARCH("worker",P428)),ISNUMBER(SEARCH("salary",P428))),"Labour &amp; employment",IF(OR(ISNUMBER(SEARCH("rti",P428)),ISNUMBER(SEARCH("transparency",P428)),ISNUMBER(SEARCH("corruption",P428)),ISNUMBER(SEARCH("governance",P428))),"Governance &amp; transparency",IF(OR(ISNUMBER(SEARCH("police",P428)),ISNUMBER(SEARCH("detention",P428)),ISNUMBER(SEARCH("civil rights",P428)),ISNUMBER(SEARCH("justice",P428))),"Civil rights &amp; justice",IF(OR(ISNUMBER(SEARCH("road",P428)),ISNUMBER(SEARCH("utility",P428)),ISNUMBER(SEARCH("infrastructure",P428)),ISNUMBER(SEARCH("public service",P428))),"Infrastructure &amp; public services","Other"))))))))))))</x:f>
      </x:c>
      <x:c r="J428" s="16" t="str">
        <x:f>IF(A428="","",IF(OR(ISNUMBER(SEARCH("fatal",Q428)),ISNUMBER(SEARCH("death",Q428)),ISNUMBER(SEARCH("riot",Q428)),ISNUMBER(SEARCH("curfew",Q428)),ISNUMBER(SEARCH("internet shutdown",Q428))),5,MIN(4,1+IF(H428&gt;=7,1,0)+IF(OR(ISNUMBER(SEARCH("hunger strike",Q428)),ISNUMBER(SEARCH("blockade",Q428)),ISNUMBER(SEARCH("strike",Q428)),ISNUMBER(SEARCH("jal satyagraha",Q428)),ISNUMBER(SEARCH("survey",Q428)),ISNUMBER(SEARCH("human chain",Q428)),ISNUMBER(SEARCH("march",Q428))),1,0)+IF(OR(ISNUMBER(SEARCH("fir",Q428)),ISNUMBER(SEARCH("confrontation",Q428)),ISNUMBER(SEARCH("violence",Q428)),ISNUMBER(SEARCH("detention",Q428)),ISNUMBER(SEARCH("arrest",Q428)),ISNUMBER(SEARCH("demolition",Q428)),ISNUMBER(SEARCH("injury",Q428))),1,0)+IF(OR(D428="Ongoing",D428="Unresolved"),1,0))))</x:f>
      </x:c>
      <x:c r="K428" s="16" t="str">
        <x:f>IF(J428="","",IF(J428=1,"Limited",IF(J428=2,"Local",IF(J428=3,"Significant",IF(J428=4,"High","Critical")))))</x:f>
      </x:c>
      <x:c r="L428" s="16" t="str">
        <x:f>IF(A428="","",Events!U427)</x:f>
      </x:c>
      <x:c r="M428" s="16" t="str">
        <x:f>IF(A428="","",Events!V427)</x:f>
      </x:c>
      <x:c r="N428" s="16" t="str">
        <x:f>IF(A428="","",Events!Q427)</x:f>
      </x:c>
      <x:c r="O428" s="16" t="str">
        <x:f>IF(A428="","",Events!R427)</x:f>
      </x:c>
      <x:c r="P428" s="16" t="str">
        <x:f>IF(A428="","",LOWER(Events!B427&amp;" "&amp;Events!D427&amp;" "&amp;Events!K427))</x:f>
      </x:c>
      <x:c r="Q428" s="16" t="str">
        <x:f>IF(A428="","",LOWER(Events!C427&amp;" "&amp;Events!K427&amp;" "&amp;Events!T427))</x:f>
      </x:c>
      <x:c r="R428" s="16" t="str">
        <x:f>IF(A428="","",IF(ISNUMBER(SEARCH("Occurrence verified",E428)),"Occurrence verified",E428))</x:f>
      </x:c>
      <x:c r="S428" s="79" t="str">
        <x:f>IF(A428="","",Events!X427)</x:f>
      </x:c>
      <x:c r="Z428" s="79" t="str">
        <x:f>IF(A428="","",Events!AD427)</x:f>
      </x:c>
      <x:c r="AA428" s="79" t="str">
        <x:f>IF(A428="","",Events!AE427)</x:f>
      </x:c>
    </x:row>
    <x:row r="429">
      <x:c r="A429" s="16" t="str">
        <x:f>IF(Events!A428="","",Events!A428)</x:f>
      </x:c>
      <x:c r="B429" s="16" t="str">
        <x:f>IF(A429="","",Events!B428)</x:f>
      </x:c>
      <x:c r="C429" s="16" t="str">
        <x:f>IF(A429="","",Events!E428)</x:f>
      </x:c>
      <x:c r="D429" s="16" t="str">
        <x:f>IF(A429="","",Events!J428)</x:f>
      </x:c>
      <x:c r="E429" s="16" t="str">
        <x:f>IF(A429="","",Events!N428)</x:f>
      </x:c>
      <x:c r="F429" s="109" t="str">
        <x:f>IF(OR(A429="",Events!H428=""),"",Events!H428)</x:f>
      </x:c>
      <x:c r="G429" s="109" t="str">
        <x:f>IF(A429="","",IF(Events!I428&lt;&gt;"",Events!I428,IF(Events!S428&lt;&gt;"",Events!S428,"")))</x:f>
      </x:c>
      <x:c r="H429" s="16" t="str">
        <x:f>IF(A429="","",Events!W428)</x:f>
      </x:c>
      <x:c r="I429" s="16" t="str">
        <x:f>IF(A429="","",IF(Events!Y428&lt;&gt;"",Events!Y428,IF(OR(ISNUMBER(SEARCH("education",P429)),ISNUMBER(SEARCH("exam",P429)),ISNUMBER(SEARCH("school",P429))),"Education",IF(OR(ISNUMBER(SEARCH("trade agreement",P429)),ISNUMBER(SEARCH("economic",P429)),ISNUMBER(SEARCH("import",P429))),"Trade &amp; economic policy",IF(OR(ISNUMBER(SEARCH("land acquisition",P429)),ISNUMBER(SEARCH("rehabilitation",P429)),ISNUMBER(SEARCH("displacement",P429)),ISNUMBER(SEARCH("township",P429))),"Land &amp; rehabilitation",IF(OR(ISNUMBER(SEARCH("forest",P429)),ISNUMBER(SEARCH("environment",P429)),ISNUMBER(SEARCH("ecological",P429)),ISNUMBER(SEARCH("biodiversity",P429)),ISNUMBER(SEARCH("green cover",P429))),"Environment",IF(OR(ISNUMBER(SEARCH("irrigation",P429)),ISNUMBER(SEARCH("water",P429)),ISNUMBER(SEARCH("crop",P429)),ISNUMBER(SEARCH("farmer",P429)),ISNUMBER(SEARCH("agriculture",P429))),"Agriculture &amp; water",IF(OR(ISNUMBER(SEARCH("health",P429)),ISNUMBER(SEARCH("hospital",P429)),ISNUMBER(SEARCH("medicine",P429))),"Public health",IF(OR(ISNUMBER(SEARCH("employee",P429)),ISNUMBER(SEARCH("labour",P429)),ISNUMBER(SEARCH("worker",P429)),ISNUMBER(SEARCH("salary",P429))),"Labour &amp; employment",IF(OR(ISNUMBER(SEARCH("rti",P429)),ISNUMBER(SEARCH("transparency",P429)),ISNUMBER(SEARCH("corruption",P429)),ISNUMBER(SEARCH("governance",P429))),"Governance &amp; transparency",IF(OR(ISNUMBER(SEARCH("police",P429)),ISNUMBER(SEARCH("detention",P429)),ISNUMBER(SEARCH("civil rights",P429)),ISNUMBER(SEARCH("justice",P429))),"Civil rights &amp; justice",IF(OR(ISNUMBER(SEARCH("road",P429)),ISNUMBER(SEARCH("utility",P429)),ISNUMBER(SEARCH("infrastructure",P429)),ISNUMBER(SEARCH("public service",P429))),"Infrastructure &amp; public services","Other"))))))))))))</x:f>
      </x:c>
      <x:c r="J429" s="16" t="str">
        <x:f>IF(A429="","",IF(OR(ISNUMBER(SEARCH("fatal",Q429)),ISNUMBER(SEARCH("death",Q429)),ISNUMBER(SEARCH("riot",Q429)),ISNUMBER(SEARCH("curfew",Q429)),ISNUMBER(SEARCH("internet shutdown",Q429))),5,MIN(4,1+IF(H429&gt;=7,1,0)+IF(OR(ISNUMBER(SEARCH("hunger strike",Q429)),ISNUMBER(SEARCH("blockade",Q429)),ISNUMBER(SEARCH("strike",Q429)),ISNUMBER(SEARCH("jal satyagraha",Q429)),ISNUMBER(SEARCH("survey",Q429)),ISNUMBER(SEARCH("human chain",Q429)),ISNUMBER(SEARCH("march",Q429))),1,0)+IF(OR(ISNUMBER(SEARCH("fir",Q429)),ISNUMBER(SEARCH("confrontation",Q429)),ISNUMBER(SEARCH("violence",Q429)),ISNUMBER(SEARCH("detention",Q429)),ISNUMBER(SEARCH("arrest",Q429)),ISNUMBER(SEARCH("demolition",Q429)),ISNUMBER(SEARCH("injury",Q429))),1,0)+IF(OR(D429="Ongoing",D429="Unresolved"),1,0))))</x:f>
      </x:c>
      <x:c r="K429" s="16" t="str">
        <x:f>IF(J429="","",IF(J429=1,"Limited",IF(J429=2,"Local",IF(J429=3,"Significant",IF(J429=4,"High","Critical")))))</x:f>
      </x:c>
      <x:c r="L429" s="16" t="str">
        <x:f>IF(A429="","",Events!U428)</x:f>
      </x:c>
      <x:c r="M429" s="16" t="str">
        <x:f>IF(A429="","",Events!V428)</x:f>
      </x:c>
      <x:c r="N429" s="16" t="str">
        <x:f>IF(A429="","",Events!Q428)</x:f>
      </x:c>
      <x:c r="O429" s="16" t="str">
        <x:f>IF(A429="","",Events!R428)</x:f>
      </x:c>
      <x:c r="P429" s="16" t="str">
        <x:f>IF(A429="","",LOWER(Events!B428&amp;" "&amp;Events!D428&amp;" "&amp;Events!K428))</x:f>
      </x:c>
      <x:c r="Q429" s="16" t="str">
        <x:f>IF(A429="","",LOWER(Events!C428&amp;" "&amp;Events!K428&amp;" "&amp;Events!T428))</x:f>
      </x:c>
      <x:c r="R429" s="16" t="str">
        <x:f>IF(A429="","",IF(ISNUMBER(SEARCH("Occurrence verified",E429)),"Occurrence verified",E429))</x:f>
      </x:c>
      <x:c r="S429" s="79" t="str">
        <x:f>IF(A429="","",Events!X428)</x:f>
      </x:c>
      <x:c r="Z429" s="79" t="str">
        <x:f>IF(A429="","",Events!AD428)</x:f>
      </x:c>
      <x:c r="AA429" s="79" t="str">
        <x:f>IF(A429="","",Events!AE428)</x:f>
      </x:c>
    </x:row>
    <x:row r="430">
      <x:c r="A430" s="16" t="str">
        <x:f>IF(Events!A429="","",Events!A429)</x:f>
      </x:c>
      <x:c r="B430" s="16" t="str">
        <x:f>IF(A430="","",Events!B429)</x:f>
      </x:c>
      <x:c r="C430" s="16" t="str">
        <x:f>IF(A430="","",Events!E429)</x:f>
      </x:c>
      <x:c r="D430" s="16" t="str">
        <x:f>IF(A430="","",Events!J429)</x:f>
      </x:c>
      <x:c r="E430" s="16" t="str">
        <x:f>IF(A430="","",Events!N429)</x:f>
      </x:c>
      <x:c r="F430" s="109" t="str">
        <x:f>IF(OR(A430="",Events!H429=""),"",Events!H429)</x:f>
      </x:c>
      <x:c r="G430" s="109" t="str">
        <x:f>IF(A430="","",IF(Events!I429&lt;&gt;"",Events!I429,IF(Events!S429&lt;&gt;"",Events!S429,"")))</x:f>
      </x:c>
      <x:c r="H430" s="16" t="str">
        <x:f>IF(A430="","",Events!W429)</x:f>
      </x:c>
      <x:c r="I430" s="16" t="str">
        <x:f>IF(A430="","",IF(Events!Y429&lt;&gt;"",Events!Y429,IF(OR(ISNUMBER(SEARCH("education",P430)),ISNUMBER(SEARCH("exam",P430)),ISNUMBER(SEARCH("school",P430))),"Education",IF(OR(ISNUMBER(SEARCH("trade agreement",P430)),ISNUMBER(SEARCH("economic",P430)),ISNUMBER(SEARCH("import",P430))),"Trade &amp; economic policy",IF(OR(ISNUMBER(SEARCH("land acquisition",P430)),ISNUMBER(SEARCH("rehabilitation",P430)),ISNUMBER(SEARCH("displacement",P430)),ISNUMBER(SEARCH("township",P430))),"Land &amp; rehabilitation",IF(OR(ISNUMBER(SEARCH("forest",P430)),ISNUMBER(SEARCH("environment",P430)),ISNUMBER(SEARCH("ecological",P430)),ISNUMBER(SEARCH("biodiversity",P430)),ISNUMBER(SEARCH("green cover",P430))),"Environment",IF(OR(ISNUMBER(SEARCH("irrigation",P430)),ISNUMBER(SEARCH("water",P430)),ISNUMBER(SEARCH("crop",P430)),ISNUMBER(SEARCH("farmer",P430)),ISNUMBER(SEARCH("agriculture",P430))),"Agriculture &amp; water",IF(OR(ISNUMBER(SEARCH("health",P430)),ISNUMBER(SEARCH("hospital",P430)),ISNUMBER(SEARCH("medicine",P430))),"Public health",IF(OR(ISNUMBER(SEARCH("employee",P430)),ISNUMBER(SEARCH("labour",P430)),ISNUMBER(SEARCH("worker",P430)),ISNUMBER(SEARCH("salary",P430))),"Labour &amp; employment",IF(OR(ISNUMBER(SEARCH("rti",P430)),ISNUMBER(SEARCH("transparency",P430)),ISNUMBER(SEARCH("corruption",P430)),ISNUMBER(SEARCH("governance",P430))),"Governance &amp; transparency",IF(OR(ISNUMBER(SEARCH("police",P430)),ISNUMBER(SEARCH("detention",P430)),ISNUMBER(SEARCH("civil rights",P430)),ISNUMBER(SEARCH("justice",P430))),"Civil rights &amp; justice",IF(OR(ISNUMBER(SEARCH("road",P430)),ISNUMBER(SEARCH("utility",P430)),ISNUMBER(SEARCH("infrastructure",P430)),ISNUMBER(SEARCH("public service",P430))),"Infrastructure &amp; public services","Other"))))))))))))</x:f>
      </x:c>
      <x:c r="J430" s="16" t="str">
        <x:f>IF(A430="","",IF(OR(ISNUMBER(SEARCH("fatal",Q430)),ISNUMBER(SEARCH("death",Q430)),ISNUMBER(SEARCH("riot",Q430)),ISNUMBER(SEARCH("curfew",Q430)),ISNUMBER(SEARCH("internet shutdown",Q430))),5,MIN(4,1+IF(H430&gt;=7,1,0)+IF(OR(ISNUMBER(SEARCH("hunger strike",Q430)),ISNUMBER(SEARCH("blockade",Q430)),ISNUMBER(SEARCH("strike",Q430)),ISNUMBER(SEARCH("jal satyagraha",Q430)),ISNUMBER(SEARCH("survey",Q430)),ISNUMBER(SEARCH("human chain",Q430)),ISNUMBER(SEARCH("march",Q430))),1,0)+IF(OR(ISNUMBER(SEARCH("fir",Q430)),ISNUMBER(SEARCH("confrontation",Q430)),ISNUMBER(SEARCH("violence",Q430)),ISNUMBER(SEARCH("detention",Q430)),ISNUMBER(SEARCH("arrest",Q430)),ISNUMBER(SEARCH("demolition",Q430)),ISNUMBER(SEARCH("injury",Q430))),1,0)+IF(OR(D430="Ongoing",D430="Unresolved"),1,0))))</x:f>
      </x:c>
      <x:c r="K430" s="16" t="str">
        <x:f>IF(J430="","",IF(J430=1,"Limited",IF(J430=2,"Local",IF(J430=3,"Significant",IF(J430=4,"High","Critical")))))</x:f>
      </x:c>
      <x:c r="L430" s="16" t="str">
        <x:f>IF(A430="","",Events!U429)</x:f>
      </x:c>
      <x:c r="M430" s="16" t="str">
        <x:f>IF(A430="","",Events!V429)</x:f>
      </x:c>
      <x:c r="N430" s="16" t="str">
        <x:f>IF(A430="","",Events!Q429)</x:f>
      </x:c>
      <x:c r="O430" s="16" t="str">
        <x:f>IF(A430="","",Events!R429)</x:f>
      </x:c>
      <x:c r="P430" s="16" t="str">
        <x:f>IF(A430="","",LOWER(Events!B429&amp;" "&amp;Events!D429&amp;" "&amp;Events!K429))</x:f>
      </x:c>
      <x:c r="Q430" s="16" t="str">
        <x:f>IF(A430="","",LOWER(Events!C429&amp;" "&amp;Events!K429&amp;" "&amp;Events!T429))</x:f>
      </x:c>
      <x:c r="R430" s="16" t="str">
        <x:f>IF(A430="","",IF(ISNUMBER(SEARCH("Occurrence verified",E430)),"Occurrence verified",E430))</x:f>
      </x:c>
      <x:c r="S430" s="79" t="str">
        <x:f>IF(A430="","",Events!X429)</x:f>
      </x:c>
      <x:c r="Z430" s="79" t="str">
        <x:f>IF(A430="","",Events!AD429)</x:f>
      </x:c>
      <x:c r="AA430" s="79" t="str">
        <x:f>IF(A430="","",Events!AE429)</x:f>
      </x:c>
    </x:row>
    <x:row r="431">
      <x:c r="A431" s="16" t="str">
        <x:f>IF(Events!A430="","",Events!A430)</x:f>
      </x:c>
      <x:c r="B431" s="16" t="str">
        <x:f>IF(A431="","",Events!B430)</x:f>
      </x:c>
      <x:c r="C431" s="16" t="str">
        <x:f>IF(A431="","",Events!E430)</x:f>
      </x:c>
      <x:c r="D431" s="16" t="str">
        <x:f>IF(A431="","",Events!J430)</x:f>
      </x:c>
      <x:c r="E431" s="16" t="str">
        <x:f>IF(A431="","",Events!N430)</x:f>
      </x:c>
      <x:c r="F431" s="109" t="str">
        <x:f>IF(OR(A431="",Events!H430=""),"",Events!H430)</x:f>
      </x:c>
      <x:c r="G431" s="109" t="str">
        <x:f>IF(A431="","",IF(Events!I430&lt;&gt;"",Events!I430,IF(Events!S430&lt;&gt;"",Events!S430,"")))</x:f>
      </x:c>
      <x:c r="H431" s="16" t="str">
        <x:f>IF(A431="","",Events!W430)</x:f>
      </x:c>
      <x:c r="I431" s="16" t="str">
        <x:f>IF(A431="","",IF(Events!Y430&lt;&gt;"",Events!Y430,IF(OR(ISNUMBER(SEARCH("education",P431)),ISNUMBER(SEARCH("exam",P431)),ISNUMBER(SEARCH("school",P431))),"Education",IF(OR(ISNUMBER(SEARCH("trade agreement",P431)),ISNUMBER(SEARCH("economic",P431)),ISNUMBER(SEARCH("import",P431))),"Trade &amp; economic policy",IF(OR(ISNUMBER(SEARCH("land acquisition",P431)),ISNUMBER(SEARCH("rehabilitation",P431)),ISNUMBER(SEARCH("displacement",P431)),ISNUMBER(SEARCH("township",P431))),"Land &amp; rehabilitation",IF(OR(ISNUMBER(SEARCH("forest",P431)),ISNUMBER(SEARCH("environment",P431)),ISNUMBER(SEARCH("ecological",P431)),ISNUMBER(SEARCH("biodiversity",P431)),ISNUMBER(SEARCH("green cover",P431))),"Environment",IF(OR(ISNUMBER(SEARCH("irrigation",P431)),ISNUMBER(SEARCH("water",P431)),ISNUMBER(SEARCH("crop",P431)),ISNUMBER(SEARCH("farmer",P431)),ISNUMBER(SEARCH("agriculture",P431))),"Agriculture &amp; water",IF(OR(ISNUMBER(SEARCH("health",P431)),ISNUMBER(SEARCH("hospital",P431)),ISNUMBER(SEARCH("medicine",P431))),"Public health",IF(OR(ISNUMBER(SEARCH("employee",P431)),ISNUMBER(SEARCH("labour",P431)),ISNUMBER(SEARCH("worker",P431)),ISNUMBER(SEARCH("salary",P431))),"Labour &amp; employment",IF(OR(ISNUMBER(SEARCH("rti",P431)),ISNUMBER(SEARCH("transparency",P431)),ISNUMBER(SEARCH("corruption",P431)),ISNUMBER(SEARCH("governance",P431))),"Governance &amp; transparency",IF(OR(ISNUMBER(SEARCH("police",P431)),ISNUMBER(SEARCH("detention",P431)),ISNUMBER(SEARCH("civil rights",P431)),ISNUMBER(SEARCH("justice",P431))),"Civil rights &amp; justice",IF(OR(ISNUMBER(SEARCH("road",P431)),ISNUMBER(SEARCH("utility",P431)),ISNUMBER(SEARCH("infrastructure",P431)),ISNUMBER(SEARCH("public service",P431))),"Infrastructure &amp; public services","Other"))))))))))))</x:f>
      </x:c>
      <x:c r="J431" s="16" t="str">
        <x:f>IF(A431="","",IF(OR(ISNUMBER(SEARCH("fatal",Q431)),ISNUMBER(SEARCH("death",Q431)),ISNUMBER(SEARCH("riot",Q431)),ISNUMBER(SEARCH("curfew",Q431)),ISNUMBER(SEARCH("internet shutdown",Q431))),5,MIN(4,1+IF(H431&gt;=7,1,0)+IF(OR(ISNUMBER(SEARCH("hunger strike",Q431)),ISNUMBER(SEARCH("blockade",Q431)),ISNUMBER(SEARCH("strike",Q431)),ISNUMBER(SEARCH("jal satyagraha",Q431)),ISNUMBER(SEARCH("survey",Q431)),ISNUMBER(SEARCH("human chain",Q431)),ISNUMBER(SEARCH("march",Q431))),1,0)+IF(OR(ISNUMBER(SEARCH("fir",Q431)),ISNUMBER(SEARCH("confrontation",Q431)),ISNUMBER(SEARCH("violence",Q431)),ISNUMBER(SEARCH("detention",Q431)),ISNUMBER(SEARCH("arrest",Q431)),ISNUMBER(SEARCH("demolition",Q431)),ISNUMBER(SEARCH("injury",Q431))),1,0)+IF(OR(D431="Ongoing",D431="Unresolved"),1,0))))</x:f>
      </x:c>
      <x:c r="K431" s="16" t="str">
        <x:f>IF(J431="","",IF(J431=1,"Limited",IF(J431=2,"Local",IF(J431=3,"Significant",IF(J431=4,"High","Critical")))))</x:f>
      </x:c>
      <x:c r="L431" s="16" t="str">
        <x:f>IF(A431="","",Events!U430)</x:f>
      </x:c>
      <x:c r="M431" s="16" t="str">
        <x:f>IF(A431="","",Events!V430)</x:f>
      </x:c>
      <x:c r="N431" s="16" t="str">
        <x:f>IF(A431="","",Events!Q430)</x:f>
      </x:c>
      <x:c r="O431" s="16" t="str">
        <x:f>IF(A431="","",Events!R430)</x:f>
      </x:c>
      <x:c r="P431" s="16" t="str">
        <x:f>IF(A431="","",LOWER(Events!B430&amp;" "&amp;Events!D430&amp;" "&amp;Events!K430))</x:f>
      </x:c>
      <x:c r="Q431" s="16" t="str">
        <x:f>IF(A431="","",LOWER(Events!C430&amp;" "&amp;Events!K430&amp;" "&amp;Events!T430))</x:f>
      </x:c>
      <x:c r="R431" s="16" t="str">
        <x:f>IF(A431="","",IF(ISNUMBER(SEARCH("Occurrence verified",E431)),"Occurrence verified",E431))</x:f>
      </x:c>
      <x:c r="S431" s="79" t="str">
        <x:f>IF(A431="","",Events!X430)</x:f>
      </x:c>
      <x:c r="Z431" s="79" t="str">
        <x:f>IF(A431="","",Events!AD430)</x:f>
      </x:c>
      <x:c r="AA431" s="79" t="str">
        <x:f>IF(A431="","",Events!AE430)</x:f>
      </x:c>
    </x:row>
    <x:row r="432">
      <x:c r="A432" s="16" t="str">
        <x:f>IF(Events!A431="","",Events!A431)</x:f>
      </x:c>
      <x:c r="B432" s="16" t="str">
        <x:f>IF(A432="","",Events!B431)</x:f>
      </x:c>
      <x:c r="C432" s="16" t="str">
        <x:f>IF(A432="","",Events!E431)</x:f>
      </x:c>
      <x:c r="D432" s="16" t="str">
        <x:f>IF(A432="","",Events!J431)</x:f>
      </x:c>
      <x:c r="E432" s="16" t="str">
        <x:f>IF(A432="","",Events!N431)</x:f>
      </x:c>
      <x:c r="F432" s="109" t="str">
        <x:f>IF(OR(A432="",Events!H431=""),"",Events!H431)</x:f>
      </x:c>
      <x:c r="G432" s="109" t="str">
        <x:f>IF(A432="","",IF(Events!I431&lt;&gt;"",Events!I431,IF(Events!S431&lt;&gt;"",Events!S431,"")))</x:f>
      </x:c>
      <x:c r="H432" s="16" t="str">
        <x:f>IF(A432="","",Events!W431)</x:f>
      </x:c>
      <x:c r="I432" s="16" t="str">
        <x:f>IF(A432="","",IF(Events!Y431&lt;&gt;"",Events!Y431,IF(OR(ISNUMBER(SEARCH("education",P432)),ISNUMBER(SEARCH("exam",P432)),ISNUMBER(SEARCH("school",P432))),"Education",IF(OR(ISNUMBER(SEARCH("trade agreement",P432)),ISNUMBER(SEARCH("economic",P432)),ISNUMBER(SEARCH("import",P432))),"Trade &amp; economic policy",IF(OR(ISNUMBER(SEARCH("land acquisition",P432)),ISNUMBER(SEARCH("rehabilitation",P432)),ISNUMBER(SEARCH("displacement",P432)),ISNUMBER(SEARCH("township",P432))),"Land &amp; rehabilitation",IF(OR(ISNUMBER(SEARCH("forest",P432)),ISNUMBER(SEARCH("environment",P432)),ISNUMBER(SEARCH("ecological",P432)),ISNUMBER(SEARCH("biodiversity",P432)),ISNUMBER(SEARCH("green cover",P432))),"Environment",IF(OR(ISNUMBER(SEARCH("irrigation",P432)),ISNUMBER(SEARCH("water",P432)),ISNUMBER(SEARCH("crop",P432)),ISNUMBER(SEARCH("farmer",P432)),ISNUMBER(SEARCH("agriculture",P432))),"Agriculture &amp; water",IF(OR(ISNUMBER(SEARCH("health",P432)),ISNUMBER(SEARCH("hospital",P432)),ISNUMBER(SEARCH("medicine",P432))),"Public health",IF(OR(ISNUMBER(SEARCH("employee",P432)),ISNUMBER(SEARCH("labour",P432)),ISNUMBER(SEARCH("worker",P432)),ISNUMBER(SEARCH("salary",P432))),"Labour &amp; employment",IF(OR(ISNUMBER(SEARCH("rti",P432)),ISNUMBER(SEARCH("transparency",P432)),ISNUMBER(SEARCH("corruption",P432)),ISNUMBER(SEARCH("governance",P432))),"Governance &amp; transparency",IF(OR(ISNUMBER(SEARCH("police",P432)),ISNUMBER(SEARCH("detention",P432)),ISNUMBER(SEARCH("civil rights",P432)),ISNUMBER(SEARCH("justice",P432))),"Civil rights &amp; justice",IF(OR(ISNUMBER(SEARCH("road",P432)),ISNUMBER(SEARCH("utility",P432)),ISNUMBER(SEARCH("infrastructure",P432)),ISNUMBER(SEARCH("public service",P432))),"Infrastructure &amp; public services","Other"))))))))))))</x:f>
      </x:c>
      <x:c r="J432" s="16" t="str">
        <x:f>IF(A432="","",IF(OR(ISNUMBER(SEARCH("fatal",Q432)),ISNUMBER(SEARCH("death",Q432)),ISNUMBER(SEARCH("riot",Q432)),ISNUMBER(SEARCH("curfew",Q432)),ISNUMBER(SEARCH("internet shutdown",Q432))),5,MIN(4,1+IF(H432&gt;=7,1,0)+IF(OR(ISNUMBER(SEARCH("hunger strike",Q432)),ISNUMBER(SEARCH("blockade",Q432)),ISNUMBER(SEARCH("strike",Q432)),ISNUMBER(SEARCH("jal satyagraha",Q432)),ISNUMBER(SEARCH("survey",Q432)),ISNUMBER(SEARCH("human chain",Q432)),ISNUMBER(SEARCH("march",Q432))),1,0)+IF(OR(ISNUMBER(SEARCH("fir",Q432)),ISNUMBER(SEARCH("confrontation",Q432)),ISNUMBER(SEARCH("violence",Q432)),ISNUMBER(SEARCH("detention",Q432)),ISNUMBER(SEARCH("arrest",Q432)),ISNUMBER(SEARCH("demolition",Q432)),ISNUMBER(SEARCH("injury",Q432))),1,0)+IF(OR(D432="Ongoing",D432="Unresolved"),1,0))))</x:f>
      </x:c>
      <x:c r="K432" s="16" t="str">
        <x:f>IF(J432="","",IF(J432=1,"Limited",IF(J432=2,"Local",IF(J432=3,"Significant",IF(J432=4,"High","Critical")))))</x:f>
      </x:c>
      <x:c r="L432" s="16" t="str">
        <x:f>IF(A432="","",Events!U431)</x:f>
      </x:c>
      <x:c r="M432" s="16" t="str">
        <x:f>IF(A432="","",Events!V431)</x:f>
      </x:c>
      <x:c r="N432" s="16" t="str">
        <x:f>IF(A432="","",Events!Q431)</x:f>
      </x:c>
      <x:c r="O432" s="16" t="str">
        <x:f>IF(A432="","",Events!R431)</x:f>
      </x:c>
      <x:c r="P432" s="16" t="str">
        <x:f>IF(A432="","",LOWER(Events!B431&amp;" "&amp;Events!D431&amp;" "&amp;Events!K431))</x:f>
      </x:c>
      <x:c r="Q432" s="16" t="str">
        <x:f>IF(A432="","",LOWER(Events!C431&amp;" "&amp;Events!K431&amp;" "&amp;Events!T431))</x:f>
      </x:c>
      <x:c r="R432" s="16" t="str">
        <x:f>IF(A432="","",IF(ISNUMBER(SEARCH("Occurrence verified",E432)),"Occurrence verified",E432))</x:f>
      </x:c>
      <x:c r="S432" s="79" t="str">
        <x:f>IF(A432="","",Events!X431)</x:f>
      </x:c>
      <x:c r="Z432" s="79" t="str">
        <x:f>IF(A432="","",Events!AD431)</x:f>
      </x:c>
      <x:c r="AA432" s="79" t="str">
        <x:f>IF(A432="","",Events!AE431)</x:f>
      </x:c>
    </x:row>
    <x:row r="433">
      <x:c r="A433" s="16" t="str">
        <x:f>IF(Events!A432="","",Events!A432)</x:f>
      </x:c>
      <x:c r="B433" s="16" t="str">
        <x:f>IF(A433="","",Events!B432)</x:f>
      </x:c>
      <x:c r="C433" s="16" t="str">
        <x:f>IF(A433="","",Events!E432)</x:f>
      </x:c>
      <x:c r="D433" s="16" t="str">
        <x:f>IF(A433="","",Events!J432)</x:f>
      </x:c>
      <x:c r="E433" s="16" t="str">
        <x:f>IF(A433="","",Events!N432)</x:f>
      </x:c>
      <x:c r="F433" s="109" t="str">
        <x:f>IF(OR(A433="",Events!H432=""),"",Events!H432)</x:f>
      </x:c>
      <x:c r="G433" s="109" t="str">
        <x:f>IF(A433="","",IF(Events!I432&lt;&gt;"",Events!I432,IF(Events!S432&lt;&gt;"",Events!S432,"")))</x:f>
      </x:c>
      <x:c r="H433" s="16" t="str">
        <x:f>IF(A433="","",Events!W432)</x:f>
      </x:c>
      <x:c r="I433" s="16" t="str">
        <x:f>IF(A433="","",IF(Events!Y432&lt;&gt;"",Events!Y432,IF(OR(ISNUMBER(SEARCH("education",P433)),ISNUMBER(SEARCH("exam",P433)),ISNUMBER(SEARCH("school",P433))),"Education",IF(OR(ISNUMBER(SEARCH("trade agreement",P433)),ISNUMBER(SEARCH("economic",P433)),ISNUMBER(SEARCH("import",P433))),"Trade &amp; economic policy",IF(OR(ISNUMBER(SEARCH("land acquisition",P433)),ISNUMBER(SEARCH("rehabilitation",P433)),ISNUMBER(SEARCH("displacement",P433)),ISNUMBER(SEARCH("township",P433))),"Land &amp; rehabilitation",IF(OR(ISNUMBER(SEARCH("forest",P433)),ISNUMBER(SEARCH("environment",P433)),ISNUMBER(SEARCH("ecological",P433)),ISNUMBER(SEARCH("biodiversity",P433)),ISNUMBER(SEARCH("green cover",P433))),"Environment",IF(OR(ISNUMBER(SEARCH("irrigation",P433)),ISNUMBER(SEARCH("water",P433)),ISNUMBER(SEARCH("crop",P433)),ISNUMBER(SEARCH("farmer",P433)),ISNUMBER(SEARCH("agriculture",P433))),"Agriculture &amp; water",IF(OR(ISNUMBER(SEARCH("health",P433)),ISNUMBER(SEARCH("hospital",P433)),ISNUMBER(SEARCH("medicine",P433))),"Public health",IF(OR(ISNUMBER(SEARCH("employee",P433)),ISNUMBER(SEARCH("labour",P433)),ISNUMBER(SEARCH("worker",P433)),ISNUMBER(SEARCH("salary",P433))),"Labour &amp; employment",IF(OR(ISNUMBER(SEARCH("rti",P433)),ISNUMBER(SEARCH("transparency",P433)),ISNUMBER(SEARCH("corruption",P433)),ISNUMBER(SEARCH("governance",P433))),"Governance &amp; transparency",IF(OR(ISNUMBER(SEARCH("police",P433)),ISNUMBER(SEARCH("detention",P433)),ISNUMBER(SEARCH("civil rights",P433)),ISNUMBER(SEARCH("justice",P433))),"Civil rights &amp; justice",IF(OR(ISNUMBER(SEARCH("road",P433)),ISNUMBER(SEARCH("utility",P433)),ISNUMBER(SEARCH("infrastructure",P433)),ISNUMBER(SEARCH("public service",P433))),"Infrastructure &amp; public services","Other"))))))))))))</x:f>
      </x:c>
      <x:c r="J433" s="16" t="str">
        <x:f>IF(A433="","",IF(OR(ISNUMBER(SEARCH("fatal",Q433)),ISNUMBER(SEARCH("death",Q433)),ISNUMBER(SEARCH("riot",Q433)),ISNUMBER(SEARCH("curfew",Q433)),ISNUMBER(SEARCH("internet shutdown",Q433))),5,MIN(4,1+IF(H433&gt;=7,1,0)+IF(OR(ISNUMBER(SEARCH("hunger strike",Q433)),ISNUMBER(SEARCH("blockade",Q433)),ISNUMBER(SEARCH("strike",Q433)),ISNUMBER(SEARCH("jal satyagraha",Q433)),ISNUMBER(SEARCH("survey",Q433)),ISNUMBER(SEARCH("human chain",Q433)),ISNUMBER(SEARCH("march",Q433))),1,0)+IF(OR(ISNUMBER(SEARCH("fir",Q433)),ISNUMBER(SEARCH("confrontation",Q433)),ISNUMBER(SEARCH("violence",Q433)),ISNUMBER(SEARCH("detention",Q433)),ISNUMBER(SEARCH("arrest",Q433)),ISNUMBER(SEARCH("demolition",Q433)),ISNUMBER(SEARCH("injury",Q433))),1,0)+IF(OR(D433="Ongoing",D433="Unresolved"),1,0))))</x:f>
      </x:c>
      <x:c r="K433" s="16" t="str">
        <x:f>IF(J433="","",IF(J433=1,"Limited",IF(J433=2,"Local",IF(J433=3,"Significant",IF(J433=4,"High","Critical")))))</x:f>
      </x:c>
      <x:c r="L433" s="16" t="str">
        <x:f>IF(A433="","",Events!U432)</x:f>
      </x:c>
      <x:c r="M433" s="16" t="str">
        <x:f>IF(A433="","",Events!V432)</x:f>
      </x:c>
      <x:c r="N433" s="16" t="str">
        <x:f>IF(A433="","",Events!Q432)</x:f>
      </x:c>
      <x:c r="O433" s="16" t="str">
        <x:f>IF(A433="","",Events!R432)</x:f>
      </x:c>
      <x:c r="P433" s="16" t="str">
        <x:f>IF(A433="","",LOWER(Events!B432&amp;" "&amp;Events!D432&amp;" "&amp;Events!K432))</x:f>
      </x:c>
      <x:c r="Q433" s="16" t="str">
        <x:f>IF(A433="","",LOWER(Events!C432&amp;" "&amp;Events!K432&amp;" "&amp;Events!T432))</x:f>
      </x:c>
      <x:c r="R433" s="16" t="str">
        <x:f>IF(A433="","",IF(ISNUMBER(SEARCH("Occurrence verified",E433)),"Occurrence verified",E433))</x:f>
      </x:c>
      <x:c r="S433" s="79" t="str">
        <x:f>IF(A433="","",Events!X432)</x:f>
      </x:c>
      <x:c r="Z433" s="79" t="str">
        <x:f>IF(A433="","",Events!AD432)</x:f>
      </x:c>
      <x:c r="AA433" s="79" t="str">
        <x:f>IF(A433="","",Events!AE432)</x:f>
      </x:c>
    </x:row>
    <x:row r="434">
      <x:c r="A434" s="16" t="str">
        <x:f>IF(Events!A433="","",Events!A433)</x:f>
      </x:c>
      <x:c r="B434" s="16" t="str">
        <x:f>IF(A434="","",Events!B433)</x:f>
      </x:c>
      <x:c r="C434" s="16" t="str">
        <x:f>IF(A434="","",Events!E433)</x:f>
      </x:c>
      <x:c r="D434" s="16" t="str">
        <x:f>IF(A434="","",Events!J433)</x:f>
      </x:c>
      <x:c r="E434" s="16" t="str">
        <x:f>IF(A434="","",Events!N433)</x:f>
      </x:c>
      <x:c r="F434" s="109" t="str">
        <x:f>IF(OR(A434="",Events!H433=""),"",Events!H433)</x:f>
      </x:c>
      <x:c r="G434" s="109" t="str">
        <x:f>IF(A434="","",IF(Events!I433&lt;&gt;"",Events!I433,IF(Events!S433&lt;&gt;"",Events!S433,"")))</x:f>
      </x:c>
      <x:c r="H434" s="16" t="str">
        <x:f>IF(A434="","",Events!W433)</x:f>
      </x:c>
      <x:c r="I434" s="16" t="str">
        <x:f>IF(A434="","",IF(Events!Y433&lt;&gt;"",Events!Y433,IF(OR(ISNUMBER(SEARCH("education",P434)),ISNUMBER(SEARCH("exam",P434)),ISNUMBER(SEARCH("school",P434))),"Education",IF(OR(ISNUMBER(SEARCH("trade agreement",P434)),ISNUMBER(SEARCH("economic",P434)),ISNUMBER(SEARCH("import",P434))),"Trade &amp; economic policy",IF(OR(ISNUMBER(SEARCH("land acquisition",P434)),ISNUMBER(SEARCH("rehabilitation",P434)),ISNUMBER(SEARCH("displacement",P434)),ISNUMBER(SEARCH("township",P434))),"Land &amp; rehabilitation",IF(OR(ISNUMBER(SEARCH("forest",P434)),ISNUMBER(SEARCH("environment",P434)),ISNUMBER(SEARCH("ecological",P434)),ISNUMBER(SEARCH("biodiversity",P434)),ISNUMBER(SEARCH("green cover",P434))),"Environment",IF(OR(ISNUMBER(SEARCH("irrigation",P434)),ISNUMBER(SEARCH("water",P434)),ISNUMBER(SEARCH("crop",P434)),ISNUMBER(SEARCH("farmer",P434)),ISNUMBER(SEARCH("agriculture",P434))),"Agriculture &amp; water",IF(OR(ISNUMBER(SEARCH("health",P434)),ISNUMBER(SEARCH("hospital",P434)),ISNUMBER(SEARCH("medicine",P434))),"Public health",IF(OR(ISNUMBER(SEARCH("employee",P434)),ISNUMBER(SEARCH("labour",P434)),ISNUMBER(SEARCH("worker",P434)),ISNUMBER(SEARCH("salary",P434))),"Labour &amp; employment",IF(OR(ISNUMBER(SEARCH("rti",P434)),ISNUMBER(SEARCH("transparency",P434)),ISNUMBER(SEARCH("corruption",P434)),ISNUMBER(SEARCH("governance",P434))),"Governance &amp; transparency",IF(OR(ISNUMBER(SEARCH("police",P434)),ISNUMBER(SEARCH("detention",P434)),ISNUMBER(SEARCH("civil rights",P434)),ISNUMBER(SEARCH("justice",P434))),"Civil rights &amp; justice",IF(OR(ISNUMBER(SEARCH("road",P434)),ISNUMBER(SEARCH("utility",P434)),ISNUMBER(SEARCH("infrastructure",P434)),ISNUMBER(SEARCH("public service",P434))),"Infrastructure &amp; public services","Other"))))))))))))</x:f>
      </x:c>
      <x:c r="J434" s="16" t="str">
        <x:f>IF(A434="","",IF(OR(ISNUMBER(SEARCH("fatal",Q434)),ISNUMBER(SEARCH("death",Q434)),ISNUMBER(SEARCH("riot",Q434)),ISNUMBER(SEARCH("curfew",Q434)),ISNUMBER(SEARCH("internet shutdown",Q434))),5,MIN(4,1+IF(H434&gt;=7,1,0)+IF(OR(ISNUMBER(SEARCH("hunger strike",Q434)),ISNUMBER(SEARCH("blockade",Q434)),ISNUMBER(SEARCH("strike",Q434)),ISNUMBER(SEARCH("jal satyagraha",Q434)),ISNUMBER(SEARCH("survey",Q434)),ISNUMBER(SEARCH("human chain",Q434)),ISNUMBER(SEARCH("march",Q434))),1,0)+IF(OR(ISNUMBER(SEARCH("fir",Q434)),ISNUMBER(SEARCH("confrontation",Q434)),ISNUMBER(SEARCH("violence",Q434)),ISNUMBER(SEARCH("detention",Q434)),ISNUMBER(SEARCH("arrest",Q434)),ISNUMBER(SEARCH("demolition",Q434)),ISNUMBER(SEARCH("injury",Q434))),1,0)+IF(OR(D434="Ongoing",D434="Unresolved"),1,0))))</x:f>
      </x:c>
      <x:c r="K434" s="16" t="str">
        <x:f>IF(J434="","",IF(J434=1,"Limited",IF(J434=2,"Local",IF(J434=3,"Significant",IF(J434=4,"High","Critical")))))</x:f>
      </x:c>
      <x:c r="L434" s="16" t="str">
        <x:f>IF(A434="","",Events!U433)</x:f>
      </x:c>
      <x:c r="M434" s="16" t="str">
        <x:f>IF(A434="","",Events!V433)</x:f>
      </x:c>
      <x:c r="N434" s="16" t="str">
        <x:f>IF(A434="","",Events!Q433)</x:f>
      </x:c>
      <x:c r="O434" s="16" t="str">
        <x:f>IF(A434="","",Events!R433)</x:f>
      </x:c>
      <x:c r="P434" s="16" t="str">
        <x:f>IF(A434="","",LOWER(Events!B433&amp;" "&amp;Events!D433&amp;" "&amp;Events!K433))</x:f>
      </x:c>
      <x:c r="Q434" s="16" t="str">
        <x:f>IF(A434="","",LOWER(Events!C433&amp;" "&amp;Events!K433&amp;" "&amp;Events!T433))</x:f>
      </x:c>
      <x:c r="R434" s="16" t="str">
        <x:f>IF(A434="","",IF(ISNUMBER(SEARCH("Occurrence verified",E434)),"Occurrence verified",E434))</x:f>
      </x:c>
      <x:c r="S434" s="79" t="str">
        <x:f>IF(A434="","",Events!X433)</x:f>
      </x:c>
      <x:c r="Z434" s="79" t="str">
        <x:f>IF(A434="","",Events!AD433)</x:f>
      </x:c>
      <x:c r="AA434" s="79" t="str">
        <x:f>IF(A434="","",Events!AE433)</x:f>
      </x:c>
    </x:row>
    <x:row r="435">
      <x:c r="A435" s="16" t="str">
        <x:f>IF(Events!A434="","",Events!A434)</x:f>
      </x:c>
      <x:c r="B435" s="16" t="str">
        <x:f>IF(A435="","",Events!B434)</x:f>
      </x:c>
      <x:c r="C435" s="16" t="str">
        <x:f>IF(A435="","",Events!E434)</x:f>
      </x:c>
      <x:c r="D435" s="16" t="str">
        <x:f>IF(A435="","",Events!J434)</x:f>
      </x:c>
      <x:c r="E435" s="16" t="str">
        <x:f>IF(A435="","",Events!N434)</x:f>
      </x:c>
      <x:c r="F435" s="109" t="str">
        <x:f>IF(OR(A435="",Events!H434=""),"",Events!H434)</x:f>
      </x:c>
      <x:c r="G435" s="109" t="str">
        <x:f>IF(A435="","",IF(Events!I434&lt;&gt;"",Events!I434,IF(Events!S434&lt;&gt;"",Events!S434,"")))</x:f>
      </x:c>
      <x:c r="H435" s="16" t="str">
        <x:f>IF(A435="","",Events!W434)</x:f>
      </x:c>
      <x:c r="I435" s="16" t="str">
        <x:f>IF(A435="","",IF(Events!Y434&lt;&gt;"",Events!Y434,IF(OR(ISNUMBER(SEARCH("education",P435)),ISNUMBER(SEARCH("exam",P435)),ISNUMBER(SEARCH("school",P435))),"Education",IF(OR(ISNUMBER(SEARCH("trade agreement",P435)),ISNUMBER(SEARCH("economic",P435)),ISNUMBER(SEARCH("import",P435))),"Trade &amp; economic policy",IF(OR(ISNUMBER(SEARCH("land acquisition",P435)),ISNUMBER(SEARCH("rehabilitation",P435)),ISNUMBER(SEARCH("displacement",P435)),ISNUMBER(SEARCH("township",P435))),"Land &amp; rehabilitation",IF(OR(ISNUMBER(SEARCH("forest",P435)),ISNUMBER(SEARCH("environment",P435)),ISNUMBER(SEARCH("ecological",P435)),ISNUMBER(SEARCH("biodiversity",P435)),ISNUMBER(SEARCH("green cover",P435))),"Environment",IF(OR(ISNUMBER(SEARCH("irrigation",P435)),ISNUMBER(SEARCH("water",P435)),ISNUMBER(SEARCH("crop",P435)),ISNUMBER(SEARCH("farmer",P435)),ISNUMBER(SEARCH("agriculture",P435))),"Agriculture &amp; water",IF(OR(ISNUMBER(SEARCH("health",P435)),ISNUMBER(SEARCH("hospital",P435)),ISNUMBER(SEARCH("medicine",P435))),"Public health",IF(OR(ISNUMBER(SEARCH("employee",P435)),ISNUMBER(SEARCH("labour",P435)),ISNUMBER(SEARCH("worker",P435)),ISNUMBER(SEARCH("salary",P435))),"Labour &amp; employment",IF(OR(ISNUMBER(SEARCH("rti",P435)),ISNUMBER(SEARCH("transparency",P435)),ISNUMBER(SEARCH("corruption",P435)),ISNUMBER(SEARCH("governance",P435))),"Governance &amp; transparency",IF(OR(ISNUMBER(SEARCH("police",P435)),ISNUMBER(SEARCH("detention",P435)),ISNUMBER(SEARCH("civil rights",P435)),ISNUMBER(SEARCH("justice",P435))),"Civil rights &amp; justice",IF(OR(ISNUMBER(SEARCH("road",P435)),ISNUMBER(SEARCH("utility",P435)),ISNUMBER(SEARCH("infrastructure",P435)),ISNUMBER(SEARCH("public service",P435))),"Infrastructure &amp; public services","Other"))))))))))))</x:f>
      </x:c>
      <x:c r="J435" s="16" t="str">
        <x:f>IF(A435="","",IF(OR(ISNUMBER(SEARCH("fatal",Q435)),ISNUMBER(SEARCH("death",Q435)),ISNUMBER(SEARCH("riot",Q435)),ISNUMBER(SEARCH("curfew",Q435)),ISNUMBER(SEARCH("internet shutdown",Q435))),5,MIN(4,1+IF(H435&gt;=7,1,0)+IF(OR(ISNUMBER(SEARCH("hunger strike",Q435)),ISNUMBER(SEARCH("blockade",Q435)),ISNUMBER(SEARCH("strike",Q435)),ISNUMBER(SEARCH("jal satyagraha",Q435)),ISNUMBER(SEARCH("survey",Q435)),ISNUMBER(SEARCH("human chain",Q435)),ISNUMBER(SEARCH("march",Q435))),1,0)+IF(OR(ISNUMBER(SEARCH("fir",Q435)),ISNUMBER(SEARCH("confrontation",Q435)),ISNUMBER(SEARCH("violence",Q435)),ISNUMBER(SEARCH("detention",Q435)),ISNUMBER(SEARCH("arrest",Q435)),ISNUMBER(SEARCH("demolition",Q435)),ISNUMBER(SEARCH("injury",Q435))),1,0)+IF(OR(D435="Ongoing",D435="Unresolved"),1,0))))</x:f>
      </x:c>
      <x:c r="K435" s="16" t="str">
        <x:f>IF(J435="","",IF(J435=1,"Limited",IF(J435=2,"Local",IF(J435=3,"Significant",IF(J435=4,"High","Critical")))))</x:f>
      </x:c>
      <x:c r="L435" s="16" t="str">
        <x:f>IF(A435="","",Events!U434)</x:f>
      </x:c>
      <x:c r="M435" s="16" t="str">
        <x:f>IF(A435="","",Events!V434)</x:f>
      </x:c>
      <x:c r="N435" s="16" t="str">
        <x:f>IF(A435="","",Events!Q434)</x:f>
      </x:c>
      <x:c r="O435" s="16" t="str">
        <x:f>IF(A435="","",Events!R434)</x:f>
      </x:c>
      <x:c r="P435" s="16" t="str">
        <x:f>IF(A435="","",LOWER(Events!B434&amp;" "&amp;Events!D434&amp;" "&amp;Events!K434))</x:f>
      </x:c>
      <x:c r="Q435" s="16" t="str">
        <x:f>IF(A435="","",LOWER(Events!C434&amp;" "&amp;Events!K434&amp;" "&amp;Events!T434))</x:f>
      </x:c>
      <x:c r="R435" s="16" t="str">
        <x:f>IF(A435="","",IF(ISNUMBER(SEARCH("Occurrence verified",E435)),"Occurrence verified",E435))</x:f>
      </x:c>
      <x:c r="S435" s="79" t="str">
        <x:f>IF(A435="","",Events!X434)</x:f>
      </x:c>
      <x:c r="Z435" s="79" t="str">
        <x:f>IF(A435="","",Events!AD434)</x:f>
      </x:c>
      <x:c r="AA435" s="79" t="str">
        <x:f>IF(A435="","",Events!AE434)</x:f>
      </x:c>
    </x:row>
    <x:row r="436">
      <x:c r="A436" s="16" t="str">
        <x:f>IF(Events!A435="","",Events!A435)</x:f>
      </x:c>
      <x:c r="B436" s="16" t="str">
        <x:f>IF(A436="","",Events!B435)</x:f>
      </x:c>
      <x:c r="C436" s="16" t="str">
        <x:f>IF(A436="","",Events!E435)</x:f>
      </x:c>
      <x:c r="D436" s="16" t="str">
        <x:f>IF(A436="","",Events!J435)</x:f>
      </x:c>
      <x:c r="E436" s="16" t="str">
        <x:f>IF(A436="","",Events!N435)</x:f>
      </x:c>
      <x:c r="F436" s="109" t="str">
        <x:f>IF(OR(A436="",Events!H435=""),"",Events!H435)</x:f>
      </x:c>
      <x:c r="G436" s="109" t="str">
        <x:f>IF(A436="","",IF(Events!I435&lt;&gt;"",Events!I435,IF(Events!S435&lt;&gt;"",Events!S435,"")))</x:f>
      </x:c>
      <x:c r="H436" s="16" t="str">
        <x:f>IF(A436="","",Events!W435)</x:f>
      </x:c>
      <x:c r="I436" s="16" t="str">
        <x:f>IF(A436="","",IF(Events!Y435&lt;&gt;"",Events!Y435,IF(OR(ISNUMBER(SEARCH("education",P436)),ISNUMBER(SEARCH("exam",P436)),ISNUMBER(SEARCH("school",P436))),"Education",IF(OR(ISNUMBER(SEARCH("trade agreement",P436)),ISNUMBER(SEARCH("economic",P436)),ISNUMBER(SEARCH("import",P436))),"Trade &amp; economic policy",IF(OR(ISNUMBER(SEARCH("land acquisition",P436)),ISNUMBER(SEARCH("rehabilitation",P436)),ISNUMBER(SEARCH("displacement",P436)),ISNUMBER(SEARCH("township",P436))),"Land &amp; rehabilitation",IF(OR(ISNUMBER(SEARCH("forest",P436)),ISNUMBER(SEARCH("environment",P436)),ISNUMBER(SEARCH("ecological",P436)),ISNUMBER(SEARCH("biodiversity",P436)),ISNUMBER(SEARCH("green cover",P436))),"Environment",IF(OR(ISNUMBER(SEARCH("irrigation",P436)),ISNUMBER(SEARCH("water",P436)),ISNUMBER(SEARCH("crop",P436)),ISNUMBER(SEARCH("farmer",P436)),ISNUMBER(SEARCH("agriculture",P436))),"Agriculture &amp; water",IF(OR(ISNUMBER(SEARCH("health",P436)),ISNUMBER(SEARCH("hospital",P436)),ISNUMBER(SEARCH("medicine",P436))),"Public health",IF(OR(ISNUMBER(SEARCH("employee",P436)),ISNUMBER(SEARCH("labour",P436)),ISNUMBER(SEARCH("worker",P436)),ISNUMBER(SEARCH("salary",P436))),"Labour &amp; employment",IF(OR(ISNUMBER(SEARCH("rti",P436)),ISNUMBER(SEARCH("transparency",P436)),ISNUMBER(SEARCH("corruption",P436)),ISNUMBER(SEARCH("governance",P436))),"Governance &amp; transparency",IF(OR(ISNUMBER(SEARCH("police",P436)),ISNUMBER(SEARCH("detention",P436)),ISNUMBER(SEARCH("civil rights",P436)),ISNUMBER(SEARCH("justice",P436))),"Civil rights &amp; justice",IF(OR(ISNUMBER(SEARCH("road",P436)),ISNUMBER(SEARCH("utility",P436)),ISNUMBER(SEARCH("infrastructure",P436)),ISNUMBER(SEARCH("public service",P436))),"Infrastructure &amp; public services","Other"))))))))))))</x:f>
      </x:c>
      <x:c r="J436" s="16" t="str">
        <x:f>IF(A436="","",IF(OR(ISNUMBER(SEARCH("fatal",Q436)),ISNUMBER(SEARCH("death",Q436)),ISNUMBER(SEARCH("riot",Q436)),ISNUMBER(SEARCH("curfew",Q436)),ISNUMBER(SEARCH("internet shutdown",Q436))),5,MIN(4,1+IF(H436&gt;=7,1,0)+IF(OR(ISNUMBER(SEARCH("hunger strike",Q436)),ISNUMBER(SEARCH("blockade",Q436)),ISNUMBER(SEARCH("strike",Q436)),ISNUMBER(SEARCH("jal satyagraha",Q436)),ISNUMBER(SEARCH("survey",Q436)),ISNUMBER(SEARCH("human chain",Q436)),ISNUMBER(SEARCH("march",Q436))),1,0)+IF(OR(ISNUMBER(SEARCH("fir",Q436)),ISNUMBER(SEARCH("confrontation",Q436)),ISNUMBER(SEARCH("violence",Q436)),ISNUMBER(SEARCH("detention",Q436)),ISNUMBER(SEARCH("arrest",Q436)),ISNUMBER(SEARCH("demolition",Q436)),ISNUMBER(SEARCH("injury",Q436))),1,0)+IF(OR(D436="Ongoing",D436="Unresolved"),1,0))))</x:f>
      </x:c>
      <x:c r="K436" s="16" t="str">
        <x:f>IF(J436="","",IF(J436=1,"Limited",IF(J436=2,"Local",IF(J436=3,"Significant",IF(J436=4,"High","Critical")))))</x:f>
      </x:c>
      <x:c r="L436" s="16" t="str">
        <x:f>IF(A436="","",Events!U435)</x:f>
      </x:c>
      <x:c r="M436" s="16" t="str">
        <x:f>IF(A436="","",Events!V435)</x:f>
      </x:c>
      <x:c r="N436" s="16" t="str">
        <x:f>IF(A436="","",Events!Q435)</x:f>
      </x:c>
      <x:c r="O436" s="16" t="str">
        <x:f>IF(A436="","",Events!R435)</x:f>
      </x:c>
      <x:c r="P436" s="16" t="str">
        <x:f>IF(A436="","",LOWER(Events!B435&amp;" "&amp;Events!D435&amp;" "&amp;Events!K435))</x:f>
      </x:c>
      <x:c r="Q436" s="16" t="str">
        <x:f>IF(A436="","",LOWER(Events!C435&amp;" "&amp;Events!K435&amp;" "&amp;Events!T435))</x:f>
      </x:c>
      <x:c r="R436" s="16" t="str">
        <x:f>IF(A436="","",IF(ISNUMBER(SEARCH("Occurrence verified",E436)),"Occurrence verified",E436))</x:f>
      </x:c>
      <x:c r="S436" s="79" t="str">
        <x:f>IF(A436="","",Events!X435)</x:f>
      </x:c>
      <x:c r="Z436" s="79" t="str">
        <x:f>IF(A436="","",Events!AD435)</x:f>
      </x:c>
      <x:c r="AA436" s="79" t="str">
        <x:f>IF(A436="","",Events!AE435)</x:f>
      </x:c>
    </x:row>
    <x:row r="437">
      <x:c r="A437" s="16" t="str">
        <x:f>IF(Events!A436="","",Events!A436)</x:f>
      </x:c>
      <x:c r="B437" s="16" t="str">
        <x:f>IF(A437="","",Events!B436)</x:f>
      </x:c>
      <x:c r="C437" s="16" t="str">
        <x:f>IF(A437="","",Events!E436)</x:f>
      </x:c>
      <x:c r="D437" s="16" t="str">
        <x:f>IF(A437="","",Events!J436)</x:f>
      </x:c>
      <x:c r="E437" s="16" t="str">
        <x:f>IF(A437="","",Events!N436)</x:f>
      </x:c>
      <x:c r="F437" s="109" t="str">
        <x:f>IF(OR(A437="",Events!H436=""),"",Events!H436)</x:f>
      </x:c>
      <x:c r="G437" s="109" t="str">
        <x:f>IF(A437="","",IF(Events!I436&lt;&gt;"",Events!I436,IF(Events!S436&lt;&gt;"",Events!S436,"")))</x:f>
      </x:c>
      <x:c r="H437" s="16" t="str">
        <x:f>IF(A437="","",Events!W436)</x:f>
      </x:c>
      <x:c r="I437" s="16" t="str">
        <x:f>IF(A437="","",IF(Events!Y436&lt;&gt;"",Events!Y436,IF(OR(ISNUMBER(SEARCH("education",P437)),ISNUMBER(SEARCH("exam",P437)),ISNUMBER(SEARCH("school",P437))),"Education",IF(OR(ISNUMBER(SEARCH("trade agreement",P437)),ISNUMBER(SEARCH("economic",P437)),ISNUMBER(SEARCH("import",P437))),"Trade &amp; economic policy",IF(OR(ISNUMBER(SEARCH("land acquisition",P437)),ISNUMBER(SEARCH("rehabilitation",P437)),ISNUMBER(SEARCH("displacement",P437)),ISNUMBER(SEARCH("township",P437))),"Land &amp; rehabilitation",IF(OR(ISNUMBER(SEARCH("forest",P437)),ISNUMBER(SEARCH("environment",P437)),ISNUMBER(SEARCH("ecological",P437)),ISNUMBER(SEARCH("biodiversity",P437)),ISNUMBER(SEARCH("green cover",P437))),"Environment",IF(OR(ISNUMBER(SEARCH("irrigation",P437)),ISNUMBER(SEARCH("water",P437)),ISNUMBER(SEARCH("crop",P437)),ISNUMBER(SEARCH("farmer",P437)),ISNUMBER(SEARCH("agriculture",P437))),"Agriculture &amp; water",IF(OR(ISNUMBER(SEARCH("health",P437)),ISNUMBER(SEARCH("hospital",P437)),ISNUMBER(SEARCH("medicine",P437))),"Public health",IF(OR(ISNUMBER(SEARCH("employee",P437)),ISNUMBER(SEARCH("labour",P437)),ISNUMBER(SEARCH("worker",P437)),ISNUMBER(SEARCH("salary",P437))),"Labour &amp; employment",IF(OR(ISNUMBER(SEARCH("rti",P437)),ISNUMBER(SEARCH("transparency",P437)),ISNUMBER(SEARCH("corruption",P437)),ISNUMBER(SEARCH("governance",P437))),"Governance &amp; transparency",IF(OR(ISNUMBER(SEARCH("police",P437)),ISNUMBER(SEARCH("detention",P437)),ISNUMBER(SEARCH("civil rights",P437)),ISNUMBER(SEARCH("justice",P437))),"Civil rights &amp; justice",IF(OR(ISNUMBER(SEARCH("road",P437)),ISNUMBER(SEARCH("utility",P437)),ISNUMBER(SEARCH("infrastructure",P437)),ISNUMBER(SEARCH("public service",P437))),"Infrastructure &amp; public services","Other"))))))))))))</x:f>
      </x:c>
      <x:c r="J437" s="16" t="str">
        <x:f>IF(A437="","",IF(OR(ISNUMBER(SEARCH("fatal",Q437)),ISNUMBER(SEARCH("death",Q437)),ISNUMBER(SEARCH("riot",Q437)),ISNUMBER(SEARCH("curfew",Q437)),ISNUMBER(SEARCH("internet shutdown",Q437))),5,MIN(4,1+IF(H437&gt;=7,1,0)+IF(OR(ISNUMBER(SEARCH("hunger strike",Q437)),ISNUMBER(SEARCH("blockade",Q437)),ISNUMBER(SEARCH("strike",Q437)),ISNUMBER(SEARCH("jal satyagraha",Q437)),ISNUMBER(SEARCH("survey",Q437)),ISNUMBER(SEARCH("human chain",Q437)),ISNUMBER(SEARCH("march",Q437))),1,0)+IF(OR(ISNUMBER(SEARCH("fir",Q437)),ISNUMBER(SEARCH("confrontation",Q437)),ISNUMBER(SEARCH("violence",Q437)),ISNUMBER(SEARCH("detention",Q437)),ISNUMBER(SEARCH("arrest",Q437)),ISNUMBER(SEARCH("demolition",Q437)),ISNUMBER(SEARCH("injury",Q437))),1,0)+IF(OR(D437="Ongoing",D437="Unresolved"),1,0))))</x:f>
      </x:c>
      <x:c r="K437" s="16" t="str">
        <x:f>IF(J437="","",IF(J437=1,"Limited",IF(J437=2,"Local",IF(J437=3,"Significant",IF(J437=4,"High","Critical")))))</x:f>
      </x:c>
      <x:c r="L437" s="16" t="str">
        <x:f>IF(A437="","",Events!U436)</x:f>
      </x:c>
      <x:c r="M437" s="16" t="str">
        <x:f>IF(A437="","",Events!V436)</x:f>
      </x:c>
      <x:c r="N437" s="16" t="str">
        <x:f>IF(A437="","",Events!Q436)</x:f>
      </x:c>
      <x:c r="O437" s="16" t="str">
        <x:f>IF(A437="","",Events!R436)</x:f>
      </x:c>
      <x:c r="P437" s="16" t="str">
        <x:f>IF(A437="","",LOWER(Events!B436&amp;" "&amp;Events!D436&amp;" "&amp;Events!K436))</x:f>
      </x:c>
      <x:c r="Q437" s="16" t="str">
        <x:f>IF(A437="","",LOWER(Events!C436&amp;" "&amp;Events!K436&amp;" "&amp;Events!T436))</x:f>
      </x:c>
      <x:c r="R437" s="16" t="str">
        <x:f>IF(A437="","",IF(ISNUMBER(SEARCH("Occurrence verified",E437)),"Occurrence verified",E437))</x:f>
      </x:c>
      <x:c r="S437" s="79" t="str">
        <x:f>IF(A437="","",Events!X436)</x:f>
      </x:c>
      <x:c r="Z437" s="79" t="str">
        <x:f>IF(A437="","",Events!AD436)</x:f>
      </x:c>
      <x:c r="AA437" s="79" t="str">
        <x:f>IF(A437="","",Events!AE436)</x:f>
      </x:c>
    </x:row>
    <x:row r="438">
      <x:c r="A438" s="16" t="str">
        <x:f>IF(Events!A437="","",Events!A437)</x:f>
      </x:c>
      <x:c r="B438" s="16" t="str">
        <x:f>IF(A438="","",Events!B437)</x:f>
      </x:c>
      <x:c r="C438" s="16" t="str">
        <x:f>IF(A438="","",Events!E437)</x:f>
      </x:c>
      <x:c r="D438" s="16" t="str">
        <x:f>IF(A438="","",Events!J437)</x:f>
      </x:c>
      <x:c r="E438" s="16" t="str">
        <x:f>IF(A438="","",Events!N437)</x:f>
      </x:c>
      <x:c r="F438" s="109" t="str">
        <x:f>IF(OR(A438="",Events!H437=""),"",Events!H437)</x:f>
      </x:c>
      <x:c r="G438" s="109" t="str">
        <x:f>IF(A438="","",IF(Events!I437&lt;&gt;"",Events!I437,IF(Events!S437&lt;&gt;"",Events!S437,"")))</x:f>
      </x:c>
      <x:c r="H438" s="16" t="str">
        <x:f>IF(A438="","",Events!W437)</x:f>
      </x:c>
      <x:c r="I438" s="16" t="str">
        <x:f>IF(A438="","",IF(Events!Y437&lt;&gt;"",Events!Y437,IF(OR(ISNUMBER(SEARCH("education",P438)),ISNUMBER(SEARCH("exam",P438)),ISNUMBER(SEARCH("school",P438))),"Education",IF(OR(ISNUMBER(SEARCH("trade agreement",P438)),ISNUMBER(SEARCH("economic",P438)),ISNUMBER(SEARCH("import",P438))),"Trade &amp; economic policy",IF(OR(ISNUMBER(SEARCH("land acquisition",P438)),ISNUMBER(SEARCH("rehabilitation",P438)),ISNUMBER(SEARCH("displacement",P438)),ISNUMBER(SEARCH("township",P438))),"Land &amp; rehabilitation",IF(OR(ISNUMBER(SEARCH("forest",P438)),ISNUMBER(SEARCH("environment",P438)),ISNUMBER(SEARCH("ecological",P438)),ISNUMBER(SEARCH("biodiversity",P438)),ISNUMBER(SEARCH("green cover",P438))),"Environment",IF(OR(ISNUMBER(SEARCH("irrigation",P438)),ISNUMBER(SEARCH("water",P438)),ISNUMBER(SEARCH("crop",P438)),ISNUMBER(SEARCH("farmer",P438)),ISNUMBER(SEARCH("agriculture",P438))),"Agriculture &amp; water",IF(OR(ISNUMBER(SEARCH("health",P438)),ISNUMBER(SEARCH("hospital",P438)),ISNUMBER(SEARCH("medicine",P438))),"Public health",IF(OR(ISNUMBER(SEARCH("employee",P438)),ISNUMBER(SEARCH("labour",P438)),ISNUMBER(SEARCH("worker",P438)),ISNUMBER(SEARCH("salary",P438))),"Labour &amp; employment",IF(OR(ISNUMBER(SEARCH("rti",P438)),ISNUMBER(SEARCH("transparency",P438)),ISNUMBER(SEARCH("corruption",P438)),ISNUMBER(SEARCH("governance",P438))),"Governance &amp; transparency",IF(OR(ISNUMBER(SEARCH("police",P438)),ISNUMBER(SEARCH("detention",P438)),ISNUMBER(SEARCH("civil rights",P438)),ISNUMBER(SEARCH("justice",P438))),"Civil rights &amp; justice",IF(OR(ISNUMBER(SEARCH("road",P438)),ISNUMBER(SEARCH("utility",P438)),ISNUMBER(SEARCH("infrastructure",P438)),ISNUMBER(SEARCH("public service",P438))),"Infrastructure &amp; public services","Other"))))))))))))</x:f>
      </x:c>
      <x:c r="J438" s="16" t="str">
        <x:f>IF(A438="","",IF(OR(ISNUMBER(SEARCH("fatal",Q438)),ISNUMBER(SEARCH("death",Q438)),ISNUMBER(SEARCH("riot",Q438)),ISNUMBER(SEARCH("curfew",Q438)),ISNUMBER(SEARCH("internet shutdown",Q438))),5,MIN(4,1+IF(H438&gt;=7,1,0)+IF(OR(ISNUMBER(SEARCH("hunger strike",Q438)),ISNUMBER(SEARCH("blockade",Q438)),ISNUMBER(SEARCH("strike",Q438)),ISNUMBER(SEARCH("jal satyagraha",Q438)),ISNUMBER(SEARCH("survey",Q438)),ISNUMBER(SEARCH("human chain",Q438)),ISNUMBER(SEARCH("march",Q438))),1,0)+IF(OR(ISNUMBER(SEARCH("fir",Q438)),ISNUMBER(SEARCH("confrontation",Q438)),ISNUMBER(SEARCH("violence",Q438)),ISNUMBER(SEARCH("detention",Q438)),ISNUMBER(SEARCH("arrest",Q438)),ISNUMBER(SEARCH("demolition",Q438)),ISNUMBER(SEARCH("injury",Q438))),1,0)+IF(OR(D438="Ongoing",D438="Unresolved"),1,0))))</x:f>
      </x:c>
      <x:c r="K438" s="16" t="str">
        <x:f>IF(J438="","",IF(J438=1,"Limited",IF(J438=2,"Local",IF(J438=3,"Significant",IF(J438=4,"High","Critical")))))</x:f>
      </x:c>
      <x:c r="L438" s="16" t="str">
        <x:f>IF(A438="","",Events!U437)</x:f>
      </x:c>
      <x:c r="M438" s="16" t="str">
        <x:f>IF(A438="","",Events!V437)</x:f>
      </x:c>
      <x:c r="N438" s="16" t="str">
        <x:f>IF(A438="","",Events!Q437)</x:f>
      </x:c>
      <x:c r="O438" s="16" t="str">
        <x:f>IF(A438="","",Events!R437)</x:f>
      </x:c>
      <x:c r="P438" s="16" t="str">
        <x:f>IF(A438="","",LOWER(Events!B437&amp;" "&amp;Events!D437&amp;" "&amp;Events!K437))</x:f>
      </x:c>
      <x:c r="Q438" s="16" t="str">
        <x:f>IF(A438="","",LOWER(Events!C437&amp;" "&amp;Events!K437&amp;" "&amp;Events!T437))</x:f>
      </x:c>
      <x:c r="R438" s="16" t="str">
        <x:f>IF(A438="","",IF(ISNUMBER(SEARCH("Occurrence verified",E438)),"Occurrence verified",E438))</x:f>
      </x:c>
      <x:c r="S438" s="79" t="str">
        <x:f>IF(A438="","",Events!X437)</x:f>
      </x:c>
      <x:c r="Z438" s="79" t="str">
        <x:f>IF(A438="","",Events!AD437)</x:f>
      </x:c>
      <x:c r="AA438" s="79" t="str">
        <x:f>IF(A438="","",Events!AE437)</x:f>
      </x:c>
    </x:row>
    <x:row r="439">
      <x:c r="A439" s="16" t="str">
        <x:f>IF(Events!A438="","",Events!A438)</x:f>
      </x:c>
      <x:c r="B439" s="16" t="str">
        <x:f>IF(A439="","",Events!B438)</x:f>
      </x:c>
      <x:c r="C439" s="16" t="str">
        <x:f>IF(A439="","",Events!E438)</x:f>
      </x:c>
      <x:c r="D439" s="16" t="str">
        <x:f>IF(A439="","",Events!J438)</x:f>
      </x:c>
      <x:c r="E439" s="16" t="str">
        <x:f>IF(A439="","",Events!N438)</x:f>
      </x:c>
      <x:c r="F439" s="109" t="str">
        <x:f>IF(OR(A439="",Events!H438=""),"",Events!H438)</x:f>
      </x:c>
      <x:c r="G439" s="109" t="str">
        <x:f>IF(A439="","",IF(Events!I438&lt;&gt;"",Events!I438,IF(Events!S438&lt;&gt;"",Events!S438,"")))</x:f>
      </x:c>
      <x:c r="H439" s="16" t="str">
        <x:f>IF(A439="","",Events!W438)</x:f>
      </x:c>
      <x:c r="I439" s="16" t="str">
        <x:f>IF(A439="","",IF(Events!Y438&lt;&gt;"",Events!Y438,IF(OR(ISNUMBER(SEARCH("education",P439)),ISNUMBER(SEARCH("exam",P439)),ISNUMBER(SEARCH("school",P439))),"Education",IF(OR(ISNUMBER(SEARCH("trade agreement",P439)),ISNUMBER(SEARCH("economic",P439)),ISNUMBER(SEARCH("import",P439))),"Trade &amp; economic policy",IF(OR(ISNUMBER(SEARCH("land acquisition",P439)),ISNUMBER(SEARCH("rehabilitation",P439)),ISNUMBER(SEARCH("displacement",P439)),ISNUMBER(SEARCH("township",P439))),"Land &amp; rehabilitation",IF(OR(ISNUMBER(SEARCH("forest",P439)),ISNUMBER(SEARCH("environment",P439)),ISNUMBER(SEARCH("ecological",P439)),ISNUMBER(SEARCH("biodiversity",P439)),ISNUMBER(SEARCH("green cover",P439))),"Environment",IF(OR(ISNUMBER(SEARCH("irrigation",P439)),ISNUMBER(SEARCH("water",P439)),ISNUMBER(SEARCH("crop",P439)),ISNUMBER(SEARCH("farmer",P439)),ISNUMBER(SEARCH("agriculture",P439))),"Agriculture &amp; water",IF(OR(ISNUMBER(SEARCH("health",P439)),ISNUMBER(SEARCH("hospital",P439)),ISNUMBER(SEARCH("medicine",P439))),"Public health",IF(OR(ISNUMBER(SEARCH("employee",P439)),ISNUMBER(SEARCH("labour",P439)),ISNUMBER(SEARCH("worker",P439)),ISNUMBER(SEARCH("salary",P439))),"Labour &amp; employment",IF(OR(ISNUMBER(SEARCH("rti",P439)),ISNUMBER(SEARCH("transparency",P439)),ISNUMBER(SEARCH("corruption",P439)),ISNUMBER(SEARCH("governance",P439))),"Governance &amp; transparency",IF(OR(ISNUMBER(SEARCH("police",P439)),ISNUMBER(SEARCH("detention",P439)),ISNUMBER(SEARCH("civil rights",P439)),ISNUMBER(SEARCH("justice",P439))),"Civil rights &amp; justice",IF(OR(ISNUMBER(SEARCH("road",P439)),ISNUMBER(SEARCH("utility",P439)),ISNUMBER(SEARCH("infrastructure",P439)),ISNUMBER(SEARCH("public service",P439))),"Infrastructure &amp; public services","Other"))))))))))))</x:f>
      </x:c>
      <x:c r="J439" s="16" t="str">
        <x:f>IF(A439="","",IF(OR(ISNUMBER(SEARCH("fatal",Q439)),ISNUMBER(SEARCH("death",Q439)),ISNUMBER(SEARCH("riot",Q439)),ISNUMBER(SEARCH("curfew",Q439)),ISNUMBER(SEARCH("internet shutdown",Q439))),5,MIN(4,1+IF(H439&gt;=7,1,0)+IF(OR(ISNUMBER(SEARCH("hunger strike",Q439)),ISNUMBER(SEARCH("blockade",Q439)),ISNUMBER(SEARCH("strike",Q439)),ISNUMBER(SEARCH("jal satyagraha",Q439)),ISNUMBER(SEARCH("survey",Q439)),ISNUMBER(SEARCH("human chain",Q439)),ISNUMBER(SEARCH("march",Q439))),1,0)+IF(OR(ISNUMBER(SEARCH("fir",Q439)),ISNUMBER(SEARCH("confrontation",Q439)),ISNUMBER(SEARCH("violence",Q439)),ISNUMBER(SEARCH("detention",Q439)),ISNUMBER(SEARCH("arrest",Q439)),ISNUMBER(SEARCH("demolition",Q439)),ISNUMBER(SEARCH("injury",Q439))),1,0)+IF(OR(D439="Ongoing",D439="Unresolved"),1,0))))</x:f>
      </x:c>
      <x:c r="K439" s="16" t="str">
        <x:f>IF(J439="","",IF(J439=1,"Limited",IF(J439=2,"Local",IF(J439=3,"Significant",IF(J439=4,"High","Critical")))))</x:f>
      </x:c>
      <x:c r="L439" s="16" t="str">
        <x:f>IF(A439="","",Events!U438)</x:f>
      </x:c>
      <x:c r="M439" s="16" t="str">
        <x:f>IF(A439="","",Events!V438)</x:f>
      </x:c>
      <x:c r="N439" s="16" t="str">
        <x:f>IF(A439="","",Events!Q438)</x:f>
      </x:c>
      <x:c r="O439" s="16" t="str">
        <x:f>IF(A439="","",Events!R438)</x:f>
      </x:c>
      <x:c r="P439" s="16" t="str">
        <x:f>IF(A439="","",LOWER(Events!B438&amp;" "&amp;Events!D438&amp;" "&amp;Events!K438))</x:f>
      </x:c>
      <x:c r="Q439" s="16" t="str">
        <x:f>IF(A439="","",LOWER(Events!C438&amp;" "&amp;Events!K438&amp;" "&amp;Events!T438))</x:f>
      </x:c>
      <x:c r="R439" s="16" t="str">
        <x:f>IF(A439="","",IF(ISNUMBER(SEARCH("Occurrence verified",E439)),"Occurrence verified",E439))</x:f>
      </x:c>
      <x:c r="S439" s="79" t="str">
        <x:f>IF(A439="","",Events!X438)</x:f>
      </x:c>
      <x:c r="Z439" s="79" t="str">
        <x:f>IF(A439="","",Events!AD438)</x:f>
      </x:c>
      <x:c r="AA439" s="79" t="str">
        <x:f>IF(A439="","",Events!AE438)</x:f>
      </x:c>
    </x:row>
    <x:row r="440">
      <x:c r="A440" s="16" t="str">
        <x:f>IF(Events!A439="","",Events!A439)</x:f>
      </x:c>
      <x:c r="B440" s="16" t="str">
        <x:f>IF(A440="","",Events!B439)</x:f>
      </x:c>
      <x:c r="C440" s="16" t="str">
        <x:f>IF(A440="","",Events!E439)</x:f>
      </x:c>
      <x:c r="D440" s="16" t="str">
        <x:f>IF(A440="","",Events!J439)</x:f>
      </x:c>
      <x:c r="E440" s="16" t="str">
        <x:f>IF(A440="","",Events!N439)</x:f>
      </x:c>
      <x:c r="F440" s="109" t="str">
        <x:f>IF(OR(A440="",Events!H439=""),"",Events!H439)</x:f>
      </x:c>
      <x:c r="G440" s="109" t="str">
        <x:f>IF(A440="","",IF(Events!I439&lt;&gt;"",Events!I439,IF(Events!S439&lt;&gt;"",Events!S439,"")))</x:f>
      </x:c>
      <x:c r="H440" s="16" t="str">
        <x:f>IF(A440="","",Events!W439)</x:f>
      </x:c>
      <x:c r="I440" s="16" t="str">
        <x:f>IF(A440="","",IF(Events!Y439&lt;&gt;"",Events!Y439,IF(OR(ISNUMBER(SEARCH("education",P440)),ISNUMBER(SEARCH("exam",P440)),ISNUMBER(SEARCH("school",P440))),"Education",IF(OR(ISNUMBER(SEARCH("trade agreement",P440)),ISNUMBER(SEARCH("economic",P440)),ISNUMBER(SEARCH("import",P440))),"Trade &amp; economic policy",IF(OR(ISNUMBER(SEARCH("land acquisition",P440)),ISNUMBER(SEARCH("rehabilitation",P440)),ISNUMBER(SEARCH("displacement",P440)),ISNUMBER(SEARCH("township",P440))),"Land &amp; rehabilitation",IF(OR(ISNUMBER(SEARCH("forest",P440)),ISNUMBER(SEARCH("environment",P440)),ISNUMBER(SEARCH("ecological",P440)),ISNUMBER(SEARCH("biodiversity",P440)),ISNUMBER(SEARCH("green cover",P440))),"Environment",IF(OR(ISNUMBER(SEARCH("irrigation",P440)),ISNUMBER(SEARCH("water",P440)),ISNUMBER(SEARCH("crop",P440)),ISNUMBER(SEARCH("farmer",P440)),ISNUMBER(SEARCH("agriculture",P440))),"Agriculture &amp; water",IF(OR(ISNUMBER(SEARCH("health",P440)),ISNUMBER(SEARCH("hospital",P440)),ISNUMBER(SEARCH("medicine",P440))),"Public health",IF(OR(ISNUMBER(SEARCH("employee",P440)),ISNUMBER(SEARCH("labour",P440)),ISNUMBER(SEARCH("worker",P440)),ISNUMBER(SEARCH("salary",P440))),"Labour &amp; employment",IF(OR(ISNUMBER(SEARCH("rti",P440)),ISNUMBER(SEARCH("transparency",P440)),ISNUMBER(SEARCH("corruption",P440)),ISNUMBER(SEARCH("governance",P440))),"Governance &amp; transparency",IF(OR(ISNUMBER(SEARCH("police",P440)),ISNUMBER(SEARCH("detention",P440)),ISNUMBER(SEARCH("civil rights",P440)),ISNUMBER(SEARCH("justice",P440))),"Civil rights &amp; justice",IF(OR(ISNUMBER(SEARCH("road",P440)),ISNUMBER(SEARCH("utility",P440)),ISNUMBER(SEARCH("infrastructure",P440)),ISNUMBER(SEARCH("public service",P440))),"Infrastructure &amp; public services","Other"))))))))))))</x:f>
      </x:c>
      <x:c r="J440" s="16" t="str">
        <x:f>IF(A440="","",IF(OR(ISNUMBER(SEARCH("fatal",Q440)),ISNUMBER(SEARCH("death",Q440)),ISNUMBER(SEARCH("riot",Q440)),ISNUMBER(SEARCH("curfew",Q440)),ISNUMBER(SEARCH("internet shutdown",Q440))),5,MIN(4,1+IF(H440&gt;=7,1,0)+IF(OR(ISNUMBER(SEARCH("hunger strike",Q440)),ISNUMBER(SEARCH("blockade",Q440)),ISNUMBER(SEARCH("strike",Q440)),ISNUMBER(SEARCH("jal satyagraha",Q440)),ISNUMBER(SEARCH("survey",Q440)),ISNUMBER(SEARCH("human chain",Q440)),ISNUMBER(SEARCH("march",Q440))),1,0)+IF(OR(ISNUMBER(SEARCH("fir",Q440)),ISNUMBER(SEARCH("confrontation",Q440)),ISNUMBER(SEARCH("violence",Q440)),ISNUMBER(SEARCH("detention",Q440)),ISNUMBER(SEARCH("arrest",Q440)),ISNUMBER(SEARCH("demolition",Q440)),ISNUMBER(SEARCH("injury",Q440))),1,0)+IF(OR(D440="Ongoing",D440="Unresolved"),1,0))))</x:f>
      </x:c>
      <x:c r="K440" s="16" t="str">
        <x:f>IF(J440="","",IF(J440=1,"Limited",IF(J440=2,"Local",IF(J440=3,"Significant",IF(J440=4,"High","Critical")))))</x:f>
      </x:c>
      <x:c r="L440" s="16" t="str">
        <x:f>IF(A440="","",Events!U439)</x:f>
      </x:c>
      <x:c r="M440" s="16" t="str">
        <x:f>IF(A440="","",Events!V439)</x:f>
      </x:c>
      <x:c r="N440" s="16" t="str">
        <x:f>IF(A440="","",Events!Q439)</x:f>
      </x:c>
      <x:c r="O440" s="16" t="str">
        <x:f>IF(A440="","",Events!R439)</x:f>
      </x:c>
      <x:c r="P440" s="16" t="str">
        <x:f>IF(A440="","",LOWER(Events!B439&amp;" "&amp;Events!D439&amp;" "&amp;Events!K439))</x:f>
      </x:c>
      <x:c r="Q440" s="16" t="str">
        <x:f>IF(A440="","",LOWER(Events!C439&amp;" "&amp;Events!K439&amp;" "&amp;Events!T439))</x:f>
      </x:c>
      <x:c r="R440" s="16" t="str">
        <x:f>IF(A440="","",IF(ISNUMBER(SEARCH("Occurrence verified",E440)),"Occurrence verified",E440))</x:f>
      </x:c>
      <x:c r="S440" s="79" t="str">
        <x:f>IF(A440="","",Events!X439)</x:f>
      </x:c>
      <x:c r="Z440" s="79" t="str">
        <x:f>IF(A440="","",Events!AD439)</x:f>
      </x:c>
      <x:c r="AA440" s="79" t="str">
        <x:f>IF(A440="","",Events!AE439)</x:f>
      </x:c>
    </x:row>
    <x:row r="441">
      <x:c r="A441" s="16" t="str">
        <x:f>IF(Events!A440="","",Events!A440)</x:f>
      </x:c>
      <x:c r="B441" s="16" t="str">
        <x:f>IF(A441="","",Events!B440)</x:f>
      </x:c>
      <x:c r="C441" s="16" t="str">
        <x:f>IF(A441="","",Events!E440)</x:f>
      </x:c>
      <x:c r="D441" s="16" t="str">
        <x:f>IF(A441="","",Events!J440)</x:f>
      </x:c>
      <x:c r="E441" s="16" t="str">
        <x:f>IF(A441="","",Events!N440)</x:f>
      </x:c>
      <x:c r="F441" s="109" t="str">
        <x:f>IF(OR(A441="",Events!H440=""),"",Events!H440)</x:f>
      </x:c>
      <x:c r="G441" s="109" t="str">
        <x:f>IF(A441="","",IF(Events!I440&lt;&gt;"",Events!I440,IF(Events!S440&lt;&gt;"",Events!S440,"")))</x:f>
      </x:c>
      <x:c r="H441" s="16" t="str">
        <x:f>IF(A441="","",Events!W440)</x:f>
      </x:c>
      <x:c r="I441" s="16" t="str">
        <x:f>IF(A441="","",IF(Events!Y440&lt;&gt;"",Events!Y440,IF(OR(ISNUMBER(SEARCH("education",P441)),ISNUMBER(SEARCH("exam",P441)),ISNUMBER(SEARCH("school",P441))),"Education",IF(OR(ISNUMBER(SEARCH("trade agreement",P441)),ISNUMBER(SEARCH("economic",P441)),ISNUMBER(SEARCH("import",P441))),"Trade &amp; economic policy",IF(OR(ISNUMBER(SEARCH("land acquisition",P441)),ISNUMBER(SEARCH("rehabilitation",P441)),ISNUMBER(SEARCH("displacement",P441)),ISNUMBER(SEARCH("township",P441))),"Land &amp; rehabilitation",IF(OR(ISNUMBER(SEARCH("forest",P441)),ISNUMBER(SEARCH("environment",P441)),ISNUMBER(SEARCH("ecological",P441)),ISNUMBER(SEARCH("biodiversity",P441)),ISNUMBER(SEARCH("green cover",P441))),"Environment",IF(OR(ISNUMBER(SEARCH("irrigation",P441)),ISNUMBER(SEARCH("water",P441)),ISNUMBER(SEARCH("crop",P441)),ISNUMBER(SEARCH("farmer",P441)),ISNUMBER(SEARCH("agriculture",P441))),"Agriculture &amp; water",IF(OR(ISNUMBER(SEARCH("health",P441)),ISNUMBER(SEARCH("hospital",P441)),ISNUMBER(SEARCH("medicine",P441))),"Public health",IF(OR(ISNUMBER(SEARCH("employee",P441)),ISNUMBER(SEARCH("labour",P441)),ISNUMBER(SEARCH("worker",P441)),ISNUMBER(SEARCH("salary",P441))),"Labour &amp; employment",IF(OR(ISNUMBER(SEARCH("rti",P441)),ISNUMBER(SEARCH("transparency",P441)),ISNUMBER(SEARCH("corruption",P441)),ISNUMBER(SEARCH("governance",P441))),"Governance &amp; transparency",IF(OR(ISNUMBER(SEARCH("police",P441)),ISNUMBER(SEARCH("detention",P441)),ISNUMBER(SEARCH("civil rights",P441)),ISNUMBER(SEARCH("justice",P441))),"Civil rights &amp; justice",IF(OR(ISNUMBER(SEARCH("road",P441)),ISNUMBER(SEARCH("utility",P441)),ISNUMBER(SEARCH("infrastructure",P441)),ISNUMBER(SEARCH("public service",P441))),"Infrastructure &amp; public services","Other"))))))))))))</x:f>
      </x:c>
      <x:c r="J441" s="16" t="str">
        <x:f>IF(A441="","",IF(OR(ISNUMBER(SEARCH("fatal",Q441)),ISNUMBER(SEARCH("death",Q441)),ISNUMBER(SEARCH("riot",Q441)),ISNUMBER(SEARCH("curfew",Q441)),ISNUMBER(SEARCH("internet shutdown",Q441))),5,MIN(4,1+IF(H441&gt;=7,1,0)+IF(OR(ISNUMBER(SEARCH("hunger strike",Q441)),ISNUMBER(SEARCH("blockade",Q441)),ISNUMBER(SEARCH("strike",Q441)),ISNUMBER(SEARCH("jal satyagraha",Q441)),ISNUMBER(SEARCH("survey",Q441)),ISNUMBER(SEARCH("human chain",Q441)),ISNUMBER(SEARCH("march",Q441))),1,0)+IF(OR(ISNUMBER(SEARCH("fir",Q441)),ISNUMBER(SEARCH("confrontation",Q441)),ISNUMBER(SEARCH("violence",Q441)),ISNUMBER(SEARCH("detention",Q441)),ISNUMBER(SEARCH("arrest",Q441)),ISNUMBER(SEARCH("demolition",Q441)),ISNUMBER(SEARCH("injury",Q441))),1,0)+IF(OR(D441="Ongoing",D441="Unresolved"),1,0))))</x:f>
      </x:c>
      <x:c r="K441" s="16" t="str">
        <x:f>IF(J441="","",IF(J441=1,"Limited",IF(J441=2,"Local",IF(J441=3,"Significant",IF(J441=4,"High","Critical")))))</x:f>
      </x:c>
      <x:c r="L441" s="16" t="str">
        <x:f>IF(A441="","",Events!U440)</x:f>
      </x:c>
      <x:c r="M441" s="16" t="str">
        <x:f>IF(A441="","",Events!V440)</x:f>
      </x:c>
      <x:c r="N441" s="16" t="str">
        <x:f>IF(A441="","",Events!Q440)</x:f>
      </x:c>
      <x:c r="O441" s="16" t="str">
        <x:f>IF(A441="","",Events!R440)</x:f>
      </x:c>
      <x:c r="P441" s="16" t="str">
        <x:f>IF(A441="","",LOWER(Events!B440&amp;" "&amp;Events!D440&amp;" "&amp;Events!K440))</x:f>
      </x:c>
      <x:c r="Q441" s="16" t="str">
        <x:f>IF(A441="","",LOWER(Events!C440&amp;" "&amp;Events!K440&amp;" "&amp;Events!T440))</x:f>
      </x:c>
      <x:c r="R441" s="16" t="str">
        <x:f>IF(A441="","",IF(ISNUMBER(SEARCH("Occurrence verified",E441)),"Occurrence verified",E441))</x:f>
      </x:c>
      <x:c r="S441" s="79" t="str">
        <x:f>IF(A441="","",Events!X440)</x:f>
      </x:c>
      <x:c r="Z441" s="79" t="str">
        <x:f>IF(A441="","",Events!AD440)</x:f>
      </x:c>
      <x:c r="AA441" s="79" t="str">
        <x:f>IF(A441="","",Events!AE440)</x:f>
      </x:c>
    </x:row>
    <x:row r="442">
      <x:c r="A442" s="16" t="str">
        <x:f>IF(Events!A441="","",Events!A441)</x:f>
      </x:c>
      <x:c r="B442" s="16" t="str">
        <x:f>IF(A442="","",Events!B441)</x:f>
      </x:c>
      <x:c r="C442" s="16" t="str">
        <x:f>IF(A442="","",Events!E441)</x:f>
      </x:c>
      <x:c r="D442" s="16" t="str">
        <x:f>IF(A442="","",Events!J441)</x:f>
      </x:c>
      <x:c r="E442" s="16" t="str">
        <x:f>IF(A442="","",Events!N441)</x:f>
      </x:c>
      <x:c r="F442" s="109" t="str">
        <x:f>IF(OR(A442="",Events!H441=""),"",Events!H441)</x:f>
      </x:c>
      <x:c r="G442" s="109" t="str">
        <x:f>IF(A442="","",IF(Events!I441&lt;&gt;"",Events!I441,IF(Events!S441&lt;&gt;"",Events!S441,"")))</x:f>
      </x:c>
      <x:c r="H442" s="16" t="str">
        <x:f>IF(A442="","",Events!W441)</x:f>
      </x:c>
      <x:c r="I442" s="16" t="str">
        <x:f>IF(A442="","",IF(Events!Y441&lt;&gt;"",Events!Y441,IF(OR(ISNUMBER(SEARCH("education",P442)),ISNUMBER(SEARCH("exam",P442)),ISNUMBER(SEARCH("school",P442))),"Education",IF(OR(ISNUMBER(SEARCH("trade agreement",P442)),ISNUMBER(SEARCH("economic",P442)),ISNUMBER(SEARCH("import",P442))),"Trade &amp; economic policy",IF(OR(ISNUMBER(SEARCH("land acquisition",P442)),ISNUMBER(SEARCH("rehabilitation",P442)),ISNUMBER(SEARCH("displacement",P442)),ISNUMBER(SEARCH("township",P442))),"Land &amp; rehabilitation",IF(OR(ISNUMBER(SEARCH("forest",P442)),ISNUMBER(SEARCH("environment",P442)),ISNUMBER(SEARCH("ecological",P442)),ISNUMBER(SEARCH("biodiversity",P442)),ISNUMBER(SEARCH("green cover",P442))),"Environment",IF(OR(ISNUMBER(SEARCH("irrigation",P442)),ISNUMBER(SEARCH("water",P442)),ISNUMBER(SEARCH("crop",P442)),ISNUMBER(SEARCH("farmer",P442)),ISNUMBER(SEARCH("agriculture",P442))),"Agriculture &amp; water",IF(OR(ISNUMBER(SEARCH("health",P442)),ISNUMBER(SEARCH("hospital",P442)),ISNUMBER(SEARCH("medicine",P442))),"Public health",IF(OR(ISNUMBER(SEARCH("employee",P442)),ISNUMBER(SEARCH("labour",P442)),ISNUMBER(SEARCH("worker",P442)),ISNUMBER(SEARCH("salary",P442))),"Labour &amp; employment",IF(OR(ISNUMBER(SEARCH("rti",P442)),ISNUMBER(SEARCH("transparency",P442)),ISNUMBER(SEARCH("corruption",P442)),ISNUMBER(SEARCH("governance",P442))),"Governance &amp; transparency",IF(OR(ISNUMBER(SEARCH("police",P442)),ISNUMBER(SEARCH("detention",P442)),ISNUMBER(SEARCH("civil rights",P442)),ISNUMBER(SEARCH("justice",P442))),"Civil rights &amp; justice",IF(OR(ISNUMBER(SEARCH("road",P442)),ISNUMBER(SEARCH("utility",P442)),ISNUMBER(SEARCH("infrastructure",P442)),ISNUMBER(SEARCH("public service",P442))),"Infrastructure &amp; public services","Other"))))))))))))</x:f>
      </x:c>
      <x:c r="J442" s="16" t="str">
        <x:f>IF(A442="","",IF(OR(ISNUMBER(SEARCH("fatal",Q442)),ISNUMBER(SEARCH("death",Q442)),ISNUMBER(SEARCH("riot",Q442)),ISNUMBER(SEARCH("curfew",Q442)),ISNUMBER(SEARCH("internet shutdown",Q442))),5,MIN(4,1+IF(H442&gt;=7,1,0)+IF(OR(ISNUMBER(SEARCH("hunger strike",Q442)),ISNUMBER(SEARCH("blockade",Q442)),ISNUMBER(SEARCH("strike",Q442)),ISNUMBER(SEARCH("jal satyagraha",Q442)),ISNUMBER(SEARCH("survey",Q442)),ISNUMBER(SEARCH("human chain",Q442)),ISNUMBER(SEARCH("march",Q442))),1,0)+IF(OR(ISNUMBER(SEARCH("fir",Q442)),ISNUMBER(SEARCH("confrontation",Q442)),ISNUMBER(SEARCH("violence",Q442)),ISNUMBER(SEARCH("detention",Q442)),ISNUMBER(SEARCH("arrest",Q442)),ISNUMBER(SEARCH("demolition",Q442)),ISNUMBER(SEARCH("injury",Q442))),1,0)+IF(OR(D442="Ongoing",D442="Unresolved"),1,0))))</x:f>
      </x:c>
      <x:c r="K442" s="16" t="str">
        <x:f>IF(J442="","",IF(J442=1,"Limited",IF(J442=2,"Local",IF(J442=3,"Significant",IF(J442=4,"High","Critical")))))</x:f>
      </x:c>
      <x:c r="L442" s="16" t="str">
        <x:f>IF(A442="","",Events!U441)</x:f>
      </x:c>
      <x:c r="M442" s="16" t="str">
        <x:f>IF(A442="","",Events!V441)</x:f>
      </x:c>
      <x:c r="N442" s="16" t="str">
        <x:f>IF(A442="","",Events!Q441)</x:f>
      </x:c>
      <x:c r="O442" s="16" t="str">
        <x:f>IF(A442="","",Events!R441)</x:f>
      </x:c>
      <x:c r="P442" s="16" t="str">
        <x:f>IF(A442="","",LOWER(Events!B441&amp;" "&amp;Events!D441&amp;" "&amp;Events!K441))</x:f>
      </x:c>
      <x:c r="Q442" s="16" t="str">
        <x:f>IF(A442="","",LOWER(Events!C441&amp;" "&amp;Events!K441&amp;" "&amp;Events!T441))</x:f>
      </x:c>
      <x:c r="R442" s="16" t="str">
        <x:f>IF(A442="","",IF(ISNUMBER(SEARCH("Occurrence verified",E442)),"Occurrence verified",E442))</x:f>
      </x:c>
      <x:c r="S442" s="79" t="str">
        <x:f>IF(A442="","",Events!X441)</x:f>
      </x:c>
      <x:c r="Z442" s="79" t="str">
        <x:f>IF(A442="","",Events!AD441)</x:f>
      </x:c>
      <x:c r="AA442" s="79" t="str">
        <x:f>IF(A442="","",Events!AE441)</x:f>
      </x:c>
    </x:row>
    <x:row r="443">
      <x:c r="A443" s="16" t="str">
        <x:f>IF(Events!A442="","",Events!A442)</x:f>
      </x:c>
      <x:c r="B443" s="16" t="str">
        <x:f>IF(A443="","",Events!B442)</x:f>
      </x:c>
      <x:c r="C443" s="16" t="str">
        <x:f>IF(A443="","",Events!E442)</x:f>
      </x:c>
      <x:c r="D443" s="16" t="str">
        <x:f>IF(A443="","",Events!J442)</x:f>
      </x:c>
      <x:c r="E443" s="16" t="str">
        <x:f>IF(A443="","",Events!N442)</x:f>
      </x:c>
      <x:c r="F443" s="109" t="str">
        <x:f>IF(OR(A443="",Events!H442=""),"",Events!H442)</x:f>
      </x:c>
      <x:c r="G443" s="109" t="str">
        <x:f>IF(A443="","",IF(Events!I442&lt;&gt;"",Events!I442,IF(Events!S442&lt;&gt;"",Events!S442,"")))</x:f>
      </x:c>
      <x:c r="H443" s="16" t="str">
        <x:f>IF(A443="","",Events!W442)</x:f>
      </x:c>
      <x:c r="I443" s="16" t="str">
        <x:f>IF(A443="","",IF(Events!Y442&lt;&gt;"",Events!Y442,IF(OR(ISNUMBER(SEARCH("education",P443)),ISNUMBER(SEARCH("exam",P443)),ISNUMBER(SEARCH("school",P443))),"Education",IF(OR(ISNUMBER(SEARCH("trade agreement",P443)),ISNUMBER(SEARCH("economic",P443)),ISNUMBER(SEARCH("import",P443))),"Trade &amp; economic policy",IF(OR(ISNUMBER(SEARCH("land acquisition",P443)),ISNUMBER(SEARCH("rehabilitation",P443)),ISNUMBER(SEARCH("displacement",P443)),ISNUMBER(SEARCH("township",P443))),"Land &amp; rehabilitation",IF(OR(ISNUMBER(SEARCH("forest",P443)),ISNUMBER(SEARCH("environment",P443)),ISNUMBER(SEARCH("ecological",P443)),ISNUMBER(SEARCH("biodiversity",P443)),ISNUMBER(SEARCH("green cover",P443))),"Environment",IF(OR(ISNUMBER(SEARCH("irrigation",P443)),ISNUMBER(SEARCH("water",P443)),ISNUMBER(SEARCH("crop",P443)),ISNUMBER(SEARCH("farmer",P443)),ISNUMBER(SEARCH("agriculture",P443))),"Agriculture &amp; water",IF(OR(ISNUMBER(SEARCH("health",P443)),ISNUMBER(SEARCH("hospital",P443)),ISNUMBER(SEARCH("medicine",P443))),"Public health",IF(OR(ISNUMBER(SEARCH("employee",P443)),ISNUMBER(SEARCH("labour",P443)),ISNUMBER(SEARCH("worker",P443)),ISNUMBER(SEARCH("salary",P443))),"Labour &amp; employment",IF(OR(ISNUMBER(SEARCH("rti",P443)),ISNUMBER(SEARCH("transparency",P443)),ISNUMBER(SEARCH("corruption",P443)),ISNUMBER(SEARCH("governance",P443))),"Governance &amp; transparency",IF(OR(ISNUMBER(SEARCH("police",P443)),ISNUMBER(SEARCH("detention",P443)),ISNUMBER(SEARCH("civil rights",P443)),ISNUMBER(SEARCH("justice",P443))),"Civil rights &amp; justice",IF(OR(ISNUMBER(SEARCH("road",P443)),ISNUMBER(SEARCH("utility",P443)),ISNUMBER(SEARCH("infrastructure",P443)),ISNUMBER(SEARCH("public service",P443))),"Infrastructure &amp; public services","Other"))))))))))))</x:f>
      </x:c>
      <x:c r="J443" s="16" t="str">
        <x:f>IF(A443="","",IF(OR(ISNUMBER(SEARCH("fatal",Q443)),ISNUMBER(SEARCH("death",Q443)),ISNUMBER(SEARCH("riot",Q443)),ISNUMBER(SEARCH("curfew",Q443)),ISNUMBER(SEARCH("internet shutdown",Q443))),5,MIN(4,1+IF(H443&gt;=7,1,0)+IF(OR(ISNUMBER(SEARCH("hunger strike",Q443)),ISNUMBER(SEARCH("blockade",Q443)),ISNUMBER(SEARCH("strike",Q443)),ISNUMBER(SEARCH("jal satyagraha",Q443)),ISNUMBER(SEARCH("survey",Q443)),ISNUMBER(SEARCH("human chain",Q443)),ISNUMBER(SEARCH("march",Q443))),1,0)+IF(OR(ISNUMBER(SEARCH("fir",Q443)),ISNUMBER(SEARCH("confrontation",Q443)),ISNUMBER(SEARCH("violence",Q443)),ISNUMBER(SEARCH("detention",Q443)),ISNUMBER(SEARCH("arrest",Q443)),ISNUMBER(SEARCH("demolition",Q443)),ISNUMBER(SEARCH("injury",Q443))),1,0)+IF(OR(D443="Ongoing",D443="Unresolved"),1,0))))</x:f>
      </x:c>
      <x:c r="K443" s="16" t="str">
        <x:f>IF(J443="","",IF(J443=1,"Limited",IF(J443=2,"Local",IF(J443=3,"Significant",IF(J443=4,"High","Critical")))))</x:f>
      </x:c>
      <x:c r="L443" s="16" t="str">
        <x:f>IF(A443="","",Events!U442)</x:f>
      </x:c>
      <x:c r="M443" s="16" t="str">
        <x:f>IF(A443="","",Events!V442)</x:f>
      </x:c>
      <x:c r="N443" s="16" t="str">
        <x:f>IF(A443="","",Events!Q442)</x:f>
      </x:c>
      <x:c r="O443" s="16" t="str">
        <x:f>IF(A443="","",Events!R442)</x:f>
      </x:c>
      <x:c r="P443" s="16" t="str">
        <x:f>IF(A443="","",LOWER(Events!B442&amp;" "&amp;Events!D442&amp;" "&amp;Events!K442))</x:f>
      </x:c>
      <x:c r="Q443" s="16" t="str">
        <x:f>IF(A443="","",LOWER(Events!C442&amp;" "&amp;Events!K442&amp;" "&amp;Events!T442))</x:f>
      </x:c>
      <x:c r="R443" s="16" t="str">
        <x:f>IF(A443="","",IF(ISNUMBER(SEARCH("Occurrence verified",E443)),"Occurrence verified",E443))</x:f>
      </x:c>
      <x:c r="S443" s="79" t="str">
        <x:f>IF(A443="","",Events!X442)</x:f>
      </x:c>
      <x:c r="Z443" s="79" t="str">
        <x:f>IF(A443="","",Events!AD442)</x:f>
      </x:c>
      <x:c r="AA443" s="79" t="str">
        <x:f>IF(A443="","",Events!AE442)</x:f>
      </x:c>
    </x:row>
    <x:row r="444">
      <x:c r="A444" s="16" t="str">
        <x:f>IF(Events!A443="","",Events!A443)</x:f>
      </x:c>
      <x:c r="B444" s="16" t="str">
        <x:f>IF(A444="","",Events!B443)</x:f>
      </x:c>
      <x:c r="C444" s="16" t="str">
        <x:f>IF(A444="","",Events!E443)</x:f>
      </x:c>
      <x:c r="D444" s="16" t="str">
        <x:f>IF(A444="","",Events!J443)</x:f>
      </x:c>
      <x:c r="E444" s="16" t="str">
        <x:f>IF(A444="","",Events!N443)</x:f>
      </x:c>
      <x:c r="F444" s="109" t="str">
        <x:f>IF(OR(A444="",Events!H443=""),"",Events!H443)</x:f>
      </x:c>
      <x:c r="G444" s="109" t="str">
        <x:f>IF(A444="","",IF(Events!I443&lt;&gt;"",Events!I443,IF(Events!S443&lt;&gt;"",Events!S443,"")))</x:f>
      </x:c>
      <x:c r="H444" s="16" t="str">
        <x:f>IF(A444="","",Events!W443)</x:f>
      </x:c>
      <x:c r="I444" s="16" t="str">
        <x:f>IF(A444="","",IF(Events!Y443&lt;&gt;"",Events!Y443,IF(OR(ISNUMBER(SEARCH("education",P444)),ISNUMBER(SEARCH("exam",P444)),ISNUMBER(SEARCH("school",P444))),"Education",IF(OR(ISNUMBER(SEARCH("trade agreement",P444)),ISNUMBER(SEARCH("economic",P444)),ISNUMBER(SEARCH("import",P444))),"Trade &amp; economic policy",IF(OR(ISNUMBER(SEARCH("land acquisition",P444)),ISNUMBER(SEARCH("rehabilitation",P444)),ISNUMBER(SEARCH("displacement",P444)),ISNUMBER(SEARCH("township",P444))),"Land &amp; rehabilitation",IF(OR(ISNUMBER(SEARCH("forest",P444)),ISNUMBER(SEARCH("environment",P444)),ISNUMBER(SEARCH("ecological",P444)),ISNUMBER(SEARCH("biodiversity",P444)),ISNUMBER(SEARCH("green cover",P444))),"Environment",IF(OR(ISNUMBER(SEARCH("irrigation",P444)),ISNUMBER(SEARCH("water",P444)),ISNUMBER(SEARCH("crop",P444)),ISNUMBER(SEARCH("farmer",P444)),ISNUMBER(SEARCH("agriculture",P444))),"Agriculture &amp; water",IF(OR(ISNUMBER(SEARCH("health",P444)),ISNUMBER(SEARCH("hospital",P444)),ISNUMBER(SEARCH("medicine",P444))),"Public health",IF(OR(ISNUMBER(SEARCH("employee",P444)),ISNUMBER(SEARCH("labour",P444)),ISNUMBER(SEARCH("worker",P444)),ISNUMBER(SEARCH("salary",P444))),"Labour &amp; employment",IF(OR(ISNUMBER(SEARCH("rti",P444)),ISNUMBER(SEARCH("transparency",P444)),ISNUMBER(SEARCH("corruption",P444)),ISNUMBER(SEARCH("governance",P444))),"Governance &amp; transparency",IF(OR(ISNUMBER(SEARCH("police",P444)),ISNUMBER(SEARCH("detention",P444)),ISNUMBER(SEARCH("civil rights",P444)),ISNUMBER(SEARCH("justice",P444))),"Civil rights &amp; justice",IF(OR(ISNUMBER(SEARCH("road",P444)),ISNUMBER(SEARCH("utility",P444)),ISNUMBER(SEARCH("infrastructure",P444)),ISNUMBER(SEARCH("public service",P444))),"Infrastructure &amp; public services","Other"))))))))))))</x:f>
      </x:c>
      <x:c r="J444" s="16" t="str">
        <x:f>IF(A444="","",IF(OR(ISNUMBER(SEARCH("fatal",Q444)),ISNUMBER(SEARCH("death",Q444)),ISNUMBER(SEARCH("riot",Q444)),ISNUMBER(SEARCH("curfew",Q444)),ISNUMBER(SEARCH("internet shutdown",Q444))),5,MIN(4,1+IF(H444&gt;=7,1,0)+IF(OR(ISNUMBER(SEARCH("hunger strike",Q444)),ISNUMBER(SEARCH("blockade",Q444)),ISNUMBER(SEARCH("strike",Q444)),ISNUMBER(SEARCH("jal satyagraha",Q444)),ISNUMBER(SEARCH("survey",Q444)),ISNUMBER(SEARCH("human chain",Q444)),ISNUMBER(SEARCH("march",Q444))),1,0)+IF(OR(ISNUMBER(SEARCH("fir",Q444)),ISNUMBER(SEARCH("confrontation",Q444)),ISNUMBER(SEARCH("violence",Q444)),ISNUMBER(SEARCH("detention",Q444)),ISNUMBER(SEARCH("arrest",Q444)),ISNUMBER(SEARCH("demolition",Q444)),ISNUMBER(SEARCH("injury",Q444))),1,0)+IF(OR(D444="Ongoing",D444="Unresolved"),1,0))))</x:f>
      </x:c>
      <x:c r="K444" s="16" t="str">
        <x:f>IF(J444="","",IF(J444=1,"Limited",IF(J444=2,"Local",IF(J444=3,"Significant",IF(J444=4,"High","Critical")))))</x:f>
      </x:c>
      <x:c r="L444" s="16" t="str">
        <x:f>IF(A444="","",Events!U443)</x:f>
      </x:c>
      <x:c r="M444" s="16" t="str">
        <x:f>IF(A444="","",Events!V443)</x:f>
      </x:c>
      <x:c r="N444" s="16" t="str">
        <x:f>IF(A444="","",Events!Q443)</x:f>
      </x:c>
      <x:c r="O444" s="16" t="str">
        <x:f>IF(A444="","",Events!R443)</x:f>
      </x:c>
      <x:c r="P444" s="16" t="str">
        <x:f>IF(A444="","",LOWER(Events!B443&amp;" "&amp;Events!D443&amp;" "&amp;Events!K443))</x:f>
      </x:c>
      <x:c r="Q444" s="16" t="str">
        <x:f>IF(A444="","",LOWER(Events!C443&amp;" "&amp;Events!K443&amp;" "&amp;Events!T443))</x:f>
      </x:c>
      <x:c r="R444" s="16" t="str">
        <x:f>IF(A444="","",IF(ISNUMBER(SEARCH("Occurrence verified",E444)),"Occurrence verified",E444))</x:f>
      </x:c>
      <x:c r="S444" s="79" t="str">
        <x:f>IF(A444="","",Events!X443)</x:f>
      </x:c>
      <x:c r="Z444" s="79" t="str">
        <x:f>IF(A444="","",Events!AD443)</x:f>
      </x:c>
      <x:c r="AA444" s="79" t="str">
        <x:f>IF(A444="","",Events!AE443)</x:f>
      </x:c>
    </x:row>
    <x:row r="445">
      <x:c r="A445" s="16" t="str">
        <x:f>IF(Events!A444="","",Events!A444)</x:f>
      </x:c>
      <x:c r="B445" s="16" t="str">
        <x:f>IF(A445="","",Events!B444)</x:f>
      </x:c>
      <x:c r="C445" s="16" t="str">
        <x:f>IF(A445="","",Events!E444)</x:f>
      </x:c>
      <x:c r="D445" s="16" t="str">
        <x:f>IF(A445="","",Events!J444)</x:f>
      </x:c>
      <x:c r="E445" s="16" t="str">
        <x:f>IF(A445="","",Events!N444)</x:f>
      </x:c>
      <x:c r="F445" s="109" t="str">
        <x:f>IF(OR(A445="",Events!H444=""),"",Events!H444)</x:f>
      </x:c>
      <x:c r="G445" s="109" t="str">
        <x:f>IF(A445="","",IF(Events!I444&lt;&gt;"",Events!I444,IF(Events!S444&lt;&gt;"",Events!S444,"")))</x:f>
      </x:c>
      <x:c r="H445" s="16" t="str">
        <x:f>IF(A445="","",Events!W444)</x:f>
      </x:c>
      <x:c r="I445" s="16" t="str">
        <x:f>IF(A445="","",IF(Events!Y444&lt;&gt;"",Events!Y444,IF(OR(ISNUMBER(SEARCH("education",P445)),ISNUMBER(SEARCH("exam",P445)),ISNUMBER(SEARCH("school",P445))),"Education",IF(OR(ISNUMBER(SEARCH("trade agreement",P445)),ISNUMBER(SEARCH("economic",P445)),ISNUMBER(SEARCH("import",P445))),"Trade &amp; economic policy",IF(OR(ISNUMBER(SEARCH("land acquisition",P445)),ISNUMBER(SEARCH("rehabilitation",P445)),ISNUMBER(SEARCH("displacement",P445)),ISNUMBER(SEARCH("township",P445))),"Land &amp; rehabilitation",IF(OR(ISNUMBER(SEARCH("forest",P445)),ISNUMBER(SEARCH("environment",P445)),ISNUMBER(SEARCH("ecological",P445)),ISNUMBER(SEARCH("biodiversity",P445)),ISNUMBER(SEARCH("green cover",P445))),"Environment",IF(OR(ISNUMBER(SEARCH("irrigation",P445)),ISNUMBER(SEARCH("water",P445)),ISNUMBER(SEARCH("crop",P445)),ISNUMBER(SEARCH("farmer",P445)),ISNUMBER(SEARCH("agriculture",P445))),"Agriculture &amp; water",IF(OR(ISNUMBER(SEARCH("health",P445)),ISNUMBER(SEARCH("hospital",P445)),ISNUMBER(SEARCH("medicine",P445))),"Public health",IF(OR(ISNUMBER(SEARCH("employee",P445)),ISNUMBER(SEARCH("labour",P445)),ISNUMBER(SEARCH("worker",P445)),ISNUMBER(SEARCH("salary",P445))),"Labour &amp; employment",IF(OR(ISNUMBER(SEARCH("rti",P445)),ISNUMBER(SEARCH("transparency",P445)),ISNUMBER(SEARCH("corruption",P445)),ISNUMBER(SEARCH("governance",P445))),"Governance &amp; transparency",IF(OR(ISNUMBER(SEARCH("police",P445)),ISNUMBER(SEARCH("detention",P445)),ISNUMBER(SEARCH("civil rights",P445)),ISNUMBER(SEARCH("justice",P445))),"Civil rights &amp; justice",IF(OR(ISNUMBER(SEARCH("road",P445)),ISNUMBER(SEARCH("utility",P445)),ISNUMBER(SEARCH("infrastructure",P445)),ISNUMBER(SEARCH("public service",P445))),"Infrastructure &amp; public services","Other"))))))))))))</x:f>
      </x:c>
      <x:c r="J445" s="16" t="str">
        <x:f>IF(A445="","",IF(OR(ISNUMBER(SEARCH("fatal",Q445)),ISNUMBER(SEARCH("death",Q445)),ISNUMBER(SEARCH("riot",Q445)),ISNUMBER(SEARCH("curfew",Q445)),ISNUMBER(SEARCH("internet shutdown",Q445))),5,MIN(4,1+IF(H445&gt;=7,1,0)+IF(OR(ISNUMBER(SEARCH("hunger strike",Q445)),ISNUMBER(SEARCH("blockade",Q445)),ISNUMBER(SEARCH("strike",Q445)),ISNUMBER(SEARCH("jal satyagraha",Q445)),ISNUMBER(SEARCH("survey",Q445)),ISNUMBER(SEARCH("human chain",Q445)),ISNUMBER(SEARCH("march",Q445))),1,0)+IF(OR(ISNUMBER(SEARCH("fir",Q445)),ISNUMBER(SEARCH("confrontation",Q445)),ISNUMBER(SEARCH("violence",Q445)),ISNUMBER(SEARCH("detention",Q445)),ISNUMBER(SEARCH("arrest",Q445)),ISNUMBER(SEARCH("demolition",Q445)),ISNUMBER(SEARCH("injury",Q445))),1,0)+IF(OR(D445="Ongoing",D445="Unresolved"),1,0))))</x:f>
      </x:c>
      <x:c r="K445" s="16" t="str">
        <x:f>IF(J445="","",IF(J445=1,"Limited",IF(J445=2,"Local",IF(J445=3,"Significant",IF(J445=4,"High","Critical")))))</x:f>
      </x:c>
      <x:c r="L445" s="16" t="str">
        <x:f>IF(A445="","",Events!U444)</x:f>
      </x:c>
      <x:c r="M445" s="16" t="str">
        <x:f>IF(A445="","",Events!V444)</x:f>
      </x:c>
      <x:c r="N445" s="16" t="str">
        <x:f>IF(A445="","",Events!Q444)</x:f>
      </x:c>
      <x:c r="O445" s="16" t="str">
        <x:f>IF(A445="","",Events!R444)</x:f>
      </x:c>
      <x:c r="P445" s="16" t="str">
        <x:f>IF(A445="","",LOWER(Events!B444&amp;" "&amp;Events!D444&amp;" "&amp;Events!K444))</x:f>
      </x:c>
      <x:c r="Q445" s="16" t="str">
        <x:f>IF(A445="","",LOWER(Events!C444&amp;" "&amp;Events!K444&amp;" "&amp;Events!T444))</x:f>
      </x:c>
      <x:c r="R445" s="16" t="str">
        <x:f>IF(A445="","",IF(ISNUMBER(SEARCH("Occurrence verified",E445)),"Occurrence verified",E445))</x:f>
      </x:c>
      <x:c r="S445" s="79" t="str">
        <x:f>IF(A445="","",Events!X444)</x:f>
      </x:c>
      <x:c r="Z445" s="79" t="str">
        <x:f>IF(A445="","",Events!AD444)</x:f>
      </x:c>
      <x:c r="AA445" s="79" t="str">
        <x:f>IF(A445="","",Events!AE444)</x:f>
      </x:c>
    </x:row>
    <x:row r="446">
      <x:c r="A446" s="16" t="str">
        <x:f>IF(Events!A445="","",Events!A445)</x:f>
      </x:c>
      <x:c r="B446" s="16" t="str">
        <x:f>IF(A446="","",Events!B445)</x:f>
      </x:c>
      <x:c r="C446" s="16" t="str">
        <x:f>IF(A446="","",Events!E445)</x:f>
      </x:c>
      <x:c r="D446" s="16" t="str">
        <x:f>IF(A446="","",Events!J445)</x:f>
      </x:c>
      <x:c r="E446" s="16" t="str">
        <x:f>IF(A446="","",Events!N445)</x:f>
      </x:c>
      <x:c r="F446" s="109" t="str">
        <x:f>IF(OR(A446="",Events!H445=""),"",Events!H445)</x:f>
      </x:c>
      <x:c r="G446" s="109" t="str">
        <x:f>IF(A446="","",IF(Events!I445&lt;&gt;"",Events!I445,IF(Events!S445&lt;&gt;"",Events!S445,"")))</x:f>
      </x:c>
      <x:c r="H446" s="16" t="str">
        <x:f>IF(A446="","",Events!W445)</x:f>
      </x:c>
      <x:c r="I446" s="16" t="str">
        <x:f>IF(A446="","",IF(Events!Y445&lt;&gt;"",Events!Y445,IF(OR(ISNUMBER(SEARCH("education",P446)),ISNUMBER(SEARCH("exam",P446)),ISNUMBER(SEARCH("school",P446))),"Education",IF(OR(ISNUMBER(SEARCH("trade agreement",P446)),ISNUMBER(SEARCH("economic",P446)),ISNUMBER(SEARCH("import",P446))),"Trade &amp; economic policy",IF(OR(ISNUMBER(SEARCH("land acquisition",P446)),ISNUMBER(SEARCH("rehabilitation",P446)),ISNUMBER(SEARCH("displacement",P446)),ISNUMBER(SEARCH("township",P446))),"Land &amp; rehabilitation",IF(OR(ISNUMBER(SEARCH("forest",P446)),ISNUMBER(SEARCH("environment",P446)),ISNUMBER(SEARCH("ecological",P446)),ISNUMBER(SEARCH("biodiversity",P446)),ISNUMBER(SEARCH("green cover",P446))),"Environment",IF(OR(ISNUMBER(SEARCH("irrigation",P446)),ISNUMBER(SEARCH("water",P446)),ISNUMBER(SEARCH("crop",P446)),ISNUMBER(SEARCH("farmer",P446)),ISNUMBER(SEARCH("agriculture",P446))),"Agriculture &amp; water",IF(OR(ISNUMBER(SEARCH("health",P446)),ISNUMBER(SEARCH("hospital",P446)),ISNUMBER(SEARCH("medicine",P446))),"Public health",IF(OR(ISNUMBER(SEARCH("employee",P446)),ISNUMBER(SEARCH("labour",P446)),ISNUMBER(SEARCH("worker",P446)),ISNUMBER(SEARCH("salary",P446))),"Labour &amp; employment",IF(OR(ISNUMBER(SEARCH("rti",P446)),ISNUMBER(SEARCH("transparency",P446)),ISNUMBER(SEARCH("corruption",P446)),ISNUMBER(SEARCH("governance",P446))),"Governance &amp; transparency",IF(OR(ISNUMBER(SEARCH("police",P446)),ISNUMBER(SEARCH("detention",P446)),ISNUMBER(SEARCH("civil rights",P446)),ISNUMBER(SEARCH("justice",P446))),"Civil rights &amp; justice",IF(OR(ISNUMBER(SEARCH("road",P446)),ISNUMBER(SEARCH("utility",P446)),ISNUMBER(SEARCH("infrastructure",P446)),ISNUMBER(SEARCH("public service",P446))),"Infrastructure &amp; public services","Other"))))))))))))</x:f>
      </x:c>
      <x:c r="J446" s="16" t="str">
        <x:f>IF(A446="","",IF(OR(ISNUMBER(SEARCH("fatal",Q446)),ISNUMBER(SEARCH("death",Q446)),ISNUMBER(SEARCH("riot",Q446)),ISNUMBER(SEARCH("curfew",Q446)),ISNUMBER(SEARCH("internet shutdown",Q446))),5,MIN(4,1+IF(H446&gt;=7,1,0)+IF(OR(ISNUMBER(SEARCH("hunger strike",Q446)),ISNUMBER(SEARCH("blockade",Q446)),ISNUMBER(SEARCH("strike",Q446)),ISNUMBER(SEARCH("jal satyagraha",Q446)),ISNUMBER(SEARCH("survey",Q446)),ISNUMBER(SEARCH("human chain",Q446)),ISNUMBER(SEARCH("march",Q446))),1,0)+IF(OR(ISNUMBER(SEARCH("fir",Q446)),ISNUMBER(SEARCH("confrontation",Q446)),ISNUMBER(SEARCH("violence",Q446)),ISNUMBER(SEARCH("detention",Q446)),ISNUMBER(SEARCH("arrest",Q446)),ISNUMBER(SEARCH("demolition",Q446)),ISNUMBER(SEARCH("injury",Q446))),1,0)+IF(OR(D446="Ongoing",D446="Unresolved"),1,0))))</x:f>
      </x:c>
      <x:c r="K446" s="16" t="str">
        <x:f>IF(J446="","",IF(J446=1,"Limited",IF(J446=2,"Local",IF(J446=3,"Significant",IF(J446=4,"High","Critical")))))</x:f>
      </x:c>
      <x:c r="L446" s="16" t="str">
        <x:f>IF(A446="","",Events!U445)</x:f>
      </x:c>
      <x:c r="M446" s="16" t="str">
        <x:f>IF(A446="","",Events!V445)</x:f>
      </x:c>
      <x:c r="N446" s="16" t="str">
        <x:f>IF(A446="","",Events!Q445)</x:f>
      </x:c>
      <x:c r="O446" s="16" t="str">
        <x:f>IF(A446="","",Events!R445)</x:f>
      </x:c>
      <x:c r="P446" s="16" t="str">
        <x:f>IF(A446="","",LOWER(Events!B445&amp;" "&amp;Events!D445&amp;" "&amp;Events!K445))</x:f>
      </x:c>
      <x:c r="Q446" s="16" t="str">
        <x:f>IF(A446="","",LOWER(Events!C445&amp;" "&amp;Events!K445&amp;" "&amp;Events!T445))</x:f>
      </x:c>
      <x:c r="R446" s="16" t="str">
        <x:f>IF(A446="","",IF(ISNUMBER(SEARCH("Occurrence verified",E446)),"Occurrence verified",E446))</x:f>
      </x:c>
      <x:c r="S446" s="79" t="str">
        <x:f>IF(A446="","",Events!X445)</x:f>
      </x:c>
      <x:c r="Z446" s="79" t="str">
        <x:f>IF(A446="","",Events!AD445)</x:f>
      </x:c>
      <x:c r="AA446" s="79" t="str">
        <x:f>IF(A446="","",Events!AE445)</x:f>
      </x:c>
    </x:row>
    <x:row r="447">
      <x:c r="A447" s="16" t="str">
        <x:f>IF(Events!A446="","",Events!A446)</x:f>
      </x:c>
      <x:c r="B447" s="16" t="str">
        <x:f>IF(A447="","",Events!B446)</x:f>
      </x:c>
      <x:c r="C447" s="16" t="str">
        <x:f>IF(A447="","",Events!E446)</x:f>
      </x:c>
      <x:c r="D447" s="16" t="str">
        <x:f>IF(A447="","",Events!J446)</x:f>
      </x:c>
      <x:c r="E447" s="16" t="str">
        <x:f>IF(A447="","",Events!N446)</x:f>
      </x:c>
      <x:c r="F447" s="109" t="str">
        <x:f>IF(OR(A447="",Events!H446=""),"",Events!H446)</x:f>
      </x:c>
      <x:c r="G447" s="109" t="str">
        <x:f>IF(A447="","",IF(Events!I446&lt;&gt;"",Events!I446,IF(Events!S446&lt;&gt;"",Events!S446,"")))</x:f>
      </x:c>
      <x:c r="H447" s="16" t="str">
        <x:f>IF(A447="","",Events!W446)</x:f>
      </x:c>
      <x:c r="I447" s="16" t="str">
        <x:f>IF(A447="","",IF(Events!Y446&lt;&gt;"",Events!Y446,IF(OR(ISNUMBER(SEARCH("education",P447)),ISNUMBER(SEARCH("exam",P447)),ISNUMBER(SEARCH("school",P447))),"Education",IF(OR(ISNUMBER(SEARCH("trade agreement",P447)),ISNUMBER(SEARCH("economic",P447)),ISNUMBER(SEARCH("import",P447))),"Trade &amp; economic policy",IF(OR(ISNUMBER(SEARCH("land acquisition",P447)),ISNUMBER(SEARCH("rehabilitation",P447)),ISNUMBER(SEARCH("displacement",P447)),ISNUMBER(SEARCH("township",P447))),"Land &amp; rehabilitation",IF(OR(ISNUMBER(SEARCH("forest",P447)),ISNUMBER(SEARCH("environment",P447)),ISNUMBER(SEARCH("ecological",P447)),ISNUMBER(SEARCH("biodiversity",P447)),ISNUMBER(SEARCH("green cover",P447))),"Environment",IF(OR(ISNUMBER(SEARCH("irrigation",P447)),ISNUMBER(SEARCH("water",P447)),ISNUMBER(SEARCH("crop",P447)),ISNUMBER(SEARCH("farmer",P447)),ISNUMBER(SEARCH("agriculture",P447))),"Agriculture &amp; water",IF(OR(ISNUMBER(SEARCH("health",P447)),ISNUMBER(SEARCH("hospital",P447)),ISNUMBER(SEARCH("medicine",P447))),"Public health",IF(OR(ISNUMBER(SEARCH("employee",P447)),ISNUMBER(SEARCH("labour",P447)),ISNUMBER(SEARCH("worker",P447)),ISNUMBER(SEARCH("salary",P447))),"Labour &amp; employment",IF(OR(ISNUMBER(SEARCH("rti",P447)),ISNUMBER(SEARCH("transparency",P447)),ISNUMBER(SEARCH("corruption",P447)),ISNUMBER(SEARCH("governance",P447))),"Governance &amp; transparency",IF(OR(ISNUMBER(SEARCH("police",P447)),ISNUMBER(SEARCH("detention",P447)),ISNUMBER(SEARCH("civil rights",P447)),ISNUMBER(SEARCH("justice",P447))),"Civil rights &amp; justice",IF(OR(ISNUMBER(SEARCH("road",P447)),ISNUMBER(SEARCH("utility",P447)),ISNUMBER(SEARCH("infrastructure",P447)),ISNUMBER(SEARCH("public service",P447))),"Infrastructure &amp; public services","Other"))))))))))))</x:f>
      </x:c>
      <x:c r="J447" s="16" t="str">
        <x:f>IF(A447="","",IF(OR(ISNUMBER(SEARCH("fatal",Q447)),ISNUMBER(SEARCH("death",Q447)),ISNUMBER(SEARCH("riot",Q447)),ISNUMBER(SEARCH("curfew",Q447)),ISNUMBER(SEARCH("internet shutdown",Q447))),5,MIN(4,1+IF(H447&gt;=7,1,0)+IF(OR(ISNUMBER(SEARCH("hunger strike",Q447)),ISNUMBER(SEARCH("blockade",Q447)),ISNUMBER(SEARCH("strike",Q447)),ISNUMBER(SEARCH("jal satyagraha",Q447)),ISNUMBER(SEARCH("survey",Q447)),ISNUMBER(SEARCH("human chain",Q447)),ISNUMBER(SEARCH("march",Q447))),1,0)+IF(OR(ISNUMBER(SEARCH("fir",Q447)),ISNUMBER(SEARCH("confrontation",Q447)),ISNUMBER(SEARCH("violence",Q447)),ISNUMBER(SEARCH("detention",Q447)),ISNUMBER(SEARCH("arrest",Q447)),ISNUMBER(SEARCH("demolition",Q447)),ISNUMBER(SEARCH("injury",Q447))),1,0)+IF(OR(D447="Ongoing",D447="Unresolved"),1,0))))</x:f>
      </x:c>
      <x:c r="K447" s="16" t="str">
        <x:f>IF(J447="","",IF(J447=1,"Limited",IF(J447=2,"Local",IF(J447=3,"Significant",IF(J447=4,"High","Critical")))))</x:f>
      </x:c>
      <x:c r="L447" s="16" t="str">
        <x:f>IF(A447="","",Events!U446)</x:f>
      </x:c>
      <x:c r="M447" s="16" t="str">
        <x:f>IF(A447="","",Events!V446)</x:f>
      </x:c>
      <x:c r="N447" s="16" t="str">
        <x:f>IF(A447="","",Events!Q446)</x:f>
      </x:c>
      <x:c r="O447" s="16" t="str">
        <x:f>IF(A447="","",Events!R446)</x:f>
      </x:c>
      <x:c r="P447" s="16" t="str">
        <x:f>IF(A447="","",LOWER(Events!B446&amp;" "&amp;Events!D446&amp;" "&amp;Events!K446))</x:f>
      </x:c>
      <x:c r="Q447" s="16" t="str">
        <x:f>IF(A447="","",LOWER(Events!C446&amp;" "&amp;Events!K446&amp;" "&amp;Events!T446))</x:f>
      </x:c>
      <x:c r="R447" s="16" t="str">
        <x:f>IF(A447="","",IF(ISNUMBER(SEARCH("Occurrence verified",E447)),"Occurrence verified",E447))</x:f>
      </x:c>
      <x:c r="S447" s="79" t="str">
        <x:f>IF(A447="","",Events!X446)</x:f>
      </x:c>
      <x:c r="Z447" s="79" t="str">
        <x:f>IF(A447="","",Events!AD446)</x:f>
      </x:c>
      <x:c r="AA447" s="79" t="str">
        <x:f>IF(A447="","",Events!AE446)</x:f>
      </x:c>
    </x:row>
    <x:row r="448">
      <x:c r="A448" s="16" t="str">
        <x:f>IF(Events!A447="","",Events!A447)</x:f>
      </x:c>
      <x:c r="B448" s="16" t="str">
        <x:f>IF(A448="","",Events!B447)</x:f>
      </x:c>
      <x:c r="C448" s="16" t="str">
        <x:f>IF(A448="","",Events!E447)</x:f>
      </x:c>
      <x:c r="D448" s="16" t="str">
        <x:f>IF(A448="","",Events!J447)</x:f>
      </x:c>
      <x:c r="E448" s="16" t="str">
        <x:f>IF(A448="","",Events!N447)</x:f>
      </x:c>
      <x:c r="F448" s="109" t="str">
        <x:f>IF(OR(A448="",Events!H447=""),"",Events!H447)</x:f>
      </x:c>
      <x:c r="G448" s="109" t="str">
        <x:f>IF(A448="","",IF(Events!I447&lt;&gt;"",Events!I447,IF(Events!S447&lt;&gt;"",Events!S447,"")))</x:f>
      </x:c>
      <x:c r="H448" s="16" t="str">
        <x:f>IF(A448="","",Events!W447)</x:f>
      </x:c>
      <x:c r="I448" s="16" t="str">
        <x:f>IF(A448="","",IF(Events!Y447&lt;&gt;"",Events!Y447,IF(OR(ISNUMBER(SEARCH("education",P448)),ISNUMBER(SEARCH("exam",P448)),ISNUMBER(SEARCH("school",P448))),"Education",IF(OR(ISNUMBER(SEARCH("trade agreement",P448)),ISNUMBER(SEARCH("economic",P448)),ISNUMBER(SEARCH("import",P448))),"Trade &amp; economic policy",IF(OR(ISNUMBER(SEARCH("land acquisition",P448)),ISNUMBER(SEARCH("rehabilitation",P448)),ISNUMBER(SEARCH("displacement",P448)),ISNUMBER(SEARCH("township",P448))),"Land &amp; rehabilitation",IF(OR(ISNUMBER(SEARCH("forest",P448)),ISNUMBER(SEARCH("environment",P448)),ISNUMBER(SEARCH("ecological",P448)),ISNUMBER(SEARCH("biodiversity",P448)),ISNUMBER(SEARCH("green cover",P448))),"Environment",IF(OR(ISNUMBER(SEARCH("irrigation",P448)),ISNUMBER(SEARCH("water",P448)),ISNUMBER(SEARCH("crop",P448)),ISNUMBER(SEARCH("farmer",P448)),ISNUMBER(SEARCH("agriculture",P448))),"Agriculture &amp; water",IF(OR(ISNUMBER(SEARCH("health",P448)),ISNUMBER(SEARCH("hospital",P448)),ISNUMBER(SEARCH("medicine",P448))),"Public health",IF(OR(ISNUMBER(SEARCH("employee",P448)),ISNUMBER(SEARCH("labour",P448)),ISNUMBER(SEARCH("worker",P448)),ISNUMBER(SEARCH("salary",P448))),"Labour &amp; employment",IF(OR(ISNUMBER(SEARCH("rti",P448)),ISNUMBER(SEARCH("transparency",P448)),ISNUMBER(SEARCH("corruption",P448)),ISNUMBER(SEARCH("governance",P448))),"Governance &amp; transparency",IF(OR(ISNUMBER(SEARCH("police",P448)),ISNUMBER(SEARCH("detention",P448)),ISNUMBER(SEARCH("civil rights",P448)),ISNUMBER(SEARCH("justice",P448))),"Civil rights &amp; justice",IF(OR(ISNUMBER(SEARCH("road",P448)),ISNUMBER(SEARCH("utility",P448)),ISNUMBER(SEARCH("infrastructure",P448)),ISNUMBER(SEARCH("public service",P448))),"Infrastructure &amp; public services","Other"))))))))))))</x:f>
      </x:c>
      <x:c r="J448" s="16" t="str">
        <x:f>IF(A448="","",IF(OR(ISNUMBER(SEARCH("fatal",Q448)),ISNUMBER(SEARCH("death",Q448)),ISNUMBER(SEARCH("riot",Q448)),ISNUMBER(SEARCH("curfew",Q448)),ISNUMBER(SEARCH("internet shutdown",Q448))),5,MIN(4,1+IF(H448&gt;=7,1,0)+IF(OR(ISNUMBER(SEARCH("hunger strike",Q448)),ISNUMBER(SEARCH("blockade",Q448)),ISNUMBER(SEARCH("strike",Q448)),ISNUMBER(SEARCH("jal satyagraha",Q448)),ISNUMBER(SEARCH("survey",Q448)),ISNUMBER(SEARCH("human chain",Q448)),ISNUMBER(SEARCH("march",Q448))),1,0)+IF(OR(ISNUMBER(SEARCH("fir",Q448)),ISNUMBER(SEARCH("confrontation",Q448)),ISNUMBER(SEARCH("violence",Q448)),ISNUMBER(SEARCH("detention",Q448)),ISNUMBER(SEARCH("arrest",Q448)),ISNUMBER(SEARCH("demolition",Q448)),ISNUMBER(SEARCH("injury",Q448))),1,0)+IF(OR(D448="Ongoing",D448="Unresolved"),1,0))))</x:f>
      </x:c>
      <x:c r="K448" s="16" t="str">
        <x:f>IF(J448="","",IF(J448=1,"Limited",IF(J448=2,"Local",IF(J448=3,"Significant",IF(J448=4,"High","Critical")))))</x:f>
      </x:c>
      <x:c r="L448" s="16" t="str">
        <x:f>IF(A448="","",Events!U447)</x:f>
      </x:c>
      <x:c r="M448" s="16" t="str">
        <x:f>IF(A448="","",Events!V447)</x:f>
      </x:c>
      <x:c r="N448" s="16" t="str">
        <x:f>IF(A448="","",Events!Q447)</x:f>
      </x:c>
      <x:c r="O448" s="16" t="str">
        <x:f>IF(A448="","",Events!R447)</x:f>
      </x:c>
      <x:c r="P448" s="16" t="str">
        <x:f>IF(A448="","",LOWER(Events!B447&amp;" "&amp;Events!D447&amp;" "&amp;Events!K447))</x:f>
      </x:c>
      <x:c r="Q448" s="16" t="str">
        <x:f>IF(A448="","",LOWER(Events!C447&amp;" "&amp;Events!K447&amp;" "&amp;Events!T447))</x:f>
      </x:c>
      <x:c r="R448" s="16" t="str">
        <x:f>IF(A448="","",IF(ISNUMBER(SEARCH("Occurrence verified",E448)),"Occurrence verified",E448))</x:f>
      </x:c>
      <x:c r="S448" s="79" t="str">
        <x:f>IF(A448="","",Events!X447)</x:f>
      </x:c>
      <x:c r="Z448" s="79" t="str">
        <x:f>IF(A448="","",Events!AD447)</x:f>
      </x:c>
      <x:c r="AA448" s="79" t="str">
        <x:f>IF(A448="","",Events!AE447)</x:f>
      </x:c>
    </x:row>
    <x:row r="449">
      <x:c r="A449" s="16" t="str">
        <x:f>IF(Events!A448="","",Events!A448)</x:f>
      </x:c>
      <x:c r="B449" s="16" t="str">
        <x:f>IF(A449="","",Events!B448)</x:f>
      </x:c>
      <x:c r="C449" s="16" t="str">
        <x:f>IF(A449="","",Events!E448)</x:f>
      </x:c>
      <x:c r="D449" s="16" t="str">
        <x:f>IF(A449="","",Events!J448)</x:f>
      </x:c>
      <x:c r="E449" s="16" t="str">
        <x:f>IF(A449="","",Events!N448)</x:f>
      </x:c>
      <x:c r="F449" s="109" t="str">
        <x:f>IF(OR(A449="",Events!H448=""),"",Events!H448)</x:f>
      </x:c>
      <x:c r="G449" s="109" t="str">
        <x:f>IF(A449="","",IF(Events!I448&lt;&gt;"",Events!I448,IF(Events!S448&lt;&gt;"",Events!S448,"")))</x:f>
      </x:c>
      <x:c r="H449" s="16" t="str">
        <x:f>IF(A449="","",Events!W448)</x:f>
      </x:c>
      <x:c r="I449" s="16" t="str">
        <x:f>IF(A449="","",IF(Events!Y448&lt;&gt;"",Events!Y448,IF(OR(ISNUMBER(SEARCH("education",P449)),ISNUMBER(SEARCH("exam",P449)),ISNUMBER(SEARCH("school",P449))),"Education",IF(OR(ISNUMBER(SEARCH("trade agreement",P449)),ISNUMBER(SEARCH("economic",P449)),ISNUMBER(SEARCH("import",P449))),"Trade &amp; economic policy",IF(OR(ISNUMBER(SEARCH("land acquisition",P449)),ISNUMBER(SEARCH("rehabilitation",P449)),ISNUMBER(SEARCH("displacement",P449)),ISNUMBER(SEARCH("township",P449))),"Land &amp; rehabilitation",IF(OR(ISNUMBER(SEARCH("forest",P449)),ISNUMBER(SEARCH("environment",P449)),ISNUMBER(SEARCH("ecological",P449)),ISNUMBER(SEARCH("biodiversity",P449)),ISNUMBER(SEARCH("green cover",P449))),"Environment",IF(OR(ISNUMBER(SEARCH("irrigation",P449)),ISNUMBER(SEARCH("water",P449)),ISNUMBER(SEARCH("crop",P449)),ISNUMBER(SEARCH("farmer",P449)),ISNUMBER(SEARCH("agriculture",P449))),"Agriculture &amp; water",IF(OR(ISNUMBER(SEARCH("health",P449)),ISNUMBER(SEARCH("hospital",P449)),ISNUMBER(SEARCH("medicine",P449))),"Public health",IF(OR(ISNUMBER(SEARCH("employee",P449)),ISNUMBER(SEARCH("labour",P449)),ISNUMBER(SEARCH("worker",P449)),ISNUMBER(SEARCH("salary",P449))),"Labour &amp; employment",IF(OR(ISNUMBER(SEARCH("rti",P449)),ISNUMBER(SEARCH("transparency",P449)),ISNUMBER(SEARCH("corruption",P449)),ISNUMBER(SEARCH("governance",P449))),"Governance &amp; transparency",IF(OR(ISNUMBER(SEARCH("police",P449)),ISNUMBER(SEARCH("detention",P449)),ISNUMBER(SEARCH("civil rights",P449)),ISNUMBER(SEARCH("justice",P449))),"Civil rights &amp; justice",IF(OR(ISNUMBER(SEARCH("road",P449)),ISNUMBER(SEARCH("utility",P449)),ISNUMBER(SEARCH("infrastructure",P449)),ISNUMBER(SEARCH("public service",P449))),"Infrastructure &amp; public services","Other"))))))))))))</x:f>
      </x:c>
      <x:c r="J449" s="16" t="str">
        <x:f>IF(A449="","",IF(OR(ISNUMBER(SEARCH("fatal",Q449)),ISNUMBER(SEARCH("death",Q449)),ISNUMBER(SEARCH("riot",Q449)),ISNUMBER(SEARCH("curfew",Q449)),ISNUMBER(SEARCH("internet shutdown",Q449))),5,MIN(4,1+IF(H449&gt;=7,1,0)+IF(OR(ISNUMBER(SEARCH("hunger strike",Q449)),ISNUMBER(SEARCH("blockade",Q449)),ISNUMBER(SEARCH("strike",Q449)),ISNUMBER(SEARCH("jal satyagraha",Q449)),ISNUMBER(SEARCH("survey",Q449)),ISNUMBER(SEARCH("human chain",Q449)),ISNUMBER(SEARCH("march",Q449))),1,0)+IF(OR(ISNUMBER(SEARCH("fir",Q449)),ISNUMBER(SEARCH("confrontation",Q449)),ISNUMBER(SEARCH("violence",Q449)),ISNUMBER(SEARCH("detention",Q449)),ISNUMBER(SEARCH("arrest",Q449)),ISNUMBER(SEARCH("demolition",Q449)),ISNUMBER(SEARCH("injury",Q449))),1,0)+IF(OR(D449="Ongoing",D449="Unresolved"),1,0))))</x:f>
      </x:c>
      <x:c r="K449" s="16" t="str">
        <x:f>IF(J449="","",IF(J449=1,"Limited",IF(J449=2,"Local",IF(J449=3,"Significant",IF(J449=4,"High","Critical")))))</x:f>
      </x:c>
      <x:c r="L449" s="16" t="str">
        <x:f>IF(A449="","",Events!U448)</x:f>
      </x:c>
      <x:c r="M449" s="16" t="str">
        <x:f>IF(A449="","",Events!V448)</x:f>
      </x:c>
      <x:c r="N449" s="16" t="str">
        <x:f>IF(A449="","",Events!Q448)</x:f>
      </x:c>
      <x:c r="O449" s="16" t="str">
        <x:f>IF(A449="","",Events!R448)</x:f>
      </x:c>
      <x:c r="P449" s="16" t="str">
        <x:f>IF(A449="","",LOWER(Events!B448&amp;" "&amp;Events!D448&amp;" "&amp;Events!K448))</x:f>
      </x:c>
      <x:c r="Q449" s="16" t="str">
        <x:f>IF(A449="","",LOWER(Events!C448&amp;" "&amp;Events!K448&amp;" "&amp;Events!T448))</x:f>
      </x:c>
      <x:c r="R449" s="16" t="str">
        <x:f>IF(A449="","",IF(ISNUMBER(SEARCH("Occurrence verified",E449)),"Occurrence verified",E449))</x:f>
      </x:c>
      <x:c r="S449" s="79" t="str">
        <x:f>IF(A449="","",Events!X448)</x:f>
      </x:c>
      <x:c r="Z449" s="79" t="str">
        <x:f>IF(A449="","",Events!AD448)</x:f>
      </x:c>
      <x:c r="AA449" s="79" t="str">
        <x:f>IF(A449="","",Events!AE448)</x:f>
      </x:c>
    </x:row>
    <x:row r="450">
      <x:c r="A450" s="16" t="str">
        <x:f>IF(Events!A449="","",Events!A449)</x:f>
      </x:c>
      <x:c r="B450" s="16" t="str">
        <x:f>IF(A450="","",Events!B449)</x:f>
      </x:c>
      <x:c r="C450" s="16" t="str">
        <x:f>IF(A450="","",Events!E449)</x:f>
      </x:c>
      <x:c r="D450" s="16" t="str">
        <x:f>IF(A450="","",Events!J449)</x:f>
      </x:c>
      <x:c r="E450" s="16" t="str">
        <x:f>IF(A450="","",Events!N449)</x:f>
      </x:c>
      <x:c r="F450" s="109" t="str">
        <x:f>IF(OR(A450="",Events!H449=""),"",Events!H449)</x:f>
      </x:c>
      <x:c r="G450" s="109" t="str">
        <x:f>IF(A450="","",IF(Events!I449&lt;&gt;"",Events!I449,IF(Events!S449&lt;&gt;"",Events!S449,"")))</x:f>
      </x:c>
      <x:c r="H450" s="16" t="str">
        <x:f>IF(A450="","",Events!W449)</x:f>
      </x:c>
      <x:c r="I450" s="16" t="str">
        <x:f>IF(A450="","",IF(Events!Y449&lt;&gt;"",Events!Y449,IF(OR(ISNUMBER(SEARCH("education",P450)),ISNUMBER(SEARCH("exam",P450)),ISNUMBER(SEARCH("school",P450))),"Education",IF(OR(ISNUMBER(SEARCH("trade agreement",P450)),ISNUMBER(SEARCH("economic",P450)),ISNUMBER(SEARCH("import",P450))),"Trade &amp; economic policy",IF(OR(ISNUMBER(SEARCH("land acquisition",P450)),ISNUMBER(SEARCH("rehabilitation",P450)),ISNUMBER(SEARCH("displacement",P450)),ISNUMBER(SEARCH("township",P450))),"Land &amp; rehabilitation",IF(OR(ISNUMBER(SEARCH("forest",P450)),ISNUMBER(SEARCH("environment",P450)),ISNUMBER(SEARCH("ecological",P450)),ISNUMBER(SEARCH("biodiversity",P450)),ISNUMBER(SEARCH("green cover",P450))),"Environment",IF(OR(ISNUMBER(SEARCH("irrigation",P450)),ISNUMBER(SEARCH("water",P450)),ISNUMBER(SEARCH("crop",P450)),ISNUMBER(SEARCH("farmer",P450)),ISNUMBER(SEARCH("agriculture",P450))),"Agriculture &amp; water",IF(OR(ISNUMBER(SEARCH("health",P450)),ISNUMBER(SEARCH("hospital",P450)),ISNUMBER(SEARCH("medicine",P450))),"Public health",IF(OR(ISNUMBER(SEARCH("employee",P450)),ISNUMBER(SEARCH("labour",P450)),ISNUMBER(SEARCH("worker",P450)),ISNUMBER(SEARCH("salary",P450))),"Labour &amp; employment",IF(OR(ISNUMBER(SEARCH("rti",P450)),ISNUMBER(SEARCH("transparency",P450)),ISNUMBER(SEARCH("corruption",P450)),ISNUMBER(SEARCH("governance",P450))),"Governance &amp; transparency",IF(OR(ISNUMBER(SEARCH("police",P450)),ISNUMBER(SEARCH("detention",P450)),ISNUMBER(SEARCH("civil rights",P450)),ISNUMBER(SEARCH("justice",P450))),"Civil rights &amp; justice",IF(OR(ISNUMBER(SEARCH("road",P450)),ISNUMBER(SEARCH("utility",P450)),ISNUMBER(SEARCH("infrastructure",P450)),ISNUMBER(SEARCH("public service",P450))),"Infrastructure &amp; public services","Other"))))))))))))</x:f>
      </x:c>
      <x:c r="J450" s="16" t="str">
        <x:f>IF(A450="","",IF(OR(ISNUMBER(SEARCH("fatal",Q450)),ISNUMBER(SEARCH("death",Q450)),ISNUMBER(SEARCH("riot",Q450)),ISNUMBER(SEARCH("curfew",Q450)),ISNUMBER(SEARCH("internet shutdown",Q450))),5,MIN(4,1+IF(H450&gt;=7,1,0)+IF(OR(ISNUMBER(SEARCH("hunger strike",Q450)),ISNUMBER(SEARCH("blockade",Q450)),ISNUMBER(SEARCH("strike",Q450)),ISNUMBER(SEARCH("jal satyagraha",Q450)),ISNUMBER(SEARCH("survey",Q450)),ISNUMBER(SEARCH("human chain",Q450)),ISNUMBER(SEARCH("march",Q450))),1,0)+IF(OR(ISNUMBER(SEARCH("fir",Q450)),ISNUMBER(SEARCH("confrontation",Q450)),ISNUMBER(SEARCH("violence",Q450)),ISNUMBER(SEARCH("detention",Q450)),ISNUMBER(SEARCH("arrest",Q450)),ISNUMBER(SEARCH("demolition",Q450)),ISNUMBER(SEARCH("injury",Q450))),1,0)+IF(OR(D450="Ongoing",D450="Unresolved"),1,0))))</x:f>
      </x:c>
      <x:c r="K450" s="16" t="str">
        <x:f>IF(J450="","",IF(J450=1,"Limited",IF(J450=2,"Local",IF(J450=3,"Significant",IF(J450=4,"High","Critical")))))</x:f>
      </x:c>
      <x:c r="L450" s="16" t="str">
        <x:f>IF(A450="","",Events!U449)</x:f>
      </x:c>
      <x:c r="M450" s="16" t="str">
        <x:f>IF(A450="","",Events!V449)</x:f>
      </x:c>
      <x:c r="N450" s="16" t="str">
        <x:f>IF(A450="","",Events!Q449)</x:f>
      </x:c>
      <x:c r="O450" s="16" t="str">
        <x:f>IF(A450="","",Events!R449)</x:f>
      </x:c>
      <x:c r="P450" s="16" t="str">
        <x:f>IF(A450="","",LOWER(Events!B449&amp;" "&amp;Events!D449&amp;" "&amp;Events!K449))</x:f>
      </x:c>
      <x:c r="Q450" s="16" t="str">
        <x:f>IF(A450="","",LOWER(Events!C449&amp;" "&amp;Events!K449&amp;" "&amp;Events!T449))</x:f>
      </x:c>
      <x:c r="R450" s="16" t="str">
        <x:f>IF(A450="","",IF(ISNUMBER(SEARCH("Occurrence verified",E450)),"Occurrence verified",E450))</x:f>
      </x:c>
      <x:c r="S450" s="79" t="str">
        <x:f>IF(A450="","",Events!X449)</x:f>
      </x:c>
      <x:c r="Z450" s="79" t="str">
        <x:f>IF(A450="","",Events!AD449)</x:f>
      </x:c>
      <x:c r="AA450" s="79" t="str">
        <x:f>IF(A450="","",Events!AE449)</x:f>
      </x:c>
    </x:row>
    <x:row r="451">
      <x:c r="A451" s="16" t="str">
        <x:f>IF(Events!A450="","",Events!A450)</x:f>
      </x:c>
      <x:c r="B451" s="16" t="str">
        <x:f>IF(A451="","",Events!B450)</x:f>
      </x:c>
      <x:c r="C451" s="16" t="str">
        <x:f>IF(A451="","",Events!E450)</x:f>
      </x:c>
      <x:c r="D451" s="16" t="str">
        <x:f>IF(A451="","",Events!J450)</x:f>
      </x:c>
      <x:c r="E451" s="16" t="str">
        <x:f>IF(A451="","",Events!N450)</x:f>
      </x:c>
      <x:c r="F451" s="109" t="str">
        <x:f>IF(OR(A451="",Events!H450=""),"",Events!H450)</x:f>
      </x:c>
      <x:c r="G451" s="109" t="str">
        <x:f>IF(A451="","",IF(Events!I450&lt;&gt;"",Events!I450,IF(Events!S450&lt;&gt;"",Events!S450,"")))</x:f>
      </x:c>
      <x:c r="H451" s="16" t="str">
        <x:f>IF(A451="","",Events!W450)</x:f>
      </x:c>
      <x:c r="I451" s="16" t="str">
        <x:f>IF(A451="","",IF(Events!Y450&lt;&gt;"",Events!Y450,IF(OR(ISNUMBER(SEARCH("education",P451)),ISNUMBER(SEARCH("exam",P451)),ISNUMBER(SEARCH("school",P451))),"Education",IF(OR(ISNUMBER(SEARCH("trade agreement",P451)),ISNUMBER(SEARCH("economic",P451)),ISNUMBER(SEARCH("import",P451))),"Trade &amp; economic policy",IF(OR(ISNUMBER(SEARCH("land acquisition",P451)),ISNUMBER(SEARCH("rehabilitation",P451)),ISNUMBER(SEARCH("displacement",P451)),ISNUMBER(SEARCH("township",P451))),"Land &amp; rehabilitation",IF(OR(ISNUMBER(SEARCH("forest",P451)),ISNUMBER(SEARCH("environment",P451)),ISNUMBER(SEARCH("ecological",P451)),ISNUMBER(SEARCH("biodiversity",P451)),ISNUMBER(SEARCH("green cover",P451))),"Environment",IF(OR(ISNUMBER(SEARCH("irrigation",P451)),ISNUMBER(SEARCH("water",P451)),ISNUMBER(SEARCH("crop",P451)),ISNUMBER(SEARCH("farmer",P451)),ISNUMBER(SEARCH("agriculture",P451))),"Agriculture &amp; water",IF(OR(ISNUMBER(SEARCH("health",P451)),ISNUMBER(SEARCH("hospital",P451)),ISNUMBER(SEARCH("medicine",P451))),"Public health",IF(OR(ISNUMBER(SEARCH("employee",P451)),ISNUMBER(SEARCH("labour",P451)),ISNUMBER(SEARCH("worker",P451)),ISNUMBER(SEARCH("salary",P451))),"Labour &amp; employment",IF(OR(ISNUMBER(SEARCH("rti",P451)),ISNUMBER(SEARCH("transparency",P451)),ISNUMBER(SEARCH("corruption",P451)),ISNUMBER(SEARCH("governance",P451))),"Governance &amp; transparency",IF(OR(ISNUMBER(SEARCH("police",P451)),ISNUMBER(SEARCH("detention",P451)),ISNUMBER(SEARCH("civil rights",P451)),ISNUMBER(SEARCH("justice",P451))),"Civil rights &amp; justice",IF(OR(ISNUMBER(SEARCH("road",P451)),ISNUMBER(SEARCH("utility",P451)),ISNUMBER(SEARCH("infrastructure",P451)),ISNUMBER(SEARCH("public service",P451))),"Infrastructure &amp; public services","Other"))))))))))))</x:f>
      </x:c>
      <x:c r="J451" s="16" t="str">
        <x:f>IF(A451="","",IF(OR(ISNUMBER(SEARCH("fatal",Q451)),ISNUMBER(SEARCH("death",Q451)),ISNUMBER(SEARCH("riot",Q451)),ISNUMBER(SEARCH("curfew",Q451)),ISNUMBER(SEARCH("internet shutdown",Q451))),5,MIN(4,1+IF(H451&gt;=7,1,0)+IF(OR(ISNUMBER(SEARCH("hunger strike",Q451)),ISNUMBER(SEARCH("blockade",Q451)),ISNUMBER(SEARCH("strike",Q451)),ISNUMBER(SEARCH("jal satyagraha",Q451)),ISNUMBER(SEARCH("survey",Q451)),ISNUMBER(SEARCH("human chain",Q451)),ISNUMBER(SEARCH("march",Q451))),1,0)+IF(OR(ISNUMBER(SEARCH("fir",Q451)),ISNUMBER(SEARCH("confrontation",Q451)),ISNUMBER(SEARCH("violence",Q451)),ISNUMBER(SEARCH("detention",Q451)),ISNUMBER(SEARCH("arrest",Q451)),ISNUMBER(SEARCH("demolition",Q451)),ISNUMBER(SEARCH("injury",Q451))),1,0)+IF(OR(D451="Ongoing",D451="Unresolved"),1,0))))</x:f>
      </x:c>
      <x:c r="K451" s="16" t="str">
        <x:f>IF(J451="","",IF(J451=1,"Limited",IF(J451=2,"Local",IF(J451=3,"Significant",IF(J451=4,"High","Critical")))))</x:f>
      </x:c>
      <x:c r="L451" s="16" t="str">
        <x:f>IF(A451="","",Events!U450)</x:f>
      </x:c>
      <x:c r="M451" s="16" t="str">
        <x:f>IF(A451="","",Events!V450)</x:f>
      </x:c>
      <x:c r="N451" s="16" t="str">
        <x:f>IF(A451="","",Events!Q450)</x:f>
      </x:c>
      <x:c r="O451" s="16" t="str">
        <x:f>IF(A451="","",Events!R450)</x:f>
      </x:c>
      <x:c r="P451" s="16" t="str">
        <x:f>IF(A451="","",LOWER(Events!B450&amp;" "&amp;Events!D450&amp;" "&amp;Events!K450))</x:f>
      </x:c>
      <x:c r="Q451" s="16" t="str">
        <x:f>IF(A451="","",LOWER(Events!C450&amp;" "&amp;Events!K450&amp;" "&amp;Events!T450))</x:f>
      </x:c>
      <x:c r="R451" s="16" t="str">
        <x:f>IF(A451="","",IF(ISNUMBER(SEARCH("Occurrence verified",E451)),"Occurrence verified",E451))</x:f>
      </x:c>
      <x:c r="S451" s="79" t="str">
        <x:f>IF(A451="","",Events!X450)</x:f>
      </x:c>
      <x:c r="Z451" s="79" t="str">
        <x:f>IF(A451="","",Events!AD450)</x:f>
      </x:c>
      <x:c r="AA451" s="79" t="str">
        <x:f>IF(A451="","",Events!AE450)</x:f>
      </x:c>
    </x:row>
    <x:row r="452">
      <x:c r="A452" s="16" t="str">
        <x:f>IF(Events!A451="","",Events!A451)</x:f>
      </x:c>
      <x:c r="B452" s="16" t="str">
        <x:f>IF(A452="","",Events!B451)</x:f>
      </x:c>
      <x:c r="C452" s="16" t="str">
        <x:f>IF(A452="","",Events!E451)</x:f>
      </x:c>
      <x:c r="D452" s="16" t="str">
        <x:f>IF(A452="","",Events!J451)</x:f>
      </x:c>
      <x:c r="E452" s="16" t="str">
        <x:f>IF(A452="","",Events!N451)</x:f>
      </x:c>
      <x:c r="F452" s="109" t="str">
        <x:f>IF(OR(A452="",Events!H451=""),"",Events!H451)</x:f>
      </x:c>
      <x:c r="G452" s="109" t="str">
        <x:f>IF(A452="","",IF(Events!I451&lt;&gt;"",Events!I451,IF(Events!S451&lt;&gt;"",Events!S451,"")))</x:f>
      </x:c>
      <x:c r="H452" s="16" t="str">
        <x:f>IF(A452="","",Events!W451)</x:f>
      </x:c>
      <x:c r="I452" s="16" t="str">
        <x:f>IF(A452="","",IF(Events!Y451&lt;&gt;"",Events!Y451,IF(OR(ISNUMBER(SEARCH("education",P452)),ISNUMBER(SEARCH("exam",P452)),ISNUMBER(SEARCH("school",P452))),"Education",IF(OR(ISNUMBER(SEARCH("trade agreement",P452)),ISNUMBER(SEARCH("economic",P452)),ISNUMBER(SEARCH("import",P452))),"Trade &amp; economic policy",IF(OR(ISNUMBER(SEARCH("land acquisition",P452)),ISNUMBER(SEARCH("rehabilitation",P452)),ISNUMBER(SEARCH("displacement",P452)),ISNUMBER(SEARCH("township",P452))),"Land &amp; rehabilitation",IF(OR(ISNUMBER(SEARCH("forest",P452)),ISNUMBER(SEARCH("environment",P452)),ISNUMBER(SEARCH("ecological",P452)),ISNUMBER(SEARCH("biodiversity",P452)),ISNUMBER(SEARCH("green cover",P452))),"Environment",IF(OR(ISNUMBER(SEARCH("irrigation",P452)),ISNUMBER(SEARCH("water",P452)),ISNUMBER(SEARCH("crop",P452)),ISNUMBER(SEARCH("farmer",P452)),ISNUMBER(SEARCH("agriculture",P452))),"Agriculture &amp; water",IF(OR(ISNUMBER(SEARCH("health",P452)),ISNUMBER(SEARCH("hospital",P452)),ISNUMBER(SEARCH("medicine",P452))),"Public health",IF(OR(ISNUMBER(SEARCH("employee",P452)),ISNUMBER(SEARCH("labour",P452)),ISNUMBER(SEARCH("worker",P452)),ISNUMBER(SEARCH("salary",P452))),"Labour &amp; employment",IF(OR(ISNUMBER(SEARCH("rti",P452)),ISNUMBER(SEARCH("transparency",P452)),ISNUMBER(SEARCH("corruption",P452)),ISNUMBER(SEARCH("governance",P452))),"Governance &amp; transparency",IF(OR(ISNUMBER(SEARCH("police",P452)),ISNUMBER(SEARCH("detention",P452)),ISNUMBER(SEARCH("civil rights",P452)),ISNUMBER(SEARCH("justice",P452))),"Civil rights &amp; justice",IF(OR(ISNUMBER(SEARCH("road",P452)),ISNUMBER(SEARCH("utility",P452)),ISNUMBER(SEARCH("infrastructure",P452)),ISNUMBER(SEARCH("public service",P452))),"Infrastructure &amp; public services","Other"))))))))))))</x:f>
      </x:c>
      <x:c r="J452" s="16" t="str">
        <x:f>IF(A452="","",IF(OR(ISNUMBER(SEARCH("fatal",Q452)),ISNUMBER(SEARCH("death",Q452)),ISNUMBER(SEARCH("riot",Q452)),ISNUMBER(SEARCH("curfew",Q452)),ISNUMBER(SEARCH("internet shutdown",Q452))),5,MIN(4,1+IF(H452&gt;=7,1,0)+IF(OR(ISNUMBER(SEARCH("hunger strike",Q452)),ISNUMBER(SEARCH("blockade",Q452)),ISNUMBER(SEARCH("strike",Q452)),ISNUMBER(SEARCH("jal satyagraha",Q452)),ISNUMBER(SEARCH("survey",Q452)),ISNUMBER(SEARCH("human chain",Q452)),ISNUMBER(SEARCH("march",Q452))),1,0)+IF(OR(ISNUMBER(SEARCH("fir",Q452)),ISNUMBER(SEARCH("confrontation",Q452)),ISNUMBER(SEARCH("violence",Q452)),ISNUMBER(SEARCH("detention",Q452)),ISNUMBER(SEARCH("arrest",Q452)),ISNUMBER(SEARCH("demolition",Q452)),ISNUMBER(SEARCH("injury",Q452))),1,0)+IF(OR(D452="Ongoing",D452="Unresolved"),1,0))))</x:f>
      </x:c>
      <x:c r="K452" s="16" t="str">
        <x:f>IF(J452="","",IF(J452=1,"Limited",IF(J452=2,"Local",IF(J452=3,"Significant",IF(J452=4,"High","Critical")))))</x:f>
      </x:c>
      <x:c r="L452" s="16" t="str">
        <x:f>IF(A452="","",Events!U451)</x:f>
      </x:c>
      <x:c r="M452" s="16" t="str">
        <x:f>IF(A452="","",Events!V451)</x:f>
      </x:c>
      <x:c r="N452" s="16" t="str">
        <x:f>IF(A452="","",Events!Q451)</x:f>
      </x:c>
      <x:c r="O452" s="16" t="str">
        <x:f>IF(A452="","",Events!R451)</x:f>
      </x:c>
      <x:c r="P452" s="16" t="str">
        <x:f>IF(A452="","",LOWER(Events!B451&amp;" "&amp;Events!D451&amp;" "&amp;Events!K451))</x:f>
      </x:c>
      <x:c r="Q452" s="16" t="str">
        <x:f>IF(A452="","",LOWER(Events!C451&amp;" "&amp;Events!K451&amp;" "&amp;Events!T451))</x:f>
      </x:c>
      <x:c r="R452" s="16" t="str">
        <x:f>IF(A452="","",IF(ISNUMBER(SEARCH("Occurrence verified",E452)),"Occurrence verified",E452))</x:f>
      </x:c>
      <x:c r="S452" s="79" t="str">
        <x:f>IF(A452="","",Events!X451)</x:f>
      </x:c>
      <x:c r="Z452" s="79" t="str">
        <x:f>IF(A452="","",Events!AD451)</x:f>
      </x:c>
      <x:c r="AA452" s="79" t="str">
        <x:f>IF(A452="","",Events!AE451)</x:f>
      </x:c>
    </x:row>
    <x:row r="453">
      <x:c r="A453" s="16" t="str">
        <x:f>IF(Events!A452="","",Events!A452)</x:f>
      </x:c>
      <x:c r="B453" s="16" t="str">
        <x:f>IF(A453="","",Events!B452)</x:f>
      </x:c>
      <x:c r="C453" s="16" t="str">
        <x:f>IF(A453="","",Events!E452)</x:f>
      </x:c>
      <x:c r="D453" s="16" t="str">
        <x:f>IF(A453="","",Events!J452)</x:f>
      </x:c>
      <x:c r="E453" s="16" t="str">
        <x:f>IF(A453="","",Events!N452)</x:f>
      </x:c>
      <x:c r="F453" s="109" t="str">
        <x:f>IF(OR(A453="",Events!H452=""),"",Events!H452)</x:f>
      </x:c>
      <x:c r="G453" s="109" t="str">
        <x:f>IF(A453="","",IF(Events!I452&lt;&gt;"",Events!I452,IF(Events!S452&lt;&gt;"",Events!S452,"")))</x:f>
      </x:c>
      <x:c r="H453" s="16" t="str">
        <x:f>IF(A453="","",Events!W452)</x:f>
      </x:c>
      <x:c r="I453" s="16" t="str">
        <x:f>IF(A453="","",IF(Events!Y452&lt;&gt;"",Events!Y452,IF(OR(ISNUMBER(SEARCH("education",P453)),ISNUMBER(SEARCH("exam",P453)),ISNUMBER(SEARCH("school",P453))),"Education",IF(OR(ISNUMBER(SEARCH("trade agreement",P453)),ISNUMBER(SEARCH("economic",P453)),ISNUMBER(SEARCH("import",P453))),"Trade &amp; economic policy",IF(OR(ISNUMBER(SEARCH("land acquisition",P453)),ISNUMBER(SEARCH("rehabilitation",P453)),ISNUMBER(SEARCH("displacement",P453)),ISNUMBER(SEARCH("township",P453))),"Land &amp; rehabilitation",IF(OR(ISNUMBER(SEARCH("forest",P453)),ISNUMBER(SEARCH("environment",P453)),ISNUMBER(SEARCH("ecological",P453)),ISNUMBER(SEARCH("biodiversity",P453)),ISNUMBER(SEARCH("green cover",P453))),"Environment",IF(OR(ISNUMBER(SEARCH("irrigation",P453)),ISNUMBER(SEARCH("water",P453)),ISNUMBER(SEARCH("crop",P453)),ISNUMBER(SEARCH("farmer",P453)),ISNUMBER(SEARCH("agriculture",P453))),"Agriculture &amp; water",IF(OR(ISNUMBER(SEARCH("health",P453)),ISNUMBER(SEARCH("hospital",P453)),ISNUMBER(SEARCH("medicine",P453))),"Public health",IF(OR(ISNUMBER(SEARCH("employee",P453)),ISNUMBER(SEARCH("labour",P453)),ISNUMBER(SEARCH("worker",P453)),ISNUMBER(SEARCH("salary",P453))),"Labour &amp; employment",IF(OR(ISNUMBER(SEARCH("rti",P453)),ISNUMBER(SEARCH("transparency",P453)),ISNUMBER(SEARCH("corruption",P453)),ISNUMBER(SEARCH("governance",P453))),"Governance &amp; transparency",IF(OR(ISNUMBER(SEARCH("police",P453)),ISNUMBER(SEARCH("detention",P453)),ISNUMBER(SEARCH("civil rights",P453)),ISNUMBER(SEARCH("justice",P453))),"Civil rights &amp; justice",IF(OR(ISNUMBER(SEARCH("road",P453)),ISNUMBER(SEARCH("utility",P453)),ISNUMBER(SEARCH("infrastructure",P453)),ISNUMBER(SEARCH("public service",P453))),"Infrastructure &amp; public services","Other"))))))))))))</x:f>
      </x:c>
      <x:c r="J453" s="16" t="str">
        <x:f>IF(A453="","",IF(OR(ISNUMBER(SEARCH("fatal",Q453)),ISNUMBER(SEARCH("death",Q453)),ISNUMBER(SEARCH("riot",Q453)),ISNUMBER(SEARCH("curfew",Q453)),ISNUMBER(SEARCH("internet shutdown",Q453))),5,MIN(4,1+IF(H453&gt;=7,1,0)+IF(OR(ISNUMBER(SEARCH("hunger strike",Q453)),ISNUMBER(SEARCH("blockade",Q453)),ISNUMBER(SEARCH("strike",Q453)),ISNUMBER(SEARCH("jal satyagraha",Q453)),ISNUMBER(SEARCH("survey",Q453)),ISNUMBER(SEARCH("human chain",Q453)),ISNUMBER(SEARCH("march",Q453))),1,0)+IF(OR(ISNUMBER(SEARCH("fir",Q453)),ISNUMBER(SEARCH("confrontation",Q453)),ISNUMBER(SEARCH("violence",Q453)),ISNUMBER(SEARCH("detention",Q453)),ISNUMBER(SEARCH("arrest",Q453)),ISNUMBER(SEARCH("demolition",Q453)),ISNUMBER(SEARCH("injury",Q453))),1,0)+IF(OR(D453="Ongoing",D453="Unresolved"),1,0))))</x:f>
      </x:c>
      <x:c r="K453" s="16" t="str">
        <x:f>IF(J453="","",IF(J453=1,"Limited",IF(J453=2,"Local",IF(J453=3,"Significant",IF(J453=4,"High","Critical")))))</x:f>
      </x:c>
      <x:c r="L453" s="16" t="str">
        <x:f>IF(A453="","",Events!U452)</x:f>
      </x:c>
      <x:c r="M453" s="16" t="str">
        <x:f>IF(A453="","",Events!V452)</x:f>
      </x:c>
      <x:c r="N453" s="16" t="str">
        <x:f>IF(A453="","",Events!Q452)</x:f>
      </x:c>
      <x:c r="O453" s="16" t="str">
        <x:f>IF(A453="","",Events!R452)</x:f>
      </x:c>
      <x:c r="P453" s="16" t="str">
        <x:f>IF(A453="","",LOWER(Events!B452&amp;" "&amp;Events!D452&amp;" "&amp;Events!K452))</x:f>
      </x:c>
      <x:c r="Q453" s="16" t="str">
        <x:f>IF(A453="","",LOWER(Events!C452&amp;" "&amp;Events!K452&amp;" "&amp;Events!T452))</x:f>
      </x:c>
      <x:c r="R453" s="16" t="str">
        <x:f>IF(A453="","",IF(ISNUMBER(SEARCH("Occurrence verified",E453)),"Occurrence verified",E453))</x:f>
      </x:c>
      <x:c r="S453" s="79" t="str">
        <x:f>IF(A453="","",Events!X452)</x:f>
      </x:c>
      <x:c r="Z453" s="79" t="str">
        <x:f>IF(A453="","",Events!AD452)</x:f>
      </x:c>
      <x:c r="AA453" s="79" t="str">
        <x:f>IF(A453="","",Events!AE452)</x:f>
      </x:c>
    </x:row>
    <x:row r="454">
      <x:c r="A454" s="16" t="str">
        <x:f>IF(Events!A453="","",Events!A453)</x:f>
      </x:c>
      <x:c r="B454" s="16" t="str">
        <x:f>IF(A454="","",Events!B453)</x:f>
      </x:c>
      <x:c r="C454" s="16" t="str">
        <x:f>IF(A454="","",Events!E453)</x:f>
      </x:c>
      <x:c r="D454" s="16" t="str">
        <x:f>IF(A454="","",Events!J453)</x:f>
      </x:c>
      <x:c r="E454" s="16" t="str">
        <x:f>IF(A454="","",Events!N453)</x:f>
      </x:c>
      <x:c r="F454" s="109" t="str">
        <x:f>IF(OR(A454="",Events!H453=""),"",Events!H453)</x:f>
      </x:c>
      <x:c r="G454" s="109" t="str">
        <x:f>IF(A454="","",IF(Events!I453&lt;&gt;"",Events!I453,IF(Events!S453&lt;&gt;"",Events!S453,"")))</x:f>
      </x:c>
      <x:c r="H454" s="16" t="str">
        <x:f>IF(A454="","",Events!W453)</x:f>
      </x:c>
      <x:c r="I454" s="16" t="str">
        <x:f>IF(A454="","",IF(Events!Y453&lt;&gt;"",Events!Y453,IF(OR(ISNUMBER(SEARCH("education",P454)),ISNUMBER(SEARCH("exam",P454)),ISNUMBER(SEARCH("school",P454))),"Education",IF(OR(ISNUMBER(SEARCH("trade agreement",P454)),ISNUMBER(SEARCH("economic",P454)),ISNUMBER(SEARCH("import",P454))),"Trade &amp; economic policy",IF(OR(ISNUMBER(SEARCH("land acquisition",P454)),ISNUMBER(SEARCH("rehabilitation",P454)),ISNUMBER(SEARCH("displacement",P454)),ISNUMBER(SEARCH("township",P454))),"Land &amp; rehabilitation",IF(OR(ISNUMBER(SEARCH("forest",P454)),ISNUMBER(SEARCH("environment",P454)),ISNUMBER(SEARCH("ecological",P454)),ISNUMBER(SEARCH("biodiversity",P454)),ISNUMBER(SEARCH("green cover",P454))),"Environment",IF(OR(ISNUMBER(SEARCH("irrigation",P454)),ISNUMBER(SEARCH("water",P454)),ISNUMBER(SEARCH("crop",P454)),ISNUMBER(SEARCH("farmer",P454)),ISNUMBER(SEARCH("agriculture",P454))),"Agriculture &amp; water",IF(OR(ISNUMBER(SEARCH("health",P454)),ISNUMBER(SEARCH("hospital",P454)),ISNUMBER(SEARCH("medicine",P454))),"Public health",IF(OR(ISNUMBER(SEARCH("employee",P454)),ISNUMBER(SEARCH("labour",P454)),ISNUMBER(SEARCH("worker",P454)),ISNUMBER(SEARCH("salary",P454))),"Labour &amp; employment",IF(OR(ISNUMBER(SEARCH("rti",P454)),ISNUMBER(SEARCH("transparency",P454)),ISNUMBER(SEARCH("corruption",P454)),ISNUMBER(SEARCH("governance",P454))),"Governance &amp; transparency",IF(OR(ISNUMBER(SEARCH("police",P454)),ISNUMBER(SEARCH("detention",P454)),ISNUMBER(SEARCH("civil rights",P454)),ISNUMBER(SEARCH("justice",P454))),"Civil rights &amp; justice",IF(OR(ISNUMBER(SEARCH("road",P454)),ISNUMBER(SEARCH("utility",P454)),ISNUMBER(SEARCH("infrastructure",P454)),ISNUMBER(SEARCH("public service",P454))),"Infrastructure &amp; public services","Other"))))))))))))</x:f>
      </x:c>
      <x:c r="J454" s="16" t="str">
        <x:f>IF(A454="","",IF(OR(ISNUMBER(SEARCH("fatal",Q454)),ISNUMBER(SEARCH("death",Q454)),ISNUMBER(SEARCH("riot",Q454)),ISNUMBER(SEARCH("curfew",Q454)),ISNUMBER(SEARCH("internet shutdown",Q454))),5,MIN(4,1+IF(H454&gt;=7,1,0)+IF(OR(ISNUMBER(SEARCH("hunger strike",Q454)),ISNUMBER(SEARCH("blockade",Q454)),ISNUMBER(SEARCH("strike",Q454)),ISNUMBER(SEARCH("jal satyagraha",Q454)),ISNUMBER(SEARCH("survey",Q454)),ISNUMBER(SEARCH("human chain",Q454)),ISNUMBER(SEARCH("march",Q454))),1,0)+IF(OR(ISNUMBER(SEARCH("fir",Q454)),ISNUMBER(SEARCH("confrontation",Q454)),ISNUMBER(SEARCH("violence",Q454)),ISNUMBER(SEARCH("detention",Q454)),ISNUMBER(SEARCH("arrest",Q454)),ISNUMBER(SEARCH("demolition",Q454)),ISNUMBER(SEARCH("injury",Q454))),1,0)+IF(OR(D454="Ongoing",D454="Unresolved"),1,0))))</x:f>
      </x:c>
      <x:c r="K454" s="16" t="str">
        <x:f>IF(J454="","",IF(J454=1,"Limited",IF(J454=2,"Local",IF(J454=3,"Significant",IF(J454=4,"High","Critical")))))</x:f>
      </x:c>
      <x:c r="L454" s="16" t="str">
        <x:f>IF(A454="","",Events!U453)</x:f>
      </x:c>
      <x:c r="M454" s="16" t="str">
        <x:f>IF(A454="","",Events!V453)</x:f>
      </x:c>
      <x:c r="N454" s="16" t="str">
        <x:f>IF(A454="","",Events!Q453)</x:f>
      </x:c>
      <x:c r="O454" s="16" t="str">
        <x:f>IF(A454="","",Events!R453)</x:f>
      </x:c>
      <x:c r="P454" s="16" t="str">
        <x:f>IF(A454="","",LOWER(Events!B453&amp;" "&amp;Events!D453&amp;" "&amp;Events!K453))</x:f>
      </x:c>
      <x:c r="Q454" s="16" t="str">
        <x:f>IF(A454="","",LOWER(Events!C453&amp;" "&amp;Events!K453&amp;" "&amp;Events!T453))</x:f>
      </x:c>
      <x:c r="R454" s="16" t="str">
        <x:f>IF(A454="","",IF(ISNUMBER(SEARCH("Occurrence verified",E454)),"Occurrence verified",E454))</x:f>
      </x:c>
      <x:c r="S454" s="79" t="str">
        <x:f>IF(A454="","",Events!X453)</x:f>
      </x:c>
      <x:c r="Z454" s="79" t="str">
        <x:f>IF(A454="","",Events!AD453)</x:f>
      </x:c>
      <x:c r="AA454" s="79" t="str">
        <x:f>IF(A454="","",Events!AE453)</x:f>
      </x:c>
    </x:row>
    <x:row r="455">
      <x:c r="A455" s="16" t="str">
        <x:f>IF(Events!A454="","",Events!A454)</x:f>
      </x:c>
      <x:c r="B455" s="16" t="str">
        <x:f>IF(A455="","",Events!B454)</x:f>
      </x:c>
      <x:c r="C455" s="16" t="str">
        <x:f>IF(A455="","",Events!E454)</x:f>
      </x:c>
      <x:c r="D455" s="16" t="str">
        <x:f>IF(A455="","",Events!J454)</x:f>
      </x:c>
      <x:c r="E455" s="16" t="str">
        <x:f>IF(A455="","",Events!N454)</x:f>
      </x:c>
      <x:c r="F455" s="109" t="str">
        <x:f>IF(OR(A455="",Events!H454=""),"",Events!H454)</x:f>
      </x:c>
      <x:c r="G455" s="109" t="str">
        <x:f>IF(A455="","",IF(Events!I454&lt;&gt;"",Events!I454,IF(Events!S454&lt;&gt;"",Events!S454,"")))</x:f>
      </x:c>
      <x:c r="H455" s="16" t="str">
        <x:f>IF(A455="","",Events!W454)</x:f>
      </x:c>
      <x:c r="I455" s="16" t="str">
        <x:f>IF(A455="","",IF(Events!Y454&lt;&gt;"",Events!Y454,IF(OR(ISNUMBER(SEARCH("education",P455)),ISNUMBER(SEARCH("exam",P455)),ISNUMBER(SEARCH("school",P455))),"Education",IF(OR(ISNUMBER(SEARCH("trade agreement",P455)),ISNUMBER(SEARCH("economic",P455)),ISNUMBER(SEARCH("import",P455))),"Trade &amp; economic policy",IF(OR(ISNUMBER(SEARCH("land acquisition",P455)),ISNUMBER(SEARCH("rehabilitation",P455)),ISNUMBER(SEARCH("displacement",P455)),ISNUMBER(SEARCH("township",P455))),"Land &amp; rehabilitation",IF(OR(ISNUMBER(SEARCH("forest",P455)),ISNUMBER(SEARCH("environment",P455)),ISNUMBER(SEARCH("ecological",P455)),ISNUMBER(SEARCH("biodiversity",P455)),ISNUMBER(SEARCH("green cover",P455))),"Environment",IF(OR(ISNUMBER(SEARCH("irrigation",P455)),ISNUMBER(SEARCH("water",P455)),ISNUMBER(SEARCH("crop",P455)),ISNUMBER(SEARCH("farmer",P455)),ISNUMBER(SEARCH("agriculture",P455))),"Agriculture &amp; water",IF(OR(ISNUMBER(SEARCH("health",P455)),ISNUMBER(SEARCH("hospital",P455)),ISNUMBER(SEARCH("medicine",P455))),"Public health",IF(OR(ISNUMBER(SEARCH("employee",P455)),ISNUMBER(SEARCH("labour",P455)),ISNUMBER(SEARCH("worker",P455)),ISNUMBER(SEARCH("salary",P455))),"Labour &amp; employment",IF(OR(ISNUMBER(SEARCH("rti",P455)),ISNUMBER(SEARCH("transparency",P455)),ISNUMBER(SEARCH("corruption",P455)),ISNUMBER(SEARCH("governance",P455))),"Governance &amp; transparency",IF(OR(ISNUMBER(SEARCH("police",P455)),ISNUMBER(SEARCH("detention",P455)),ISNUMBER(SEARCH("civil rights",P455)),ISNUMBER(SEARCH("justice",P455))),"Civil rights &amp; justice",IF(OR(ISNUMBER(SEARCH("road",P455)),ISNUMBER(SEARCH("utility",P455)),ISNUMBER(SEARCH("infrastructure",P455)),ISNUMBER(SEARCH("public service",P455))),"Infrastructure &amp; public services","Other"))))))))))))</x:f>
      </x:c>
      <x:c r="J455" s="16" t="str">
        <x:f>IF(A455="","",IF(OR(ISNUMBER(SEARCH("fatal",Q455)),ISNUMBER(SEARCH("death",Q455)),ISNUMBER(SEARCH("riot",Q455)),ISNUMBER(SEARCH("curfew",Q455)),ISNUMBER(SEARCH("internet shutdown",Q455))),5,MIN(4,1+IF(H455&gt;=7,1,0)+IF(OR(ISNUMBER(SEARCH("hunger strike",Q455)),ISNUMBER(SEARCH("blockade",Q455)),ISNUMBER(SEARCH("strike",Q455)),ISNUMBER(SEARCH("jal satyagraha",Q455)),ISNUMBER(SEARCH("survey",Q455)),ISNUMBER(SEARCH("human chain",Q455)),ISNUMBER(SEARCH("march",Q455))),1,0)+IF(OR(ISNUMBER(SEARCH("fir",Q455)),ISNUMBER(SEARCH("confrontation",Q455)),ISNUMBER(SEARCH("violence",Q455)),ISNUMBER(SEARCH("detention",Q455)),ISNUMBER(SEARCH("arrest",Q455)),ISNUMBER(SEARCH("demolition",Q455)),ISNUMBER(SEARCH("injury",Q455))),1,0)+IF(OR(D455="Ongoing",D455="Unresolved"),1,0))))</x:f>
      </x:c>
      <x:c r="K455" s="16" t="str">
        <x:f>IF(J455="","",IF(J455=1,"Limited",IF(J455=2,"Local",IF(J455=3,"Significant",IF(J455=4,"High","Critical")))))</x:f>
      </x:c>
      <x:c r="L455" s="16" t="str">
        <x:f>IF(A455="","",Events!U454)</x:f>
      </x:c>
      <x:c r="M455" s="16" t="str">
        <x:f>IF(A455="","",Events!V454)</x:f>
      </x:c>
      <x:c r="N455" s="16" t="str">
        <x:f>IF(A455="","",Events!Q454)</x:f>
      </x:c>
      <x:c r="O455" s="16" t="str">
        <x:f>IF(A455="","",Events!R454)</x:f>
      </x:c>
      <x:c r="P455" s="16" t="str">
        <x:f>IF(A455="","",LOWER(Events!B454&amp;" "&amp;Events!D454&amp;" "&amp;Events!K454))</x:f>
      </x:c>
      <x:c r="Q455" s="16" t="str">
        <x:f>IF(A455="","",LOWER(Events!C454&amp;" "&amp;Events!K454&amp;" "&amp;Events!T454))</x:f>
      </x:c>
      <x:c r="R455" s="16" t="str">
        <x:f>IF(A455="","",IF(ISNUMBER(SEARCH("Occurrence verified",E455)),"Occurrence verified",E455))</x:f>
      </x:c>
      <x:c r="S455" s="79" t="str">
        <x:f>IF(A455="","",Events!X454)</x:f>
      </x:c>
      <x:c r="Z455" s="79" t="str">
        <x:f>IF(A455="","",Events!AD454)</x:f>
      </x:c>
      <x:c r="AA455" s="79" t="str">
        <x:f>IF(A455="","",Events!AE454)</x:f>
      </x:c>
    </x:row>
    <x:row r="456">
      <x:c r="A456" s="16" t="str">
        <x:f>IF(Events!A455="","",Events!A455)</x:f>
      </x:c>
      <x:c r="B456" s="16" t="str">
        <x:f>IF(A456="","",Events!B455)</x:f>
      </x:c>
      <x:c r="C456" s="16" t="str">
        <x:f>IF(A456="","",Events!E455)</x:f>
      </x:c>
      <x:c r="D456" s="16" t="str">
        <x:f>IF(A456="","",Events!J455)</x:f>
      </x:c>
      <x:c r="E456" s="16" t="str">
        <x:f>IF(A456="","",Events!N455)</x:f>
      </x:c>
      <x:c r="F456" s="109" t="str">
        <x:f>IF(OR(A456="",Events!H455=""),"",Events!H455)</x:f>
      </x:c>
      <x:c r="G456" s="109" t="str">
        <x:f>IF(A456="","",IF(Events!I455&lt;&gt;"",Events!I455,IF(Events!S455&lt;&gt;"",Events!S455,"")))</x:f>
      </x:c>
      <x:c r="H456" s="16" t="str">
        <x:f>IF(A456="","",Events!W455)</x:f>
      </x:c>
      <x:c r="I456" s="16" t="str">
        <x:f>IF(A456="","",IF(Events!Y455&lt;&gt;"",Events!Y455,IF(OR(ISNUMBER(SEARCH("education",P456)),ISNUMBER(SEARCH("exam",P456)),ISNUMBER(SEARCH("school",P456))),"Education",IF(OR(ISNUMBER(SEARCH("trade agreement",P456)),ISNUMBER(SEARCH("economic",P456)),ISNUMBER(SEARCH("import",P456))),"Trade &amp; economic policy",IF(OR(ISNUMBER(SEARCH("land acquisition",P456)),ISNUMBER(SEARCH("rehabilitation",P456)),ISNUMBER(SEARCH("displacement",P456)),ISNUMBER(SEARCH("township",P456))),"Land &amp; rehabilitation",IF(OR(ISNUMBER(SEARCH("forest",P456)),ISNUMBER(SEARCH("environment",P456)),ISNUMBER(SEARCH("ecological",P456)),ISNUMBER(SEARCH("biodiversity",P456)),ISNUMBER(SEARCH("green cover",P456))),"Environment",IF(OR(ISNUMBER(SEARCH("irrigation",P456)),ISNUMBER(SEARCH("water",P456)),ISNUMBER(SEARCH("crop",P456)),ISNUMBER(SEARCH("farmer",P456)),ISNUMBER(SEARCH("agriculture",P456))),"Agriculture &amp; water",IF(OR(ISNUMBER(SEARCH("health",P456)),ISNUMBER(SEARCH("hospital",P456)),ISNUMBER(SEARCH("medicine",P456))),"Public health",IF(OR(ISNUMBER(SEARCH("employee",P456)),ISNUMBER(SEARCH("labour",P456)),ISNUMBER(SEARCH("worker",P456)),ISNUMBER(SEARCH("salary",P456))),"Labour &amp; employment",IF(OR(ISNUMBER(SEARCH("rti",P456)),ISNUMBER(SEARCH("transparency",P456)),ISNUMBER(SEARCH("corruption",P456)),ISNUMBER(SEARCH("governance",P456))),"Governance &amp; transparency",IF(OR(ISNUMBER(SEARCH("police",P456)),ISNUMBER(SEARCH("detention",P456)),ISNUMBER(SEARCH("civil rights",P456)),ISNUMBER(SEARCH("justice",P456))),"Civil rights &amp; justice",IF(OR(ISNUMBER(SEARCH("road",P456)),ISNUMBER(SEARCH("utility",P456)),ISNUMBER(SEARCH("infrastructure",P456)),ISNUMBER(SEARCH("public service",P456))),"Infrastructure &amp; public services","Other"))))))))))))</x:f>
      </x:c>
      <x:c r="J456" s="16" t="str">
        <x:f>IF(A456="","",IF(OR(ISNUMBER(SEARCH("fatal",Q456)),ISNUMBER(SEARCH("death",Q456)),ISNUMBER(SEARCH("riot",Q456)),ISNUMBER(SEARCH("curfew",Q456)),ISNUMBER(SEARCH("internet shutdown",Q456))),5,MIN(4,1+IF(H456&gt;=7,1,0)+IF(OR(ISNUMBER(SEARCH("hunger strike",Q456)),ISNUMBER(SEARCH("blockade",Q456)),ISNUMBER(SEARCH("strike",Q456)),ISNUMBER(SEARCH("jal satyagraha",Q456)),ISNUMBER(SEARCH("survey",Q456)),ISNUMBER(SEARCH("human chain",Q456)),ISNUMBER(SEARCH("march",Q456))),1,0)+IF(OR(ISNUMBER(SEARCH("fir",Q456)),ISNUMBER(SEARCH("confrontation",Q456)),ISNUMBER(SEARCH("violence",Q456)),ISNUMBER(SEARCH("detention",Q456)),ISNUMBER(SEARCH("arrest",Q456)),ISNUMBER(SEARCH("demolition",Q456)),ISNUMBER(SEARCH("injury",Q456))),1,0)+IF(OR(D456="Ongoing",D456="Unresolved"),1,0))))</x:f>
      </x:c>
      <x:c r="K456" s="16" t="str">
        <x:f>IF(J456="","",IF(J456=1,"Limited",IF(J456=2,"Local",IF(J456=3,"Significant",IF(J456=4,"High","Critical")))))</x:f>
      </x:c>
      <x:c r="L456" s="16" t="str">
        <x:f>IF(A456="","",Events!U455)</x:f>
      </x:c>
      <x:c r="M456" s="16" t="str">
        <x:f>IF(A456="","",Events!V455)</x:f>
      </x:c>
      <x:c r="N456" s="16" t="str">
        <x:f>IF(A456="","",Events!Q455)</x:f>
      </x:c>
      <x:c r="O456" s="16" t="str">
        <x:f>IF(A456="","",Events!R455)</x:f>
      </x:c>
      <x:c r="P456" s="16" t="str">
        <x:f>IF(A456="","",LOWER(Events!B455&amp;" "&amp;Events!D455&amp;" "&amp;Events!K455))</x:f>
      </x:c>
      <x:c r="Q456" s="16" t="str">
        <x:f>IF(A456="","",LOWER(Events!C455&amp;" "&amp;Events!K455&amp;" "&amp;Events!T455))</x:f>
      </x:c>
      <x:c r="R456" s="16" t="str">
        <x:f>IF(A456="","",IF(ISNUMBER(SEARCH("Occurrence verified",E456)),"Occurrence verified",E456))</x:f>
      </x:c>
      <x:c r="S456" s="79" t="str">
        <x:f>IF(A456="","",Events!X455)</x:f>
      </x:c>
      <x:c r="Z456" s="79" t="str">
        <x:f>IF(A456="","",Events!AD455)</x:f>
      </x:c>
      <x:c r="AA456" s="79" t="str">
        <x:f>IF(A456="","",Events!AE455)</x:f>
      </x:c>
    </x:row>
    <x:row r="457">
      <x:c r="A457" s="16" t="str">
        <x:f>IF(Events!A456="","",Events!A456)</x:f>
      </x:c>
      <x:c r="B457" s="16" t="str">
        <x:f>IF(A457="","",Events!B456)</x:f>
      </x:c>
      <x:c r="C457" s="16" t="str">
        <x:f>IF(A457="","",Events!E456)</x:f>
      </x:c>
      <x:c r="D457" s="16" t="str">
        <x:f>IF(A457="","",Events!J456)</x:f>
      </x:c>
      <x:c r="E457" s="16" t="str">
        <x:f>IF(A457="","",Events!N456)</x:f>
      </x:c>
      <x:c r="F457" s="109" t="str">
        <x:f>IF(OR(A457="",Events!H456=""),"",Events!H456)</x:f>
      </x:c>
      <x:c r="G457" s="109" t="str">
        <x:f>IF(A457="","",IF(Events!I456&lt;&gt;"",Events!I456,IF(Events!S456&lt;&gt;"",Events!S456,"")))</x:f>
      </x:c>
      <x:c r="H457" s="16" t="str">
        <x:f>IF(A457="","",Events!W456)</x:f>
      </x:c>
      <x:c r="I457" s="16" t="str">
        <x:f>IF(A457="","",IF(Events!Y456&lt;&gt;"",Events!Y456,IF(OR(ISNUMBER(SEARCH("education",P457)),ISNUMBER(SEARCH("exam",P457)),ISNUMBER(SEARCH("school",P457))),"Education",IF(OR(ISNUMBER(SEARCH("trade agreement",P457)),ISNUMBER(SEARCH("economic",P457)),ISNUMBER(SEARCH("import",P457))),"Trade &amp; economic policy",IF(OR(ISNUMBER(SEARCH("land acquisition",P457)),ISNUMBER(SEARCH("rehabilitation",P457)),ISNUMBER(SEARCH("displacement",P457)),ISNUMBER(SEARCH("township",P457))),"Land &amp; rehabilitation",IF(OR(ISNUMBER(SEARCH("forest",P457)),ISNUMBER(SEARCH("environment",P457)),ISNUMBER(SEARCH("ecological",P457)),ISNUMBER(SEARCH("biodiversity",P457)),ISNUMBER(SEARCH("green cover",P457))),"Environment",IF(OR(ISNUMBER(SEARCH("irrigation",P457)),ISNUMBER(SEARCH("water",P457)),ISNUMBER(SEARCH("crop",P457)),ISNUMBER(SEARCH("farmer",P457)),ISNUMBER(SEARCH("agriculture",P457))),"Agriculture &amp; water",IF(OR(ISNUMBER(SEARCH("health",P457)),ISNUMBER(SEARCH("hospital",P457)),ISNUMBER(SEARCH("medicine",P457))),"Public health",IF(OR(ISNUMBER(SEARCH("employee",P457)),ISNUMBER(SEARCH("labour",P457)),ISNUMBER(SEARCH("worker",P457)),ISNUMBER(SEARCH("salary",P457))),"Labour &amp; employment",IF(OR(ISNUMBER(SEARCH("rti",P457)),ISNUMBER(SEARCH("transparency",P457)),ISNUMBER(SEARCH("corruption",P457)),ISNUMBER(SEARCH("governance",P457))),"Governance &amp; transparency",IF(OR(ISNUMBER(SEARCH("police",P457)),ISNUMBER(SEARCH("detention",P457)),ISNUMBER(SEARCH("civil rights",P457)),ISNUMBER(SEARCH("justice",P457))),"Civil rights &amp; justice",IF(OR(ISNUMBER(SEARCH("road",P457)),ISNUMBER(SEARCH("utility",P457)),ISNUMBER(SEARCH("infrastructure",P457)),ISNUMBER(SEARCH("public service",P457))),"Infrastructure &amp; public services","Other"))))))))))))</x:f>
      </x:c>
      <x:c r="J457" s="16" t="str">
        <x:f>IF(A457="","",IF(OR(ISNUMBER(SEARCH("fatal",Q457)),ISNUMBER(SEARCH("death",Q457)),ISNUMBER(SEARCH("riot",Q457)),ISNUMBER(SEARCH("curfew",Q457)),ISNUMBER(SEARCH("internet shutdown",Q457))),5,MIN(4,1+IF(H457&gt;=7,1,0)+IF(OR(ISNUMBER(SEARCH("hunger strike",Q457)),ISNUMBER(SEARCH("blockade",Q457)),ISNUMBER(SEARCH("strike",Q457)),ISNUMBER(SEARCH("jal satyagraha",Q457)),ISNUMBER(SEARCH("survey",Q457)),ISNUMBER(SEARCH("human chain",Q457)),ISNUMBER(SEARCH("march",Q457))),1,0)+IF(OR(ISNUMBER(SEARCH("fir",Q457)),ISNUMBER(SEARCH("confrontation",Q457)),ISNUMBER(SEARCH("violence",Q457)),ISNUMBER(SEARCH("detention",Q457)),ISNUMBER(SEARCH("arrest",Q457)),ISNUMBER(SEARCH("demolition",Q457)),ISNUMBER(SEARCH("injury",Q457))),1,0)+IF(OR(D457="Ongoing",D457="Unresolved"),1,0))))</x:f>
      </x:c>
      <x:c r="K457" s="16" t="str">
        <x:f>IF(J457="","",IF(J457=1,"Limited",IF(J457=2,"Local",IF(J457=3,"Significant",IF(J457=4,"High","Critical")))))</x:f>
      </x:c>
      <x:c r="L457" s="16" t="str">
        <x:f>IF(A457="","",Events!U456)</x:f>
      </x:c>
      <x:c r="M457" s="16" t="str">
        <x:f>IF(A457="","",Events!V456)</x:f>
      </x:c>
      <x:c r="N457" s="16" t="str">
        <x:f>IF(A457="","",Events!Q456)</x:f>
      </x:c>
      <x:c r="O457" s="16" t="str">
        <x:f>IF(A457="","",Events!R456)</x:f>
      </x:c>
      <x:c r="P457" s="16" t="str">
        <x:f>IF(A457="","",LOWER(Events!B456&amp;" "&amp;Events!D456&amp;" "&amp;Events!K456))</x:f>
      </x:c>
      <x:c r="Q457" s="16" t="str">
        <x:f>IF(A457="","",LOWER(Events!C456&amp;" "&amp;Events!K456&amp;" "&amp;Events!T456))</x:f>
      </x:c>
      <x:c r="R457" s="16" t="str">
        <x:f>IF(A457="","",IF(ISNUMBER(SEARCH("Occurrence verified",E457)),"Occurrence verified",E457))</x:f>
      </x:c>
      <x:c r="S457" s="79" t="str">
        <x:f>IF(A457="","",Events!X456)</x:f>
      </x:c>
      <x:c r="Z457" s="79" t="str">
        <x:f>IF(A457="","",Events!AD456)</x:f>
      </x:c>
      <x:c r="AA457" s="79" t="str">
        <x:f>IF(A457="","",Events!AE456)</x:f>
      </x:c>
    </x:row>
    <x:row r="458">
      <x:c r="A458" s="16" t="str">
        <x:f>IF(Events!A457="","",Events!A457)</x:f>
      </x:c>
      <x:c r="B458" s="16" t="str">
        <x:f>IF(A458="","",Events!B457)</x:f>
      </x:c>
      <x:c r="C458" s="16" t="str">
        <x:f>IF(A458="","",Events!E457)</x:f>
      </x:c>
      <x:c r="D458" s="16" t="str">
        <x:f>IF(A458="","",Events!J457)</x:f>
      </x:c>
      <x:c r="E458" s="16" t="str">
        <x:f>IF(A458="","",Events!N457)</x:f>
      </x:c>
      <x:c r="F458" s="109" t="str">
        <x:f>IF(OR(A458="",Events!H457=""),"",Events!H457)</x:f>
      </x:c>
      <x:c r="G458" s="109" t="str">
        <x:f>IF(A458="","",IF(Events!I457&lt;&gt;"",Events!I457,IF(Events!S457&lt;&gt;"",Events!S457,"")))</x:f>
      </x:c>
      <x:c r="H458" s="16" t="str">
        <x:f>IF(A458="","",Events!W457)</x:f>
      </x:c>
      <x:c r="I458" s="16" t="str">
        <x:f>IF(A458="","",IF(Events!Y457&lt;&gt;"",Events!Y457,IF(OR(ISNUMBER(SEARCH("education",P458)),ISNUMBER(SEARCH("exam",P458)),ISNUMBER(SEARCH("school",P458))),"Education",IF(OR(ISNUMBER(SEARCH("trade agreement",P458)),ISNUMBER(SEARCH("economic",P458)),ISNUMBER(SEARCH("import",P458))),"Trade &amp; economic policy",IF(OR(ISNUMBER(SEARCH("land acquisition",P458)),ISNUMBER(SEARCH("rehabilitation",P458)),ISNUMBER(SEARCH("displacement",P458)),ISNUMBER(SEARCH("township",P458))),"Land &amp; rehabilitation",IF(OR(ISNUMBER(SEARCH("forest",P458)),ISNUMBER(SEARCH("environment",P458)),ISNUMBER(SEARCH("ecological",P458)),ISNUMBER(SEARCH("biodiversity",P458)),ISNUMBER(SEARCH("green cover",P458))),"Environment",IF(OR(ISNUMBER(SEARCH("irrigation",P458)),ISNUMBER(SEARCH("water",P458)),ISNUMBER(SEARCH("crop",P458)),ISNUMBER(SEARCH("farmer",P458)),ISNUMBER(SEARCH("agriculture",P458))),"Agriculture &amp; water",IF(OR(ISNUMBER(SEARCH("health",P458)),ISNUMBER(SEARCH("hospital",P458)),ISNUMBER(SEARCH("medicine",P458))),"Public health",IF(OR(ISNUMBER(SEARCH("employee",P458)),ISNUMBER(SEARCH("labour",P458)),ISNUMBER(SEARCH("worker",P458)),ISNUMBER(SEARCH("salary",P458))),"Labour &amp; employment",IF(OR(ISNUMBER(SEARCH("rti",P458)),ISNUMBER(SEARCH("transparency",P458)),ISNUMBER(SEARCH("corruption",P458)),ISNUMBER(SEARCH("governance",P458))),"Governance &amp; transparency",IF(OR(ISNUMBER(SEARCH("police",P458)),ISNUMBER(SEARCH("detention",P458)),ISNUMBER(SEARCH("civil rights",P458)),ISNUMBER(SEARCH("justice",P458))),"Civil rights &amp; justice",IF(OR(ISNUMBER(SEARCH("road",P458)),ISNUMBER(SEARCH("utility",P458)),ISNUMBER(SEARCH("infrastructure",P458)),ISNUMBER(SEARCH("public service",P458))),"Infrastructure &amp; public services","Other"))))))))))))</x:f>
      </x:c>
      <x:c r="J458" s="16" t="str">
        <x:f>IF(A458="","",IF(OR(ISNUMBER(SEARCH("fatal",Q458)),ISNUMBER(SEARCH("death",Q458)),ISNUMBER(SEARCH("riot",Q458)),ISNUMBER(SEARCH("curfew",Q458)),ISNUMBER(SEARCH("internet shutdown",Q458))),5,MIN(4,1+IF(H458&gt;=7,1,0)+IF(OR(ISNUMBER(SEARCH("hunger strike",Q458)),ISNUMBER(SEARCH("blockade",Q458)),ISNUMBER(SEARCH("strike",Q458)),ISNUMBER(SEARCH("jal satyagraha",Q458)),ISNUMBER(SEARCH("survey",Q458)),ISNUMBER(SEARCH("human chain",Q458)),ISNUMBER(SEARCH("march",Q458))),1,0)+IF(OR(ISNUMBER(SEARCH("fir",Q458)),ISNUMBER(SEARCH("confrontation",Q458)),ISNUMBER(SEARCH("violence",Q458)),ISNUMBER(SEARCH("detention",Q458)),ISNUMBER(SEARCH("arrest",Q458)),ISNUMBER(SEARCH("demolition",Q458)),ISNUMBER(SEARCH("injury",Q458))),1,0)+IF(OR(D458="Ongoing",D458="Unresolved"),1,0))))</x:f>
      </x:c>
      <x:c r="K458" s="16" t="str">
        <x:f>IF(J458="","",IF(J458=1,"Limited",IF(J458=2,"Local",IF(J458=3,"Significant",IF(J458=4,"High","Critical")))))</x:f>
      </x:c>
      <x:c r="L458" s="16" t="str">
        <x:f>IF(A458="","",Events!U457)</x:f>
      </x:c>
      <x:c r="M458" s="16" t="str">
        <x:f>IF(A458="","",Events!V457)</x:f>
      </x:c>
      <x:c r="N458" s="16" t="str">
        <x:f>IF(A458="","",Events!Q457)</x:f>
      </x:c>
      <x:c r="O458" s="16" t="str">
        <x:f>IF(A458="","",Events!R457)</x:f>
      </x:c>
      <x:c r="P458" s="16" t="str">
        <x:f>IF(A458="","",LOWER(Events!B457&amp;" "&amp;Events!D457&amp;" "&amp;Events!K457))</x:f>
      </x:c>
      <x:c r="Q458" s="16" t="str">
        <x:f>IF(A458="","",LOWER(Events!C457&amp;" "&amp;Events!K457&amp;" "&amp;Events!T457))</x:f>
      </x:c>
      <x:c r="R458" s="16" t="str">
        <x:f>IF(A458="","",IF(ISNUMBER(SEARCH("Occurrence verified",E458)),"Occurrence verified",E458))</x:f>
      </x:c>
      <x:c r="S458" s="79" t="str">
        <x:f>IF(A458="","",Events!X457)</x:f>
      </x:c>
      <x:c r="Z458" s="79" t="str">
        <x:f>IF(A458="","",Events!AD457)</x:f>
      </x:c>
      <x:c r="AA458" s="79" t="str">
        <x:f>IF(A458="","",Events!AE457)</x:f>
      </x:c>
    </x:row>
    <x:row r="459">
      <x:c r="A459" s="16" t="str">
        <x:f>IF(Events!A458="","",Events!A458)</x:f>
      </x:c>
      <x:c r="B459" s="16" t="str">
        <x:f>IF(A459="","",Events!B458)</x:f>
      </x:c>
      <x:c r="C459" s="16" t="str">
        <x:f>IF(A459="","",Events!E458)</x:f>
      </x:c>
      <x:c r="D459" s="16" t="str">
        <x:f>IF(A459="","",Events!J458)</x:f>
      </x:c>
      <x:c r="E459" s="16" t="str">
        <x:f>IF(A459="","",Events!N458)</x:f>
      </x:c>
      <x:c r="F459" s="109" t="str">
        <x:f>IF(OR(A459="",Events!H458=""),"",Events!H458)</x:f>
      </x:c>
      <x:c r="G459" s="109" t="str">
        <x:f>IF(A459="","",IF(Events!I458&lt;&gt;"",Events!I458,IF(Events!S458&lt;&gt;"",Events!S458,"")))</x:f>
      </x:c>
      <x:c r="H459" s="16" t="str">
        <x:f>IF(A459="","",Events!W458)</x:f>
      </x:c>
      <x:c r="I459" s="16" t="str">
        <x:f>IF(A459="","",IF(Events!Y458&lt;&gt;"",Events!Y458,IF(OR(ISNUMBER(SEARCH("education",P459)),ISNUMBER(SEARCH("exam",P459)),ISNUMBER(SEARCH("school",P459))),"Education",IF(OR(ISNUMBER(SEARCH("trade agreement",P459)),ISNUMBER(SEARCH("economic",P459)),ISNUMBER(SEARCH("import",P459))),"Trade &amp; economic policy",IF(OR(ISNUMBER(SEARCH("land acquisition",P459)),ISNUMBER(SEARCH("rehabilitation",P459)),ISNUMBER(SEARCH("displacement",P459)),ISNUMBER(SEARCH("township",P459))),"Land &amp; rehabilitation",IF(OR(ISNUMBER(SEARCH("forest",P459)),ISNUMBER(SEARCH("environment",P459)),ISNUMBER(SEARCH("ecological",P459)),ISNUMBER(SEARCH("biodiversity",P459)),ISNUMBER(SEARCH("green cover",P459))),"Environment",IF(OR(ISNUMBER(SEARCH("irrigation",P459)),ISNUMBER(SEARCH("water",P459)),ISNUMBER(SEARCH("crop",P459)),ISNUMBER(SEARCH("farmer",P459)),ISNUMBER(SEARCH("agriculture",P459))),"Agriculture &amp; water",IF(OR(ISNUMBER(SEARCH("health",P459)),ISNUMBER(SEARCH("hospital",P459)),ISNUMBER(SEARCH("medicine",P459))),"Public health",IF(OR(ISNUMBER(SEARCH("employee",P459)),ISNUMBER(SEARCH("labour",P459)),ISNUMBER(SEARCH("worker",P459)),ISNUMBER(SEARCH("salary",P459))),"Labour &amp; employment",IF(OR(ISNUMBER(SEARCH("rti",P459)),ISNUMBER(SEARCH("transparency",P459)),ISNUMBER(SEARCH("corruption",P459)),ISNUMBER(SEARCH("governance",P459))),"Governance &amp; transparency",IF(OR(ISNUMBER(SEARCH("police",P459)),ISNUMBER(SEARCH("detention",P459)),ISNUMBER(SEARCH("civil rights",P459)),ISNUMBER(SEARCH("justice",P459))),"Civil rights &amp; justice",IF(OR(ISNUMBER(SEARCH("road",P459)),ISNUMBER(SEARCH("utility",P459)),ISNUMBER(SEARCH("infrastructure",P459)),ISNUMBER(SEARCH("public service",P459))),"Infrastructure &amp; public services","Other"))))))))))))</x:f>
      </x:c>
      <x:c r="J459" s="16" t="str">
        <x:f>IF(A459="","",IF(OR(ISNUMBER(SEARCH("fatal",Q459)),ISNUMBER(SEARCH("death",Q459)),ISNUMBER(SEARCH("riot",Q459)),ISNUMBER(SEARCH("curfew",Q459)),ISNUMBER(SEARCH("internet shutdown",Q459))),5,MIN(4,1+IF(H459&gt;=7,1,0)+IF(OR(ISNUMBER(SEARCH("hunger strike",Q459)),ISNUMBER(SEARCH("blockade",Q459)),ISNUMBER(SEARCH("strike",Q459)),ISNUMBER(SEARCH("jal satyagraha",Q459)),ISNUMBER(SEARCH("survey",Q459)),ISNUMBER(SEARCH("human chain",Q459)),ISNUMBER(SEARCH("march",Q459))),1,0)+IF(OR(ISNUMBER(SEARCH("fir",Q459)),ISNUMBER(SEARCH("confrontation",Q459)),ISNUMBER(SEARCH("violence",Q459)),ISNUMBER(SEARCH("detention",Q459)),ISNUMBER(SEARCH("arrest",Q459)),ISNUMBER(SEARCH("demolition",Q459)),ISNUMBER(SEARCH("injury",Q459))),1,0)+IF(OR(D459="Ongoing",D459="Unresolved"),1,0))))</x:f>
      </x:c>
      <x:c r="K459" s="16" t="str">
        <x:f>IF(J459="","",IF(J459=1,"Limited",IF(J459=2,"Local",IF(J459=3,"Significant",IF(J459=4,"High","Critical")))))</x:f>
      </x:c>
      <x:c r="L459" s="16" t="str">
        <x:f>IF(A459="","",Events!U458)</x:f>
      </x:c>
      <x:c r="M459" s="16" t="str">
        <x:f>IF(A459="","",Events!V458)</x:f>
      </x:c>
      <x:c r="N459" s="16" t="str">
        <x:f>IF(A459="","",Events!Q458)</x:f>
      </x:c>
      <x:c r="O459" s="16" t="str">
        <x:f>IF(A459="","",Events!R458)</x:f>
      </x:c>
      <x:c r="P459" s="16" t="str">
        <x:f>IF(A459="","",LOWER(Events!B458&amp;" "&amp;Events!D458&amp;" "&amp;Events!K458))</x:f>
      </x:c>
      <x:c r="Q459" s="16" t="str">
        <x:f>IF(A459="","",LOWER(Events!C458&amp;" "&amp;Events!K458&amp;" "&amp;Events!T458))</x:f>
      </x:c>
      <x:c r="R459" s="16" t="str">
        <x:f>IF(A459="","",IF(ISNUMBER(SEARCH("Occurrence verified",E459)),"Occurrence verified",E459))</x:f>
      </x:c>
      <x:c r="S459" s="79" t="str">
        <x:f>IF(A459="","",Events!X458)</x:f>
      </x:c>
      <x:c r="Z459" s="79" t="str">
        <x:f>IF(A459="","",Events!AD458)</x:f>
      </x:c>
      <x:c r="AA459" s="79" t="str">
        <x:f>IF(A459="","",Events!AE458)</x:f>
      </x:c>
    </x:row>
    <x:row r="460">
      <x:c r="A460" s="16" t="str">
        <x:f>IF(Events!A459="","",Events!A459)</x:f>
      </x:c>
      <x:c r="B460" s="16" t="str">
        <x:f>IF(A460="","",Events!B459)</x:f>
      </x:c>
      <x:c r="C460" s="16" t="str">
        <x:f>IF(A460="","",Events!E459)</x:f>
      </x:c>
      <x:c r="D460" s="16" t="str">
        <x:f>IF(A460="","",Events!J459)</x:f>
      </x:c>
      <x:c r="E460" s="16" t="str">
        <x:f>IF(A460="","",Events!N459)</x:f>
      </x:c>
      <x:c r="F460" s="109" t="str">
        <x:f>IF(OR(A460="",Events!H459=""),"",Events!H459)</x:f>
      </x:c>
      <x:c r="G460" s="109" t="str">
        <x:f>IF(A460="","",IF(Events!I459&lt;&gt;"",Events!I459,IF(Events!S459&lt;&gt;"",Events!S459,"")))</x:f>
      </x:c>
      <x:c r="H460" s="16" t="str">
        <x:f>IF(A460="","",Events!W459)</x:f>
      </x:c>
      <x:c r="I460" s="16" t="str">
        <x:f>IF(A460="","",IF(Events!Y459&lt;&gt;"",Events!Y459,IF(OR(ISNUMBER(SEARCH("education",P460)),ISNUMBER(SEARCH("exam",P460)),ISNUMBER(SEARCH("school",P460))),"Education",IF(OR(ISNUMBER(SEARCH("trade agreement",P460)),ISNUMBER(SEARCH("economic",P460)),ISNUMBER(SEARCH("import",P460))),"Trade &amp; economic policy",IF(OR(ISNUMBER(SEARCH("land acquisition",P460)),ISNUMBER(SEARCH("rehabilitation",P460)),ISNUMBER(SEARCH("displacement",P460)),ISNUMBER(SEARCH("township",P460))),"Land &amp; rehabilitation",IF(OR(ISNUMBER(SEARCH("forest",P460)),ISNUMBER(SEARCH("environment",P460)),ISNUMBER(SEARCH("ecological",P460)),ISNUMBER(SEARCH("biodiversity",P460)),ISNUMBER(SEARCH("green cover",P460))),"Environment",IF(OR(ISNUMBER(SEARCH("irrigation",P460)),ISNUMBER(SEARCH("water",P460)),ISNUMBER(SEARCH("crop",P460)),ISNUMBER(SEARCH("farmer",P460)),ISNUMBER(SEARCH("agriculture",P460))),"Agriculture &amp; water",IF(OR(ISNUMBER(SEARCH("health",P460)),ISNUMBER(SEARCH("hospital",P460)),ISNUMBER(SEARCH("medicine",P460))),"Public health",IF(OR(ISNUMBER(SEARCH("employee",P460)),ISNUMBER(SEARCH("labour",P460)),ISNUMBER(SEARCH("worker",P460)),ISNUMBER(SEARCH("salary",P460))),"Labour &amp; employment",IF(OR(ISNUMBER(SEARCH("rti",P460)),ISNUMBER(SEARCH("transparency",P460)),ISNUMBER(SEARCH("corruption",P460)),ISNUMBER(SEARCH("governance",P460))),"Governance &amp; transparency",IF(OR(ISNUMBER(SEARCH("police",P460)),ISNUMBER(SEARCH("detention",P460)),ISNUMBER(SEARCH("civil rights",P460)),ISNUMBER(SEARCH("justice",P460))),"Civil rights &amp; justice",IF(OR(ISNUMBER(SEARCH("road",P460)),ISNUMBER(SEARCH("utility",P460)),ISNUMBER(SEARCH("infrastructure",P460)),ISNUMBER(SEARCH("public service",P460))),"Infrastructure &amp; public services","Other"))))))))))))</x:f>
      </x:c>
      <x:c r="J460" s="16" t="str">
        <x:f>IF(A460="","",IF(OR(ISNUMBER(SEARCH("fatal",Q460)),ISNUMBER(SEARCH("death",Q460)),ISNUMBER(SEARCH("riot",Q460)),ISNUMBER(SEARCH("curfew",Q460)),ISNUMBER(SEARCH("internet shutdown",Q460))),5,MIN(4,1+IF(H460&gt;=7,1,0)+IF(OR(ISNUMBER(SEARCH("hunger strike",Q460)),ISNUMBER(SEARCH("blockade",Q460)),ISNUMBER(SEARCH("strike",Q460)),ISNUMBER(SEARCH("jal satyagraha",Q460)),ISNUMBER(SEARCH("survey",Q460)),ISNUMBER(SEARCH("human chain",Q460)),ISNUMBER(SEARCH("march",Q460))),1,0)+IF(OR(ISNUMBER(SEARCH("fir",Q460)),ISNUMBER(SEARCH("confrontation",Q460)),ISNUMBER(SEARCH("violence",Q460)),ISNUMBER(SEARCH("detention",Q460)),ISNUMBER(SEARCH("arrest",Q460)),ISNUMBER(SEARCH("demolition",Q460)),ISNUMBER(SEARCH("injury",Q460))),1,0)+IF(OR(D460="Ongoing",D460="Unresolved"),1,0))))</x:f>
      </x:c>
      <x:c r="K460" s="16" t="str">
        <x:f>IF(J460="","",IF(J460=1,"Limited",IF(J460=2,"Local",IF(J460=3,"Significant",IF(J460=4,"High","Critical")))))</x:f>
      </x:c>
      <x:c r="L460" s="16" t="str">
        <x:f>IF(A460="","",Events!U459)</x:f>
      </x:c>
      <x:c r="M460" s="16" t="str">
        <x:f>IF(A460="","",Events!V459)</x:f>
      </x:c>
      <x:c r="N460" s="16" t="str">
        <x:f>IF(A460="","",Events!Q459)</x:f>
      </x:c>
      <x:c r="O460" s="16" t="str">
        <x:f>IF(A460="","",Events!R459)</x:f>
      </x:c>
      <x:c r="P460" s="16" t="str">
        <x:f>IF(A460="","",LOWER(Events!B459&amp;" "&amp;Events!D459&amp;" "&amp;Events!K459))</x:f>
      </x:c>
      <x:c r="Q460" s="16" t="str">
        <x:f>IF(A460="","",LOWER(Events!C459&amp;" "&amp;Events!K459&amp;" "&amp;Events!T459))</x:f>
      </x:c>
      <x:c r="R460" s="16" t="str">
        <x:f>IF(A460="","",IF(ISNUMBER(SEARCH("Occurrence verified",E460)),"Occurrence verified",E460))</x:f>
      </x:c>
      <x:c r="S460" s="79" t="str">
        <x:f>IF(A460="","",Events!X459)</x:f>
      </x:c>
      <x:c r="Z460" s="79" t="str">
        <x:f>IF(A460="","",Events!AD459)</x:f>
      </x:c>
      <x:c r="AA460" s="79" t="str">
        <x:f>IF(A460="","",Events!AE459)</x:f>
      </x:c>
    </x:row>
    <x:row r="461">
      <x:c r="A461" s="16" t="str">
        <x:f>IF(Events!A460="","",Events!A460)</x:f>
      </x:c>
      <x:c r="B461" s="16" t="str">
        <x:f>IF(A461="","",Events!B460)</x:f>
      </x:c>
      <x:c r="C461" s="16" t="str">
        <x:f>IF(A461="","",Events!E460)</x:f>
      </x:c>
      <x:c r="D461" s="16" t="str">
        <x:f>IF(A461="","",Events!J460)</x:f>
      </x:c>
      <x:c r="E461" s="16" t="str">
        <x:f>IF(A461="","",Events!N460)</x:f>
      </x:c>
      <x:c r="F461" s="109" t="str">
        <x:f>IF(OR(A461="",Events!H460=""),"",Events!H460)</x:f>
      </x:c>
      <x:c r="G461" s="109" t="str">
        <x:f>IF(A461="","",IF(Events!I460&lt;&gt;"",Events!I460,IF(Events!S460&lt;&gt;"",Events!S460,"")))</x:f>
      </x:c>
      <x:c r="H461" s="16" t="str">
        <x:f>IF(A461="","",Events!W460)</x:f>
      </x:c>
      <x:c r="I461" s="16" t="str">
        <x:f>IF(A461="","",IF(Events!Y460&lt;&gt;"",Events!Y460,IF(OR(ISNUMBER(SEARCH("education",P461)),ISNUMBER(SEARCH("exam",P461)),ISNUMBER(SEARCH("school",P461))),"Education",IF(OR(ISNUMBER(SEARCH("trade agreement",P461)),ISNUMBER(SEARCH("economic",P461)),ISNUMBER(SEARCH("import",P461))),"Trade &amp; economic policy",IF(OR(ISNUMBER(SEARCH("land acquisition",P461)),ISNUMBER(SEARCH("rehabilitation",P461)),ISNUMBER(SEARCH("displacement",P461)),ISNUMBER(SEARCH("township",P461))),"Land &amp; rehabilitation",IF(OR(ISNUMBER(SEARCH("forest",P461)),ISNUMBER(SEARCH("environment",P461)),ISNUMBER(SEARCH("ecological",P461)),ISNUMBER(SEARCH("biodiversity",P461)),ISNUMBER(SEARCH("green cover",P461))),"Environment",IF(OR(ISNUMBER(SEARCH("irrigation",P461)),ISNUMBER(SEARCH("water",P461)),ISNUMBER(SEARCH("crop",P461)),ISNUMBER(SEARCH("farmer",P461)),ISNUMBER(SEARCH("agriculture",P461))),"Agriculture &amp; water",IF(OR(ISNUMBER(SEARCH("health",P461)),ISNUMBER(SEARCH("hospital",P461)),ISNUMBER(SEARCH("medicine",P461))),"Public health",IF(OR(ISNUMBER(SEARCH("employee",P461)),ISNUMBER(SEARCH("labour",P461)),ISNUMBER(SEARCH("worker",P461)),ISNUMBER(SEARCH("salary",P461))),"Labour &amp; employment",IF(OR(ISNUMBER(SEARCH("rti",P461)),ISNUMBER(SEARCH("transparency",P461)),ISNUMBER(SEARCH("corruption",P461)),ISNUMBER(SEARCH("governance",P461))),"Governance &amp; transparency",IF(OR(ISNUMBER(SEARCH("police",P461)),ISNUMBER(SEARCH("detention",P461)),ISNUMBER(SEARCH("civil rights",P461)),ISNUMBER(SEARCH("justice",P461))),"Civil rights &amp; justice",IF(OR(ISNUMBER(SEARCH("road",P461)),ISNUMBER(SEARCH("utility",P461)),ISNUMBER(SEARCH("infrastructure",P461)),ISNUMBER(SEARCH("public service",P461))),"Infrastructure &amp; public services","Other"))))))))))))</x:f>
      </x:c>
      <x:c r="J461" s="16" t="str">
        <x:f>IF(A461="","",IF(OR(ISNUMBER(SEARCH("fatal",Q461)),ISNUMBER(SEARCH("death",Q461)),ISNUMBER(SEARCH("riot",Q461)),ISNUMBER(SEARCH("curfew",Q461)),ISNUMBER(SEARCH("internet shutdown",Q461))),5,MIN(4,1+IF(H461&gt;=7,1,0)+IF(OR(ISNUMBER(SEARCH("hunger strike",Q461)),ISNUMBER(SEARCH("blockade",Q461)),ISNUMBER(SEARCH("strike",Q461)),ISNUMBER(SEARCH("jal satyagraha",Q461)),ISNUMBER(SEARCH("survey",Q461)),ISNUMBER(SEARCH("human chain",Q461)),ISNUMBER(SEARCH("march",Q461))),1,0)+IF(OR(ISNUMBER(SEARCH("fir",Q461)),ISNUMBER(SEARCH("confrontation",Q461)),ISNUMBER(SEARCH("violence",Q461)),ISNUMBER(SEARCH("detention",Q461)),ISNUMBER(SEARCH("arrest",Q461)),ISNUMBER(SEARCH("demolition",Q461)),ISNUMBER(SEARCH("injury",Q461))),1,0)+IF(OR(D461="Ongoing",D461="Unresolved"),1,0))))</x:f>
      </x:c>
      <x:c r="K461" s="16" t="str">
        <x:f>IF(J461="","",IF(J461=1,"Limited",IF(J461=2,"Local",IF(J461=3,"Significant",IF(J461=4,"High","Critical")))))</x:f>
      </x:c>
      <x:c r="L461" s="16" t="str">
        <x:f>IF(A461="","",Events!U460)</x:f>
      </x:c>
      <x:c r="M461" s="16" t="str">
        <x:f>IF(A461="","",Events!V460)</x:f>
      </x:c>
      <x:c r="N461" s="16" t="str">
        <x:f>IF(A461="","",Events!Q460)</x:f>
      </x:c>
      <x:c r="O461" s="16" t="str">
        <x:f>IF(A461="","",Events!R460)</x:f>
      </x:c>
      <x:c r="P461" s="16" t="str">
        <x:f>IF(A461="","",LOWER(Events!B460&amp;" "&amp;Events!D460&amp;" "&amp;Events!K460))</x:f>
      </x:c>
      <x:c r="Q461" s="16" t="str">
        <x:f>IF(A461="","",LOWER(Events!C460&amp;" "&amp;Events!K460&amp;" "&amp;Events!T460))</x:f>
      </x:c>
      <x:c r="R461" s="16" t="str">
        <x:f>IF(A461="","",IF(ISNUMBER(SEARCH("Occurrence verified",E461)),"Occurrence verified",E461))</x:f>
      </x:c>
      <x:c r="S461" s="79" t="str">
        <x:f>IF(A461="","",Events!X460)</x:f>
      </x:c>
      <x:c r="Z461" s="79" t="str">
        <x:f>IF(A461="","",Events!AD460)</x:f>
      </x:c>
      <x:c r="AA461" s="79" t="str">
        <x:f>IF(A461="","",Events!AE460)</x:f>
      </x:c>
    </x:row>
    <x:row r="462">
      <x:c r="A462" s="16" t="str">
        <x:f>IF(Events!A461="","",Events!A461)</x:f>
      </x:c>
      <x:c r="B462" s="16" t="str">
        <x:f>IF(A462="","",Events!B461)</x:f>
      </x:c>
      <x:c r="C462" s="16" t="str">
        <x:f>IF(A462="","",Events!E461)</x:f>
      </x:c>
      <x:c r="D462" s="16" t="str">
        <x:f>IF(A462="","",Events!J461)</x:f>
      </x:c>
      <x:c r="E462" s="16" t="str">
        <x:f>IF(A462="","",Events!N461)</x:f>
      </x:c>
      <x:c r="F462" s="109" t="str">
        <x:f>IF(OR(A462="",Events!H461=""),"",Events!H461)</x:f>
      </x:c>
      <x:c r="G462" s="109" t="str">
        <x:f>IF(A462="","",IF(Events!I461&lt;&gt;"",Events!I461,IF(Events!S461&lt;&gt;"",Events!S461,"")))</x:f>
      </x:c>
      <x:c r="H462" s="16" t="str">
        <x:f>IF(A462="","",Events!W461)</x:f>
      </x:c>
      <x:c r="I462" s="16" t="str">
        <x:f>IF(A462="","",IF(Events!Y461&lt;&gt;"",Events!Y461,IF(OR(ISNUMBER(SEARCH("education",P462)),ISNUMBER(SEARCH("exam",P462)),ISNUMBER(SEARCH("school",P462))),"Education",IF(OR(ISNUMBER(SEARCH("trade agreement",P462)),ISNUMBER(SEARCH("economic",P462)),ISNUMBER(SEARCH("import",P462))),"Trade &amp; economic policy",IF(OR(ISNUMBER(SEARCH("land acquisition",P462)),ISNUMBER(SEARCH("rehabilitation",P462)),ISNUMBER(SEARCH("displacement",P462)),ISNUMBER(SEARCH("township",P462))),"Land &amp; rehabilitation",IF(OR(ISNUMBER(SEARCH("forest",P462)),ISNUMBER(SEARCH("environment",P462)),ISNUMBER(SEARCH("ecological",P462)),ISNUMBER(SEARCH("biodiversity",P462)),ISNUMBER(SEARCH("green cover",P462))),"Environment",IF(OR(ISNUMBER(SEARCH("irrigation",P462)),ISNUMBER(SEARCH("water",P462)),ISNUMBER(SEARCH("crop",P462)),ISNUMBER(SEARCH("farmer",P462)),ISNUMBER(SEARCH("agriculture",P462))),"Agriculture &amp; water",IF(OR(ISNUMBER(SEARCH("health",P462)),ISNUMBER(SEARCH("hospital",P462)),ISNUMBER(SEARCH("medicine",P462))),"Public health",IF(OR(ISNUMBER(SEARCH("employee",P462)),ISNUMBER(SEARCH("labour",P462)),ISNUMBER(SEARCH("worker",P462)),ISNUMBER(SEARCH("salary",P462))),"Labour &amp; employment",IF(OR(ISNUMBER(SEARCH("rti",P462)),ISNUMBER(SEARCH("transparency",P462)),ISNUMBER(SEARCH("corruption",P462)),ISNUMBER(SEARCH("governance",P462))),"Governance &amp; transparency",IF(OR(ISNUMBER(SEARCH("police",P462)),ISNUMBER(SEARCH("detention",P462)),ISNUMBER(SEARCH("civil rights",P462)),ISNUMBER(SEARCH("justice",P462))),"Civil rights &amp; justice",IF(OR(ISNUMBER(SEARCH("road",P462)),ISNUMBER(SEARCH("utility",P462)),ISNUMBER(SEARCH("infrastructure",P462)),ISNUMBER(SEARCH("public service",P462))),"Infrastructure &amp; public services","Other"))))))))))))</x:f>
      </x:c>
      <x:c r="J462" s="16" t="str">
        <x:f>IF(A462="","",IF(OR(ISNUMBER(SEARCH("fatal",Q462)),ISNUMBER(SEARCH("death",Q462)),ISNUMBER(SEARCH("riot",Q462)),ISNUMBER(SEARCH("curfew",Q462)),ISNUMBER(SEARCH("internet shutdown",Q462))),5,MIN(4,1+IF(H462&gt;=7,1,0)+IF(OR(ISNUMBER(SEARCH("hunger strike",Q462)),ISNUMBER(SEARCH("blockade",Q462)),ISNUMBER(SEARCH("strike",Q462)),ISNUMBER(SEARCH("jal satyagraha",Q462)),ISNUMBER(SEARCH("survey",Q462)),ISNUMBER(SEARCH("human chain",Q462)),ISNUMBER(SEARCH("march",Q462))),1,0)+IF(OR(ISNUMBER(SEARCH("fir",Q462)),ISNUMBER(SEARCH("confrontation",Q462)),ISNUMBER(SEARCH("violence",Q462)),ISNUMBER(SEARCH("detention",Q462)),ISNUMBER(SEARCH("arrest",Q462)),ISNUMBER(SEARCH("demolition",Q462)),ISNUMBER(SEARCH("injury",Q462))),1,0)+IF(OR(D462="Ongoing",D462="Unresolved"),1,0))))</x:f>
      </x:c>
      <x:c r="K462" s="16" t="str">
        <x:f>IF(J462="","",IF(J462=1,"Limited",IF(J462=2,"Local",IF(J462=3,"Significant",IF(J462=4,"High","Critical")))))</x:f>
      </x:c>
      <x:c r="L462" s="16" t="str">
        <x:f>IF(A462="","",Events!U461)</x:f>
      </x:c>
      <x:c r="M462" s="16" t="str">
        <x:f>IF(A462="","",Events!V461)</x:f>
      </x:c>
      <x:c r="N462" s="16" t="str">
        <x:f>IF(A462="","",Events!Q461)</x:f>
      </x:c>
      <x:c r="O462" s="16" t="str">
        <x:f>IF(A462="","",Events!R461)</x:f>
      </x:c>
      <x:c r="P462" s="16" t="str">
        <x:f>IF(A462="","",LOWER(Events!B461&amp;" "&amp;Events!D461&amp;" "&amp;Events!K461))</x:f>
      </x:c>
      <x:c r="Q462" s="16" t="str">
        <x:f>IF(A462="","",LOWER(Events!C461&amp;" "&amp;Events!K461&amp;" "&amp;Events!T461))</x:f>
      </x:c>
      <x:c r="R462" s="16" t="str">
        <x:f>IF(A462="","",IF(ISNUMBER(SEARCH("Occurrence verified",E462)),"Occurrence verified",E462))</x:f>
      </x:c>
      <x:c r="S462" s="79" t="str">
        <x:f>IF(A462="","",Events!X461)</x:f>
      </x:c>
      <x:c r="Z462" s="79" t="str">
        <x:f>IF(A462="","",Events!AD461)</x:f>
      </x:c>
      <x:c r="AA462" s="79" t="str">
        <x:f>IF(A462="","",Events!AE461)</x:f>
      </x:c>
    </x:row>
    <x:row r="463">
      <x:c r="A463" s="16" t="str">
        <x:f>IF(Events!A462="","",Events!A462)</x:f>
      </x:c>
      <x:c r="B463" s="16" t="str">
        <x:f>IF(A463="","",Events!B462)</x:f>
      </x:c>
      <x:c r="C463" s="16" t="str">
        <x:f>IF(A463="","",Events!E462)</x:f>
      </x:c>
      <x:c r="D463" s="16" t="str">
        <x:f>IF(A463="","",Events!J462)</x:f>
      </x:c>
      <x:c r="E463" s="16" t="str">
        <x:f>IF(A463="","",Events!N462)</x:f>
      </x:c>
      <x:c r="F463" s="109" t="str">
        <x:f>IF(OR(A463="",Events!H462=""),"",Events!H462)</x:f>
      </x:c>
      <x:c r="G463" s="109" t="str">
        <x:f>IF(A463="","",IF(Events!I462&lt;&gt;"",Events!I462,IF(Events!S462&lt;&gt;"",Events!S462,"")))</x:f>
      </x:c>
      <x:c r="H463" s="16" t="str">
        <x:f>IF(A463="","",Events!W462)</x:f>
      </x:c>
      <x:c r="I463" s="16" t="str">
        <x:f>IF(A463="","",IF(Events!Y462&lt;&gt;"",Events!Y462,IF(OR(ISNUMBER(SEARCH("education",P463)),ISNUMBER(SEARCH("exam",P463)),ISNUMBER(SEARCH("school",P463))),"Education",IF(OR(ISNUMBER(SEARCH("trade agreement",P463)),ISNUMBER(SEARCH("economic",P463)),ISNUMBER(SEARCH("import",P463))),"Trade &amp; economic policy",IF(OR(ISNUMBER(SEARCH("land acquisition",P463)),ISNUMBER(SEARCH("rehabilitation",P463)),ISNUMBER(SEARCH("displacement",P463)),ISNUMBER(SEARCH("township",P463))),"Land &amp; rehabilitation",IF(OR(ISNUMBER(SEARCH("forest",P463)),ISNUMBER(SEARCH("environment",P463)),ISNUMBER(SEARCH("ecological",P463)),ISNUMBER(SEARCH("biodiversity",P463)),ISNUMBER(SEARCH("green cover",P463))),"Environment",IF(OR(ISNUMBER(SEARCH("irrigation",P463)),ISNUMBER(SEARCH("water",P463)),ISNUMBER(SEARCH("crop",P463)),ISNUMBER(SEARCH("farmer",P463)),ISNUMBER(SEARCH("agriculture",P463))),"Agriculture &amp; water",IF(OR(ISNUMBER(SEARCH("health",P463)),ISNUMBER(SEARCH("hospital",P463)),ISNUMBER(SEARCH("medicine",P463))),"Public health",IF(OR(ISNUMBER(SEARCH("employee",P463)),ISNUMBER(SEARCH("labour",P463)),ISNUMBER(SEARCH("worker",P463)),ISNUMBER(SEARCH("salary",P463))),"Labour &amp; employment",IF(OR(ISNUMBER(SEARCH("rti",P463)),ISNUMBER(SEARCH("transparency",P463)),ISNUMBER(SEARCH("corruption",P463)),ISNUMBER(SEARCH("governance",P463))),"Governance &amp; transparency",IF(OR(ISNUMBER(SEARCH("police",P463)),ISNUMBER(SEARCH("detention",P463)),ISNUMBER(SEARCH("civil rights",P463)),ISNUMBER(SEARCH("justice",P463))),"Civil rights &amp; justice",IF(OR(ISNUMBER(SEARCH("road",P463)),ISNUMBER(SEARCH("utility",P463)),ISNUMBER(SEARCH("infrastructure",P463)),ISNUMBER(SEARCH("public service",P463))),"Infrastructure &amp; public services","Other"))))))))))))</x:f>
      </x:c>
      <x:c r="J463" s="16" t="str">
        <x:f>IF(A463="","",IF(OR(ISNUMBER(SEARCH("fatal",Q463)),ISNUMBER(SEARCH("death",Q463)),ISNUMBER(SEARCH("riot",Q463)),ISNUMBER(SEARCH("curfew",Q463)),ISNUMBER(SEARCH("internet shutdown",Q463))),5,MIN(4,1+IF(H463&gt;=7,1,0)+IF(OR(ISNUMBER(SEARCH("hunger strike",Q463)),ISNUMBER(SEARCH("blockade",Q463)),ISNUMBER(SEARCH("strike",Q463)),ISNUMBER(SEARCH("jal satyagraha",Q463)),ISNUMBER(SEARCH("survey",Q463)),ISNUMBER(SEARCH("human chain",Q463)),ISNUMBER(SEARCH("march",Q463))),1,0)+IF(OR(ISNUMBER(SEARCH("fir",Q463)),ISNUMBER(SEARCH("confrontation",Q463)),ISNUMBER(SEARCH("violence",Q463)),ISNUMBER(SEARCH("detention",Q463)),ISNUMBER(SEARCH("arrest",Q463)),ISNUMBER(SEARCH("demolition",Q463)),ISNUMBER(SEARCH("injury",Q463))),1,0)+IF(OR(D463="Ongoing",D463="Unresolved"),1,0))))</x:f>
      </x:c>
      <x:c r="K463" s="16" t="str">
        <x:f>IF(J463="","",IF(J463=1,"Limited",IF(J463=2,"Local",IF(J463=3,"Significant",IF(J463=4,"High","Critical")))))</x:f>
      </x:c>
      <x:c r="L463" s="16" t="str">
        <x:f>IF(A463="","",Events!U462)</x:f>
      </x:c>
      <x:c r="M463" s="16" t="str">
        <x:f>IF(A463="","",Events!V462)</x:f>
      </x:c>
      <x:c r="N463" s="16" t="str">
        <x:f>IF(A463="","",Events!Q462)</x:f>
      </x:c>
      <x:c r="O463" s="16" t="str">
        <x:f>IF(A463="","",Events!R462)</x:f>
      </x:c>
      <x:c r="P463" s="16" t="str">
        <x:f>IF(A463="","",LOWER(Events!B462&amp;" "&amp;Events!D462&amp;" "&amp;Events!K462))</x:f>
      </x:c>
      <x:c r="Q463" s="16" t="str">
        <x:f>IF(A463="","",LOWER(Events!C462&amp;" "&amp;Events!K462&amp;" "&amp;Events!T462))</x:f>
      </x:c>
      <x:c r="R463" s="16" t="str">
        <x:f>IF(A463="","",IF(ISNUMBER(SEARCH("Occurrence verified",E463)),"Occurrence verified",E463))</x:f>
      </x:c>
      <x:c r="S463" s="79" t="str">
        <x:f>IF(A463="","",Events!X462)</x:f>
      </x:c>
      <x:c r="Z463" s="79" t="str">
        <x:f>IF(A463="","",Events!AD462)</x:f>
      </x:c>
      <x:c r="AA463" s="79" t="str">
        <x:f>IF(A463="","",Events!AE462)</x:f>
      </x:c>
    </x:row>
    <x:row r="464">
      <x:c r="A464" s="16" t="str">
        <x:f>IF(Events!A463="","",Events!A463)</x:f>
      </x:c>
      <x:c r="B464" s="16" t="str">
        <x:f>IF(A464="","",Events!B463)</x:f>
      </x:c>
      <x:c r="C464" s="16" t="str">
        <x:f>IF(A464="","",Events!E463)</x:f>
      </x:c>
      <x:c r="D464" s="16" t="str">
        <x:f>IF(A464="","",Events!J463)</x:f>
      </x:c>
      <x:c r="E464" s="16" t="str">
        <x:f>IF(A464="","",Events!N463)</x:f>
      </x:c>
      <x:c r="F464" s="109" t="str">
        <x:f>IF(OR(A464="",Events!H463=""),"",Events!H463)</x:f>
      </x:c>
      <x:c r="G464" s="109" t="str">
        <x:f>IF(A464="","",IF(Events!I463&lt;&gt;"",Events!I463,IF(Events!S463&lt;&gt;"",Events!S463,"")))</x:f>
      </x:c>
      <x:c r="H464" s="16" t="str">
        <x:f>IF(A464="","",Events!W463)</x:f>
      </x:c>
      <x:c r="I464" s="16" t="str">
        <x:f>IF(A464="","",IF(Events!Y463&lt;&gt;"",Events!Y463,IF(OR(ISNUMBER(SEARCH("education",P464)),ISNUMBER(SEARCH("exam",P464)),ISNUMBER(SEARCH("school",P464))),"Education",IF(OR(ISNUMBER(SEARCH("trade agreement",P464)),ISNUMBER(SEARCH("economic",P464)),ISNUMBER(SEARCH("import",P464))),"Trade &amp; economic policy",IF(OR(ISNUMBER(SEARCH("land acquisition",P464)),ISNUMBER(SEARCH("rehabilitation",P464)),ISNUMBER(SEARCH("displacement",P464)),ISNUMBER(SEARCH("township",P464))),"Land &amp; rehabilitation",IF(OR(ISNUMBER(SEARCH("forest",P464)),ISNUMBER(SEARCH("environment",P464)),ISNUMBER(SEARCH("ecological",P464)),ISNUMBER(SEARCH("biodiversity",P464)),ISNUMBER(SEARCH("green cover",P464))),"Environment",IF(OR(ISNUMBER(SEARCH("irrigation",P464)),ISNUMBER(SEARCH("water",P464)),ISNUMBER(SEARCH("crop",P464)),ISNUMBER(SEARCH("farmer",P464)),ISNUMBER(SEARCH("agriculture",P464))),"Agriculture &amp; water",IF(OR(ISNUMBER(SEARCH("health",P464)),ISNUMBER(SEARCH("hospital",P464)),ISNUMBER(SEARCH("medicine",P464))),"Public health",IF(OR(ISNUMBER(SEARCH("employee",P464)),ISNUMBER(SEARCH("labour",P464)),ISNUMBER(SEARCH("worker",P464)),ISNUMBER(SEARCH("salary",P464))),"Labour &amp; employment",IF(OR(ISNUMBER(SEARCH("rti",P464)),ISNUMBER(SEARCH("transparency",P464)),ISNUMBER(SEARCH("corruption",P464)),ISNUMBER(SEARCH("governance",P464))),"Governance &amp; transparency",IF(OR(ISNUMBER(SEARCH("police",P464)),ISNUMBER(SEARCH("detention",P464)),ISNUMBER(SEARCH("civil rights",P464)),ISNUMBER(SEARCH("justice",P464))),"Civil rights &amp; justice",IF(OR(ISNUMBER(SEARCH("road",P464)),ISNUMBER(SEARCH("utility",P464)),ISNUMBER(SEARCH("infrastructure",P464)),ISNUMBER(SEARCH("public service",P464))),"Infrastructure &amp; public services","Other"))))))))))))</x:f>
      </x:c>
      <x:c r="J464" s="16" t="str">
        <x:f>IF(A464="","",IF(OR(ISNUMBER(SEARCH("fatal",Q464)),ISNUMBER(SEARCH("death",Q464)),ISNUMBER(SEARCH("riot",Q464)),ISNUMBER(SEARCH("curfew",Q464)),ISNUMBER(SEARCH("internet shutdown",Q464))),5,MIN(4,1+IF(H464&gt;=7,1,0)+IF(OR(ISNUMBER(SEARCH("hunger strike",Q464)),ISNUMBER(SEARCH("blockade",Q464)),ISNUMBER(SEARCH("strike",Q464)),ISNUMBER(SEARCH("jal satyagraha",Q464)),ISNUMBER(SEARCH("survey",Q464)),ISNUMBER(SEARCH("human chain",Q464)),ISNUMBER(SEARCH("march",Q464))),1,0)+IF(OR(ISNUMBER(SEARCH("fir",Q464)),ISNUMBER(SEARCH("confrontation",Q464)),ISNUMBER(SEARCH("violence",Q464)),ISNUMBER(SEARCH("detention",Q464)),ISNUMBER(SEARCH("arrest",Q464)),ISNUMBER(SEARCH("demolition",Q464)),ISNUMBER(SEARCH("injury",Q464))),1,0)+IF(OR(D464="Ongoing",D464="Unresolved"),1,0))))</x:f>
      </x:c>
      <x:c r="K464" s="16" t="str">
        <x:f>IF(J464="","",IF(J464=1,"Limited",IF(J464=2,"Local",IF(J464=3,"Significant",IF(J464=4,"High","Critical")))))</x:f>
      </x:c>
      <x:c r="L464" s="16" t="str">
        <x:f>IF(A464="","",Events!U463)</x:f>
      </x:c>
      <x:c r="M464" s="16" t="str">
        <x:f>IF(A464="","",Events!V463)</x:f>
      </x:c>
      <x:c r="N464" s="16" t="str">
        <x:f>IF(A464="","",Events!Q463)</x:f>
      </x:c>
      <x:c r="O464" s="16" t="str">
        <x:f>IF(A464="","",Events!R463)</x:f>
      </x:c>
      <x:c r="P464" s="16" t="str">
        <x:f>IF(A464="","",LOWER(Events!B463&amp;" "&amp;Events!D463&amp;" "&amp;Events!K463))</x:f>
      </x:c>
      <x:c r="Q464" s="16" t="str">
        <x:f>IF(A464="","",LOWER(Events!C463&amp;" "&amp;Events!K463&amp;" "&amp;Events!T463))</x:f>
      </x:c>
      <x:c r="R464" s="16" t="str">
        <x:f>IF(A464="","",IF(ISNUMBER(SEARCH("Occurrence verified",E464)),"Occurrence verified",E464))</x:f>
      </x:c>
      <x:c r="S464" s="79" t="str">
        <x:f>IF(A464="","",Events!X463)</x:f>
      </x:c>
      <x:c r="Z464" s="79" t="str">
        <x:f>IF(A464="","",Events!AD463)</x:f>
      </x:c>
      <x:c r="AA464" s="79" t="str">
        <x:f>IF(A464="","",Events!AE463)</x:f>
      </x:c>
    </x:row>
    <x:row r="465">
      <x:c r="A465" s="16" t="str">
        <x:f>IF(Events!A464="","",Events!A464)</x:f>
      </x:c>
      <x:c r="B465" s="16" t="str">
        <x:f>IF(A465="","",Events!B464)</x:f>
      </x:c>
      <x:c r="C465" s="16" t="str">
        <x:f>IF(A465="","",Events!E464)</x:f>
      </x:c>
      <x:c r="D465" s="16" t="str">
        <x:f>IF(A465="","",Events!J464)</x:f>
      </x:c>
      <x:c r="E465" s="16" t="str">
        <x:f>IF(A465="","",Events!N464)</x:f>
      </x:c>
      <x:c r="F465" s="109" t="str">
        <x:f>IF(OR(A465="",Events!H464=""),"",Events!H464)</x:f>
      </x:c>
      <x:c r="G465" s="109" t="str">
        <x:f>IF(A465="","",IF(Events!I464&lt;&gt;"",Events!I464,IF(Events!S464&lt;&gt;"",Events!S464,"")))</x:f>
      </x:c>
      <x:c r="H465" s="16" t="str">
        <x:f>IF(A465="","",Events!W464)</x:f>
      </x:c>
      <x:c r="I465" s="16" t="str">
        <x:f>IF(A465="","",IF(Events!Y464&lt;&gt;"",Events!Y464,IF(OR(ISNUMBER(SEARCH("education",P465)),ISNUMBER(SEARCH("exam",P465)),ISNUMBER(SEARCH("school",P465))),"Education",IF(OR(ISNUMBER(SEARCH("trade agreement",P465)),ISNUMBER(SEARCH("economic",P465)),ISNUMBER(SEARCH("import",P465))),"Trade &amp; economic policy",IF(OR(ISNUMBER(SEARCH("land acquisition",P465)),ISNUMBER(SEARCH("rehabilitation",P465)),ISNUMBER(SEARCH("displacement",P465)),ISNUMBER(SEARCH("township",P465))),"Land &amp; rehabilitation",IF(OR(ISNUMBER(SEARCH("forest",P465)),ISNUMBER(SEARCH("environment",P465)),ISNUMBER(SEARCH("ecological",P465)),ISNUMBER(SEARCH("biodiversity",P465)),ISNUMBER(SEARCH("green cover",P465))),"Environment",IF(OR(ISNUMBER(SEARCH("irrigation",P465)),ISNUMBER(SEARCH("water",P465)),ISNUMBER(SEARCH("crop",P465)),ISNUMBER(SEARCH("farmer",P465)),ISNUMBER(SEARCH("agriculture",P465))),"Agriculture &amp; water",IF(OR(ISNUMBER(SEARCH("health",P465)),ISNUMBER(SEARCH("hospital",P465)),ISNUMBER(SEARCH("medicine",P465))),"Public health",IF(OR(ISNUMBER(SEARCH("employee",P465)),ISNUMBER(SEARCH("labour",P465)),ISNUMBER(SEARCH("worker",P465)),ISNUMBER(SEARCH("salary",P465))),"Labour &amp; employment",IF(OR(ISNUMBER(SEARCH("rti",P465)),ISNUMBER(SEARCH("transparency",P465)),ISNUMBER(SEARCH("corruption",P465)),ISNUMBER(SEARCH("governance",P465))),"Governance &amp; transparency",IF(OR(ISNUMBER(SEARCH("police",P465)),ISNUMBER(SEARCH("detention",P465)),ISNUMBER(SEARCH("civil rights",P465)),ISNUMBER(SEARCH("justice",P465))),"Civil rights &amp; justice",IF(OR(ISNUMBER(SEARCH("road",P465)),ISNUMBER(SEARCH("utility",P465)),ISNUMBER(SEARCH("infrastructure",P465)),ISNUMBER(SEARCH("public service",P465))),"Infrastructure &amp; public services","Other"))))))))))))</x:f>
      </x:c>
      <x:c r="J465" s="16" t="str">
        <x:f>IF(A465="","",IF(OR(ISNUMBER(SEARCH("fatal",Q465)),ISNUMBER(SEARCH("death",Q465)),ISNUMBER(SEARCH("riot",Q465)),ISNUMBER(SEARCH("curfew",Q465)),ISNUMBER(SEARCH("internet shutdown",Q465))),5,MIN(4,1+IF(H465&gt;=7,1,0)+IF(OR(ISNUMBER(SEARCH("hunger strike",Q465)),ISNUMBER(SEARCH("blockade",Q465)),ISNUMBER(SEARCH("strike",Q465)),ISNUMBER(SEARCH("jal satyagraha",Q465)),ISNUMBER(SEARCH("survey",Q465)),ISNUMBER(SEARCH("human chain",Q465)),ISNUMBER(SEARCH("march",Q465))),1,0)+IF(OR(ISNUMBER(SEARCH("fir",Q465)),ISNUMBER(SEARCH("confrontation",Q465)),ISNUMBER(SEARCH("violence",Q465)),ISNUMBER(SEARCH("detention",Q465)),ISNUMBER(SEARCH("arrest",Q465)),ISNUMBER(SEARCH("demolition",Q465)),ISNUMBER(SEARCH("injury",Q465))),1,0)+IF(OR(D465="Ongoing",D465="Unresolved"),1,0))))</x:f>
      </x:c>
      <x:c r="K465" s="16" t="str">
        <x:f>IF(J465="","",IF(J465=1,"Limited",IF(J465=2,"Local",IF(J465=3,"Significant",IF(J465=4,"High","Critical")))))</x:f>
      </x:c>
      <x:c r="L465" s="16" t="str">
        <x:f>IF(A465="","",Events!U464)</x:f>
      </x:c>
      <x:c r="M465" s="16" t="str">
        <x:f>IF(A465="","",Events!V464)</x:f>
      </x:c>
      <x:c r="N465" s="16" t="str">
        <x:f>IF(A465="","",Events!Q464)</x:f>
      </x:c>
      <x:c r="O465" s="16" t="str">
        <x:f>IF(A465="","",Events!R464)</x:f>
      </x:c>
      <x:c r="P465" s="16" t="str">
        <x:f>IF(A465="","",LOWER(Events!B464&amp;" "&amp;Events!D464&amp;" "&amp;Events!K464))</x:f>
      </x:c>
      <x:c r="Q465" s="16" t="str">
        <x:f>IF(A465="","",LOWER(Events!C464&amp;" "&amp;Events!K464&amp;" "&amp;Events!T464))</x:f>
      </x:c>
      <x:c r="R465" s="16" t="str">
        <x:f>IF(A465="","",IF(ISNUMBER(SEARCH("Occurrence verified",E465)),"Occurrence verified",E465))</x:f>
      </x:c>
      <x:c r="S465" s="79" t="str">
        <x:f>IF(A465="","",Events!X464)</x:f>
      </x:c>
      <x:c r="Z465" s="79" t="str">
        <x:f>IF(A465="","",Events!AD464)</x:f>
      </x:c>
      <x:c r="AA465" s="79" t="str">
        <x:f>IF(A465="","",Events!AE464)</x:f>
      </x:c>
    </x:row>
    <x:row r="466">
      <x:c r="A466" s="16" t="str">
        <x:f>IF(Events!A465="","",Events!A465)</x:f>
      </x:c>
      <x:c r="B466" s="16" t="str">
        <x:f>IF(A466="","",Events!B465)</x:f>
      </x:c>
      <x:c r="C466" s="16" t="str">
        <x:f>IF(A466="","",Events!E465)</x:f>
      </x:c>
      <x:c r="D466" s="16" t="str">
        <x:f>IF(A466="","",Events!J465)</x:f>
      </x:c>
      <x:c r="E466" s="16" t="str">
        <x:f>IF(A466="","",Events!N465)</x:f>
      </x:c>
      <x:c r="F466" s="109" t="str">
        <x:f>IF(OR(A466="",Events!H465=""),"",Events!H465)</x:f>
      </x:c>
      <x:c r="G466" s="109" t="str">
        <x:f>IF(A466="","",IF(Events!I465&lt;&gt;"",Events!I465,IF(Events!S465&lt;&gt;"",Events!S465,"")))</x:f>
      </x:c>
      <x:c r="H466" s="16" t="str">
        <x:f>IF(A466="","",Events!W465)</x:f>
      </x:c>
      <x:c r="I466" s="16" t="str">
        <x:f>IF(A466="","",IF(Events!Y465&lt;&gt;"",Events!Y465,IF(OR(ISNUMBER(SEARCH("education",P466)),ISNUMBER(SEARCH("exam",P466)),ISNUMBER(SEARCH("school",P466))),"Education",IF(OR(ISNUMBER(SEARCH("trade agreement",P466)),ISNUMBER(SEARCH("economic",P466)),ISNUMBER(SEARCH("import",P466))),"Trade &amp; economic policy",IF(OR(ISNUMBER(SEARCH("land acquisition",P466)),ISNUMBER(SEARCH("rehabilitation",P466)),ISNUMBER(SEARCH("displacement",P466)),ISNUMBER(SEARCH("township",P466))),"Land &amp; rehabilitation",IF(OR(ISNUMBER(SEARCH("forest",P466)),ISNUMBER(SEARCH("environment",P466)),ISNUMBER(SEARCH("ecological",P466)),ISNUMBER(SEARCH("biodiversity",P466)),ISNUMBER(SEARCH("green cover",P466))),"Environment",IF(OR(ISNUMBER(SEARCH("irrigation",P466)),ISNUMBER(SEARCH("water",P466)),ISNUMBER(SEARCH("crop",P466)),ISNUMBER(SEARCH("farmer",P466)),ISNUMBER(SEARCH("agriculture",P466))),"Agriculture &amp; water",IF(OR(ISNUMBER(SEARCH("health",P466)),ISNUMBER(SEARCH("hospital",P466)),ISNUMBER(SEARCH("medicine",P466))),"Public health",IF(OR(ISNUMBER(SEARCH("employee",P466)),ISNUMBER(SEARCH("labour",P466)),ISNUMBER(SEARCH("worker",P466)),ISNUMBER(SEARCH("salary",P466))),"Labour &amp; employment",IF(OR(ISNUMBER(SEARCH("rti",P466)),ISNUMBER(SEARCH("transparency",P466)),ISNUMBER(SEARCH("corruption",P466)),ISNUMBER(SEARCH("governance",P466))),"Governance &amp; transparency",IF(OR(ISNUMBER(SEARCH("police",P466)),ISNUMBER(SEARCH("detention",P466)),ISNUMBER(SEARCH("civil rights",P466)),ISNUMBER(SEARCH("justice",P466))),"Civil rights &amp; justice",IF(OR(ISNUMBER(SEARCH("road",P466)),ISNUMBER(SEARCH("utility",P466)),ISNUMBER(SEARCH("infrastructure",P466)),ISNUMBER(SEARCH("public service",P466))),"Infrastructure &amp; public services","Other"))))))))))))</x:f>
      </x:c>
      <x:c r="J466" s="16" t="str">
        <x:f>IF(A466="","",IF(OR(ISNUMBER(SEARCH("fatal",Q466)),ISNUMBER(SEARCH("death",Q466)),ISNUMBER(SEARCH("riot",Q466)),ISNUMBER(SEARCH("curfew",Q466)),ISNUMBER(SEARCH("internet shutdown",Q466))),5,MIN(4,1+IF(H466&gt;=7,1,0)+IF(OR(ISNUMBER(SEARCH("hunger strike",Q466)),ISNUMBER(SEARCH("blockade",Q466)),ISNUMBER(SEARCH("strike",Q466)),ISNUMBER(SEARCH("jal satyagraha",Q466)),ISNUMBER(SEARCH("survey",Q466)),ISNUMBER(SEARCH("human chain",Q466)),ISNUMBER(SEARCH("march",Q466))),1,0)+IF(OR(ISNUMBER(SEARCH("fir",Q466)),ISNUMBER(SEARCH("confrontation",Q466)),ISNUMBER(SEARCH("violence",Q466)),ISNUMBER(SEARCH("detention",Q466)),ISNUMBER(SEARCH("arrest",Q466)),ISNUMBER(SEARCH("demolition",Q466)),ISNUMBER(SEARCH("injury",Q466))),1,0)+IF(OR(D466="Ongoing",D466="Unresolved"),1,0))))</x:f>
      </x:c>
      <x:c r="K466" s="16" t="str">
        <x:f>IF(J466="","",IF(J466=1,"Limited",IF(J466=2,"Local",IF(J466=3,"Significant",IF(J466=4,"High","Critical")))))</x:f>
      </x:c>
      <x:c r="L466" s="16" t="str">
        <x:f>IF(A466="","",Events!U465)</x:f>
      </x:c>
      <x:c r="M466" s="16" t="str">
        <x:f>IF(A466="","",Events!V465)</x:f>
      </x:c>
      <x:c r="N466" s="16" t="str">
        <x:f>IF(A466="","",Events!Q465)</x:f>
      </x:c>
      <x:c r="O466" s="16" t="str">
        <x:f>IF(A466="","",Events!R465)</x:f>
      </x:c>
      <x:c r="P466" s="16" t="str">
        <x:f>IF(A466="","",LOWER(Events!B465&amp;" "&amp;Events!D465&amp;" "&amp;Events!K465))</x:f>
      </x:c>
      <x:c r="Q466" s="16" t="str">
        <x:f>IF(A466="","",LOWER(Events!C465&amp;" "&amp;Events!K465&amp;" "&amp;Events!T465))</x:f>
      </x:c>
      <x:c r="R466" s="16" t="str">
        <x:f>IF(A466="","",IF(ISNUMBER(SEARCH("Occurrence verified",E466)),"Occurrence verified",E466))</x:f>
      </x:c>
      <x:c r="S466" s="79" t="str">
        <x:f>IF(A466="","",Events!X465)</x:f>
      </x:c>
      <x:c r="Z466" s="79" t="str">
        <x:f>IF(A466="","",Events!AD465)</x:f>
      </x:c>
      <x:c r="AA466" s="79" t="str">
        <x:f>IF(A466="","",Events!AE465)</x:f>
      </x:c>
    </x:row>
    <x:row r="467">
      <x:c r="A467" s="16" t="str">
        <x:f>IF(Events!A466="","",Events!A466)</x:f>
      </x:c>
      <x:c r="B467" s="16" t="str">
        <x:f>IF(A467="","",Events!B466)</x:f>
      </x:c>
      <x:c r="C467" s="16" t="str">
        <x:f>IF(A467="","",Events!E466)</x:f>
      </x:c>
      <x:c r="D467" s="16" t="str">
        <x:f>IF(A467="","",Events!J466)</x:f>
      </x:c>
      <x:c r="E467" s="16" t="str">
        <x:f>IF(A467="","",Events!N466)</x:f>
      </x:c>
      <x:c r="F467" s="109" t="str">
        <x:f>IF(OR(A467="",Events!H466=""),"",Events!H466)</x:f>
      </x:c>
      <x:c r="G467" s="109" t="str">
        <x:f>IF(A467="","",IF(Events!I466&lt;&gt;"",Events!I466,IF(Events!S466&lt;&gt;"",Events!S466,"")))</x:f>
      </x:c>
      <x:c r="H467" s="16" t="str">
        <x:f>IF(A467="","",Events!W466)</x:f>
      </x:c>
      <x:c r="I467" s="16" t="str">
        <x:f>IF(A467="","",IF(Events!Y466&lt;&gt;"",Events!Y466,IF(OR(ISNUMBER(SEARCH("education",P467)),ISNUMBER(SEARCH("exam",P467)),ISNUMBER(SEARCH("school",P467))),"Education",IF(OR(ISNUMBER(SEARCH("trade agreement",P467)),ISNUMBER(SEARCH("economic",P467)),ISNUMBER(SEARCH("import",P467))),"Trade &amp; economic policy",IF(OR(ISNUMBER(SEARCH("land acquisition",P467)),ISNUMBER(SEARCH("rehabilitation",P467)),ISNUMBER(SEARCH("displacement",P467)),ISNUMBER(SEARCH("township",P467))),"Land &amp; rehabilitation",IF(OR(ISNUMBER(SEARCH("forest",P467)),ISNUMBER(SEARCH("environment",P467)),ISNUMBER(SEARCH("ecological",P467)),ISNUMBER(SEARCH("biodiversity",P467)),ISNUMBER(SEARCH("green cover",P467))),"Environment",IF(OR(ISNUMBER(SEARCH("irrigation",P467)),ISNUMBER(SEARCH("water",P467)),ISNUMBER(SEARCH("crop",P467)),ISNUMBER(SEARCH("farmer",P467)),ISNUMBER(SEARCH("agriculture",P467))),"Agriculture &amp; water",IF(OR(ISNUMBER(SEARCH("health",P467)),ISNUMBER(SEARCH("hospital",P467)),ISNUMBER(SEARCH("medicine",P467))),"Public health",IF(OR(ISNUMBER(SEARCH("employee",P467)),ISNUMBER(SEARCH("labour",P467)),ISNUMBER(SEARCH("worker",P467)),ISNUMBER(SEARCH("salary",P467))),"Labour &amp; employment",IF(OR(ISNUMBER(SEARCH("rti",P467)),ISNUMBER(SEARCH("transparency",P467)),ISNUMBER(SEARCH("corruption",P467)),ISNUMBER(SEARCH("governance",P467))),"Governance &amp; transparency",IF(OR(ISNUMBER(SEARCH("police",P467)),ISNUMBER(SEARCH("detention",P467)),ISNUMBER(SEARCH("civil rights",P467)),ISNUMBER(SEARCH("justice",P467))),"Civil rights &amp; justice",IF(OR(ISNUMBER(SEARCH("road",P467)),ISNUMBER(SEARCH("utility",P467)),ISNUMBER(SEARCH("infrastructure",P467)),ISNUMBER(SEARCH("public service",P467))),"Infrastructure &amp; public services","Other"))))))))))))</x:f>
      </x:c>
      <x:c r="J467" s="16" t="str">
        <x:f>IF(A467="","",IF(OR(ISNUMBER(SEARCH("fatal",Q467)),ISNUMBER(SEARCH("death",Q467)),ISNUMBER(SEARCH("riot",Q467)),ISNUMBER(SEARCH("curfew",Q467)),ISNUMBER(SEARCH("internet shutdown",Q467))),5,MIN(4,1+IF(H467&gt;=7,1,0)+IF(OR(ISNUMBER(SEARCH("hunger strike",Q467)),ISNUMBER(SEARCH("blockade",Q467)),ISNUMBER(SEARCH("strike",Q467)),ISNUMBER(SEARCH("jal satyagraha",Q467)),ISNUMBER(SEARCH("survey",Q467)),ISNUMBER(SEARCH("human chain",Q467)),ISNUMBER(SEARCH("march",Q467))),1,0)+IF(OR(ISNUMBER(SEARCH("fir",Q467)),ISNUMBER(SEARCH("confrontation",Q467)),ISNUMBER(SEARCH("violence",Q467)),ISNUMBER(SEARCH("detention",Q467)),ISNUMBER(SEARCH("arrest",Q467)),ISNUMBER(SEARCH("demolition",Q467)),ISNUMBER(SEARCH("injury",Q467))),1,0)+IF(OR(D467="Ongoing",D467="Unresolved"),1,0))))</x:f>
      </x:c>
      <x:c r="K467" s="16" t="str">
        <x:f>IF(J467="","",IF(J467=1,"Limited",IF(J467=2,"Local",IF(J467=3,"Significant",IF(J467=4,"High","Critical")))))</x:f>
      </x:c>
      <x:c r="L467" s="16" t="str">
        <x:f>IF(A467="","",Events!U466)</x:f>
      </x:c>
      <x:c r="M467" s="16" t="str">
        <x:f>IF(A467="","",Events!V466)</x:f>
      </x:c>
      <x:c r="N467" s="16" t="str">
        <x:f>IF(A467="","",Events!Q466)</x:f>
      </x:c>
      <x:c r="O467" s="16" t="str">
        <x:f>IF(A467="","",Events!R466)</x:f>
      </x:c>
      <x:c r="P467" s="16" t="str">
        <x:f>IF(A467="","",LOWER(Events!B466&amp;" "&amp;Events!D466&amp;" "&amp;Events!K466))</x:f>
      </x:c>
      <x:c r="Q467" s="16" t="str">
        <x:f>IF(A467="","",LOWER(Events!C466&amp;" "&amp;Events!K466&amp;" "&amp;Events!T466))</x:f>
      </x:c>
      <x:c r="R467" s="16" t="str">
        <x:f>IF(A467="","",IF(ISNUMBER(SEARCH("Occurrence verified",E467)),"Occurrence verified",E467))</x:f>
      </x:c>
      <x:c r="S467" s="79" t="str">
        <x:f>IF(A467="","",Events!X466)</x:f>
      </x:c>
      <x:c r="Z467" s="79" t="str">
        <x:f>IF(A467="","",Events!AD466)</x:f>
      </x:c>
      <x:c r="AA467" s="79" t="str">
        <x:f>IF(A467="","",Events!AE466)</x:f>
      </x:c>
    </x:row>
    <x:row r="468">
      <x:c r="A468" s="16" t="str">
        <x:f>IF(Events!A467="","",Events!A467)</x:f>
      </x:c>
      <x:c r="B468" s="16" t="str">
        <x:f>IF(A468="","",Events!B467)</x:f>
      </x:c>
      <x:c r="C468" s="16" t="str">
        <x:f>IF(A468="","",Events!E467)</x:f>
      </x:c>
      <x:c r="D468" s="16" t="str">
        <x:f>IF(A468="","",Events!J467)</x:f>
      </x:c>
      <x:c r="E468" s="16" t="str">
        <x:f>IF(A468="","",Events!N467)</x:f>
      </x:c>
      <x:c r="F468" s="109" t="str">
        <x:f>IF(OR(A468="",Events!H467=""),"",Events!H467)</x:f>
      </x:c>
      <x:c r="G468" s="109" t="str">
        <x:f>IF(A468="","",IF(Events!I467&lt;&gt;"",Events!I467,IF(Events!S467&lt;&gt;"",Events!S467,"")))</x:f>
      </x:c>
      <x:c r="H468" s="16" t="str">
        <x:f>IF(A468="","",Events!W467)</x:f>
      </x:c>
      <x:c r="I468" s="16" t="str">
        <x:f>IF(A468="","",IF(Events!Y467&lt;&gt;"",Events!Y467,IF(OR(ISNUMBER(SEARCH("education",P468)),ISNUMBER(SEARCH("exam",P468)),ISNUMBER(SEARCH("school",P468))),"Education",IF(OR(ISNUMBER(SEARCH("trade agreement",P468)),ISNUMBER(SEARCH("economic",P468)),ISNUMBER(SEARCH("import",P468))),"Trade &amp; economic policy",IF(OR(ISNUMBER(SEARCH("land acquisition",P468)),ISNUMBER(SEARCH("rehabilitation",P468)),ISNUMBER(SEARCH("displacement",P468)),ISNUMBER(SEARCH("township",P468))),"Land &amp; rehabilitation",IF(OR(ISNUMBER(SEARCH("forest",P468)),ISNUMBER(SEARCH("environment",P468)),ISNUMBER(SEARCH("ecological",P468)),ISNUMBER(SEARCH("biodiversity",P468)),ISNUMBER(SEARCH("green cover",P468))),"Environment",IF(OR(ISNUMBER(SEARCH("irrigation",P468)),ISNUMBER(SEARCH("water",P468)),ISNUMBER(SEARCH("crop",P468)),ISNUMBER(SEARCH("farmer",P468)),ISNUMBER(SEARCH("agriculture",P468))),"Agriculture &amp; water",IF(OR(ISNUMBER(SEARCH("health",P468)),ISNUMBER(SEARCH("hospital",P468)),ISNUMBER(SEARCH("medicine",P468))),"Public health",IF(OR(ISNUMBER(SEARCH("employee",P468)),ISNUMBER(SEARCH("labour",P468)),ISNUMBER(SEARCH("worker",P468)),ISNUMBER(SEARCH("salary",P468))),"Labour &amp; employment",IF(OR(ISNUMBER(SEARCH("rti",P468)),ISNUMBER(SEARCH("transparency",P468)),ISNUMBER(SEARCH("corruption",P468)),ISNUMBER(SEARCH("governance",P468))),"Governance &amp; transparency",IF(OR(ISNUMBER(SEARCH("police",P468)),ISNUMBER(SEARCH("detention",P468)),ISNUMBER(SEARCH("civil rights",P468)),ISNUMBER(SEARCH("justice",P468))),"Civil rights &amp; justice",IF(OR(ISNUMBER(SEARCH("road",P468)),ISNUMBER(SEARCH("utility",P468)),ISNUMBER(SEARCH("infrastructure",P468)),ISNUMBER(SEARCH("public service",P468))),"Infrastructure &amp; public services","Other"))))))))))))</x:f>
      </x:c>
      <x:c r="J468" s="16" t="str">
        <x:f>IF(A468="","",IF(OR(ISNUMBER(SEARCH("fatal",Q468)),ISNUMBER(SEARCH("death",Q468)),ISNUMBER(SEARCH("riot",Q468)),ISNUMBER(SEARCH("curfew",Q468)),ISNUMBER(SEARCH("internet shutdown",Q468))),5,MIN(4,1+IF(H468&gt;=7,1,0)+IF(OR(ISNUMBER(SEARCH("hunger strike",Q468)),ISNUMBER(SEARCH("blockade",Q468)),ISNUMBER(SEARCH("strike",Q468)),ISNUMBER(SEARCH("jal satyagraha",Q468)),ISNUMBER(SEARCH("survey",Q468)),ISNUMBER(SEARCH("human chain",Q468)),ISNUMBER(SEARCH("march",Q468))),1,0)+IF(OR(ISNUMBER(SEARCH("fir",Q468)),ISNUMBER(SEARCH("confrontation",Q468)),ISNUMBER(SEARCH("violence",Q468)),ISNUMBER(SEARCH("detention",Q468)),ISNUMBER(SEARCH("arrest",Q468)),ISNUMBER(SEARCH("demolition",Q468)),ISNUMBER(SEARCH("injury",Q468))),1,0)+IF(OR(D468="Ongoing",D468="Unresolved"),1,0))))</x:f>
      </x:c>
      <x:c r="K468" s="16" t="str">
        <x:f>IF(J468="","",IF(J468=1,"Limited",IF(J468=2,"Local",IF(J468=3,"Significant",IF(J468=4,"High","Critical")))))</x:f>
      </x:c>
      <x:c r="L468" s="16" t="str">
        <x:f>IF(A468="","",Events!U467)</x:f>
      </x:c>
      <x:c r="M468" s="16" t="str">
        <x:f>IF(A468="","",Events!V467)</x:f>
      </x:c>
      <x:c r="N468" s="16" t="str">
        <x:f>IF(A468="","",Events!Q467)</x:f>
      </x:c>
      <x:c r="O468" s="16" t="str">
        <x:f>IF(A468="","",Events!R467)</x:f>
      </x:c>
      <x:c r="P468" s="16" t="str">
        <x:f>IF(A468="","",LOWER(Events!B467&amp;" "&amp;Events!D467&amp;" "&amp;Events!K467))</x:f>
      </x:c>
      <x:c r="Q468" s="16" t="str">
        <x:f>IF(A468="","",LOWER(Events!C467&amp;" "&amp;Events!K467&amp;" "&amp;Events!T467))</x:f>
      </x:c>
      <x:c r="R468" s="16" t="str">
        <x:f>IF(A468="","",IF(ISNUMBER(SEARCH("Occurrence verified",E468)),"Occurrence verified",E468))</x:f>
      </x:c>
      <x:c r="S468" s="79" t="str">
        <x:f>IF(A468="","",Events!X467)</x:f>
      </x:c>
      <x:c r="Z468" s="79" t="str">
        <x:f>IF(A468="","",Events!AD467)</x:f>
      </x:c>
      <x:c r="AA468" s="79" t="str">
        <x:f>IF(A468="","",Events!AE467)</x:f>
      </x:c>
    </x:row>
    <x:row r="469">
      <x:c r="A469" s="16" t="str">
        <x:f>IF(Events!A468="","",Events!A468)</x:f>
      </x:c>
      <x:c r="B469" s="16" t="str">
        <x:f>IF(A469="","",Events!B468)</x:f>
      </x:c>
      <x:c r="C469" s="16" t="str">
        <x:f>IF(A469="","",Events!E468)</x:f>
      </x:c>
      <x:c r="D469" s="16" t="str">
        <x:f>IF(A469="","",Events!J468)</x:f>
      </x:c>
      <x:c r="E469" s="16" t="str">
        <x:f>IF(A469="","",Events!N468)</x:f>
      </x:c>
      <x:c r="F469" s="109" t="str">
        <x:f>IF(OR(A469="",Events!H468=""),"",Events!H468)</x:f>
      </x:c>
      <x:c r="G469" s="109" t="str">
        <x:f>IF(A469="","",IF(Events!I468&lt;&gt;"",Events!I468,IF(Events!S468&lt;&gt;"",Events!S468,"")))</x:f>
      </x:c>
      <x:c r="H469" s="16" t="str">
        <x:f>IF(A469="","",Events!W468)</x:f>
      </x:c>
      <x:c r="I469" s="16" t="str">
        <x:f>IF(A469="","",IF(Events!Y468&lt;&gt;"",Events!Y468,IF(OR(ISNUMBER(SEARCH("education",P469)),ISNUMBER(SEARCH("exam",P469)),ISNUMBER(SEARCH("school",P469))),"Education",IF(OR(ISNUMBER(SEARCH("trade agreement",P469)),ISNUMBER(SEARCH("economic",P469)),ISNUMBER(SEARCH("import",P469))),"Trade &amp; economic policy",IF(OR(ISNUMBER(SEARCH("land acquisition",P469)),ISNUMBER(SEARCH("rehabilitation",P469)),ISNUMBER(SEARCH("displacement",P469)),ISNUMBER(SEARCH("township",P469))),"Land &amp; rehabilitation",IF(OR(ISNUMBER(SEARCH("forest",P469)),ISNUMBER(SEARCH("environment",P469)),ISNUMBER(SEARCH("ecological",P469)),ISNUMBER(SEARCH("biodiversity",P469)),ISNUMBER(SEARCH("green cover",P469))),"Environment",IF(OR(ISNUMBER(SEARCH("irrigation",P469)),ISNUMBER(SEARCH("water",P469)),ISNUMBER(SEARCH("crop",P469)),ISNUMBER(SEARCH("farmer",P469)),ISNUMBER(SEARCH("agriculture",P469))),"Agriculture &amp; water",IF(OR(ISNUMBER(SEARCH("health",P469)),ISNUMBER(SEARCH("hospital",P469)),ISNUMBER(SEARCH("medicine",P469))),"Public health",IF(OR(ISNUMBER(SEARCH("employee",P469)),ISNUMBER(SEARCH("labour",P469)),ISNUMBER(SEARCH("worker",P469)),ISNUMBER(SEARCH("salary",P469))),"Labour &amp; employment",IF(OR(ISNUMBER(SEARCH("rti",P469)),ISNUMBER(SEARCH("transparency",P469)),ISNUMBER(SEARCH("corruption",P469)),ISNUMBER(SEARCH("governance",P469))),"Governance &amp; transparency",IF(OR(ISNUMBER(SEARCH("police",P469)),ISNUMBER(SEARCH("detention",P469)),ISNUMBER(SEARCH("civil rights",P469)),ISNUMBER(SEARCH("justice",P469))),"Civil rights &amp; justice",IF(OR(ISNUMBER(SEARCH("road",P469)),ISNUMBER(SEARCH("utility",P469)),ISNUMBER(SEARCH("infrastructure",P469)),ISNUMBER(SEARCH("public service",P469))),"Infrastructure &amp; public services","Other"))))))))))))</x:f>
      </x:c>
      <x:c r="J469" s="16" t="str">
        <x:f>IF(A469="","",IF(OR(ISNUMBER(SEARCH("fatal",Q469)),ISNUMBER(SEARCH("death",Q469)),ISNUMBER(SEARCH("riot",Q469)),ISNUMBER(SEARCH("curfew",Q469)),ISNUMBER(SEARCH("internet shutdown",Q469))),5,MIN(4,1+IF(H469&gt;=7,1,0)+IF(OR(ISNUMBER(SEARCH("hunger strike",Q469)),ISNUMBER(SEARCH("blockade",Q469)),ISNUMBER(SEARCH("strike",Q469)),ISNUMBER(SEARCH("jal satyagraha",Q469)),ISNUMBER(SEARCH("survey",Q469)),ISNUMBER(SEARCH("human chain",Q469)),ISNUMBER(SEARCH("march",Q469))),1,0)+IF(OR(ISNUMBER(SEARCH("fir",Q469)),ISNUMBER(SEARCH("confrontation",Q469)),ISNUMBER(SEARCH("violence",Q469)),ISNUMBER(SEARCH("detention",Q469)),ISNUMBER(SEARCH("arrest",Q469)),ISNUMBER(SEARCH("demolition",Q469)),ISNUMBER(SEARCH("injury",Q469))),1,0)+IF(OR(D469="Ongoing",D469="Unresolved"),1,0))))</x:f>
      </x:c>
      <x:c r="K469" s="16" t="str">
        <x:f>IF(J469="","",IF(J469=1,"Limited",IF(J469=2,"Local",IF(J469=3,"Significant",IF(J469=4,"High","Critical")))))</x:f>
      </x:c>
      <x:c r="L469" s="16" t="str">
        <x:f>IF(A469="","",Events!U468)</x:f>
      </x:c>
      <x:c r="M469" s="16" t="str">
        <x:f>IF(A469="","",Events!V468)</x:f>
      </x:c>
      <x:c r="N469" s="16" t="str">
        <x:f>IF(A469="","",Events!Q468)</x:f>
      </x:c>
      <x:c r="O469" s="16" t="str">
        <x:f>IF(A469="","",Events!R468)</x:f>
      </x:c>
      <x:c r="P469" s="16" t="str">
        <x:f>IF(A469="","",LOWER(Events!B468&amp;" "&amp;Events!D468&amp;" "&amp;Events!K468))</x:f>
      </x:c>
      <x:c r="Q469" s="16" t="str">
        <x:f>IF(A469="","",LOWER(Events!C468&amp;" "&amp;Events!K468&amp;" "&amp;Events!T468))</x:f>
      </x:c>
      <x:c r="R469" s="16" t="str">
        <x:f>IF(A469="","",IF(ISNUMBER(SEARCH("Occurrence verified",E469)),"Occurrence verified",E469))</x:f>
      </x:c>
      <x:c r="S469" s="79" t="str">
        <x:f>IF(A469="","",Events!X468)</x:f>
      </x:c>
      <x:c r="Z469" s="79" t="str">
        <x:f>IF(A469="","",Events!AD468)</x:f>
      </x:c>
      <x:c r="AA469" s="79" t="str">
        <x:f>IF(A469="","",Events!AE468)</x:f>
      </x:c>
    </x:row>
    <x:row r="470">
      <x:c r="A470" s="16" t="str">
        <x:f>IF(Events!A469="","",Events!A469)</x:f>
      </x:c>
      <x:c r="B470" s="16" t="str">
        <x:f>IF(A470="","",Events!B469)</x:f>
      </x:c>
      <x:c r="C470" s="16" t="str">
        <x:f>IF(A470="","",Events!E469)</x:f>
      </x:c>
      <x:c r="D470" s="16" t="str">
        <x:f>IF(A470="","",Events!J469)</x:f>
      </x:c>
      <x:c r="E470" s="16" t="str">
        <x:f>IF(A470="","",Events!N469)</x:f>
      </x:c>
      <x:c r="F470" s="109" t="str">
        <x:f>IF(OR(A470="",Events!H469=""),"",Events!H469)</x:f>
      </x:c>
      <x:c r="G470" s="109" t="str">
        <x:f>IF(A470="","",IF(Events!I469&lt;&gt;"",Events!I469,IF(Events!S469&lt;&gt;"",Events!S469,"")))</x:f>
      </x:c>
      <x:c r="H470" s="16" t="str">
        <x:f>IF(A470="","",Events!W469)</x:f>
      </x:c>
      <x:c r="I470" s="16" t="str">
        <x:f>IF(A470="","",IF(Events!Y469&lt;&gt;"",Events!Y469,IF(OR(ISNUMBER(SEARCH("education",P470)),ISNUMBER(SEARCH("exam",P470)),ISNUMBER(SEARCH("school",P470))),"Education",IF(OR(ISNUMBER(SEARCH("trade agreement",P470)),ISNUMBER(SEARCH("economic",P470)),ISNUMBER(SEARCH("import",P470))),"Trade &amp; economic policy",IF(OR(ISNUMBER(SEARCH("land acquisition",P470)),ISNUMBER(SEARCH("rehabilitation",P470)),ISNUMBER(SEARCH("displacement",P470)),ISNUMBER(SEARCH("township",P470))),"Land &amp; rehabilitation",IF(OR(ISNUMBER(SEARCH("forest",P470)),ISNUMBER(SEARCH("environment",P470)),ISNUMBER(SEARCH("ecological",P470)),ISNUMBER(SEARCH("biodiversity",P470)),ISNUMBER(SEARCH("green cover",P470))),"Environment",IF(OR(ISNUMBER(SEARCH("irrigation",P470)),ISNUMBER(SEARCH("water",P470)),ISNUMBER(SEARCH("crop",P470)),ISNUMBER(SEARCH("farmer",P470)),ISNUMBER(SEARCH("agriculture",P470))),"Agriculture &amp; water",IF(OR(ISNUMBER(SEARCH("health",P470)),ISNUMBER(SEARCH("hospital",P470)),ISNUMBER(SEARCH("medicine",P470))),"Public health",IF(OR(ISNUMBER(SEARCH("employee",P470)),ISNUMBER(SEARCH("labour",P470)),ISNUMBER(SEARCH("worker",P470)),ISNUMBER(SEARCH("salary",P470))),"Labour &amp; employment",IF(OR(ISNUMBER(SEARCH("rti",P470)),ISNUMBER(SEARCH("transparency",P470)),ISNUMBER(SEARCH("corruption",P470)),ISNUMBER(SEARCH("governance",P470))),"Governance &amp; transparency",IF(OR(ISNUMBER(SEARCH("police",P470)),ISNUMBER(SEARCH("detention",P470)),ISNUMBER(SEARCH("civil rights",P470)),ISNUMBER(SEARCH("justice",P470))),"Civil rights &amp; justice",IF(OR(ISNUMBER(SEARCH("road",P470)),ISNUMBER(SEARCH("utility",P470)),ISNUMBER(SEARCH("infrastructure",P470)),ISNUMBER(SEARCH("public service",P470))),"Infrastructure &amp; public services","Other"))))))))))))</x:f>
      </x:c>
      <x:c r="J470" s="16" t="str">
        <x:f>IF(A470="","",IF(OR(ISNUMBER(SEARCH("fatal",Q470)),ISNUMBER(SEARCH("death",Q470)),ISNUMBER(SEARCH("riot",Q470)),ISNUMBER(SEARCH("curfew",Q470)),ISNUMBER(SEARCH("internet shutdown",Q470))),5,MIN(4,1+IF(H470&gt;=7,1,0)+IF(OR(ISNUMBER(SEARCH("hunger strike",Q470)),ISNUMBER(SEARCH("blockade",Q470)),ISNUMBER(SEARCH("strike",Q470)),ISNUMBER(SEARCH("jal satyagraha",Q470)),ISNUMBER(SEARCH("survey",Q470)),ISNUMBER(SEARCH("human chain",Q470)),ISNUMBER(SEARCH("march",Q470))),1,0)+IF(OR(ISNUMBER(SEARCH("fir",Q470)),ISNUMBER(SEARCH("confrontation",Q470)),ISNUMBER(SEARCH("violence",Q470)),ISNUMBER(SEARCH("detention",Q470)),ISNUMBER(SEARCH("arrest",Q470)),ISNUMBER(SEARCH("demolition",Q470)),ISNUMBER(SEARCH("injury",Q470))),1,0)+IF(OR(D470="Ongoing",D470="Unresolved"),1,0))))</x:f>
      </x:c>
      <x:c r="K470" s="16" t="str">
        <x:f>IF(J470="","",IF(J470=1,"Limited",IF(J470=2,"Local",IF(J470=3,"Significant",IF(J470=4,"High","Critical")))))</x:f>
      </x:c>
      <x:c r="L470" s="16" t="str">
        <x:f>IF(A470="","",Events!U469)</x:f>
      </x:c>
      <x:c r="M470" s="16" t="str">
        <x:f>IF(A470="","",Events!V469)</x:f>
      </x:c>
      <x:c r="N470" s="16" t="str">
        <x:f>IF(A470="","",Events!Q469)</x:f>
      </x:c>
      <x:c r="O470" s="16" t="str">
        <x:f>IF(A470="","",Events!R469)</x:f>
      </x:c>
      <x:c r="P470" s="16" t="str">
        <x:f>IF(A470="","",LOWER(Events!B469&amp;" "&amp;Events!D469&amp;" "&amp;Events!K469))</x:f>
      </x:c>
      <x:c r="Q470" s="16" t="str">
        <x:f>IF(A470="","",LOWER(Events!C469&amp;" "&amp;Events!K469&amp;" "&amp;Events!T469))</x:f>
      </x:c>
      <x:c r="R470" s="16" t="str">
        <x:f>IF(A470="","",IF(ISNUMBER(SEARCH("Occurrence verified",E470)),"Occurrence verified",E470))</x:f>
      </x:c>
      <x:c r="S470" s="79" t="str">
        <x:f>IF(A470="","",Events!X469)</x:f>
      </x:c>
      <x:c r="Z470" s="79" t="str">
        <x:f>IF(A470="","",Events!AD469)</x:f>
      </x:c>
      <x:c r="AA470" s="79" t="str">
        <x:f>IF(A470="","",Events!AE469)</x:f>
      </x:c>
    </x:row>
    <x:row r="471">
      <x:c r="A471" s="16" t="str">
        <x:f>IF(Events!A470="","",Events!A470)</x:f>
      </x:c>
      <x:c r="B471" s="16" t="str">
        <x:f>IF(A471="","",Events!B470)</x:f>
      </x:c>
      <x:c r="C471" s="16" t="str">
        <x:f>IF(A471="","",Events!E470)</x:f>
      </x:c>
      <x:c r="D471" s="16" t="str">
        <x:f>IF(A471="","",Events!J470)</x:f>
      </x:c>
      <x:c r="E471" s="16" t="str">
        <x:f>IF(A471="","",Events!N470)</x:f>
      </x:c>
      <x:c r="F471" s="109" t="str">
        <x:f>IF(OR(A471="",Events!H470=""),"",Events!H470)</x:f>
      </x:c>
      <x:c r="G471" s="109" t="str">
        <x:f>IF(A471="","",IF(Events!I470&lt;&gt;"",Events!I470,IF(Events!S470&lt;&gt;"",Events!S470,"")))</x:f>
      </x:c>
      <x:c r="H471" s="16" t="str">
        <x:f>IF(A471="","",Events!W470)</x:f>
      </x:c>
      <x:c r="I471" s="16" t="str">
        <x:f>IF(A471="","",IF(Events!Y470&lt;&gt;"",Events!Y470,IF(OR(ISNUMBER(SEARCH("education",P471)),ISNUMBER(SEARCH("exam",P471)),ISNUMBER(SEARCH("school",P471))),"Education",IF(OR(ISNUMBER(SEARCH("trade agreement",P471)),ISNUMBER(SEARCH("economic",P471)),ISNUMBER(SEARCH("import",P471))),"Trade &amp; economic policy",IF(OR(ISNUMBER(SEARCH("land acquisition",P471)),ISNUMBER(SEARCH("rehabilitation",P471)),ISNUMBER(SEARCH("displacement",P471)),ISNUMBER(SEARCH("township",P471))),"Land &amp; rehabilitation",IF(OR(ISNUMBER(SEARCH("forest",P471)),ISNUMBER(SEARCH("environment",P471)),ISNUMBER(SEARCH("ecological",P471)),ISNUMBER(SEARCH("biodiversity",P471)),ISNUMBER(SEARCH("green cover",P471))),"Environment",IF(OR(ISNUMBER(SEARCH("irrigation",P471)),ISNUMBER(SEARCH("water",P471)),ISNUMBER(SEARCH("crop",P471)),ISNUMBER(SEARCH("farmer",P471)),ISNUMBER(SEARCH("agriculture",P471))),"Agriculture &amp; water",IF(OR(ISNUMBER(SEARCH("health",P471)),ISNUMBER(SEARCH("hospital",P471)),ISNUMBER(SEARCH("medicine",P471))),"Public health",IF(OR(ISNUMBER(SEARCH("employee",P471)),ISNUMBER(SEARCH("labour",P471)),ISNUMBER(SEARCH("worker",P471)),ISNUMBER(SEARCH("salary",P471))),"Labour &amp; employment",IF(OR(ISNUMBER(SEARCH("rti",P471)),ISNUMBER(SEARCH("transparency",P471)),ISNUMBER(SEARCH("corruption",P471)),ISNUMBER(SEARCH("governance",P471))),"Governance &amp; transparency",IF(OR(ISNUMBER(SEARCH("police",P471)),ISNUMBER(SEARCH("detention",P471)),ISNUMBER(SEARCH("civil rights",P471)),ISNUMBER(SEARCH("justice",P471))),"Civil rights &amp; justice",IF(OR(ISNUMBER(SEARCH("road",P471)),ISNUMBER(SEARCH("utility",P471)),ISNUMBER(SEARCH("infrastructure",P471)),ISNUMBER(SEARCH("public service",P471))),"Infrastructure &amp; public services","Other"))))))))))))</x:f>
      </x:c>
      <x:c r="J471" s="16" t="str">
        <x:f>IF(A471="","",IF(OR(ISNUMBER(SEARCH("fatal",Q471)),ISNUMBER(SEARCH("death",Q471)),ISNUMBER(SEARCH("riot",Q471)),ISNUMBER(SEARCH("curfew",Q471)),ISNUMBER(SEARCH("internet shutdown",Q471))),5,MIN(4,1+IF(H471&gt;=7,1,0)+IF(OR(ISNUMBER(SEARCH("hunger strike",Q471)),ISNUMBER(SEARCH("blockade",Q471)),ISNUMBER(SEARCH("strike",Q471)),ISNUMBER(SEARCH("jal satyagraha",Q471)),ISNUMBER(SEARCH("survey",Q471)),ISNUMBER(SEARCH("human chain",Q471)),ISNUMBER(SEARCH("march",Q471))),1,0)+IF(OR(ISNUMBER(SEARCH("fir",Q471)),ISNUMBER(SEARCH("confrontation",Q471)),ISNUMBER(SEARCH("violence",Q471)),ISNUMBER(SEARCH("detention",Q471)),ISNUMBER(SEARCH("arrest",Q471)),ISNUMBER(SEARCH("demolition",Q471)),ISNUMBER(SEARCH("injury",Q471))),1,0)+IF(OR(D471="Ongoing",D471="Unresolved"),1,0))))</x:f>
      </x:c>
      <x:c r="K471" s="16" t="str">
        <x:f>IF(J471="","",IF(J471=1,"Limited",IF(J471=2,"Local",IF(J471=3,"Significant",IF(J471=4,"High","Critical")))))</x:f>
      </x:c>
      <x:c r="L471" s="16" t="str">
        <x:f>IF(A471="","",Events!U470)</x:f>
      </x:c>
      <x:c r="M471" s="16" t="str">
        <x:f>IF(A471="","",Events!V470)</x:f>
      </x:c>
      <x:c r="N471" s="16" t="str">
        <x:f>IF(A471="","",Events!Q470)</x:f>
      </x:c>
      <x:c r="O471" s="16" t="str">
        <x:f>IF(A471="","",Events!R470)</x:f>
      </x:c>
      <x:c r="P471" s="16" t="str">
        <x:f>IF(A471="","",LOWER(Events!B470&amp;" "&amp;Events!D470&amp;" "&amp;Events!K470))</x:f>
      </x:c>
      <x:c r="Q471" s="16" t="str">
        <x:f>IF(A471="","",LOWER(Events!C470&amp;" "&amp;Events!K470&amp;" "&amp;Events!T470))</x:f>
      </x:c>
      <x:c r="R471" s="16" t="str">
        <x:f>IF(A471="","",IF(ISNUMBER(SEARCH("Occurrence verified",E471)),"Occurrence verified",E471))</x:f>
      </x:c>
      <x:c r="S471" s="79" t="str">
        <x:f>IF(A471="","",Events!X470)</x:f>
      </x:c>
      <x:c r="Z471" s="79" t="str">
        <x:f>IF(A471="","",Events!AD470)</x:f>
      </x:c>
      <x:c r="AA471" s="79" t="str">
        <x:f>IF(A471="","",Events!AE470)</x:f>
      </x:c>
    </x:row>
    <x:row r="472">
      <x:c r="A472" s="16" t="str">
        <x:f>IF(Events!A471="","",Events!A471)</x:f>
      </x:c>
      <x:c r="B472" s="16" t="str">
        <x:f>IF(A472="","",Events!B471)</x:f>
      </x:c>
      <x:c r="C472" s="16" t="str">
        <x:f>IF(A472="","",Events!E471)</x:f>
      </x:c>
      <x:c r="D472" s="16" t="str">
        <x:f>IF(A472="","",Events!J471)</x:f>
      </x:c>
      <x:c r="E472" s="16" t="str">
        <x:f>IF(A472="","",Events!N471)</x:f>
      </x:c>
      <x:c r="F472" s="109" t="str">
        <x:f>IF(OR(A472="",Events!H471=""),"",Events!H471)</x:f>
      </x:c>
      <x:c r="G472" s="109" t="str">
        <x:f>IF(A472="","",IF(Events!I471&lt;&gt;"",Events!I471,IF(Events!S471&lt;&gt;"",Events!S471,"")))</x:f>
      </x:c>
      <x:c r="H472" s="16" t="str">
        <x:f>IF(A472="","",Events!W471)</x:f>
      </x:c>
      <x:c r="I472" s="16" t="str">
        <x:f>IF(A472="","",IF(Events!Y471&lt;&gt;"",Events!Y471,IF(OR(ISNUMBER(SEARCH("education",P472)),ISNUMBER(SEARCH("exam",P472)),ISNUMBER(SEARCH("school",P472))),"Education",IF(OR(ISNUMBER(SEARCH("trade agreement",P472)),ISNUMBER(SEARCH("economic",P472)),ISNUMBER(SEARCH("import",P472))),"Trade &amp; economic policy",IF(OR(ISNUMBER(SEARCH("land acquisition",P472)),ISNUMBER(SEARCH("rehabilitation",P472)),ISNUMBER(SEARCH("displacement",P472)),ISNUMBER(SEARCH("township",P472))),"Land &amp; rehabilitation",IF(OR(ISNUMBER(SEARCH("forest",P472)),ISNUMBER(SEARCH("environment",P472)),ISNUMBER(SEARCH("ecological",P472)),ISNUMBER(SEARCH("biodiversity",P472)),ISNUMBER(SEARCH("green cover",P472))),"Environment",IF(OR(ISNUMBER(SEARCH("irrigation",P472)),ISNUMBER(SEARCH("water",P472)),ISNUMBER(SEARCH("crop",P472)),ISNUMBER(SEARCH("farmer",P472)),ISNUMBER(SEARCH("agriculture",P472))),"Agriculture &amp; water",IF(OR(ISNUMBER(SEARCH("health",P472)),ISNUMBER(SEARCH("hospital",P472)),ISNUMBER(SEARCH("medicine",P472))),"Public health",IF(OR(ISNUMBER(SEARCH("employee",P472)),ISNUMBER(SEARCH("labour",P472)),ISNUMBER(SEARCH("worker",P472)),ISNUMBER(SEARCH("salary",P472))),"Labour &amp; employment",IF(OR(ISNUMBER(SEARCH("rti",P472)),ISNUMBER(SEARCH("transparency",P472)),ISNUMBER(SEARCH("corruption",P472)),ISNUMBER(SEARCH("governance",P472))),"Governance &amp; transparency",IF(OR(ISNUMBER(SEARCH("police",P472)),ISNUMBER(SEARCH("detention",P472)),ISNUMBER(SEARCH("civil rights",P472)),ISNUMBER(SEARCH("justice",P472))),"Civil rights &amp; justice",IF(OR(ISNUMBER(SEARCH("road",P472)),ISNUMBER(SEARCH("utility",P472)),ISNUMBER(SEARCH("infrastructure",P472)),ISNUMBER(SEARCH("public service",P472))),"Infrastructure &amp; public services","Other"))))))))))))</x:f>
      </x:c>
      <x:c r="J472" s="16" t="str">
        <x:f>IF(A472="","",IF(OR(ISNUMBER(SEARCH("fatal",Q472)),ISNUMBER(SEARCH("death",Q472)),ISNUMBER(SEARCH("riot",Q472)),ISNUMBER(SEARCH("curfew",Q472)),ISNUMBER(SEARCH("internet shutdown",Q472))),5,MIN(4,1+IF(H472&gt;=7,1,0)+IF(OR(ISNUMBER(SEARCH("hunger strike",Q472)),ISNUMBER(SEARCH("blockade",Q472)),ISNUMBER(SEARCH("strike",Q472)),ISNUMBER(SEARCH("jal satyagraha",Q472)),ISNUMBER(SEARCH("survey",Q472)),ISNUMBER(SEARCH("human chain",Q472)),ISNUMBER(SEARCH("march",Q472))),1,0)+IF(OR(ISNUMBER(SEARCH("fir",Q472)),ISNUMBER(SEARCH("confrontation",Q472)),ISNUMBER(SEARCH("violence",Q472)),ISNUMBER(SEARCH("detention",Q472)),ISNUMBER(SEARCH("arrest",Q472)),ISNUMBER(SEARCH("demolition",Q472)),ISNUMBER(SEARCH("injury",Q472))),1,0)+IF(OR(D472="Ongoing",D472="Unresolved"),1,0))))</x:f>
      </x:c>
      <x:c r="K472" s="16" t="str">
        <x:f>IF(J472="","",IF(J472=1,"Limited",IF(J472=2,"Local",IF(J472=3,"Significant",IF(J472=4,"High","Critical")))))</x:f>
      </x:c>
      <x:c r="L472" s="16" t="str">
        <x:f>IF(A472="","",Events!U471)</x:f>
      </x:c>
      <x:c r="M472" s="16" t="str">
        <x:f>IF(A472="","",Events!V471)</x:f>
      </x:c>
      <x:c r="N472" s="16" t="str">
        <x:f>IF(A472="","",Events!Q471)</x:f>
      </x:c>
      <x:c r="O472" s="16" t="str">
        <x:f>IF(A472="","",Events!R471)</x:f>
      </x:c>
      <x:c r="P472" s="16" t="str">
        <x:f>IF(A472="","",LOWER(Events!B471&amp;" "&amp;Events!D471&amp;" "&amp;Events!K471))</x:f>
      </x:c>
      <x:c r="Q472" s="16" t="str">
        <x:f>IF(A472="","",LOWER(Events!C471&amp;" "&amp;Events!K471&amp;" "&amp;Events!T471))</x:f>
      </x:c>
      <x:c r="R472" s="16" t="str">
        <x:f>IF(A472="","",IF(ISNUMBER(SEARCH("Occurrence verified",E472)),"Occurrence verified",E472))</x:f>
      </x:c>
      <x:c r="S472" s="79" t="str">
        <x:f>IF(A472="","",Events!X471)</x:f>
      </x:c>
      <x:c r="Z472" s="79" t="str">
        <x:f>IF(A472="","",Events!AD471)</x:f>
      </x:c>
      <x:c r="AA472" s="79" t="str">
        <x:f>IF(A472="","",Events!AE471)</x:f>
      </x:c>
    </x:row>
    <x:row r="473">
      <x:c r="A473" s="16" t="str">
        <x:f>IF(Events!A472="","",Events!A472)</x:f>
      </x:c>
      <x:c r="B473" s="16" t="str">
        <x:f>IF(A473="","",Events!B472)</x:f>
      </x:c>
      <x:c r="C473" s="16" t="str">
        <x:f>IF(A473="","",Events!E472)</x:f>
      </x:c>
      <x:c r="D473" s="16" t="str">
        <x:f>IF(A473="","",Events!J472)</x:f>
      </x:c>
      <x:c r="E473" s="16" t="str">
        <x:f>IF(A473="","",Events!N472)</x:f>
      </x:c>
      <x:c r="F473" s="109" t="str">
        <x:f>IF(OR(A473="",Events!H472=""),"",Events!H472)</x:f>
      </x:c>
      <x:c r="G473" s="109" t="str">
        <x:f>IF(A473="","",IF(Events!I472&lt;&gt;"",Events!I472,IF(Events!S472&lt;&gt;"",Events!S472,"")))</x:f>
      </x:c>
      <x:c r="H473" s="16" t="str">
        <x:f>IF(A473="","",Events!W472)</x:f>
      </x:c>
      <x:c r="I473" s="16" t="str">
        <x:f>IF(A473="","",IF(Events!Y472&lt;&gt;"",Events!Y472,IF(OR(ISNUMBER(SEARCH("education",P473)),ISNUMBER(SEARCH("exam",P473)),ISNUMBER(SEARCH("school",P473))),"Education",IF(OR(ISNUMBER(SEARCH("trade agreement",P473)),ISNUMBER(SEARCH("economic",P473)),ISNUMBER(SEARCH("import",P473))),"Trade &amp; economic policy",IF(OR(ISNUMBER(SEARCH("land acquisition",P473)),ISNUMBER(SEARCH("rehabilitation",P473)),ISNUMBER(SEARCH("displacement",P473)),ISNUMBER(SEARCH("township",P473))),"Land &amp; rehabilitation",IF(OR(ISNUMBER(SEARCH("forest",P473)),ISNUMBER(SEARCH("environment",P473)),ISNUMBER(SEARCH("ecological",P473)),ISNUMBER(SEARCH("biodiversity",P473)),ISNUMBER(SEARCH("green cover",P473))),"Environment",IF(OR(ISNUMBER(SEARCH("irrigation",P473)),ISNUMBER(SEARCH("water",P473)),ISNUMBER(SEARCH("crop",P473)),ISNUMBER(SEARCH("farmer",P473)),ISNUMBER(SEARCH("agriculture",P473))),"Agriculture &amp; water",IF(OR(ISNUMBER(SEARCH("health",P473)),ISNUMBER(SEARCH("hospital",P473)),ISNUMBER(SEARCH("medicine",P473))),"Public health",IF(OR(ISNUMBER(SEARCH("employee",P473)),ISNUMBER(SEARCH("labour",P473)),ISNUMBER(SEARCH("worker",P473)),ISNUMBER(SEARCH("salary",P473))),"Labour &amp; employment",IF(OR(ISNUMBER(SEARCH("rti",P473)),ISNUMBER(SEARCH("transparency",P473)),ISNUMBER(SEARCH("corruption",P473)),ISNUMBER(SEARCH("governance",P473))),"Governance &amp; transparency",IF(OR(ISNUMBER(SEARCH("police",P473)),ISNUMBER(SEARCH("detention",P473)),ISNUMBER(SEARCH("civil rights",P473)),ISNUMBER(SEARCH("justice",P473))),"Civil rights &amp; justice",IF(OR(ISNUMBER(SEARCH("road",P473)),ISNUMBER(SEARCH("utility",P473)),ISNUMBER(SEARCH("infrastructure",P473)),ISNUMBER(SEARCH("public service",P473))),"Infrastructure &amp; public services","Other"))))))))))))</x:f>
      </x:c>
      <x:c r="J473" s="16" t="str">
        <x:f>IF(A473="","",IF(OR(ISNUMBER(SEARCH("fatal",Q473)),ISNUMBER(SEARCH("death",Q473)),ISNUMBER(SEARCH("riot",Q473)),ISNUMBER(SEARCH("curfew",Q473)),ISNUMBER(SEARCH("internet shutdown",Q473))),5,MIN(4,1+IF(H473&gt;=7,1,0)+IF(OR(ISNUMBER(SEARCH("hunger strike",Q473)),ISNUMBER(SEARCH("blockade",Q473)),ISNUMBER(SEARCH("strike",Q473)),ISNUMBER(SEARCH("jal satyagraha",Q473)),ISNUMBER(SEARCH("survey",Q473)),ISNUMBER(SEARCH("human chain",Q473)),ISNUMBER(SEARCH("march",Q473))),1,0)+IF(OR(ISNUMBER(SEARCH("fir",Q473)),ISNUMBER(SEARCH("confrontation",Q473)),ISNUMBER(SEARCH("violence",Q473)),ISNUMBER(SEARCH("detention",Q473)),ISNUMBER(SEARCH("arrest",Q473)),ISNUMBER(SEARCH("demolition",Q473)),ISNUMBER(SEARCH("injury",Q473))),1,0)+IF(OR(D473="Ongoing",D473="Unresolved"),1,0))))</x:f>
      </x:c>
      <x:c r="K473" s="16" t="str">
        <x:f>IF(J473="","",IF(J473=1,"Limited",IF(J473=2,"Local",IF(J473=3,"Significant",IF(J473=4,"High","Critical")))))</x:f>
      </x:c>
      <x:c r="L473" s="16" t="str">
        <x:f>IF(A473="","",Events!U472)</x:f>
      </x:c>
      <x:c r="M473" s="16" t="str">
        <x:f>IF(A473="","",Events!V472)</x:f>
      </x:c>
      <x:c r="N473" s="16" t="str">
        <x:f>IF(A473="","",Events!Q472)</x:f>
      </x:c>
      <x:c r="O473" s="16" t="str">
        <x:f>IF(A473="","",Events!R472)</x:f>
      </x:c>
      <x:c r="P473" s="16" t="str">
        <x:f>IF(A473="","",LOWER(Events!B472&amp;" "&amp;Events!D472&amp;" "&amp;Events!K472))</x:f>
      </x:c>
      <x:c r="Q473" s="16" t="str">
        <x:f>IF(A473="","",LOWER(Events!C472&amp;" "&amp;Events!K472&amp;" "&amp;Events!T472))</x:f>
      </x:c>
      <x:c r="R473" s="16" t="str">
        <x:f>IF(A473="","",IF(ISNUMBER(SEARCH("Occurrence verified",E473)),"Occurrence verified",E473))</x:f>
      </x:c>
      <x:c r="S473" s="79" t="str">
        <x:f>IF(A473="","",Events!X472)</x:f>
      </x:c>
      <x:c r="Z473" s="79" t="str">
        <x:f>IF(A473="","",Events!AD472)</x:f>
      </x:c>
      <x:c r="AA473" s="79" t="str">
        <x:f>IF(A473="","",Events!AE472)</x:f>
      </x:c>
    </x:row>
    <x:row r="474">
      <x:c r="A474" s="16" t="str">
        <x:f>IF(Events!A473="","",Events!A473)</x:f>
      </x:c>
      <x:c r="B474" s="16" t="str">
        <x:f>IF(A474="","",Events!B473)</x:f>
      </x:c>
      <x:c r="C474" s="16" t="str">
        <x:f>IF(A474="","",Events!E473)</x:f>
      </x:c>
      <x:c r="D474" s="16" t="str">
        <x:f>IF(A474="","",Events!J473)</x:f>
      </x:c>
      <x:c r="E474" s="16" t="str">
        <x:f>IF(A474="","",Events!N473)</x:f>
      </x:c>
      <x:c r="F474" s="109" t="str">
        <x:f>IF(OR(A474="",Events!H473=""),"",Events!H473)</x:f>
      </x:c>
      <x:c r="G474" s="109" t="str">
        <x:f>IF(A474="","",IF(Events!I473&lt;&gt;"",Events!I473,IF(Events!S473&lt;&gt;"",Events!S473,"")))</x:f>
      </x:c>
      <x:c r="H474" s="16" t="str">
        <x:f>IF(A474="","",Events!W473)</x:f>
      </x:c>
      <x:c r="I474" s="16" t="str">
        <x:f>IF(A474="","",IF(Events!Y473&lt;&gt;"",Events!Y473,IF(OR(ISNUMBER(SEARCH("education",P474)),ISNUMBER(SEARCH("exam",P474)),ISNUMBER(SEARCH("school",P474))),"Education",IF(OR(ISNUMBER(SEARCH("trade agreement",P474)),ISNUMBER(SEARCH("economic",P474)),ISNUMBER(SEARCH("import",P474))),"Trade &amp; economic policy",IF(OR(ISNUMBER(SEARCH("land acquisition",P474)),ISNUMBER(SEARCH("rehabilitation",P474)),ISNUMBER(SEARCH("displacement",P474)),ISNUMBER(SEARCH("township",P474))),"Land &amp; rehabilitation",IF(OR(ISNUMBER(SEARCH("forest",P474)),ISNUMBER(SEARCH("environment",P474)),ISNUMBER(SEARCH("ecological",P474)),ISNUMBER(SEARCH("biodiversity",P474)),ISNUMBER(SEARCH("green cover",P474))),"Environment",IF(OR(ISNUMBER(SEARCH("irrigation",P474)),ISNUMBER(SEARCH("water",P474)),ISNUMBER(SEARCH("crop",P474)),ISNUMBER(SEARCH("farmer",P474)),ISNUMBER(SEARCH("agriculture",P474))),"Agriculture &amp; water",IF(OR(ISNUMBER(SEARCH("health",P474)),ISNUMBER(SEARCH("hospital",P474)),ISNUMBER(SEARCH("medicine",P474))),"Public health",IF(OR(ISNUMBER(SEARCH("employee",P474)),ISNUMBER(SEARCH("labour",P474)),ISNUMBER(SEARCH("worker",P474)),ISNUMBER(SEARCH("salary",P474))),"Labour &amp; employment",IF(OR(ISNUMBER(SEARCH("rti",P474)),ISNUMBER(SEARCH("transparency",P474)),ISNUMBER(SEARCH("corruption",P474)),ISNUMBER(SEARCH("governance",P474))),"Governance &amp; transparency",IF(OR(ISNUMBER(SEARCH("police",P474)),ISNUMBER(SEARCH("detention",P474)),ISNUMBER(SEARCH("civil rights",P474)),ISNUMBER(SEARCH("justice",P474))),"Civil rights &amp; justice",IF(OR(ISNUMBER(SEARCH("road",P474)),ISNUMBER(SEARCH("utility",P474)),ISNUMBER(SEARCH("infrastructure",P474)),ISNUMBER(SEARCH("public service",P474))),"Infrastructure &amp; public services","Other"))))))))))))</x:f>
      </x:c>
      <x:c r="J474" s="16" t="str">
        <x:f>IF(A474="","",IF(OR(ISNUMBER(SEARCH("fatal",Q474)),ISNUMBER(SEARCH("death",Q474)),ISNUMBER(SEARCH("riot",Q474)),ISNUMBER(SEARCH("curfew",Q474)),ISNUMBER(SEARCH("internet shutdown",Q474))),5,MIN(4,1+IF(H474&gt;=7,1,0)+IF(OR(ISNUMBER(SEARCH("hunger strike",Q474)),ISNUMBER(SEARCH("blockade",Q474)),ISNUMBER(SEARCH("strike",Q474)),ISNUMBER(SEARCH("jal satyagraha",Q474)),ISNUMBER(SEARCH("survey",Q474)),ISNUMBER(SEARCH("human chain",Q474)),ISNUMBER(SEARCH("march",Q474))),1,0)+IF(OR(ISNUMBER(SEARCH("fir",Q474)),ISNUMBER(SEARCH("confrontation",Q474)),ISNUMBER(SEARCH("violence",Q474)),ISNUMBER(SEARCH("detention",Q474)),ISNUMBER(SEARCH("arrest",Q474)),ISNUMBER(SEARCH("demolition",Q474)),ISNUMBER(SEARCH("injury",Q474))),1,0)+IF(OR(D474="Ongoing",D474="Unresolved"),1,0))))</x:f>
      </x:c>
      <x:c r="K474" s="16" t="str">
        <x:f>IF(J474="","",IF(J474=1,"Limited",IF(J474=2,"Local",IF(J474=3,"Significant",IF(J474=4,"High","Critical")))))</x:f>
      </x:c>
      <x:c r="L474" s="16" t="str">
        <x:f>IF(A474="","",Events!U473)</x:f>
      </x:c>
      <x:c r="M474" s="16" t="str">
        <x:f>IF(A474="","",Events!V473)</x:f>
      </x:c>
      <x:c r="N474" s="16" t="str">
        <x:f>IF(A474="","",Events!Q473)</x:f>
      </x:c>
      <x:c r="O474" s="16" t="str">
        <x:f>IF(A474="","",Events!R473)</x:f>
      </x:c>
      <x:c r="P474" s="16" t="str">
        <x:f>IF(A474="","",LOWER(Events!B473&amp;" "&amp;Events!D473&amp;" "&amp;Events!K473))</x:f>
      </x:c>
      <x:c r="Q474" s="16" t="str">
        <x:f>IF(A474="","",LOWER(Events!C473&amp;" "&amp;Events!K473&amp;" "&amp;Events!T473))</x:f>
      </x:c>
      <x:c r="R474" s="16" t="str">
        <x:f>IF(A474="","",IF(ISNUMBER(SEARCH("Occurrence verified",E474)),"Occurrence verified",E474))</x:f>
      </x:c>
      <x:c r="S474" s="79" t="str">
        <x:f>IF(A474="","",Events!X473)</x:f>
      </x:c>
      <x:c r="Z474" s="79" t="str">
        <x:f>IF(A474="","",Events!AD473)</x:f>
      </x:c>
      <x:c r="AA474" s="79" t="str">
        <x:f>IF(A474="","",Events!AE473)</x:f>
      </x:c>
    </x:row>
    <x:row r="475">
      <x:c r="A475" s="16" t="str">
        <x:f>IF(Events!A474="","",Events!A474)</x:f>
      </x:c>
      <x:c r="B475" s="16" t="str">
        <x:f>IF(A475="","",Events!B474)</x:f>
      </x:c>
      <x:c r="C475" s="16" t="str">
        <x:f>IF(A475="","",Events!E474)</x:f>
      </x:c>
      <x:c r="D475" s="16" t="str">
        <x:f>IF(A475="","",Events!J474)</x:f>
      </x:c>
      <x:c r="E475" s="16" t="str">
        <x:f>IF(A475="","",Events!N474)</x:f>
      </x:c>
      <x:c r="F475" s="109" t="str">
        <x:f>IF(OR(A475="",Events!H474=""),"",Events!H474)</x:f>
      </x:c>
      <x:c r="G475" s="109" t="str">
        <x:f>IF(A475="","",IF(Events!I474&lt;&gt;"",Events!I474,IF(Events!S474&lt;&gt;"",Events!S474,"")))</x:f>
      </x:c>
      <x:c r="H475" s="16" t="str">
        <x:f>IF(A475="","",Events!W474)</x:f>
      </x:c>
      <x:c r="I475" s="16" t="str">
        <x:f>IF(A475="","",IF(Events!Y474&lt;&gt;"",Events!Y474,IF(OR(ISNUMBER(SEARCH("education",P475)),ISNUMBER(SEARCH("exam",P475)),ISNUMBER(SEARCH("school",P475))),"Education",IF(OR(ISNUMBER(SEARCH("trade agreement",P475)),ISNUMBER(SEARCH("economic",P475)),ISNUMBER(SEARCH("import",P475))),"Trade &amp; economic policy",IF(OR(ISNUMBER(SEARCH("land acquisition",P475)),ISNUMBER(SEARCH("rehabilitation",P475)),ISNUMBER(SEARCH("displacement",P475)),ISNUMBER(SEARCH("township",P475))),"Land &amp; rehabilitation",IF(OR(ISNUMBER(SEARCH("forest",P475)),ISNUMBER(SEARCH("environment",P475)),ISNUMBER(SEARCH("ecological",P475)),ISNUMBER(SEARCH("biodiversity",P475)),ISNUMBER(SEARCH("green cover",P475))),"Environment",IF(OR(ISNUMBER(SEARCH("irrigation",P475)),ISNUMBER(SEARCH("water",P475)),ISNUMBER(SEARCH("crop",P475)),ISNUMBER(SEARCH("farmer",P475)),ISNUMBER(SEARCH("agriculture",P475))),"Agriculture &amp; water",IF(OR(ISNUMBER(SEARCH("health",P475)),ISNUMBER(SEARCH("hospital",P475)),ISNUMBER(SEARCH("medicine",P475))),"Public health",IF(OR(ISNUMBER(SEARCH("employee",P475)),ISNUMBER(SEARCH("labour",P475)),ISNUMBER(SEARCH("worker",P475)),ISNUMBER(SEARCH("salary",P475))),"Labour &amp; employment",IF(OR(ISNUMBER(SEARCH("rti",P475)),ISNUMBER(SEARCH("transparency",P475)),ISNUMBER(SEARCH("corruption",P475)),ISNUMBER(SEARCH("governance",P475))),"Governance &amp; transparency",IF(OR(ISNUMBER(SEARCH("police",P475)),ISNUMBER(SEARCH("detention",P475)),ISNUMBER(SEARCH("civil rights",P475)),ISNUMBER(SEARCH("justice",P475))),"Civil rights &amp; justice",IF(OR(ISNUMBER(SEARCH("road",P475)),ISNUMBER(SEARCH("utility",P475)),ISNUMBER(SEARCH("infrastructure",P475)),ISNUMBER(SEARCH("public service",P475))),"Infrastructure &amp; public services","Other"))))))))))))</x:f>
      </x:c>
      <x:c r="J475" s="16" t="str">
        <x:f>IF(A475="","",IF(OR(ISNUMBER(SEARCH("fatal",Q475)),ISNUMBER(SEARCH("death",Q475)),ISNUMBER(SEARCH("riot",Q475)),ISNUMBER(SEARCH("curfew",Q475)),ISNUMBER(SEARCH("internet shutdown",Q475))),5,MIN(4,1+IF(H475&gt;=7,1,0)+IF(OR(ISNUMBER(SEARCH("hunger strike",Q475)),ISNUMBER(SEARCH("blockade",Q475)),ISNUMBER(SEARCH("strike",Q475)),ISNUMBER(SEARCH("jal satyagraha",Q475)),ISNUMBER(SEARCH("survey",Q475)),ISNUMBER(SEARCH("human chain",Q475)),ISNUMBER(SEARCH("march",Q475))),1,0)+IF(OR(ISNUMBER(SEARCH("fir",Q475)),ISNUMBER(SEARCH("confrontation",Q475)),ISNUMBER(SEARCH("violence",Q475)),ISNUMBER(SEARCH("detention",Q475)),ISNUMBER(SEARCH("arrest",Q475)),ISNUMBER(SEARCH("demolition",Q475)),ISNUMBER(SEARCH("injury",Q475))),1,0)+IF(OR(D475="Ongoing",D475="Unresolved"),1,0))))</x:f>
      </x:c>
      <x:c r="K475" s="16" t="str">
        <x:f>IF(J475="","",IF(J475=1,"Limited",IF(J475=2,"Local",IF(J475=3,"Significant",IF(J475=4,"High","Critical")))))</x:f>
      </x:c>
      <x:c r="L475" s="16" t="str">
        <x:f>IF(A475="","",Events!U474)</x:f>
      </x:c>
      <x:c r="M475" s="16" t="str">
        <x:f>IF(A475="","",Events!V474)</x:f>
      </x:c>
      <x:c r="N475" s="16" t="str">
        <x:f>IF(A475="","",Events!Q474)</x:f>
      </x:c>
      <x:c r="O475" s="16" t="str">
        <x:f>IF(A475="","",Events!R474)</x:f>
      </x:c>
      <x:c r="P475" s="16" t="str">
        <x:f>IF(A475="","",LOWER(Events!B474&amp;" "&amp;Events!D474&amp;" "&amp;Events!K474))</x:f>
      </x:c>
      <x:c r="Q475" s="16" t="str">
        <x:f>IF(A475="","",LOWER(Events!C474&amp;" "&amp;Events!K474&amp;" "&amp;Events!T474))</x:f>
      </x:c>
      <x:c r="R475" s="16" t="str">
        <x:f>IF(A475="","",IF(ISNUMBER(SEARCH("Occurrence verified",E475)),"Occurrence verified",E475))</x:f>
      </x:c>
      <x:c r="S475" s="79" t="str">
        <x:f>IF(A475="","",Events!X474)</x:f>
      </x:c>
      <x:c r="Z475" s="79" t="str">
        <x:f>IF(A475="","",Events!AD474)</x:f>
      </x:c>
      <x:c r="AA475" s="79" t="str">
        <x:f>IF(A475="","",Events!AE474)</x:f>
      </x:c>
    </x:row>
    <x:row r="476">
      <x:c r="A476" s="16" t="str">
        <x:f>IF(Events!A475="","",Events!A475)</x:f>
      </x:c>
      <x:c r="B476" s="16" t="str">
        <x:f>IF(A476="","",Events!B475)</x:f>
      </x:c>
      <x:c r="C476" s="16" t="str">
        <x:f>IF(A476="","",Events!E475)</x:f>
      </x:c>
      <x:c r="D476" s="16" t="str">
        <x:f>IF(A476="","",Events!J475)</x:f>
      </x:c>
      <x:c r="E476" s="16" t="str">
        <x:f>IF(A476="","",Events!N475)</x:f>
      </x:c>
      <x:c r="F476" s="109" t="str">
        <x:f>IF(OR(A476="",Events!H475=""),"",Events!H475)</x:f>
      </x:c>
      <x:c r="G476" s="109" t="str">
        <x:f>IF(A476="","",IF(Events!I475&lt;&gt;"",Events!I475,IF(Events!S475&lt;&gt;"",Events!S475,"")))</x:f>
      </x:c>
      <x:c r="H476" s="16" t="str">
        <x:f>IF(A476="","",Events!W475)</x:f>
      </x:c>
      <x:c r="I476" s="16" t="str">
        <x:f>IF(A476="","",IF(Events!Y475&lt;&gt;"",Events!Y475,IF(OR(ISNUMBER(SEARCH("education",P476)),ISNUMBER(SEARCH("exam",P476)),ISNUMBER(SEARCH("school",P476))),"Education",IF(OR(ISNUMBER(SEARCH("trade agreement",P476)),ISNUMBER(SEARCH("economic",P476)),ISNUMBER(SEARCH("import",P476))),"Trade &amp; economic policy",IF(OR(ISNUMBER(SEARCH("land acquisition",P476)),ISNUMBER(SEARCH("rehabilitation",P476)),ISNUMBER(SEARCH("displacement",P476)),ISNUMBER(SEARCH("township",P476))),"Land &amp; rehabilitation",IF(OR(ISNUMBER(SEARCH("forest",P476)),ISNUMBER(SEARCH("environment",P476)),ISNUMBER(SEARCH("ecological",P476)),ISNUMBER(SEARCH("biodiversity",P476)),ISNUMBER(SEARCH("green cover",P476))),"Environment",IF(OR(ISNUMBER(SEARCH("irrigation",P476)),ISNUMBER(SEARCH("water",P476)),ISNUMBER(SEARCH("crop",P476)),ISNUMBER(SEARCH("farmer",P476)),ISNUMBER(SEARCH("agriculture",P476))),"Agriculture &amp; water",IF(OR(ISNUMBER(SEARCH("health",P476)),ISNUMBER(SEARCH("hospital",P476)),ISNUMBER(SEARCH("medicine",P476))),"Public health",IF(OR(ISNUMBER(SEARCH("employee",P476)),ISNUMBER(SEARCH("labour",P476)),ISNUMBER(SEARCH("worker",P476)),ISNUMBER(SEARCH("salary",P476))),"Labour &amp; employment",IF(OR(ISNUMBER(SEARCH("rti",P476)),ISNUMBER(SEARCH("transparency",P476)),ISNUMBER(SEARCH("corruption",P476)),ISNUMBER(SEARCH("governance",P476))),"Governance &amp; transparency",IF(OR(ISNUMBER(SEARCH("police",P476)),ISNUMBER(SEARCH("detention",P476)),ISNUMBER(SEARCH("civil rights",P476)),ISNUMBER(SEARCH("justice",P476))),"Civil rights &amp; justice",IF(OR(ISNUMBER(SEARCH("road",P476)),ISNUMBER(SEARCH("utility",P476)),ISNUMBER(SEARCH("infrastructure",P476)),ISNUMBER(SEARCH("public service",P476))),"Infrastructure &amp; public services","Other"))))))))))))</x:f>
      </x:c>
      <x:c r="J476" s="16" t="str">
        <x:f>IF(A476="","",IF(OR(ISNUMBER(SEARCH("fatal",Q476)),ISNUMBER(SEARCH("death",Q476)),ISNUMBER(SEARCH("riot",Q476)),ISNUMBER(SEARCH("curfew",Q476)),ISNUMBER(SEARCH("internet shutdown",Q476))),5,MIN(4,1+IF(H476&gt;=7,1,0)+IF(OR(ISNUMBER(SEARCH("hunger strike",Q476)),ISNUMBER(SEARCH("blockade",Q476)),ISNUMBER(SEARCH("strike",Q476)),ISNUMBER(SEARCH("jal satyagraha",Q476)),ISNUMBER(SEARCH("survey",Q476)),ISNUMBER(SEARCH("human chain",Q476)),ISNUMBER(SEARCH("march",Q476))),1,0)+IF(OR(ISNUMBER(SEARCH("fir",Q476)),ISNUMBER(SEARCH("confrontation",Q476)),ISNUMBER(SEARCH("violence",Q476)),ISNUMBER(SEARCH("detention",Q476)),ISNUMBER(SEARCH("arrest",Q476)),ISNUMBER(SEARCH("demolition",Q476)),ISNUMBER(SEARCH("injury",Q476))),1,0)+IF(OR(D476="Ongoing",D476="Unresolved"),1,0))))</x:f>
      </x:c>
      <x:c r="K476" s="16" t="str">
        <x:f>IF(J476="","",IF(J476=1,"Limited",IF(J476=2,"Local",IF(J476=3,"Significant",IF(J476=4,"High","Critical")))))</x:f>
      </x:c>
      <x:c r="L476" s="16" t="str">
        <x:f>IF(A476="","",Events!U475)</x:f>
      </x:c>
      <x:c r="M476" s="16" t="str">
        <x:f>IF(A476="","",Events!V475)</x:f>
      </x:c>
      <x:c r="N476" s="16" t="str">
        <x:f>IF(A476="","",Events!Q475)</x:f>
      </x:c>
      <x:c r="O476" s="16" t="str">
        <x:f>IF(A476="","",Events!R475)</x:f>
      </x:c>
      <x:c r="P476" s="16" t="str">
        <x:f>IF(A476="","",LOWER(Events!B475&amp;" "&amp;Events!D475&amp;" "&amp;Events!K475))</x:f>
      </x:c>
      <x:c r="Q476" s="16" t="str">
        <x:f>IF(A476="","",LOWER(Events!C475&amp;" "&amp;Events!K475&amp;" "&amp;Events!T475))</x:f>
      </x:c>
      <x:c r="R476" s="16" t="str">
        <x:f>IF(A476="","",IF(ISNUMBER(SEARCH("Occurrence verified",E476)),"Occurrence verified",E476))</x:f>
      </x:c>
      <x:c r="S476" s="79" t="str">
        <x:f>IF(A476="","",Events!X475)</x:f>
      </x:c>
      <x:c r="Z476" s="79" t="str">
        <x:f>IF(A476="","",Events!AD475)</x:f>
      </x:c>
      <x:c r="AA476" s="79" t="str">
        <x:f>IF(A476="","",Events!AE475)</x:f>
      </x:c>
    </x:row>
    <x:row r="477">
      <x:c r="A477" s="16" t="str">
        <x:f>IF(Events!A476="","",Events!A476)</x:f>
      </x:c>
      <x:c r="B477" s="16" t="str">
        <x:f>IF(A477="","",Events!B476)</x:f>
      </x:c>
      <x:c r="C477" s="16" t="str">
        <x:f>IF(A477="","",Events!E476)</x:f>
      </x:c>
      <x:c r="D477" s="16" t="str">
        <x:f>IF(A477="","",Events!J476)</x:f>
      </x:c>
      <x:c r="E477" s="16" t="str">
        <x:f>IF(A477="","",Events!N476)</x:f>
      </x:c>
      <x:c r="F477" s="109" t="str">
        <x:f>IF(OR(A477="",Events!H476=""),"",Events!H476)</x:f>
      </x:c>
      <x:c r="G477" s="109" t="str">
        <x:f>IF(A477="","",IF(Events!I476&lt;&gt;"",Events!I476,IF(Events!S476&lt;&gt;"",Events!S476,"")))</x:f>
      </x:c>
      <x:c r="H477" s="16" t="str">
        <x:f>IF(A477="","",Events!W476)</x:f>
      </x:c>
      <x:c r="I477" s="16" t="str">
        <x:f>IF(A477="","",IF(Events!Y476&lt;&gt;"",Events!Y476,IF(OR(ISNUMBER(SEARCH("education",P477)),ISNUMBER(SEARCH("exam",P477)),ISNUMBER(SEARCH("school",P477))),"Education",IF(OR(ISNUMBER(SEARCH("trade agreement",P477)),ISNUMBER(SEARCH("economic",P477)),ISNUMBER(SEARCH("import",P477))),"Trade &amp; economic policy",IF(OR(ISNUMBER(SEARCH("land acquisition",P477)),ISNUMBER(SEARCH("rehabilitation",P477)),ISNUMBER(SEARCH("displacement",P477)),ISNUMBER(SEARCH("township",P477))),"Land &amp; rehabilitation",IF(OR(ISNUMBER(SEARCH("forest",P477)),ISNUMBER(SEARCH("environment",P477)),ISNUMBER(SEARCH("ecological",P477)),ISNUMBER(SEARCH("biodiversity",P477)),ISNUMBER(SEARCH("green cover",P477))),"Environment",IF(OR(ISNUMBER(SEARCH("irrigation",P477)),ISNUMBER(SEARCH("water",P477)),ISNUMBER(SEARCH("crop",P477)),ISNUMBER(SEARCH("farmer",P477)),ISNUMBER(SEARCH("agriculture",P477))),"Agriculture &amp; water",IF(OR(ISNUMBER(SEARCH("health",P477)),ISNUMBER(SEARCH("hospital",P477)),ISNUMBER(SEARCH("medicine",P477))),"Public health",IF(OR(ISNUMBER(SEARCH("employee",P477)),ISNUMBER(SEARCH("labour",P477)),ISNUMBER(SEARCH("worker",P477)),ISNUMBER(SEARCH("salary",P477))),"Labour &amp; employment",IF(OR(ISNUMBER(SEARCH("rti",P477)),ISNUMBER(SEARCH("transparency",P477)),ISNUMBER(SEARCH("corruption",P477)),ISNUMBER(SEARCH("governance",P477))),"Governance &amp; transparency",IF(OR(ISNUMBER(SEARCH("police",P477)),ISNUMBER(SEARCH("detention",P477)),ISNUMBER(SEARCH("civil rights",P477)),ISNUMBER(SEARCH("justice",P477))),"Civil rights &amp; justice",IF(OR(ISNUMBER(SEARCH("road",P477)),ISNUMBER(SEARCH("utility",P477)),ISNUMBER(SEARCH("infrastructure",P477)),ISNUMBER(SEARCH("public service",P477))),"Infrastructure &amp; public services","Other"))))))))))))</x:f>
      </x:c>
      <x:c r="J477" s="16" t="str">
        <x:f>IF(A477="","",IF(OR(ISNUMBER(SEARCH("fatal",Q477)),ISNUMBER(SEARCH("death",Q477)),ISNUMBER(SEARCH("riot",Q477)),ISNUMBER(SEARCH("curfew",Q477)),ISNUMBER(SEARCH("internet shutdown",Q477))),5,MIN(4,1+IF(H477&gt;=7,1,0)+IF(OR(ISNUMBER(SEARCH("hunger strike",Q477)),ISNUMBER(SEARCH("blockade",Q477)),ISNUMBER(SEARCH("strike",Q477)),ISNUMBER(SEARCH("jal satyagraha",Q477)),ISNUMBER(SEARCH("survey",Q477)),ISNUMBER(SEARCH("human chain",Q477)),ISNUMBER(SEARCH("march",Q477))),1,0)+IF(OR(ISNUMBER(SEARCH("fir",Q477)),ISNUMBER(SEARCH("confrontation",Q477)),ISNUMBER(SEARCH("violence",Q477)),ISNUMBER(SEARCH("detention",Q477)),ISNUMBER(SEARCH("arrest",Q477)),ISNUMBER(SEARCH("demolition",Q477)),ISNUMBER(SEARCH("injury",Q477))),1,0)+IF(OR(D477="Ongoing",D477="Unresolved"),1,0))))</x:f>
      </x:c>
      <x:c r="K477" s="16" t="str">
        <x:f>IF(J477="","",IF(J477=1,"Limited",IF(J477=2,"Local",IF(J477=3,"Significant",IF(J477=4,"High","Critical")))))</x:f>
      </x:c>
      <x:c r="L477" s="16" t="str">
        <x:f>IF(A477="","",Events!U476)</x:f>
      </x:c>
      <x:c r="M477" s="16" t="str">
        <x:f>IF(A477="","",Events!V476)</x:f>
      </x:c>
      <x:c r="N477" s="16" t="str">
        <x:f>IF(A477="","",Events!Q476)</x:f>
      </x:c>
      <x:c r="O477" s="16" t="str">
        <x:f>IF(A477="","",Events!R476)</x:f>
      </x:c>
      <x:c r="P477" s="16" t="str">
        <x:f>IF(A477="","",LOWER(Events!B476&amp;" "&amp;Events!D476&amp;" "&amp;Events!K476))</x:f>
      </x:c>
      <x:c r="Q477" s="16" t="str">
        <x:f>IF(A477="","",LOWER(Events!C476&amp;" "&amp;Events!K476&amp;" "&amp;Events!T476))</x:f>
      </x:c>
      <x:c r="R477" s="16" t="str">
        <x:f>IF(A477="","",IF(ISNUMBER(SEARCH("Occurrence verified",E477)),"Occurrence verified",E477))</x:f>
      </x:c>
      <x:c r="S477" s="79" t="str">
        <x:f>IF(A477="","",Events!X476)</x:f>
      </x:c>
      <x:c r="Z477" s="79" t="str">
        <x:f>IF(A477="","",Events!AD476)</x:f>
      </x:c>
      <x:c r="AA477" s="79" t="str">
        <x:f>IF(A477="","",Events!AE476)</x:f>
      </x:c>
    </x:row>
    <x:row r="478">
      <x:c r="A478" s="16" t="str">
        <x:f>IF(Events!A477="","",Events!A477)</x:f>
      </x:c>
      <x:c r="B478" s="16" t="str">
        <x:f>IF(A478="","",Events!B477)</x:f>
      </x:c>
      <x:c r="C478" s="16" t="str">
        <x:f>IF(A478="","",Events!E477)</x:f>
      </x:c>
      <x:c r="D478" s="16" t="str">
        <x:f>IF(A478="","",Events!J477)</x:f>
      </x:c>
      <x:c r="E478" s="16" t="str">
        <x:f>IF(A478="","",Events!N477)</x:f>
      </x:c>
      <x:c r="F478" s="109" t="str">
        <x:f>IF(OR(A478="",Events!H477=""),"",Events!H477)</x:f>
      </x:c>
      <x:c r="G478" s="109" t="str">
        <x:f>IF(A478="","",IF(Events!I477&lt;&gt;"",Events!I477,IF(Events!S477&lt;&gt;"",Events!S477,"")))</x:f>
      </x:c>
      <x:c r="H478" s="16" t="str">
        <x:f>IF(A478="","",Events!W477)</x:f>
      </x:c>
      <x:c r="I478" s="16" t="str">
        <x:f>IF(A478="","",IF(Events!Y477&lt;&gt;"",Events!Y477,IF(OR(ISNUMBER(SEARCH("education",P478)),ISNUMBER(SEARCH("exam",P478)),ISNUMBER(SEARCH("school",P478))),"Education",IF(OR(ISNUMBER(SEARCH("trade agreement",P478)),ISNUMBER(SEARCH("economic",P478)),ISNUMBER(SEARCH("import",P478))),"Trade &amp; economic policy",IF(OR(ISNUMBER(SEARCH("land acquisition",P478)),ISNUMBER(SEARCH("rehabilitation",P478)),ISNUMBER(SEARCH("displacement",P478)),ISNUMBER(SEARCH("township",P478))),"Land &amp; rehabilitation",IF(OR(ISNUMBER(SEARCH("forest",P478)),ISNUMBER(SEARCH("environment",P478)),ISNUMBER(SEARCH("ecological",P478)),ISNUMBER(SEARCH("biodiversity",P478)),ISNUMBER(SEARCH("green cover",P478))),"Environment",IF(OR(ISNUMBER(SEARCH("irrigation",P478)),ISNUMBER(SEARCH("water",P478)),ISNUMBER(SEARCH("crop",P478)),ISNUMBER(SEARCH("farmer",P478)),ISNUMBER(SEARCH("agriculture",P478))),"Agriculture &amp; water",IF(OR(ISNUMBER(SEARCH("health",P478)),ISNUMBER(SEARCH("hospital",P478)),ISNUMBER(SEARCH("medicine",P478))),"Public health",IF(OR(ISNUMBER(SEARCH("employee",P478)),ISNUMBER(SEARCH("labour",P478)),ISNUMBER(SEARCH("worker",P478)),ISNUMBER(SEARCH("salary",P478))),"Labour &amp; employment",IF(OR(ISNUMBER(SEARCH("rti",P478)),ISNUMBER(SEARCH("transparency",P478)),ISNUMBER(SEARCH("corruption",P478)),ISNUMBER(SEARCH("governance",P478))),"Governance &amp; transparency",IF(OR(ISNUMBER(SEARCH("police",P478)),ISNUMBER(SEARCH("detention",P478)),ISNUMBER(SEARCH("civil rights",P478)),ISNUMBER(SEARCH("justice",P478))),"Civil rights &amp; justice",IF(OR(ISNUMBER(SEARCH("road",P478)),ISNUMBER(SEARCH("utility",P478)),ISNUMBER(SEARCH("infrastructure",P478)),ISNUMBER(SEARCH("public service",P478))),"Infrastructure &amp; public services","Other"))))))))))))</x:f>
      </x:c>
      <x:c r="J478" s="16" t="str">
        <x:f>IF(A478="","",IF(OR(ISNUMBER(SEARCH("fatal",Q478)),ISNUMBER(SEARCH("death",Q478)),ISNUMBER(SEARCH("riot",Q478)),ISNUMBER(SEARCH("curfew",Q478)),ISNUMBER(SEARCH("internet shutdown",Q478))),5,MIN(4,1+IF(H478&gt;=7,1,0)+IF(OR(ISNUMBER(SEARCH("hunger strike",Q478)),ISNUMBER(SEARCH("blockade",Q478)),ISNUMBER(SEARCH("strike",Q478)),ISNUMBER(SEARCH("jal satyagraha",Q478)),ISNUMBER(SEARCH("survey",Q478)),ISNUMBER(SEARCH("human chain",Q478)),ISNUMBER(SEARCH("march",Q478))),1,0)+IF(OR(ISNUMBER(SEARCH("fir",Q478)),ISNUMBER(SEARCH("confrontation",Q478)),ISNUMBER(SEARCH("violence",Q478)),ISNUMBER(SEARCH("detention",Q478)),ISNUMBER(SEARCH("arrest",Q478)),ISNUMBER(SEARCH("demolition",Q478)),ISNUMBER(SEARCH("injury",Q478))),1,0)+IF(OR(D478="Ongoing",D478="Unresolved"),1,0))))</x:f>
      </x:c>
      <x:c r="K478" s="16" t="str">
        <x:f>IF(J478="","",IF(J478=1,"Limited",IF(J478=2,"Local",IF(J478=3,"Significant",IF(J478=4,"High","Critical")))))</x:f>
      </x:c>
      <x:c r="L478" s="16" t="str">
        <x:f>IF(A478="","",Events!U477)</x:f>
      </x:c>
      <x:c r="M478" s="16" t="str">
        <x:f>IF(A478="","",Events!V477)</x:f>
      </x:c>
      <x:c r="N478" s="16" t="str">
        <x:f>IF(A478="","",Events!Q477)</x:f>
      </x:c>
      <x:c r="O478" s="16" t="str">
        <x:f>IF(A478="","",Events!R477)</x:f>
      </x:c>
      <x:c r="P478" s="16" t="str">
        <x:f>IF(A478="","",LOWER(Events!B477&amp;" "&amp;Events!D477&amp;" "&amp;Events!K477))</x:f>
      </x:c>
      <x:c r="Q478" s="16" t="str">
        <x:f>IF(A478="","",LOWER(Events!C477&amp;" "&amp;Events!K477&amp;" "&amp;Events!T477))</x:f>
      </x:c>
      <x:c r="R478" s="16" t="str">
        <x:f>IF(A478="","",IF(ISNUMBER(SEARCH("Occurrence verified",E478)),"Occurrence verified",E478))</x:f>
      </x:c>
      <x:c r="S478" s="79" t="str">
        <x:f>IF(A478="","",Events!X477)</x:f>
      </x:c>
      <x:c r="Z478" s="79" t="str">
        <x:f>IF(A478="","",Events!AD477)</x:f>
      </x:c>
      <x:c r="AA478" s="79" t="str">
        <x:f>IF(A478="","",Events!AE477)</x:f>
      </x:c>
    </x:row>
    <x:row r="479">
      <x:c r="A479" s="16" t="str">
        <x:f>IF(Events!A478="","",Events!A478)</x:f>
      </x:c>
      <x:c r="B479" s="16" t="str">
        <x:f>IF(A479="","",Events!B478)</x:f>
      </x:c>
      <x:c r="C479" s="16" t="str">
        <x:f>IF(A479="","",Events!E478)</x:f>
      </x:c>
      <x:c r="D479" s="16" t="str">
        <x:f>IF(A479="","",Events!J478)</x:f>
      </x:c>
      <x:c r="E479" s="16" t="str">
        <x:f>IF(A479="","",Events!N478)</x:f>
      </x:c>
      <x:c r="F479" s="109" t="str">
        <x:f>IF(OR(A479="",Events!H478=""),"",Events!H478)</x:f>
      </x:c>
      <x:c r="G479" s="109" t="str">
        <x:f>IF(A479="","",IF(Events!I478&lt;&gt;"",Events!I478,IF(Events!S478&lt;&gt;"",Events!S478,"")))</x:f>
      </x:c>
      <x:c r="H479" s="16" t="str">
        <x:f>IF(A479="","",Events!W478)</x:f>
      </x:c>
      <x:c r="I479" s="16" t="str">
        <x:f>IF(A479="","",IF(Events!Y478&lt;&gt;"",Events!Y478,IF(OR(ISNUMBER(SEARCH("education",P479)),ISNUMBER(SEARCH("exam",P479)),ISNUMBER(SEARCH("school",P479))),"Education",IF(OR(ISNUMBER(SEARCH("trade agreement",P479)),ISNUMBER(SEARCH("economic",P479)),ISNUMBER(SEARCH("import",P479))),"Trade &amp; economic policy",IF(OR(ISNUMBER(SEARCH("land acquisition",P479)),ISNUMBER(SEARCH("rehabilitation",P479)),ISNUMBER(SEARCH("displacement",P479)),ISNUMBER(SEARCH("township",P479))),"Land &amp; rehabilitation",IF(OR(ISNUMBER(SEARCH("forest",P479)),ISNUMBER(SEARCH("environment",P479)),ISNUMBER(SEARCH("ecological",P479)),ISNUMBER(SEARCH("biodiversity",P479)),ISNUMBER(SEARCH("green cover",P479))),"Environment",IF(OR(ISNUMBER(SEARCH("irrigation",P479)),ISNUMBER(SEARCH("water",P479)),ISNUMBER(SEARCH("crop",P479)),ISNUMBER(SEARCH("farmer",P479)),ISNUMBER(SEARCH("agriculture",P479))),"Agriculture &amp; water",IF(OR(ISNUMBER(SEARCH("health",P479)),ISNUMBER(SEARCH("hospital",P479)),ISNUMBER(SEARCH("medicine",P479))),"Public health",IF(OR(ISNUMBER(SEARCH("employee",P479)),ISNUMBER(SEARCH("labour",P479)),ISNUMBER(SEARCH("worker",P479)),ISNUMBER(SEARCH("salary",P479))),"Labour &amp; employment",IF(OR(ISNUMBER(SEARCH("rti",P479)),ISNUMBER(SEARCH("transparency",P479)),ISNUMBER(SEARCH("corruption",P479)),ISNUMBER(SEARCH("governance",P479))),"Governance &amp; transparency",IF(OR(ISNUMBER(SEARCH("police",P479)),ISNUMBER(SEARCH("detention",P479)),ISNUMBER(SEARCH("civil rights",P479)),ISNUMBER(SEARCH("justice",P479))),"Civil rights &amp; justice",IF(OR(ISNUMBER(SEARCH("road",P479)),ISNUMBER(SEARCH("utility",P479)),ISNUMBER(SEARCH("infrastructure",P479)),ISNUMBER(SEARCH("public service",P479))),"Infrastructure &amp; public services","Other"))))))))))))</x:f>
      </x:c>
      <x:c r="J479" s="16" t="str">
        <x:f>IF(A479="","",IF(OR(ISNUMBER(SEARCH("fatal",Q479)),ISNUMBER(SEARCH("death",Q479)),ISNUMBER(SEARCH("riot",Q479)),ISNUMBER(SEARCH("curfew",Q479)),ISNUMBER(SEARCH("internet shutdown",Q479))),5,MIN(4,1+IF(H479&gt;=7,1,0)+IF(OR(ISNUMBER(SEARCH("hunger strike",Q479)),ISNUMBER(SEARCH("blockade",Q479)),ISNUMBER(SEARCH("strike",Q479)),ISNUMBER(SEARCH("jal satyagraha",Q479)),ISNUMBER(SEARCH("survey",Q479)),ISNUMBER(SEARCH("human chain",Q479)),ISNUMBER(SEARCH("march",Q479))),1,0)+IF(OR(ISNUMBER(SEARCH("fir",Q479)),ISNUMBER(SEARCH("confrontation",Q479)),ISNUMBER(SEARCH("violence",Q479)),ISNUMBER(SEARCH("detention",Q479)),ISNUMBER(SEARCH("arrest",Q479)),ISNUMBER(SEARCH("demolition",Q479)),ISNUMBER(SEARCH("injury",Q479))),1,0)+IF(OR(D479="Ongoing",D479="Unresolved"),1,0))))</x:f>
      </x:c>
      <x:c r="K479" s="16" t="str">
        <x:f>IF(J479="","",IF(J479=1,"Limited",IF(J479=2,"Local",IF(J479=3,"Significant",IF(J479=4,"High","Critical")))))</x:f>
      </x:c>
      <x:c r="L479" s="16" t="str">
        <x:f>IF(A479="","",Events!U478)</x:f>
      </x:c>
      <x:c r="M479" s="16" t="str">
        <x:f>IF(A479="","",Events!V478)</x:f>
      </x:c>
      <x:c r="N479" s="16" t="str">
        <x:f>IF(A479="","",Events!Q478)</x:f>
      </x:c>
      <x:c r="O479" s="16" t="str">
        <x:f>IF(A479="","",Events!R478)</x:f>
      </x:c>
      <x:c r="P479" s="16" t="str">
        <x:f>IF(A479="","",LOWER(Events!B478&amp;" "&amp;Events!D478&amp;" "&amp;Events!K478))</x:f>
      </x:c>
      <x:c r="Q479" s="16" t="str">
        <x:f>IF(A479="","",LOWER(Events!C478&amp;" "&amp;Events!K478&amp;" "&amp;Events!T478))</x:f>
      </x:c>
      <x:c r="R479" s="16" t="str">
        <x:f>IF(A479="","",IF(ISNUMBER(SEARCH("Occurrence verified",E479)),"Occurrence verified",E479))</x:f>
      </x:c>
      <x:c r="S479" s="79" t="str">
        <x:f>IF(A479="","",Events!X478)</x:f>
      </x:c>
      <x:c r="Z479" s="79" t="str">
        <x:f>IF(A479="","",Events!AD478)</x:f>
      </x:c>
      <x:c r="AA479" s="79" t="str">
        <x:f>IF(A479="","",Events!AE478)</x:f>
      </x:c>
    </x:row>
    <x:row r="480">
      <x:c r="A480" s="16" t="str">
        <x:f>IF(Events!A479="","",Events!A479)</x:f>
      </x:c>
      <x:c r="B480" s="16" t="str">
        <x:f>IF(A480="","",Events!B479)</x:f>
      </x:c>
      <x:c r="C480" s="16" t="str">
        <x:f>IF(A480="","",Events!E479)</x:f>
      </x:c>
      <x:c r="D480" s="16" t="str">
        <x:f>IF(A480="","",Events!J479)</x:f>
      </x:c>
      <x:c r="E480" s="16" t="str">
        <x:f>IF(A480="","",Events!N479)</x:f>
      </x:c>
      <x:c r="F480" s="109" t="str">
        <x:f>IF(OR(A480="",Events!H479=""),"",Events!H479)</x:f>
      </x:c>
      <x:c r="G480" s="109" t="str">
        <x:f>IF(A480="","",IF(Events!I479&lt;&gt;"",Events!I479,IF(Events!S479&lt;&gt;"",Events!S479,"")))</x:f>
      </x:c>
      <x:c r="H480" s="16" t="str">
        <x:f>IF(A480="","",Events!W479)</x:f>
      </x:c>
      <x:c r="I480" s="16" t="str">
        <x:f>IF(A480="","",IF(Events!Y479&lt;&gt;"",Events!Y479,IF(OR(ISNUMBER(SEARCH("education",P480)),ISNUMBER(SEARCH("exam",P480)),ISNUMBER(SEARCH("school",P480))),"Education",IF(OR(ISNUMBER(SEARCH("trade agreement",P480)),ISNUMBER(SEARCH("economic",P480)),ISNUMBER(SEARCH("import",P480))),"Trade &amp; economic policy",IF(OR(ISNUMBER(SEARCH("land acquisition",P480)),ISNUMBER(SEARCH("rehabilitation",P480)),ISNUMBER(SEARCH("displacement",P480)),ISNUMBER(SEARCH("township",P480))),"Land &amp; rehabilitation",IF(OR(ISNUMBER(SEARCH("forest",P480)),ISNUMBER(SEARCH("environment",P480)),ISNUMBER(SEARCH("ecological",P480)),ISNUMBER(SEARCH("biodiversity",P480)),ISNUMBER(SEARCH("green cover",P480))),"Environment",IF(OR(ISNUMBER(SEARCH("irrigation",P480)),ISNUMBER(SEARCH("water",P480)),ISNUMBER(SEARCH("crop",P480)),ISNUMBER(SEARCH("farmer",P480)),ISNUMBER(SEARCH("agriculture",P480))),"Agriculture &amp; water",IF(OR(ISNUMBER(SEARCH("health",P480)),ISNUMBER(SEARCH("hospital",P480)),ISNUMBER(SEARCH("medicine",P480))),"Public health",IF(OR(ISNUMBER(SEARCH("employee",P480)),ISNUMBER(SEARCH("labour",P480)),ISNUMBER(SEARCH("worker",P480)),ISNUMBER(SEARCH("salary",P480))),"Labour &amp; employment",IF(OR(ISNUMBER(SEARCH("rti",P480)),ISNUMBER(SEARCH("transparency",P480)),ISNUMBER(SEARCH("corruption",P480)),ISNUMBER(SEARCH("governance",P480))),"Governance &amp; transparency",IF(OR(ISNUMBER(SEARCH("police",P480)),ISNUMBER(SEARCH("detention",P480)),ISNUMBER(SEARCH("civil rights",P480)),ISNUMBER(SEARCH("justice",P480))),"Civil rights &amp; justice",IF(OR(ISNUMBER(SEARCH("road",P480)),ISNUMBER(SEARCH("utility",P480)),ISNUMBER(SEARCH("infrastructure",P480)),ISNUMBER(SEARCH("public service",P480))),"Infrastructure &amp; public services","Other"))))))))))))</x:f>
      </x:c>
      <x:c r="J480" s="16" t="str">
        <x:f>IF(A480="","",IF(OR(ISNUMBER(SEARCH("fatal",Q480)),ISNUMBER(SEARCH("death",Q480)),ISNUMBER(SEARCH("riot",Q480)),ISNUMBER(SEARCH("curfew",Q480)),ISNUMBER(SEARCH("internet shutdown",Q480))),5,MIN(4,1+IF(H480&gt;=7,1,0)+IF(OR(ISNUMBER(SEARCH("hunger strike",Q480)),ISNUMBER(SEARCH("blockade",Q480)),ISNUMBER(SEARCH("strike",Q480)),ISNUMBER(SEARCH("jal satyagraha",Q480)),ISNUMBER(SEARCH("survey",Q480)),ISNUMBER(SEARCH("human chain",Q480)),ISNUMBER(SEARCH("march",Q480))),1,0)+IF(OR(ISNUMBER(SEARCH("fir",Q480)),ISNUMBER(SEARCH("confrontation",Q480)),ISNUMBER(SEARCH("violence",Q480)),ISNUMBER(SEARCH("detention",Q480)),ISNUMBER(SEARCH("arrest",Q480)),ISNUMBER(SEARCH("demolition",Q480)),ISNUMBER(SEARCH("injury",Q480))),1,0)+IF(OR(D480="Ongoing",D480="Unresolved"),1,0))))</x:f>
      </x:c>
      <x:c r="K480" s="16" t="str">
        <x:f>IF(J480="","",IF(J480=1,"Limited",IF(J480=2,"Local",IF(J480=3,"Significant",IF(J480=4,"High","Critical")))))</x:f>
      </x:c>
      <x:c r="L480" s="16" t="str">
        <x:f>IF(A480="","",Events!U479)</x:f>
      </x:c>
      <x:c r="M480" s="16" t="str">
        <x:f>IF(A480="","",Events!V479)</x:f>
      </x:c>
      <x:c r="N480" s="16" t="str">
        <x:f>IF(A480="","",Events!Q479)</x:f>
      </x:c>
      <x:c r="O480" s="16" t="str">
        <x:f>IF(A480="","",Events!R479)</x:f>
      </x:c>
      <x:c r="P480" s="16" t="str">
        <x:f>IF(A480="","",LOWER(Events!B479&amp;" "&amp;Events!D479&amp;" "&amp;Events!K479))</x:f>
      </x:c>
      <x:c r="Q480" s="16" t="str">
        <x:f>IF(A480="","",LOWER(Events!C479&amp;" "&amp;Events!K479&amp;" "&amp;Events!T479))</x:f>
      </x:c>
      <x:c r="R480" s="16" t="str">
        <x:f>IF(A480="","",IF(ISNUMBER(SEARCH("Occurrence verified",E480)),"Occurrence verified",E480))</x:f>
      </x:c>
      <x:c r="S480" s="79" t="str">
        <x:f>IF(A480="","",Events!X479)</x:f>
      </x:c>
      <x:c r="Z480" s="79" t="str">
        <x:f>IF(A480="","",Events!AD479)</x:f>
      </x:c>
      <x:c r="AA480" s="79" t="str">
        <x:f>IF(A480="","",Events!AE479)</x:f>
      </x:c>
    </x:row>
    <x:row r="481">
      <x:c r="A481" s="16" t="str">
        <x:f>IF(Events!A480="","",Events!A480)</x:f>
      </x:c>
      <x:c r="B481" s="16" t="str">
        <x:f>IF(A481="","",Events!B480)</x:f>
      </x:c>
      <x:c r="C481" s="16" t="str">
        <x:f>IF(A481="","",Events!E480)</x:f>
      </x:c>
      <x:c r="D481" s="16" t="str">
        <x:f>IF(A481="","",Events!J480)</x:f>
      </x:c>
      <x:c r="E481" s="16" t="str">
        <x:f>IF(A481="","",Events!N480)</x:f>
      </x:c>
      <x:c r="F481" s="109" t="str">
        <x:f>IF(OR(A481="",Events!H480=""),"",Events!H480)</x:f>
      </x:c>
      <x:c r="G481" s="109" t="str">
        <x:f>IF(A481="","",IF(Events!I480&lt;&gt;"",Events!I480,IF(Events!S480&lt;&gt;"",Events!S480,"")))</x:f>
      </x:c>
      <x:c r="H481" s="16" t="str">
        <x:f>IF(A481="","",Events!W480)</x:f>
      </x:c>
      <x:c r="I481" s="16" t="str">
        <x:f>IF(A481="","",IF(Events!Y480&lt;&gt;"",Events!Y480,IF(OR(ISNUMBER(SEARCH("education",P481)),ISNUMBER(SEARCH("exam",P481)),ISNUMBER(SEARCH("school",P481))),"Education",IF(OR(ISNUMBER(SEARCH("trade agreement",P481)),ISNUMBER(SEARCH("economic",P481)),ISNUMBER(SEARCH("import",P481))),"Trade &amp; economic policy",IF(OR(ISNUMBER(SEARCH("land acquisition",P481)),ISNUMBER(SEARCH("rehabilitation",P481)),ISNUMBER(SEARCH("displacement",P481)),ISNUMBER(SEARCH("township",P481))),"Land &amp; rehabilitation",IF(OR(ISNUMBER(SEARCH("forest",P481)),ISNUMBER(SEARCH("environment",P481)),ISNUMBER(SEARCH("ecological",P481)),ISNUMBER(SEARCH("biodiversity",P481)),ISNUMBER(SEARCH("green cover",P481))),"Environment",IF(OR(ISNUMBER(SEARCH("irrigation",P481)),ISNUMBER(SEARCH("water",P481)),ISNUMBER(SEARCH("crop",P481)),ISNUMBER(SEARCH("farmer",P481)),ISNUMBER(SEARCH("agriculture",P481))),"Agriculture &amp; water",IF(OR(ISNUMBER(SEARCH("health",P481)),ISNUMBER(SEARCH("hospital",P481)),ISNUMBER(SEARCH("medicine",P481))),"Public health",IF(OR(ISNUMBER(SEARCH("employee",P481)),ISNUMBER(SEARCH("labour",P481)),ISNUMBER(SEARCH("worker",P481)),ISNUMBER(SEARCH("salary",P481))),"Labour &amp; employment",IF(OR(ISNUMBER(SEARCH("rti",P481)),ISNUMBER(SEARCH("transparency",P481)),ISNUMBER(SEARCH("corruption",P481)),ISNUMBER(SEARCH("governance",P481))),"Governance &amp; transparency",IF(OR(ISNUMBER(SEARCH("police",P481)),ISNUMBER(SEARCH("detention",P481)),ISNUMBER(SEARCH("civil rights",P481)),ISNUMBER(SEARCH("justice",P481))),"Civil rights &amp; justice",IF(OR(ISNUMBER(SEARCH("road",P481)),ISNUMBER(SEARCH("utility",P481)),ISNUMBER(SEARCH("infrastructure",P481)),ISNUMBER(SEARCH("public service",P481))),"Infrastructure &amp; public services","Other"))))))))))))</x:f>
      </x:c>
      <x:c r="J481" s="16" t="str">
        <x:f>IF(A481="","",IF(OR(ISNUMBER(SEARCH("fatal",Q481)),ISNUMBER(SEARCH("death",Q481)),ISNUMBER(SEARCH("riot",Q481)),ISNUMBER(SEARCH("curfew",Q481)),ISNUMBER(SEARCH("internet shutdown",Q481))),5,MIN(4,1+IF(H481&gt;=7,1,0)+IF(OR(ISNUMBER(SEARCH("hunger strike",Q481)),ISNUMBER(SEARCH("blockade",Q481)),ISNUMBER(SEARCH("strike",Q481)),ISNUMBER(SEARCH("jal satyagraha",Q481)),ISNUMBER(SEARCH("survey",Q481)),ISNUMBER(SEARCH("human chain",Q481)),ISNUMBER(SEARCH("march",Q481))),1,0)+IF(OR(ISNUMBER(SEARCH("fir",Q481)),ISNUMBER(SEARCH("confrontation",Q481)),ISNUMBER(SEARCH("violence",Q481)),ISNUMBER(SEARCH("detention",Q481)),ISNUMBER(SEARCH("arrest",Q481)),ISNUMBER(SEARCH("demolition",Q481)),ISNUMBER(SEARCH("injury",Q481))),1,0)+IF(OR(D481="Ongoing",D481="Unresolved"),1,0))))</x:f>
      </x:c>
      <x:c r="K481" s="16" t="str">
        <x:f>IF(J481="","",IF(J481=1,"Limited",IF(J481=2,"Local",IF(J481=3,"Significant",IF(J481=4,"High","Critical")))))</x:f>
      </x:c>
      <x:c r="L481" s="16" t="str">
        <x:f>IF(A481="","",Events!U480)</x:f>
      </x:c>
      <x:c r="M481" s="16" t="str">
        <x:f>IF(A481="","",Events!V480)</x:f>
      </x:c>
      <x:c r="N481" s="16" t="str">
        <x:f>IF(A481="","",Events!Q480)</x:f>
      </x:c>
      <x:c r="O481" s="16" t="str">
        <x:f>IF(A481="","",Events!R480)</x:f>
      </x:c>
      <x:c r="P481" s="16" t="str">
        <x:f>IF(A481="","",LOWER(Events!B480&amp;" "&amp;Events!D480&amp;" "&amp;Events!K480))</x:f>
      </x:c>
      <x:c r="Q481" s="16" t="str">
        <x:f>IF(A481="","",LOWER(Events!C480&amp;" "&amp;Events!K480&amp;" "&amp;Events!T480))</x:f>
      </x:c>
      <x:c r="R481" s="16" t="str">
        <x:f>IF(A481="","",IF(ISNUMBER(SEARCH("Occurrence verified",E481)),"Occurrence verified",E481))</x:f>
      </x:c>
      <x:c r="S481" s="79" t="str">
        <x:f>IF(A481="","",Events!X480)</x:f>
      </x:c>
      <x:c r="Z481" s="79" t="str">
        <x:f>IF(A481="","",Events!AD480)</x:f>
      </x:c>
      <x:c r="AA481" s="79" t="str">
        <x:f>IF(A481="","",Events!AE480)</x:f>
      </x:c>
    </x:row>
    <x:row r="482">
      <x:c r="A482" s="16" t="str">
        <x:f>IF(Events!A481="","",Events!A481)</x:f>
      </x:c>
      <x:c r="B482" s="16" t="str">
        <x:f>IF(A482="","",Events!B481)</x:f>
      </x:c>
      <x:c r="C482" s="16" t="str">
        <x:f>IF(A482="","",Events!E481)</x:f>
      </x:c>
      <x:c r="D482" s="16" t="str">
        <x:f>IF(A482="","",Events!J481)</x:f>
      </x:c>
      <x:c r="E482" s="16" t="str">
        <x:f>IF(A482="","",Events!N481)</x:f>
      </x:c>
      <x:c r="F482" s="109" t="str">
        <x:f>IF(OR(A482="",Events!H481=""),"",Events!H481)</x:f>
      </x:c>
      <x:c r="G482" s="109" t="str">
        <x:f>IF(A482="","",IF(Events!I481&lt;&gt;"",Events!I481,IF(Events!S481&lt;&gt;"",Events!S481,"")))</x:f>
      </x:c>
      <x:c r="H482" s="16" t="str">
        <x:f>IF(A482="","",Events!W481)</x:f>
      </x:c>
      <x:c r="I482" s="16" t="str">
        <x:f>IF(A482="","",IF(Events!Y481&lt;&gt;"",Events!Y481,IF(OR(ISNUMBER(SEARCH("education",P482)),ISNUMBER(SEARCH("exam",P482)),ISNUMBER(SEARCH("school",P482))),"Education",IF(OR(ISNUMBER(SEARCH("trade agreement",P482)),ISNUMBER(SEARCH("economic",P482)),ISNUMBER(SEARCH("import",P482))),"Trade &amp; economic policy",IF(OR(ISNUMBER(SEARCH("land acquisition",P482)),ISNUMBER(SEARCH("rehabilitation",P482)),ISNUMBER(SEARCH("displacement",P482)),ISNUMBER(SEARCH("township",P482))),"Land &amp; rehabilitation",IF(OR(ISNUMBER(SEARCH("forest",P482)),ISNUMBER(SEARCH("environment",P482)),ISNUMBER(SEARCH("ecological",P482)),ISNUMBER(SEARCH("biodiversity",P482)),ISNUMBER(SEARCH("green cover",P482))),"Environment",IF(OR(ISNUMBER(SEARCH("irrigation",P482)),ISNUMBER(SEARCH("water",P482)),ISNUMBER(SEARCH("crop",P482)),ISNUMBER(SEARCH("farmer",P482)),ISNUMBER(SEARCH("agriculture",P482))),"Agriculture &amp; water",IF(OR(ISNUMBER(SEARCH("health",P482)),ISNUMBER(SEARCH("hospital",P482)),ISNUMBER(SEARCH("medicine",P482))),"Public health",IF(OR(ISNUMBER(SEARCH("employee",P482)),ISNUMBER(SEARCH("labour",P482)),ISNUMBER(SEARCH("worker",P482)),ISNUMBER(SEARCH("salary",P482))),"Labour &amp; employment",IF(OR(ISNUMBER(SEARCH("rti",P482)),ISNUMBER(SEARCH("transparency",P482)),ISNUMBER(SEARCH("corruption",P482)),ISNUMBER(SEARCH("governance",P482))),"Governance &amp; transparency",IF(OR(ISNUMBER(SEARCH("police",P482)),ISNUMBER(SEARCH("detention",P482)),ISNUMBER(SEARCH("civil rights",P482)),ISNUMBER(SEARCH("justice",P482))),"Civil rights &amp; justice",IF(OR(ISNUMBER(SEARCH("road",P482)),ISNUMBER(SEARCH("utility",P482)),ISNUMBER(SEARCH("infrastructure",P482)),ISNUMBER(SEARCH("public service",P482))),"Infrastructure &amp; public services","Other"))))))))))))</x:f>
      </x:c>
      <x:c r="J482" s="16" t="str">
        <x:f>IF(A482="","",IF(OR(ISNUMBER(SEARCH("fatal",Q482)),ISNUMBER(SEARCH("death",Q482)),ISNUMBER(SEARCH("riot",Q482)),ISNUMBER(SEARCH("curfew",Q482)),ISNUMBER(SEARCH("internet shutdown",Q482))),5,MIN(4,1+IF(H482&gt;=7,1,0)+IF(OR(ISNUMBER(SEARCH("hunger strike",Q482)),ISNUMBER(SEARCH("blockade",Q482)),ISNUMBER(SEARCH("strike",Q482)),ISNUMBER(SEARCH("jal satyagraha",Q482)),ISNUMBER(SEARCH("survey",Q482)),ISNUMBER(SEARCH("human chain",Q482)),ISNUMBER(SEARCH("march",Q482))),1,0)+IF(OR(ISNUMBER(SEARCH("fir",Q482)),ISNUMBER(SEARCH("confrontation",Q482)),ISNUMBER(SEARCH("violence",Q482)),ISNUMBER(SEARCH("detention",Q482)),ISNUMBER(SEARCH("arrest",Q482)),ISNUMBER(SEARCH("demolition",Q482)),ISNUMBER(SEARCH("injury",Q482))),1,0)+IF(OR(D482="Ongoing",D482="Unresolved"),1,0))))</x:f>
      </x:c>
      <x:c r="K482" s="16" t="str">
        <x:f>IF(J482="","",IF(J482=1,"Limited",IF(J482=2,"Local",IF(J482=3,"Significant",IF(J482=4,"High","Critical")))))</x:f>
      </x:c>
      <x:c r="L482" s="16" t="str">
        <x:f>IF(A482="","",Events!U481)</x:f>
      </x:c>
      <x:c r="M482" s="16" t="str">
        <x:f>IF(A482="","",Events!V481)</x:f>
      </x:c>
      <x:c r="N482" s="16" t="str">
        <x:f>IF(A482="","",Events!Q481)</x:f>
      </x:c>
      <x:c r="O482" s="16" t="str">
        <x:f>IF(A482="","",Events!R481)</x:f>
      </x:c>
      <x:c r="P482" s="16" t="str">
        <x:f>IF(A482="","",LOWER(Events!B481&amp;" "&amp;Events!D481&amp;" "&amp;Events!K481))</x:f>
      </x:c>
      <x:c r="Q482" s="16" t="str">
        <x:f>IF(A482="","",LOWER(Events!C481&amp;" "&amp;Events!K481&amp;" "&amp;Events!T481))</x:f>
      </x:c>
      <x:c r="R482" s="16" t="str">
        <x:f>IF(A482="","",IF(ISNUMBER(SEARCH("Occurrence verified",E482)),"Occurrence verified",E482))</x:f>
      </x:c>
      <x:c r="S482" s="79" t="str">
        <x:f>IF(A482="","",Events!X481)</x:f>
      </x:c>
      <x:c r="Z482" s="79" t="str">
        <x:f>IF(A482="","",Events!AD481)</x:f>
      </x:c>
      <x:c r="AA482" s="79" t="str">
        <x:f>IF(A482="","",Events!AE481)</x:f>
      </x:c>
    </x:row>
    <x:row r="483">
      <x:c r="A483" s="16" t="str">
        <x:f>IF(Events!A482="","",Events!A482)</x:f>
      </x:c>
      <x:c r="B483" s="16" t="str">
        <x:f>IF(A483="","",Events!B482)</x:f>
      </x:c>
      <x:c r="C483" s="16" t="str">
        <x:f>IF(A483="","",Events!E482)</x:f>
      </x:c>
      <x:c r="D483" s="16" t="str">
        <x:f>IF(A483="","",Events!J482)</x:f>
      </x:c>
      <x:c r="E483" s="16" t="str">
        <x:f>IF(A483="","",Events!N482)</x:f>
      </x:c>
      <x:c r="F483" s="109" t="str">
        <x:f>IF(OR(A483="",Events!H482=""),"",Events!H482)</x:f>
      </x:c>
      <x:c r="G483" s="109" t="str">
        <x:f>IF(A483="","",IF(Events!I482&lt;&gt;"",Events!I482,IF(Events!S482&lt;&gt;"",Events!S482,"")))</x:f>
      </x:c>
      <x:c r="H483" s="16" t="str">
        <x:f>IF(A483="","",Events!W482)</x:f>
      </x:c>
      <x:c r="I483" s="16" t="str">
        <x:f>IF(A483="","",IF(Events!Y482&lt;&gt;"",Events!Y482,IF(OR(ISNUMBER(SEARCH("education",P483)),ISNUMBER(SEARCH("exam",P483)),ISNUMBER(SEARCH("school",P483))),"Education",IF(OR(ISNUMBER(SEARCH("trade agreement",P483)),ISNUMBER(SEARCH("economic",P483)),ISNUMBER(SEARCH("import",P483))),"Trade &amp; economic policy",IF(OR(ISNUMBER(SEARCH("land acquisition",P483)),ISNUMBER(SEARCH("rehabilitation",P483)),ISNUMBER(SEARCH("displacement",P483)),ISNUMBER(SEARCH("township",P483))),"Land &amp; rehabilitation",IF(OR(ISNUMBER(SEARCH("forest",P483)),ISNUMBER(SEARCH("environment",P483)),ISNUMBER(SEARCH("ecological",P483)),ISNUMBER(SEARCH("biodiversity",P483)),ISNUMBER(SEARCH("green cover",P483))),"Environment",IF(OR(ISNUMBER(SEARCH("irrigation",P483)),ISNUMBER(SEARCH("water",P483)),ISNUMBER(SEARCH("crop",P483)),ISNUMBER(SEARCH("farmer",P483)),ISNUMBER(SEARCH("agriculture",P483))),"Agriculture &amp; water",IF(OR(ISNUMBER(SEARCH("health",P483)),ISNUMBER(SEARCH("hospital",P483)),ISNUMBER(SEARCH("medicine",P483))),"Public health",IF(OR(ISNUMBER(SEARCH("employee",P483)),ISNUMBER(SEARCH("labour",P483)),ISNUMBER(SEARCH("worker",P483)),ISNUMBER(SEARCH("salary",P483))),"Labour &amp; employment",IF(OR(ISNUMBER(SEARCH("rti",P483)),ISNUMBER(SEARCH("transparency",P483)),ISNUMBER(SEARCH("corruption",P483)),ISNUMBER(SEARCH("governance",P483))),"Governance &amp; transparency",IF(OR(ISNUMBER(SEARCH("police",P483)),ISNUMBER(SEARCH("detention",P483)),ISNUMBER(SEARCH("civil rights",P483)),ISNUMBER(SEARCH("justice",P483))),"Civil rights &amp; justice",IF(OR(ISNUMBER(SEARCH("road",P483)),ISNUMBER(SEARCH("utility",P483)),ISNUMBER(SEARCH("infrastructure",P483)),ISNUMBER(SEARCH("public service",P483))),"Infrastructure &amp; public services","Other"))))))))))))</x:f>
      </x:c>
      <x:c r="J483" s="16" t="str">
        <x:f>IF(A483="","",IF(OR(ISNUMBER(SEARCH("fatal",Q483)),ISNUMBER(SEARCH("death",Q483)),ISNUMBER(SEARCH("riot",Q483)),ISNUMBER(SEARCH("curfew",Q483)),ISNUMBER(SEARCH("internet shutdown",Q483))),5,MIN(4,1+IF(H483&gt;=7,1,0)+IF(OR(ISNUMBER(SEARCH("hunger strike",Q483)),ISNUMBER(SEARCH("blockade",Q483)),ISNUMBER(SEARCH("strike",Q483)),ISNUMBER(SEARCH("jal satyagraha",Q483)),ISNUMBER(SEARCH("survey",Q483)),ISNUMBER(SEARCH("human chain",Q483)),ISNUMBER(SEARCH("march",Q483))),1,0)+IF(OR(ISNUMBER(SEARCH("fir",Q483)),ISNUMBER(SEARCH("confrontation",Q483)),ISNUMBER(SEARCH("violence",Q483)),ISNUMBER(SEARCH("detention",Q483)),ISNUMBER(SEARCH("arrest",Q483)),ISNUMBER(SEARCH("demolition",Q483)),ISNUMBER(SEARCH("injury",Q483))),1,0)+IF(OR(D483="Ongoing",D483="Unresolved"),1,0))))</x:f>
      </x:c>
      <x:c r="K483" s="16" t="str">
        <x:f>IF(J483="","",IF(J483=1,"Limited",IF(J483=2,"Local",IF(J483=3,"Significant",IF(J483=4,"High","Critical")))))</x:f>
      </x:c>
      <x:c r="L483" s="16" t="str">
        <x:f>IF(A483="","",Events!U482)</x:f>
      </x:c>
      <x:c r="M483" s="16" t="str">
        <x:f>IF(A483="","",Events!V482)</x:f>
      </x:c>
      <x:c r="N483" s="16" t="str">
        <x:f>IF(A483="","",Events!Q482)</x:f>
      </x:c>
      <x:c r="O483" s="16" t="str">
        <x:f>IF(A483="","",Events!R482)</x:f>
      </x:c>
      <x:c r="P483" s="16" t="str">
        <x:f>IF(A483="","",LOWER(Events!B482&amp;" "&amp;Events!D482&amp;" "&amp;Events!K482))</x:f>
      </x:c>
      <x:c r="Q483" s="16" t="str">
        <x:f>IF(A483="","",LOWER(Events!C482&amp;" "&amp;Events!K482&amp;" "&amp;Events!T482))</x:f>
      </x:c>
      <x:c r="R483" s="16" t="str">
        <x:f>IF(A483="","",IF(ISNUMBER(SEARCH("Occurrence verified",E483)),"Occurrence verified",E483))</x:f>
      </x:c>
      <x:c r="S483" s="79" t="str">
        <x:f>IF(A483="","",Events!X482)</x:f>
      </x:c>
      <x:c r="Z483" s="79" t="str">
        <x:f>IF(A483="","",Events!AD482)</x:f>
      </x:c>
      <x:c r="AA483" s="79" t="str">
        <x:f>IF(A483="","",Events!AE482)</x:f>
      </x:c>
    </x:row>
    <x:row r="484">
      <x:c r="A484" s="16" t="str">
        <x:f>IF(Events!A483="","",Events!A483)</x:f>
      </x:c>
      <x:c r="B484" s="16" t="str">
        <x:f>IF(A484="","",Events!B483)</x:f>
      </x:c>
      <x:c r="C484" s="16" t="str">
        <x:f>IF(A484="","",Events!E483)</x:f>
      </x:c>
      <x:c r="D484" s="16" t="str">
        <x:f>IF(A484="","",Events!J483)</x:f>
      </x:c>
      <x:c r="E484" s="16" t="str">
        <x:f>IF(A484="","",Events!N483)</x:f>
      </x:c>
      <x:c r="F484" s="109" t="str">
        <x:f>IF(OR(A484="",Events!H483=""),"",Events!H483)</x:f>
      </x:c>
      <x:c r="G484" s="109" t="str">
        <x:f>IF(A484="","",IF(Events!I483&lt;&gt;"",Events!I483,IF(Events!S483&lt;&gt;"",Events!S483,"")))</x:f>
      </x:c>
      <x:c r="H484" s="16" t="str">
        <x:f>IF(A484="","",Events!W483)</x:f>
      </x:c>
      <x:c r="I484" s="16" t="str">
        <x:f>IF(A484="","",IF(Events!Y483&lt;&gt;"",Events!Y483,IF(OR(ISNUMBER(SEARCH("education",P484)),ISNUMBER(SEARCH("exam",P484)),ISNUMBER(SEARCH("school",P484))),"Education",IF(OR(ISNUMBER(SEARCH("trade agreement",P484)),ISNUMBER(SEARCH("economic",P484)),ISNUMBER(SEARCH("import",P484))),"Trade &amp; economic policy",IF(OR(ISNUMBER(SEARCH("land acquisition",P484)),ISNUMBER(SEARCH("rehabilitation",P484)),ISNUMBER(SEARCH("displacement",P484)),ISNUMBER(SEARCH("township",P484))),"Land &amp; rehabilitation",IF(OR(ISNUMBER(SEARCH("forest",P484)),ISNUMBER(SEARCH("environment",P484)),ISNUMBER(SEARCH("ecological",P484)),ISNUMBER(SEARCH("biodiversity",P484)),ISNUMBER(SEARCH("green cover",P484))),"Environment",IF(OR(ISNUMBER(SEARCH("irrigation",P484)),ISNUMBER(SEARCH("water",P484)),ISNUMBER(SEARCH("crop",P484)),ISNUMBER(SEARCH("farmer",P484)),ISNUMBER(SEARCH("agriculture",P484))),"Agriculture &amp; water",IF(OR(ISNUMBER(SEARCH("health",P484)),ISNUMBER(SEARCH("hospital",P484)),ISNUMBER(SEARCH("medicine",P484))),"Public health",IF(OR(ISNUMBER(SEARCH("employee",P484)),ISNUMBER(SEARCH("labour",P484)),ISNUMBER(SEARCH("worker",P484)),ISNUMBER(SEARCH("salary",P484))),"Labour &amp; employment",IF(OR(ISNUMBER(SEARCH("rti",P484)),ISNUMBER(SEARCH("transparency",P484)),ISNUMBER(SEARCH("corruption",P484)),ISNUMBER(SEARCH("governance",P484))),"Governance &amp; transparency",IF(OR(ISNUMBER(SEARCH("police",P484)),ISNUMBER(SEARCH("detention",P484)),ISNUMBER(SEARCH("civil rights",P484)),ISNUMBER(SEARCH("justice",P484))),"Civil rights &amp; justice",IF(OR(ISNUMBER(SEARCH("road",P484)),ISNUMBER(SEARCH("utility",P484)),ISNUMBER(SEARCH("infrastructure",P484)),ISNUMBER(SEARCH("public service",P484))),"Infrastructure &amp; public services","Other"))))))))))))</x:f>
      </x:c>
      <x:c r="J484" s="16" t="str">
        <x:f>IF(A484="","",IF(OR(ISNUMBER(SEARCH("fatal",Q484)),ISNUMBER(SEARCH("death",Q484)),ISNUMBER(SEARCH("riot",Q484)),ISNUMBER(SEARCH("curfew",Q484)),ISNUMBER(SEARCH("internet shutdown",Q484))),5,MIN(4,1+IF(H484&gt;=7,1,0)+IF(OR(ISNUMBER(SEARCH("hunger strike",Q484)),ISNUMBER(SEARCH("blockade",Q484)),ISNUMBER(SEARCH("strike",Q484)),ISNUMBER(SEARCH("jal satyagraha",Q484)),ISNUMBER(SEARCH("survey",Q484)),ISNUMBER(SEARCH("human chain",Q484)),ISNUMBER(SEARCH("march",Q484))),1,0)+IF(OR(ISNUMBER(SEARCH("fir",Q484)),ISNUMBER(SEARCH("confrontation",Q484)),ISNUMBER(SEARCH("violence",Q484)),ISNUMBER(SEARCH("detention",Q484)),ISNUMBER(SEARCH("arrest",Q484)),ISNUMBER(SEARCH("demolition",Q484)),ISNUMBER(SEARCH("injury",Q484))),1,0)+IF(OR(D484="Ongoing",D484="Unresolved"),1,0))))</x:f>
      </x:c>
      <x:c r="K484" s="16" t="str">
        <x:f>IF(J484="","",IF(J484=1,"Limited",IF(J484=2,"Local",IF(J484=3,"Significant",IF(J484=4,"High","Critical")))))</x:f>
      </x:c>
      <x:c r="L484" s="16" t="str">
        <x:f>IF(A484="","",Events!U483)</x:f>
      </x:c>
      <x:c r="M484" s="16" t="str">
        <x:f>IF(A484="","",Events!V483)</x:f>
      </x:c>
      <x:c r="N484" s="16" t="str">
        <x:f>IF(A484="","",Events!Q483)</x:f>
      </x:c>
      <x:c r="O484" s="16" t="str">
        <x:f>IF(A484="","",Events!R483)</x:f>
      </x:c>
      <x:c r="P484" s="16" t="str">
        <x:f>IF(A484="","",LOWER(Events!B483&amp;" "&amp;Events!D483&amp;" "&amp;Events!K483))</x:f>
      </x:c>
      <x:c r="Q484" s="16" t="str">
        <x:f>IF(A484="","",LOWER(Events!C483&amp;" "&amp;Events!K483&amp;" "&amp;Events!T483))</x:f>
      </x:c>
      <x:c r="R484" s="16" t="str">
        <x:f>IF(A484="","",IF(ISNUMBER(SEARCH("Occurrence verified",E484)),"Occurrence verified",E484))</x:f>
      </x:c>
      <x:c r="S484" s="79" t="str">
        <x:f>IF(A484="","",Events!X483)</x:f>
      </x:c>
      <x:c r="Z484" s="79" t="str">
        <x:f>IF(A484="","",Events!AD483)</x:f>
      </x:c>
      <x:c r="AA484" s="79" t="str">
        <x:f>IF(A484="","",Events!AE483)</x:f>
      </x:c>
    </x:row>
    <x:row r="485">
      <x:c r="A485" s="16" t="str">
        <x:f>IF(Events!A484="","",Events!A484)</x:f>
      </x:c>
      <x:c r="B485" s="16" t="str">
        <x:f>IF(A485="","",Events!B484)</x:f>
      </x:c>
      <x:c r="C485" s="16" t="str">
        <x:f>IF(A485="","",Events!E484)</x:f>
      </x:c>
      <x:c r="D485" s="16" t="str">
        <x:f>IF(A485="","",Events!J484)</x:f>
      </x:c>
      <x:c r="E485" s="16" t="str">
        <x:f>IF(A485="","",Events!N484)</x:f>
      </x:c>
      <x:c r="F485" s="109" t="str">
        <x:f>IF(OR(A485="",Events!H484=""),"",Events!H484)</x:f>
      </x:c>
      <x:c r="G485" s="109" t="str">
        <x:f>IF(A485="","",IF(Events!I484&lt;&gt;"",Events!I484,IF(Events!S484&lt;&gt;"",Events!S484,"")))</x:f>
      </x:c>
      <x:c r="H485" s="16" t="str">
        <x:f>IF(A485="","",Events!W484)</x:f>
      </x:c>
      <x:c r="I485" s="16" t="str">
        <x:f>IF(A485="","",IF(Events!Y484&lt;&gt;"",Events!Y484,IF(OR(ISNUMBER(SEARCH("education",P485)),ISNUMBER(SEARCH("exam",P485)),ISNUMBER(SEARCH("school",P485))),"Education",IF(OR(ISNUMBER(SEARCH("trade agreement",P485)),ISNUMBER(SEARCH("economic",P485)),ISNUMBER(SEARCH("import",P485))),"Trade &amp; economic policy",IF(OR(ISNUMBER(SEARCH("land acquisition",P485)),ISNUMBER(SEARCH("rehabilitation",P485)),ISNUMBER(SEARCH("displacement",P485)),ISNUMBER(SEARCH("township",P485))),"Land &amp; rehabilitation",IF(OR(ISNUMBER(SEARCH("forest",P485)),ISNUMBER(SEARCH("environment",P485)),ISNUMBER(SEARCH("ecological",P485)),ISNUMBER(SEARCH("biodiversity",P485)),ISNUMBER(SEARCH("green cover",P485))),"Environment",IF(OR(ISNUMBER(SEARCH("irrigation",P485)),ISNUMBER(SEARCH("water",P485)),ISNUMBER(SEARCH("crop",P485)),ISNUMBER(SEARCH("farmer",P485)),ISNUMBER(SEARCH("agriculture",P485))),"Agriculture &amp; water",IF(OR(ISNUMBER(SEARCH("health",P485)),ISNUMBER(SEARCH("hospital",P485)),ISNUMBER(SEARCH("medicine",P485))),"Public health",IF(OR(ISNUMBER(SEARCH("employee",P485)),ISNUMBER(SEARCH("labour",P485)),ISNUMBER(SEARCH("worker",P485)),ISNUMBER(SEARCH("salary",P485))),"Labour &amp; employment",IF(OR(ISNUMBER(SEARCH("rti",P485)),ISNUMBER(SEARCH("transparency",P485)),ISNUMBER(SEARCH("corruption",P485)),ISNUMBER(SEARCH("governance",P485))),"Governance &amp; transparency",IF(OR(ISNUMBER(SEARCH("police",P485)),ISNUMBER(SEARCH("detention",P485)),ISNUMBER(SEARCH("civil rights",P485)),ISNUMBER(SEARCH("justice",P485))),"Civil rights &amp; justice",IF(OR(ISNUMBER(SEARCH("road",P485)),ISNUMBER(SEARCH("utility",P485)),ISNUMBER(SEARCH("infrastructure",P485)),ISNUMBER(SEARCH("public service",P485))),"Infrastructure &amp; public services","Other"))))))))))))</x:f>
      </x:c>
      <x:c r="J485" s="16" t="str">
        <x:f>IF(A485="","",IF(OR(ISNUMBER(SEARCH("fatal",Q485)),ISNUMBER(SEARCH("death",Q485)),ISNUMBER(SEARCH("riot",Q485)),ISNUMBER(SEARCH("curfew",Q485)),ISNUMBER(SEARCH("internet shutdown",Q485))),5,MIN(4,1+IF(H485&gt;=7,1,0)+IF(OR(ISNUMBER(SEARCH("hunger strike",Q485)),ISNUMBER(SEARCH("blockade",Q485)),ISNUMBER(SEARCH("strike",Q485)),ISNUMBER(SEARCH("jal satyagraha",Q485)),ISNUMBER(SEARCH("survey",Q485)),ISNUMBER(SEARCH("human chain",Q485)),ISNUMBER(SEARCH("march",Q485))),1,0)+IF(OR(ISNUMBER(SEARCH("fir",Q485)),ISNUMBER(SEARCH("confrontation",Q485)),ISNUMBER(SEARCH("violence",Q485)),ISNUMBER(SEARCH("detention",Q485)),ISNUMBER(SEARCH("arrest",Q485)),ISNUMBER(SEARCH("demolition",Q485)),ISNUMBER(SEARCH("injury",Q485))),1,0)+IF(OR(D485="Ongoing",D485="Unresolved"),1,0))))</x:f>
      </x:c>
      <x:c r="K485" s="16" t="str">
        <x:f>IF(J485="","",IF(J485=1,"Limited",IF(J485=2,"Local",IF(J485=3,"Significant",IF(J485=4,"High","Critical")))))</x:f>
      </x:c>
      <x:c r="L485" s="16" t="str">
        <x:f>IF(A485="","",Events!U484)</x:f>
      </x:c>
      <x:c r="M485" s="16" t="str">
        <x:f>IF(A485="","",Events!V484)</x:f>
      </x:c>
      <x:c r="N485" s="16" t="str">
        <x:f>IF(A485="","",Events!Q484)</x:f>
      </x:c>
      <x:c r="O485" s="16" t="str">
        <x:f>IF(A485="","",Events!R484)</x:f>
      </x:c>
      <x:c r="P485" s="16" t="str">
        <x:f>IF(A485="","",LOWER(Events!B484&amp;" "&amp;Events!D484&amp;" "&amp;Events!K484))</x:f>
      </x:c>
      <x:c r="Q485" s="16" t="str">
        <x:f>IF(A485="","",LOWER(Events!C484&amp;" "&amp;Events!K484&amp;" "&amp;Events!T484))</x:f>
      </x:c>
      <x:c r="R485" s="16" t="str">
        <x:f>IF(A485="","",IF(ISNUMBER(SEARCH("Occurrence verified",E485)),"Occurrence verified",E485))</x:f>
      </x:c>
      <x:c r="S485" s="79" t="str">
        <x:f>IF(A485="","",Events!X484)</x:f>
      </x:c>
      <x:c r="Z485" s="79" t="str">
        <x:f>IF(A485="","",Events!AD484)</x:f>
      </x:c>
      <x:c r="AA485" s="79" t="str">
        <x:f>IF(A485="","",Events!AE484)</x:f>
      </x:c>
    </x:row>
    <x:row r="486">
      <x:c r="A486" s="16" t="str">
        <x:f>IF(Events!A485="","",Events!A485)</x:f>
      </x:c>
      <x:c r="B486" s="16" t="str">
        <x:f>IF(A486="","",Events!B485)</x:f>
      </x:c>
      <x:c r="C486" s="16" t="str">
        <x:f>IF(A486="","",Events!E485)</x:f>
      </x:c>
      <x:c r="D486" s="16" t="str">
        <x:f>IF(A486="","",Events!J485)</x:f>
      </x:c>
      <x:c r="E486" s="16" t="str">
        <x:f>IF(A486="","",Events!N485)</x:f>
      </x:c>
      <x:c r="F486" s="109" t="str">
        <x:f>IF(OR(A486="",Events!H485=""),"",Events!H485)</x:f>
      </x:c>
      <x:c r="G486" s="109" t="str">
        <x:f>IF(A486="","",IF(Events!I485&lt;&gt;"",Events!I485,IF(Events!S485&lt;&gt;"",Events!S485,"")))</x:f>
      </x:c>
      <x:c r="H486" s="16" t="str">
        <x:f>IF(A486="","",Events!W485)</x:f>
      </x:c>
      <x:c r="I486" s="16" t="str">
        <x:f>IF(A486="","",IF(Events!Y485&lt;&gt;"",Events!Y485,IF(OR(ISNUMBER(SEARCH("education",P486)),ISNUMBER(SEARCH("exam",P486)),ISNUMBER(SEARCH("school",P486))),"Education",IF(OR(ISNUMBER(SEARCH("trade agreement",P486)),ISNUMBER(SEARCH("economic",P486)),ISNUMBER(SEARCH("import",P486))),"Trade &amp; economic policy",IF(OR(ISNUMBER(SEARCH("land acquisition",P486)),ISNUMBER(SEARCH("rehabilitation",P486)),ISNUMBER(SEARCH("displacement",P486)),ISNUMBER(SEARCH("township",P486))),"Land &amp; rehabilitation",IF(OR(ISNUMBER(SEARCH("forest",P486)),ISNUMBER(SEARCH("environment",P486)),ISNUMBER(SEARCH("ecological",P486)),ISNUMBER(SEARCH("biodiversity",P486)),ISNUMBER(SEARCH("green cover",P486))),"Environment",IF(OR(ISNUMBER(SEARCH("irrigation",P486)),ISNUMBER(SEARCH("water",P486)),ISNUMBER(SEARCH("crop",P486)),ISNUMBER(SEARCH("farmer",P486)),ISNUMBER(SEARCH("agriculture",P486))),"Agriculture &amp; water",IF(OR(ISNUMBER(SEARCH("health",P486)),ISNUMBER(SEARCH("hospital",P486)),ISNUMBER(SEARCH("medicine",P486))),"Public health",IF(OR(ISNUMBER(SEARCH("employee",P486)),ISNUMBER(SEARCH("labour",P486)),ISNUMBER(SEARCH("worker",P486)),ISNUMBER(SEARCH("salary",P486))),"Labour &amp; employment",IF(OR(ISNUMBER(SEARCH("rti",P486)),ISNUMBER(SEARCH("transparency",P486)),ISNUMBER(SEARCH("corruption",P486)),ISNUMBER(SEARCH("governance",P486))),"Governance &amp; transparency",IF(OR(ISNUMBER(SEARCH("police",P486)),ISNUMBER(SEARCH("detention",P486)),ISNUMBER(SEARCH("civil rights",P486)),ISNUMBER(SEARCH("justice",P486))),"Civil rights &amp; justice",IF(OR(ISNUMBER(SEARCH("road",P486)),ISNUMBER(SEARCH("utility",P486)),ISNUMBER(SEARCH("infrastructure",P486)),ISNUMBER(SEARCH("public service",P486))),"Infrastructure &amp; public services","Other"))))))))))))</x:f>
      </x:c>
      <x:c r="J486" s="16" t="str">
        <x:f>IF(A486="","",IF(OR(ISNUMBER(SEARCH("fatal",Q486)),ISNUMBER(SEARCH("death",Q486)),ISNUMBER(SEARCH("riot",Q486)),ISNUMBER(SEARCH("curfew",Q486)),ISNUMBER(SEARCH("internet shutdown",Q486))),5,MIN(4,1+IF(H486&gt;=7,1,0)+IF(OR(ISNUMBER(SEARCH("hunger strike",Q486)),ISNUMBER(SEARCH("blockade",Q486)),ISNUMBER(SEARCH("strike",Q486)),ISNUMBER(SEARCH("jal satyagraha",Q486)),ISNUMBER(SEARCH("survey",Q486)),ISNUMBER(SEARCH("human chain",Q486)),ISNUMBER(SEARCH("march",Q486))),1,0)+IF(OR(ISNUMBER(SEARCH("fir",Q486)),ISNUMBER(SEARCH("confrontation",Q486)),ISNUMBER(SEARCH("violence",Q486)),ISNUMBER(SEARCH("detention",Q486)),ISNUMBER(SEARCH("arrest",Q486)),ISNUMBER(SEARCH("demolition",Q486)),ISNUMBER(SEARCH("injury",Q486))),1,0)+IF(OR(D486="Ongoing",D486="Unresolved"),1,0))))</x:f>
      </x:c>
      <x:c r="K486" s="16" t="str">
        <x:f>IF(J486="","",IF(J486=1,"Limited",IF(J486=2,"Local",IF(J486=3,"Significant",IF(J486=4,"High","Critical")))))</x:f>
      </x:c>
      <x:c r="L486" s="16" t="str">
        <x:f>IF(A486="","",Events!U485)</x:f>
      </x:c>
      <x:c r="M486" s="16" t="str">
        <x:f>IF(A486="","",Events!V485)</x:f>
      </x:c>
      <x:c r="N486" s="16" t="str">
        <x:f>IF(A486="","",Events!Q485)</x:f>
      </x:c>
      <x:c r="O486" s="16" t="str">
        <x:f>IF(A486="","",Events!R485)</x:f>
      </x:c>
      <x:c r="P486" s="16" t="str">
        <x:f>IF(A486="","",LOWER(Events!B485&amp;" "&amp;Events!D485&amp;" "&amp;Events!K485))</x:f>
      </x:c>
      <x:c r="Q486" s="16" t="str">
        <x:f>IF(A486="","",LOWER(Events!C485&amp;" "&amp;Events!K485&amp;" "&amp;Events!T485))</x:f>
      </x:c>
      <x:c r="R486" s="16" t="str">
        <x:f>IF(A486="","",IF(ISNUMBER(SEARCH("Occurrence verified",E486)),"Occurrence verified",E486))</x:f>
      </x:c>
      <x:c r="S486" s="79" t="str">
        <x:f>IF(A486="","",Events!X485)</x:f>
      </x:c>
      <x:c r="Z486" s="79" t="str">
        <x:f>IF(A486="","",Events!AD485)</x:f>
      </x:c>
      <x:c r="AA486" s="79" t="str">
        <x:f>IF(A486="","",Events!AE485)</x:f>
      </x:c>
    </x:row>
    <x:row r="487">
      <x:c r="A487" s="16" t="str">
        <x:f>IF(Events!A486="","",Events!A486)</x:f>
      </x:c>
      <x:c r="B487" s="16" t="str">
        <x:f>IF(A487="","",Events!B486)</x:f>
      </x:c>
      <x:c r="C487" s="16" t="str">
        <x:f>IF(A487="","",Events!E486)</x:f>
      </x:c>
      <x:c r="D487" s="16" t="str">
        <x:f>IF(A487="","",Events!J486)</x:f>
      </x:c>
      <x:c r="E487" s="16" t="str">
        <x:f>IF(A487="","",Events!N486)</x:f>
      </x:c>
      <x:c r="F487" s="109" t="str">
        <x:f>IF(OR(A487="",Events!H486=""),"",Events!H486)</x:f>
      </x:c>
      <x:c r="G487" s="109" t="str">
        <x:f>IF(A487="","",IF(Events!I486&lt;&gt;"",Events!I486,IF(Events!S486&lt;&gt;"",Events!S486,"")))</x:f>
      </x:c>
      <x:c r="H487" s="16" t="str">
        <x:f>IF(A487="","",Events!W486)</x:f>
      </x:c>
      <x:c r="I487" s="16" t="str">
        <x:f>IF(A487="","",IF(Events!Y486&lt;&gt;"",Events!Y486,IF(OR(ISNUMBER(SEARCH("education",P487)),ISNUMBER(SEARCH("exam",P487)),ISNUMBER(SEARCH("school",P487))),"Education",IF(OR(ISNUMBER(SEARCH("trade agreement",P487)),ISNUMBER(SEARCH("economic",P487)),ISNUMBER(SEARCH("import",P487))),"Trade &amp; economic policy",IF(OR(ISNUMBER(SEARCH("land acquisition",P487)),ISNUMBER(SEARCH("rehabilitation",P487)),ISNUMBER(SEARCH("displacement",P487)),ISNUMBER(SEARCH("township",P487))),"Land &amp; rehabilitation",IF(OR(ISNUMBER(SEARCH("forest",P487)),ISNUMBER(SEARCH("environment",P487)),ISNUMBER(SEARCH("ecological",P487)),ISNUMBER(SEARCH("biodiversity",P487)),ISNUMBER(SEARCH("green cover",P487))),"Environment",IF(OR(ISNUMBER(SEARCH("irrigation",P487)),ISNUMBER(SEARCH("water",P487)),ISNUMBER(SEARCH("crop",P487)),ISNUMBER(SEARCH("farmer",P487)),ISNUMBER(SEARCH("agriculture",P487))),"Agriculture &amp; water",IF(OR(ISNUMBER(SEARCH("health",P487)),ISNUMBER(SEARCH("hospital",P487)),ISNUMBER(SEARCH("medicine",P487))),"Public health",IF(OR(ISNUMBER(SEARCH("employee",P487)),ISNUMBER(SEARCH("labour",P487)),ISNUMBER(SEARCH("worker",P487)),ISNUMBER(SEARCH("salary",P487))),"Labour &amp; employment",IF(OR(ISNUMBER(SEARCH("rti",P487)),ISNUMBER(SEARCH("transparency",P487)),ISNUMBER(SEARCH("corruption",P487)),ISNUMBER(SEARCH("governance",P487))),"Governance &amp; transparency",IF(OR(ISNUMBER(SEARCH("police",P487)),ISNUMBER(SEARCH("detention",P487)),ISNUMBER(SEARCH("civil rights",P487)),ISNUMBER(SEARCH("justice",P487))),"Civil rights &amp; justice",IF(OR(ISNUMBER(SEARCH("road",P487)),ISNUMBER(SEARCH("utility",P487)),ISNUMBER(SEARCH("infrastructure",P487)),ISNUMBER(SEARCH("public service",P487))),"Infrastructure &amp; public services","Other"))))))))))))</x:f>
      </x:c>
      <x:c r="J487" s="16" t="str">
        <x:f>IF(A487="","",IF(OR(ISNUMBER(SEARCH("fatal",Q487)),ISNUMBER(SEARCH("death",Q487)),ISNUMBER(SEARCH("riot",Q487)),ISNUMBER(SEARCH("curfew",Q487)),ISNUMBER(SEARCH("internet shutdown",Q487))),5,MIN(4,1+IF(H487&gt;=7,1,0)+IF(OR(ISNUMBER(SEARCH("hunger strike",Q487)),ISNUMBER(SEARCH("blockade",Q487)),ISNUMBER(SEARCH("strike",Q487)),ISNUMBER(SEARCH("jal satyagraha",Q487)),ISNUMBER(SEARCH("survey",Q487)),ISNUMBER(SEARCH("human chain",Q487)),ISNUMBER(SEARCH("march",Q487))),1,0)+IF(OR(ISNUMBER(SEARCH("fir",Q487)),ISNUMBER(SEARCH("confrontation",Q487)),ISNUMBER(SEARCH("violence",Q487)),ISNUMBER(SEARCH("detention",Q487)),ISNUMBER(SEARCH("arrest",Q487)),ISNUMBER(SEARCH("demolition",Q487)),ISNUMBER(SEARCH("injury",Q487))),1,0)+IF(OR(D487="Ongoing",D487="Unresolved"),1,0))))</x:f>
      </x:c>
      <x:c r="K487" s="16" t="str">
        <x:f>IF(J487="","",IF(J487=1,"Limited",IF(J487=2,"Local",IF(J487=3,"Significant",IF(J487=4,"High","Critical")))))</x:f>
      </x:c>
      <x:c r="L487" s="16" t="str">
        <x:f>IF(A487="","",Events!U486)</x:f>
      </x:c>
      <x:c r="M487" s="16" t="str">
        <x:f>IF(A487="","",Events!V486)</x:f>
      </x:c>
      <x:c r="N487" s="16" t="str">
        <x:f>IF(A487="","",Events!Q486)</x:f>
      </x:c>
      <x:c r="O487" s="16" t="str">
        <x:f>IF(A487="","",Events!R486)</x:f>
      </x:c>
      <x:c r="P487" s="16" t="str">
        <x:f>IF(A487="","",LOWER(Events!B486&amp;" "&amp;Events!D486&amp;" "&amp;Events!K486))</x:f>
      </x:c>
      <x:c r="Q487" s="16" t="str">
        <x:f>IF(A487="","",LOWER(Events!C486&amp;" "&amp;Events!K486&amp;" "&amp;Events!T486))</x:f>
      </x:c>
      <x:c r="R487" s="16" t="str">
        <x:f>IF(A487="","",IF(ISNUMBER(SEARCH("Occurrence verified",E487)),"Occurrence verified",E487))</x:f>
      </x:c>
      <x:c r="S487" s="79" t="str">
        <x:f>IF(A487="","",Events!X486)</x:f>
      </x:c>
      <x:c r="Z487" s="79" t="str">
        <x:f>IF(A487="","",Events!AD486)</x:f>
      </x:c>
      <x:c r="AA487" s="79" t="str">
        <x:f>IF(A487="","",Events!AE486)</x:f>
      </x:c>
    </x:row>
    <x:row r="488">
      <x:c r="A488" s="16" t="str">
        <x:f>IF(Events!A487="","",Events!A487)</x:f>
      </x:c>
      <x:c r="B488" s="16" t="str">
        <x:f>IF(A488="","",Events!B487)</x:f>
      </x:c>
      <x:c r="C488" s="16" t="str">
        <x:f>IF(A488="","",Events!E487)</x:f>
      </x:c>
      <x:c r="D488" s="16" t="str">
        <x:f>IF(A488="","",Events!J487)</x:f>
      </x:c>
      <x:c r="E488" s="16" t="str">
        <x:f>IF(A488="","",Events!N487)</x:f>
      </x:c>
      <x:c r="F488" s="109" t="str">
        <x:f>IF(OR(A488="",Events!H487=""),"",Events!H487)</x:f>
      </x:c>
      <x:c r="G488" s="109" t="str">
        <x:f>IF(A488="","",IF(Events!I487&lt;&gt;"",Events!I487,IF(Events!S487&lt;&gt;"",Events!S487,"")))</x:f>
      </x:c>
      <x:c r="H488" s="16" t="str">
        <x:f>IF(A488="","",Events!W487)</x:f>
      </x:c>
      <x:c r="I488" s="16" t="str">
        <x:f>IF(A488="","",IF(Events!Y487&lt;&gt;"",Events!Y487,IF(OR(ISNUMBER(SEARCH("education",P488)),ISNUMBER(SEARCH("exam",P488)),ISNUMBER(SEARCH("school",P488))),"Education",IF(OR(ISNUMBER(SEARCH("trade agreement",P488)),ISNUMBER(SEARCH("economic",P488)),ISNUMBER(SEARCH("import",P488))),"Trade &amp; economic policy",IF(OR(ISNUMBER(SEARCH("land acquisition",P488)),ISNUMBER(SEARCH("rehabilitation",P488)),ISNUMBER(SEARCH("displacement",P488)),ISNUMBER(SEARCH("township",P488))),"Land &amp; rehabilitation",IF(OR(ISNUMBER(SEARCH("forest",P488)),ISNUMBER(SEARCH("environment",P488)),ISNUMBER(SEARCH("ecological",P488)),ISNUMBER(SEARCH("biodiversity",P488)),ISNUMBER(SEARCH("green cover",P488))),"Environment",IF(OR(ISNUMBER(SEARCH("irrigation",P488)),ISNUMBER(SEARCH("water",P488)),ISNUMBER(SEARCH("crop",P488)),ISNUMBER(SEARCH("farmer",P488)),ISNUMBER(SEARCH("agriculture",P488))),"Agriculture &amp; water",IF(OR(ISNUMBER(SEARCH("health",P488)),ISNUMBER(SEARCH("hospital",P488)),ISNUMBER(SEARCH("medicine",P488))),"Public health",IF(OR(ISNUMBER(SEARCH("employee",P488)),ISNUMBER(SEARCH("labour",P488)),ISNUMBER(SEARCH("worker",P488)),ISNUMBER(SEARCH("salary",P488))),"Labour &amp; employment",IF(OR(ISNUMBER(SEARCH("rti",P488)),ISNUMBER(SEARCH("transparency",P488)),ISNUMBER(SEARCH("corruption",P488)),ISNUMBER(SEARCH("governance",P488))),"Governance &amp; transparency",IF(OR(ISNUMBER(SEARCH("police",P488)),ISNUMBER(SEARCH("detention",P488)),ISNUMBER(SEARCH("civil rights",P488)),ISNUMBER(SEARCH("justice",P488))),"Civil rights &amp; justice",IF(OR(ISNUMBER(SEARCH("road",P488)),ISNUMBER(SEARCH("utility",P488)),ISNUMBER(SEARCH("infrastructure",P488)),ISNUMBER(SEARCH("public service",P488))),"Infrastructure &amp; public services","Other"))))))))))))</x:f>
      </x:c>
      <x:c r="J488" s="16" t="str">
        <x:f>IF(A488="","",IF(OR(ISNUMBER(SEARCH("fatal",Q488)),ISNUMBER(SEARCH("death",Q488)),ISNUMBER(SEARCH("riot",Q488)),ISNUMBER(SEARCH("curfew",Q488)),ISNUMBER(SEARCH("internet shutdown",Q488))),5,MIN(4,1+IF(H488&gt;=7,1,0)+IF(OR(ISNUMBER(SEARCH("hunger strike",Q488)),ISNUMBER(SEARCH("blockade",Q488)),ISNUMBER(SEARCH("strike",Q488)),ISNUMBER(SEARCH("jal satyagraha",Q488)),ISNUMBER(SEARCH("survey",Q488)),ISNUMBER(SEARCH("human chain",Q488)),ISNUMBER(SEARCH("march",Q488))),1,0)+IF(OR(ISNUMBER(SEARCH("fir",Q488)),ISNUMBER(SEARCH("confrontation",Q488)),ISNUMBER(SEARCH("violence",Q488)),ISNUMBER(SEARCH("detention",Q488)),ISNUMBER(SEARCH("arrest",Q488)),ISNUMBER(SEARCH("demolition",Q488)),ISNUMBER(SEARCH("injury",Q488))),1,0)+IF(OR(D488="Ongoing",D488="Unresolved"),1,0))))</x:f>
      </x:c>
      <x:c r="K488" s="16" t="str">
        <x:f>IF(J488="","",IF(J488=1,"Limited",IF(J488=2,"Local",IF(J488=3,"Significant",IF(J488=4,"High","Critical")))))</x:f>
      </x:c>
      <x:c r="L488" s="16" t="str">
        <x:f>IF(A488="","",Events!U487)</x:f>
      </x:c>
      <x:c r="M488" s="16" t="str">
        <x:f>IF(A488="","",Events!V487)</x:f>
      </x:c>
      <x:c r="N488" s="16" t="str">
        <x:f>IF(A488="","",Events!Q487)</x:f>
      </x:c>
      <x:c r="O488" s="16" t="str">
        <x:f>IF(A488="","",Events!R487)</x:f>
      </x:c>
      <x:c r="P488" s="16" t="str">
        <x:f>IF(A488="","",LOWER(Events!B487&amp;" "&amp;Events!D487&amp;" "&amp;Events!K487))</x:f>
      </x:c>
      <x:c r="Q488" s="16" t="str">
        <x:f>IF(A488="","",LOWER(Events!C487&amp;" "&amp;Events!K487&amp;" "&amp;Events!T487))</x:f>
      </x:c>
      <x:c r="R488" s="16" t="str">
        <x:f>IF(A488="","",IF(ISNUMBER(SEARCH("Occurrence verified",E488)),"Occurrence verified",E488))</x:f>
      </x:c>
      <x:c r="S488" s="79" t="str">
        <x:f>IF(A488="","",Events!X487)</x:f>
      </x:c>
      <x:c r="Z488" s="79" t="str">
        <x:f>IF(A488="","",Events!AD487)</x:f>
      </x:c>
      <x:c r="AA488" s="79" t="str">
        <x:f>IF(A488="","",Events!AE487)</x:f>
      </x:c>
    </x:row>
    <x:row r="489">
      <x:c r="A489" s="16" t="str">
        <x:f>IF(Events!A488="","",Events!A488)</x:f>
      </x:c>
      <x:c r="B489" s="16" t="str">
        <x:f>IF(A489="","",Events!B488)</x:f>
      </x:c>
      <x:c r="C489" s="16" t="str">
        <x:f>IF(A489="","",Events!E488)</x:f>
      </x:c>
      <x:c r="D489" s="16" t="str">
        <x:f>IF(A489="","",Events!J488)</x:f>
      </x:c>
      <x:c r="E489" s="16" t="str">
        <x:f>IF(A489="","",Events!N488)</x:f>
      </x:c>
      <x:c r="F489" s="109" t="str">
        <x:f>IF(OR(A489="",Events!H488=""),"",Events!H488)</x:f>
      </x:c>
      <x:c r="G489" s="109" t="str">
        <x:f>IF(A489="","",IF(Events!I488&lt;&gt;"",Events!I488,IF(Events!S488&lt;&gt;"",Events!S488,"")))</x:f>
      </x:c>
      <x:c r="H489" s="16" t="str">
        <x:f>IF(A489="","",Events!W488)</x:f>
      </x:c>
      <x:c r="I489" s="16" t="str">
        <x:f>IF(A489="","",IF(Events!Y488&lt;&gt;"",Events!Y488,IF(OR(ISNUMBER(SEARCH("education",P489)),ISNUMBER(SEARCH("exam",P489)),ISNUMBER(SEARCH("school",P489))),"Education",IF(OR(ISNUMBER(SEARCH("trade agreement",P489)),ISNUMBER(SEARCH("economic",P489)),ISNUMBER(SEARCH("import",P489))),"Trade &amp; economic policy",IF(OR(ISNUMBER(SEARCH("land acquisition",P489)),ISNUMBER(SEARCH("rehabilitation",P489)),ISNUMBER(SEARCH("displacement",P489)),ISNUMBER(SEARCH("township",P489))),"Land &amp; rehabilitation",IF(OR(ISNUMBER(SEARCH("forest",P489)),ISNUMBER(SEARCH("environment",P489)),ISNUMBER(SEARCH("ecological",P489)),ISNUMBER(SEARCH("biodiversity",P489)),ISNUMBER(SEARCH("green cover",P489))),"Environment",IF(OR(ISNUMBER(SEARCH("irrigation",P489)),ISNUMBER(SEARCH("water",P489)),ISNUMBER(SEARCH("crop",P489)),ISNUMBER(SEARCH("farmer",P489)),ISNUMBER(SEARCH("agriculture",P489))),"Agriculture &amp; water",IF(OR(ISNUMBER(SEARCH("health",P489)),ISNUMBER(SEARCH("hospital",P489)),ISNUMBER(SEARCH("medicine",P489))),"Public health",IF(OR(ISNUMBER(SEARCH("employee",P489)),ISNUMBER(SEARCH("labour",P489)),ISNUMBER(SEARCH("worker",P489)),ISNUMBER(SEARCH("salary",P489))),"Labour &amp; employment",IF(OR(ISNUMBER(SEARCH("rti",P489)),ISNUMBER(SEARCH("transparency",P489)),ISNUMBER(SEARCH("corruption",P489)),ISNUMBER(SEARCH("governance",P489))),"Governance &amp; transparency",IF(OR(ISNUMBER(SEARCH("police",P489)),ISNUMBER(SEARCH("detention",P489)),ISNUMBER(SEARCH("civil rights",P489)),ISNUMBER(SEARCH("justice",P489))),"Civil rights &amp; justice",IF(OR(ISNUMBER(SEARCH("road",P489)),ISNUMBER(SEARCH("utility",P489)),ISNUMBER(SEARCH("infrastructure",P489)),ISNUMBER(SEARCH("public service",P489))),"Infrastructure &amp; public services","Other"))))))))))))</x:f>
      </x:c>
      <x:c r="J489" s="16" t="str">
        <x:f>IF(A489="","",IF(OR(ISNUMBER(SEARCH("fatal",Q489)),ISNUMBER(SEARCH("death",Q489)),ISNUMBER(SEARCH("riot",Q489)),ISNUMBER(SEARCH("curfew",Q489)),ISNUMBER(SEARCH("internet shutdown",Q489))),5,MIN(4,1+IF(H489&gt;=7,1,0)+IF(OR(ISNUMBER(SEARCH("hunger strike",Q489)),ISNUMBER(SEARCH("blockade",Q489)),ISNUMBER(SEARCH("strike",Q489)),ISNUMBER(SEARCH("jal satyagraha",Q489)),ISNUMBER(SEARCH("survey",Q489)),ISNUMBER(SEARCH("human chain",Q489)),ISNUMBER(SEARCH("march",Q489))),1,0)+IF(OR(ISNUMBER(SEARCH("fir",Q489)),ISNUMBER(SEARCH("confrontation",Q489)),ISNUMBER(SEARCH("violence",Q489)),ISNUMBER(SEARCH("detention",Q489)),ISNUMBER(SEARCH("arrest",Q489)),ISNUMBER(SEARCH("demolition",Q489)),ISNUMBER(SEARCH("injury",Q489))),1,0)+IF(OR(D489="Ongoing",D489="Unresolved"),1,0))))</x:f>
      </x:c>
      <x:c r="K489" s="16" t="str">
        <x:f>IF(J489="","",IF(J489=1,"Limited",IF(J489=2,"Local",IF(J489=3,"Significant",IF(J489=4,"High","Critical")))))</x:f>
      </x:c>
      <x:c r="L489" s="16" t="str">
        <x:f>IF(A489="","",Events!U488)</x:f>
      </x:c>
      <x:c r="M489" s="16" t="str">
        <x:f>IF(A489="","",Events!V488)</x:f>
      </x:c>
      <x:c r="N489" s="16" t="str">
        <x:f>IF(A489="","",Events!Q488)</x:f>
      </x:c>
      <x:c r="O489" s="16" t="str">
        <x:f>IF(A489="","",Events!R488)</x:f>
      </x:c>
      <x:c r="P489" s="16" t="str">
        <x:f>IF(A489="","",LOWER(Events!B488&amp;" "&amp;Events!D488&amp;" "&amp;Events!K488))</x:f>
      </x:c>
      <x:c r="Q489" s="16" t="str">
        <x:f>IF(A489="","",LOWER(Events!C488&amp;" "&amp;Events!K488&amp;" "&amp;Events!T488))</x:f>
      </x:c>
      <x:c r="R489" s="16" t="str">
        <x:f>IF(A489="","",IF(ISNUMBER(SEARCH("Occurrence verified",E489)),"Occurrence verified",E489))</x:f>
      </x:c>
      <x:c r="S489" s="79" t="str">
        <x:f>IF(A489="","",Events!X488)</x:f>
      </x:c>
      <x:c r="Z489" s="79" t="str">
        <x:f>IF(A489="","",Events!AD488)</x:f>
      </x:c>
      <x:c r="AA489" s="79" t="str">
        <x:f>IF(A489="","",Events!AE488)</x:f>
      </x:c>
    </x:row>
    <x:row r="490">
      <x:c r="A490" s="16" t="str">
        <x:f>IF(Events!A489="","",Events!A489)</x:f>
      </x:c>
      <x:c r="B490" s="16" t="str">
        <x:f>IF(A490="","",Events!B489)</x:f>
      </x:c>
      <x:c r="C490" s="16" t="str">
        <x:f>IF(A490="","",Events!E489)</x:f>
      </x:c>
      <x:c r="D490" s="16" t="str">
        <x:f>IF(A490="","",Events!J489)</x:f>
      </x:c>
      <x:c r="E490" s="16" t="str">
        <x:f>IF(A490="","",Events!N489)</x:f>
      </x:c>
      <x:c r="F490" s="109" t="str">
        <x:f>IF(OR(A490="",Events!H489=""),"",Events!H489)</x:f>
      </x:c>
      <x:c r="G490" s="109" t="str">
        <x:f>IF(A490="","",IF(Events!I489&lt;&gt;"",Events!I489,IF(Events!S489&lt;&gt;"",Events!S489,"")))</x:f>
      </x:c>
      <x:c r="H490" s="16" t="str">
        <x:f>IF(A490="","",Events!W489)</x:f>
      </x:c>
      <x:c r="I490" s="16" t="str">
        <x:f>IF(A490="","",IF(Events!Y489&lt;&gt;"",Events!Y489,IF(OR(ISNUMBER(SEARCH("education",P490)),ISNUMBER(SEARCH("exam",P490)),ISNUMBER(SEARCH("school",P490))),"Education",IF(OR(ISNUMBER(SEARCH("trade agreement",P490)),ISNUMBER(SEARCH("economic",P490)),ISNUMBER(SEARCH("import",P490))),"Trade &amp; economic policy",IF(OR(ISNUMBER(SEARCH("land acquisition",P490)),ISNUMBER(SEARCH("rehabilitation",P490)),ISNUMBER(SEARCH("displacement",P490)),ISNUMBER(SEARCH("township",P490))),"Land &amp; rehabilitation",IF(OR(ISNUMBER(SEARCH("forest",P490)),ISNUMBER(SEARCH("environment",P490)),ISNUMBER(SEARCH("ecological",P490)),ISNUMBER(SEARCH("biodiversity",P490)),ISNUMBER(SEARCH("green cover",P490))),"Environment",IF(OR(ISNUMBER(SEARCH("irrigation",P490)),ISNUMBER(SEARCH("water",P490)),ISNUMBER(SEARCH("crop",P490)),ISNUMBER(SEARCH("farmer",P490)),ISNUMBER(SEARCH("agriculture",P490))),"Agriculture &amp; water",IF(OR(ISNUMBER(SEARCH("health",P490)),ISNUMBER(SEARCH("hospital",P490)),ISNUMBER(SEARCH("medicine",P490))),"Public health",IF(OR(ISNUMBER(SEARCH("employee",P490)),ISNUMBER(SEARCH("labour",P490)),ISNUMBER(SEARCH("worker",P490)),ISNUMBER(SEARCH("salary",P490))),"Labour &amp; employment",IF(OR(ISNUMBER(SEARCH("rti",P490)),ISNUMBER(SEARCH("transparency",P490)),ISNUMBER(SEARCH("corruption",P490)),ISNUMBER(SEARCH("governance",P490))),"Governance &amp; transparency",IF(OR(ISNUMBER(SEARCH("police",P490)),ISNUMBER(SEARCH("detention",P490)),ISNUMBER(SEARCH("civil rights",P490)),ISNUMBER(SEARCH("justice",P490))),"Civil rights &amp; justice",IF(OR(ISNUMBER(SEARCH("road",P490)),ISNUMBER(SEARCH("utility",P490)),ISNUMBER(SEARCH("infrastructure",P490)),ISNUMBER(SEARCH("public service",P490))),"Infrastructure &amp; public services","Other"))))))))))))</x:f>
      </x:c>
      <x:c r="J490" s="16" t="str">
        <x:f>IF(A490="","",IF(OR(ISNUMBER(SEARCH("fatal",Q490)),ISNUMBER(SEARCH("death",Q490)),ISNUMBER(SEARCH("riot",Q490)),ISNUMBER(SEARCH("curfew",Q490)),ISNUMBER(SEARCH("internet shutdown",Q490))),5,MIN(4,1+IF(H490&gt;=7,1,0)+IF(OR(ISNUMBER(SEARCH("hunger strike",Q490)),ISNUMBER(SEARCH("blockade",Q490)),ISNUMBER(SEARCH("strike",Q490)),ISNUMBER(SEARCH("jal satyagraha",Q490)),ISNUMBER(SEARCH("survey",Q490)),ISNUMBER(SEARCH("human chain",Q490)),ISNUMBER(SEARCH("march",Q490))),1,0)+IF(OR(ISNUMBER(SEARCH("fir",Q490)),ISNUMBER(SEARCH("confrontation",Q490)),ISNUMBER(SEARCH("violence",Q490)),ISNUMBER(SEARCH("detention",Q490)),ISNUMBER(SEARCH("arrest",Q490)),ISNUMBER(SEARCH("demolition",Q490)),ISNUMBER(SEARCH("injury",Q490))),1,0)+IF(OR(D490="Ongoing",D490="Unresolved"),1,0))))</x:f>
      </x:c>
      <x:c r="K490" s="16" t="str">
        <x:f>IF(J490="","",IF(J490=1,"Limited",IF(J490=2,"Local",IF(J490=3,"Significant",IF(J490=4,"High","Critical")))))</x:f>
      </x:c>
      <x:c r="L490" s="16" t="str">
        <x:f>IF(A490="","",Events!U489)</x:f>
      </x:c>
      <x:c r="M490" s="16" t="str">
        <x:f>IF(A490="","",Events!V489)</x:f>
      </x:c>
      <x:c r="N490" s="16" t="str">
        <x:f>IF(A490="","",Events!Q489)</x:f>
      </x:c>
      <x:c r="O490" s="16" t="str">
        <x:f>IF(A490="","",Events!R489)</x:f>
      </x:c>
      <x:c r="P490" s="16" t="str">
        <x:f>IF(A490="","",LOWER(Events!B489&amp;" "&amp;Events!D489&amp;" "&amp;Events!K489))</x:f>
      </x:c>
      <x:c r="Q490" s="16" t="str">
        <x:f>IF(A490="","",LOWER(Events!C489&amp;" "&amp;Events!K489&amp;" "&amp;Events!T489))</x:f>
      </x:c>
      <x:c r="R490" s="16" t="str">
        <x:f>IF(A490="","",IF(ISNUMBER(SEARCH("Occurrence verified",E490)),"Occurrence verified",E490))</x:f>
      </x:c>
      <x:c r="S490" s="79" t="str">
        <x:f>IF(A490="","",Events!X489)</x:f>
      </x:c>
      <x:c r="Z490" s="79" t="str">
        <x:f>IF(A490="","",Events!AD489)</x:f>
      </x:c>
      <x:c r="AA490" s="79" t="str">
        <x:f>IF(A490="","",Events!AE489)</x:f>
      </x:c>
    </x:row>
    <x:row r="491">
      <x:c r="A491" s="16" t="str">
        <x:f>IF(Events!A490="","",Events!A490)</x:f>
      </x:c>
      <x:c r="B491" s="16" t="str">
        <x:f>IF(A491="","",Events!B490)</x:f>
      </x:c>
      <x:c r="C491" s="16" t="str">
        <x:f>IF(A491="","",Events!E490)</x:f>
      </x:c>
      <x:c r="D491" s="16" t="str">
        <x:f>IF(A491="","",Events!J490)</x:f>
      </x:c>
      <x:c r="E491" s="16" t="str">
        <x:f>IF(A491="","",Events!N490)</x:f>
      </x:c>
      <x:c r="F491" s="109" t="str">
        <x:f>IF(OR(A491="",Events!H490=""),"",Events!H490)</x:f>
      </x:c>
      <x:c r="G491" s="109" t="str">
        <x:f>IF(A491="","",IF(Events!I490&lt;&gt;"",Events!I490,IF(Events!S490&lt;&gt;"",Events!S490,"")))</x:f>
      </x:c>
      <x:c r="H491" s="16" t="str">
        <x:f>IF(A491="","",Events!W490)</x:f>
      </x:c>
      <x:c r="I491" s="16" t="str">
        <x:f>IF(A491="","",IF(Events!Y490&lt;&gt;"",Events!Y490,IF(OR(ISNUMBER(SEARCH("education",P491)),ISNUMBER(SEARCH("exam",P491)),ISNUMBER(SEARCH("school",P491))),"Education",IF(OR(ISNUMBER(SEARCH("trade agreement",P491)),ISNUMBER(SEARCH("economic",P491)),ISNUMBER(SEARCH("import",P491))),"Trade &amp; economic policy",IF(OR(ISNUMBER(SEARCH("land acquisition",P491)),ISNUMBER(SEARCH("rehabilitation",P491)),ISNUMBER(SEARCH("displacement",P491)),ISNUMBER(SEARCH("township",P491))),"Land &amp; rehabilitation",IF(OR(ISNUMBER(SEARCH("forest",P491)),ISNUMBER(SEARCH("environment",P491)),ISNUMBER(SEARCH("ecological",P491)),ISNUMBER(SEARCH("biodiversity",P491)),ISNUMBER(SEARCH("green cover",P491))),"Environment",IF(OR(ISNUMBER(SEARCH("irrigation",P491)),ISNUMBER(SEARCH("water",P491)),ISNUMBER(SEARCH("crop",P491)),ISNUMBER(SEARCH("farmer",P491)),ISNUMBER(SEARCH("agriculture",P491))),"Agriculture &amp; water",IF(OR(ISNUMBER(SEARCH("health",P491)),ISNUMBER(SEARCH("hospital",P491)),ISNUMBER(SEARCH("medicine",P491))),"Public health",IF(OR(ISNUMBER(SEARCH("employee",P491)),ISNUMBER(SEARCH("labour",P491)),ISNUMBER(SEARCH("worker",P491)),ISNUMBER(SEARCH("salary",P491))),"Labour &amp; employment",IF(OR(ISNUMBER(SEARCH("rti",P491)),ISNUMBER(SEARCH("transparency",P491)),ISNUMBER(SEARCH("corruption",P491)),ISNUMBER(SEARCH("governance",P491))),"Governance &amp; transparency",IF(OR(ISNUMBER(SEARCH("police",P491)),ISNUMBER(SEARCH("detention",P491)),ISNUMBER(SEARCH("civil rights",P491)),ISNUMBER(SEARCH("justice",P491))),"Civil rights &amp; justice",IF(OR(ISNUMBER(SEARCH("road",P491)),ISNUMBER(SEARCH("utility",P491)),ISNUMBER(SEARCH("infrastructure",P491)),ISNUMBER(SEARCH("public service",P491))),"Infrastructure &amp; public services","Other"))))))))))))</x:f>
      </x:c>
      <x:c r="J491" s="16" t="str">
        <x:f>IF(A491="","",IF(OR(ISNUMBER(SEARCH("fatal",Q491)),ISNUMBER(SEARCH("death",Q491)),ISNUMBER(SEARCH("riot",Q491)),ISNUMBER(SEARCH("curfew",Q491)),ISNUMBER(SEARCH("internet shutdown",Q491))),5,MIN(4,1+IF(H491&gt;=7,1,0)+IF(OR(ISNUMBER(SEARCH("hunger strike",Q491)),ISNUMBER(SEARCH("blockade",Q491)),ISNUMBER(SEARCH("strike",Q491)),ISNUMBER(SEARCH("jal satyagraha",Q491)),ISNUMBER(SEARCH("survey",Q491)),ISNUMBER(SEARCH("human chain",Q491)),ISNUMBER(SEARCH("march",Q491))),1,0)+IF(OR(ISNUMBER(SEARCH("fir",Q491)),ISNUMBER(SEARCH("confrontation",Q491)),ISNUMBER(SEARCH("violence",Q491)),ISNUMBER(SEARCH("detention",Q491)),ISNUMBER(SEARCH("arrest",Q491)),ISNUMBER(SEARCH("demolition",Q491)),ISNUMBER(SEARCH("injury",Q491))),1,0)+IF(OR(D491="Ongoing",D491="Unresolved"),1,0))))</x:f>
      </x:c>
      <x:c r="K491" s="16" t="str">
        <x:f>IF(J491="","",IF(J491=1,"Limited",IF(J491=2,"Local",IF(J491=3,"Significant",IF(J491=4,"High","Critical")))))</x:f>
      </x:c>
      <x:c r="L491" s="16" t="str">
        <x:f>IF(A491="","",Events!U490)</x:f>
      </x:c>
      <x:c r="M491" s="16" t="str">
        <x:f>IF(A491="","",Events!V490)</x:f>
      </x:c>
      <x:c r="N491" s="16" t="str">
        <x:f>IF(A491="","",Events!Q490)</x:f>
      </x:c>
      <x:c r="O491" s="16" t="str">
        <x:f>IF(A491="","",Events!R490)</x:f>
      </x:c>
      <x:c r="P491" s="16" t="str">
        <x:f>IF(A491="","",LOWER(Events!B490&amp;" "&amp;Events!D490&amp;" "&amp;Events!K490))</x:f>
      </x:c>
      <x:c r="Q491" s="16" t="str">
        <x:f>IF(A491="","",LOWER(Events!C490&amp;" "&amp;Events!K490&amp;" "&amp;Events!T490))</x:f>
      </x:c>
      <x:c r="R491" s="16" t="str">
        <x:f>IF(A491="","",IF(ISNUMBER(SEARCH("Occurrence verified",E491)),"Occurrence verified",E491))</x:f>
      </x:c>
      <x:c r="S491" s="79" t="str">
        <x:f>IF(A491="","",Events!X490)</x:f>
      </x:c>
      <x:c r="Z491" s="79" t="str">
        <x:f>IF(A491="","",Events!AD490)</x:f>
      </x:c>
      <x:c r="AA491" s="79" t="str">
        <x:f>IF(A491="","",Events!AE490)</x:f>
      </x:c>
    </x:row>
    <x:row r="492">
      <x:c r="A492" s="16" t="str">
        <x:f>IF(Events!A491="","",Events!A491)</x:f>
      </x:c>
      <x:c r="B492" s="16" t="str">
        <x:f>IF(A492="","",Events!B491)</x:f>
      </x:c>
      <x:c r="C492" s="16" t="str">
        <x:f>IF(A492="","",Events!E491)</x:f>
      </x:c>
      <x:c r="D492" s="16" t="str">
        <x:f>IF(A492="","",Events!J491)</x:f>
      </x:c>
      <x:c r="E492" s="16" t="str">
        <x:f>IF(A492="","",Events!N491)</x:f>
      </x:c>
      <x:c r="F492" s="109" t="str">
        <x:f>IF(OR(A492="",Events!H491=""),"",Events!H491)</x:f>
      </x:c>
      <x:c r="G492" s="109" t="str">
        <x:f>IF(A492="","",IF(Events!I491&lt;&gt;"",Events!I491,IF(Events!S491&lt;&gt;"",Events!S491,"")))</x:f>
      </x:c>
      <x:c r="H492" s="16" t="str">
        <x:f>IF(A492="","",Events!W491)</x:f>
      </x:c>
      <x:c r="I492" s="16" t="str">
        <x:f>IF(A492="","",IF(Events!Y491&lt;&gt;"",Events!Y491,IF(OR(ISNUMBER(SEARCH("education",P492)),ISNUMBER(SEARCH("exam",P492)),ISNUMBER(SEARCH("school",P492))),"Education",IF(OR(ISNUMBER(SEARCH("trade agreement",P492)),ISNUMBER(SEARCH("economic",P492)),ISNUMBER(SEARCH("import",P492))),"Trade &amp; economic policy",IF(OR(ISNUMBER(SEARCH("land acquisition",P492)),ISNUMBER(SEARCH("rehabilitation",P492)),ISNUMBER(SEARCH("displacement",P492)),ISNUMBER(SEARCH("township",P492))),"Land &amp; rehabilitation",IF(OR(ISNUMBER(SEARCH("forest",P492)),ISNUMBER(SEARCH("environment",P492)),ISNUMBER(SEARCH("ecological",P492)),ISNUMBER(SEARCH("biodiversity",P492)),ISNUMBER(SEARCH("green cover",P492))),"Environment",IF(OR(ISNUMBER(SEARCH("irrigation",P492)),ISNUMBER(SEARCH("water",P492)),ISNUMBER(SEARCH("crop",P492)),ISNUMBER(SEARCH("farmer",P492)),ISNUMBER(SEARCH("agriculture",P492))),"Agriculture &amp; water",IF(OR(ISNUMBER(SEARCH("health",P492)),ISNUMBER(SEARCH("hospital",P492)),ISNUMBER(SEARCH("medicine",P492))),"Public health",IF(OR(ISNUMBER(SEARCH("employee",P492)),ISNUMBER(SEARCH("labour",P492)),ISNUMBER(SEARCH("worker",P492)),ISNUMBER(SEARCH("salary",P492))),"Labour &amp; employment",IF(OR(ISNUMBER(SEARCH("rti",P492)),ISNUMBER(SEARCH("transparency",P492)),ISNUMBER(SEARCH("corruption",P492)),ISNUMBER(SEARCH("governance",P492))),"Governance &amp; transparency",IF(OR(ISNUMBER(SEARCH("police",P492)),ISNUMBER(SEARCH("detention",P492)),ISNUMBER(SEARCH("civil rights",P492)),ISNUMBER(SEARCH("justice",P492))),"Civil rights &amp; justice",IF(OR(ISNUMBER(SEARCH("road",P492)),ISNUMBER(SEARCH("utility",P492)),ISNUMBER(SEARCH("infrastructure",P492)),ISNUMBER(SEARCH("public service",P492))),"Infrastructure &amp; public services","Other"))))))))))))</x:f>
      </x:c>
      <x:c r="J492" s="16" t="str">
        <x:f>IF(A492="","",IF(OR(ISNUMBER(SEARCH("fatal",Q492)),ISNUMBER(SEARCH("death",Q492)),ISNUMBER(SEARCH("riot",Q492)),ISNUMBER(SEARCH("curfew",Q492)),ISNUMBER(SEARCH("internet shutdown",Q492))),5,MIN(4,1+IF(H492&gt;=7,1,0)+IF(OR(ISNUMBER(SEARCH("hunger strike",Q492)),ISNUMBER(SEARCH("blockade",Q492)),ISNUMBER(SEARCH("strike",Q492)),ISNUMBER(SEARCH("jal satyagraha",Q492)),ISNUMBER(SEARCH("survey",Q492)),ISNUMBER(SEARCH("human chain",Q492)),ISNUMBER(SEARCH("march",Q492))),1,0)+IF(OR(ISNUMBER(SEARCH("fir",Q492)),ISNUMBER(SEARCH("confrontation",Q492)),ISNUMBER(SEARCH("violence",Q492)),ISNUMBER(SEARCH("detention",Q492)),ISNUMBER(SEARCH("arrest",Q492)),ISNUMBER(SEARCH("demolition",Q492)),ISNUMBER(SEARCH("injury",Q492))),1,0)+IF(OR(D492="Ongoing",D492="Unresolved"),1,0))))</x:f>
      </x:c>
      <x:c r="K492" s="16" t="str">
        <x:f>IF(J492="","",IF(J492=1,"Limited",IF(J492=2,"Local",IF(J492=3,"Significant",IF(J492=4,"High","Critical")))))</x:f>
      </x:c>
      <x:c r="L492" s="16" t="str">
        <x:f>IF(A492="","",Events!U491)</x:f>
      </x:c>
      <x:c r="M492" s="16" t="str">
        <x:f>IF(A492="","",Events!V491)</x:f>
      </x:c>
      <x:c r="N492" s="16" t="str">
        <x:f>IF(A492="","",Events!Q491)</x:f>
      </x:c>
      <x:c r="O492" s="16" t="str">
        <x:f>IF(A492="","",Events!R491)</x:f>
      </x:c>
      <x:c r="P492" s="16" t="str">
        <x:f>IF(A492="","",LOWER(Events!B491&amp;" "&amp;Events!D491&amp;" "&amp;Events!K491))</x:f>
      </x:c>
      <x:c r="Q492" s="16" t="str">
        <x:f>IF(A492="","",LOWER(Events!C491&amp;" "&amp;Events!K491&amp;" "&amp;Events!T491))</x:f>
      </x:c>
      <x:c r="R492" s="16" t="str">
        <x:f>IF(A492="","",IF(ISNUMBER(SEARCH("Occurrence verified",E492)),"Occurrence verified",E492))</x:f>
      </x:c>
      <x:c r="S492" s="79" t="str">
        <x:f>IF(A492="","",Events!X491)</x:f>
      </x:c>
      <x:c r="Z492" s="79" t="str">
        <x:f>IF(A492="","",Events!AD491)</x:f>
      </x:c>
      <x:c r="AA492" s="79" t="str">
        <x:f>IF(A492="","",Events!AE491)</x:f>
      </x:c>
    </x:row>
    <x:row r="493">
      <x:c r="A493" s="16" t="str">
        <x:f>IF(Events!A492="","",Events!A492)</x:f>
      </x:c>
      <x:c r="B493" s="16" t="str">
        <x:f>IF(A493="","",Events!B492)</x:f>
      </x:c>
      <x:c r="C493" s="16" t="str">
        <x:f>IF(A493="","",Events!E492)</x:f>
      </x:c>
      <x:c r="D493" s="16" t="str">
        <x:f>IF(A493="","",Events!J492)</x:f>
      </x:c>
      <x:c r="E493" s="16" t="str">
        <x:f>IF(A493="","",Events!N492)</x:f>
      </x:c>
      <x:c r="F493" s="109" t="str">
        <x:f>IF(OR(A493="",Events!H492=""),"",Events!H492)</x:f>
      </x:c>
      <x:c r="G493" s="109" t="str">
        <x:f>IF(A493="","",IF(Events!I492&lt;&gt;"",Events!I492,IF(Events!S492&lt;&gt;"",Events!S492,"")))</x:f>
      </x:c>
      <x:c r="H493" s="16" t="str">
        <x:f>IF(A493="","",Events!W492)</x:f>
      </x:c>
      <x:c r="I493" s="16" t="str">
        <x:f>IF(A493="","",IF(Events!Y492&lt;&gt;"",Events!Y492,IF(OR(ISNUMBER(SEARCH("education",P493)),ISNUMBER(SEARCH("exam",P493)),ISNUMBER(SEARCH("school",P493))),"Education",IF(OR(ISNUMBER(SEARCH("trade agreement",P493)),ISNUMBER(SEARCH("economic",P493)),ISNUMBER(SEARCH("import",P493))),"Trade &amp; economic policy",IF(OR(ISNUMBER(SEARCH("land acquisition",P493)),ISNUMBER(SEARCH("rehabilitation",P493)),ISNUMBER(SEARCH("displacement",P493)),ISNUMBER(SEARCH("township",P493))),"Land &amp; rehabilitation",IF(OR(ISNUMBER(SEARCH("forest",P493)),ISNUMBER(SEARCH("environment",P493)),ISNUMBER(SEARCH("ecological",P493)),ISNUMBER(SEARCH("biodiversity",P493)),ISNUMBER(SEARCH("green cover",P493))),"Environment",IF(OR(ISNUMBER(SEARCH("irrigation",P493)),ISNUMBER(SEARCH("water",P493)),ISNUMBER(SEARCH("crop",P493)),ISNUMBER(SEARCH("farmer",P493)),ISNUMBER(SEARCH("agriculture",P493))),"Agriculture &amp; water",IF(OR(ISNUMBER(SEARCH("health",P493)),ISNUMBER(SEARCH("hospital",P493)),ISNUMBER(SEARCH("medicine",P493))),"Public health",IF(OR(ISNUMBER(SEARCH("employee",P493)),ISNUMBER(SEARCH("labour",P493)),ISNUMBER(SEARCH("worker",P493)),ISNUMBER(SEARCH("salary",P493))),"Labour &amp; employment",IF(OR(ISNUMBER(SEARCH("rti",P493)),ISNUMBER(SEARCH("transparency",P493)),ISNUMBER(SEARCH("corruption",P493)),ISNUMBER(SEARCH("governance",P493))),"Governance &amp; transparency",IF(OR(ISNUMBER(SEARCH("police",P493)),ISNUMBER(SEARCH("detention",P493)),ISNUMBER(SEARCH("civil rights",P493)),ISNUMBER(SEARCH("justice",P493))),"Civil rights &amp; justice",IF(OR(ISNUMBER(SEARCH("road",P493)),ISNUMBER(SEARCH("utility",P493)),ISNUMBER(SEARCH("infrastructure",P493)),ISNUMBER(SEARCH("public service",P493))),"Infrastructure &amp; public services","Other"))))))))))))</x:f>
      </x:c>
      <x:c r="J493" s="16" t="str">
        <x:f>IF(A493="","",IF(OR(ISNUMBER(SEARCH("fatal",Q493)),ISNUMBER(SEARCH("death",Q493)),ISNUMBER(SEARCH("riot",Q493)),ISNUMBER(SEARCH("curfew",Q493)),ISNUMBER(SEARCH("internet shutdown",Q493))),5,MIN(4,1+IF(H493&gt;=7,1,0)+IF(OR(ISNUMBER(SEARCH("hunger strike",Q493)),ISNUMBER(SEARCH("blockade",Q493)),ISNUMBER(SEARCH("strike",Q493)),ISNUMBER(SEARCH("jal satyagraha",Q493)),ISNUMBER(SEARCH("survey",Q493)),ISNUMBER(SEARCH("human chain",Q493)),ISNUMBER(SEARCH("march",Q493))),1,0)+IF(OR(ISNUMBER(SEARCH("fir",Q493)),ISNUMBER(SEARCH("confrontation",Q493)),ISNUMBER(SEARCH("violence",Q493)),ISNUMBER(SEARCH("detention",Q493)),ISNUMBER(SEARCH("arrest",Q493)),ISNUMBER(SEARCH("demolition",Q493)),ISNUMBER(SEARCH("injury",Q493))),1,0)+IF(OR(D493="Ongoing",D493="Unresolved"),1,0))))</x:f>
      </x:c>
      <x:c r="K493" s="16" t="str">
        <x:f>IF(J493="","",IF(J493=1,"Limited",IF(J493=2,"Local",IF(J493=3,"Significant",IF(J493=4,"High","Critical")))))</x:f>
      </x:c>
      <x:c r="L493" s="16" t="str">
        <x:f>IF(A493="","",Events!U492)</x:f>
      </x:c>
      <x:c r="M493" s="16" t="str">
        <x:f>IF(A493="","",Events!V492)</x:f>
      </x:c>
      <x:c r="N493" s="16" t="str">
        <x:f>IF(A493="","",Events!Q492)</x:f>
      </x:c>
      <x:c r="O493" s="16" t="str">
        <x:f>IF(A493="","",Events!R492)</x:f>
      </x:c>
      <x:c r="P493" s="16" t="str">
        <x:f>IF(A493="","",LOWER(Events!B492&amp;" "&amp;Events!D492&amp;" "&amp;Events!K492))</x:f>
      </x:c>
      <x:c r="Q493" s="16" t="str">
        <x:f>IF(A493="","",LOWER(Events!C492&amp;" "&amp;Events!K492&amp;" "&amp;Events!T492))</x:f>
      </x:c>
      <x:c r="R493" s="16" t="str">
        <x:f>IF(A493="","",IF(ISNUMBER(SEARCH("Occurrence verified",E493)),"Occurrence verified",E493))</x:f>
      </x:c>
      <x:c r="S493" s="79" t="str">
        <x:f>IF(A493="","",Events!X492)</x:f>
      </x:c>
      <x:c r="Z493" s="79" t="str">
        <x:f>IF(A493="","",Events!AD492)</x:f>
      </x:c>
      <x:c r="AA493" s="79" t="str">
        <x:f>IF(A493="","",Events!AE492)</x:f>
      </x:c>
    </x:row>
    <x:row r="494">
      <x:c r="A494" s="16" t="str">
        <x:f>IF(Events!A493="","",Events!A493)</x:f>
      </x:c>
      <x:c r="B494" s="16" t="str">
        <x:f>IF(A494="","",Events!B493)</x:f>
      </x:c>
      <x:c r="C494" s="16" t="str">
        <x:f>IF(A494="","",Events!E493)</x:f>
      </x:c>
      <x:c r="D494" s="16" t="str">
        <x:f>IF(A494="","",Events!J493)</x:f>
      </x:c>
      <x:c r="E494" s="16" t="str">
        <x:f>IF(A494="","",Events!N493)</x:f>
      </x:c>
      <x:c r="F494" s="109" t="str">
        <x:f>IF(OR(A494="",Events!H493=""),"",Events!H493)</x:f>
      </x:c>
      <x:c r="G494" s="109" t="str">
        <x:f>IF(A494="","",IF(Events!I493&lt;&gt;"",Events!I493,IF(Events!S493&lt;&gt;"",Events!S493,"")))</x:f>
      </x:c>
      <x:c r="H494" s="16" t="str">
        <x:f>IF(A494="","",Events!W493)</x:f>
      </x:c>
      <x:c r="I494" s="16" t="str">
        <x:f>IF(A494="","",IF(Events!Y493&lt;&gt;"",Events!Y493,IF(OR(ISNUMBER(SEARCH("education",P494)),ISNUMBER(SEARCH("exam",P494)),ISNUMBER(SEARCH("school",P494))),"Education",IF(OR(ISNUMBER(SEARCH("trade agreement",P494)),ISNUMBER(SEARCH("economic",P494)),ISNUMBER(SEARCH("import",P494))),"Trade &amp; economic policy",IF(OR(ISNUMBER(SEARCH("land acquisition",P494)),ISNUMBER(SEARCH("rehabilitation",P494)),ISNUMBER(SEARCH("displacement",P494)),ISNUMBER(SEARCH("township",P494))),"Land &amp; rehabilitation",IF(OR(ISNUMBER(SEARCH("forest",P494)),ISNUMBER(SEARCH("environment",P494)),ISNUMBER(SEARCH("ecological",P494)),ISNUMBER(SEARCH("biodiversity",P494)),ISNUMBER(SEARCH("green cover",P494))),"Environment",IF(OR(ISNUMBER(SEARCH("irrigation",P494)),ISNUMBER(SEARCH("water",P494)),ISNUMBER(SEARCH("crop",P494)),ISNUMBER(SEARCH("farmer",P494)),ISNUMBER(SEARCH("agriculture",P494))),"Agriculture &amp; water",IF(OR(ISNUMBER(SEARCH("health",P494)),ISNUMBER(SEARCH("hospital",P494)),ISNUMBER(SEARCH("medicine",P494))),"Public health",IF(OR(ISNUMBER(SEARCH("employee",P494)),ISNUMBER(SEARCH("labour",P494)),ISNUMBER(SEARCH("worker",P494)),ISNUMBER(SEARCH("salary",P494))),"Labour &amp; employment",IF(OR(ISNUMBER(SEARCH("rti",P494)),ISNUMBER(SEARCH("transparency",P494)),ISNUMBER(SEARCH("corruption",P494)),ISNUMBER(SEARCH("governance",P494))),"Governance &amp; transparency",IF(OR(ISNUMBER(SEARCH("police",P494)),ISNUMBER(SEARCH("detention",P494)),ISNUMBER(SEARCH("civil rights",P494)),ISNUMBER(SEARCH("justice",P494))),"Civil rights &amp; justice",IF(OR(ISNUMBER(SEARCH("road",P494)),ISNUMBER(SEARCH("utility",P494)),ISNUMBER(SEARCH("infrastructure",P494)),ISNUMBER(SEARCH("public service",P494))),"Infrastructure &amp; public services","Other"))))))))))))</x:f>
      </x:c>
      <x:c r="J494" s="16" t="str">
        <x:f>IF(A494="","",IF(OR(ISNUMBER(SEARCH("fatal",Q494)),ISNUMBER(SEARCH("death",Q494)),ISNUMBER(SEARCH("riot",Q494)),ISNUMBER(SEARCH("curfew",Q494)),ISNUMBER(SEARCH("internet shutdown",Q494))),5,MIN(4,1+IF(H494&gt;=7,1,0)+IF(OR(ISNUMBER(SEARCH("hunger strike",Q494)),ISNUMBER(SEARCH("blockade",Q494)),ISNUMBER(SEARCH("strike",Q494)),ISNUMBER(SEARCH("jal satyagraha",Q494)),ISNUMBER(SEARCH("survey",Q494)),ISNUMBER(SEARCH("human chain",Q494)),ISNUMBER(SEARCH("march",Q494))),1,0)+IF(OR(ISNUMBER(SEARCH("fir",Q494)),ISNUMBER(SEARCH("confrontation",Q494)),ISNUMBER(SEARCH("violence",Q494)),ISNUMBER(SEARCH("detention",Q494)),ISNUMBER(SEARCH("arrest",Q494)),ISNUMBER(SEARCH("demolition",Q494)),ISNUMBER(SEARCH("injury",Q494))),1,0)+IF(OR(D494="Ongoing",D494="Unresolved"),1,0))))</x:f>
      </x:c>
      <x:c r="K494" s="16" t="str">
        <x:f>IF(J494="","",IF(J494=1,"Limited",IF(J494=2,"Local",IF(J494=3,"Significant",IF(J494=4,"High","Critical")))))</x:f>
      </x:c>
      <x:c r="L494" s="16" t="str">
        <x:f>IF(A494="","",Events!U493)</x:f>
      </x:c>
      <x:c r="M494" s="16" t="str">
        <x:f>IF(A494="","",Events!V493)</x:f>
      </x:c>
      <x:c r="N494" s="16" t="str">
        <x:f>IF(A494="","",Events!Q493)</x:f>
      </x:c>
      <x:c r="O494" s="16" t="str">
        <x:f>IF(A494="","",Events!R493)</x:f>
      </x:c>
      <x:c r="P494" s="16" t="str">
        <x:f>IF(A494="","",LOWER(Events!B493&amp;" "&amp;Events!D493&amp;" "&amp;Events!K493))</x:f>
      </x:c>
      <x:c r="Q494" s="16" t="str">
        <x:f>IF(A494="","",LOWER(Events!C493&amp;" "&amp;Events!K493&amp;" "&amp;Events!T493))</x:f>
      </x:c>
      <x:c r="R494" s="16" t="str">
        <x:f>IF(A494="","",IF(ISNUMBER(SEARCH("Occurrence verified",E494)),"Occurrence verified",E494))</x:f>
      </x:c>
      <x:c r="S494" s="79" t="str">
        <x:f>IF(A494="","",Events!X493)</x:f>
      </x:c>
      <x:c r="Z494" s="79" t="str">
        <x:f>IF(A494="","",Events!AD493)</x:f>
      </x:c>
      <x:c r="AA494" s="79" t="str">
        <x:f>IF(A494="","",Events!AE493)</x:f>
      </x:c>
    </x:row>
    <x:row r="495">
      <x:c r="A495" s="16" t="str">
        <x:f>IF(Events!A494="","",Events!A494)</x:f>
      </x:c>
      <x:c r="B495" s="16" t="str">
        <x:f>IF(A495="","",Events!B494)</x:f>
      </x:c>
      <x:c r="C495" s="16" t="str">
        <x:f>IF(A495="","",Events!E494)</x:f>
      </x:c>
      <x:c r="D495" s="16" t="str">
        <x:f>IF(A495="","",Events!J494)</x:f>
      </x:c>
      <x:c r="E495" s="16" t="str">
        <x:f>IF(A495="","",Events!N494)</x:f>
      </x:c>
      <x:c r="F495" s="109" t="str">
        <x:f>IF(OR(A495="",Events!H494=""),"",Events!H494)</x:f>
      </x:c>
      <x:c r="G495" s="109" t="str">
        <x:f>IF(A495="","",IF(Events!I494&lt;&gt;"",Events!I494,IF(Events!S494&lt;&gt;"",Events!S494,"")))</x:f>
      </x:c>
      <x:c r="H495" s="16" t="str">
        <x:f>IF(A495="","",Events!W494)</x:f>
      </x:c>
      <x:c r="I495" s="16" t="str">
        <x:f>IF(A495="","",IF(Events!Y494&lt;&gt;"",Events!Y494,IF(OR(ISNUMBER(SEARCH("education",P495)),ISNUMBER(SEARCH("exam",P495)),ISNUMBER(SEARCH("school",P495))),"Education",IF(OR(ISNUMBER(SEARCH("trade agreement",P495)),ISNUMBER(SEARCH("economic",P495)),ISNUMBER(SEARCH("import",P495))),"Trade &amp; economic policy",IF(OR(ISNUMBER(SEARCH("land acquisition",P495)),ISNUMBER(SEARCH("rehabilitation",P495)),ISNUMBER(SEARCH("displacement",P495)),ISNUMBER(SEARCH("township",P495))),"Land &amp; rehabilitation",IF(OR(ISNUMBER(SEARCH("forest",P495)),ISNUMBER(SEARCH("environment",P495)),ISNUMBER(SEARCH("ecological",P495)),ISNUMBER(SEARCH("biodiversity",P495)),ISNUMBER(SEARCH("green cover",P495))),"Environment",IF(OR(ISNUMBER(SEARCH("irrigation",P495)),ISNUMBER(SEARCH("water",P495)),ISNUMBER(SEARCH("crop",P495)),ISNUMBER(SEARCH("farmer",P495)),ISNUMBER(SEARCH("agriculture",P495))),"Agriculture &amp; water",IF(OR(ISNUMBER(SEARCH("health",P495)),ISNUMBER(SEARCH("hospital",P495)),ISNUMBER(SEARCH("medicine",P495))),"Public health",IF(OR(ISNUMBER(SEARCH("employee",P495)),ISNUMBER(SEARCH("labour",P495)),ISNUMBER(SEARCH("worker",P495)),ISNUMBER(SEARCH("salary",P495))),"Labour &amp; employment",IF(OR(ISNUMBER(SEARCH("rti",P495)),ISNUMBER(SEARCH("transparency",P495)),ISNUMBER(SEARCH("corruption",P495)),ISNUMBER(SEARCH("governance",P495))),"Governance &amp; transparency",IF(OR(ISNUMBER(SEARCH("police",P495)),ISNUMBER(SEARCH("detention",P495)),ISNUMBER(SEARCH("civil rights",P495)),ISNUMBER(SEARCH("justice",P495))),"Civil rights &amp; justice",IF(OR(ISNUMBER(SEARCH("road",P495)),ISNUMBER(SEARCH("utility",P495)),ISNUMBER(SEARCH("infrastructure",P495)),ISNUMBER(SEARCH("public service",P495))),"Infrastructure &amp; public services","Other"))))))))))))</x:f>
      </x:c>
      <x:c r="J495" s="16" t="str">
        <x:f>IF(A495="","",IF(OR(ISNUMBER(SEARCH("fatal",Q495)),ISNUMBER(SEARCH("death",Q495)),ISNUMBER(SEARCH("riot",Q495)),ISNUMBER(SEARCH("curfew",Q495)),ISNUMBER(SEARCH("internet shutdown",Q495))),5,MIN(4,1+IF(H495&gt;=7,1,0)+IF(OR(ISNUMBER(SEARCH("hunger strike",Q495)),ISNUMBER(SEARCH("blockade",Q495)),ISNUMBER(SEARCH("strike",Q495)),ISNUMBER(SEARCH("jal satyagraha",Q495)),ISNUMBER(SEARCH("survey",Q495)),ISNUMBER(SEARCH("human chain",Q495)),ISNUMBER(SEARCH("march",Q495))),1,0)+IF(OR(ISNUMBER(SEARCH("fir",Q495)),ISNUMBER(SEARCH("confrontation",Q495)),ISNUMBER(SEARCH("violence",Q495)),ISNUMBER(SEARCH("detention",Q495)),ISNUMBER(SEARCH("arrest",Q495)),ISNUMBER(SEARCH("demolition",Q495)),ISNUMBER(SEARCH("injury",Q495))),1,0)+IF(OR(D495="Ongoing",D495="Unresolved"),1,0))))</x:f>
      </x:c>
      <x:c r="K495" s="16" t="str">
        <x:f>IF(J495="","",IF(J495=1,"Limited",IF(J495=2,"Local",IF(J495=3,"Significant",IF(J495=4,"High","Critical")))))</x:f>
      </x:c>
      <x:c r="L495" s="16" t="str">
        <x:f>IF(A495="","",Events!U494)</x:f>
      </x:c>
      <x:c r="M495" s="16" t="str">
        <x:f>IF(A495="","",Events!V494)</x:f>
      </x:c>
      <x:c r="N495" s="16" t="str">
        <x:f>IF(A495="","",Events!Q494)</x:f>
      </x:c>
      <x:c r="O495" s="16" t="str">
        <x:f>IF(A495="","",Events!R494)</x:f>
      </x:c>
      <x:c r="P495" s="16" t="str">
        <x:f>IF(A495="","",LOWER(Events!B494&amp;" "&amp;Events!D494&amp;" "&amp;Events!K494))</x:f>
      </x:c>
      <x:c r="Q495" s="16" t="str">
        <x:f>IF(A495="","",LOWER(Events!C494&amp;" "&amp;Events!K494&amp;" "&amp;Events!T494))</x:f>
      </x:c>
      <x:c r="R495" s="16" t="str">
        <x:f>IF(A495="","",IF(ISNUMBER(SEARCH("Occurrence verified",E495)),"Occurrence verified",E495))</x:f>
      </x:c>
      <x:c r="S495" s="79" t="str">
        <x:f>IF(A495="","",Events!X494)</x:f>
      </x:c>
      <x:c r="Z495" s="79" t="str">
        <x:f>IF(A495="","",Events!AD494)</x:f>
      </x:c>
      <x:c r="AA495" s="79" t="str">
        <x:f>IF(A495="","",Events!AE494)</x:f>
      </x:c>
    </x:row>
    <x:row r="496">
      <x:c r="A496" s="16" t="str">
        <x:f>IF(Events!A495="","",Events!A495)</x:f>
      </x:c>
      <x:c r="B496" s="16" t="str">
        <x:f>IF(A496="","",Events!B495)</x:f>
      </x:c>
      <x:c r="C496" s="16" t="str">
        <x:f>IF(A496="","",Events!E495)</x:f>
      </x:c>
      <x:c r="D496" s="16" t="str">
        <x:f>IF(A496="","",Events!J495)</x:f>
      </x:c>
      <x:c r="E496" s="16" t="str">
        <x:f>IF(A496="","",Events!N495)</x:f>
      </x:c>
      <x:c r="F496" s="109" t="str">
        <x:f>IF(OR(A496="",Events!H495=""),"",Events!H495)</x:f>
      </x:c>
      <x:c r="G496" s="109" t="str">
        <x:f>IF(A496="","",IF(Events!I495&lt;&gt;"",Events!I495,IF(Events!S495&lt;&gt;"",Events!S495,"")))</x:f>
      </x:c>
      <x:c r="H496" s="16" t="str">
        <x:f>IF(A496="","",Events!W495)</x:f>
      </x:c>
      <x:c r="I496" s="16" t="str">
        <x:f>IF(A496="","",IF(Events!Y495&lt;&gt;"",Events!Y495,IF(OR(ISNUMBER(SEARCH("education",P496)),ISNUMBER(SEARCH("exam",P496)),ISNUMBER(SEARCH("school",P496))),"Education",IF(OR(ISNUMBER(SEARCH("trade agreement",P496)),ISNUMBER(SEARCH("economic",P496)),ISNUMBER(SEARCH("import",P496))),"Trade &amp; economic policy",IF(OR(ISNUMBER(SEARCH("land acquisition",P496)),ISNUMBER(SEARCH("rehabilitation",P496)),ISNUMBER(SEARCH("displacement",P496)),ISNUMBER(SEARCH("township",P496))),"Land &amp; rehabilitation",IF(OR(ISNUMBER(SEARCH("forest",P496)),ISNUMBER(SEARCH("environment",P496)),ISNUMBER(SEARCH("ecological",P496)),ISNUMBER(SEARCH("biodiversity",P496)),ISNUMBER(SEARCH("green cover",P496))),"Environment",IF(OR(ISNUMBER(SEARCH("irrigation",P496)),ISNUMBER(SEARCH("water",P496)),ISNUMBER(SEARCH("crop",P496)),ISNUMBER(SEARCH("farmer",P496)),ISNUMBER(SEARCH("agriculture",P496))),"Agriculture &amp; water",IF(OR(ISNUMBER(SEARCH("health",P496)),ISNUMBER(SEARCH("hospital",P496)),ISNUMBER(SEARCH("medicine",P496))),"Public health",IF(OR(ISNUMBER(SEARCH("employee",P496)),ISNUMBER(SEARCH("labour",P496)),ISNUMBER(SEARCH("worker",P496)),ISNUMBER(SEARCH("salary",P496))),"Labour &amp; employment",IF(OR(ISNUMBER(SEARCH("rti",P496)),ISNUMBER(SEARCH("transparency",P496)),ISNUMBER(SEARCH("corruption",P496)),ISNUMBER(SEARCH("governance",P496))),"Governance &amp; transparency",IF(OR(ISNUMBER(SEARCH("police",P496)),ISNUMBER(SEARCH("detention",P496)),ISNUMBER(SEARCH("civil rights",P496)),ISNUMBER(SEARCH("justice",P496))),"Civil rights &amp; justice",IF(OR(ISNUMBER(SEARCH("road",P496)),ISNUMBER(SEARCH("utility",P496)),ISNUMBER(SEARCH("infrastructure",P496)),ISNUMBER(SEARCH("public service",P496))),"Infrastructure &amp; public services","Other"))))))))))))</x:f>
      </x:c>
      <x:c r="J496" s="16" t="str">
        <x:f>IF(A496="","",IF(OR(ISNUMBER(SEARCH("fatal",Q496)),ISNUMBER(SEARCH("death",Q496)),ISNUMBER(SEARCH("riot",Q496)),ISNUMBER(SEARCH("curfew",Q496)),ISNUMBER(SEARCH("internet shutdown",Q496))),5,MIN(4,1+IF(H496&gt;=7,1,0)+IF(OR(ISNUMBER(SEARCH("hunger strike",Q496)),ISNUMBER(SEARCH("blockade",Q496)),ISNUMBER(SEARCH("strike",Q496)),ISNUMBER(SEARCH("jal satyagraha",Q496)),ISNUMBER(SEARCH("survey",Q496)),ISNUMBER(SEARCH("human chain",Q496)),ISNUMBER(SEARCH("march",Q496))),1,0)+IF(OR(ISNUMBER(SEARCH("fir",Q496)),ISNUMBER(SEARCH("confrontation",Q496)),ISNUMBER(SEARCH("violence",Q496)),ISNUMBER(SEARCH("detention",Q496)),ISNUMBER(SEARCH("arrest",Q496)),ISNUMBER(SEARCH("demolition",Q496)),ISNUMBER(SEARCH("injury",Q496))),1,0)+IF(OR(D496="Ongoing",D496="Unresolved"),1,0))))</x:f>
      </x:c>
      <x:c r="K496" s="16" t="str">
        <x:f>IF(J496="","",IF(J496=1,"Limited",IF(J496=2,"Local",IF(J496=3,"Significant",IF(J496=4,"High","Critical")))))</x:f>
      </x:c>
      <x:c r="L496" s="16" t="str">
        <x:f>IF(A496="","",Events!U495)</x:f>
      </x:c>
      <x:c r="M496" s="16" t="str">
        <x:f>IF(A496="","",Events!V495)</x:f>
      </x:c>
      <x:c r="N496" s="16" t="str">
        <x:f>IF(A496="","",Events!Q495)</x:f>
      </x:c>
      <x:c r="O496" s="16" t="str">
        <x:f>IF(A496="","",Events!R495)</x:f>
      </x:c>
      <x:c r="P496" s="16" t="str">
        <x:f>IF(A496="","",LOWER(Events!B495&amp;" "&amp;Events!D495&amp;" "&amp;Events!K495))</x:f>
      </x:c>
      <x:c r="Q496" s="16" t="str">
        <x:f>IF(A496="","",LOWER(Events!C495&amp;" "&amp;Events!K495&amp;" "&amp;Events!T495))</x:f>
      </x:c>
      <x:c r="R496" s="16" t="str">
        <x:f>IF(A496="","",IF(ISNUMBER(SEARCH("Occurrence verified",E496)),"Occurrence verified",E496))</x:f>
      </x:c>
      <x:c r="S496" s="79" t="str">
        <x:f>IF(A496="","",Events!X495)</x:f>
      </x:c>
      <x:c r="Z496" s="79" t="str">
        <x:f>IF(A496="","",Events!AD495)</x:f>
      </x:c>
      <x:c r="AA496" s="79" t="str">
        <x:f>IF(A496="","",Events!AE495)</x:f>
      </x:c>
    </x:row>
    <x:row r="497">
      <x:c r="A497" s="16" t="str">
        <x:f>IF(Events!A496="","",Events!A496)</x:f>
      </x:c>
      <x:c r="B497" s="16" t="str">
        <x:f>IF(A497="","",Events!B496)</x:f>
      </x:c>
      <x:c r="C497" s="16" t="str">
        <x:f>IF(A497="","",Events!E496)</x:f>
      </x:c>
      <x:c r="D497" s="16" t="str">
        <x:f>IF(A497="","",Events!J496)</x:f>
      </x:c>
      <x:c r="E497" s="16" t="str">
        <x:f>IF(A497="","",Events!N496)</x:f>
      </x:c>
      <x:c r="F497" s="109" t="str">
        <x:f>IF(OR(A497="",Events!H496=""),"",Events!H496)</x:f>
      </x:c>
      <x:c r="G497" s="109" t="str">
        <x:f>IF(A497="","",IF(Events!I496&lt;&gt;"",Events!I496,IF(Events!S496&lt;&gt;"",Events!S496,"")))</x:f>
      </x:c>
      <x:c r="H497" s="16" t="str">
        <x:f>IF(A497="","",Events!W496)</x:f>
      </x:c>
      <x:c r="I497" s="16" t="str">
        <x:f>IF(A497="","",IF(Events!Y496&lt;&gt;"",Events!Y496,IF(OR(ISNUMBER(SEARCH("education",P497)),ISNUMBER(SEARCH("exam",P497)),ISNUMBER(SEARCH("school",P497))),"Education",IF(OR(ISNUMBER(SEARCH("trade agreement",P497)),ISNUMBER(SEARCH("economic",P497)),ISNUMBER(SEARCH("import",P497))),"Trade &amp; economic policy",IF(OR(ISNUMBER(SEARCH("land acquisition",P497)),ISNUMBER(SEARCH("rehabilitation",P497)),ISNUMBER(SEARCH("displacement",P497)),ISNUMBER(SEARCH("township",P497))),"Land &amp; rehabilitation",IF(OR(ISNUMBER(SEARCH("forest",P497)),ISNUMBER(SEARCH("environment",P497)),ISNUMBER(SEARCH("ecological",P497)),ISNUMBER(SEARCH("biodiversity",P497)),ISNUMBER(SEARCH("green cover",P497))),"Environment",IF(OR(ISNUMBER(SEARCH("irrigation",P497)),ISNUMBER(SEARCH("water",P497)),ISNUMBER(SEARCH("crop",P497)),ISNUMBER(SEARCH("farmer",P497)),ISNUMBER(SEARCH("agriculture",P497))),"Agriculture &amp; water",IF(OR(ISNUMBER(SEARCH("health",P497)),ISNUMBER(SEARCH("hospital",P497)),ISNUMBER(SEARCH("medicine",P497))),"Public health",IF(OR(ISNUMBER(SEARCH("employee",P497)),ISNUMBER(SEARCH("labour",P497)),ISNUMBER(SEARCH("worker",P497)),ISNUMBER(SEARCH("salary",P497))),"Labour &amp; employment",IF(OR(ISNUMBER(SEARCH("rti",P497)),ISNUMBER(SEARCH("transparency",P497)),ISNUMBER(SEARCH("corruption",P497)),ISNUMBER(SEARCH("governance",P497))),"Governance &amp; transparency",IF(OR(ISNUMBER(SEARCH("police",P497)),ISNUMBER(SEARCH("detention",P497)),ISNUMBER(SEARCH("civil rights",P497)),ISNUMBER(SEARCH("justice",P497))),"Civil rights &amp; justice",IF(OR(ISNUMBER(SEARCH("road",P497)),ISNUMBER(SEARCH("utility",P497)),ISNUMBER(SEARCH("infrastructure",P497)),ISNUMBER(SEARCH("public service",P497))),"Infrastructure &amp; public services","Other"))))))))))))</x:f>
      </x:c>
      <x:c r="J497" s="16" t="str">
        <x:f>IF(A497="","",IF(OR(ISNUMBER(SEARCH("fatal",Q497)),ISNUMBER(SEARCH("death",Q497)),ISNUMBER(SEARCH("riot",Q497)),ISNUMBER(SEARCH("curfew",Q497)),ISNUMBER(SEARCH("internet shutdown",Q497))),5,MIN(4,1+IF(H497&gt;=7,1,0)+IF(OR(ISNUMBER(SEARCH("hunger strike",Q497)),ISNUMBER(SEARCH("blockade",Q497)),ISNUMBER(SEARCH("strike",Q497)),ISNUMBER(SEARCH("jal satyagraha",Q497)),ISNUMBER(SEARCH("survey",Q497)),ISNUMBER(SEARCH("human chain",Q497)),ISNUMBER(SEARCH("march",Q497))),1,0)+IF(OR(ISNUMBER(SEARCH("fir",Q497)),ISNUMBER(SEARCH("confrontation",Q497)),ISNUMBER(SEARCH("violence",Q497)),ISNUMBER(SEARCH("detention",Q497)),ISNUMBER(SEARCH("arrest",Q497)),ISNUMBER(SEARCH("demolition",Q497)),ISNUMBER(SEARCH("injury",Q497))),1,0)+IF(OR(D497="Ongoing",D497="Unresolved"),1,0))))</x:f>
      </x:c>
      <x:c r="K497" s="16" t="str">
        <x:f>IF(J497="","",IF(J497=1,"Limited",IF(J497=2,"Local",IF(J497=3,"Significant",IF(J497=4,"High","Critical")))))</x:f>
      </x:c>
      <x:c r="L497" s="16" t="str">
        <x:f>IF(A497="","",Events!U496)</x:f>
      </x:c>
      <x:c r="M497" s="16" t="str">
        <x:f>IF(A497="","",Events!V496)</x:f>
      </x:c>
      <x:c r="N497" s="16" t="str">
        <x:f>IF(A497="","",Events!Q496)</x:f>
      </x:c>
      <x:c r="O497" s="16" t="str">
        <x:f>IF(A497="","",Events!R496)</x:f>
      </x:c>
      <x:c r="P497" s="16" t="str">
        <x:f>IF(A497="","",LOWER(Events!B496&amp;" "&amp;Events!D496&amp;" "&amp;Events!K496))</x:f>
      </x:c>
      <x:c r="Q497" s="16" t="str">
        <x:f>IF(A497="","",LOWER(Events!C496&amp;" "&amp;Events!K496&amp;" "&amp;Events!T496))</x:f>
      </x:c>
      <x:c r="R497" s="16" t="str">
        <x:f>IF(A497="","",IF(ISNUMBER(SEARCH("Occurrence verified",E497)),"Occurrence verified",E497))</x:f>
      </x:c>
      <x:c r="S497" s="79" t="str">
        <x:f>IF(A497="","",Events!X496)</x:f>
      </x:c>
      <x:c r="Z497" s="79" t="str">
        <x:f>IF(A497="","",Events!AD496)</x:f>
      </x:c>
      <x:c r="AA497" s="79" t="str">
        <x:f>IF(A497="","",Events!AE496)</x:f>
      </x:c>
    </x:row>
    <x:row r="498">
      <x:c r="A498" s="16" t="str">
        <x:f>IF(Events!A497="","",Events!A497)</x:f>
      </x:c>
      <x:c r="B498" s="16" t="str">
        <x:f>IF(A498="","",Events!B497)</x:f>
      </x:c>
      <x:c r="C498" s="16" t="str">
        <x:f>IF(A498="","",Events!E497)</x:f>
      </x:c>
      <x:c r="D498" s="16" t="str">
        <x:f>IF(A498="","",Events!J497)</x:f>
      </x:c>
      <x:c r="E498" s="16" t="str">
        <x:f>IF(A498="","",Events!N497)</x:f>
      </x:c>
      <x:c r="F498" s="109" t="str">
        <x:f>IF(OR(A498="",Events!H497=""),"",Events!H497)</x:f>
      </x:c>
      <x:c r="G498" s="109" t="str">
        <x:f>IF(A498="","",IF(Events!I497&lt;&gt;"",Events!I497,IF(Events!S497&lt;&gt;"",Events!S497,"")))</x:f>
      </x:c>
      <x:c r="H498" s="16" t="str">
        <x:f>IF(A498="","",Events!W497)</x:f>
      </x:c>
      <x:c r="I498" s="16" t="str">
        <x:f>IF(A498="","",IF(Events!Y497&lt;&gt;"",Events!Y497,IF(OR(ISNUMBER(SEARCH("education",P498)),ISNUMBER(SEARCH("exam",P498)),ISNUMBER(SEARCH("school",P498))),"Education",IF(OR(ISNUMBER(SEARCH("trade agreement",P498)),ISNUMBER(SEARCH("economic",P498)),ISNUMBER(SEARCH("import",P498))),"Trade &amp; economic policy",IF(OR(ISNUMBER(SEARCH("land acquisition",P498)),ISNUMBER(SEARCH("rehabilitation",P498)),ISNUMBER(SEARCH("displacement",P498)),ISNUMBER(SEARCH("township",P498))),"Land &amp; rehabilitation",IF(OR(ISNUMBER(SEARCH("forest",P498)),ISNUMBER(SEARCH("environment",P498)),ISNUMBER(SEARCH("ecological",P498)),ISNUMBER(SEARCH("biodiversity",P498)),ISNUMBER(SEARCH("green cover",P498))),"Environment",IF(OR(ISNUMBER(SEARCH("irrigation",P498)),ISNUMBER(SEARCH("water",P498)),ISNUMBER(SEARCH("crop",P498)),ISNUMBER(SEARCH("farmer",P498)),ISNUMBER(SEARCH("agriculture",P498))),"Agriculture &amp; water",IF(OR(ISNUMBER(SEARCH("health",P498)),ISNUMBER(SEARCH("hospital",P498)),ISNUMBER(SEARCH("medicine",P498))),"Public health",IF(OR(ISNUMBER(SEARCH("employee",P498)),ISNUMBER(SEARCH("labour",P498)),ISNUMBER(SEARCH("worker",P498)),ISNUMBER(SEARCH("salary",P498))),"Labour &amp; employment",IF(OR(ISNUMBER(SEARCH("rti",P498)),ISNUMBER(SEARCH("transparency",P498)),ISNUMBER(SEARCH("corruption",P498)),ISNUMBER(SEARCH("governance",P498))),"Governance &amp; transparency",IF(OR(ISNUMBER(SEARCH("police",P498)),ISNUMBER(SEARCH("detention",P498)),ISNUMBER(SEARCH("civil rights",P498)),ISNUMBER(SEARCH("justice",P498))),"Civil rights &amp; justice",IF(OR(ISNUMBER(SEARCH("road",P498)),ISNUMBER(SEARCH("utility",P498)),ISNUMBER(SEARCH("infrastructure",P498)),ISNUMBER(SEARCH("public service",P498))),"Infrastructure &amp; public services","Other"))))))))))))</x:f>
      </x:c>
      <x:c r="J498" s="16" t="str">
        <x:f>IF(A498="","",IF(OR(ISNUMBER(SEARCH("fatal",Q498)),ISNUMBER(SEARCH("death",Q498)),ISNUMBER(SEARCH("riot",Q498)),ISNUMBER(SEARCH("curfew",Q498)),ISNUMBER(SEARCH("internet shutdown",Q498))),5,MIN(4,1+IF(H498&gt;=7,1,0)+IF(OR(ISNUMBER(SEARCH("hunger strike",Q498)),ISNUMBER(SEARCH("blockade",Q498)),ISNUMBER(SEARCH("strike",Q498)),ISNUMBER(SEARCH("jal satyagraha",Q498)),ISNUMBER(SEARCH("survey",Q498)),ISNUMBER(SEARCH("human chain",Q498)),ISNUMBER(SEARCH("march",Q498))),1,0)+IF(OR(ISNUMBER(SEARCH("fir",Q498)),ISNUMBER(SEARCH("confrontation",Q498)),ISNUMBER(SEARCH("violence",Q498)),ISNUMBER(SEARCH("detention",Q498)),ISNUMBER(SEARCH("arrest",Q498)),ISNUMBER(SEARCH("demolition",Q498)),ISNUMBER(SEARCH("injury",Q498))),1,0)+IF(OR(D498="Ongoing",D498="Unresolved"),1,0))))</x:f>
      </x:c>
      <x:c r="K498" s="16" t="str">
        <x:f>IF(J498="","",IF(J498=1,"Limited",IF(J498=2,"Local",IF(J498=3,"Significant",IF(J498=4,"High","Critical")))))</x:f>
      </x:c>
      <x:c r="L498" s="16" t="str">
        <x:f>IF(A498="","",Events!U497)</x:f>
      </x:c>
      <x:c r="M498" s="16" t="str">
        <x:f>IF(A498="","",Events!V497)</x:f>
      </x:c>
      <x:c r="N498" s="16" t="str">
        <x:f>IF(A498="","",Events!Q497)</x:f>
      </x:c>
      <x:c r="O498" s="16" t="str">
        <x:f>IF(A498="","",Events!R497)</x:f>
      </x:c>
      <x:c r="P498" s="16" t="str">
        <x:f>IF(A498="","",LOWER(Events!B497&amp;" "&amp;Events!D497&amp;" "&amp;Events!K497))</x:f>
      </x:c>
      <x:c r="Q498" s="16" t="str">
        <x:f>IF(A498="","",LOWER(Events!C497&amp;" "&amp;Events!K497&amp;" "&amp;Events!T497))</x:f>
      </x:c>
      <x:c r="R498" s="16" t="str">
        <x:f>IF(A498="","",IF(ISNUMBER(SEARCH("Occurrence verified",E498)),"Occurrence verified",E498))</x:f>
      </x:c>
      <x:c r="S498" s="79" t="str">
        <x:f>IF(A498="","",Events!X497)</x:f>
      </x:c>
      <x:c r="Z498" s="79" t="str">
        <x:f>IF(A498="","",Events!AD497)</x:f>
      </x:c>
      <x:c r="AA498" s="79" t="str">
        <x:f>IF(A498="","",Events!AE497)</x:f>
      </x:c>
    </x:row>
    <x:row r="499">
      <x:c r="A499" s="16" t="str">
        <x:f>IF(Events!A498="","",Events!A498)</x:f>
      </x:c>
      <x:c r="B499" s="16" t="str">
        <x:f>IF(A499="","",Events!B498)</x:f>
      </x:c>
      <x:c r="C499" s="16" t="str">
        <x:f>IF(A499="","",Events!E498)</x:f>
      </x:c>
      <x:c r="D499" s="16" t="str">
        <x:f>IF(A499="","",Events!J498)</x:f>
      </x:c>
      <x:c r="E499" s="16" t="str">
        <x:f>IF(A499="","",Events!N498)</x:f>
      </x:c>
      <x:c r="F499" s="109" t="str">
        <x:f>IF(OR(A499="",Events!H498=""),"",Events!H498)</x:f>
      </x:c>
      <x:c r="G499" s="109" t="str">
        <x:f>IF(A499="","",IF(Events!I498&lt;&gt;"",Events!I498,IF(Events!S498&lt;&gt;"",Events!S498,"")))</x:f>
      </x:c>
      <x:c r="H499" s="16" t="str">
        <x:f>IF(A499="","",Events!W498)</x:f>
      </x:c>
      <x:c r="I499" s="16" t="str">
        <x:f>IF(A499="","",IF(Events!Y498&lt;&gt;"",Events!Y498,IF(OR(ISNUMBER(SEARCH("education",P499)),ISNUMBER(SEARCH("exam",P499)),ISNUMBER(SEARCH("school",P499))),"Education",IF(OR(ISNUMBER(SEARCH("trade agreement",P499)),ISNUMBER(SEARCH("economic",P499)),ISNUMBER(SEARCH("import",P499))),"Trade &amp; economic policy",IF(OR(ISNUMBER(SEARCH("land acquisition",P499)),ISNUMBER(SEARCH("rehabilitation",P499)),ISNUMBER(SEARCH("displacement",P499)),ISNUMBER(SEARCH("township",P499))),"Land &amp; rehabilitation",IF(OR(ISNUMBER(SEARCH("forest",P499)),ISNUMBER(SEARCH("environment",P499)),ISNUMBER(SEARCH("ecological",P499)),ISNUMBER(SEARCH("biodiversity",P499)),ISNUMBER(SEARCH("green cover",P499))),"Environment",IF(OR(ISNUMBER(SEARCH("irrigation",P499)),ISNUMBER(SEARCH("water",P499)),ISNUMBER(SEARCH("crop",P499)),ISNUMBER(SEARCH("farmer",P499)),ISNUMBER(SEARCH("agriculture",P499))),"Agriculture &amp; water",IF(OR(ISNUMBER(SEARCH("health",P499)),ISNUMBER(SEARCH("hospital",P499)),ISNUMBER(SEARCH("medicine",P499))),"Public health",IF(OR(ISNUMBER(SEARCH("employee",P499)),ISNUMBER(SEARCH("labour",P499)),ISNUMBER(SEARCH("worker",P499)),ISNUMBER(SEARCH("salary",P499))),"Labour &amp; employment",IF(OR(ISNUMBER(SEARCH("rti",P499)),ISNUMBER(SEARCH("transparency",P499)),ISNUMBER(SEARCH("corruption",P499)),ISNUMBER(SEARCH("governance",P499))),"Governance &amp; transparency",IF(OR(ISNUMBER(SEARCH("police",P499)),ISNUMBER(SEARCH("detention",P499)),ISNUMBER(SEARCH("civil rights",P499)),ISNUMBER(SEARCH("justice",P499))),"Civil rights &amp; justice",IF(OR(ISNUMBER(SEARCH("road",P499)),ISNUMBER(SEARCH("utility",P499)),ISNUMBER(SEARCH("infrastructure",P499)),ISNUMBER(SEARCH("public service",P499))),"Infrastructure &amp; public services","Other"))))))))))))</x:f>
      </x:c>
      <x:c r="J499" s="16" t="str">
        <x:f>IF(A499="","",IF(OR(ISNUMBER(SEARCH("fatal",Q499)),ISNUMBER(SEARCH("death",Q499)),ISNUMBER(SEARCH("riot",Q499)),ISNUMBER(SEARCH("curfew",Q499)),ISNUMBER(SEARCH("internet shutdown",Q499))),5,MIN(4,1+IF(H499&gt;=7,1,0)+IF(OR(ISNUMBER(SEARCH("hunger strike",Q499)),ISNUMBER(SEARCH("blockade",Q499)),ISNUMBER(SEARCH("strike",Q499)),ISNUMBER(SEARCH("jal satyagraha",Q499)),ISNUMBER(SEARCH("survey",Q499)),ISNUMBER(SEARCH("human chain",Q499)),ISNUMBER(SEARCH("march",Q499))),1,0)+IF(OR(ISNUMBER(SEARCH("fir",Q499)),ISNUMBER(SEARCH("confrontation",Q499)),ISNUMBER(SEARCH("violence",Q499)),ISNUMBER(SEARCH("detention",Q499)),ISNUMBER(SEARCH("arrest",Q499)),ISNUMBER(SEARCH("demolition",Q499)),ISNUMBER(SEARCH("injury",Q499))),1,0)+IF(OR(D499="Ongoing",D499="Unresolved"),1,0))))</x:f>
      </x:c>
      <x:c r="K499" s="16" t="str">
        <x:f>IF(J499="","",IF(J499=1,"Limited",IF(J499=2,"Local",IF(J499=3,"Significant",IF(J499=4,"High","Critical")))))</x:f>
      </x:c>
      <x:c r="L499" s="16" t="str">
        <x:f>IF(A499="","",Events!U498)</x:f>
      </x:c>
      <x:c r="M499" s="16" t="str">
        <x:f>IF(A499="","",Events!V498)</x:f>
      </x:c>
      <x:c r="N499" s="16" t="str">
        <x:f>IF(A499="","",Events!Q498)</x:f>
      </x:c>
      <x:c r="O499" s="16" t="str">
        <x:f>IF(A499="","",Events!R498)</x:f>
      </x:c>
      <x:c r="P499" s="16" t="str">
        <x:f>IF(A499="","",LOWER(Events!B498&amp;" "&amp;Events!D498&amp;" "&amp;Events!K498))</x:f>
      </x:c>
      <x:c r="Q499" s="16" t="str">
        <x:f>IF(A499="","",LOWER(Events!C498&amp;" "&amp;Events!K498&amp;" "&amp;Events!T498))</x:f>
      </x:c>
      <x:c r="R499" s="16" t="str">
        <x:f>IF(A499="","",IF(ISNUMBER(SEARCH("Occurrence verified",E499)),"Occurrence verified",E499))</x:f>
      </x:c>
      <x:c r="S499" s="79" t="str">
        <x:f>IF(A499="","",Events!X498)</x:f>
      </x:c>
      <x:c r="Z499" s="79" t="str">
        <x:f>IF(A499="","",Events!AD498)</x:f>
      </x:c>
      <x:c r="AA499" s="79" t="str">
        <x:f>IF(A499="","",Events!AE498)</x:f>
      </x:c>
    </x:row>
    <x:row r="500">
      <x:c r="A500" s="16" t="str">
        <x:f>IF(Events!A499="","",Events!A499)</x:f>
      </x:c>
      <x:c r="B500" s="16" t="str">
        <x:f>IF(A500="","",Events!B499)</x:f>
      </x:c>
      <x:c r="C500" s="16" t="str">
        <x:f>IF(A500="","",Events!E499)</x:f>
      </x:c>
      <x:c r="D500" s="16" t="str">
        <x:f>IF(A500="","",Events!J499)</x:f>
      </x:c>
      <x:c r="E500" s="16" t="str">
        <x:f>IF(A500="","",Events!N499)</x:f>
      </x:c>
      <x:c r="F500" s="109" t="str">
        <x:f>IF(OR(A500="",Events!H499=""),"",Events!H499)</x:f>
      </x:c>
      <x:c r="G500" s="109" t="str">
        <x:f>IF(A500="","",IF(Events!I499&lt;&gt;"",Events!I499,IF(Events!S499&lt;&gt;"",Events!S499,"")))</x:f>
      </x:c>
      <x:c r="H500" s="16" t="str">
        <x:f>IF(A500="","",Events!W499)</x:f>
      </x:c>
      <x:c r="I500" s="16" t="str">
        <x:f>IF(A500="","",IF(Events!Y499&lt;&gt;"",Events!Y499,IF(OR(ISNUMBER(SEARCH("education",P500)),ISNUMBER(SEARCH("exam",P500)),ISNUMBER(SEARCH("school",P500))),"Education",IF(OR(ISNUMBER(SEARCH("trade agreement",P500)),ISNUMBER(SEARCH("economic",P500)),ISNUMBER(SEARCH("import",P500))),"Trade &amp; economic policy",IF(OR(ISNUMBER(SEARCH("land acquisition",P500)),ISNUMBER(SEARCH("rehabilitation",P500)),ISNUMBER(SEARCH("displacement",P500)),ISNUMBER(SEARCH("township",P500))),"Land &amp; rehabilitation",IF(OR(ISNUMBER(SEARCH("forest",P500)),ISNUMBER(SEARCH("environment",P500)),ISNUMBER(SEARCH("ecological",P500)),ISNUMBER(SEARCH("biodiversity",P500)),ISNUMBER(SEARCH("green cover",P500))),"Environment",IF(OR(ISNUMBER(SEARCH("irrigation",P500)),ISNUMBER(SEARCH("water",P500)),ISNUMBER(SEARCH("crop",P500)),ISNUMBER(SEARCH("farmer",P500)),ISNUMBER(SEARCH("agriculture",P500))),"Agriculture &amp; water",IF(OR(ISNUMBER(SEARCH("health",P500)),ISNUMBER(SEARCH("hospital",P500)),ISNUMBER(SEARCH("medicine",P500))),"Public health",IF(OR(ISNUMBER(SEARCH("employee",P500)),ISNUMBER(SEARCH("labour",P500)),ISNUMBER(SEARCH("worker",P500)),ISNUMBER(SEARCH("salary",P500))),"Labour &amp; employment",IF(OR(ISNUMBER(SEARCH("rti",P500)),ISNUMBER(SEARCH("transparency",P500)),ISNUMBER(SEARCH("corruption",P500)),ISNUMBER(SEARCH("governance",P500))),"Governance &amp; transparency",IF(OR(ISNUMBER(SEARCH("police",P500)),ISNUMBER(SEARCH("detention",P500)),ISNUMBER(SEARCH("civil rights",P500)),ISNUMBER(SEARCH("justice",P500))),"Civil rights &amp; justice",IF(OR(ISNUMBER(SEARCH("road",P500)),ISNUMBER(SEARCH("utility",P500)),ISNUMBER(SEARCH("infrastructure",P500)),ISNUMBER(SEARCH("public service",P500))),"Infrastructure &amp; public services","Other"))))))))))))</x:f>
      </x:c>
      <x:c r="J500" s="16" t="str">
        <x:f>IF(A500="","",IF(OR(ISNUMBER(SEARCH("fatal",Q500)),ISNUMBER(SEARCH("death",Q500)),ISNUMBER(SEARCH("riot",Q500)),ISNUMBER(SEARCH("curfew",Q500)),ISNUMBER(SEARCH("internet shutdown",Q500))),5,MIN(4,1+IF(H500&gt;=7,1,0)+IF(OR(ISNUMBER(SEARCH("hunger strike",Q500)),ISNUMBER(SEARCH("blockade",Q500)),ISNUMBER(SEARCH("strike",Q500)),ISNUMBER(SEARCH("jal satyagraha",Q500)),ISNUMBER(SEARCH("survey",Q500)),ISNUMBER(SEARCH("human chain",Q500)),ISNUMBER(SEARCH("march",Q500))),1,0)+IF(OR(ISNUMBER(SEARCH("fir",Q500)),ISNUMBER(SEARCH("confrontation",Q500)),ISNUMBER(SEARCH("violence",Q500)),ISNUMBER(SEARCH("detention",Q500)),ISNUMBER(SEARCH("arrest",Q500)),ISNUMBER(SEARCH("demolition",Q500)),ISNUMBER(SEARCH("injury",Q500))),1,0)+IF(OR(D500="Ongoing",D500="Unresolved"),1,0))))</x:f>
      </x:c>
      <x:c r="K500" s="16" t="str">
        <x:f>IF(J500="","",IF(J500=1,"Limited",IF(J500=2,"Local",IF(J500=3,"Significant",IF(J500=4,"High","Critical")))))</x:f>
      </x:c>
      <x:c r="L500" s="16" t="str">
        <x:f>IF(A500="","",Events!U499)</x:f>
      </x:c>
      <x:c r="M500" s="16" t="str">
        <x:f>IF(A500="","",Events!V499)</x:f>
      </x:c>
      <x:c r="N500" s="16" t="str">
        <x:f>IF(A500="","",Events!Q499)</x:f>
      </x:c>
      <x:c r="O500" s="16" t="str">
        <x:f>IF(A500="","",Events!R499)</x:f>
      </x:c>
      <x:c r="P500" s="16" t="str">
        <x:f>IF(A500="","",LOWER(Events!B499&amp;" "&amp;Events!D499&amp;" "&amp;Events!K499))</x:f>
      </x:c>
      <x:c r="Q500" s="16" t="str">
        <x:f>IF(A500="","",LOWER(Events!C499&amp;" "&amp;Events!K499&amp;" "&amp;Events!T499))</x:f>
      </x:c>
      <x:c r="R500" s="16" t="str">
        <x:f>IF(A500="","",IF(ISNUMBER(SEARCH("Occurrence verified",E500)),"Occurrence verified",E500))</x:f>
      </x:c>
      <x:c r="S500" s="79" t="str">
        <x:f>IF(A500="","",Events!X499)</x:f>
      </x:c>
      <x:c r="Z500" s="79" t="str">
        <x:f>IF(A500="","",Events!AD499)</x:f>
      </x:c>
      <x:c r="AA500" s="79" t="str">
        <x:f>IF(A500="","",Events!AE499)</x:f>
      </x:c>
    </x:row>
    <x:row r="501">
      <x:c r="A501" s="16" t="str">
        <x:f>IF(Events!A500="","",Events!A500)</x:f>
      </x:c>
      <x:c r="B501" s="16" t="str">
        <x:f>IF(A501="","",Events!B500)</x:f>
      </x:c>
      <x:c r="C501" s="16" t="str">
        <x:f>IF(A501="","",Events!E500)</x:f>
      </x:c>
      <x:c r="D501" s="16" t="str">
        <x:f>IF(A501="","",Events!J500)</x:f>
      </x:c>
      <x:c r="E501" s="16" t="str">
        <x:f>IF(A501="","",Events!N500)</x:f>
      </x:c>
      <x:c r="F501" s="109" t="str">
        <x:f>IF(OR(A501="",Events!H500=""),"",Events!H500)</x:f>
      </x:c>
      <x:c r="G501" s="109" t="str">
        <x:f>IF(A501="","",IF(Events!I500&lt;&gt;"",Events!I500,IF(Events!S500&lt;&gt;"",Events!S500,"")))</x:f>
      </x:c>
      <x:c r="H501" s="16" t="str">
        <x:f>IF(A501="","",Events!W500)</x:f>
      </x:c>
      <x:c r="I501" s="16" t="str">
        <x:f>IF(A501="","",IF(Events!Y500&lt;&gt;"",Events!Y500,IF(OR(ISNUMBER(SEARCH("education",P501)),ISNUMBER(SEARCH("exam",P501)),ISNUMBER(SEARCH("school",P501))),"Education",IF(OR(ISNUMBER(SEARCH("trade agreement",P501)),ISNUMBER(SEARCH("economic",P501)),ISNUMBER(SEARCH("import",P501))),"Trade &amp; economic policy",IF(OR(ISNUMBER(SEARCH("land acquisition",P501)),ISNUMBER(SEARCH("rehabilitation",P501)),ISNUMBER(SEARCH("displacement",P501)),ISNUMBER(SEARCH("township",P501))),"Land &amp; rehabilitation",IF(OR(ISNUMBER(SEARCH("forest",P501)),ISNUMBER(SEARCH("environment",P501)),ISNUMBER(SEARCH("ecological",P501)),ISNUMBER(SEARCH("biodiversity",P501)),ISNUMBER(SEARCH("green cover",P501))),"Environment",IF(OR(ISNUMBER(SEARCH("irrigation",P501)),ISNUMBER(SEARCH("water",P501)),ISNUMBER(SEARCH("crop",P501)),ISNUMBER(SEARCH("farmer",P501)),ISNUMBER(SEARCH("agriculture",P501))),"Agriculture &amp; water",IF(OR(ISNUMBER(SEARCH("health",P501)),ISNUMBER(SEARCH("hospital",P501)),ISNUMBER(SEARCH("medicine",P501))),"Public health",IF(OR(ISNUMBER(SEARCH("employee",P501)),ISNUMBER(SEARCH("labour",P501)),ISNUMBER(SEARCH("worker",P501)),ISNUMBER(SEARCH("salary",P501))),"Labour &amp; employment",IF(OR(ISNUMBER(SEARCH("rti",P501)),ISNUMBER(SEARCH("transparency",P501)),ISNUMBER(SEARCH("corruption",P501)),ISNUMBER(SEARCH("governance",P501))),"Governance &amp; transparency",IF(OR(ISNUMBER(SEARCH("police",P501)),ISNUMBER(SEARCH("detention",P501)),ISNUMBER(SEARCH("civil rights",P501)),ISNUMBER(SEARCH("justice",P501))),"Civil rights &amp; justice",IF(OR(ISNUMBER(SEARCH("road",P501)),ISNUMBER(SEARCH("utility",P501)),ISNUMBER(SEARCH("infrastructure",P501)),ISNUMBER(SEARCH("public service",P501))),"Infrastructure &amp; public services","Other"))))))))))))</x:f>
      </x:c>
      <x:c r="J501" s="16" t="str">
        <x:f>IF(A501="","",IF(OR(ISNUMBER(SEARCH("fatal",Q501)),ISNUMBER(SEARCH("death",Q501)),ISNUMBER(SEARCH("riot",Q501)),ISNUMBER(SEARCH("curfew",Q501)),ISNUMBER(SEARCH("internet shutdown",Q501))),5,MIN(4,1+IF(H501&gt;=7,1,0)+IF(OR(ISNUMBER(SEARCH("hunger strike",Q501)),ISNUMBER(SEARCH("blockade",Q501)),ISNUMBER(SEARCH("strike",Q501)),ISNUMBER(SEARCH("jal satyagraha",Q501)),ISNUMBER(SEARCH("survey",Q501)),ISNUMBER(SEARCH("human chain",Q501)),ISNUMBER(SEARCH("march",Q501))),1,0)+IF(OR(ISNUMBER(SEARCH("fir",Q501)),ISNUMBER(SEARCH("confrontation",Q501)),ISNUMBER(SEARCH("violence",Q501)),ISNUMBER(SEARCH("detention",Q501)),ISNUMBER(SEARCH("arrest",Q501)),ISNUMBER(SEARCH("demolition",Q501)),ISNUMBER(SEARCH("injury",Q501))),1,0)+IF(OR(D501="Ongoing",D501="Unresolved"),1,0))))</x:f>
      </x:c>
      <x:c r="K501" s="16" t="str">
        <x:f>IF(J501="","",IF(J501=1,"Limited",IF(J501=2,"Local",IF(J501=3,"Significant",IF(J501=4,"High","Critical")))))</x:f>
      </x:c>
      <x:c r="L501" s="16" t="str">
        <x:f>IF(A501="","",Events!U500)</x:f>
      </x:c>
      <x:c r="M501" s="16" t="str">
        <x:f>IF(A501="","",Events!V500)</x:f>
      </x:c>
      <x:c r="N501" s="16" t="str">
        <x:f>IF(A501="","",Events!Q500)</x:f>
      </x:c>
      <x:c r="O501" s="16" t="str">
        <x:f>IF(A501="","",Events!R500)</x:f>
      </x:c>
      <x:c r="P501" s="16" t="str">
        <x:f>IF(A501="","",LOWER(Events!B500&amp;" "&amp;Events!D500&amp;" "&amp;Events!K500))</x:f>
      </x:c>
      <x:c r="Q501" s="16" t="str">
        <x:f>IF(A501="","",LOWER(Events!C500&amp;" "&amp;Events!K500&amp;" "&amp;Events!T500))</x:f>
      </x:c>
      <x:c r="R501" s="16" t="str">
        <x:f>IF(A501="","",IF(ISNUMBER(SEARCH("Occurrence verified",E501)),"Occurrence verified",E501))</x:f>
      </x:c>
      <x:c r="S501" s="79" t="str">
        <x:f>IF(A501="","",Events!X500)</x:f>
      </x:c>
      <x:c r="Z501" s="79" t="str">
        <x:f>IF(A501="","",Events!AD500)</x:f>
      </x:c>
      <x:c r="AA501" s="79" t="str">
        <x:f>IF(A501="","",Events!AE500)</x:f>
      </x:c>
    </x:row>
    <x:row r="502">
      <x:c r="A502" s="16" t="str">
        <x:f>IF(Events!A501="","",Events!A501)</x:f>
      </x:c>
      <x:c r="B502" s="16" t="str">
        <x:f>IF(A502="","",Events!B501)</x:f>
      </x:c>
      <x:c r="C502" s="16" t="str">
        <x:f>IF(A502="","",Events!E501)</x:f>
      </x:c>
      <x:c r="D502" s="16" t="str">
        <x:f>IF(A502="","",Events!J501)</x:f>
      </x:c>
      <x:c r="E502" s="16" t="str">
        <x:f>IF(A502="","",Events!N501)</x:f>
      </x:c>
      <x:c r="F502" s="109" t="str">
        <x:f>IF(OR(A502="",Events!H501=""),"",Events!H501)</x:f>
      </x:c>
      <x:c r="G502" s="109" t="str">
        <x:f>IF(A502="","",IF(Events!I501&lt;&gt;"",Events!I501,IF(Events!S501&lt;&gt;"",Events!S501,"")))</x:f>
      </x:c>
      <x:c r="H502" s="16" t="str">
        <x:f>IF(A502="","",Events!W501)</x:f>
      </x:c>
      <x:c r="I502" s="16" t="str">
        <x:f>IF(A502="","",IF(Events!Y501&lt;&gt;"",Events!Y501,IF(OR(ISNUMBER(SEARCH("education",P502)),ISNUMBER(SEARCH("exam",P502)),ISNUMBER(SEARCH("school",P502))),"Education",IF(OR(ISNUMBER(SEARCH("trade agreement",P502)),ISNUMBER(SEARCH("economic",P502)),ISNUMBER(SEARCH("import",P502))),"Trade &amp; economic policy",IF(OR(ISNUMBER(SEARCH("land acquisition",P502)),ISNUMBER(SEARCH("rehabilitation",P502)),ISNUMBER(SEARCH("displacement",P502)),ISNUMBER(SEARCH("township",P502))),"Land &amp; rehabilitation",IF(OR(ISNUMBER(SEARCH("forest",P502)),ISNUMBER(SEARCH("environment",P502)),ISNUMBER(SEARCH("ecological",P502)),ISNUMBER(SEARCH("biodiversity",P502)),ISNUMBER(SEARCH("green cover",P502))),"Environment",IF(OR(ISNUMBER(SEARCH("irrigation",P502)),ISNUMBER(SEARCH("water",P502)),ISNUMBER(SEARCH("crop",P502)),ISNUMBER(SEARCH("farmer",P502)),ISNUMBER(SEARCH("agriculture",P502))),"Agriculture &amp; water",IF(OR(ISNUMBER(SEARCH("health",P502)),ISNUMBER(SEARCH("hospital",P502)),ISNUMBER(SEARCH("medicine",P502))),"Public health",IF(OR(ISNUMBER(SEARCH("employee",P502)),ISNUMBER(SEARCH("labour",P502)),ISNUMBER(SEARCH("worker",P502)),ISNUMBER(SEARCH("salary",P502))),"Labour &amp; employment",IF(OR(ISNUMBER(SEARCH("rti",P502)),ISNUMBER(SEARCH("transparency",P502)),ISNUMBER(SEARCH("corruption",P502)),ISNUMBER(SEARCH("governance",P502))),"Governance &amp; transparency",IF(OR(ISNUMBER(SEARCH("police",P502)),ISNUMBER(SEARCH("detention",P502)),ISNUMBER(SEARCH("civil rights",P502)),ISNUMBER(SEARCH("justice",P502))),"Civil rights &amp; justice",IF(OR(ISNUMBER(SEARCH("road",P502)),ISNUMBER(SEARCH("utility",P502)),ISNUMBER(SEARCH("infrastructure",P502)),ISNUMBER(SEARCH("public service",P502))),"Infrastructure &amp; public services","Other"))))))))))))</x:f>
      </x:c>
      <x:c r="J502" s="16" t="str">
        <x:f>IF(A502="","",IF(OR(ISNUMBER(SEARCH("fatal",Q502)),ISNUMBER(SEARCH("death",Q502)),ISNUMBER(SEARCH("riot",Q502)),ISNUMBER(SEARCH("curfew",Q502)),ISNUMBER(SEARCH("internet shutdown",Q502))),5,MIN(4,1+IF(H502&gt;=7,1,0)+IF(OR(ISNUMBER(SEARCH("hunger strike",Q502)),ISNUMBER(SEARCH("blockade",Q502)),ISNUMBER(SEARCH("strike",Q502)),ISNUMBER(SEARCH("jal satyagraha",Q502)),ISNUMBER(SEARCH("survey",Q502)),ISNUMBER(SEARCH("human chain",Q502)),ISNUMBER(SEARCH("march",Q502))),1,0)+IF(OR(ISNUMBER(SEARCH("fir",Q502)),ISNUMBER(SEARCH("confrontation",Q502)),ISNUMBER(SEARCH("violence",Q502)),ISNUMBER(SEARCH("detention",Q502)),ISNUMBER(SEARCH("arrest",Q502)),ISNUMBER(SEARCH("demolition",Q502)),ISNUMBER(SEARCH("injury",Q502))),1,0)+IF(OR(D502="Ongoing",D502="Unresolved"),1,0))))</x:f>
      </x:c>
      <x:c r="K502" s="16" t="str">
        <x:f>IF(J502="","",IF(J502=1,"Limited",IF(J502=2,"Local",IF(J502=3,"Significant",IF(J502=4,"High","Critical")))))</x:f>
      </x:c>
      <x:c r="L502" s="16" t="str">
        <x:f>IF(A502="","",Events!U501)</x:f>
      </x:c>
      <x:c r="M502" s="16" t="str">
        <x:f>IF(A502="","",Events!V501)</x:f>
      </x:c>
      <x:c r="N502" s="16" t="str">
        <x:f>IF(A502="","",Events!Q501)</x:f>
      </x:c>
      <x:c r="O502" s="16" t="str">
        <x:f>IF(A502="","",Events!R501)</x:f>
      </x:c>
      <x:c r="P502" s="16" t="str">
        <x:f>IF(A502="","",LOWER(Events!B501&amp;" "&amp;Events!D501&amp;" "&amp;Events!K501))</x:f>
      </x:c>
      <x:c r="Q502" s="16" t="str">
        <x:f>IF(A502="","",LOWER(Events!C501&amp;" "&amp;Events!K501&amp;" "&amp;Events!T501))</x:f>
      </x:c>
      <x:c r="R502" s="16" t="str">
        <x:f>IF(A502="","",IF(ISNUMBER(SEARCH("Occurrence verified",E502)),"Occurrence verified",E502))</x:f>
      </x:c>
      <x:c r="S502" s="79" t="str">
        <x:f>IF(A502="","",Events!X501)</x:f>
      </x:c>
      <x:c r="Z502" s="79" t="str">
        <x:f>IF(A502="","",Events!AD501)</x:f>
      </x:c>
      <x:c r="AA502" s="79" t="str">
        <x:f>IF(A502="","",Events!AE501)</x:f>
      </x:c>
    </x:row>
    <x:row r="503">
      <x:c r="A503" s="16" t="str">
        <x:f>IF(Events!A502="","",Events!A502)</x:f>
      </x:c>
      <x:c r="B503" s="16" t="str">
        <x:f>IF(A503="","",Events!B502)</x:f>
      </x:c>
      <x:c r="C503" s="16" t="str">
        <x:f>IF(A503="","",Events!E502)</x:f>
      </x:c>
      <x:c r="D503" s="16" t="str">
        <x:f>IF(A503="","",Events!J502)</x:f>
      </x:c>
      <x:c r="E503" s="16" t="str">
        <x:f>IF(A503="","",Events!N502)</x:f>
      </x:c>
      <x:c r="F503" s="109" t="str">
        <x:f>IF(OR(A503="",Events!H502=""),"",Events!H502)</x:f>
      </x:c>
      <x:c r="G503" s="109" t="str">
        <x:f>IF(A503="","",IF(Events!I502&lt;&gt;"",Events!I502,IF(Events!S502&lt;&gt;"",Events!S502,"")))</x:f>
      </x:c>
      <x:c r="H503" s="16" t="str">
        <x:f>IF(A503="","",Events!W502)</x:f>
      </x:c>
      <x:c r="I503" s="16" t="str">
        <x:f>IF(A503="","",IF(Events!Y502&lt;&gt;"",Events!Y502,IF(OR(ISNUMBER(SEARCH("education",P503)),ISNUMBER(SEARCH("exam",P503)),ISNUMBER(SEARCH("school",P503))),"Education",IF(OR(ISNUMBER(SEARCH("trade agreement",P503)),ISNUMBER(SEARCH("economic",P503)),ISNUMBER(SEARCH("import",P503))),"Trade &amp; economic policy",IF(OR(ISNUMBER(SEARCH("land acquisition",P503)),ISNUMBER(SEARCH("rehabilitation",P503)),ISNUMBER(SEARCH("displacement",P503)),ISNUMBER(SEARCH("township",P503))),"Land &amp; rehabilitation",IF(OR(ISNUMBER(SEARCH("forest",P503)),ISNUMBER(SEARCH("environment",P503)),ISNUMBER(SEARCH("ecological",P503)),ISNUMBER(SEARCH("biodiversity",P503)),ISNUMBER(SEARCH("green cover",P503))),"Environment",IF(OR(ISNUMBER(SEARCH("irrigation",P503)),ISNUMBER(SEARCH("water",P503)),ISNUMBER(SEARCH("crop",P503)),ISNUMBER(SEARCH("farmer",P503)),ISNUMBER(SEARCH("agriculture",P503))),"Agriculture &amp; water",IF(OR(ISNUMBER(SEARCH("health",P503)),ISNUMBER(SEARCH("hospital",P503)),ISNUMBER(SEARCH("medicine",P503))),"Public health",IF(OR(ISNUMBER(SEARCH("employee",P503)),ISNUMBER(SEARCH("labour",P503)),ISNUMBER(SEARCH("worker",P503)),ISNUMBER(SEARCH("salary",P503))),"Labour &amp; employment",IF(OR(ISNUMBER(SEARCH("rti",P503)),ISNUMBER(SEARCH("transparency",P503)),ISNUMBER(SEARCH("corruption",P503)),ISNUMBER(SEARCH("governance",P503))),"Governance &amp; transparency",IF(OR(ISNUMBER(SEARCH("police",P503)),ISNUMBER(SEARCH("detention",P503)),ISNUMBER(SEARCH("civil rights",P503)),ISNUMBER(SEARCH("justice",P503))),"Civil rights &amp; justice",IF(OR(ISNUMBER(SEARCH("road",P503)),ISNUMBER(SEARCH("utility",P503)),ISNUMBER(SEARCH("infrastructure",P503)),ISNUMBER(SEARCH("public service",P503))),"Infrastructure &amp; public services","Other"))))))))))))</x:f>
      </x:c>
      <x:c r="J503" s="16" t="str">
        <x:f>IF(A503="","",IF(OR(ISNUMBER(SEARCH("fatal",Q503)),ISNUMBER(SEARCH("death",Q503)),ISNUMBER(SEARCH("riot",Q503)),ISNUMBER(SEARCH("curfew",Q503)),ISNUMBER(SEARCH("internet shutdown",Q503))),5,MIN(4,1+IF(H503&gt;=7,1,0)+IF(OR(ISNUMBER(SEARCH("hunger strike",Q503)),ISNUMBER(SEARCH("blockade",Q503)),ISNUMBER(SEARCH("strike",Q503)),ISNUMBER(SEARCH("jal satyagraha",Q503)),ISNUMBER(SEARCH("survey",Q503)),ISNUMBER(SEARCH("human chain",Q503)),ISNUMBER(SEARCH("march",Q503))),1,0)+IF(OR(ISNUMBER(SEARCH("fir",Q503)),ISNUMBER(SEARCH("confrontation",Q503)),ISNUMBER(SEARCH("violence",Q503)),ISNUMBER(SEARCH("detention",Q503)),ISNUMBER(SEARCH("arrest",Q503)),ISNUMBER(SEARCH("demolition",Q503)),ISNUMBER(SEARCH("injury",Q503))),1,0)+IF(OR(D503="Ongoing",D503="Unresolved"),1,0))))</x:f>
      </x:c>
      <x:c r="K503" s="16" t="str">
        <x:f>IF(J503="","",IF(J503=1,"Limited",IF(J503=2,"Local",IF(J503=3,"Significant",IF(J503=4,"High","Critical")))))</x:f>
      </x:c>
      <x:c r="L503" s="16" t="str">
        <x:f>IF(A503="","",Events!U502)</x:f>
      </x:c>
      <x:c r="M503" s="16" t="str">
        <x:f>IF(A503="","",Events!V502)</x:f>
      </x:c>
      <x:c r="N503" s="16" t="str">
        <x:f>IF(A503="","",Events!Q502)</x:f>
      </x:c>
      <x:c r="O503" s="16" t="str">
        <x:f>IF(A503="","",Events!R502)</x:f>
      </x:c>
      <x:c r="P503" s="16" t="str">
        <x:f>IF(A503="","",LOWER(Events!B502&amp;" "&amp;Events!D502&amp;" "&amp;Events!K502))</x:f>
      </x:c>
      <x:c r="Q503" s="16" t="str">
        <x:f>IF(A503="","",LOWER(Events!C502&amp;" "&amp;Events!K502&amp;" "&amp;Events!T502))</x:f>
      </x:c>
      <x:c r="R503" s="16" t="str">
        <x:f>IF(A503="","",IF(ISNUMBER(SEARCH("Occurrence verified",E503)),"Occurrence verified",E503))</x:f>
      </x:c>
      <x:c r="S503" s="79" t="str">
        <x:f>IF(A503="","",Events!X502)</x:f>
      </x:c>
      <x:c r="Z503" s="79" t="str">
        <x:f>IF(A503="","",Events!AD502)</x:f>
      </x:c>
      <x:c r="AA503" s="79" t="str">
        <x:f>IF(A503="","",Events!AE502)</x:f>
      </x:c>
    </x:row>
    <x:row r="504">
      <x:c r="A504" s="16" t="str">
        <x:f>IF(Events!A503="","",Events!A503)</x:f>
      </x:c>
      <x:c r="B504" s="16" t="str">
        <x:f>IF(A504="","",Events!B503)</x:f>
      </x:c>
      <x:c r="C504" s="16" t="str">
        <x:f>IF(A504="","",Events!E503)</x:f>
      </x:c>
      <x:c r="D504" s="16" t="str">
        <x:f>IF(A504="","",Events!J503)</x:f>
      </x:c>
      <x:c r="E504" s="16" t="str">
        <x:f>IF(A504="","",Events!N503)</x:f>
      </x:c>
      <x:c r="F504" s="109" t="str">
        <x:f>IF(OR(A504="",Events!H503=""),"",Events!H503)</x:f>
      </x:c>
      <x:c r="G504" s="109" t="str">
        <x:f>IF(A504="","",IF(Events!I503&lt;&gt;"",Events!I503,IF(Events!S503&lt;&gt;"",Events!S503,"")))</x:f>
      </x:c>
      <x:c r="H504" s="16" t="str">
        <x:f>IF(A504="","",Events!W503)</x:f>
      </x:c>
      <x:c r="I504" s="16" t="str">
        <x:f>IF(A504="","",IF(Events!Y503&lt;&gt;"",Events!Y503,IF(OR(ISNUMBER(SEARCH("education",P504)),ISNUMBER(SEARCH("exam",P504)),ISNUMBER(SEARCH("school",P504))),"Education",IF(OR(ISNUMBER(SEARCH("trade agreement",P504)),ISNUMBER(SEARCH("economic",P504)),ISNUMBER(SEARCH("import",P504))),"Trade &amp; economic policy",IF(OR(ISNUMBER(SEARCH("land acquisition",P504)),ISNUMBER(SEARCH("rehabilitation",P504)),ISNUMBER(SEARCH("displacement",P504)),ISNUMBER(SEARCH("township",P504))),"Land &amp; rehabilitation",IF(OR(ISNUMBER(SEARCH("forest",P504)),ISNUMBER(SEARCH("environment",P504)),ISNUMBER(SEARCH("ecological",P504)),ISNUMBER(SEARCH("biodiversity",P504)),ISNUMBER(SEARCH("green cover",P504))),"Environment",IF(OR(ISNUMBER(SEARCH("irrigation",P504)),ISNUMBER(SEARCH("water",P504)),ISNUMBER(SEARCH("crop",P504)),ISNUMBER(SEARCH("farmer",P504)),ISNUMBER(SEARCH("agriculture",P504))),"Agriculture &amp; water",IF(OR(ISNUMBER(SEARCH("health",P504)),ISNUMBER(SEARCH("hospital",P504)),ISNUMBER(SEARCH("medicine",P504))),"Public health",IF(OR(ISNUMBER(SEARCH("employee",P504)),ISNUMBER(SEARCH("labour",P504)),ISNUMBER(SEARCH("worker",P504)),ISNUMBER(SEARCH("salary",P504))),"Labour &amp; employment",IF(OR(ISNUMBER(SEARCH("rti",P504)),ISNUMBER(SEARCH("transparency",P504)),ISNUMBER(SEARCH("corruption",P504)),ISNUMBER(SEARCH("governance",P504))),"Governance &amp; transparency",IF(OR(ISNUMBER(SEARCH("police",P504)),ISNUMBER(SEARCH("detention",P504)),ISNUMBER(SEARCH("civil rights",P504)),ISNUMBER(SEARCH("justice",P504))),"Civil rights &amp; justice",IF(OR(ISNUMBER(SEARCH("road",P504)),ISNUMBER(SEARCH("utility",P504)),ISNUMBER(SEARCH("infrastructure",P504)),ISNUMBER(SEARCH("public service",P504))),"Infrastructure &amp; public services","Other"))))))))))))</x:f>
      </x:c>
      <x:c r="J504" s="16" t="str">
        <x:f>IF(A504="","",IF(OR(ISNUMBER(SEARCH("fatal",Q504)),ISNUMBER(SEARCH("death",Q504)),ISNUMBER(SEARCH("riot",Q504)),ISNUMBER(SEARCH("curfew",Q504)),ISNUMBER(SEARCH("internet shutdown",Q504))),5,MIN(4,1+IF(H504&gt;=7,1,0)+IF(OR(ISNUMBER(SEARCH("hunger strike",Q504)),ISNUMBER(SEARCH("blockade",Q504)),ISNUMBER(SEARCH("strike",Q504)),ISNUMBER(SEARCH("jal satyagraha",Q504)),ISNUMBER(SEARCH("survey",Q504)),ISNUMBER(SEARCH("human chain",Q504)),ISNUMBER(SEARCH("march",Q504))),1,0)+IF(OR(ISNUMBER(SEARCH("fir",Q504)),ISNUMBER(SEARCH("confrontation",Q504)),ISNUMBER(SEARCH("violence",Q504)),ISNUMBER(SEARCH("detention",Q504)),ISNUMBER(SEARCH("arrest",Q504)),ISNUMBER(SEARCH("demolition",Q504)),ISNUMBER(SEARCH("injury",Q504))),1,0)+IF(OR(D504="Ongoing",D504="Unresolved"),1,0))))</x:f>
      </x:c>
      <x:c r="K504" s="16" t="str">
        <x:f>IF(J504="","",IF(J504=1,"Limited",IF(J504=2,"Local",IF(J504=3,"Significant",IF(J504=4,"High","Critical")))))</x:f>
      </x:c>
      <x:c r="L504" s="16" t="str">
        <x:f>IF(A504="","",Events!U503)</x:f>
      </x:c>
      <x:c r="M504" s="16" t="str">
        <x:f>IF(A504="","",Events!V503)</x:f>
      </x:c>
      <x:c r="N504" s="16" t="str">
        <x:f>IF(A504="","",Events!Q503)</x:f>
      </x:c>
      <x:c r="O504" s="16" t="str">
        <x:f>IF(A504="","",Events!R503)</x:f>
      </x:c>
      <x:c r="P504" s="16" t="str">
        <x:f>IF(A504="","",LOWER(Events!B503&amp;" "&amp;Events!D503&amp;" "&amp;Events!K503))</x:f>
      </x:c>
      <x:c r="Q504" s="16" t="str">
        <x:f>IF(A504="","",LOWER(Events!C503&amp;" "&amp;Events!K503&amp;" "&amp;Events!T503))</x:f>
      </x:c>
      <x:c r="R504" s="16" t="str">
        <x:f>IF(A504="","",IF(ISNUMBER(SEARCH("Occurrence verified",E504)),"Occurrence verified",E504))</x:f>
      </x:c>
      <x:c r="S504" s="79" t="str">
        <x:f>IF(A504="","",Events!X503)</x:f>
      </x:c>
      <x:c r="Z504" s="79" t="str">
        <x:f>IF(A504="","",Events!AD503)</x:f>
      </x:c>
      <x:c r="AA504" s="79" t="str">
        <x:f>IF(A504="","",Events!AE503)</x:f>
      </x:c>
    </x:row>
    <x:row r="505">
      <x:c r="A505" s="16" t="str">
        <x:f>IF(Events!A504="","",Events!A504)</x:f>
      </x:c>
      <x:c r="B505" s="16" t="str">
        <x:f>IF(A505="","",Events!B504)</x:f>
      </x:c>
      <x:c r="C505" s="16" t="str">
        <x:f>IF(A505="","",Events!E504)</x:f>
      </x:c>
      <x:c r="D505" s="16" t="str">
        <x:f>IF(A505="","",Events!J504)</x:f>
      </x:c>
      <x:c r="E505" s="16" t="str">
        <x:f>IF(A505="","",Events!N504)</x:f>
      </x:c>
      <x:c r="F505" s="109" t="str">
        <x:f>IF(OR(A505="",Events!H504=""),"",Events!H504)</x:f>
      </x:c>
      <x:c r="G505" s="109" t="str">
        <x:f>IF(A505="","",IF(Events!I504&lt;&gt;"",Events!I504,IF(Events!S504&lt;&gt;"",Events!S504,"")))</x:f>
      </x:c>
      <x:c r="H505" s="16" t="str">
        <x:f>IF(A505="","",Events!W504)</x:f>
      </x:c>
      <x:c r="I505" s="16" t="str">
        <x:f>IF(A505="","",IF(Events!Y504&lt;&gt;"",Events!Y504,IF(OR(ISNUMBER(SEARCH("education",P505)),ISNUMBER(SEARCH("exam",P505)),ISNUMBER(SEARCH("school",P505))),"Education",IF(OR(ISNUMBER(SEARCH("trade agreement",P505)),ISNUMBER(SEARCH("economic",P505)),ISNUMBER(SEARCH("import",P505))),"Trade &amp; economic policy",IF(OR(ISNUMBER(SEARCH("land acquisition",P505)),ISNUMBER(SEARCH("rehabilitation",P505)),ISNUMBER(SEARCH("displacement",P505)),ISNUMBER(SEARCH("township",P505))),"Land &amp; rehabilitation",IF(OR(ISNUMBER(SEARCH("forest",P505)),ISNUMBER(SEARCH("environment",P505)),ISNUMBER(SEARCH("ecological",P505)),ISNUMBER(SEARCH("biodiversity",P505)),ISNUMBER(SEARCH("green cover",P505))),"Environment",IF(OR(ISNUMBER(SEARCH("irrigation",P505)),ISNUMBER(SEARCH("water",P505)),ISNUMBER(SEARCH("crop",P505)),ISNUMBER(SEARCH("farmer",P505)),ISNUMBER(SEARCH("agriculture",P505))),"Agriculture &amp; water",IF(OR(ISNUMBER(SEARCH("health",P505)),ISNUMBER(SEARCH("hospital",P505)),ISNUMBER(SEARCH("medicine",P505))),"Public health",IF(OR(ISNUMBER(SEARCH("employee",P505)),ISNUMBER(SEARCH("labour",P505)),ISNUMBER(SEARCH("worker",P505)),ISNUMBER(SEARCH("salary",P505))),"Labour &amp; employment",IF(OR(ISNUMBER(SEARCH("rti",P505)),ISNUMBER(SEARCH("transparency",P505)),ISNUMBER(SEARCH("corruption",P505)),ISNUMBER(SEARCH("governance",P505))),"Governance &amp; transparency",IF(OR(ISNUMBER(SEARCH("police",P505)),ISNUMBER(SEARCH("detention",P505)),ISNUMBER(SEARCH("civil rights",P505)),ISNUMBER(SEARCH("justice",P505))),"Civil rights &amp; justice",IF(OR(ISNUMBER(SEARCH("road",P505)),ISNUMBER(SEARCH("utility",P505)),ISNUMBER(SEARCH("infrastructure",P505)),ISNUMBER(SEARCH("public service",P505))),"Infrastructure &amp; public services","Other"))))))))))))</x:f>
      </x:c>
      <x:c r="J505" s="16" t="str">
        <x:f>IF(A505="","",IF(OR(ISNUMBER(SEARCH("fatal",Q505)),ISNUMBER(SEARCH("death",Q505)),ISNUMBER(SEARCH("riot",Q505)),ISNUMBER(SEARCH("curfew",Q505)),ISNUMBER(SEARCH("internet shutdown",Q505))),5,MIN(4,1+IF(H505&gt;=7,1,0)+IF(OR(ISNUMBER(SEARCH("hunger strike",Q505)),ISNUMBER(SEARCH("blockade",Q505)),ISNUMBER(SEARCH("strike",Q505)),ISNUMBER(SEARCH("jal satyagraha",Q505)),ISNUMBER(SEARCH("survey",Q505)),ISNUMBER(SEARCH("human chain",Q505)),ISNUMBER(SEARCH("march",Q505))),1,0)+IF(OR(ISNUMBER(SEARCH("fir",Q505)),ISNUMBER(SEARCH("confrontation",Q505)),ISNUMBER(SEARCH("violence",Q505)),ISNUMBER(SEARCH("detention",Q505)),ISNUMBER(SEARCH("arrest",Q505)),ISNUMBER(SEARCH("demolition",Q505)),ISNUMBER(SEARCH("injury",Q505))),1,0)+IF(OR(D505="Ongoing",D505="Unresolved"),1,0))))</x:f>
      </x:c>
      <x:c r="K505" s="16" t="str">
        <x:f>IF(J505="","",IF(J505=1,"Limited",IF(J505=2,"Local",IF(J505=3,"Significant",IF(J505=4,"High","Critical")))))</x:f>
      </x:c>
      <x:c r="L505" s="16" t="str">
        <x:f>IF(A505="","",Events!U504)</x:f>
      </x:c>
      <x:c r="M505" s="16" t="str">
        <x:f>IF(A505="","",Events!V504)</x:f>
      </x:c>
      <x:c r="N505" s="16" t="str">
        <x:f>IF(A505="","",Events!Q504)</x:f>
      </x:c>
      <x:c r="O505" s="16" t="str">
        <x:f>IF(A505="","",Events!R504)</x:f>
      </x:c>
      <x:c r="P505" s="16" t="str">
        <x:f>IF(A505="","",LOWER(Events!B504&amp;" "&amp;Events!D504&amp;" "&amp;Events!K504))</x:f>
      </x:c>
      <x:c r="Q505" s="16" t="str">
        <x:f>IF(A505="","",LOWER(Events!C504&amp;" "&amp;Events!K504&amp;" "&amp;Events!T504))</x:f>
      </x:c>
      <x:c r="R505" s="16" t="str">
        <x:f>IF(A505="","",IF(ISNUMBER(SEARCH("Occurrence verified",E505)),"Occurrence verified",E505))</x:f>
      </x:c>
      <x:c r="S505" s="79" t="str">
        <x:f>IF(A505="","",Events!X504)</x:f>
      </x:c>
      <x:c r="Z505" s="79" t="str">
        <x:f>IF(A505="","",Events!AD504)</x:f>
      </x:c>
      <x:c r="AA505" s="79" t="str">
        <x:f>IF(A505="","",Events!AE504)</x:f>
      </x:c>
    </x:row>
    <x:row r="506">
      <x:c r="A506" s="16" t="str">
        <x:f>IF(Events!A505="","",Events!A505)</x:f>
      </x:c>
      <x:c r="B506" s="16" t="str">
        <x:f>IF(A506="","",Events!B505)</x:f>
      </x:c>
      <x:c r="C506" s="16" t="str">
        <x:f>IF(A506="","",Events!E505)</x:f>
      </x:c>
      <x:c r="D506" s="16" t="str">
        <x:f>IF(A506="","",Events!J505)</x:f>
      </x:c>
      <x:c r="E506" s="16" t="str">
        <x:f>IF(A506="","",Events!N505)</x:f>
      </x:c>
      <x:c r="F506" s="109" t="str">
        <x:f>IF(OR(A506="",Events!H505=""),"",Events!H505)</x:f>
      </x:c>
      <x:c r="G506" s="109" t="str">
        <x:f>IF(A506="","",IF(Events!I505&lt;&gt;"",Events!I505,IF(Events!S505&lt;&gt;"",Events!S505,"")))</x:f>
      </x:c>
      <x:c r="H506" s="16" t="str">
        <x:f>IF(A506="","",Events!W505)</x:f>
      </x:c>
      <x:c r="I506" s="16" t="str">
        <x:f>IF(A506="","",IF(Events!Y505&lt;&gt;"",Events!Y505,IF(OR(ISNUMBER(SEARCH("education",P506)),ISNUMBER(SEARCH("exam",P506)),ISNUMBER(SEARCH("school",P506))),"Education",IF(OR(ISNUMBER(SEARCH("trade agreement",P506)),ISNUMBER(SEARCH("economic",P506)),ISNUMBER(SEARCH("import",P506))),"Trade &amp; economic policy",IF(OR(ISNUMBER(SEARCH("land acquisition",P506)),ISNUMBER(SEARCH("rehabilitation",P506)),ISNUMBER(SEARCH("displacement",P506)),ISNUMBER(SEARCH("township",P506))),"Land &amp; rehabilitation",IF(OR(ISNUMBER(SEARCH("forest",P506)),ISNUMBER(SEARCH("environment",P506)),ISNUMBER(SEARCH("ecological",P506)),ISNUMBER(SEARCH("biodiversity",P506)),ISNUMBER(SEARCH("green cover",P506))),"Environment",IF(OR(ISNUMBER(SEARCH("irrigation",P506)),ISNUMBER(SEARCH("water",P506)),ISNUMBER(SEARCH("crop",P506)),ISNUMBER(SEARCH("farmer",P506)),ISNUMBER(SEARCH("agriculture",P506))),"Agriculture &amp; water",IF(OR(ISNUMBER(SEARCH("health",P506)),ISNUMBER(SEARCH("hospital",P506)),ISNUMBER(SEARCH("medicine",P506))),"Public health",IF(OR(ISNUMBER(SEARCH("employee",P506)),ISNUMBER(SEARCH("labour",P506)),ISNUMBER(SEARCH("worker",P506)),ISNUMBER(SEARCH("salary",P506))),"Labour &amp; employment",IF(OR(ISNUMBER(SEARCH("rti",P506)),ISNUMBER(SEARCH("transparency",P506)),ISNUMBER(SEARCH("corruption",P506)),ISNUMBER(SEARCH("governance",P506))),"Governance &amp; transparency",IF(OR(ISNUMBER(SEARCH("police",P506)),ISNUMBER(SEARCH("detention",P506)),ISNUMBER(SEARCH("civil rights",P506)),ISNUMBER(SEARCH("justice",P506))),"Civil rights &amp; justice",IF(OR(ISNUMBER(SEARCH("road",P506)),ISNUMBER(SEARCH("utility",P506)),ISNUMBER(SEARCH("infrastructure",P506)),ISNUMBER(SEARCH("public service",P506))),"Infrastructure &amp; public services","Other"))))))))))))</x:f>
      </x:c>
      <x:c r="J506" s="16" t="str">
        <x:f>IF(A506="","",IF(OR(ISNUMBER(SEARCH("fatal",Q506)),ISNUMBER(SEARCH("death",Q506)),ISNUMBER(SEARCH("riot",Q506)),ISNUMBER(SEARCH("curfew",Q506)),ISNUMBER(SEARCH("internet shutdown",Q506))),5,MIN(4,1+IF(H506&gt;=7,1,0)+IF(OR(ISNUMBER(SEARCH("hunger strike",Q506)),ISNUMBER(SEARCH("blockade",Q506)),ISNUMBER(SEARCH("strike",Q506)),ISNUMBER(SEARCH("jal satyagraha",Q506)),ISNUMBER(SEARCH("survey",Q506)),ISNUMBER(SEARCH("human chain",Q506)),ISNUMBER(SEARCH("march",Q506))),1,0)+IF(OR(ISNUMBER(SEARCH("fir",Q506)),ISNUMBER(SEARCH("confrontation",Q506)),ISNUMBER(SEARCH("violence",Q506)),ISNUMBER(SEARCH("detention",Q506)),ISNUMBER(SEARCH("arrest",Q506)),ISNUMBER(SEARCH("demolition",Q506)),ISNUMBER(SEARCH("injury",Q506))),1,0)+IF(OR(D506="Ongoing",D506="Unresolved"),1,0))))</x:f>
      </x:c>
      <x:c r="K506" s="16" t="str">
        <x:f>IF(J506="","",IF(J506=1,"Limited",IF(J506=2,"Local",IF(J506=3,"Significant",IF(J506=4,"High","Critical")))))</x:f>
      </x:c>
      <x:c r="L506" s="16" t="str">
        <x:f>IF(A506="","",Events!U505)</x:f>
      </x:c>
      <x:c r="M506" s="16" t="str">
        <x:f>IF(A506="","",Events!V505)</x:f>
      </x:c>
      <x:c r="N506" s="16" t="str">
        <x:f>IF(A506="","",Events!Q505)</x:f>
      </x:c>
      <x:c r="O506" s="16" t="str">
        <x:f>IF(A506="","",Events!R505)</x:f>
      </x:c>
      <x:c r="P506" s="16" t="str">
        <x:f>IF(A506="","",LOWER(Events!B505&amp;" "&amp;Events!D505&amp;" "&amp;Events!K505))</x:f>
      </x:c>
      <x:c r="Q506" s="16" t="str">
        <x:f>IF(A506="","",LOWER(Events!C505&amp;" "&amp;Events!K505&amp;" "&amp;Events!T505))</x:f>
      </x:c>
      <x:c r="R506" s="16" t="str">
        <x:f>IF(A506="","",IF(ISNUMBER(SEARCH("Occurrence verified",E506)),"Occurrence verified",E506))</x:f>
      </x:c>
      <x:c r="S506" s="79" t="str">
        <x:f>IF(A506="","",Events!X505)</x:f>
      </x:c>
      <x:c r="Z506" s="79" t="str">
        <x:f>IF(A506="","",Events!AD505)</x:f>
      </x:c>
      <x:c r="AA506" s="79" t="str">
        <x:f>IF(A506="","",Events!AE505)</x:f>
      </x:c>
    </x:row>
    <x:row r="507">
      <x:c r="A507" s="16" t="str">
        <x:f>IF(Events!A506="","",Events!A506)</x:f>
      </x:c>
      <x:c r="B507" s="16" t="str">
        <x:f>IF(A507="","",Events!B506)</x:f>
      </x:c>
      <x:c r="C507" s="16" t="str">
        <x:f>IF(A507="","",Events!E506)</x:f>
      </x:c>
      <x:c r="D507" s="16" t="str">
        <x:f>IF(A507="","",Events!J506)</x:f>
      </x:c>
      <x:c r="E507" s="16" t="str">
        <x:f>IF(A507="","",Events!N506)</x:f>
      </x:c>
      <x:c r="F507" s="109" t="str">
        <x:f>IF(OR(A507="",Events!H506=""),"",Events!H506)</x:f>
      </x:c>
      <x:c r="G507" s="109" t="str">
        <x:f>IF(A507="","",IF(Events!I506&lt;&gt;"",Events!I506,IF(Events!S506&lt;&gt;"",Events!S506,"")))</x:f>
      </x:c>
      <x:c r="H507" s="16" t="str">
        <x:f>IF(A507="","",Events!W506)</x:f>
      </x:c>
      <x:c r="I507" s="16" t="str">
        <x:f>IF(A507="","",IF(Events!Y506&lt;&gt;"",Events!Y506,IF(OR(ISNUMBER(SEARCH("education",P507)),ISNUMBER(SEARCH("exam",P507)),ISNUMBER(SEARCH("school",P507))),"Education",IF(OR(ISNUMBER(SEARCH("trade agreement",P507)),ISNUMBER(SEARCH("economic",P507)),ISNUMBER(SEARCH("import",P507))),"Trade &amp; economic policy",IF(OR(ISNUMBER(SEARCH("land acquisition",P507)),ISNUMBER(SEARCH("rehabilitation",P507)),ISNUMBER(SEARCH("displacement",P507)),ISNUMBER(SEARCH("township",P507))),"Land &amp; rehabilitation",IF(OR(ISNUMBER(SEARCH("forest",P507)),ISNUMBER(SEARCH("environment",P507)),ISNUMBER(SEARCH("ecological",P507)),ISNUMBER(SEARCH("biodiversity",P507)),ISNUMBER(SEARCH("green cover",P507))),"Environment",IF(OR(ISNUMBER(SEARCH("irrigation",P507)),ISNUMBER(SEARCH("water",P507)),ISNUMBER(SEARCH("crop",P507)),ISNUMBER(SEARCH("farmer",P507)),ISNUMBER(SEARCH("agriculture",P507))),"Agriculture &amp; water",IF(OR(ISNUMBER(SEARCH("health",P507)),ISNUMBER(SEARCH("hospital",P507)),ISNUMBER(SEARCH("medicine",P507))),"Public health",IF(OR(ISNUMBER(SEARCH("employee",P507)),ISNUMBER(SEARCH("labour",P507)),ISNUMBER(SEARCH("worker",P507)),ISNUMBER(SEARCH("salary",P507))),"Labour &amp; employment",IF(OR(ISNUMBER(SEARCH("rti",P507)),ISNUMBER(SEARCH("transparency",P507)),ISNUMBER(SEARCH("corruption",P507)),ISNUMBER(SEARCH("governance",P507))),"Governance &amp; transparency",IF(OR(ISNUMBER(SEARCH("police",P507)),ISNUMBER(SEARCH("detention",P507)),ISNUMBER(SEARCH("civil rights",P507)),ISNUMBER(SEARCH("justice",P507))),"Civil rights &amp; justice",IF(OR(ISNUMBER(SEARCH("road",P507)),ISNUMBER(SEARCH("utility",P507)),ISNUMBER(SEARCH("infrastructure",P507)),ISNUMBER(SEARCH("public service",P507))),"Infrastructure &amp; public services","Other"))))))))))))</x:f>
      </x:c>
      <x:c r="J507" s="16" t="str">
        <x:f>IF(A507="","",IF(OR(ISNUMBER(SEARCH("fatal",Q507)),ISNUMBER(SEARCH("death",Q507)),ISNUMBER(SEARCH("riot",Q507)),ISNUMBER(SEARCH("curfew",Q507)),ISNUMBER(SEARCH("internet shutdown",Q507))),5,MIN(4,1+IF(H507&gt;=7,1,0)+IF(OR(ISNUMBER(SEARCH("hunger strike",Q507)),ISNUMBER(SEARCH("blockade",Q507)),ISNUMBER(SEARCH("strike",Q507)),ISNUMBER(SEARCH("jal satyagraha",Q507)),ISNUMBER(SEARCH("survey",Q507)),ISNUMBER(SEARCH("human chain",Q507)),ISNUMBER(SEARCH("march",Q507))),1,0)+IF(OR(ISNUMBER(SEARCH("fir",Q507)),ISNUMBER(SEARCH("confrontation",Q507)),ISNUMBER(SEARCH("violence",Q507)),ISNUMBER(SEARCH("detention",Q507)),ISNUMBER(SEARCH("arrest",Q507)),ISNUMBER(SEARCH("demolition",Q507)),ISNUMBER(SEARCH("injury",Q507))),1,0)+IF(OR(D507="Ongoing",D507="Unresolved"),1,0))))</x:f>
      </x:c>
      <x:c r="K507" s="16" t="str">
        <x:f>IF(J507="","",IF(J507=1,"Limited",IF(J507=2,"Local",IF(J507=3,"Significant",IF(J507=4,"High","Critical")))))</x:f>
      </x:c>
      <x:c r="L507" s="16" t="str">
        <x:f>IF(A507="","",Events!U506)</x:f>
      </x:c>
      <x:c r="M507" s="16" t="str">
        <x:f>IF(A507="","",Events!V506)</x:f>
      </x:c>
      <x:c r="N507" s="16" t="str">
        <x:f>IF(A507="","",Events!Q506)</x:f>
      </x:c>
      <x:c r="O507" s="16" t="str">
        <x:f>IF(A507="","",Events!R506)</x:f>
      </x:c>
      <x:c r="P507" s="16" t="str">
        <x:f>IF(A507="","",LOWER(Events!B506&amp;" "&amp;Events!D506&amp;" "&amp;Events!K506))</x:f>
      </x:c>
      <x:c r="Q507" s="16" t="str">
        <x:f>IF(A507="","",LOWER(Events!C506&amp;" "&amp;Events!K506&amp;" "&amp;Events!T506))</x:f>
      </x:c>
      <x:c r="R507" s="16" t="str">
        <x:f>IF(A507="","",IF(ISNUMBER(SEARCH("Occurrence verified",E507)),"Occurrence verified",E507))</x:f>
      </x:c>
      <x:c r="S507" s="79" t="str">
        <x:f>IF(A507="","",Events!X506)</x:f>
      </x:c>
      <x:c r="Z507" s="79" t="str">
        <x:f>IF(A507="","",Events!AD506)</x:f>
      </x:c>
      <x:c r="AA507" s="79" t="str">
        <x:f>IF(A507="","",Events!AE506)</x:f>
      </x:c>
    </x:row>
    <x:row r="508">
      <x:c r="A508" s="16" t="str">
        <x:f>IF(Events!A507="","",Events!A507)</x:f>
      </x:c>
      <x:c r="B508" s="16" t="str">
        <x:f>IF(A508="","",Events!B507)</x:f>
      </x:c>
      <x:c r="C508" s="16" t="str">
        <x:f>IF(A508="","",Events!E507)</x:f>
      </x:c>
      <x:c r="D508" s="16" t="str">
        <x:f>IF(A508="","",Events!J507)</x:f>
      </x:c>
      <x:c r="E508" s="16" t="str">
        <x:f>IF(A508="","",Events!N507)</x:f>
      </x:c>
      <x:c r="F508" s="109" t="str">
        <x:f>IF(OR(A508="",Events!H507=""),"",Events!H507)</x:f>
      </x:c>
      <x:c r="G508" s="109" t="str">
        <x:f>IF(A508="","",IF(Events!I507&lt;&gt;"",Events!I507,IF(Events!S507&lt;&gt;"",Events!S507,"")))</x:f>
      </x:c>
      <x:c r="H508" s="16" t="str">
        <x:f>IF(A508="","",Events!W507)</x:f>
      </x:c>
      <x:c r="I508" s="16" t="str">
        <x:f>IF(A508="","",IF(Events!Y507&lt;&gt;"",Events!Y507,IF(OR(ISNUMBER(SEARCH("education",P508)),ISNUMBER(SEARCH("exam",P508)),ISNUMBER(SEARCH("school",P508))),"Education",IF(OR(ISNUMBER(SEARCH("trade agreement",P508)),ISNUMBER(SEARCH("economic",P508)),ISNUMBER(SEARCH("import",P508))),"Trade &amp; economic policy",IF(OR(ISNUMBER(SEARCH("land acquisition",P508)),ISNUMBER(SEARCH("rehabilitation",P508)),ISNUMBER(SEARCH("displacement",P508)),ISNUMBER(SEARCH("township",P508))),"Land &amp; rehabilitation",IF(OR(ISNUMBER(SEARCH("forest",P508)),ISNUMBER(SEARCH("environment",P508)),ISNUMBER(SEARCH("ecological",P508)),ISNUMBER(SEARCH("biodiversity",P508)),ISNUMBER(SEARCH("green cover",P508))),"Environment",IF(OR(ISNUMBER(SEARCH("irrigation",P508)),ISNUMBER(SEARCH("water",P508)),ISNUMBER(SEARCH("crop",P508)),ISNUMBER(SEARCH("farmer",P508)),ISNUMBER(SEARCH("agriculture",P508))),"Agriculture &amp; water",IF(OR(ISNUMBER(SEARCH("health",P508)),ISNUMBER(SEARCH("hospital",P508)),ISNUMBER(SEARCH("medicine",P508))),"Public health",IF(OR(ISNUMBER(SEARCH("employee",P508)),ISNUMBER(SEARCH("labour",P508)),ISNUMBER(SEARCH("worker",P508)),ISNUMBER(SEARCH("salary",P508))),"Labour &amp; employment",IF(OR(ISNUMBER(SEARCH("rti",P508)),ISNUMBER(SEARCH("transparency",P508)),ISNUMBER(SEARCH("corruption",P508)),ISNUMBER(SEARCH("governance",P508))),"Governance &amp; transparency",IF(OR(ISNUMBER(SEARCH("police",P508)),ISNUMBER(SEARCH("detention",P508)),ISNUMBER(SEARCH("civil rights",P508)),ISNUMBER(SEARCH("justice",P508))),"Civil rights &amp; justice",IF(OR(ISNUMBER(SEARCH("road",P508)),ISNUMBER(SEARCH("utility",P508)),ISNUMBER(SEARCH("infrastructure",P508)),ISNUMBER(SEARCH("public service",P508))),"Infrastructure &amp; public services","Other"))))))))))))</x:f>
      </x:c>
      <x:c r="J508" s="16" t="str">
        <x:f>IF(A508="","",IF(OR(ISNUMBER(SEARCH("fatal",Q508)),ISNUMBER(SEARCH("death",Q508)),ISNUMBER(SEARCH("riot",Q508)),ISNUMBER(SEARCH("curfew",Q508)),ISNUMBER(SEARCH("internet shutdown",Q508))),5,MIN(4,1+IF(H508&gt;=7,1,0)+IF(OR(ISNUMBER(SEARCH("hunger strike",Q508)),ISNUMBER(SEARCH("blockade",Q508)),ISNUMBER(SEARCH("strike",Q508)),ISNUMBER(SEARCH("jal satyagraha",Q508)),ISNUMBER(SEARCH("survey",Q508)),ISNUMBER(SEARCH("human chain",Q508)),ISNUMBER(SEARCH("march",Q508))),1,0)+IF(OR(ISNUMBER(SEARCH("fir",Q508)),ISNUMBER(SEARCH("confrontation",Q508)),ISNUMBER(SEARCH("violence",Q508)),ISNUMBER(SEARCH("detention",Q508)),ISNUMBER(SEARCH("arrest",Q508)),ISNUMBER(SEARCH("demolition",Q508)),ISNUMBER(SEARCH("injury",Q508))),1,0)+IF(OR(D508="Ongoing",D508="Unresolved"),1,0))))</x:f>
      </x:c>
      <x:c r="K508" s="16" t="str">
        <x:f>IF(J508="","",IF(J508=1,"Limited",IF(J508=2,"Local",IF(J508=3,"Significant",IF(J508=4,"High","Critical")))))</x:f>
      </x:c>
      <x:c r="L508" s="16" t="str">
        <x:f>IF(A508="","",Events!U507)</x:f>
      </x:c>
      <x:c r="M508" s="16" t="str">
        <x:f>IF(A508="","",Events!V507)</x:f>
      </x:c>
      <x:c r="N508" s="16" t="str">
        <x:f>IF(A508="","",Events!Q507)</x:f>
      </x:c>
      <x:c r="O508" s="16" t="str">
        <x:f>IF(A508="","",Events!R507)</x:f>
      </x:c>
      <x:c r="P508" s="16" t="str">
        <x:f>IF(A508="","",LOWER(Events!B507&amp;" "&amp;Events!D507&amp;" "&amp;Events!K507))</x:f>
      </x:c>
      <x:c r="Q508" s="16" t="str">
        <x:f>IF(A508="","",LOWER(Events!C507&amp;" "&amp;Events!K507&amp;" "&amp;Events!T507))</x:f>
      </x:c>
      <x:c r="R508" s="16" t="str">
        <x:f>IF(A508="","",IF(ISNUMBER(SEARCH("Occurrence verified",E508)),"Occurrence verified",E508))</x:f>
      </x:c>
      <x:c r="S508" s="79" t="str">
        <x:f>IF(A508="","",Events!X507)</x:f>
      </x:c>
      <x:c r="Z508" s="79" t="str">
        <x:f>IF(A508="","",Events!AD507)</x:f>
      </x:c>
      <x:c r="AA508" s="79" t="str">
        <x:f>IF(A508="","",Events!AE507)</x:f>
      </x:c>
    </x:row>
    <x:row r="509">
      <x:c r="A509" s="16" t="str">
        <x:f>IF(Events!A508="","",Events!A508)</x:f>
      </x:c>
      <x:c r="B509" s="16" t="str">
        <x:f>IF(A509="","",Events!B508)</x:f>
      </x:c>
      <x:c r="C509" s="16" t="str">
        <x:f>IF(A509="","",Events!E508)</x:f>
      </x:c>
      <x:c r="D509" s="16" t="str">
        <x:f>IF(A509="","",Events!J508)</x:f>
      </x:c>
      <x:c r="E509" s="16" t="str">
        <x:f>IF(A509="","",Events!N508)</x:f>
      </x:c>
      <x:c r="F509" s="109" t="str">
        <x:f>IF(OR(A509="",Events!H508=""),"",Events!H508)</x:f>
      </x:c>
      <x:c r="G509" s="109" t="str">
        <x:f>IF(A509="","",IF(Events!I508&lt;&gt;"",Events!I508,IF(Events!S508&lt;&gt;"",Events!S508,"")))</x:f>
      </x:c>
      <x:c r="H509" s="16" t="str">
        <x:f>IF(A509="","",Events!W508)</x:f>
      </x:c>
      <x:c r="I509" s="16" t="str">
        <x:f>IF(A509="","",IF(Events!Y508&lt;&gt;"",Events!Y508,IF(OR(ISNUMBER(SEARCH("education",P509)),ISNUMBER(SEARCH("exam",P509)),ISNUMBER(SEARCH("school",P509))),"Education",IF(OR(ISNUMBER(SEARCH("trade agreement",P509)),ISNUMBER(SEARCH("economic",P509)),ISNUMBER(SEARCH("import",P509))),"Trade &amp; economic policy",IF(OR(ISNUMBER(SEARCH("land acquisition",P509)),ISNUMBER(SEARCH("rehabilitation",P509)),ISNUMBER(SEARCH("displacement",P509)),ISNUMBER(SEARCH("township",P509))),"Land &amp; rehabilitation",IF(OR(ISNUMBER(SEARCH("forest",P509)),ISNUMBER(SEARCH("environment",P509)),ISNUMBER(SEARCH("ecological",P509)),ISNUMBER(SEARCH("biodiversity",P509)),ISNUMBER(SEARCH("green cover",P509))),"Environment",IF(OR(ISNUMBER(SEARCH("irrigation",P509)),ISNUMBER(SEARCH("water",P509)),ISNUMBER(SEARCH("crop",P509)),ISNUMBER(SEARCH("farmer",P509)),ISNUMBER(SEARCH("agriculture",P509))),"Agriculture &amp; water",IF(OR(ISNUMBER(SEARCH("health",P509)),ISNUMBER(SEARCH("hospital",P509)),ISNUMBER(SEARCH("medicine",P509))),"Public health",IF(OR(ISNUMBER(SEARCH("employee",P509)),ISNUMBER(SEARCH("labour",P509)),ISNUMBER(SEARCH("worker",P509)),ISNUMBER(SEARCH("salary",P509))),"Labour &amp; employment",IF(OR(ISNUMBER(SEARCH("rti",P509)),ISNUMBER(SEARCH("transparency",P509)),ISNUMBER(SEARCH("corruption",P509)),ISNUMBER(SEARCH("governance",P509))),"Governance &amp; transparency",IF(OR(ISNUMBER(SEARCH("police",P509)),ISNUMBER(SEARCH("detention",P509)),ISNUMBER(SEARCH("civil rights",P509)),ISNUMBER(SEARCH("justice",P509))),"Civil rights &amp; justice",IF(OR(ISNUMBER(SEARCH("road",P509)),ISNUMBER(SEARCH("utility",P509)),ISNUMBER(SEARCH("infrastructure",P509)),ISNUMBER(SEARCH("public service",P509))),"Infrastructure &amp; public services","Other"))))))))))))</x:f>
      </x:c>
      <x:c r="J509" s="16" t="str">
        <x:f>IF(A509="","",IF(OR(ISNUMBER(SEARCH("fatal",Q509)),ISNUMBER(SEARCH("death",Q509)),ISNUMBER(SEARCH("riot",Q509)),ISNUMBER(SEARCH("curfew",Q509)),ISNUMBER(SEARCH("internet shutdown",Q509))),5,MIN(4,1+IF(H509&gt;=7,1,0)+IF(OR(ISNUMBER(SEARCH("hunger strike",Q509)),ISNUMBER(SEARCH("blockade",Q509)),ISNUMBER(SEARCH("strike",Q509)),ISNUMBER(SEARCH("jal satyagraha",Q509)),ISNUMBER(SEARCH("survey",Q509)),ISNUMBER(SEARCH("human chain",Q509)),ISNUMBER(SEARCH("march",Q509))),1,0)+IF(OR(ISNUMBER(SEARCH("fir",Q509)),ISNUMBER(SEARCH("confrontation",Q509)),ISNUMBER(SEARCH("violence",Q509)),ISNUMBER(SEARCH("detention",Q509)),ISNUMBER(SEARCH("arrest",Q509)),ISNUMBER(SEARCH("demolition",Q509)),ISNUMBER(SEARCH("injury",Q509))),1,0)+IF(OR(D509="Ongoing",D509="Unresolved"),1,0))))</x:f>
      </x:c>
      <x:c r="K509" s="16" t="str">
        <x:f>IF(J509="","",IF(J509=1,"Limited",IF(J509=2,"Local",IF(J509=3,"Significant",IF(J509=4,"High","Critical")))))</x:f>
      </x:c>
      <x:c r="L509" s="16" t="str">
        <x:f>IF(A509="","",Events!U508)</x:f>
      </x:c>
      <x:c r="M509" s="16" t="str">
        <x:f>IF(A509="","",Events!V508)</x:f>
      </x:c>
      <x:c r="N509" s="16" t="str">
        <x:f>IF(A509="","",Events!Q508)</x:f>
      </x:c>
      <x:c r="O509" s="16" t="str">
        <x:f>IF(A509="","",Events!R508)</x:f>
      </x:c>
      <x:c r="P509" s="16" t="str">
        <x:f>IF(A509="","",LOWER(Events!B508&amp;" "&amp;Events!D508&amp;" "&amp;Events!K508))</x:f>
      </x:c>
      <x:c r="Q509" s="16" t="str">
        <x:f>IF(A509="","",LOWER(Events!C508&amp;" "&amp;Events!K508&amp;" "&amp;Events!T508))</x:f>
      </x:c>
      <x:c r="R509" s="16" t="str">
        <x:f>IF(A509="","",IF(ISNUMBER(SEARCH("Occurrence verified",E509)),"Occurrence verified",E509))</x:f>
      </x:c>
      <x:c r="S509" s="79" t="str">
        <x:f>IF(A509="","",Events!X508)</x:f>
      </x:c>
      <x:c r="Z509" s="79" t="str">
        <x:f>IF(A509="","",Events!AD508)</x:f>
      </x:c>
      <x:c r="AA509" s="79" t="str">
        <x:f>IF(A509="","",Events!AE508)</x:f>
      </x:c>
    </x:row>
    <x:row r="510">
      <x:c r="A510" s="16" t="str">
        <x:f>IF(Events!A509="","",Events!A509)</x:f>
      </x:c>
      <x:c r="B510" s="16" t="str">
        <x:f>IF(A510="","",Events!B509)</x:f>
      </x:c>
      <x:c r="C510" s="16" t="str">
        <x:f>IF(A510="","",Events!E509)</x:f>
      </x:c>
      <x:c r="D510" s="16" t="str">
        <x:f>IF(A510="","",Events!J509)</x:f>
      </x:c>
      <x:c r="E510" s="16" t="str">
        <x:f>IF(A510="","",Events!N509)</x:f>
      </x:c>
      <x:c r="F510" s="109" t="str">
        <x:f>IF(OR(A510="",Events!H509=""),"",Events!H509)</x:f>
      </x:c>
      <x:c r="G510" s="109" t="str">
        <x:f>IF(A510="","",IF(Events!I509&lt;&gt;"",Events!I509,IF(Events!S509&lt;&gt;"",Events!S509,"")))</x:f>
      </x:c>
      <x:c r="H510" s="16" t="str">
        <x:f>IF(A510="","",Events!W509)</x:f>
      </x:c>
      <x:c r="I510" s="16" t="str">
        <x:f>IF(A510="","",IF(Events!Y509&lt;&gt;"",Events!Y509,IF(OR(ISNUMBER(SEARCH("education",P510)),ISNUMBER(SEARCH("exam",P510)),ISNUMBER(SEARCH("school",P510))),"Education",IF(OR(ISNUMBER(SEARCH("trade agreement",P510)),ISNUMBER(SEARCH("economic",P510)),ISNUMBER(SEARCH("import",P510))),"Trade &amp; economic policy",IF(OR(ISNUMBER(SEARCH("land acquisition",P510)),ISNUMBER(SEARCH("rehabilitation",P510)),ISNUMBER(SEARCH("displacement",P510)),ISNUMBER(SEARCH("township",P510))),"Land &amp; rehabilitation",IF(OR(ISNUMBER(SEARCH("forest",P510)),ISNUMBER(SEARCH("environment",P510)),ISNUMBER(SEARCH("ecological",P510)),ISNUMBER(SEARCH("biodiversity",P510)),ISNUMBER(SEARCH("green cover",P510))),"Environment",IF(OR(ISNUMBER(SEARCH("irrigation",P510)),ISNUMBER(SEARCH("water",P510)),ISNUMBER(SEARCH("crop",P510)),ISNUMBER(SEARCH("farmer",P510)),ISNUMBER(SEARCH("agriculture",P510))),"Agriculture &amp; water",IF(OR(ISNUMBER(SEARCH("health",P510)),ISNUMBER(SEARCH("hospital",P510)),ISNUMBER(SEARCH("medicine",P510))),"Public health",IF(OR(ISNUMBER(SEARCH("employee",P510)),ISNUMBER(SEARCH("labour",P510)),ISNUMBER(SEARCH("worker",P510)),ISNUMBER(SEARCH("salary",P510))),"Labour &amp; employment",IF(OR(ISNUMBER(SEARCH("rti",P510)),ISNUMBER(SEARCH("transparency",P510)),ISNUMBER(SEARCH("corruption",P510)),ISNUMBER(SEARCH("governance",P510))),"Governance &amp; transparency",IF(OR(ISNUMBER(SEARCH("police",P510)),ISNUMBER(SEARCH("detention",P510)),ISNUMBER(SEARCH("civil rights",P510)),ISNUMBER(SEARCH("justice",P510))),"Civil rights &amp; justice",IF(OR(ISNUMBER(SEARCH("road",P510)),ISNUMBER(SEARCH("utility",P510)),ISNUMBER(SEARCH("infrastructure",P510)),ISNUMBER(SEARCH("public service",P510))),"Infrastructure &amp; public services","Other"))))))))))))</x:f>
      </x:c>
      <x:c r="J510" s="16" t="str">
        <x:f>IF(A510="","",IF(OR(ISNUMBER(SEARCH("fatal",Q510)),ISNUMBER(SEARCH("death",Q510)),ISNUMBER(SEARCH("riot",Q510)),ISNUMBER(SEARCH("curfew",Q510)),ISNUMBER(SEARCH("internet shutdown",Q510))),5,MIN(4,1+IF(H510&gt;=7,1,0)+IF(OR(ISNUMBER(SEARCH("hunger strike",Q510)),ISNUMBER(SEARCH("blockade",Q510)),ISNUMBER(SEARCH("strike",Q510)),ISNUMBER(SEARCH("jal satyagraha",Q510)),ISNUMBER(SEARCH("survey",Q510)),ISNUMBER(SEARCH("human chain",Q510)),ISNUMBER(SEARCH("march",Q510))),1,0)+IF(OR(ISNUMBER(SEARCH("fir",Q510)),ISNUMBER(SEARCH("confrontation",Q510)),ISNUMBER(SEARCH("violence",Q510)),ISNUMBER(SEARCH("detention",Q510)),ISNUMBER(SEARCH("arrest",Q510)),ISNUMBER(SEARCH("demolition",Q510)),ISNUMBER(SEARCH("injury",Q510))),1,0)+IF(OR(D510="Ongoing",D510="Unresolved"),1,0))))</x:f>
      </x:c>
      <x:c r="K510" s="16" t="str">
        <x:f>IF(J510="","",IF(J510=1,"Limited",IF(J510=2,"Local",IF(J510=3,"Significant",IF(J510=4,"High","Critical")))))</x:f>
      </x:c>
      <x:c r="L510" s="16" t="str">
        <x:f>IF(A510="","",Events!U509)</x:f>
      </x:c>
      <x:c r="M510" s="16" t="str">
        <x:f>IF(A510="","",Events!V509)</x:f>
      </x:c>
      <x:c r="N510" s="16" t="str">
        <x:f>IF(A510="","",Events!Q509)</x:f>
      </x:c>
      <x:c r="O510" s="16" t="str">
        <x:f>IF(A510="","",Events!R509)</x:f>
      </x:c>
      <x:c r="P510" s="16" t="str">
        <x:f>IF(A510="","",LOWER(Events!B509&amp;" "&amp;Events!D509&amp;" "&amp;Events!K509))</x:f>
      </x:c>
      <x:c r="Q510" s="16" t="str">
        <x:f>IF(A510="","",LOWER(Events!C509&amp;" "&amp;Events!K509&amp;" "&amp;Events!T509))</x:f>
      </x:c>
      <x:c r="R510" s="16" t="str">
        <x:f>IF(A510="","",IF(ISNUMBER(SEARCH("Occurrence verified",E510)),"Occurrence verified",E510))</x:f>
      </x:c>
      <x:c r="S510" s="79" t="str">
        <x:f>IF(A510="","",Events!X509)</x:f>
      </x:c>
      <x:c r="Z510" s="79" t="str">
        <x:f>IF(A510="","",Events!AD509)</x:f>
      </x:c>
      <x:c r="AA510" s="79" t="str">
        <x:f>IF(A510="","",Events!AE509)</x:f>
      </x:c>
    </x:row>
    <x:row r="511">
      <x:c r="A511" s="16" t="str">
        <x:f>IF(Events!A510="","",Events!A510)</x:f>
      </x:c>
      <x:c r="B511" s="16" t="str">
        <x:f>IF(A511="","",Events!B510)</x:f>
      </x:c>
      <x:c r="C511" s="16" t="str">
        <x:f>IF(A511="","",Events!E510)</x:f>
      </x:c>
      <x:c r="D511" s="16" t="str">
        <x:f>IF(A511="","",Events!J510)</x:f>
      </x:c>
      <x:c r="E511" s="16" t="str">
        <x:f>IF(A511="","",Events!N510)</x:f>
      </x:c>
      <x:c r="F511" s="109" t="str">
        <x:f>IF(OR(A511="",Events!H510=""),"",Events!H510)</x:f>
      </x:c>
      <x:c r="G511" s="109" t="str">
        <x:f>IF(A511="","",IF(Events!I510&lt;&gt;"",Events!I510,IF(Events!S510&lt;&gt;"",Events!S510,"")))</x:f>
      </x:c>
      <x:c r="H511" s="16" t="str">
        <x:f>IF(A511="","",Events!W510)</x:f>
      </x:c>
      <x:c r="I511" s="16" t="str">
        <x:f>IF(A511="","",IF(Events!Y510&lt;&gt;"",Events!Y510,IF(OR(ISNUMBER(SEARCH("education",P511)),ISNUMBER(SEARCH("exam",P511)),ISNUMBER(SEARCH("school",P511))),"Education",IF(OR(ISNUMBER(SEARCH("trade agreement",P511)),ISNUMBER(SEARCH("economic",P511)),ISNUMBER(SEARCH("import",P511))),"Trade &amp; economic policy",IF(OR(ISNUMBER(SEARCH("land acquisition",P511)),ISNUMBER(SEARCH("rehabilitation",P511)),ISNUMBER(SEARCH("displacement",P511)),ISNUMBER(SEARCH("township",P511))),"Land &amp; rehabilitation",IF(OR(ISNUMBER(SEARCH("forest",P511)),ISNUMBER(SEARCH("environment",P511)),ISNUMBER(SEARCH("ecological",P511)),ISNUMBER(SEARCH("biodiversity",P511)),ISNUMBER(SEARCH("green cover",P511))),"Environment",IF(OR(ISNUMBER(SEARCH("irrigation",P511)),ISNUMBER(SEARCH("water",P511)),ISNUMBER(SEARCH("crop",P511)),ISNUMBER(SEARCH("farmer",P511)),ISNUMBER(SEARCH("agriculture",P511))),"Agriculture &amp; water",IF(OR(ISNUMBER(SEARCH("health",P511)),ISNUMBER(SEARCH("hospital",P511)),ISNUMBER(SEARCH("medicine",P511))),"Public health",IF(OR(ISNUMBER(SEARCH("employee",P511)),ISNUMBER(SEARCH("labour",P511)),ISNUMBER(SEARCH("worker",P511)),ISNUMBER(SEARCH("salary",P511))),"Labour &amp; employment",IF(OR(ISNUMBER(SEARCH("rti",P511)),ISNUMBER(SEARCH("transparency",P511)),ISNUMBER(SEARCH("corruption",P511)),ISNUMBER(SEARCH("governance",P511))),"Governance &amp; transparency",IF(OR(ISNUMBER(SEARCH("police",P511)),ISNUMBER(SEARCH("detention",P511)),ISNUMBER(SEARCH("civil rights",P511)),ISNUMBER(SEARCH("justice",P511))),"Civil rights &amp; justice",IF(OR(ISNUMBER(SEARCH("road",P511)),ISNUMBER(SEARCH("utility",P511)),ISNUMBER(SEARCH("infrastructure",P511)),ISNUMBER(SEARCH("public service",P511))),"Infrastructure &amp; public services","Other"))))))))))))</x:f>
      </x:c>
      <x:c r="J511" s="16" t="str">
        <x:f>IF(A511="","",IF(OR(ISNUMBER(SEARCH("fatal",Q511)),ISNUMBER(SEARCH("death",Q511)),ISNUMBER(SEARCH("riot",Q511)),ISNUMBER(SEARCH("curfew",Q511)),ISNUMBER(SEARCH("internet shutdown",Q511))),5,MIN(4,1+IF(H511&gt;=7,1,0)+IF(OR(ISNUMBER(SEARCH("hunger strike",Q511)),ISNUMBER(SEARCH("blockade",Q511)),ISNUMBER(SEARCH("strike",Q511)),ISNUMBER(SEARCH("jal satyagraha",Q511)),ISNUMBER(SEARCH("survey",Q511)),ISNUMBER(SEARCH("human chain",Q511)),ISNUMBER(SEARCH("march",Q511))),1,0)+IF(OR(ISNUMBER(SEARCH("fir",Q511)),ISNUMBER(SEARCH("confrontation",Q511)),ISNUMBER(SEARCH("violence",Q511)),ISNUMBER(SEARCH("detention",Q511)),ISNUMBER(SEARCH("arrest",Q511)),ISNUMBER(SEARCH("demolition",Q511)),ISNUMBER(SEARCH("injury",Q511))),1,0)+IF(OR(D511="Ongoing",D511="Unresolved"),1,0))))</x:f>
      </x:c>
      <x:c r="K511" s="16" t="str">
        <x:f>IF(J511="","",IF(J511=1,"Limited",IF(J511=2,"Local",IF(J511=3,"Significant",IF(J511=4,"High","Critical")))))</x:f>
      </x:c>
      <x:c r="L511" s="16" t="str">
        <x:f>IF(A511="","",Events!U510)</x:f>
      </x:c>
      <x:c r="M511" s="16" t="str">
        <x:f>IF(A511="","",Events!V510)</x:f>
      </x:c>
      <x:c r="N511" s="16" t="str">
        <x:f>IF(A511="","",Events!Q510)</x:f>
      </x:c>
      <x:c r="O511" s="16" t="str">
        <x:f>IF(A511="","",Events!R510)</x:f>
      </x:c>
      <x:c r="P511" s="16" t="str">
        <x:f>IF(A511="","",LOWER(Events!B510&amp;" "&amp;Events!D510&amp;" "&amp;Events!K510))</x:f>
      </x:c>
      <x:c r="Q511" s="16" t="str">
        <x:f>IF(A511="","",LOWER(Events!C510&amp;" "&amp;Events!K510&amp;" "&amp;Events!T510))</x:f>
      </x:c>
      <x:c r="R511" s="16" t="str">
        <x:f>IF(A511="","",IF(ISNUMBER(SEARCH("Occurrence verified",E511)),"Occurrence verified",E511))</x:f>
      </x:c>
      <x:c r="S511" s="79" t="str">
        <x:f>IF(A511="","",Events!X510)</x:f>
      </x:c>
      <x:c r="Z511" s="79" t="str">
        <x:f>IF(A511="","",Events!AD510)</x:f>
      </x:c>
      <x:c r="AA511" s="79" t="str">
        <x:f>IF(A511="","",Events!AE510)</x:f>
      </x:c>
    </x:row>
    <x:row r="512">
      <x:c r="A512" s="16" t="str">
        <x:f>IF(Events!A511="","",Events!A511)</x:f>
      </x:c>
      <x:c r="B512" s="16" t="str">
        <x:f>IF(A512="","",Events!B511)</x:f>
      </x:c>
      <x:c r="C512" s="16" t="str">
        <x:f>IF(A512="","",Events!E511)</x:f>
      </x:c>
      <x:c r="D512" s="16" t="str">
        <x:f>IF(A512="","",Events!J511)</x:f>
      </x:c>
      <x:c r="E512" s="16" t="str">
        <x:f>IF(A512="","",Events!N511)</x:f>
      </x:c>
      <x:c r="F512" s="109" t="str">
        <x:f>IF(OR(A512="",Events!H511=""),"",Events!H511)</x:f>
      </x:c>
      <x:c r="G512" s="109" t="str">
        <x:f>IF(A512="","",IF(Events!I511&lt;&gt;"",Events!I511,IF(Events!S511&lt;&gt;"",Events!S511,"")))</x:f>
      </x:c>
      <x:c r="H512" s="16" t="str">
        <x:f>IF(A512="","",Events!W511)</x:f>
      </x:c>
      <x:c r="I512" s="16" t="str">
        <x:f>IF(A512="","",IF(Events!Y511&lt;&gt;"",Events!Y511,IF(OR(ISNUMBER(SEARCH("education",P512)),ISNUMBER(SEARCH("exam",P512)),ISNUMBER(SEARCH("school",P512))),"Education",IF(OR(ISNUMBER(SEARCH("trade agreement",P512)),ISNUMBER(SEARCH("economic",P512)),ISNUMBER(SEARCH("import",P512))),"Trade &amp; economic policy",IF(OR(ISNUMBER(SEARCH("land acquisition",P512)),ISNUMBER(SEARCH("rehabilitation",P512)),ISNUMBER(SEARCH("displacement",P512)),ISNUMBER(SEARCH("township",P512))),"Land &amp; rehabilitation",IF(OR(ISNUMBER(SEARCH("forest",P512)),ISNUMBER(SEARCH("environment",P512)),ISNUMBER(SEARCH("ecological",P512)),ISNUMBER(SEARCH("biodiversity",P512)),ISNUMBER(SEARCH("green cover",P512))),"Environment",IF(OR(ISNUMBER(SEARCH("irrigation",P512)),ISNUMBER(SEARCH("water",P512)),ISNUMBER(SEARCH("crop",P512)),ISNUMBER(SEARCH("farmer",P512)),ISNUMBER(SEARCH("agriculture",P512))),"Agriculture &amp; water",IF(OR(ISNUMBER(SEARCH("health",P512)),ISNUMBER(SEARCH("hospital",P512)),ISNUMBER(SEARCH("medicine",P512))),"Public health",IF(OR(ISNUMBER(SEARCH("employee",P512)),ISNUMBER(SEARCH("labour",P512)),ISNUMBER(SEARCH("worker",P512)),ISNUMBER(SEARCH("salary",P512))),"Labour &amp; employment",IF(OR(ISNUMBER(SEARCH("rti",P512)),ISNUMBER(SEARCH("transparency",P512)),ISNUMBER(SEARCH("corruption",P512)),ISNUMBER(SEARCH("governance",P512))),"Governance &amp; transparency",IF(OR(ISNUMBER(SEARCH("police",P512)),ISNUMBER(SEARCH("detention",P512)),ISNUMBER(SEARCH("civil rights",P512)),ISNUMBER(SEARCH("justice",P512))),"Civil rights &amp; justice",IF(OR(ISNUMBER(SEARCH("road",P512)),ISNUMBER(SEARCH("utility",P512)),ISNUMBER(SEARCH("infrastructure",P512)),ISNUMBER(SEARCH("public service",P512))),"Infrastructure &amp; public services","Other"))))))))))))</x:f>
      </x:c>
      <x:c r="J512" s="16" t="str">
        <x:f>IF(A512="","",IF(OR(ISNUMBER(SEARCH("fatal",Q512)),ISNUMBER(SEARCH("death",Q512)),ISNUMBER(SEARCH("riot",Q512)),ISNUMBER(SEARCH("curfew",Q512)),ISNUMBER(SEARCH("internet shutdown",Q512))),5,MIN(4,1+IF(H512&gt;=7,1,0)+IF(OR(ISNUMBER(SEARCH("hunger strike",Q512)),ISNUMBER(SEARCH("blockade",Q512)),ISNUMBER(SEARCH("strike",Q512)),ISNUMBER(SEARCH("jal satyagraha",Q512)),ISNUMBER(SEARCH("survey",Q512)),ISNUMBER(SEARCH("human chain",Q512)),ISNUMBER(SEARCH("march",Q512))),1,0)+IF(OR(ISNUMBER(SEARCH("fir",Q512)),ISNUMBER(SEARCH("confrontation",Q512)),ISNUMBER(SEARCH("violence",Q512)),ISNUMBER(SEARCH("detention",Q512)),ISNUMBER(SEARCH("arrest",Q512)),ISNUMBER(SEARCH("demolition",Q512)),ISNUMBER(SEARCH("injury",Q512))),1,0)+IF(OR(D512="Ongoing",D512="Unresolved"),1,0))))</x:f>
      </x:c>
      <x:c r="K512" s="16" t="str">
        <x:f>IF(J512="","",IF(J512=1,"Limited",IF(J512=2,"Local",IF(J512=3,"Significant",IF(J512=4,"High","Critical")))))</x:f>
      </x:c>
      <x:c r="L512" s="16" t="str">
        <x:f>IF(A512="","",Events!U511)</x:f>
      </x:c>
      <x:c r="M512" s="16" t="str">
        <x:f>IF(A512="","",Events!V511)</x:f>
      </x:c>
      <x:c r="N512" s="16" t="str">
        <x:f>IF(A512="","",Events!Q511)</x:f>
      </x:c>
      <x:c r="O512" s="16" t="str">
        <x:f>IF(A512="","",Events!R511)</x:f>
      </x:c>
      <x:c r="P512" s="16" t="str">
        <x:f>IF(A512="","",LOWER(Events!B511&amp;" "&amp;Events!D511&amp;" "&amp;Events!K511))</x:f>
      </x:c>
      <x:c r="Q512" s="16" t="str">
        <x:f>IF(A512="","",LOWER(Events!C511&amp;" "&amp;Events!K511&amp;" "&amp;Events!T511))</x:f>
      </x:c>
      <x:c r="R512" s="16" t="str">
        <x:f>IF(A512="","",IF(ISNUMBER(SEARCH("Occurrence verified",E512)),"Occurrence verified",E512))</x:f>
      </x:c>
      <x:c r="S512" s="79" t="str">
        <x:f>IF(A512="","",Events!X511)</x:f>
      </x:c>
      <x:c r="Z512" s="79" t="str">
        <x:f>IF(A512="","",Events!AD511)</x:f>
      </x:c>
      <x:c r="AA512" s="79" t="str">
        <x:f>IF(A512="","",Events!AE511)</x:f>
      </x:c>
    </x:row>
    <x:row r="513">
      <x:c r="A513" s="16" t="str">
        <x:f>IF(Events!A512="","",Events!A512)</x:f>
      </x:c>
      <x:c r="B513" s="16" t="str">
        <x:f>IF(A513="","",Events!B512)</x:f>
      </x:c>
      <x:c r="C513" s="16" t="str">
        <x:f>IF(A513="","",Events!E512)</x:f>
      </x:c>
      <x:c r="D513" s="16" t="str">
        <x:f>IF(A513="","",Events!J512)</x:f>
      </x:c>
      <x:c r="E513" s="16" t="str">
        <x:f>IF(A513="","",Events!N512)</x:f>
      </x:c>
      <x:c r="F513" s="109" t="str">
        <x:f>IF(OR(A513="",Events!H512=""),"",Events!H512)</x:f>
      </x:c>
      <x:c r="G513" s="109" t="str">
        <x:f>IF(A513="","",IF(Events!I512&lt;&gt;"",Events!I512,IF(Events!S512&lt;&gt;"",Events!S512,"")))</x:f>
      </x:c>
      <x:c r="H513" s="16" t="str">
        <x:f>IF(A513="","",Events!W512)</x:f>
      </x:c>
      <x:c r="I513" s="16" t="str">
        <x:f>IF(A513="","",IF(Events!Y512&lt;&gt;"",Events!Y512,IF(OR(ISNUMBER(SEARCH("education",P513)),ISNUMBER(SEARCH("exam",P513)),ISNUMBER(SEARCH("school",P513))),"Education",IF(OR(ISNUMBER(SEARCH("trade agreement",P513)),ISNUMBER(SEARCH("economic",P513)),ISNUMBER(SEARCH("import",P513))),"Trade &amp; economic policy",IF(OR(ISNUMBER(SEARCH("land acquisition",P513)),ISNUMBER(SEARCH("rehabilitation",P513)),ISNUMBER(SEARCH("displacement",P513)),ISNUMBER(SEARCH("township",P513))),"Land &amp; rehabilitation",IF(OR(ISNUMBER(SEARCH("forest",P513)),ISNUMBER(SEARCH("environment",P513)),ISNUMBER(SEARCH("ecological",P513)),ISNUMBER(SEARCH("biodiversity",P513)),ISNUMBER(SEARCH("green cover",P513))),"Environment",IF(OR(ISNUMBER(SEARCH("irrigation",P513)),ISNUMBER(SEARCH("water",P513)),ISNUMBER(SEARCH("crop",P513)),ISNUMBER(SEARCH("farmer",P513)),ISNUMBER(SEARCH("agriculture",P513))),"Agriculture &amp; water",IF(OR(ISNUMBER(SEARCH("health",P513)),ISNUMBER(SEARCH("hospital",P513)),ISNUMBER(SEARCH("medicine",P513))),"Public health",IF(OR(ISNUMBER(SEARCH("employee",P513)),ISNUMBER(SEARCH("labour",P513)),ISNUMBER(SEARCH("worker",P513)),ISNUMBER(SEARCH("salary",P513))),"Labour &amp; employment",IF(OR(ISNUMBER(SEARCH("rti",P513)),ISNUMBER(SEARCH("transparency",P513)),ISNUMBER(SEARCH("corruption",P513)),ISNUMBER(SEARCH("governance",P513))),"Governance &amp; transparency",IF(OR(ISNUMBER(SEARCH("police",P513)),ISNUMBER(SEARCH("detention",P513)),ISNUMBER(SEARCH("civil rights",P513)),ISNUMBER(SEARCH("justice",P513))),"Civil rights &amp; justice",IF(OR(ISNUMBER(SEARCH("road",P513)),ISNUMBER(SEARCH("utility",P513)),ISNUMBER(SEARCH("infrastructure",P513)),ISNUMBER(SEARCH("public service",P513))),"Infrastructure &amp; public services","Other"))))))))))))</x:f>
      </x:c>
      <x:c r="J513" s="16" t="str">
        <x:f>IF(A513="","",IF(OR(ISNUMBER(SEARCH("fatal",Q513)),ISNUMBER(SEARCH("death",Q513)),ISNUMBER(SEARCH("riot",Q513)),ISNUMBER(SEARCH("curfew",Q513)),ISNUMBER(SEARCH("internet shutdown",Q513))),5,MIN(4,1+IF(H513&gt;=7,1,0)+IF(OR(ISNUMBER(SEARCH("hunger strike",Q513)),ISNUMBER(SEARCH("blockade",Q513)),ISNUMBER(SEARCH("strike",Q513)),ISNUMBER(SEARCH("jal satyagraha",Q513)),ISNUMBER(SEARCH("survey",Q513)),ISNUMBER(SEARCH("human chain",Q513)),ISNUMBER(SEARCH("march",Q513))),1,0)+IF(OR(ISNUMBER(SEARCH("fir",Q513)),ISNUMBER(SEARCH("confrontation",Q513)),ISNUMBER(SEARCH("violence",Q513)),ISNUMBER(SEARCH("detention",Q513)),ISNUMBER(SEARCH("arrest",Q513)),ISNUMBER(SEARCH("demolition",Q513)),ISNUMBER(SEARCH("injury",Q513))),1,0)+IF(OR(D513="Ongoing",D513="Unresolved"),1,0))))</x:f>
      </x:c>
      <x:c r="K513" s="16" t="str">
        <x:f>IF(J513="","",IF(J513=1,"Limited",IF(J513=2,"Local",IF(J513=3,"Significant",IF(J513=4,"High","Critical")))))</x:f>
      </x:c>
      <x:c r="L513" s="16" t="str">
        <x:f>IF(A513="","",Events!U512)</x:f>
      </x:c>
      <x:c r="M513" s="16" t="str">
        <x:f>IF(A513="","",Events!V512)</x:f>
      </x:c>
      <x:c r="N513" s="16" t="str">
        <x:f>IF(A513="","",Events!Q512)</x:f>
      </x:c>
      <x:c r="O513" s="16" t="str">
        <x:f>IF(A513="","",Events!R512)</x:f>
      </x:c>
      <x:c r="P513" s="16" t="str">
        <x:f>IF(A513="","",LOWER(Events!B512&amp;" "&amp;Events!D512&amp;" "&amp;Events!K512))</x:f>
      </x:c>
      <x:c r="Q513" s="16" t="str">
        <x:f>IF(A513="","",LOWER(Events!C512&amp;" "&amp;Events!K512&amp;" "&amp;Events!T512))</x:f>
      </x:c>
      <x:c r="R513" s="16" t="str">
        <x:f>IF(A513="","",IF(ISNUMBER(SEARCH("Occurrence verified",E513)),"Occurrence verified",E513))</x:f>
      </x:c>
      <x:c r="S513" s="79" t="str">
        <x:f>IF(A513="","",Events!X512)</x:f>
      </x:c>
      <x:c r="Z513" s="79" t="str">
        <x:f>IF(A513="","",Events!AD512)</x:f>
      </x:c>
      <x:c r="AA513" s="79" t="str">
        <x:f>IF(A513="","",Events!AE512)</x:f>
      </x:c>
    </x:row>
    <x:row r="514">
      <x:c r="A514" s="16" t="str">
        <x:f>IF(Events!A513="","",Events!A513)</x:f>
      </x:c>
      <x:c r="B514" s="16" t="str">
        <x:f>IF(A514="","",Events!B513)</x:f>
      </x:c>
      <x:c r="C514" s="16" t="str">
        <x:f>IF(A514="","",Events!E513)</x:f>
      </x:c>
      <x:c r="D514" s="16" t="str">
        <x:f>IF(A514="","",Events!J513)</x:f>
      </x:c>
      <x:c r="E514" s="16" t="str">
        <x:f>IF(A514="","",Events!N513)</x:f>
      </x:c>
      <x:c r="F514" s="109" t="str">
        <x:f>IF(OR(A514="",Events!H513=""),"",Events!H513)</x:f>
      </x:c>
      <x:c r="G514" s="109" t="str">
        <x:f>IF(A514="","",IF(Events!I513&lt;&gt;"",Events!I513,IF(Events!S513&lt;&gt;"",Events!S513,"")))</x:f>
      </x:c>
      <x:c r="H514" s="16" t="str">
        <x:f>IF(A514="","",Events!W513)</x:f>
      </x:c>
      <x:c r="I514" s="16" t="str">
        <x:f>IF(A514="","",IF(Events!Y513&lt;&gt;"",Events!Y513,IF(OR(ISNUMBER(SEARCH("education",P514)),ISNUMBER(SEARCH("exam",P514)),ISNUMBER(SEARCH("school",P514))),"Education",IF(OR(ISNUMBER(SEARCH("trade agreement",P514)),ISNUMBER(SEARCH("economic",P514)),ISNUMBER(SEARCH("import",P514))),"Trade &amp; economic policy",IF(OR(ISNUMBER(SEARCH("land acquisition",P514)),ISNUMBER(SEARCH("rehabilitation",P514)),ISNUMBER(SEARCH("displacement",P514)),ISNUMBER(SEARCH("township",P514))),"Land &amp; rehabilitation",IF(OR(ISNUMBER(SEARCH("forest",P514)),ISNUMBER(SEARCH("environment",P514)),ISNUMBER(SEARCH("ecological",P514)),ISNUMBER(SEARCH("biodiversity",P514)),ISNUMBER(SEARCH("green cover",P514))),"Environment",IF(OR(ISNUMBER(SEARCH("irrigation",P514)),ISNUMBER(SEARCH("water",P514)),ISNUMBER(SEARCH("crop",P514)),ISNUMBER(SEARCH("farmer",P514)),ISNUMBER(SEARCH("agriculture",P514))),"Agriculture &amp; water",IF(OR(ISNUMBER(SEARCH("health",P514)),ISNUMBER(SEARCH("hospital",P514)),ISNUMBER(SEARCH("medicine",P514))),"Public health",IF(OR(ISNUMBER(SEARCH("employee",P514)),ISNUMBER(SEARCH("labour",P514)),ISNUMBER(SEARCH("worker",P514)),ISNUMBER(SEARCH("salary",P514))),"Labour &amp; employment",IF(OR(ISNUMBER(SEARCH("rti",P514)),ISNUMBER(SEARCH("transparency",P514)),ISNUMBER(SEARCH("corruption",P514)),ISNUMBER(SEARCH("governance",P514))),"Governance &amp; transparency",IF(OR(ISNUMBER(SEARCH("police",P514)),ISNUMBER(SEARCH("detention",P514)),ISNUMBER(SEARCH("civil rights",P514)),ISNUMBER(SEARCH("justice",P514))),"Civil rights &amp; justice",IF(OR(ISNUMBER(SEARCH("road",P514)),ISNUMBER(SEARCH("utility",P514)),ISNUMBER(SEARCH("infrastructure",P514)),ISNUMBER(SEARCH("public service",P514))),"Infrastructure &amp; public services","Other"))))))))))))</x:f>
      </x:c>
      <x:c r="J514" s="16" t="str">
        <x:f>IF(A514="","",IF(OR(ISNUMBER(SEARCH("fatal",Q514)),ISNUMBER(SEARCH("death",Q514)),ISNUMBER(SEARCH("riot",Q514)),ISNUMBER(SEARCH("curfew",Q514)),ISNUMBER(SEARCH("internet shutdown",Q514))),5,MIN(4,1+IF(H514&gt;=7,1,0)+IF(OR(ISNUMBER(SEARCH("hunger strike",Q514)),ISNUMBER(SEARCH("blockade",Q514)),ISNUMBER(SEARCH("strike",Q514)),ISNUMBER(SEARCH("jal satyagraha",Q514)),ISNUMBER(SEARCH("survey",Q514)),ISNUMBER(SEARCH("human chain",Q514)),ISNUMBER(SEARCH("march",Q514))),1,0)+IF(OR(ISNUMBER(SEARCH("fir",Q514)),ISNUMBER(SEARCH("confrontation",Q514)),ISNUMBER(SEARCH("violence",Q514)),ISNUMBER(SEARCH("detention",Q514)),ISNUMBER(SEARCH("arrest",Q514)),ISNUMBER(SEARCH("demolition",Q514)),ISNUMBER(SEARCH("injury",Q514))),1,0)+IF(OR(D514="Ongoing",D514="Unresolved"),1,0))))</x:f>
      </x:c>
      <x:c r="K514" s="16" t="str">
        <x:f>IF(J514="","",IF(J514=1,"Limited",IF(J514=2,"Local",IF(J514=3,"Significant",IF(J514=4,"High","Critical")))))</x:f>
      </x:c>
      <x:c r="L514" s="16" t="str">
        <x:f>IF(A514="","",Events!U513)</x:f>
      </x:c>
      <x:c r="M514" s="16" t="str">
        <x:f>IF(A514="","",Events!V513)</x:f>
      </x:c>
      <x:c r="N514" s="16" t="str">
        <x:f>IF(A514="","",Events!Q513)</x:f>
      </x:c>
      <x:c r="O514" s="16" t="str">
        <x:f>IF(A514="","",Events!R513)</x:f>
      </x:c>
      <x:c r="P514" s="16" t="str">
        <x:f>IF(A514="","",LOWER(Events!B513&amp;" "&amp;Events!D513&amp;" "&amp;Events!K513))</x:f>
      </x:c>
      <x:c r="Q514" s="16" t="str">
        <x:f>IF(A514="","",LOWER(Events!C513&amp;" "&amp;Events!K513&amp;" "&amp;Events!T513))</x:f>
      </x:c>
      <x:c r="R514" s="16" t="str">
        <x:f>IF(A514="","",IF(ISNUMBER(SEARCH("Occurrence verified",E514)),"Occurrence verified",E514))</x:f>
      </x:c>
      <x:c r="S514" s="79" t="str">
        <x:f>IF(A514="","",Events!X513)</x:f>
      </x:c>
      <x:c r="Z514" s="79" t="str">
        <x:f>IF(A514="","",Events!AD513)</x:f>
      </x:c>
      <x:c r="AA514" s="79" t="str">
        <x:f>IF(A514="","",Events!AE513)</x:f>
      </x:c>
    </x:row>
    <x:row r="515">
      <x:c r="A515" s="16" t="str">
        <x:f>IF(Events!A514="","",Events!A514)</x:f>
      </x:c>
      <x:c r="B515" s="16" t="str">
        <x:f>IF(A515="","",Events!B514)</x:f>
      </x:c>
      <x:c r="C515" s="16" t="str">
        <x:f>IF(A515="","",Events!E514)</x:f>
      </x:c>
      <x:c r="D515" s="16" t="str">
        <x:f>IF(A515="","",Events!J514)</x:f>
      </x:c>
      <x:c r="E515" s="16" t="str">
        <x:f>IF(A515="","",Events!N514)</x:f>
      </x:c>
      <x:c r="F515" s="109" t="str">
        <x:f>IF(OR(A515="",Events!H514=""),"",Events!H514)</x:f>
      </x:c>
      <x:c r="G515" s="109" t="str">
        <x:f>IF(A515="","",IF(Events!I514&lt;&gt;"",Events!I514,IF(Events!S514&lt;&gt;"",Events!S514,"")))</x:f>
      </x:c>
      <x:c r="H515" s="16" t="str">
        <x:f>IF(A515="","",Events!W514)</x:f>
      </x:c>
      <x:c r="I515" s="16" t="str">
        <x:f>IF(A515="","",IF(Events!Y514&lt;&gt;"",Events!Y514,IF(OR(ISNUMBER(SEARCH("education",P515)),ISNUMBER(SEARCH("exam",P515)),ISNUMBER(SEARCH("school",P515))),"Education",IF(OR(ISNUMBER(SEARCH("trade agreement",P515)),ISNUMBER(SEARCH("economic",P515)),ISNUMBER(SEARCH("import",P515))),"Trade &amp; economic policy",IF(OR(ISNUMBER(SEARCH("land acquisition",P515)),ISNUMBER(SEARCH("rehabilitation",P515)),ISNUMBER(SEARCH("displacement",P515)),ISNUMBER(SEARCH("township",P515))),"Land &amp; rehabilitation",IF(OR(ISNUMBER(SEARCH("forest",P515)),ISNUMBER(SEARCH("environment",P515)),ISNUMBER(SEARCH("ecological",P515)),ISNUMBER(SEARCH("biodiversity",P515)),ISNUMBER(SEARCH("green cover",P515))),"Environment",IF(OR(ISNUMBER(SEARCH("irrigation",P515)),ISNUMBER(SEARCH("water",P515)),ISNUMBER(SEARCH("crop",P515)),ISNUMBER(SEARCH("farmer",P515)),ISNUMBER(SEARCH("agriculture",P515))),"Agriculture &amp; water",IF(OR(ISNUMBER(SEARCH("health",P515)),ISNUMBER(SEARCH("hospital",P515)),ISNUMBER(SEARCH("medicine",P515))),"Public health",IF(OR(ISNUMBER(SEARCH("employee",P515)),ISNUMBER(SEARCH("labour",P515)),ISNUMBER(SEARCH("worker",P515)),ISNUMBER(SEARCH("salary",P515))),"Labour &amp; employment",IF(OR(ISNUMBER(SEARCH("rti",P515)),ISNUMBER(SEARCH("transparency",P515)),ISNUMBER(SEARCH("corruption",P515)),ISNUMBER(SEARCH("governance",P515))),"Governance &amp; transparency",IF(OR(ISNUMBER(SEARCH("police",P515)),ISNUMBER(SEARCH("detention",P515)),ISNUMBER(SEARCH("civil rights",P515)),ISNUMBER(SEARCH("justice",P515))),"Civil rights &amp; justice",IF(OR(ISNUMBER(SEARCH("road",P515)),ISNUMBER(SEARCH("utility",P515)),ISNUMBER(SEARCH("infrastructure",P515)),ISNUMBER(SEARCH("public service",P515))),"Infrastructure &amp; public services","Other"))))))))))))</x:f>
      </x:c>
      <x:c r="J515" s="16" t="str">
        <x:f>IF(A515="","",IF(OR(ISNUMBER(SEARCH("fatal",Q515)),ISNUMBER(SEARCH("death",Q515)),ISNUMBER(SEARCH("riot",Q515)),ISNUMBER(SEARCH("curfew",Q515)),ISNUMBER(SEARCH("internet shutdown",Q515))),5,MIN(4,1+IF(H515&gt;=7,1,0)+IF(OR(ISNUMBER(SEARCH("hunger strike",Q515)),ISNUMBER(SEARCH("blockade",Q515)),ISNUMBER(SEARCH("strike",Q515)),ISNUMBER(SEARCH("jal satyagraha",Q515)),ISNUMBER(SEARCH("survey",Q515)),ISNUMBER(SEARCH("human chain",Q515)),ISNUMBER(SEARCH("march",Q515))),1,0)+IF(OR(ISNUMBER(SEARCH("fir",Q515)),ISNUMBER(SEARCH("confrontation",Q515)),ISNUMBER(SEARCH("violence",Q515)),ISNUMBER(SEARCH("detention",Q515)),ISNUMBER(SEARCH("arrest",Q515)),ISNUMBER(SEARCH("demolition",Q515)),ISNUMBER(SEARCH("injury",Q515))),1,0)+IF(OR(D515="Ongoing",D515="Unresolved"),1,0))))</x:f>
      </x:c>
      <x:c r="K515" s="16" t="str">
        <x:f>IF(J515="","",IF(J515=1,"Limited",IF(J515=2,"Local",IF(J515=3,"Significant",IF(J515=4,"High","Critical")))))</x:f>
      </x:c>
      <x:c r="L515" s="16" t="str">
        <x:f>IF(A515="","",Events!U514)</x:f>
      </x:c>
      <x:c r="M515" s="16" t="str">
        <x:f>IF(A515="","",Events!V514)</x:f>
      </x:c>
      <x:c r="N515" s="16" t="str">
        <x:f>IF(A515="","",Events!Q514)</x:f>
      </x:c>
      <x:c r="O515" s="16" t="str">
        <x:f>IF(A515="","",Events!R514)</x:f>
      </x:c>
      <x:c r="P515" s="16" t="str">
        <x:f>IF(A515="","",LOWER(Events!B514&amp;" "&amp;Events!D514&amp;" "&amp;Events!K514))</x:f>
      </x:c>
      <x:c r="Q515" s="16" t="str">
        <x:f>IF(A515="","",LOWER(Events!C514&amp;" "&amp;Events!K514&amp;" "&amp;Events!T514))</x:f>
      </x:c>
      <x:c r="R515" s="16" t="str">
        <x:f>IF(A515="","",IF(ISNUMBER(SEARCH("Occurrence verified",E515)),"Occurrence verified",E515))</x:f>
      </x:c>
      <x:c r="S515" s="79" t="str">
        <x:f>IF(A515="","",Events!X514)</x:f>
      </x:c>
      <x:c r="Z515" s="79" t="str">
        <x:f>IF(A515="","",Events!AD514)</x:f>
      </x:c>
      <x:c r="AA515" s="79" t="str">
        <x:f>IF(A515="","",Events!AE514)</x:f>
      </x:c>
    </x:row>
    <x:row r="516">
      <x:c r="A516" s="16" t="str">
        <x:f>IF(Events!A515="","",Events!A515)</x:f>
      </x:c>
      <x:c r="B516" s="16" t="str">
        <x:f>IF(A516="","",Events!B515)</x:f>
      </x:c>
      <x:c r="C516" s="16" t="str">
        <x:f>IF(A516="","",Events!E515)</x:f>
      </x:c>
      <x:c r="D516" s="16" t="str">
        <x:f>IF(A516="","",Events!J515)</x:f>
      </x:c>
      <x:c r="E516" s="16" t="str">
        <x:f>IF(A516="","",Events!N515)</x:f>
      </x:c>
      <x:c r="F516" s="109" t="str">
        <x:f>IF(OR(A516="",Events!H515=""),"",Events!H515)</x:f>
      </x:c>
      <x:c r="G516" s="109" t="str">
        <x:f>IF(A516="","",IF(Events!I515&lt;&gt;"",Events!I515,IF(Events!S515&lt;&gt;"",Events!S515,"")))</x:f>
      </x:c>
      <x:c r="H516" s="16" t="str">
        <x:f>IF(A516="","",Events!W515)</x:f>
      </x:c>
      <x:c r="I516" s="16" t="str">
        <x:f>IF(A516="","",IF(Events!Y515&lt;&gt;"",Events!Y515,IF(OR(ISNUMBER(SEARCH("education",P516)),ISNUMBER(SEARCH("exam",P516)),ISNUMBER(SEARCH("school",P516))),"Education",IF(OR(ISNUMBER(SEARCH("trade agreement",P516)),ISNUMBER(SEARCH("economic",P516)),ISNUMBER(SEARCH("import",P516))),"Trade &amp; economic policy",IF(OR(ISNUMBER(SEARCH("land acquisition",P516)),ISNUMBER(SEARCH("rehabilitation",P516)),ISNUMBER(SEARCH("displacement",P516)),ISNUMBER(SEARCH("township",P516))),"Land &amp; rehabilitation",IF(OR(ISNUMBER(SEARCH("forest",P516)),ISNUMBER(SEARCH("environment",P516)),ISNUMBER(SEARCH("ecological",P516)),ISNUMBER(SEARCH("biodiversity",P516)),ISNUMBER(SEARCH("green cover",P516))),"Environment",IF(OR(ISNUMBER(SEARCH("irrigation",P516)),ISNUMBER(SEARCH("water",P516)),ISNUMBER(SEARCH("crop",P516)),ISNUMBER(SEARCH("farmer",P516)),ISNUMBER(SEARCH("agriculture",P516))),"Agriculture &amp; water",IF(OR(ISNUMBER(SEARCH("health",P516)),ISNUMBER(SEARCH("hospital",P516)),ISNUMBER(SEARCH("medicine",P516))),"Public health",IF(OR(ISNUMBER(SEARCH("employee",P516)),ISNUMBER(SEARCH("labour",P516)),ISNUMBER(SEARCH("worker",P516)),ISNUMBER(SEARCH("salary",P516))),"Labour &amp; employment",IF(OR(ISNUMBER(SEARCH("rti",P516)),ISNUMBER(SEARCH("transparency",P516)),ISNUMBER(SEARCH("corruption",P516)),ISNUMBER(SEARCH("governance",P516))),"Governance &amp; transparency",IF(OR(ISNUMBER(SEARCH("police",P516)),ISNUMBER(SEARCH("detention",P516)),ISNUMBER(SEARCH("civil rights",P516)),ISNUMBER(SEARCH("justice",P516))),"Civil rights &amp; justice",IF(OR(ISNUMBER(SEARCH("road",P516)),ISNUMBER(SEARCH("utility",P516)),ISNUMBER(SEARCH("infrastructure",P516)),ISNUMBER(SEARCH("public service",P516))),"Infrastructure &amp; public services","Other"))))))))))))</x:f>
      </x:c>
      <x:c r="J516" s="16" t="str">
        <x:f>IF(A516="","",IF(OR(ISNUMBER(SEARCH("fatal",Q516)),ISNUMBER(SEARCH("death",Q516)),ISNUMBER(SEARCH("riot",Q516)),ISNUMBER(SEARCH("curfew",Q516)),ISNUMBER(SEARCH("internet shutdown",Q516))),5,MIN(4,1+IF(H516&gt;=7,1,0)+IF(OR(ISNUMBER(SEARCH("hunger strike",Q516)),ISNUMBER(SEARCH("blockade",Q516)),ISNUMBER(SEARCH("strike",Q516)),ISNUMBER(SEARCH("jal satyagraha",Q516)),ISNUMBER(SEARCH("survey",Q516)),ISNUMBER(SEARCH("human chain",Q516)),ISNUMBER(SEARCH("march",Q516))),1,0)+IF(OR(ISNUMBER(SEARCH("fir",Q516)),ISNUMBER(SEARCH("confrontation",Q516)),ISNUMBER(SEARCH("violence",Q516)),ISNUMBER(SEARCH("detention",Q516)),ISNUMBER(SEARCH("arrest",Q516)),ISNUMBER(SEARCH("demolition",Q516)),ISNUMBER(SEARCH("injury",Q516))),1,0)+IF(OR(D516="Ongoing",D516="Unresolved"),1,0))))</x:f>
      </x:c>
      <x:c r="K516" s="16" t="str">
        <x:f>IF(J516="","",IF(J516=1,"Limited",IF(J516=2,"Local",IF(J516=3,"Significant",IF(J516=4,"High","Critical")))))</x:f>
      </x:c>
      <x:c r="L516" s="16" t="str">
        <x:f>IF(A516="","",Events!U515)</x:f>
      </x:c>
      <x:c r="M516" s="16" t="str">
        <x:f>IF(A516="","",Events!V515)</x:f>
      </x:c>
      <x:c r="N516" s="16" t="str">
        <x:f>IF(A516="","",Events!Q515)</x:f>
      </x:c>
      <x:c r="O516" s="16" t="str">
        <x:f>IF(A516="","",Events!R515)</x:f>
      </x:c>
      <x:c r="P516" s="16" t="str">
        <x:f>IF(A516="","",LOWER(Events!B515&amp;" "&amp;Events!D515&amp;" "&amp;Events!K515))</x:f>
      </x:c>
      <x:c r="Q516" s="16" t="str">
        <x:f>IF(A516="","",LOWER(Events!C515&amp;" "&amp;Events!K515&amp;" "&amp;Events!T515))</x:f>
      </x:c>
      <x:c r="R516" s="16" t="str">
        <x:f>IF(A516="","",IF(ISNUMBER(SEARCH("Occurrence verified",E516)),"Occurrence verified",E516))</x:f>
      </x:c>
      <x:c r="S516" s="79" t="str">
        <x:f>IF(A516="","",Events!X515)</x:f>
      </x:c>
      <x:c r="Z516" s="79" t="str">
        <x:f>IF(A516="","",Events!AD515)</x:f>
      </x:c>
      <x:c r="AA516" s="79" t="str">
        <x:f>IF(A516="","",Events!AE515)</x:f>
      </x:c>
    </x:row>
    <x:row r="517">
      <x:c r="A517" s="16" t="str">
        <x:f>IF(Events!A516="","",Events!A516)</x:f>
      </x:c>
      <x:c r="B517" s="16" t="str">
        <x:f>IF(A517="","",Events!B516)</x:f>
      </x:c>
      <x:c r="C517" s="16" t="str">
        <x:f>IF(A517="","",Events!E516)</x:f>
      </x:c>
      <x:c r="D517" s="16" t="str">
        <x:f>IF(A517="","",Events!J516)</x:f>
      </x:c>
      <x:c r="E517" s="16" t="str">
        <x:f>IF(A517="","",Events!N516)</x:f>
      </x:c>
      <x:c r="F517" s="109" t="str">
        <x:f>IF(OR(A517="",Events!H516=""),"",Events!H516)</x:f>
      </x:c>
      <x:c r="G517" s="109" t="str">
        <x:f>IF(A517="","",IF(Events!I516&lt;&gt;"",Events!I516,IF(Events!S516&lt;&gt;"",Events!S516,"")))</x:f>
      </x:c>
      <x:c r="H517" s="16" t="str">
        <x:f>IF(A517="","",Events!W516)</x:f>
      </x:c>
      <x:c r="I517" s="16" t="str">
        <x:f>IF(A517="","",IF(Events!Y516&lt;&gt;"",Events!Y516,IF(OR(ISNUMBER(SEARCH("education",P517)),ISNUMBER(SEARCH("exam",P517)),ISNUMBER(SEARCH("school",P517))),"Education",IF(OR(ISNUMBER(SEARCH("trade agreement",P517)),ISNUMBER(SEARCH("economic",P517)),ISNUMBER(SEARCH("import",P517))),"Trade &amp; economic policy",IF(OR(ISNUMBER(SEARCH("land acquisition",P517)),ISNUMBER(SEARCH("rehabilitation",P517)),ISNUMBER(SEARCH("displacement",P517)),ISNUMBER(SEARCH("township",P517))),"Land &amp; rehabilitation",IF(OR(ISNUMBER(SEARCH("forest",P517)),ISNUMBER(SEARCH("environment",P517)),ISNUMBER(SEARCH("ecological",P517)),ISNUMBER(SEARCH("biodiversity",P517)),ISNUMBER(SEARCH("green cover",P517))),"Environment",IF(OR(ISNUMBER(SEARCH("irrigation",P517)),ISNUMBER(SEARCH("water",P517)),ISNUMBER(SEARCH("crop",P517)),ISNUMBER(SEARCH("farmer",P517)),ISNUMBER(SEARCH("agriculture",P517))),"Agriculture &amp; water",IF(OR(ISNUMBER(SEARCH("health",P517)),ISNUMBER(SEARCH("hospital",P517)),ISNUMBER(SEARCH("medicine",P517))),"Public health",IF(OR(ISNUMBER(SEARCH("employee",P517)),ISNUMBER(SEARCH("labour",P517)),ISNUMBER(SEARCH("worker",P517)),ISNUMBER(SEARCH("salary",P517))),"Labour &amp; employment",IF(OR(ISNUMBER(SEARCH("rti",P517)),ISNUMBER(SEARCH("transparency",P517)),ISNUMBER(SEARCH("corruption",P517)),ISNUMBER(SEARCH("governance",P517))),"Governance &amp; transparency",IF(OR(ISNUMBER(SEARCH("police",P517)),ISNUMBER(SEARCH("detention",P517)),ISNUMBER(SEARCH("civil rights",P517)),ISNUMBER(SEARCH("justice",P517))),"Civil rights &amp; justice",IF(OR(ISNUMBER(SEARCH("road",P517)),ISNUMBER(SEARCH("utility",P517)),ISNUMBER(SEARCH("infrastructure",P517)),ISNUMBER(SEARCH("public service",P517))),"Infrastructure &amp; public services","Other"))))))))))))</x:f>
      </x:c>
      <x:c r="J517" s="16" t="str">
        <x:f>IF(A517="","",IF(OR(ISNUMBER(SEARCH("fatal",Q517)),ISNUMBER(SEARCH("death",Q517)),ISNUMBER(SEARCH("riot",Q517)),ISNUMBER(SEARCH("curfew",Q517)),ISNUMBER(SEARCH("internet shutdown",Q517))),5,MIN(4,1+IF(H517&gt;=7,1,0)+IF(OR(ISNUMBER(SEARCH("hunger strike",Q517)),ISNUMBER(SEARCH("blockade",Q517)),ISNUMBER(SEARCH("strike",Q517)),ISNUMBER(SEARCH("jal satyagraha",Q517)),ISNUMBER(SEARCH("survey",Q517)),ISNUMBER(SEARCH("human chain",Q517)),ISNUMBER(SEARCH("march",Q517))),1,0)+IF(OR(ISNUMBER(SEARCH("fir",Q517)),ISNUMBER(SEARCH("confrontation",Q517)),ISNUMBER(SEARCH("violence",Q517)),ISNUMBER(SEARCH("detention",Q517)),ISNUMBER(SEARCH("arrest",Q517)),ISNUMBER(SEARCH("demolition",Q517)),ISNUMBER(SEARCH("injury",Q517))),1,0)+IF(OR(D517="Ongoing",D517="Unresolved"),1,0))))</x:f>
      </x:c>
      <x:c r="K517" s="16" t="str">
        <x:f>IF(J517="","",IF(J517=1,"Limited",IF(J517=2,"Local",IF(J517=3,"Significant",IF(J517=4,"High","Critical")))))</x:f>
      </x:c>
      <x:c r="L517" s="16" t="str">
        <x:f>IF(A517="","",Events!U516)</x:f>
      </x:c>
      <x:c r="M517" s="16" t="str">
        <x:f>IF(A517="","",Events!V516)</x:f>
      </x:c>
      <x:c r="N517" s="16" t="str">
        <x:f>IF(A517="","",Events!Q516)</x:f>
      </x:c>
      <x:c r="O517" s="16" t="str">
        <x:f>IF(A517="","",Events!R516)</x:f>
      </x:c>
      <x:c r="P517" s="16" t="str">
        <x:f>IF(A517="","",LOWER(Events!B516&amp;" "&amp;Events!D516&amp;" "&amp;Events!K516))</x:f>
      </x:c>
      <x:c r="Q517" s="16" t="str">
        <x:f>IF(A517="","",LOWER(Events!C516&amp;" "&amp;Events!K516&amp;" "&amp;Events!T516))</x:f>
      </x:c>
      <x:c r="R517" s="16" t="str">
        <x:f>IF(A517="","",IF(ISNUMBER(SEARCH("Occurrence verified",E517)),"Occurrence verified",E517))</x:f>
      </x:c>
      <x:c r="S517" s="79" t="str">
        <x:f>IF(A517="","",Events!X516)</x:f>
      </x:c>
      <x:c r="Z517" s="79" t="str">
        <x:f>IF(A517="","",Events!AD516)</x:f>
      </x:c>
      <x:c r="AA517" s="79" t="str">
        <x:f>IF(A517="","",Events!AE516)</x:f>
      </x:c>
    </x:row>
    <x:row r="518">
      <x:c r="A518" s="16" t="str">
        <x:f>IF(Events!A517="","",Events!A517)</x:f>
      </x:c>
      <x:c r="B518" s="16" t="str">
        <x:f>IF(A518="","",Events!B517)</x:f>
      </x:c>
      <x:c r="C518" s="16" t="str">
        <x:f>IF(A518="","",Events!E517)</x:f>
      </x:c>
      <x:c r="D518" s="16" t="str">
        <x:f>IF(A518="","",Events!J517)</x:f>
      </x:c>
      <x:c r="E518" s="16" t="str">
        <x:f>IF(A518="","",Events!N517)</x:f>
      </x:c>
      <x:c r="F518" s="109" t="str">
        <x:f>IF(OR(A518="",Events!H517=""),"",Events!H517)</x:f>
      </x:c>
      <x:c r="G518" s="109" t="str">
        <x:f>IF(A518="","",IF(Events!I517&lt;&gt;"",Events!I517,IF(Events!S517&lt;&gt;"",Events!S517,"")))</x:f>
      </x:c>
      <x:c r="H518" s="16" t="str">
        <x:f>IF(A518="","",Events!W517)</x:f>
      </x:c>
      <x:c r="I518" s="16" t="str">
        <x:f>IF(A518="","",IF(Events!Y517&lt;&gt;"",Events!Y517,IF(OR(ISNUMBER(SEARCH("education",P518)),ISNUMBER(SEARCH("exam",P518)),ISNUMBER(SEARCH("school",P518))),"Education",IF(OR(ISNUMBER(SEARCH("trade agreement",P518)),ISNUMBER(SEARCH("economic",P518)),ISNUMBER(SEARCH("import",P518))),"Trade &amp; economic policy",IF(OR(ISNUMBER(SEARCH("land acquisition",P518)),ISNUMBER(SEARCH("rehabilitation",P518)),ISNUMBER(SEARCH("displacement",P518)),ISNUMBER(SEARCH("township",P518))),"Land &amp; rehabilitation",IF(OR(ISNUMBER(SEARCH("forest",P518)),ISNUMBER(SEARCH("environment",P518)),ISNUMBER(SEARCH("ecological",P518)),ISNUMBER(SEARCH("biodiversity",P518)),ISNUMBER(SEARCH("green cover",P518))),"Environment",IF(OR(ISNUMBER(SEARCH("irrigation",P518)),ISNUMBER(SEARCH("water",P518)),ISNUMBER(SEARCH("crop",P518)),ISNUMBER(SEARCH("farmer",P518)),ISNUMBER(SEARCH("agriculture",P518))),"Agriculture &amp; water",IF(OR(ISNUMBER(SEARCH("health",P518)),ISNUMBER(SEARCH("hospital",P518)),ISNUMBER(SEARCH("medicine",P518))),"Public health",IF(OR(ISNUMBER(SEARCH("employee",P518)),ISNUMBER(SEARCH("labour",P518)),ISNUMBER(SEARCH("worker",P518)),ISNUMBER(SEARCH("salary",P518))),"Labour &amp; employment",IF(OR(ISNUMBER(SEARCH("rti",P518)),ISNUMBER(SEARCH("transparency",P518)),ISNUMBER(SEARCH("corruption",P518)),ISNUMBER(SEARCH("governance",P518))),"Governance &amp; transparency",IF(OR(ISNUMBER(SEARCH("police",P518)),ISNUMBER(SEARCH("detention",P518)),ISNUMBER(SEARCH("civil rights",P518)),ISNUMBER(SEARCH("justice",P518))),"Civil rights &amp; justice",IF(OR(ISNUMBER(SEARCH("road",P518)),ISNUMBER(SEARCH("utility",P518)),ISNUMBER(SEARCH("infrastructure",P518)),ISNUMBER(SEARCH("public service",P518))),"Infrastructure &amp; public services","Other"))))))))))))</x:f>
      </x:c>
      <x:c r="J518" s="16" t="str">
        <x:f>IF(A518="","",IF(OR(ISNUMBER(SEARCH("fatal",Q518)),ISNUMBER(SEARCH("death",Q518)),ISNUMBER(SEARCH("riot",Q518)),ISNUMBER(SEARCH("curfew",Q518)),ISNUMBER(SEARCH("internet shutdown",Q518))),5,MIN(4,1+IF(H518&gt;=7,1,0)+IF(OR(ISNUMBER(SEARCH("hunger strike",Q518)),ISNUMBER(SEARCH("blockade",Q518)),ISNUMBER(SEARCH("strike",Q518)),ISNUMBER(SEARCH("jal satyagraha",Q518)),ISNUMBER(SEARCH("survey",Q518)),ISNUMBER(SEARCH("human chain",Q518)),ISNUMBER(SEARCH("march",Q518))),1,0)+IF(OR(ISNUMBER(SEARCH("fir",Q518)),ISNUMBER(SEARCH("confrontation",Q518)),ISNUMBER(SEARCH("violence",Q518)),ISNUMBER(SEARCH("detention",Q518)),ISNUMBER(SEARCH("arrest",Q518)),ISNUMBER(SEARCH("demolition",Q518)),ISNUMBER(SEARCH("injury",Q518))),1,0)+IF(OR(D518="Ongoing",D518="Unresolved"),1,0))))</x:f>
      </x:c>
      <x:c r="K518" s="16" t="str">
        <x:f>IF(J518="","",IF(J518=1,"Limited",IF(J518=2,"Local",IF(J518=3,"Significant",IF(J518=4,"High","Critical")))))</x:f>
      </x:c>
      <x:c r="L518" s="16" t="str">
        <x:f>IF(A518="","",Events!U517)</x:f>
      </x:c>
      <x:c r="M518" s="16" t="str">
        <x:f>IF(A518="","",Events!V517)</x:f>
      </x:c>
      <x:c r="N518" s="16" t="str">
        <x:f>IF(A518="","",Events!Q517)</x:f>
      </x:c>
      <x:c r="O518" s="16" t="str">
        <x:f>IF(A518="","",Events!R517)</x:f>
      </x:c>
      <x:c r="P518" s="16" t="str">
        <x:f>IF(A518="","",LOWER(Events!B517&amp;" "&amp;Events!D517&amp;" "&amp;Events!K517))</x:f>
      </x:c>
      <x:c r="Q518" s="16" t="str">
        <x:f>IF(A518="","",LOWER(Events!C517&amp;" "&amp;Events!K517&amp;" "&amp;Events!T517))</x:f>
      </x:c>
      <x:c r="R518" s="16" t="str">
        <x:f>IF(A518="","",IF(ISNUMBER(SEARCH("Occurrence verified",E518)),"Occurrence verified",E518))</x:f>
      </x:c>
      <x:c r="S518" s="79" t="str">
        <x:f>IF(A518="","",Events!X517)</x:f>
      </x:c>
      <x:c r="Z518" s="79" t="str">
        <x:f>IF(A518="","",Events!AD517)</x:f>
      </x:c>
      <x:c r="AA518" s="79" t="str">
        <x:f>IF(A518="","",Events!AE517)</x:f>
      </x:c>
    </x:row>
    <x:row r="519">
      <x:c r="A519" s="16" t="str">
        <x:f>IF(Events!A518="","",Events!A518)</x:f>
      </x:c>
      <x:c r="B519" s="16" t="str">
        <x:f>IF(A519="","",Events!B518)</x:f>
      </x:c>
      <x:c r="C519" s="16" t="str">
        <x:f>IF(A519="","",Events!E518)</x:f>
      </x:c>
      <x:c r="D519" s="16" t="str">
        <x:f>IF(A519="","",Events!J518)</x:f>
      </x:c>
      <x:c r="E519" s="16" t="str">
        <x:f>IF(A519="","",Events!N518)</x:f>
      </x:c>
      <x:c r="F519" s="109" t="str">
        <x:f>IF(OR(A519="",Events!H518=""),"",Events!H518)</x:f>
      </x:c>
      <x:c r="G519" s="109" t="str">
        <x:f>IF(A519="","",IF(Events!I518&lt;&gt;"",Events!I518,IF(Events!S518&lt;&gt;"",Events!S518,"")))</x:f>
      </x:c>
      <x:c r="H519" s="16" t="str">
        <x:f>IF(A519="","",Events!W518)</x:f>
      </x:c>
      <x:c r="I519" s="16" t="str">
        <x:f>IF(A519="","",IF(Events!Y518&lt;&gt;"",Events!Y518,IF(OR(ISNUMBER(SEARCH("education",P519)),ISNUMBER(SEARCH("exam",P519)),ISNUMBER(SEARCH("school",P519))),"Education",IF(OR(ISNUMBER(SEARCH("trade agreement",P519)),ISNUMBER(SEARCH("economic",P519)),ISNUMBER(SEARCH("import",P519))),"Trade &amp; economic policy",IF(OR(ISNUMBER(SEARCH("land acquisition",P519)),ISNUMBER(SEARCH("rehabilitation",P519)),ISNUMBER(SEARCH("displacement",P519)),ISNUMBER(SEARCH("township",P519))),"Land &amp; rehabilitation",IF(OR(ISNUMBER(SEARCH("forest",P519)),ISNUMBER(SEARCH("environment",P519)),ISNUMBER(SEARCH("ecological",P519)),ISNUMBER(SEARCH("biodiversity",P519)),ISNUMBER(SEARCH("green cover",P519))),"Environment",IF(OR(ISNUMBER(SEARCH("irrigation",P519)),ISNUMBER(SEARCH("water",P519)),ISNUMBER(SEARCH("crop",P519)),ISNUMBER(SEARCH("farmer",P519)),ISNUMBER(SEARCH("agriculture",P519))),"Agriculture &amp; water",IF(OR(ISNUMBER(SEARCH("health",P519)),ISNUMBER(SEARCH("hospital",P519)),ISNUMBER(SEARCH("medicine",P519))),"Public health",IF(OR(ISNUMBER(SEARCH("employee",P519)),ISNUMBER(SEARCH("labour",P519)),ISNUMBER(SEARCH("worker",P519)),ISNUMBER(SEARCH("salary",P519))),"Labour &amp; employment",IF(OR(ISNUMBER(SEARCH("rti",P519)),ISNUMBER(SEARCH("transparency",P519)),ISNUMBER(SEARCH("corruption",P519)),ISNUMBER(SEARCH("governance",P519))),"Governance &amp; transparency",IF(OR(ISNUMBER(SEARCH("police",P519)),ISNUMBER(SEARCH("detention",P519)),ISNUMBER(SEARCH("civil rights",P519)),ISNUMBER(SEARCH("justice",P519))),"Civil rights &amp; justice",IF(OR(ISNUMBER(SEARCH("road",P519)),ISNUMBER(SEARCH("utility",P519)),ISNUMBER(SEARCH("infrastructure",P519)),ISNUMBER(SEARCH("public service",P519))),"Infrastructure &amp; public services","Other"))))))))))))</x:f>
      </x:c>
      <x:c r="J519" s="16" t="str">
        <x:f>IF(A519="","",IF(OR(ISNUMBER(SEARCH("fatal",Q519)),ISNUMBER(SEARCH("death",Q519)),ISNUMBER(SEARCH("riot",Q519)),ISNUMBER(SEARCH("curfew",Q519)),ISNUMBER(SEARCH("internet shutdown",Q519))),5,MIN(4,1+IF(H519&gt;=7,1,0)+IF(OR(ISNUMBER(SEARCH("hunger strike",Q519)),ISNUMBER(SEARCH("blockade",Q519)),ISNUMBER(SEARCH("strike",Q519)),ISNUMBER(SEARCH("jal satyagraha",Q519)),ISNUMBER(SEARCH("survey",Q519)),ISNUMBER(SEARCH("human chain",Q519)),ISNUMBER(SEARCH("march",Q519))),1,0)+IF(OR(ISNUMBER(SEARCH("fir",Q519)),ISNUMBER(SEARCH("confrontation",Q519)),ISNUMBER(SEARCH("violence",Q519)),ISNUMBER(SEARCH("detention",Q519)),ISNUMBER(SEARCH("arrest",Q519)),ISNUMBER(SEARCH("demolition",Q519)),ISNUMBER(SEARCH("injury",Q519))),1,0)+IF(OR(D519="Ongoing",D519="Unresolved"),1,0))))</x:f>
      </x:c>
      <x:c r="K519" s="16" t="str">
        <x:f>IF(J519="","",IF(J519=1,"Limited",IF(J519=2,"Local",IF(J519=3,"Significant",IF(J519=4,"High","Critical")))))</x:f>
      </x:c>
      <x:c r="L519" s="16" t="str">
        <x:f>IF(A519="","",Events!U518)</x:f>
      </x:c>
      <x:c r="M519" s="16" t="str">
        <x:f>IF(A519="","",Events!V518)</x:f>
      </x:c>
      <x:c r="N519" s="16" t="str">
        <x:f>IF(A519="","",Events!Q518)</x:f>
      </x:c>
      <x:c r="O519" s="16" t="str">
        <x:f>IF(A519="","",Events!R518)</x:f>
      </x:c>
      <x:c r="P519" s="16" t="str">
        <x:f>IF(A519="","",LOWER(Events!B518&amp;" "&amp;Events!D518&amp;" "&amp;Events!K518))</x:f>
      </x:c>
      <x:c r="Q519" s="16" t="str">
        <x:f>IF(A519="","",LOWER(Events!C518&amp;" "&amp;Events!K518&amp;" "&amp;Events!T518))</x:f>
      </x:c>
      <x:c r="R519" s="16" t="str">
        <x:f>IF(A519="","",IF(ISNUMBER(SEARCH("Occurrence verified",E519)),"Occurrence verified",E519))</x:f>
      </x:c>
      <x:c r="S519" s="79" t="str">
        <x:f>IF(A519="","",Events!X518)</x:f>
      </x:c>
      <x:c r="Z519" s="79" t="str">
        <x:f>IF(A519="","",Events!AD518)</x:f>
      </x:c>
      <x:c r="AA519" s="79" t="str">
        <x:f>IF(A519="","",Events!AE518)</x:f>
      </x:c>
    </x:row>
    <x:row r="520">
      <x:c r="A520" s="16" t="str">
        <x:f>IF(Events!A519="","",Events!A519)</x:f>
      </x:c>
      <x:c r="B520" s="16" t="str">
        <x:f>IF(A520="","",Events!B519)</x:f>
      </x:c>
      <x:c r="C520" s="16" t="str">
        <x:f>IF(A520="","",Events!E519)</x:f>
      </x:c>
      <x:c r="D520" s="16" t="str">
        <x:f>IF(A520="","",Events!J519)</x:f>
      </x:c>
      <x:c r="E520" s="16" t="str">
        <x:f>IF(A520="","",Events!N519)</x:f>
      </x:c>
      <x:c r="F520" s="109" t="str">
        <x:f>IF(OR(A520="",Events!H519=""),"",Events!H519)</x:f>
      </x:c>
      <x:c r="G520" s="109" t="str">
        <x:f>IF(A520="","",IF(Events!I519&lt;&gt;"",Events!I519,IF(Events!S519&lt;&gt;"",Events!S519,"")))</x:f>
      </x:c>
      <x:c r="H520" s="16" t="str">
        <x:f>IF(A520="","",Events!W519)</x:f>
      </x:c>
      <x:c r="I520" s="16" t="str">
        <x:f>IF(A520="","",IF(Events!Y519&lt;&gt;"",Events!Y519,IF(OR(ISNUMBER(SEARCH("education",P520)),ISNUMBER(SEARCH("exam",P520)),ISNUMBER(SEARCH("school",P520))),"Education",IF(OR(ISNUMBER(SEARCH("trade agreement",P520)),ISNUMBER(SEARCH("economic",P520)),ISNUMBER(SEARCH("import",P520))),"Trade &amp; economic policy",IF(OR(ISNUMBER(SEARCH("land acquisition",P520)),ISNUMBER(SEARCH("rehabilitation",P520)),ISNUMBER(SEARCH("displacement",P520)),ISNUMBER(SEARCH("township",P520))),"Land &amp; rehabilitation",IF(OR(ISNUMBER(SEARCH("forest",P520)),ISNUMBER(SEARCH("environment",P520)),ISNUMBER(SEARCH("ecological",P520)),ISNUMBER(SEARCH("biodiversity",P520)),ISNUMBER(SEARCH("green cover",P520))),"Environment",IF(OR(ISNUMBER(SEARCH("irrigation",P520)),ISNUMBER(SEARCH("water",P520)),ISNUMBER(SEARCH("crop",P520)),ISNUMBER(SEARCH("farmer",P520)),ISNUMBER(SEARCH("agriculture",P520))),"Agriculture &amp; water",IF(OR(ISNUMBER(SEARCH("health",P520)),ISNUMBER(SEARCH("hospital",P520)),ISNUMBER(SEARCH("medicine",P520))),"Public health",IF(OR(ISNUMBER(SEARCH("employee",P520)),ISNUMBER(SEARCH("labour",P520)),ISNUMBER(SEARCH("worker",P520)),ISNUMBER(SEARCH("salary",P520))),"Labour &amp; employment",IF(OR(ISNUMBER(SEARCH("rti",P520)),ISNUMBER(SEARCH("transparency",P520)),ISNUMBER(SEARCH("corruption",P520)),ISNUMBER(SEARCH("governance",P520))),"Governance &amp; transparency",IF(OR(ISNUMBER(SEARCH("police",P520)),ISNUMBER(SEARCH("detention",P520)),ISNUMBER(SEARCH("civil rights",P520)),ISNUMBER(SEARCH("justice",P520))),"Civil rights &amp; justice",IF(OR(ISNUMBER(SEARCH("road",P520)),ISNUMBER(SEARCH("utility",P520)),ISNUMBER(SEARCH("infrastructure",P520)),ISNUMBER(SEARCH("public service",P520))),"Infrastructure &amp; public services","Other"))))))))))))</x:f>
      </x:c>
      <x:c r="J520" s="16" t="str">
        <x:f>IF(A520="","",IF(OR(ISNUMBER(SEARCH("fatal",Q520)),ISNUMBER(SEARCH("death",Q520)),ISNUMBER(SEARCH("riot",Q520)),ISNUMBER(SEARCH("curfew",Q520)),ISNUMBER(SEARCH("internet shutdown",Q520))),5,MIN(4,1+IF(H520&gt;=7,1,0)+IF(OR(ISNUMBER(SEARCH("hunger strike",Q520)),ISNUMBER(SEARCH("blockade",Q520)),ISNUMBER(SEARCH("strike",Q520)),ISNUMBER(SEARCH("jal satyagraha",Q520)),ISNUMBER(SEARCH("survey",Q520)),ISNUMBER(SEARCH("human chain",Q520)),ISNUMBER(SEARCH("march",Q520))),1,0)+IF(OR(ISNUMBER(SEARCH("fir",Q520)),ISNUMBER(SEARCH("confrontation",Q520)),ISNUMBER(SEARCH("violence",Q520)),ISNUMBER(SEARCH("detention",Q520)),ISNUMBER(SEARCH("arrest",Q520)),ISNUMBER(SEARCH("demolition",Q520)),ISNUMBER(SEARCH("injury",Q520))),1,0)+IF(OR(D520="Ongoing",D520="Unresolved"),1,0))))</x:f>
      </x:c>
      <x:c r="K520" s="16" t="str">
        <x:f>IF(J520="","",IF(J520=1,"Limited",IF(J520=2,"Local",IF(J520=3,"Significant",IF(J520=4,"High","Critical")))))</x:f>
      </x:c>
      <x:c r="L520" s="16" t="str">
        <x:f>IF(A520="","",Events!U519)</x:f>
      </x:c>
      <x:c r="M520" s="16" t="str">
        <x:f>IF(A520="","",Events!V519)</x:f>
      </x:c>
      <x:c r="N520" s="16" t="str">
        <x:f>IF(A520="","",Events!Q519)</x:f>
      </x:c>
      <x:c r="O520" s="16" t="str">
        <x:f>IF(A520="","",Events!R519)</x:f>
      </x:c>
      <x:c r="P520" s="16" t="str">
        <x:f>IF(A520="","",LOWER(Events!B519&amp;" "&amp;Events!D519&amp;" "&amp;Events!K519))</x:f>
      </x:c>
      <x:c r="Q520" s="16" t="str">
        <x:f>IF(A520="","",LOWER(Events!C519&amp;" "&amp;Events!K519&amp;" "&amp;Events!T519))</x:f>
      </x:c>
      <x:c r="R520" s="16" t="str">
        <x:f>IF(A520="","",IF(ISNUMBER(SEARCH("Occurrence verified",E520)),"Occurrence verified",E520))</x:f>
      </x:c>
      <x:c r="S520" s="79" t="str">
        <x:f>IF(A520="","",Events!X519)</x:f>
      </x:c>
      <x:c r="Z520" s="79" t="str">
        <x:f>IF(A520="","",Events!AD519)</x:f>
      </x:c>
      <x:c r="AA520" s="79" t="str">
        <x:f>IF(A520="","",Events!AE519)</x:f>
      </x:c>
    </x:row>
    <x:row r="521">
      <x:c r="A521" s="16" t="str">
        <x:f>IF(Events!A520="","",Events!A520)</x:f>
      </x:c>
      <x:c r="B521" s="16" t="str">
        <x:f>IF(A521="","",Events!B520)</x:f>
      </x:c>
      <x:c r="C521" s="16" t="str">
        <x:f>IF(A521="","",Events!E520)</x:f>
      </x:c>
      <x:c r="D521" s="16" t="str">
        <x:f>IF(A521="","",Events!J520)</x:f>
      </x:c>
      <x:c r="E521" s="16" t="str">
        <x:f>IF(A521="","",Events!N520)</x:f>
      </x:c>
      <x:c r="F521" s="109" t="str">
        <x:f>IF(OR(A521="",Events!H520=""),"",Events!H520)</x:f>
      </x:c>
      <x:c r="G521" s="109" t="str">
        <x:f>IF(A521="","",IF(Events!I520&lt;&gt;"",Events!I520,IF(Events!S520&lt;&gt;"",Events!S520,"")))</x:f>
      </x:c>
      <x:c r="H521" s="16" t="str">
        <x:f>IF(A521="","",Events!W520)</x:f>
      </x:c>
      <x:c r="I521" s="16" t="str">
        <x:f>IF(A521="","",IF(Events!Y520&lt;&gt;"",Events!Y520,IF(OR(ISNUMBER(SEARCH("education",P521)),ISNUMBER(SEARCH("exam",P521)),ISNUMBER(SEARCH("school",P521))),"Education",IF(OR(ISNUMBER(SEARCH("trade agreement",P521)),ISNUMBER(SEARCH("economic",P521)),ISNUMBER(SEARCH("import",P521))),"Trade &amp; economic policy",IF(OR(ISNUMBER(SEARCH("land acquisition",P521)),ISNUMBER(SEARCH("rehabilitation",P521)),ISNUMBER(SEARCH("displacement",P521)),ISNUMBER(SEARCH("township",P521))),"Land &amp; rehabilitation",IF(OR(ISNUMBER(SEARCH("forest",P521)),ISNUMBER(SEARCH("environment",P521)),ISNUMBER(SEARCH("ecological",P521)),ISNUMBER(SEARCH("biodiversity",P521)),ISNUMBER(SEARCH("green cover",P521))),"Environment",IF(OR(ISNUMBER(SEARCH("irrigation",P521)),ISNUMBER(SEARCH("water",P521)),ISNUMBER(SEARCH("crop",P521)),ISNUMBER(SEARCH("farmer",P521)),ISNUMBER(SEARCH("agriculture",P521))),"Agriculture &amp; water",IF(OR(ISNUMBER(SEARCH("health",P521)),ISNUMBER(SEARCH("hospital",P521)),ISNUMBER(SEARCH("medicine",P521))),"Public health",IF(OR(ISNUMBER(SEARCH("employee",P521)),ISNUMBER(SEARCH("labour",P521)),ISNUMBER(SEARCH("worker",P521)),ISNUMBER(SEARCH("salary",P521))),"Labour &amp; employment",IF(OR(ISNUMBER(SEARCH("rti",P521)),ISNUMBER(SEARCH("transparency",P521)),ISNUMBER(SEARCH("corruption",P521)),ISNUMBER(SEARCH("governance",P521))),"Governance &amp; transparency",IF(OR(ISNUMBER(SEARCH("police",P521)),ISNUMBER(SEARCH("detention",P521)),ISNUMBER(SEARCH("civil rights",P521)),ISNUMBER(SEARCH("justice",P521))),"Civil rights &amp; justice",IF(OR(ISNUMBER(SEARCH("road",P521)),ISNUMBER(SEARCH("utility",P521)),ISNUMBER(SEARCH("infrastructure",P521)),ISNUMBER(SEARCH("public service",P521))),"Infrastructure &amp; public services","Other"))))))))))))</x:f>
      </x:c>
      <x:c r="J521" s="16" t="str">
        <x:f>IF(A521="","",IF(OR(ISNUMBER(SEARCH("fatal",Q521)),ISNUMBER(SEARCH("death",Q521)),ISNUMBER(SEARCH("riot",Q521)),ISNUMBER(SEARCH("curfew",Q521)),ISNUMBER(SEARCH("internet shutdown",Q521))),5,MIN(4,1+IF(H521&gt;=7,1,0)+IF(OR(ISNUMBER(SEARCH("hunger strike",Q521)),ISNUMBER(SEARCH("blockade",Q521)),ISNUMBER(SEARCH("strike",Q521)),ISNUMBER(SEARCH("jal satyagraha",Q521)),ISNUMBER(SEARCH("survey",Q521)),ISNUMBER(SEARCH("human chain",Q521)),ISNUMBER(SEARCH("march",Q521))),1,0)+IF(OR(ISNUMBER(SEARCH("fir",Q521)),ISNUMBER(SEARCH("confrontation",Q521)),ISNUMBER(SEARCH("violence",Q521)),ISNUMBER(SEARCH("detention",Q521)),ISNUMBER(SEARCH("arrest",Q521)),ISNUMBER(SEARCH("demolition",Q521)),ISNUMBER(SEARCH("injury",Q521))),1,0)+IF(OR(D521="Ongoing",D521="Unresolved"),1,0))))</x:f>
      </x:c>
      <x:c r="K521" s="16" t="str">
        <x:f>IF(J521="","",IF(J521=1,"Limited",IF(J521=2,"Local",IF(J521=3,"Significant",IF(J521=4,"High","Critical")))))</x:f>
      </x:c>
      <x:c r="L521" s="16" t="str">
        <x:f>IF(A521="","",Events!U520)</x:f>
      </x:c>
      <x:c r="M521" s="16" t="str">
        <x:f>IF(A521="","",Events!V520)</x:f>
      </x:c>
      <x:c r="N521" s="16" t="str">
        <x:f>IF(A521="","",Events!Q520)</x:f>
      </x:c>
      <x:c r="O521" s="16" t="str">
        <x:f>IF(A521="","",Events!R520)</x:f>
      </x:c>
      <x:c r="P521" s="16" t="str">
        <x:f>IF(A521="","",LOWER(Events!B520&amp;" "&amp;Events!D520&amp;" "&amp;Events!K520))</x:f>
      </x:c>
      <x:c r="Q521" s="16" t="str">
        <x:f>IF(A521="","",LOWER(Events!C520&amp;" "&amp;Events!K520&amp;" "&amp;Events!T520))</x:f>
      </x:c>
      <x:c r="R521" s="16" t="str">
        <x:f>IF(A521="","",IF(ISNUMBER(SEARCH("Occurrence verified",E521)),"Occurrence verified",E521))</x:f>
      </x:c>
      <x:c r="S521" s="79" t="str">
        <x:f>IF(A521="","",Events!X520)</x:f>
      </x:c>
      <x:c r="Z521" s="79" t="str">
        <x:f>IF(A521="","",Events!AD520)</x:f>
      </x:c>
      <x:c r="AA521" s="79" t="str">
        <x:f>IF(A521="","",Events!AE520)</x:f>
      </x:c>
    </x:row>
    <x:row r="522">
      <x:c r="A522" s="16" t="str">
        <x:f>IF(Events!A521="","",Events!A521)</x:f>
      </x:c>
      <x:c r="B522" s="16" t="str">
        <x:f>IF(A522="","",Events!B521)</x:f>
      </x:c>
      <x:c r="C522" s="16" t="str">
        <x:f>IF(A522="","",Events!E521)</x:f>
      </x:c>
      <x:c r="D522" s="16" t="str">
        <x:f>IF(A522="","",Events!J521)</x:f>
      </x:c>
      <x:c r="E522" s="16" t="str">
        <x:f>IF(A522="","",Events!N521)</x:f>
      </x:c>
      <x:c r="F522" s="109" t="str">
        <x:f>IF(OR(A522="",Events!H521=""),"",Events!H521)</x:f>
      </x:c>
      <x:c r="G522" s="109" t="str">
        <x:f>IF(A522="","",IF(Events!I521&lt;&gt;"",Events!I521,IF(Events!S521&lt;&gt;"",Events!S521,"")))</x:f>
      </x:c>
      <x:c r="H522" s="16" t="str">
        <x:f>IF(A522="","",Events!W521)</x:f>
      </x:c>
      <x:c r="I522" s="16" t="str">
        <x:f>IF(A522="","",IF(Events!Y521&lt;&gt;"",Events!Y521,IF(OR(ISNUMBER(SEARCH("education",P522)),ISNUMBER(SEARCH("exam",P522)),ISNUMBER(SEARCH("school",P522))),"Education",IF(OR(ISNUMBER(SEARCH("trade agreement",P522)),ISNUMBER(SEARCH("economic",P522)),ISNUMBER(SEARCH("import",P522))),"Trade &amp; economic policy",IF(OR(ISNUMBER(SEARCH("land acquisition",P522)),ISNUMBER(SEARCH("rehabilitation",P522)),ISNUMBER(SEARCH("displacement",P522)),ISNUMBER(SEARCH("township",P522))),"Land &amp; rehabilitation",IF(OR(ISNUMBER(SEARCH("forest",P522)),ISNUMBER(SEARCH("environment",P522)),ISNUMBER(SEARCH("ecological",P522)),ISNUMBER(SEARCH("biodiversity",P522)),ISNUMBER(SEARCH("green cover",P522))),"Environment",IF(OR(ISNUMBER(SEARCH("irrigation",P522)),ISNUMBER(SEARCH("water",P522)),ISNUMBER(SEARCH("crop",P522)),ISNUMBER(SEARCH("farmer",P522)),ISNUMBER(SEARCH("agriculture",P522))),"Agriculture &amp; water",IF(OR(ISNUMBER(SEARCH("health",P522)),ISNUMBER(SEARCH("hospital",P522)),ISNUMBER(SEARCH("medicine",P522))),"Public health",IF(OR(ISNUMBER(SEARCH("employee",P522)),ISNUMBER(SEARCH("labour",P522)),ISNUMBER(SEARCH("worker",P522)),ISNUMBER(SEARCH("salary",P522))),"Labour &amp; employment",IF(OR(ISNUMBER(SEARCH("rti",P522)),ISNUMBER(SEARCH("transparency",P522)),ISNUMBER(SEARCH("corruption",P522)),ISNUMBER(SEARCH("governance",P522))),"Governance &amp; transparency",IF(OR(ISNUMBER(SEARCH("police",P522)),ISNUMBER(SEARCH("detention",P522)),ISNUMBER(SEARCH("civil rights",P522)),ISNUMBER(SEARCH("justice",P522))),"Civil rights &amp; justice",IF(OR(ISNUMBER(SEARCH("road",P522)),ISNUMBER(SEARCH("utility",P522)),ISNUMBER(SEARCH("infrastructure",P522)),ISNUMBER(SEARCH("public service",P522))),"Infrastructure &amp; public services","Other"))))))))))))</x:f>
      </x:c>
      <x:c r="J522" s="16" t="str">
        <x:f>IF(A522="","",IF(OR(ISNUMBER(SEARCH("fatal",Q522)),ISNUMBER(SEARCH("death",Q522)),ISNUMBER(SEARCH("riot",Q522)),ISNUMBER(SEARCH("curfew",Q522)),ISNUMBER(SEARCH("internet shutdown",Q522))),5,MIN(4,1+IF(H522&gt;=7,1,0)+IF(OR(ISNUMBER(SEARCH("hunger strike",Q522)),ISNUMBER(SEARCH("blockade",Q522)),ISNUMBER(SEARCH("strike",Q522)),ISNUMBER(SEARCH("jal satyagraha",Q522)),ISNUMBER(SEARCH("survey",Q522)),ISNUMBER(SEARCH("human chain",Q522)),ISNUMBER(SEARCH("march",Q522))),1,0)+IF(OR(ISNUMBER(SEARCH("fir",Q522)),ISNUMBER(SEARCH("confrontation",Q522)),ISNUMBER(SEARCH("violence",Q522)),ISNUMBER(SEARCH("detention",Q522)),ISNUMBER(SEARCH("arrest",Q522)),ISNUMBER(SEARCH("demolition",Q522)),ISNUMBER(SEARCH("injury",Q522))),1,0)+IF(OR(D522="Ongoing",D522="Unresolved"),1,0))))</x:f>
      </x:c>
      <x:c r="K522" s="16" t="str">
        <x:f>IF(J522="","",IF(J522=1,"Limited",IF(J522=2,"Local",IF(J522=3,"Significant",IF(J522=4,"High","Critical")))))</x:f>
      </x:c>
      <x:c r="L522" s="16" t="str">
        <x:f>IF(A522="","",Events!U521)</x:f>
      </x:c>
      <x:c r="M522" s="16" t="str">
        <x:f>IF(A522="","",Events!V521)</x:f>
      </x:c>
      <x:c r="N522" s="16" t="str">
        <x:f>IF(A522="","",Events!Q521)</x:f>
      </x:c>
      <x:c r="O522" s="16" t="str">
        <x:f>IF(A522="","",Events!R521)</x:f>
      </x:c>
      <x:c r="P522" s="16" t="str">
        <x:f>IF(A522="","",LOWER(Events!B521&amp;" "&amp;Events!D521&amp;" "&amp;Events!K521))</x:f>
      </x:c>
      <x:c r="Q522" s="16" t="str">
        <x:f>IF(A522="","",LOWER(Events!C521&amp;" "&amp;Events!K521&amp;" "&amp;Events!T521))</x:f>
      </x:c>
      <x:c r="R522" s="16" t="str">
        <x:f>IF(A522="","",IF(ISNUMBER(SEARCH("Occurrence verified",E522)),"Occurrence verified",E522))</x:f>
      </x:c>
      <x:c r="S522" s="79" t="str">
        <x:f>IF(A522="","",Events!X521)</x:f>
      </x:c>
      <x:c r="Z522" s="79" t="str">
        <x:f>IF(A522="","",Events!AD521)</x:f>
      </x:c>
      <x:c r="AA522" s="79" t="str">
        <x:f>IF(A522="","",Events!AE521)</x:f>
      </x:c>
    </x:row>
    <x:row r="523">
      <x:c r="A523" s="16" t="str">
        <x:f>IF(Events!A522="","",Events!A522)</x:f>
      </x:c>
      <x:c r="B523" s="16" t="str">
        <x:f>IF(A523="","",Events!B522)</x:f>
      </x:c>
      <x:c r="C523" s="16" t="str">
        <x:f>IF(A523="","",Events!E522)</x:f>
      </x:c>
      <x:c r="D523" s="16" t="str">
        <x:f>IF(A523="","",Events!J522)</x:f>
      </x:c>
      <x:c r="E523" s="16" t="str">
        <x:f>IF(A523="","",Events!N522)</x:f>
      </x:c>
      <x:c r="F523" s="109" t="str">
        <x:f>IF(OR(A523="",Events!H522=""),"",Events!H522)</x:f>
      </x:c>
      <x:c r="G523" s="109" t="str">
        <x:f>IF(A523="","",IF(Events!I522&lt;&gt;"",Events!I522,IF(Events!S522&lt;&gt;"",Events!S522,"")))</x:f>
      </x:c>
      <x:c r="H523" s="16" t="str">
        <x:f>IF(A523="","",Events!W522)</x:f>
      </x:c>
      <x:c r="I523" s="16" t="str">
        <x:f>IF(A523="","",IF(Events!Y522&lt;&gt;"",Events!Y522,IF(OR(ISNUMBER(SEARCH("education",P523)),ISNUMBER(SEARCH("exam",P523)),ISNUMBER(SEARCH("school",P523))),"Education",IF(OR(ISNUMBER(SEARCH("trade agreement",P523)),ISNUMBER(SEARCH("economic",P523)),ISNUMBER(SEARCH("import",P523))),"Trade &amp; economic policy",IF(OR(ISNUMBER(SEARCH("land acquisition",P523)),ISNUMBER(SEARCH("rehabilitation",P523)),ISNUMBER(SEARCH("displacement",P523)),ISNUMBER(SEARCH("township",P523))),"Land &amp; rehabilitation",IF(OR(ISNUMBER(SEARCH("forest",P523)),ISNUMBER(SEARCH("environment",P523)),ISNUMBER(SEARCH("ecological",P523)),ISNUMBER(SEARCH("biodiversity",P523)),ISNUMBER(SEARCH("green cover",P523))),"Environment",IF(OR(ISNUMBER(SEARCH("irrigation",P523)),ISNUMBER(SEARCH("water",P523)),ISNUMBER(SEARCH("crop",P523)),ISNUMBER(SEARCH("farmer",P523)),ISNUMBER(SEARCH("agriculture",P523))),"Agriculture &amp; water",IF(OR(ISNUMBER(SEARCH("health",P523)),ISNUMBER(SEARCH("hospital",P523)),ISNUMBER(SEARCH("medicine",P523))),"Public health",IF(OR(ISNUMBER(SEARCH("employee",P523)),ISNUMBER(SEARCH("labour",P523)),ISNUMBER(SEARCH("worker",P523)),ISNUMBER(SEARCH("salary",P523))),"Labour &amp; employment",IF(OR(ISNUMBER(SEARCH("rti",P523)),ISNUMBER(SEARCH("transparency",P523)),ISNUMBER(SEARCH("corruption",P523)),ISNUMBER(SEARCH("governance",P523))),"Governance &amp; transparency",IF(OR(ISNUMBER(SEARCH("police",P523)),ISNUMBER(SEARCH("detention",P523)),ISNUMBER(SEARCH("civil rights",P523)),ISNUMBER(SEARCH("justice",P523))),"Civil rights &amp; justice",IF(OR(ISNUMBER(SEARCH("road",P523)),ISNUMBER(SEARCH("utility",P523)),ISNUMBER(SEARCH("infrastructure",P523)),ISNUMBER(SEARCH("public service",P523))),"Infrastructure &amp; public services","Other"))))))))))))</x:f>
      </x:c>
      <x:c r="J523" s="16" t="str">
        <x:f>IF(A523="","",IF(OR(ISNUMBER(SEARCH("fatal",Q523)),ISNUMBER(SEARCH("death",Q523)),ISNUMBER(SEARCH("riot",Q523)),ISNUMBER(SEARCH("curfew",Q523)),ISNUMBER(SEARCH("internet shutdown",Q523))),5,MIN(4,1+IF(H523&gt;=7,1,0)+IF(OR(ISNUMBER(SEARCH("hunger strike",Q523)),ISNUMBER(SEARCH("blockade",Q523)),ISNUMBER(SEARCH("strike",Q523)),ISNUMBER(SEARCH("jal satyagraha",Q523)),ISNUMBER(SEARCH("survey",Q523)),ISNUMBER(SEARCH("human chain",Q523)),ISNUMBER(SEARCH("march",Q523))),1,0)+IF(OR(ISNUMBER(SEARCH("fir",Q523)),ISNUMBER(SEARCH("confrontation",Q523)),ISNUMBER(SEARCH("violence",Q523)),ISNUMBER(SEARCH("detention",Q523)),ISNUMBER(SEARCH("arrest",Q523)),ISNUMBER(SEARCH("demolition",Q523)),ISNUMBER(SEARCH("injury",Q523))),1,0)+IF(OR(D523="Ongoing",D523="Unresolved"),1,0))))</x:f>
      </x:c>
      <x:c r="K523" s="16" t="str">
        <x:f>IF(J523="","",IF(J523=1,"Limited",IF(J523=2,"Local",IF(J523=3,"Significant",IF(J523=4,"High","Critical")))))</x:f>
      </x:c>
      <x:c r="L523" s="16" t="str">
        <x:f>IF(A523="","",Events!U522)</x:f>
      </x:c>
      <x:c r="M523" s="16" t="str">
        <x:f>IF(A523="","",Events!V522)</x:f>
      </x:c>
      <x:c r="N523" s="16" t="str">
        <x:f>IF(A523="","",Events!Q522)</x:f>
      </x:c>
      <x:c r="O523" s="16" t="str">
        <x:f>IF(A523="","",Events!R522)</x:f>
      </x:c>
      <x:c r="P523" s="16" t="str">
        <x:f>IF(A523="","",LOWER(Events!B522&amp;" "&amp;Events!D522&amp;" "&amp;Events!K522))</x:f>
      </x:c>
      <x:c r="Q523" s="16" t="str">
        <x:f>IF(A523="","",LOWER(Events!C522&amp;" "&amp;Events!K522&amp;" "&amp;Events!T522))</x:f>
      </x:c>
      <x:c r="R523" s="16" t="str">
        <x:f>IF(A523="","",IF(ISNUMBER(SEARCH("Occurrence verified",E523)),"Occurrence verified",E523))</x:f>
      </x:c>
      <x:c r="S523" s="79" t="str">
        <x:f>IF(A523="","",Events!X522)</x:f>
      </x:c>
      <x:c r="Z523" s="79" t="str">
        <x:f>IF(A523="","",Events!AD522)</x:f>
      </x:c>
      <x:c r="AA523" s="79" t="str">
        <x:f>IF(A523="","",Events!AE522)</x:f>
      </x:c>
    </x:row>
    <x:row r="524">
      <x:c r="A524" s="16" t="str">
        <x:f>IF(Events!A523="","",Events!A523)</x:f>
      </x:c>
      <x:c r="B524" s="16" t="str">
        <x:f>IF(A524="","",Events!B523)</x:f>
      </x:c>
      <x:c r="C524" s="16" t="str">
        <x:f>IF(A524="","",Events!E523)</x:f>
      </x:c>
      <x:c r="D524" s="16" t="str">
        <x:f>IF(A524="","",Events!J523)</x:f>
      </x:c>
      <x:c r="E524" s="16" t="str">
        <x:f>IF(A524="","",Events!N523)</x:f>
      </x:c>
      <x:c r="F524" s="109" t="str">
        <x:f>IF(OR(A524="",Events!H523=""),"",Events!H523)</x:f>
      </x:c>
      <x:c r="G524" s="109" t="str">
        <x:f>IF(A524="","",IF(Events!I523&lt;&gt;"",Events!I523,IF(Events!S523&lt;&gt;"",Events!S523,"")))</x:f>
      </x:c>
      <x:c r="H524" s="16" t="str">
        <x:f>IF(A524="","",Events!W523)</x:f>
      </x:c>
      <x:c r="I524" s="16" t="str">
        <x:f>IF(A524="","",IF(Events!Y523&lt;&gt;"",Events!Y523,IF(OR(ISNUMBER(SEARCH("education",P524)),ISNUMBER(SEARCH("exam",P524)),ISNUMBER(SEARCH("school",P524))),"Education",IF(OR(ISNUMBER(SEARCH("trade agreement",P524)),ISNUMBER(SEARCH("economic",P524)),ISNUMBER(SEARCH("import",P524))),"Trade &amp; economic policy",IF(OR(ISNUMBER(SEARCH("land acquisition",P524)),ISNUMBER(SEARCH("rehabilitation",P524)),ISNUMBER(SEARCH("displacement",P524)),ISNUMBER(SEARCH("township",P524))),"Land &amp; rehabilitation",IF(OR(ISNUMBER(SEARCH("forest",P524)),ISNUMBER(SEARCH("environment",P524)),ISNUMBER(SEARCH("ecological",P524)),ISNUMBER(SEARCH("biodiversity",P524)),ISNUMBER(SEARCH("green cover",P524))),"Environment",IF(OR(ISNUMBER(SEARCH("irrigation",P524)),ISNUMBER(SEARCH("water",P524)),ISNUMBER(SEARCH("crop",P524)),ISNUMBER(SEARCH("farmer",P524)),ISNUMBER(SEARCH("agriculture",P524))),"Agriculture &amp; water",IF(OR(ISNUMBER(SEARCH("health",P524)),ISNUMBER(SEARCH("hospital",P524)),ISNUMBER(SEARCH("medicine",P524))),"Public health",IF(OR(ISNUMBER(SEARCH("employee",P524)),ISNUMBER(SEARCH("labour",P524)),ISNUMBER(SEARCH("worker",P524)),ISNUMBER(SEARCH("salary",P524))),"Labour &amp; employment",IF(OR(ISNUMBER(SEARCH("rti",P524)),ISNUMBER(SEARCH("transparency",P524)),ISNUMBER(SEARCH("corruption",P524)),ISNUMBER(SEARCH("governance",P524))),"Governance &amp; transparency",IF(OR(ISNUMBER(SEARCH("police",P524)),ISNUMBER(SEARCH("detention",P524)),ISNUMBER(SEARCH("civil rights",P524)),ISNUMBER(SEARCH("justice",P524))),"Civil rights &amp; justice",IF(OR(ISNUMBER(SEARCH("road",P524)),ISNUMBER(SEARCH("utility",P524)),ISNUMBER(SEARCH("infrastructure",P524)),ISNUMBER(SEARCH("public service",P524))),"Infrastructure &amp; public services","Other"))))))))))))</x:f>
      </x:c>
      <x:c r="J524" s="16" t="str">
        <x:f>IF(A524="","",IF(OR(ISNUMBER(SEARCH("fatal",Q524)),ISNUMBER(SEARCH("death",Q524)),ISNUMBER(SEARCH("riot",Q524)),ISNUMBER(SEARCH("curfew",Q524)),ISNUMBER(SEARCH("internet shutdown",Q524))),5,MIN(4,1+IF(H524&gt;=7,1,0)+IF(OR(ISNUMBER(SEARCH("hunger strike",Q524)),ISNUMBER(SEARCH("blockade",Q524)),ISNUMBER(SEARCH("strike",Q524)),ISNUMBER(SEARCH("jal satyagraha",Q524)),ISNUMBER(SEARCH("survey",Q524)),ISNUMBER(SEARCH("human chain",Q524)),ISNUMBER(SEARCH("march",Q524))),1,0)+IF(OR(ISNUMBER(SEARCH("fir",Q524)),ISNUMBER(SEARCH("confrontation",Q524)),ISNUMBER(SEARCH("violence",Q524)),ISNUMBER(SEARCH("detention",Q524)),ISNUMBER(SEARCH("arrest",Q524)),ISNUMBER(SEARCH("demolition",Q524)),ISNUMBER(SEARCH("injury",Q524))),1,0)+IF(OR(D524="Ongoing",D524="Unresolved"),1,0))))</x:f>
      </x:c>
      <x:c r="K524" s="16" t="str">
        <x:f>IF(J524="","",IF(J524=1,"Limited",IF(J524=2,"Local",IF(J524=3,"Significant",IF(J524=4,"High","Critical")))))</x:f>
      </x:c>
      <x:c r="L524" s="16" t="str">
        <x:f>IF(A524="","",Events!U523)</x:f>
      </x:c>
      <x:c r="M524" s="16" t="str">
        <x:f>IF(A524="","",Events!V523)</x:f>
      </x:c>
      <x:c r="N524" s="16" t="str">
        <x:f>IF(A524="","",Events!Q523)</x:f>
      </x:c>
      <x:c r="O524" s="16" t="str">
        <x:f>IF(A524="","",Events!R523)</x:f>
      </x:c>
      <x:c r="P524" s="16" t="str">
        <x:f>IF(A524="","",LOWER(Events!B523&amp;" "&amp;Events!D523&amp;" "&amp;Events!K523))</x:f>
      </x:c>
      <x:c r="Q524" s="16" t="str">
        <x:f>IF(A524="","",LOWER(Events!C523&amp;" "&amp;Events!K523&amp;" "&amp;Events!T523))</x:f>
      </x:c>
      <x:c r="R524" s="16" t="str">
        <x:f>IF(A524="","",IF(ISNUMBER(SEARCH("Occurrence verified",E524)),"Occurrence verified",E524))</x:f>
      </x:c>
      <x:c r="S524" s="79" t="str">
        <x:f>IF(A524="","",Events!X523)</x:f>
      </x:c>
      <x:c r="Z524" s="79" t="str">
        <x:f>IF(A524="","",Events!AD523)</x:f>
      </x:c>
      <x:c r="AA524" s="79" t="str">
        <x:f>IF(A524="","",Events!AE523)</x:f>
      </x:c>
    </x:row>
    <x:row r="525">
      <x:c r="A525" s="16" t="str">
        <x:f>IF(Events!A524="","",Events!A524)</x:f>
      </x:c>
      <x:c r="B525" s="16" t="str">
        <x:f>IF(A525="","",Events!B524)</x:f>
      </x:c>
      <x:c r="C525" s="16" t="str">
        <x:f>IF(A525="","",Events!E524)</x:f>
      </x:c>
      <x:c r="D525" s="16" t="str">
        <x:f>IF(A525="","",Events!J524)</x:f>
      </x:c>
      <x:c r="E525" s="16" t="str">
        <x:f>IF(A525="","",Events!N524)</x:f>
      </x:c>
      <x:c r="F525" s="109" t="str">
        <x:f>IF(OR(A525="",Events!H524=""),"",Events!H524)</x:f>
      </x:c>
      <x:c r="G525" s="109" t="str">
        <x:f>IF(A525="","",IF(Events!I524&lt;&gt;"",Events!I524,IF(Events!S524&lt;&gt;"",Events!S524,"")))</x:f>
      </x:c>
      <x:c r="H525" s="16" t="str">
        <x:f>IF(A525="","",Events!W524)</x:f>
      </x:c>
      <x:c r="I525" s="16" t="str">
        <x:f>IF(A525="","",IF(Events!Y524&lt;&gt;"",Events!Y524,IF(OR(ISNUMBER(SEARCH("education",P525)),ISNUMBER(SEARCH("exam",P525)),ISNUMBER(SEARCH("school",P525))),"Education",IF(OR(ISNUMBER(SEARCH("trade agreement",P525)),ISNUMBER(SEARCH("economic",P525)),ISNUMBER(SEARCH("import",P525))),"Trade &amp; economic policy",IF(OR(ISNUMBER(SEARCH("land acquisition",P525)),ISNUMBER(SEARCH("rehabilitation",P525)),ISNUMBER(SEARCH("displacement",P525)),ISNUMBER(SEARCH("township",P525))),"Land &amp; rehabilitation",IF(OR(ISNUMBER(SEARCH("forest",P525)),ISNUMBER(SEARCH("environment",P525)),ISNUMBER(SEARCH("ecological",P525)),ISNUMBER(SEARCH("biodiversity",P525)),ISNUMBER(SEARCH("green cover",P525))),"Environment",IF(OR(ISNUMBER(SEARCH("irrigation",P525)),ISNUMBER(SEARCH("water",P525)),ISNUMBER(SEARCH("crop",P525)),ISNUMBER(SEARCH("farmer",P525)),ISNUMBER(SEARCH("agriculture",P525))),"Agriculture &amp; water",IF(OR(ISNUMBER(SEARCH("health",P525)),ISNUMBER(SEARCH("hospital",P525)),ISNUMBER(SEARCH("medicine",P525))),"Public health",IF(OR(ISNUMBER(SEARCH("employee",P525)),ISNUMBER(SEARCH("labour",P525)),ISNUMBER(SEARCH("worker",P525)),ISNUMBER(SEARCH("salary",P525))),"Labour &amp; employment",IF(OR(ISNUMBER(SEARCH("rti",P525)),ISNUMBER(SEARCH("transparency",P525)),ISNUMBER(SEARCH("corruption",P525)),ISNUMBER(SEARCH("governance",P525))),"Governance &amp; transparency",IF(OR(ISNUMBER(SEARCH("police",P525)),ISNUMBER(SEARCH("detention",P525)),ISNUMBER(SEARCH("civil rights",P525)),ISNUMBER(SEARCH("justice",P525))),"Civil rights &amp; justice",IF(OR(ISNUMBER(SEARCH("road",P525)),ISNUMBER(SEARCH("utility",P525)),ISNUMBER(SEARCH("infrastructure",P525)),ISNUMBER(SEARCH("public service",P525))),"Infrastructure &amp; public services","Other"))))))))))))</x:f>
      </x:c>
      <x:c r="J525" s="16" t="str">
        <x:f>IF(A525="","",IF(OR(ISNUMBER(SEARCH("fatal",Q525)),ISNUMBER(SEARCH("death",Q525)),ISNUMBER(SEARCH("riot",Q525)),ISNUMBER(SEARCH("curfew",Q525)),ISNUMBER(SEARCH("internet shutdown",Q525))),5,MIN(4,1+IF(H525&gt;=7,1,0)+IF(OR(ISNUMBER(SEARCH("hunger strike",Q525)),ISNUMBER(SEARCH("blockade",Q525)),ISNUMBER(SEARCH("strike",Q525)),ISNUMBER(SEARCH("jal satyagraha",Q525)),ISNUMBER(SEARCH("survey",Q525)),ISNUMBER(SEARCH("human chain",Q525)),ISNUMBER(SEARCH("march",Q525))),1,0)+IF(OR(ISNUMBER(SEARCH("fir",Q525)),ISNUMBER(SEARCH("confrontation",Q525)),ISNUMBER(SEARCH("violence",Q525)),ISNUMBER(SEARCH("detention",Q525)),ISNUMBER(SEARCH("arrest",Q525)),ISNUMBER(SEARCH("demolition",Q525)),ISNUMBER(SEARCH("injury",Q525))),1,0)+IF(OR(D525="Ongoing",D525="Unresolved"),1,0))))</x:f>
      </x:c>
      <x:c r="K525" s="16" t="str">
        <x:f>IF(J525="","",IF(J525=1,"Limited",IF(J525=2,"Local",IF(J525=3,"Significant",IF(J525=4,"High","Critical")))))</x:f>
      </x:c>
      <x:c r="L525" s="16" t="str">
        <x:f>IF(A525="","",Events!U524)</x:f>
      </x:c>
      <x:c r="M525" s="16" t="str">
        <x:f>IF(A525="","",Events!V524)</x:f>
      </x:c>
      <x:c r="N525" s="16" t="str">
        <x:f>IF(A525="","",Events!Q524)</x:f>
      </x:c>
      <x:c r="O525" s="16" t="str">
        <x:f>IF(A525="","",Events!R524)</x:f>
      </x:c>
      <x:c r="P525" s="16" t="str">
        <x:f>IF(A525="","",LOWER(Events!B524&amp;" "&amp;Events!D524&amp;" "&amp;Events!K524))</x:f>
      </x:c>
      <x:c r="Q525" s="16" t="str">
        <x:f>IF(A525="","",LOWER(Events!C524&amp;" "&amp;Events!K524&amp;" "&amp;Events!T524))</x:f>
      </x:c>
      <x:c r="R525" s="16" t="str">
        <x:f>IF(A525="","",IF(ISNUMBER(SEARCH("Occurrence verified",E525)),"Occurrence verified",E525))</x:f>
      </x:c>
      <x:c r="S525" s="79" t="str">
        <x:f>IF(A525="","",Events!X524)</x:f>
      </x:c>
      <x:c r="Z525" s="79" t="str">
        <x:f>IF(A525="","",Events!AD524)</x:f>
      </x:c>
      <x:c r="AA525" s="79" t="str">
        <x:f>IF(A525="","",Events!AE524)</x:f>
      </x:c>
    </x:row>
    <x:row r="526">
      <x:c r="A526" s="16" t="str">
        <x:f>IF(Events!A525="","",Events!A525)</x:f>
      </x:c>
      <x:c r="B526" s="16" t="str">
        <x:f>IF(A526="","",Events!B525)</x:f>
      </x:c>
      <x:c r="C526" s="16" t="str">
        <x:f>IF(A526="","",Events!E525)</x:f>
      </x:c>
      <x:c r="D526" s="16" t="str">
        <x:f>IF(A526="","",Events!J525)</x:f>
      </x:c>
      <x:c r="E526" s="16" t="str">
        <x:f>IF(A526="","",Events!N525)</x:f>
      </x:c>
      <x:c r="F526" s="109" t="str">
        <x:f>IF(OR(A526="",Events!H525=""),"",Events!H525)</x:f>
      </x:c>
      <x:c r="G526" s="109" t="str">
        <x:f>IF(A526="","",IF(Events!I525&lt;&gt;"",Events!I525,IF(Events!S525&lt;&gt;"",Events!S525,"")))</x:f>
      </x:c>
      <x:c r="H526" s="16" t="str">
        <x:f>IF(A526="","",Events!W525)</x:f>
      </x:c>
      <x:c r="I526" s="16" t="str">
        <x:f>IF(A526="","",IF(Events!Y525&lt;&gt;"",Events!Y525,IF(OR(ISNUMBER(SEARCH("education",P526)),ISNUMBER(SEARCH("exam",P526)),ISNUMBER(SEARCH("school",P526))),"Education",IF(OR(ISNUMBER(SEARCH("trade agreement",P526)),ISNUMBER(SEARCH("economic",P526)),ISNUMBER(SEARCH("import",P526))),"Trade &amp; economic policy",IF(OR(ISNUMBER(SEARCH("land acquisition",P526)),ISNUMBER(SEARCH("rehabilitation",P526)),ISNUMBER(SEARCH("displacement",P526)),ISNUMBER(SEARCH("township",P526))),"Land &amp; rehabilitation",IF(OR(ISNUMBER(SEARCH("forest",P526)),ISNUMBER(SEARCH("environment",P526)),ISNUMBER(SEARCH("ecological",P526)),ISNUMBER(SEARCH("biodiversity",P526)),ISNUMBER(SEARCH("green cover",P526))),"Environment",IF(OR(ISNUMBER(SEARCH("irrigation",P526)),ISNUMBER(SEARCH("water",P526)),ISNUMBER(SEARCH("crop",P526)),ISNUMBER(SEARCH("farmer",P526)),ISNUMBER(SEARCH("agriculture",P526))),"Agriculture &amp; water",IF(OR(ISNUMBER(SEARCH("health",P526)),ISNUMBER(SEARCH("hospital",P526)),ISNUMBER(SEARCH("medicine",P526))),"Public health",IF(OR(ISNUMBER(SEARCH("employee",P526)),ISNUMBER(SEARCH("labour",P526)),ISNUMBER(SEARCH("worker",P526)),ISNUMBER(SEARCH("salary",P526))),"Labour &amp; employment",IF(OR(ISNUMBER(SEARCH("rti",P526)),ISNUMBER(SEARCH("transparency",P526)),ISNUMBER(SEARCH("corruption",P526)),ISNUMBER(SEARCH("governance",P526))),"Governance &amp; transparency",IF(OR(ISNUMBER(SEARCH("police",P526)),ISNUMBER(SEARCH("detention",P526)),ISNUMBER(SEARCH("civil rights",P526)),ISNUMBER(SEARCH("justice",P526))),"Civil rights &amp; justice",IF(OR(ISNUMBER(SEARCH("road",P526)),ISNUMBER(SEARCH("utility",P526)),ISNUMBER(SEARCH("infrastructure",P526)),ISNUMBER(SEARCH("public service",P526))),"Infrastructure &amp; public services","Other"))))))))))))</x:f>
      </x:c>
      <x:c r="J526" s="16" t="str">
        <x:f>IF(A526="","",IF(OR(ISNUMBER(SEARCH("fatal",Q526)),ISNUMBER(SEARCH("death",Q526)),ISNUMBER(SEARCH("riot",Q526)),ISNUMBER(SEARCH("curfew",Q526)),ISNUMBER(SEARCH("internet shutdown",Q526))),5,MIN(4,1+IF(H526&gt;=7,1,0)+IF(OR(ISNUMBER(SEARCH("hunger strike",Q526)),ISNUMBER(SEARCH("blockade",Q526)),ISNUMBER(SEARCH("strike",Q526)),ISNUMBER(SEARCH("jal satyagraha",Q526)),ISNUMBER(SEARCH("survey",Q526)),ISNUMBER(SEARCH("human chain",Q526)),ISNUMBER(SEARCH("march",Q526))),1,0)+IF(OR(ISNUMBER(SEARCH("fir",Q526)),ISNUMBER(SEARCH("confrontation",Q526)),ISNUMBER(SEARCH("violence",Q526)),ISNUMBER(SEARCH("detention",Q526)),ISNUMBER(SEARCH("arrest",Q526)),ISNUMBER(SEARCH("demolition",Q526)),ISNUMBER(SEARCH("injury",Q526))),1,0)+IF(OR(D526="Ongoing",D526="Unresolved"),1,0))))</x:f>
      </x:c>
      <x:c r="K526" s="16" t="str">
        <x:f>IF(J526="","",IF(J526=1,"Limited",IF(J526=2,"Local",IF(J526=3,"Significant",IF(J526=4,"High","Critical")))))</x:f>
      </x:c>
      <x:c r="L526" s="16" t="str">
        <x:f>IF(A526="","",Events!U525)</x:f>
      </x:c>
      <x:c r="M526" s="16" t="str">
        <x:f>IF(A526="","",Events!V525)</x:f>
      </x:c>
      <x:c r="N526" s="16" t="str">
        <x:f>IF(A526="","",Events!Q525)</x:f>
      </x:c>
      <x:c r="O526" s="16" t="str">
        <x:f>IF(A526="","",Events!R525)</x:f>
      </x:c>
      <x:c r="P526" s="16" t="str">
        <x:f>IF(A526="","",LOWER(Events!B525&amp;" "&amp;Events!D525&amp;" "&amp;Events!K525))</x:f>
      </x:c>
      <x:c r="Q526" s="16" t="str">
        <x:f>IF(A526="","",LOWER(Events!C525&amp;" "&amp;Events!K525&amp;" "&amp;Events!T525))</x:f>
      </x:c>
      <x:c r="R526" s="16" t="str">
        <x:f>IF(A526="","",IF(ISNUMBER(SEARCH("Occurrence verified",E526)),"Occurrence verified",E526))</x:f>
      </x:c>
      <x:c r="S526" s="79" t="str">
        <x:f>IF(A526="","",Events!X525)</x:f>
      </x:c>
      <x:c r="Z526" s="79" t="str">
        <x:f>IF(A526="","",Events!AD525)</x:f>
      </x:c>
      <x:c r="AA526" s="79" t="str">
        <x:f>IF(A526="","",Events!AE525)</x:f>
      </x:c>
    </x:row>
    <x:row r="527">
      <x:c r="A527" s="16" t="str">
        <x:f>IF(Events!A526="","",Events!A526)</x:f>
      </x:c>
      <x:c r="B527" s="16" t="str">
        <x:f>IF(A527="","",Events!B526)</x:f>
      </x:c>
      <x:c r="C527" s="16" t="str">
        <x:f>IF(A527="","",Events!E526)</x:f>
      </x:c>
      <x:c r="D527" s="16" t="str">
        <x:f>IF(A527="","",Events!J526)</x:f>
      </x:c>
      <x:c r="E527" s="16" t="str">
        <x:f>IF(A527="","",Events!N526)</x:f>
      </x:c>
      <x:c r="F527" s="109" t="str">
        <x:f>IF(OR(A527="",Events!H526=""),"",Events!H526)</x:f>
      </x:c>
      <x:c r="G527" s="109" t="str">
        <x:f>IF(A527="","",IF(Events!I526&lt;&gt;"",Events!I526,IF(Events!S526&lt;&gt;"",Events!S526,"")))</x:f>
      </x:c>
      <x:c r="H527" s="16" t="str">
        <x:f>IF(A527="","",Events!W526)</x:f>
      </x:c>
      <x:c r="I527" s="16" t="str">
        <x:f>IF(A527="","",IF(Events!Y526&lt;&gt;"",Events!Y526,IF(OR(ISNUMBER(SEARCH("education",P527)),ISNUMBER(SEARCH("exam",P527)),ISNUMBER(SEARCH("school",P527))),"Education",IF(OR(ISNUMBER(SEARCH("trade agreement",P527)),ISNUMBER(SEARCH("economic",P527)),ISNUMBER(SEARCH("import",P527))),"Trade &amp; economic policy",IF(OR(ISNUMBER(SEARCH("land acquisition",P527)),ISNUMBER(SEARCH("rehabilitation",P527)),ISNUMBER(SEARCH("displacement",P527)),ISNUMBER(SEARCH("township",P527))),"Land &amp; rehabilitation",IF(OR(ISNUMBER(SEARCH("forest",P527)),ISNUMBER(SEARCH("environment",P527)),ISNUMBER(SEARCH("ecological",P527)),ISNUMBER(SEARCH("biodiversity",P527)),ISNUMBER(SEARCH("green cover",P527))),"Environment",IF(OR(ISNUMBER(SEARCH("irrigation",P527)),ISNUMBER(SEARCH("water",P527)),ISNUMBER(SEARCH("crop",P527)),ISNUMBER(SEARCH("farmer",P527)),ISNUMBER(SEARCH("agriculture",P527))),"Agriculture &amp; water",IF(OR(ISNUMBER(SEARCH("health",P527)),ISNUMBER(SEARCH("hospital",P527)),ISNUMBER(SEARCH("medicine",P527))),"Public health",IF(OR(ISNUMBER(SEARCH("employee",P527)),ISNUMBER(SEARCH("labour",P527)),ISNUMBER(SEARCH("worker",P527)),ISNUMBER(SEARCH("salary",P527))),"Labour &amp; employment",IF(OR(ISNUMBER(SEARCH("rti",P527)),ISNUMBER(SEARCH("transparency",P527)),ISNUMBER(SEARCH("corruption",P527)),ISNUMBER(SEARCH("governance",P527))),"Governance &amp; transparency",IF(OR(ISNUMBER(SEARCH("police",P527)),ISNUMBER(SEARCH("detention",P527)),ISNUMBER(SEARCH("civil rights",P527)),ISNUMBER(SEARCH("justice",P527))),"Civil rights &amp; justice",IF(OR(ISNUMBER(SEARCH("road",P527)),ISNUMBER(SEARCH("utility",P527)),ISNUMBER(SEARCH("infrastructure",P527)),ISNUMBER(SEARCH("public service",P527))),"Infrastructure &amp; public services","Other"))))))))))))</x:f>
      </x:c>
      <x:c r="J527" s="16" t="str">
        <x:f>IF(A527="","",IF(OR(ISNUMBER(SEARCH("fatal",Q527)),ISNUMBER(SEARCH("death",Q527)),ISNUMBER(SEARCH("riot",Q527)),ISNUMBER(SEARCH("curfew",Q527)),ISNUMBER(SEARCH("internet shutdown",Q527))),5,MIN(4,1+IF(H527&gt;=7,1,0)+IF(OR(ISNUMBER(SEARCH("hunger strike",Q527)),ISNUMBER(SEARCH("blockade",Q527)),ISNUMBER(SEARCH("strike",Q527)),ISNUMBER(SEARCH("jal satyagraha",Q527)),ISNUMBER(SEARCH("survey",Q527)),ISNUMBER(SEARCH("human chain",Q527)),ISNUMBER(SEARCH("march",Q527))),1,0)+IF(OR(ISNUMBER(SEARCH("fir",Q527)),ISNUMBER(SEARCH("confrontation",Q527)),ISNUMBER(SEARCH("violence",Q527)),ISNUMBER(SEARCH("detention",Q527)),ISNUMBER(SEARCH("arrest",Q527)),ISNUMBER(SEARCH("demolition",Q527)),ISNUMBER(SEARCH("injury",Q527))),1,0)+IF(OR(D527="Ongoing",D527="Unresolved"),1,0))))</x:f>
      </x:c>
      <x:c r="K527" s="16" t="str">
        <x:f>IF(J527="","",IF(J527=1,"Limited",IF(J527=2,"Local",IF(J527=3,"Significant",IF(J527=4,"High","Critical")))))</x:f>
      </x:c>
      <x:c r="L527" s="16" t="str">
        <x:f>IF(A527="","",Events!U526)</x:f>
      </x:c>
      <x:c r="M527" s="16" t="str">
        <x:f>IF(A527="","",Events!V526)</x:f>
      </x:c>
      <x:c r="N527" s="16" t="str">
        <x:f>IF(A527="","",Events!Q526)</x:f>
      </x:c>
      <x:c r="O527" s="16" t="str">
        <x:f>IF(A527="","",Events!R526)</x:f>
      </x:c>
      <x:c r="P527" s="16" t="str">
        <x:f>IF(A527="","",LOWER(Events!B526&amp;" "&amp;Events!D526&amp;" "&amp;Events!K526))</x:f>
      </x:c>
      <x:c r="Q527" s="16" t="str">
        <x:f>IF(A527="","",LOWER(Events!C526&amp;" "&amp;Events!K526&amp;" "&amp;Events!T526))</x:f>
      </x:c>
      <x:c r="R527" s="16" t="str">
        <x:f>IF(A527="","",IF(ISNUMBER(SEARCH("Occurrence verified",E527)),"Occurrence verified",E527))</x:f>
      </x:c>
      <x:c r="S527" s="79" t="str">
        <x:f>IF(A527="","",Events!X526)</x:f>
      </x:c>
      <x:c r="Z527" s="79" t="str">
        <x:f>IF(A527="","",Events!AD526)</x:f>
      </x:c>
      <x:c r="AA527" s="79" t="str">
        <x:f>IF(A527="","",Events!AE526)</x:f>
      </x:c>
    </x:row>
    <x:row r="528">
      <x:c r="A528" s="16" t="str">
        <x:f>IF(Events!A527="","",Events!A527)</x:f>
      </x:c>
      <x:c r="B528" s="16" t="str">
        <x:f>IF(A528="","",Events!B527)</x:f>
      </x:c>
      <x:c r="C528" s="16" t="str">
        <x:f>IF(A528="","",Events!E527)</x:f>
      </x:c>
      <x:c r="D528" s="16" t="str">
        <x:f>IF(A528="","",Events!J527)</x:f>
      </x:c>
      <x:c r="E528" s="16" t="str">
        <x:f>IF(A528="","",Events!N527)</x:f>
      </x:c>
      <x:c r="F528" s="109" t="str">
        <x:f>IF(OR(A528="",Events!H527=""),"",Events!H527)</x:f>
      </x:c>
      <x:c r="G528" s="109" t="str">
        <x:f>IF(A528="","",IF(Events!I527&lt;&gt;"",Events!I527,IF(Events!S527&lt;&gt;"",Events!S527,"")))</x:f>
      </x:c>
      <x:c r="H528" s="16" t="str">
        <x:f>IF(A528="","",Events!W527)</x:f>
      </x:c>
      <x:c r="I528" s="16" t="str">
        <x:f>IF(A528="","",IF(Events!Y527&lt;&gt;"",Events!Y527,IF(OR(ISNUMBER(SEARCH("education",P528)),ISNUMBER(SEARCH("exam",P528)),ISNUMBER(SEARCH("school",P528))),"Education",IF(OR(ISNUMBER(SEARCH("trade agreement",P528)),ISNUMBER(SEARCH("economic",P528)),ISNUMBER(SEARCH("import",P528))),"Trade &amp; economic policy",IF(OR(ISNUMBER(SEARCH("land acquisition",P528)),ISNUMBER(SEARCH("rehabilitation",P528)),ISNUMBER(SEARCH("displacement",P528)),ISNUMBER(SEARCH("township",P528))),"Land &amp; rehabilitation",IF(OR(ISNUMBER(SEARCH("forest",P528)),ISNUMBER(SEARCH("environment",P528)),ISNUMBER(SEARCH("ecological",P528)),ISNUMBER(SEARCH("biodiversity",P528)),ISNUMBER(SEARCH("green cover",P528))),"Environment",IF(OR(ISNUMBER(SEARCH("irrigation",P528)),ISNUMBER(SEARCH("water",P528)),ISNUMBER(SEARCH("crop",P528)),ISNUMBER(SEARCH("farmer",P528)),ISNUMBER(SEARCH("agriculture",P528))),"Agriculture &amp; water",IF(OR(ISNUMBER(SEARCH("health",P528)),ISNUMBER(SEARCH("hospital",P528)),ISNUMBER(SEARCH("medicine",P528))),"Public health",IF(OR(ISNUMBER(SEARCH("employee",P528)),ISNUMBER(SEARCH("labour",P528)),ISNUMBER(SEARCH("worker",P528)),ISNUMBER(SEARCH("salary",P528))),"Labour &amp; employment",IF(OR(ISNUMBER(SEARCH("rti",P528)),ISNUMBER(SEARCH("transparency",P528)),ISNUMBER(SEARCH("corruption",P528)),ISNUMBER(SEARCH("governance",P528))),"Governance &amp; transparency",IF(OR(ISNUMBER(SEARCH("police",P528)),ISNUMBER(SEARCH("detention",P528)),ISNUMBER(SEARCH("civil rights",P528)),ISNUMBER(SEARCH("justice",P528))),"Civil rights &amp; justice",IF(OR(ISNUMBER(SEARCH("road",P528)),ISNUMBER(SEARCH("utility",P528)),ISNUMBER(SEARCH("infrastructure",P528)),ISNUMBER(SEARCH("public service",P528))),"Infrastructure &amp; public services","Other"))))))))))))</x:f>
      </x:c>
      <x:c r="J528" s="16" t="str">
        <x:f>IF(A528="","",IF(OR(ISNUMBER(SEARCH("fatal",Q528)),ISNUMBER(SEARCH("death",Q528)),ISNUMBER(SEARCH("riot",Q528)),ISNUMBER(SEARCH("curfew",Q528)),ISNUMBER(SEARCH("internet shutdown",Q528))),5,MIN(4,1+IF(H528&gt;=7,1,0)+IF(OR(ISNUMBER(SEARCH("hunger strike",Q528)),ISNUMBER(SEARCH("blockade",Q528)),ISNUMBER(SEARCH("strike",Q528)),ISNUMBER(SEARCH("jal satyagraha",Q528)),ISNUMBER(SEARCH("survey",Q528)),ISNUMBER(SEARCH("human chain",Q528)),ISNUMBER(SEARCH("march",Q528))),1,0)+IF(OR(ISNUMBER(SEARCH("fir",Q528)),ISNUMBER(SEARCH("confrontation",Q528)),ISNUMBER(SEARCH("violence",Q528)),ISNUMBER(SEARCH("detention",Q528)),ISNUMBER(SEARCH("arrest",Q528)),ISNUMBER(SEARCH("demolition",Q528)),ISNUMBER(SEARCH("injury",Q528))),1,0)+IF(OR(D528="Ongoing",D528="Unresolved"),1,0))))</x:f>
      </x:c>
      <x:c r="K528" s="16" t="str">
        <x:f>IF(J528="","",IF(J528=1,"Limited",IF(J528=2,"Local",IF(J528=3,"Significant",IF(J528=4,"High","Critical")))))</x:f>
      </x:c>
      <x:c r="L528" s="16" t="str">
        <x:f>IF(A528="","",Events!U527)</x:f>
      </x:c>
      <x:c r="M528" s="16" t="str">
        <x:f>IF(A528="","",Events!V527)</x:f>
      </x:c>
      <x:c r="N528" s="16" t="str">
        <x:f>IF(A528="","",Events!Q527)</x:f>
      </x:c>
      <x:c r="O528" s="16" t="str">
        <x:f>IF(A528="","",Events!R527)</x:f>
      </x:c>
      <x:c r="P528" s="16" t="str">
        <x:f>IF(A528="","",LOWER(Events!B527&amp;" "&amp;Events!D527&amp;" "&amp;Events!K527))</x:f>
      </x:c>
      <x:c r="Q528" s="16" t="str">
        <x:f>IF(A528="","",LOWER(Events!C527&amp;" "&amp;Events!K527&amp;" "&amp;Events!T527))</x:f>
      </x:c>
      <x:c r="R528" s="16" t="str">
        <x:f>IF(A528="","",IF(ISNUMBER(SEARCH("Occurrence verified",E528)),"Occurrence verified",E528))</x:f>
      </x:c>
      <x:c r="S528" s="79" t="str">
        <x:f>IF(A528="","",Events!X527)</x:f>
      </x:c>
      <x:c r="Z528" s="79" t="str">
        <x:f>IF(A528="","",Events!AD527)</x:f>
      </x:c>
      <x:c r="AA528" s="79" t="str">
        <x:f>IF(A528="","",Events!AE527)</x:f>
      </x:c>
    </x:row>
    <x:row r="529">
      <x:c r="A529" s="16" t="str">
        <x:f>IF(Events!A528="","",Events!A528)</x:f>
      </x:c>
      <x:c r="B529" s="16" t="str">
        <x:f>IF(A529="","",Events!B528)</x:f>
      </x:c>
      <x:c r="C529" s="16" t="str">
        <x:f>IF(A529="","",Events!E528)</x:f>
      </x:c>
      <x:c r="D529" s="16" t="str">
        <x:f>IF(A529="","",Events!J528)</x:f>
      </x:c>
      <x:c r="E529" s="16" t="str">
        <x:f>IF(A529="","",Events!N528)</x:f>
      </x:c>
      <x:c r="F529" s="109" t="str">
        <x:f>IF(OR(A529="",Events!H528=""),"",Events!H528)</x:f>
      </x:c>
      <x:c r="G529" s="109" t="str">
        <x:f>IF(A529="","",IF(Events!I528&lt;&gt;"",Events!I528,IF(Events!S528&lt;&gt;"",Events!S528,"")))</x:f>
      </x:c>
      <x:c r="H529" s="16" t="str">
        <x:f>IF(A529="","",Events!W528)</x:f>
      </x:c>
      <x:c r="I529" s="16" t="str">
        <x:f>IF(A529="","",IF(Events!Y528&lt;&gt;"",Events!Y528,IF(OR(ISNUMBER(SEARCH("education",P529)),ISNUMBER(SEARCH("exam",P529)),ISNUMBER(SEARCH("school",P529))),"Education",IF(OR(ISNUMBER(SEARCH("trade agreement",P529)),ISNUMBER(SEARCH("economic",P529)),ISNUMBER(SEARCH("import",P529))),"Trade &amp; economic policy",IF(OR(ISNUMBER(SEARCH("land acquisition",P529)),ISNUMBER(SEARCH("rehabilitation",P529)),ISNUMBER(SEARCH("displacement",P529)),ISNUMBER(SEARCH("township",P529))),"Land &amp; rehabilitation",IF(OR(ISNUMBER(SEARCH("forest",P529)),ISNUMBER(SEARCH("environment",P529)),ISNUMBER(SEARCH("ecological",P529)),ISNUMBER(SEARCH("biodiversity",P529)),ISNUMBER(SEARCH("green cover",P529))),"Environment",IF(OR(ISNUMBER(SEARCH("irrigation",P529)),ISNUMBER(SEARCH("water",P529)),ISNUMBER(SEARCH("crop",P529)),ISNUMBER(SEARCH("farmer",P529)),ISNUMBER(SEARCH("agriculture",P529))),"Agriculture &amp; water",IF(OR(ISNUMBER(SEARCH("health",P529)),ISNUMBER(SEARCH("hospital",P529)),ISNUMBER(SEARCH("medicine",P529))),"Public health",IF(OR(ISNUMBER(SEARCH("employee",P529)),ISNUMBER(SEARCH("labour",P529)),ISNUMBER(SEARCH("worker",P529)),ISNUMBER(SEARCH("salary",P529))),"Labour &amp; employment",IF(OR(ISNUMBER(SEARCH("rti",P529)),ISNUMBER(SEARCH("transparency",P529)),ISNUMBER(SEARCH("corruption",P529)),ISNUMBER(SEARCH("governance",P529))),"Governance &amp; transparency",IF(OR(ISNUMBER(SEARCH("police",P529)),ISNUMBER(SEARCH("detention",P529)),ISNUMBER(SEARCH("civil rights",P529)),ISNUMBER(SEARCH("justice",P529))),"Civil rights &amp; justice",IF(OR(ISNUMBER(SEARCH("road",P529)),ISNUMBER(SEARCH("utility",P529)),ISNUMBER(SEARCH("infrastructure",P529)),ISNUMBER(SEARCH("public service",P529))),"Infrastructure &amp; public services","Other"))))))))))))</x:f>
      </x:c>
      <x:c r="J529" s="16" t="str">
        <x:f>IF(A529="","",IF(OR(ISNUMBER(SEARCH("fatal",Q529)),ISNUMBER(SEARCH("death",Q529)),ISNUMBER(SEARCH("riot",Q529)),ISNUMBER(SEARCH("curfew",Q529)),ISNUMBER(SEARCH("internet shutdown",Q529))),5,MIN(4,1+IF(H529&gt;=7,1,0)+IF(OR(ISNUMBER(SEARCH("hunger strike",Q529)),ISNUMBER(SEARCH("blockade",Q529)),ISNUMBER(SEARCH("strike",Q529)),ISNUMBER(SEARCH("jal satyagraha",Q529)),ISNUMBER(SEARCH("survey",Q529)),ISNUMBER(SEARCH("human chain",Q529)),ISNUMBER(SEARCH("march",Q529))),1,0)+IF(OR(ISNUMBER(SEARCH("fir",Q529)),ISNUMBER(SEARCH("confrontation",Q529)),ISNUMBER(SEARCH("violence",Q529)),ISNUMBER(SEARCH("detention",Q529)),ISNUMBER(SEARCH("arrest",Q529)),ISNUMBER(SEARCH("demolition",Q529)),ISNUMBER(SEARCH("injury",Q529))),1,0)+IF(OR(D529="Ongoing",D529="Unresolved"),1,0))))</x:f>
      </x:c>
      <x:c r="K529" s="16" t="str">
        <x:f>IF(J529="","",IF(J529=1,"Limited",IF(J529=2,"Local",IF(J529=3,"Significant",IF(J529=4,"High","Critical")))))</x:f>
      </x:c>
      <x:c r="L529" s="16" t="str">
        <x:f>IF(A529="","",Events!U528)</x:f>
      </x:c>
      <x:c r="M529" s="16" t="str">
        <x:f>IF(A529="","",Events!V528)</x:f>
      </x:c>
      <x:c r="N529" s="16" t="str">
        <x:f>IF(A529="","",Events!Q528)</x:f>
      </x:c>
      <x:c r="O529" s="16" t="str">
        <x:f>IF(A529="","",Events!R528)</x:f>
      </x:c>
      <x:c r="P529" s="16" t="str">
        <x:f>IF(A529="","",LOWER(Events!B528&amp;" "&amp;Events!D528&amp;" "&amp;Events!K528))</x:f>
      </x:c>
      <x:c r="Q529" s="16" t="str">
        <x:f>IF(A529="","",LOWER(Events!C528&amp;" "&amp;Events!K528&amp;" "&amp;Events!T528))</x:f>
      </x:c>
      <x:c r="R529" s="16" t="str">
        <x:f>IF(A529="","",IF(ISNUMBER(SEARCH("Occurrence verified",E529)),"Occurrence verified",E529))</x:f>
      </x:c>
      <x:c r="S529" s="79" t="str">
        <x:f>IF(A529="","",Events!X528)</x:f>
      </x:c>
      <x:c r="Z529" s="79" t="str">
        <x:f>IF(A529="","",Events!AD528)</x:f>
      </x:c>
      <x:c r="AA529" s="79" t="str">
        <x:f>IF(A529="","",Events!AE528)</x:f>
      </x:c>
    </x:row>
    <x:row r="530">
      <x:c r="A530" s="16" t="str">
        <x:f>IF(Events!A529="","",Events!A529)</x:f>
      </x:c>
      <x:c r="B530" s="16" t="str">
        <x:f>IF(A530="","",Events!B529)</x:f>
      </x:c>
      <x:c r="C530" s="16" t="str">
        <x:f>IF(A530="","",Events!E529)</x:f>
      </x:c>
      <x:c r="D530" s="16" t="str">
        <x:f>IF(A530="","",Events!J529)</x:f>
      </x:c>
      <x:c r="E530" s="16" t="str">
        <x:f>IF(A530="","",Events!N529)</x:f>
      </x:c>
      <x:c r="F530" s="109" t="str">
        <x:f>IF(OR(A530="",Events!H529=""),"",Events!H529)</x:f>
      </x:c>
      <x:c r="G530" s="109" t="str">
        <x:f>IF(A530="","",IF(Events!I529&lt;&gt;"",Events!I529,IF(Events!S529&lt;&gt;"",Events!S529,"")))</x:f>
      </x:c>
      <x:c r="H530" s="16" t="str">
        <x:f>IF(A530="","",Events!W529)</x:f>
      </x:c>
      <x:c r="I530" s="16" t="str">
        <x:f>IF(A530="","",IF(Events!Y529&lt;&gt;"",Events!Y529,IF(OR(ISNUMBER(SEARCH("education",P530)),ISNUMBER(SEARCH("exam",P530)),ISNUMBER(SEARCH("school",P530))),"Education",IF(OR(ISNUMBER(SEARCH("trade agreement",P530)),ISNUMBER(SEARCH("economic",P530)),ISNUMBER(SEARCH("import",P530))),"Trade &amp; economic policy",IF(OR(ISNUMBER(SEARCH("land acquisition",P530)),ISNUMBER(SEARCH("rehabilitation",P530)),ISNUMBER(SEARCH("displacement",P530)),ISNUMBER(SEARCH("township",P530))),"Land &amp; rehabilitation",IF(OR(ISNUMBER(SEARCH("forest",P530)),ISNUMBER(SEARCH("environment",P530)),ISNUMBER(SEARCH("ecological",P530)),ISNUMBER(SEARCH("biodiversity",P530)),ISNUMBER(SEARCH("green cover",P530))),"Environment",IF(OR(ISNUMBER(SEARCH("irrigation",P530)),ISNUMBER(SEARCH("water",P530)),ISNUMBER(SEARCH("crop",P530)),ISNUMBER(SEARCH("farmer",P530)),ISNUMBER(SEARCH("agriculture",P530))),"Agriculture &amp; water",IF(OR(ISNUMBER(SEARCH("health",P530)),ISNUMBER(SEARCH("hospital",P530)),ISNUMBER(SEARCH("medicine",P530))),"Public health",IF(OR(ISNUMBER(SEARCH("employee",P530)),ISNUMBER(SEARCH("labour",P530)),ISNUMBER(SEARCH("worker",P530)),ISNUMBER(SEARCH("salary",P530))),"Labour &amp; employment",IF(OR(ISNUMBER(SEARCH("rti",P530)),ISNUMBER(SEARCH("transparency",P530)),ISNUMBER(SEARCH("corruption",P530)),ISNUMBER(SEARCH("governance",P530))),"Governance &amp; transparency",IF(OR(ISNUMBER(SEARCH("police",P530)),ISNUMBER(SEARCH("detention",P530)),ISNUMBER(SEARCH("civil rights",P530)),ISNUMBER(SEARCH("justice",P530))),"Civil rights &amp; justice",IF(OR(ISNUMBER(SEARCH("road",P530)),ISNUMBER(SEARCH("utility",P530)),ISNUMBER(SEARCH("infrastructure",P530)),ISNUMBER(SEARCH("public service",P530))),"Infrastructure &amp; public services","Other"))))))))))))</x:f>
      </x:c>
      <x:c r="J530" s="16" t="str">
        <x:f>IF(A530="","",IF(OR(ISNUMBER(SEARCH("fatal",Q530)),ISNUMBER(SEARCH("death",Q530)),ISNUMBER(SEARCH("riot",Q530)),ISNUMBER(SEARCH("curfew",Q530)),ISNUMBER(SEARCH("internet shutdown",Q530))),5,MIN(4,1+IF(H530&gt;=7,1,0)+IF(OR(ISNUMBER(SEARCH("hunger strike",Q530)),ISNUMBER(SEARCH("blockade",Q530)),ISNUMBER(SEARCH("strike",Q530)),ISNUMBER(SEARCH("jal satyagraha",Q530)),ISNUMBER(SEARCH("survey",Q530)),ISNUMBER(SEARCH("human chain",Q530)),ISNUMBER(SEARCH("march",Q530))),1,0)+IF(OR(ISNUMBER(SEARCH("fir",Q530)),ISNUMBER(SEARCH("confrontation",Q530)),ISNUMBER(SEARCH("violence",Q530)),ISNUMBER(SEARCH("detention",Q530)),ISNUMBER(SEARCH("arrest",Q530)),ISNUMBER(SEARCH("demolition",Q530)),ISNUMBER(SEARCH("injury",Q530))),1,0)+IF(OR(D530="Ongoing",D530="Unresolved"),1,0))))</x:f>
      </x:c>
      <x:c r="K530" s="16" t="str">
        <x:f>IF(J530="","",IF(J530=1,"Limited",IF(J530=2,"Local",IF(J530=3,"Significant",IF(J530=4,"High","Critical")))))</x:f>
      </x:c>
      <x:c r="L530" s="16" t="str">
        <x:f>IF(A530="","",Events!U529)</x:f>
      </x:c>
      <x:c r="M530" s="16" t="str">
        <x:f>IF(A530="","",Events!V529)</x:f>
      </x:c>
      <x:c r="N530" s="16" t="str">
        <x:f>IF(A530="","",Events!Q529)</x:f>
      </x:c>
      <x:c r="O530" s="16" t="str">
        <x:f>IF(A530="","",Events!R529)</x:f>
      </x:c>
      <x:c r="P530" s="16" t="str">
        <x:f>IF(A530="","",LOWER(Events!B529&amp;" "&amp;Events!D529&amp;" "&amp;Events!K529))</x:f>
      </x:c>
      <x:c r="Q530" s="16" t="str">
        <x:f>IF(A530="","",LOWER(Events!C529&amp;" "&amp;Events!K529&amp;" "&amp;Events!T529))</x:f>
      </x:c>
      <x:c r="R530" s="16" t="str">
        <x:f>IF(A530="","",IF(ISNUMBER(SEARCH("Occurrence verified",E530)),"Occurrence verified",E530))</x:f>
      </x:c>
      <x:c r="S530" s="79" t="str">
        <x:f>IF(A530="","",Events!X529)</x:f>
      </x:c>
      <x:c r="Z530" s="79" t="str">
        <x:f>IF(A530="","",Events!AD529)</x:f>
      </x:c>
      <x:c r="AA530" s="79" t="str">
        <x:f>IF(A530="","",Events!AE529)</x:f>
      </x:c>
    </x:row>
    <x:row r="531">
      <x:c r="A531" s="16" t="str">
        <x:f>IF(Events!A530="","",Events!A530)</x:f>
      </x:c>
      <x:c r="B531" s="16" t="str">
        <x:f>IF(A531="","",Events!B530)</x:f>
      </x:c>
      <x:c r="C531" s="16" t="str">
        <x:f>IF(A531="","",Events!E530)</x:f>
      </x:c>
      <x:c r="D531" s="16" t="str">
        <x:f>IF(A531="","",Events!J530)</x:f>
      </x:c>
      <x:c r="E531" s="16" t="str">
        <x:f>IF(A531="","",Events!N530)</x:f>
      </x:c>
      <x:c r="F531" s="109" t="str">
        <x:f>IF(OR(A531="",Events!H530=""),"",Events!H530)</x:f>
      </x:c>
      <x:c r="G531" s="109" t="str">
        <x:f>IF(A531="","",IF(Events!I530&lt;&gt;"",Events!I530,IF(Events!S530&lt;&gt;"",Events!S530,"")))</x:f>
      </x:c>
      <x:c r="H531" s="16" t="str">
        <x:f>IF(A531="","",Events!W530)</x:f>
      </x:c>
      <x:c r="I531" s="16" t="str">
        <x:f>IF(A531="","",IF(Events!Y530&lt;&gt;"",Events!Y530,IF(OR(ISNUMBER(SEARCH("education",P531)),ISNUMBER(SEARCH("exam",P531)),ISNUMBER(SEARCH("school",P531))),"Education",IF(OR(ISNUMBER(SEARCH("trade agreement",P531)),ISNUMBER(SEARCH("economic",P531)),ISNUMBER(SEARCH("import",P531))),"Trade &amp; economic policy",IF(OR(ISNUMBER(SEARCH("land acquisition",P531)),ISNUMBER(SEARCH("rehabilitation",P531)),ISNUMBER(SEARCH("displacement",P531)),ISNUMBER(SEARCH("township",P531))),"Land &amp; rehabilitation",IF(OR(ISNUMBER(SEARCH("forest",P531)),ISNUMBER(SEARCH("environment",P531)),ISNUMBER(SEARCH("ecological",P531)),ISNUMBER(SEARCH("biodiversity",P531)),ISNUMBER(SEARCH("green cover",P531))),"Environment",IF(OR(ISNUMBER(SEARCH("irrigation",P531)),ISNUMBER(SEARCH("water",P531)),ISNUMBER(SEARCH("crop",P531)),ISNUMBER(SEARCH("farmer",P531)),ISNUMBER(SEARCH("agriculture",P531))),"Agriculture &amp; water",IF(OR(ISNUMBER(SEARCH("health",P531)),ISNUMBER(SEARCH("hospital",P531)),ISNUMBER(SEARCH("medicine",P531))),"Public health",IF(OR(ISNUMBER(SEARCH("employee",P531)),ISNUMBER(SEARCH("labour",P531)),ISNUMBER(SEARCH("worker",P531)),ISNUMBER(SEARCH("salary",P531))),"Labour &amp; employment",IF(OR(ISNUMBER(SEARCH("rti",P531)),ISNUMBER(SEARCH("transparency",P531)),ISNUMBER(SEARCH("corruption",P531)),ISNUMBER(SEARCH("governance",P531))),"Governance &amp; transparency",IF(OR(ISNUMBER(SEARCH("police",P531)),ISNUMBER(SEARCH("detention",P531)),ISNUMBER(SEARCH("civil rights",P531)),ISNUMBER(SEARCH("justice",P531))),"Civil rights &amp; justice",IF(OR(ISNUMBER(SEARCH("road",P531)),ISNUMBER(SEARCH("utility",P531)),ISNUMBER(SEARCH("infrastructure",P531)),ISNUMBER(SEARCH("public service",P531))),"Infrastructure &amp; public services","Other"))))))))))))</x:f>
      </x:c>
      <x:c r="J531" s="16" t="str">
        <x:f>IF(A531="","",IF(OR(ISNUMBER(SEARCH("fatal",Q531)),ISNUMBER(SEARCH("death",Q531)),ISNUMBER(SEARCH("riot",Q531)),ISNUMBER(SEARCH("curfew",Q531)),ISNUMBER(SEARCH("internet shutdown",Q531))),5,MIN(4,1+IF(H531&gt;=7,1,0)+IF(OR(ISNUMBER(SEARCH("hunger strike",Q531)),ISNUMBER(SEARCH("blockade",Q531)),ISNUMBER(SEARCH("strike",Q531)),ISNUMBER(SEARCH("jal satyagraha",Q531)),ISNUMBER(SEARCH("survey",Q531)),ISNUMBER(SEARCH("human chain",Q531)),ISNUMBER(SEARCH("march",Q531))),1,0)+IF(OR(ISNUMBER(SEARCH("fir",Q531)),ISNUMBER(SEARCH("confrontation",Q531)),ISNUMBER(SEARCH("violence",Q531)),ISNUMBER(SEARCH("detention",Q531)),ISNUMBER(SEARCH("arrest",Q531)),ISNUMBER(SEARCH("demolition",Q531)),ISNUMBER(SEARCH("injury",Q531))),1,0)+IF(OR(D531="Ongoing",D531="Unresolved"),1,0))))</x:f>
      </x:c>
      <x:c r="K531" s="16" t="str">
        <x:f>IF(J531="","",IF(J531=1,"Limited",IF(J531=2,"Local",IF(J531=3,"Significant",IF(J531=4,"High","Critical")))))</x:f>
      </x:c>
      <x:c r="L531" s="16" t="str">
        <x:f>IF(A531="","",Events!U530)</x:f>
      </x:c>
      <x:c r="M531" s="16" t="str">
        <x:f>IF(A531="","",Events!V530)</x:f>
      </x:c>
      <x:c r="N531" s="16" t="str">
        <x:f>IF(A531="","",Events!Q530)</x:f>
      </x:c>
      <x:c r="O531" s="16" t="str">
        <x:f>IF(A531="","",Events!R530)</x:f>
      </x:c>
      <x:c r="P531" s="16" t="str">
        <x:f>IF(A531="","",LOWER(Events!B530&amp;" "&amp;Events!D530&amp;" "&amp;Events!K530))</x:f>
      </x:c>
      <x:c r="Q531" s="16" t="str">
        <x:f>IF(A531="","",LOWER(Events!C530&amp;" "&amp;Events!K530&amp;" "&amp;Events!T530))</x:f>
      </x:c>
      <x:c r="R531" s="16" t="str">
        <x:f>IF(A531="","",IF(ISNUMBER(SEARCH("Occurrence verified",E531)),"Occurrence verified",E531))</x:f>
      </x:c>
      <x:c r="S531" s="79" t="str">
        <x:f>IF(A531="","",Events!X530)</x:f>
      </x:c>
      <x:c r="Z531" s="79" t="str">
        <x:f>IF(A531="","",Events!AD530)</x:f>
      </x:c>
      <x:c r="AA531" s="79" t="str">
        <x:f>IF(A531="","",Events!AE530)</x:f>
      </x:c>
    </x:row>
    <x:row r="532">
      <x:c r="A532" s="16" t="str">
        <x:f>IF(Events!A531="","",Events!A531)</x:f>
      </x:c>
      <x:c r="B532" s="16" t="str">
        <x:f>IF(A532="","",Events!B531)</x:f>
      </x:c>
      <x:c r="C532" s="16" t="str">
        <x:f>IF(A532="","",Events!E531)</x:f>
      </x:c>
      <x:c r="D532" s="16" t="str">
        <x:f>IF(A532="","",Events!J531)</x:f>
      </x:c>
      <x:c r="E532" s="16" t="str">
        <x:f>IF(A532="","",Events!N531)</x:f>
      </x:c>
      <x:c r="F532" s="109" t="str">
        <x:f>IF(OR(A532="",Events!H531=""),"",Events!H531)</x:f>
      </x:c>
      <x:c r="G532" s="109" t="str">
        <x:f>IF(A532="","",IF(Events!I531&lt;&gt;"",Events!I531,IF(Events!S531&lt;&gt;"",Events!S531,"")))</x:f>
      </x:c>
      <x:c r="H532" s="16" t="str">
        <x:f>IF(A532="","",Events!W531)</x:f>
      </x:c>
      <x:c r="I532" s="16" t="str">
        <x:f>IF(A532="","",IF(Events!Y531&lt;&gt;"",Events!Y531,IF(OR(ISNUMBER(SEARCH("education",P532)),ISNUMBER(SEARCH("exam",P532)),ISNUMBER(SEARCH("school",P532))),"Education",IF(OR(ISNUMBER(SEARCH("trade agreement",P532)),ISNUMBER(SEARCH("economic",P532)),ISNUMBER(SEARCH("import",P532))),"Trade &amp; economic policy",IF(OR(ISNUMBER(SEARCH("land acquisition",P532)),ISNUMBER(SEARCH("rehabilitation",P532)),ISNUMBER(SEARCH("displacement",P532)),ISNUMBER(SEARCH("township",P532))),"Land &amp; rehabilitation",IF(OR(ISNUMBER(SEARCH("forest",P532)),ISNUMBER(SEARCH("environment",P532)),ISNUMBER(SEARCH("ecological",P532)),ISNUMBER(SEARCH("biodiversity",P532)),ISNUMBER(SEARCH("green cover",P532))),"Environment",IF(OR(ISNUMBER(SEARCH("irrigation",P532)),ISNUMBER(SEARCH("water",P532)),ISNUMBER(SEARCH("crop",P532)),ISNUMBER(SEARCH("farmer",P532)),ISNUMBER(SEARCH("agriculture",P532))),"Agriculture &amp; water",IF(OR(ISNUMBER(SEARCH("health",P532)),ISNUMBER(SEARCH("hospital",P532)),ISNUMBER(SEARCH("medicine",P532))),"Public health",IF(OR(ISNUMBER(SEARCH("employee",P532)),ISNUMBER(SEARCH("labour",P532)),ISNUMBER(SEARCH("worker",P532)),ISNUMBER(SEARCH("salary",P532))),"Labour &amp; employment",IF(OR(ISNUMBER(SEARCH("rti",P532)),ISNUMBER(SEARCH("transparency",P532)),ISNUMBER(SEARCH("corruption",P532)),ISNUMBER(SEARCH("governance",P532))),"Governance &amp; transparency",IF(OR(ISNUMBER(SEARCH("police",P532)),ISNUMBER(SEARCH("detention",P532)),ISNUMBER(SEARCH("civil rights",P532)),ISNUMBER(SEARCH("justice",P532))),"Civil rights &amp; justice",IF(OR(ISNUMBER(SEARCH("road",P532)),ISNUMBER(SEARCH("utility",P532)),ISNUMBER(SEARCH("infrastructure",P532)),ISNUMBER(SEARCH("public service",P532))),"Infrastructure &amp; public services","Other"))))))))))))</x:f>
      </x:c>
      <x:c r="J532" s="16" t="str">
        <x:f>IF(A532="","",IF(OR(ISNUMBER(SEARCH("fatal",Q532)),ISNUMBER(SEARCH("death",Q532)),ISNUMBER(SEARCH("riot",Q532)),ISNUMBER(SEARCH("curfew",Q532)),ISNUMBER(SEARCH("internet shutdown",Q532))),5,MIN(4,1+IF(H532&gt;=7,1,0)+IF(OR(ISNUMBER(SEARCH("hunger strike",Q532)),ISNUMBER(SEARCH("blockade",Q532)),ISNUMBER(SEARCH("strike",Q532)),ISNUMBER(SEARCH("jal satyagraha",Q532)),ISNUMBER(SEARCH("survey",Q532)),ISNUMBER(SEARCH("human chain",Q532)),ISNUMBER(SEARCH("march",Q532))),1,0)+IF(OR(ISNUMBER(SEARCH("fir",Q532)),ISNUMBER(SEARCH("confrontation",Q532)),ISNUMBER(SEARCH("violence",Q532)),ISNUMBER(SEARCH("detention",Q532)),ISNUMBER(SEARCH("arrest",Q532)),ISNUMBER(SEARCH("demolition",Q532)),ISNUMBER(SEARCH("injury",Q532))),1,0)+IF(OR(D532="Ongoing",D532="Unresolved"),1,0))))</x:f>
      </x:c>
      <x:c r="K532" s="16" t="str">
        <x:f>IF(J532="","",IF(J532=1,"Limited",IF(J532=2,"Local",IF(J532=3,"Significant",IF(J532=4,"High","Critical")))))</x:f>
      </x:c>
      <x:c r="L532" s="16" t="str">
        <x:f>IF(A532="","",Events!U531)</x:f>
      </x:c>
      <x:c r="M532" s="16" t="str">
        <x:f>IF(A532="","",Events!V531)</x:f>
      </x:c>
      <x:c r="N532" s="16" t="str">
        <x:f>IF(A532="","",Events!Q531)</x:f>
      </x:c>
      <x:c r="O532" s="16" t="str">
        <x:f>IF(A532="","",Events!R531)</x:f>
      </x:c>
      <x:c r="P532" s="16" t="str">
        <x:f>IF(A532="","",LOWER(Events!B531&amp;" "&amp;Events!D531&amp;" "&amp;Events!K531))</x:f>
      </x:c>
      <x:c r="Q532" s="16" t="str">
        <x:f>IF(A532="","",LOWER(Events!C531&amp;" "&amp;Events!K531&amp;" "&amp;Events!T531))</x:f>
      </x:c>
      <x:c r="R532" s="16" t="str">
        <x:f>IF(A532="","",IF(ISNUMBER(SEARCH("Occurrence verified",E532)),"Occurrence verified",E532))</x:f>
      </x:c>
      <x:c r="S532" s="79" t="str">
        <x:f>IF(A532="","",Events!X531)</x:f>
      </x:c>
      <x:c r="Z532" s="79" t="str">
        <x:f>IF(A532="","",Events!AD531)</x:f>
      </x:c>
      <x:c r="AA532" s="79" t="str">
        <x:f>IF(A532="","",Events!AE531)</x:f>
      </x:c>
    </x:row>
    <x:row r="533">
      <x:c r="A533" s="16" t="str">
        <x:f>IF(Events!A532="","",Events!A532)</x:f>
      </x:c>
      <x:c r="B533" s="16" t="str">
        <x:f>IF(A533="","",Events!B532)</x:f>
      </x:c>
      <x:c r="C533" s="16" t="str">
        <x:f>IF(A533="","",Events!E532)</x:f>
      </x:c>
      <x:c r="D533" s="16" t="str">
        <x:f>IF(A533="","",Events!J532)</x:f>
      </x:c>
      <x:c r="E533" s="16" t="str">
        <x:f>IF(A533="","",Events!N532)</x:f>
      </x:c>
      <x:c r="F533" s="109" t="str">
        <x:f>IF(OR(A533="",Events!H532=""),"",Events!H532)</x:f>
      </x:c>
      <x:c r="G533" s="109" t="str">
        <x:f>IF(A533="","",IF(Events!I532&lt;&gt;"",Events!I532,IF(Events!S532&lt;&gt;"",Events!S532,"")))</x:f>
      </x:c>
      <x:c r="H533" s="16" t="str">
        <x:f>IF(A533="","",Events!W532)</x:f>
      </x:c>
      <x:c r="I533" s="16" t="str">
        <x:f>IF(A533="","",IF(Events!Y532&lt;&gt;"",Events!Y532,IF(OR(ISNUMBER(SEARCH("education",P533)),ISNUMBER(SEARCH("exam",P533)),ISNUMBER(SEARCH("school",P533))),"Education",IF(OR(ISNUMBER(SEARCH("trade agreement",P533)),ISNUMBER(SEARCH("economic",P533)),ISNUMBER(SEARCH("import",P533))),"Trade &amp; economic policy",IF(OR(ISNUMBER(SEARCH("land acquisition",P533)),ISNUMBER(SEARCH("rehabilitation",P533)),ISNUMBER(SEARCH("displacement",P533)),ISNUMBER(SEARCH("township",P533))),"Land &amp; rehabilitation",IF(OR(ISNUMBER(SEARCH("forest",P533)),ISNUMBER(SEARCH("environment",P533)),ISNUMBER(SEARCH("ecological",P533)),ISNUMBER(SEARCH("biodiversity",P533)),ISNUMBER(SEARCH("green cover",P533))),"Environment",IF(OR(ISNUMBER(SEARCH("irrigation",P533)),ISNUMBER(SEARCH("water",P533)),ISNUMBER(SEARCH("crop",P533)),ISNUMBER(SEARCH("farmer",P533)),ISNUMBER(SEARCH("agriculture",P533))),"Agriculture &amp; water",IF(OR(ISNUMBER(SEARCH("health",P533)),ISNUMBER(SEARCH("hospital",P533)),ISNUMBER(SEARCH("medicine",P533))),"Public health",IF(OR(ISNUMBER(SEARCH("employee",P533)),ISNUMBER(SEARCH("labour",P533)),ISNUMBER(SEARCH("worker",P533)),ISNUMBER(SEARCH("salary",P533))),"Labour &amp; employment",IF(OR(ISNUMBER(SEARCH("rti",P533)),ISNUMBER(SEARCH("transparency",P533)),ISNUMBER(SEARCH("corruption",P533)),ISNUMBER(SEARCH("governance",P533))),"Governance &amp; transparency",IF(OR(ISNUMBER(SEARCH("police",P533)),ISNUMBER(SEARCH("detention",P533)),ISNUMBER(SEARCH("civil rights",P533)),ISNUMBER(SEARCH("justice",P533))),"Civil rights &amp; justice",IF(OR(ISNUMBER(SEARCH("road",P533)),ISNUMBER(SEARCH("utility",P533)),ISNUMBER(SEARCH("infrastructure",P533)),ISNUMBER(SEARCH("public service",P533))),"Infrastructure &amp; public services","Other"))))))))))))</x:f>
      </x:c>
      <x:c r="J533" s="16" t="str">
        <x:f>IF(A533="","",IF(OR(ISNUMBER(SEARCH("fatal",Q533)),ISNUMBER(SEARCH("death",Q533)),ISNUMBER(SEARCH("riot",Q533)),ISNUMBER(SEARCH("curfew",Q533)),ISNUMBER(SEARCH("internet shutdown",Q533))),5,MIN(4,1+IF(H533&gt;=7,1,0)+IF(OR(ISNUMBER(SEARCH("hunger strike",Q533)),ISNUMBER(SEARCH("blockade",Q533)),ISNUMBER(SEARCH("strike",Q533)),ISNUMBER(SEARCH("jal satyagraha",Q533)),ISNUMBER(SEARCH("survey",Q533)),ISNUMBER(SEARCH("human chain",Q533)),ISNUMBER(SEARCH("march",Q533))),1,0)+IF(OR(ISNUMBER(SEARCH("fir",Q533)),ISNUMBER(SEARCH("confrontation",Q533)),ISNUMBER(SEARCH("violence",Q533)),ISNUMBER(SEARCH("detention",Q533)),ISNUMBER(SEARCH("arrest",Q533)),ISNUMBER(SEARCH("demolition",Q533)),ISNUMBER(SEARCH("injury",Q533))),1,0)+IF(OR(D533="Ongoing",D533="Unresolved"),1,0))))</x:f>
      </x:c>
      <x:c r="K533" s="16" t="str">
        <x:f>IF(J533="","",IF(J533=1,"Limited",IF(J533=2,"Local",IF(J533=3,"Significant",IF(J533=4,"High","Critical")))))</x:f>
      </x:c>
      <x:c r="L533" s="16" t="str">
        <x:f>IF(A533="","",Events!U532)</x:f>
      </x:c>
      <x:c r="M533" s="16" t="str">
        <x:f>IF(A533="","",Events!V532)</x:f>
      </x:c>
      <x:c r="N533" s="16" t="str">
        <x:f>IF(A533="","",Events!Q532)</x:f>
      </x:c>
      <x:c r="O533" s="16" t="str">
        <x:f>IF(A533="","",Events!R532)</x:f>
      </x:c>
      <x:c r="P533" s="16" t="str">
        <x:f>IF(A533="","",LOWER(Events!B532&amp;" "&amp;Events!D532&amp;" "&amp;Events!K532))</x:f>
      </x:c>
      <x:c r="Q533" s="16" t="str">
        <x:f>IF(A533="","",LOWER(Events!C532&amp;" "&amp;Events!K532&amp;" "&amp;Events!T532))</x:f>
      </x:c>
      <x:c r="R533" s="16" t="str">
        <x:f>IF(A533="","",IF(ISNUMBER(SEARCH("Occurrence verified",E533)),"Occurrence verified",E533))</x:f>
      </x:c>
      <x:c r="S533" s="79" t="str">
        <x:f>IF(A533="","",Events!X532)</x:f>
      </x:c>
      <x:c r="Z533" s="79" t="str">
        <x:f>IF(A533="","",Events!AD532)</x:f>
      </x:c>
      <x:c r="AA533" s="79" t="str">
        <x:f>IF(A533="","",Events!AE532)</x:f>
      </x:c>
    </x:row>
    <x:row r="534">
      <x:c r="A534" s="16" t="str">
        <x:f>IF(Events!A533="","",Events!A533)</x:f>
      </x:c>
      <x:c r="B534" s="16" t="str">
        <x:f>IF(A534="","",Events!B533)</x:f>
      </x:c>
      <x:c r="C534" s="16" t="str">
        <x:f>IF(A534="","",Events!E533)</x:f>
      </x:c>
      <x:c r="D534" s="16" t="str">
        <x:f>IF(A534="","",Events!J533)</x:f>
      </x:c>
      <x:c r="E534" s="16" t="str">
        <x:f>IF(A534="","",Events!N533)</x:f>
      </x:c>
      <x:c r="F534" s="109" t="str">
        <x:f>IF(OR(A534="",Events!H533=""),"",Events!H533)</x:f>
      </x:c>
      <x:c r="G534" s="109" t="str">
        <x:f>IF(A534="","",IF(Events!I533&lt;&gt;"",Events!I533,IF(Events!S533&lt;&gt;"",Events!S533,"")))</x:f>
      </x:c>
      <x:c r="H534" s="16" t="str">
        <x:f>IF(A534="","",Events!W533)</x:f>
      </x:c>
      <x:c r="I534" s="16" t="str">
        <x:f>IF(A534="","",IF(Events!Y533&lt;&gt;"",Events!Y533,IF(OR(ISNUMBER(SEARCH("education",P534)),ISNUMBER(SEARCH("exam",P534)),ISNUMBER(SEARCH("school",P534))),"Education",IF(OR(ISNUMBER(SEARCH("trade agreement",P534)),ISNUMBER(SEARCH("economic",P534)),ISNUMBER(SEARCH("import",P534))),"Trade &amp; economic policy",IF(OR(ISNUMBER(SEARCH("land acquisition",P534)),ISNUMBER(SEARCH("rehabilitation",P534)),ISNUMBER(SEARCH("displacement",P534)),ISNUMBER(SEARCH("township",P534))),"Land &amp; rehabilitation",IF(OR(ISNUMBER(SEARCH("forest",P534)),ISNUMBER(SEARCH("environment",P534)),ISNUMBER(SEARCH("ecological",P534)),ISNUMBER(SEARCH("biodiversity",P534)),ISNUMBER(SEARCH("green cover",P534))),"Environment",IF(OR(ISNUMBER(SEARCH("irrigation",P534)),ISNUMBER(SEARCH("water",P534)),ISNUMBER(SEARCH("crop",P534)),ISNUMBER(SEARCH("farmer",P534)),ISNUMBER(SEARCH("agriculture",P534))),"Agriculture &amp; water",IF(OR(ISNUMBER(SEARCH("health",P534)),ISNUMBER(SEARCH("hospital",P534)),ISNUMBER(SEARCH("medicine",P534))),"Public health",IF(OR(ISNUMBER(SEARCH("employee",P534)),ISNUMBER(SEARCH("labour",P534)),ISNUMBER(SEARCH("worker",P534)),ISNUMBER(SEARCH("salary",P534))),"Labour &amp; employment",IF(OR(ISNUMBER(SEARCH("rti",P534)),ISNUMBER(SEARCH("transparency",P534)),ISNUMBER(SEARCH("corruption",P534)),ISNUMBER(SEARCH("governance",P534))),"Governance &amp; transparency",IF(OR(ISNUMBER(SEARCH("police",P534)),ISNUMBER(SEARCH("detention",P534)),ISNUMBER(SEARCH("civil rights",P534)),ISNUMBER(SEARCH("justice",P534))),"Civil rights &amp; justice",IF(OR(ISNUMBER(SEARCH("road",P534)),ISNUMBER(SEARCH("utility",P534)),ISNUMBER(SEARCH("infrastructure",P534)),ISNUMBER(SEARCH("public service",P534))),"Infrastructure &amp; public services","Other"))))))))))))</x:f>
      </x:c>
      <x:c r="J534" s="16" t="str">
        <x:f>IF(A534="","",IF(OR(ISNUMBER(SEARCH("fatal",Q534)),ISNUMBER(SEARCH("death",Q534)),ISNUMBER(SEARCH("riot",Q534)),ISNUMBER(SEARCH("curfew",Q534)),ISNUMBER(SEARCH("internet shutdown",Q534))),5,MIN(4,1+IF(H534&gt;=7,1,0)+IF(OR(ISNUMBER(SEARCH("hunger strike",Q534)),ISNUMBER(SEARCH("blockade",Q534)),ISNUMBER(SEARCH("strike",Q534)),ISNUMBER(SEARCH("jal satyagraha",Q534)),ISNUMBER(SEARCH("survey",Q534)),ISNUMBER(SEARCH("human chain",Q534)),ISNUMBER(SEARCH("march",Q534))),1,0)+IF(OR(ISNUMBER(SEARCH("fir",Q534)),ISNUMBER(SEARCH("confrontation",Q534)),ISNUMBER(SEARCH("violence",Q534)),ISNUMBER(SEARCH("detention",Q534)),ISNUMBER(SEARCH("arrest",Q534)),ISNUMBER(SEARCH("demolition",Q534)),ISNUMBER(SEARCH("injury",Q534))),1,0)+IF(OR(D534="Ongoing",D534="Unresolved"),1,0))))</x:f>
      </x:c>
      <x:c r="K534" s="16" t="str">
        <x:f>IF(J534="","",IF(J534=1,"Limited",IF(J534=2,"Local",IF(J534=3,"Significant",IF(J534=4,"High","Critical")))))</x:f>
      </x:c>
      <x:c r="L534" s="16" t="str">
        <x:f>IF(A534="","",Events!U533)</x:f>
      </x:c>
      <x:c r="M534" s="16" t="str">
        <x:f>IF(A534="","",Events!V533)</x:f>
      </x:c>
      <x:c r="N534" s="16" t="str">
        <x:f>IF(A534="","",Events!Q533)</x:f>
      </x:c>
      <x:c r="O534" s="16" t="str">
        <x:f>IF(A534="","",Events!R533)</x:f>
      </x:c>
      <x:c r="P534" s="16" t="str">
        <x:f>IF(A534="","",LOWER(Events!B533&amp;" "&amp;Events!D533&amp;" "&amp;Events!K533))</x:f>
      </x:c>
      <x:c r="Q534" s="16" t="str">
        <x:f>IF(A534="","",LOWER(Events!C533&amp;" "&amp;Events!K533&amp;" "&amp;Events!T533))</x:f>
      </x:c>
      <x:c r="R534" s="16" t="str">
        <x:f>IF(A534="","",IF(ISNUMBER(SEARCH("Occurrence verified",E534)),"Occurrence verified",E534))</x:f>
      </x:c>
      <x:c r="S534" s="79" t="str">
        <x:f>IF(A534="","",Events!X533)</x:f>
      </x:c>
      <x:c r="Z534" s="79" t="str">
        <x:f>IF(A534="","",Events!AD533)</x:f>
      </x:c>
      <x:c r="AA534" s="79" t="str">
        <x:f>IF(A534="","",Events!AE533)</x:f>
      </x:c>
    </x:row>
    <x:row r="535">
      <x:c r="A535" s="16" t="str">
        <x:f>IF(Events!A534="","",Events!A534)</x:f>
      </x:c>
      <x:c r="B535" s="16" t="str">
        <x:f>IF(A535="","",Events!B534)</x:f>
      </x:c>
      <x:c r="C535" s="16" t="str">
        <x:f>IF(A535="","",Events!E534)</x:f>
      </x:c>
      <x:c r="D535" s="16" t="str">
        <x:f>IF(A535="","",Events!J534)</x:f>
      </x:c>
      <x:c r="E535" s="16" t="str">
        <x:f>IF(A535="","",Events!N534)</x:f>
      </x:c>
      <x:c r="F535" s="109" t="str">
        <x:f>IF(OR(A535="",Events!H534=""),"",Events!H534)</x:f>
      </x:c>
      <x:c r="G535" s="109" t="str">
        <x:f>IF(A535="","",IF(Events!I534&lt;&gt;"",Events!I534,IF(Events!S534&lt;&gt;"",Events!S534,"")))</x:f>
      </x:c>
      <x:c r="H535" s="16" t="str">
        <x:f>IF(A535="","",Events!W534)</x:f>
      </x:c>
      <x:c r="I535" s="16" t="str">
        <x:f>IF(A535="","",IF(Events!Y534&lt;&gt;"",Events!Y534,IF(OR(ISNUMBER(SEARCH("education",P535)),ISNUMBER(SEARCH("exam",P535)),ISNUMBER(SEARCH("school",P535))),"Education",IF(OR(ISNUMBER(SEARCH("trade agreement",P535)),ISNUMBER(SEARCH("economic",P535)),ISNUMBER(SEARCH("import",P535))),"Trade &amp; economic policy",IF(OR(ISNUMBER(SEARCH("land acquisition",P535)),ISNUMBER(SEARCH("rehabilitation",P535)),ISNUMBER(SEARCH("displacement",P535)),ISNUMBER(SEARCH("township",P535))),"Land &amp; rehabilitation",IF(OR(ISNUMBER(SEARCH("forest",P535)),ISNUMBER(SEARCH("environment",P535)),ISNUMBER(SEARCH("ecological",P535)),ISNUMBER(SEARCH("biodiversity",P535)),ISNUMBER(SEARCH("green cover",P535))),"Environment",IF(OR(ISNUMBER(SEARCH("irrigation",P535)),ISNUMBER(SEARCH("water",P535)),ISNUMBER(SEARCH("crop",P535)),ISNUMBER(SEARCH("farmer",P535)),ISNUMBER(SEARCH("agriculture",P535))),"Agriculture &amp; water",IF(OR(ISNUMBER(SEARCH("health",P535)),ISNUMBER(SEARCH("hospital",P535)),ISNUMBER(SEARCH("medicine",P535))),"Public health",IF(OR(ISNUMBER(SEARCH("employee",P535)),ISNUMBER(SEARCH("labour",P535)),ISNUMBER(SEARCH("worker",P535)),ISNUMBER(SEARCH("salary",P535))),"Labour &amp; employment",IF(OR(ISNUMBER(SEARCH("rti",P535)),ISNUMBER(SEARCH("transparency",P535)),ISNUMBER(SEARCH("corruption",P535)),ISNUMBER(SEARCH("governance",P535))),"Governance &amp; transparency",IF(OR(ISNUMBER(SEARCH("police",P535)),ISNUMBER(SEARCH("detention",P535)),ISNUMBER(SEARCH("civil rights",P535)),ISNUMBER(SEARCH("justice",P535))),"Civil rights &amp; justice",IF(OR(ISNUMBER(SEARCH("road",P535)),ISNUMBER(SEARCH("utility",P535)),ISNUMBER(SEARCH("infrastructure",P535)),ISNUMBER(SEARCH("public service",P535))),"Infrastructure &amp; public services","Other"))))))))))))</x:f>
      </x:c>
      <x:c r="J535" s="16" t="str">
        <x:f>IF(A535="","",IF(OR(ISNUMBER(SEARCH("fatal",Q535)),ISNUMBER(SEARCH("death",Q535)),ISNUMBER(SEARCH("riot",Q535)),ISNUMBER(SEARCH("curfew",Q535)),ISNUMBER(SEARCH("internet shutdown",Q535))),5,MIN(4,1+IF(H535&gt;=7,1,0)+IF(OR(ISNUMBER(SEARCH("hunger strike",Q535)),ISNUMBER(SEARCH("blockade",Q535)),ISNUMBER(SEARCH("strike",Q535)),ISNUMBER(SEARCH("jal satyagraha",Q535)),ISNUMBER(SEARCH("survey",Q535)),ISNUMBER(SEARCH("human chain",Q535)),ISNUMBER(SEARCH("march",Q535))),1,0)+IF(OR(ISNUMBER(SEARCH("fir",Q535)),ISNUMBER(SEARCH("confrontation",Q535)),ISNUMBER(SEARCH("violence",Q535)),ISNUMBER(SEARCH("detention",Q535)),ISNUMBER(SEARCH("arrest",Q535)),ISNUMBER(SEARCH("demolition",Q535)),ISNUMBER(SEARCH("injury",Q535))),1,0)+IF(OR(D535="Ongoing",D535="Unresolved"),1,0))))</x:f>
      </x:c>
      <x:c r="K535" s="16" t="str">
        <x:f>IF(J535="","",IF(J535=1,"Limited",IF(J535=2,"Local",IF(J535=3,"Significant",IF(J535=4,"High","Critical")))))</x:f>
      </x:c>
      <x:c r="L535" s="16" t="str">
        <x:f>IF(A535="","",Events!U534)</x:f>
      </x:c>
      <x:c r="M535" s="16" t="str">
        <x:f>IF(A535="","",Events!V534)</x:f>
      </x:c>
      <x:c r="N535" s="16" t="str">
        <x:f>IF(A535="","",Events!Q534)</x:f>
      </x:c>
      <x:c r="O535" s="16" t="str">
        <x:f>IF(A535="","",Events!R534)</x:f>
      </x:c>
      <x:c r="P535" s="16" t="str">
        <x:f>IF(A535="","",LOWER(Events!B534&amp;" "&amp;Events!D534&amp;" "&amp;Events!K534))</x:f>
      </x:c>
      <x:c r="Q535" s="16" t="str">
        <x:f>IF(A535="","",LOWER(Events!C534&amp;" "&amp;Events!K534&amp;" "&amp;Events!T534))</x:f>
      </x:c>
      <x:c r="R535" s="16" t="str">
        <x:f>IF(A535="","",IF(ISNUMBER(SEARCH("Occurrence verified",E535)),"Occurrence verified",E535))</x:f>
      </x:c>
      <x:c r="S535" s="79" t="str">
        <x:f>IF(A535="","",Events!X534)</x:f>
      </x:c>
      <x:c r="Z535" s="79" t="str">
        <x:f>IF(A535="","",Events!AD534)</x:f>
      </x:c>
      <x:c r="AA535" s="79" t="str">
        <x:f>IF(A535="","",Events!AE534)</x:f>
      </x:c>
    </x:row>
    <x:row r="536">
      <x:c r="A536" s="16" t="str">
        <x:f>IF(Events!A535="","",Events!A535)</x:f>
      </x:c>
      <x:c r="B536" s="16" t="str">
        <x:f>IF(A536="","",Events!B535)</x:f>
      </x:c>
      <x:c r="C536" s="16" t="str">
        <x:f>IF(A536="","",Events!E535)</x:f>
      </x:c>
      <x:c r="D536" s="16" t="str">
        <x:f>IF(A536="","",Events!J535)</x:f>
      </x:c>
      <x:c r="E536" s="16" t="str">
        <x:f>IF(A536="","",Events!N535)</x:f>
      </x:c>
      <x:c r="F536" s="109" t="str">
        <x:f>IF(OR(A536="",Events!H535=""),"",Events!H535)</x:f>
      </x:c>
      <x:c r="G536" s="109" t="str">
        <x:f>IF(A536="","",IF(Events!I535&lt;&gt;"",Events!I535,IF(Events!S535&lt;&gt;"",Events!S535,"")))</x:f>
      </x:c>
      <x:c r="H536" s="16" t="str">
        <x:f>IF(A536="","",Events!W535)</x:f>
      </x:c>
      <x:c r="I536" s="16" t="str">
        <x:f>IF(A536="","",IF(Events!Y535&lt;&gt;"",Events!Y535,IF(OR(ISNUMBER(SEARCH("education",P536)),ISNUMBER(SEARCH("exam",P536)),ISNUMBER(SEARCH("school",P536))),"Education",IF(OR(ISNUMBER(SEARCH("trade agreement",P536)),ISNUMBER(SEARCH("economic",P536)),ISNUMBER(SEARCH("import",P536))),"Trade &amp; economic policy",IF(OR(ISNUMBER(SEARCH("land acquisition",P536)),ISNUMBER(SEARCH("rehabilitation",P536)),ISNUMBER(SEARCH("displacement",P536)),ISNUMBER(SEARCH("township",P536))),"Land &amp; rehabilitation",IF(OR(ISNUMBER(SEARCH("forest",P536)),ISNUMBER(SEARCH("environment",P536)),ISNUMBER(SEARCH("ecological",P536)),ISNUMBER(SEARCH("biodiversity",P536)),ISNUMBER(SEARCH("green cover",P536))),"Environment",IF(OR(ISNUMBER(SEARCH("irrigation",P536)),ISNUMBER(SEARCH("water",P536)),ISNUMBER(SEARCH("crop",P536)),ISNUMBER(SEARCH("farmer",P536)),ISNUMBER(SEARCH("agriculture",P536))),"Agriculture &amp; water",IF(OR(ISNUMBER(SEARCH("health",P536)),ISNUMBER(SEARCH("hospital",P536)),ISNUMBER(SEARCH("medicine",P536))),"Public health",IF(OR(ISNUMBER(SEARCH("employee",P536)),ISNUMBER(SEARCH("labour",P536)),ISNUMBER(SEARCH("worker",P536)),ISNUMBER(SEARCH("salary",P536))),"Labour &amp; employment",IF(OR(ISNUMBER(SEARCH("rti",P536)),ISNUMBER(SEARCH("transparency",P536)),ISNUMBER(SEARCH("corruption",P536)),ISNUMBER(SEARCH("governance",P536))),"Governance &amp; transparency",IF(OR(ISNUMBER(SEARCH("police",P536)),ISNUMBER(SEARCH("detention",P536)),ISNUMBER(SEARCH("civil rights",P536)),ISNUMBER(SEARCH("justice",P536))),"Civil rights &amp; justice",IF(OR(ISNUMBER(SEARCH("road",P536)),ISNUMBER(SEARCH("utility",P536)),ISNUMBER(SEARCH("infrastructure",P536)),ISNUMBER(SEARCH("public service",P536))),"Infrastructure &amp; public services","Other"))))))))))))</x:f>
      </x:c>
      <x:c r="J536" s="16" t="str">
        <x:f>IF(A536="","",IF(OR(ISNUMBER(SEARCH("fatal",Q536)),ISNUMBER(SEARCH("death",Q536)),ISNUMBER(SEARCH("riot",Q536)),ISNUMBER(SEARCH("curfew",Q536)),ISNUMBER(SEARCH("internet shutdown",Q536))),5,MIN(4,1+IF(H536&gt;=7,1,0)+IF(OR(ISNUMBER(SEARCH("hunger strike",Q536)),ISNUMBER(SEARCH("blockade",Q536)),ISNUMBER(SEARCH("strike",Q536)),ISNUMBER(SEARCH("jal satyagraha",Q536)),ISNUMBER(SEARCH("survey",Q536)),ISNUMBER(SEARCH("human chain",Q536)),ISNUMBER(SEARCH("march",Q536))),1,0)+IF(OR(ISNUMBER(SEARCH("fir",Q536)),ISNUMBER(SEARCH("confrontation",Q536)),ISNUMBER(SEARCH("violence",Q536)),ISNUMBER(SEARCH("detention",Q536)),ISNUMBER(SEARCH("arrest",Q536)),ISNUMBER(SEARCH("demolition",Q536)),ISNUMBER(SEARCH("injury",Q536))),1,0)+IF(OR(D536="Ongoing",D536="Unresolved"),1,0))))</x:f>
      </x:c>
      <x:c r="K536" s="16" t="str">
        <x:f>IF(J536="","",IF(J536=1,"Limited",IF(J536=2,"Local",IF(J536=3,"Significant",IF(J536=4,"High","Critical")))))</x:f>
      </x:c>
      <x:c r="L536" s="16" t="str">
        <x:f>IF(A536="","",Events!U535)</x:f>
      </x:c>
      <x:c r="M536" s="16" t="str">
        <x:f>IF(A536="","",Events!V535)</x:f>
      </x:c>
      <x:c r="N536" s="16" t="str">
        <x:f>IF(A536="","",Events!Q535)</x:f>
      </x:c>
      <x:c r="O536" s="16" t="str">
        <x:f>IF(A536="","",Events!R535)</x:f>
      </x:c>
      <x:c r="P536" s="16" t="str">
        <x:f>IF(A536="","",LOWER(Events!B535&amp;" "&amp;Events!D535&amp;" "&amp;Events!K535))</x:f>
      </x:c>
      <x:c r="Q536" s="16" t="str">
        <x:f>IF(A536="","",LOWER(Events!C535&amp;" "&amp;Events!K535&amp;" "&amp;Events!T535))</x:f>
      </x:c>
      <x:c r="R536" s="16" t="str">
        <x:f>IF(A536="","",IF(ISNUMBER(SEARCH("Occurrence verified",E536)),"Occurrence verified",E536))</x:f>
      </x:c>
      <x:c r="S536" s="79" t="str">
        <x:f>IF(A536="","",Events!X535)</x:f>
      </x:c>
      <x:c r="Z536" s="79" t="str">
        <x:f>IF(A536="","",Events!AD535)</x:f>
      </x:c>
      <x:c r="AA536" s="79" t="str">
        <x:f>IF(A536="","",Events!AE535)</x:f>
      </x:c>
    </x:row>
    <x:row r="537">
      <x:c r="A537" s="16" t="str">
        <x:f>IF(Events!A536="","",Events!A536)</x:f>
      </x:c>
      <x:c r="B537" s="16" t="str">
        <x:f>IF(A537="","",Events!B536)</x:f>
      </x:c>
      <x:c r="C537" s="16" t="str">
        <x:f>IF(A537="","",Events!E536)</x:f>
      </x:c>
      <x:c r="D537" s="16" t="str">
        <x:f>IF(A537="","",Events!J536)</x:f>
      </x:c>
      <x:c r="E537" s="16" t="str">
        <x:f>IF(A537="","",Events!N536)</x:f>
      </x:c>
      <x:c r="F537" s="109" t="str">
        <x:f>IF(OR(A537="",Events!H536=""),"",Events!H536)</x:f>
      </x:c>
      <x:c r="G537" s="109" t="str">
        <x:f>IF(A537="","",IF(Events!I536&lt;&gt;"",Events!I536,IF(Events!S536&lt;&gt;"",Events!S536,"")))</x:f>
      </x:c>
      <x:c r="H537" s="16" t="str">
        <x:f>IF(A537="","",Events!W536)</x:f>
      </x:c>
      <x:c r="I537" s="16" t="str">
        <x:f>IF(A537="","",IF(Events!Y536&lt;&gt;"",Events!Y536,IF(OR(ISNUMBER(SEARCH("education",P537)),ISNUMBER(SEARCH("exam",P537)),ISNUMBER(SEARCH("school",P537))),"Education",IF(OR(ISNUMBER(SEARCH("trade agreement",P537)),ISNUMBER(SEARCH("economic",P537)),ISNUMBER(SEARCH("import",P537))),"Trade &amp; economic policy",IF(OR(ISNUMBER(SEARCH("land acquisition",P537)),ISNUMBER(SEARCH("rehabilitation",P537)),ISNUMBER(SEARCH("displacement",P537)),ISNUMBER(SEARCH("township",P537))),"Land &amp; rehabilitation",IF(OR(ISNUMBER(SEARCH("forest",P537)),ISNUMBER(SEARCH("environment",P537)),ISNUMBER(SEARCH("ecological",P537)),ISNUMBER(SEARCH("biodiversity",P537)),ISNUMBER(SEARCH("green cover",P537))),"Environment",IF(OR(ISNUMBER(SEARCH("irrigation",P537)),ISNUMBER(SEARCH("water",P537)),ISNUMBER(SEARCH("crop",P537)),ISNUMBER(SEARCH("farmer",P537)),ISNUMBER(SEARCH("agriculture",P537))),"Agriculture &amp; water",IF(OR(ISNUMBER(SEARCH("health",P537)),ISNUMBER(SEARCH("hospital",P537)),ISNUMBER(SEARCH("medicine",P537))),"Public health",IF(OR(ISNUMBER(SEARCH("employee",P537)),ISNUMBER(SEARCH("labour",P537)),ISNUMBER(SEARCH("worker",P537)),ISNUMBER(SEARCH("salary",P537))),"Labour &amp; employment",IF(OR(ISNUMBER(SEARCH("rti",P537)),ISNUMBER(SEARCH("transparency",P537)),ISNUMBER(SEARCH("corruption",P537)),ISNUMBER(SEARCH("governance",P537))),"Governance &amp; transparency",IF(OR(ISNUMBER(SEARCH("police",P537)),ISNUMBER(SEARCH("detention",P537)),ISNUMBER(SEARCH("civil rights",P537)),ISNUMBER(SEARCH("justice",P537))),"Civil rights &amp; justice",IF(OR(ISNUMBER(SEARCH("road",P537)),ISNUMBER(SEARCH("utility",P537)),ISNUMBER(SEARCH("infrastructure",P537)),ISNUMBER(SEARCH("public service",P537))),"Infrastructure &amp; public services","Other"))))))))))))</x:f>
      </x:c>
      <x:c r="J537" s="16" t="str">
        <x:f>IF(A537="","",IF(OR(ISNUMBER(SEARCH("fatal",Q537)),ISNUMBER(SEARCH("death",Q537)),ISNUMBER(SEARCH("riot",Q537)),ISNUMBER(SEARCH("curfew",Q537)),ISNUMBER(SEARCH("internet shutdown",Q537))),5,MIN(4,1+IF(H537&gt;=7,1,0)+IF(OR(ISNUMBER(SEARCH("hunger strike",Q537)),ISNUMBER(SEARCH("blockade",Q537)),ISNUMBER(SEARCH("strike",Q537)),ISNUMBER(SEARCH("jal satyagraha",Q537)),ISNUMBER(SEARCH("survey",Q537)),ISNUMBER(SEARCH("human chain",Q537)),ISNUMBER(SEARCH("march",Q537))),1,0)+IF(OR(ISNUMBER(SEARCH("fir",Q537)),ISNUMBER(SEARCH("confrontation",Q537)),ISNUMBER(SEARCH("violence",Q537)),ISNUMBER(SEARCH("detention",Q537)),ISNUMBER(SEARCH("arrest",Q537)),ISNUMBER(SEARCH("demolition",Q537)),ISNUMBER(SEARCH("injury",Q537))),1,0)+IF(OR(D537="Ongoing",D537="Unresolved"),1,0))))</x:f>
      </x:c>
      <x:c r="K537" s="16" t="str">
        <x:f>IF(J537="","",IF(J537=1,"Limited",IF(J537=2,"Local",IF(J537=3,"Significant",IF(J537=4,"High","Critical")))))</x:f>
      </x:c>
      <x:c r="L537" s="16" t="str">
        <x:f>IF(A537="","",Events!U536)</x:f>
      </x:c>
      <x:c r="M537" s="16" t="str">
        <x:f>IF(A537="","",Events!V536)</x:f>
      </x:c>
      <x:c r="N537" s="16" t="str">
        <x:f>IF(A537="","",Events!Q536)</x:f>
      </x:c>
      <x:c r="O537" s="16" t="str">
        <x:f>IF(A537="","",Events!R536)</x:f>
      </x:c>
      <x:c r="P537" s="16" t="str">
        <x:f>IF(A537="","",LOWER(Events!B536&amp;" "&amp;Events!D536&amp;" "&amp;Events!K536))</x:f>
      </x:c>
      <x:c r="Q537" s="16" t="str">
        <x:f>IF(A537="","",LOWER(Events!C536&amp;" "&amp;Events!K536&amp;" "&amp;Events!T536))</x:f>
      </x:c>
      <x:c r="R537" s="16" t="str">
        <x:f>IF(A537="","",IF(ISNUMBER(SEARCH("Occurrence verified",E537)),"Occurrence verified",E537))</x:f>
      </x:c>
      <x:c r="S537" s="79" t="str">
        <x:f>IF(A537="","",Events!X536)</x:f>
      </x:c>
      <x:c r="Z537" s="79" t="str">
        <x:f>IF(A537="","",Events!AD536)</x:f>
      </x:c>
      <x:c r="AA537" s="79" t="str">
        <x:f>IF(A537="","",Events!AE536)</x:f>
      </x:c>
    </x:row>
    <x:row r="538">
      <x:c r="A538" s="16" t="str">
        <x:f>IF(Events!A537="","",Events!A537)</x:f>
      </x:c>
      <x:c r="B538" s="16" t="str">
        <x:f>IF(A538="","",Events!B537)</x:f>
      </x:c>
      <x:c r="C538" s="16" t="str">
        <x:f>IF(A538="","",Events!E537)</x:f>
      </x:c>
      <x:c r="D538" s="16" t="str">
        <x:f>IF(A538="","",Events!J537)</x:f>
      </x:c>
      <x:c r="E538" s="16" t="str">
        <x:f>IF(A538="","",Events!N537)</x:f>
      </x:c>
      <x:c r="F538" s="109" t="str">
        <x:f>IF(OR(A538="",Events!H537=""),"",Events!H537)</x:f>
      </x:c>
      <x:c r="G538" s="109" t="str">
        <x:f>IF(A538="","",IF(Events!I537&lt;&gt;"",Events!I537,IF(Events!S537&lt;&gt;"",Events!S537,"")))</x:f>
      </x:c>
      <x:c r="H538" s="16" t="str">
        <x:f>IF(A538="","",Events!W537)</x:f>
      </x:c>
      <x:c r="I538" s="16" t="str">
        <x:f>IF(A538="","",IF(Events!Y537&lt;&gt;"",Events!Y537,IF(OR(ISNUMBER(SEARCH("education",P538)),ISNUMBER(SEARCH("exam",P538)),ISNUMBER(SEARCH("school",P538))),"Education",IF(OR(ISNUMBER(SEARCH("trade agreement",P538)),ISNUMBER(SEARCH("economic",P538)),ISNUMBER(SEARCH("import",P538))),"Trade &amp; economic policy",IF(OR(ISNUMBER(SEARCH("land acquisition",P538)),ISNUMBER(SEARCH("rehabilitation",P538)),ISNUMBER(SEARCH("displacement",P538)),ISNUMBER(SEARCH("township",P538))),"Land &amp; rehabilitation",IF(OR(ISNUMBER(SEARCH("forest",P538)),ISNUMBER(SEARCH("environment",P538)),ISNUMBER(SEARCH("ecological",P538)),ISNUMBER(SEARCH("biodiversity",P538)),ISNUMBER(SEARCH("green cover",P538))),"Environment",IF(OR(ISNUMBER(SEARCH("irrigation",P538)),ISNUMBER(SEARCH("water",P538)),ISNUMBER(SEARCH("crop",P538)),ISNUMBER(SEARCH("farmer",P538)),ISNUMBER(SEARCH("agriculture",P538))),"Agriculture &amp; water",IF(OR(ISNUMBER(SEARCH("health",P538)),ISNUMBER(SEARCH("hospital",P538)),ISNUMBER(SEARCH("medicine",P538))),"Public health",IF(OR(ISNUMBER(SEARCH("employee",P538)),ISNUMBER(SEARCH("labour",P538)),ISNUMBER(SEARCH("worker",P538)),ISNUMBER(SEARCH("salary",P538))),"Labour &amp; employment",IF(OR(ISNUMBER(SEARCH("rti",P538)),ISNUMBER(SEARCH("transparency",P538)),ISNUMBER(SEARCH("corruption",P538)),ISNUMBER(SEARCH("governance",P538))),"Governance &amp; transparency",IF(OR(ISNUMBER(SEARCH("police",P538)),ISNUMBER(SEARCH("detention",P538)),ISNUMBER(SEARCH("civil rights",P538)),ISNUMBER(SEARCH("justice",P538))),"Civil rights &amp; justice",IF(OR(ISNUMBER(SEARCH("road",P538)),ISNUMBER(SEARCH("utility",P538)),ISNUMBER(SEARCH("infrastructure",P538)),ISNUMBER(SEARCH("public service",P538))),"Infrastructure &amp; public services","Other"))))))))))))</x:f>
      </x:c>
      <x:c r="J538" s="16" t="str">
        <x:f>IF(A538="","",IF(OR(ISNUMBER(SEARCH("fatal",Q538)),ISNUMBER(SEARCH("death",Q538)),ISNUMBER(SEARCH("riot",Q538)),ISNUMBER(SEARCH("curfew",Q538)),ISNUMBER(SEARCH("internet shutdown",Q538))),5,MIN(4,1+IF(H538&gt;=7,1,0)+IF(OR(ISNUMBER(SEARCH("hunger strike",Q538)),ISNUMBER(SEARCH("blockade",Q538)),ISNUMBER(SEARCH("strike",Q538)),ISNUMBER(SEARCH("jal satyagraha",Q538)),ISNUMBER(SEARCH("survey",Q538)),ISNUMBER(SEARCH("human chain",Q538)),ISNUMBER(SEARCH("march",Q538))),1,0)+IF(OR(ISNUMBER(SEARCH("fir",Q538)),ISNUMBER(SEARCH("confrontation",Q538)),ISNUMBER(SEARCH("violence",Q538)),ISNUMBER(SEARCH("detention",Q538)),ISNUMBER(SEARCH("arrest",Q538)),ISNUMBER(SEARCH("demolition",Q538)),ISNUMBER(SEARCH("injury",Q538))),1,0)+IF(OR(D538="Ongoing",D538="Unresolved"),1,0))))</x:f>
      </x:c>
      <x:c r="K538" s="16" t="str">
        <x:f>IF(J538="","",IF(J538=1,"Limited",IF(J538=2,"Local",IF(J538=3,"Significant",IF(J538=4,"High","Critical")))))</x:f>
      </x:c>
      <x:c r="L538" s="16" t="str">
        <x:f>IF(A538="","",Events!U537)</x:f>
      </x:c>
      <x:c r="M538" s="16" t="str">
        <x:f>IF(A538="","",Events!V537)</x:f>
      </x:c>
      <x:c r="N538" s="16" t="str">
        <x:f>IF(A538="","",Events!Q537)</x:f>
      </x:c>
      <x:c r="O538" s="16" t="str">
        <x:f>IF(A538="","",Events!R537)</x:f>
      </x:c>
      <x:c r="P538" s="16" t="str">
        <x:f>IF(A538="","",LOWER(Events!B537&amp;" "&amp;Events!D537&amp;" "&amp;Events!K537))</x:f>
      </x:c>
      <x:c r="Q538" s="16" t="str">
        <x:f>IF(A538="","",LOWER(Events!C537&amp;" "&amp;Events!K537&amp;" "&amp;Events!T537))</x:f>
      </x:c>
      <x:c r="R538" s="16" t="str">
        <x:f>IF(A538="","",IF(ISNUMBER(SEARCH("Occurrence verified",E538)),"Occurrence verified",E538))</x:f>
      </x:c>
      <x:c r="S538" s="79" t="str">
        <x:f>IF(A538="","",Events!X537)</x:f>
      </x:c>
      <x:c r="Z538" s="79" t="str">
        <x:f>IF(A538="","",Events!AD537)</x:f>
      </x:c>
      <x:c r="AA538" s="79" t="str">
        <x:f>IF(A538="","",Events!AE537)</x:f>
      </x:c>
    </x:row>
    <x:row r="539">
      <x:c r="A539" s="16" t="str">
        <x:f>IF(Events!A538="","",Events!A538)</x:f>
      </x:c>
      <x:c r="B539" s="16" t="str">
        <x:f>IF(A539="","",Events!B538)</x:f>
      </x:c>
      <x:c r="C539" s="16" t="str">
        <x:f>IF(A539="","",Events!E538)</x:f>
      </x:c>
      <x:c r="D539" s="16" t="str">
        <x:f>IF(A539="","",Events!J538)</x:f>
      </x:c>
      <x:c r="E539" s="16" t="str">
        <x:f>IF(A539="","",Events!N538)</x:f>
      </x:c>
      <x:c r="F539" s="109" t="str">
        <x:f>IF(OR(A539="",Events!H538=""),"",Events!H538)</x:f>
      </x:c>
      <x:c r="G539" s="109" t="str">
        <x:f>IF(A539="","",IF(Events!I538&lt;&gt;"",Events!I538,IF(Events!S538&lt;&gt;"",Events!S538,"")))</x:f>
      </x:c>
      <x:c r="H539" s="16" t="str">
        <x:f>IF(A539="","",Events!W538)</x:f>
      </x:c>
      <x:c r="I539" s="16" t="str">
        <x:f>IF(A539="","",IF(Events!Y538&lt;&gt;"",Events!Y538,IF(OR(ISNUMBER(SEARCH("education",P539)),ISNUMBER(SEARCH("exam",P539)),ISNUMBER(SEARCH("school",P539))),"Education",IF(OR(ISNUMBER(SEARCH("trade agreement",P539)),ISNUMBER(SEARCH("economic",P539)),ISNUMBER(SEARCH("import",P539))),"Trade &amp; economic policy",IF(OR(ISNUMBER(SEARCH("land acquisition",P539)),ISNUMBER(SEARCH("rehabilitation",P539)),ISNUMBER(SEARCH("displacement",P539)),ISNUMBER(SEARCH("township",P539))),"Land &amp; rehabilitation",IF(OR(ISNUMBER(SEARCH("forest",P539)),ISNUMBER(SEARCH("environment",P539)),ISNUMBER(SEARCH("ecological",P539)),ISNUMBER(SEARCH("biodiversity",P539)),ISNUMBER(SEARCH("green cover",P539))),"Environment",IF(OR(ISNUMBER(SEARCH("irrigation",P539)),ISNUMBER(SEARCH("water",P539)),ISNUMBER(SEARCH("crop",P539)),ISNUMBER(SEARCH("farmer",P539)),ISNUMBER(SEARCH("agriculture",P539))),"Agriculture &amp; water",IF(OR(ISNUMBER(SEARCH("health",P539)),ISNUMBER(SEARCH("hospital",P539)),ISNUMBER(SEARCH("medicine",P539))),"Public health",IF(OR(ISNUMBER(SEARCH("employee",P539)),ISNUMBER(SEARCH("labour",P539)),ISNUMBER(SEARCH("worker",P539)),ISNUMBER(SEARCH("salary",P539))),"Labour &amp; employment",IF(OR(ISNUMBER(SEARCH("rti",P539)),ISNUMBER(SEARCH("transparency",P539)),ISNUMBER(SEARCH("corruption",P539)),ISNUMBER(SEARCH("governance",P539))),"Governance &amp; transparency",IF(OR(ISNUMBER(SEARCH("police",P539)),ISNUMBER(SEARCH("detention",P539)),ISNUMBER(SEARCH("civil rights",P539)),ISNUMBER(SEARCH("justice",P539))),"Civil rights &amp; justice",IF(OR(ISNUMBER(SEARCH("road",P539)),ISNUMBER(SEARCH("utility",P539)),ISNUMBER(SEARCH("infrastructure",P539)),ISNUMBER(SEARCH("public service",P539))),"Infrastructure &amp; public services","Other"))))))))))))</x:f>
      </x:c>
      <x:c r="J539" s="16" t="str">
        <x:f>IF(A539="","",IF(OR(ISNUMBER(SEARCH("fatal",Q539)),ISNUMBER(SEARCH("death",Q539)),ISNUMBER(SEARCH("riot",Q539)),ISNUMBER(SEARCH("curfew",Q539)),ISNUMBER(SEARCH("internet shutdown",Q539))),5,MIN(4,1+IF(H539&gt;=7,1,0)+IF(OR(ISNUMBER(SEARCH("hunger strike",Q539)),ISNUMBER(SEARCH("blockade",Q539)),ISNUMBER(SEARCH("strike",Q539)),ISNUMBER(SEARCH("jal satyagraha",Q539)),ISNUMBER(SEARCH("survey",Q539)),ISNUMBER(SEARCH("human chain",Q539)),ISNUMBER(SEARCH("march",Q539))),1,0)+IF(OR(ISNUMBER(SEARCH("fir",Q539)),ISNUMBER(SEARCH("confrontation",Q539)),ISNUMBER(SEARCH("violence",Q539)),ISNUMBER(SEARCH("detention",Q539)),ISNUMBER(SEARCH("arrest",Q539)),ISNUMBER(SEARCH("demolition",Q539)),ISNUMBER(SEARCH("injury",Q539))),1,0)+IF(OR(D539="Ongoing",D539="Unresolved"),1,0))))</x:f>
      </x:c>
      <x:c r="K539" s="16" t="str">
        <x:f>IF(J539="","",IF(J539=1,"Limited",IF(J539=2,"Local",IF(J539=3,"Significant",IF(J539=4,"High","Critical")))))</x:f>
      </x:c>
      <x:c r="L539" s="16" t="str">
        <x:f>IF(A539="","",Events!U538)</x:f>
      </x:c>
      <x:c r="M539" s="16" t="str">
        <x:f>IF(A539="","",Events!V538)</x:f>
      </x:c>
      <x:c r="N539" s="16" t="str">
        <x:f>IF(A539="","",Events!Q538)</x:f>
      </x:c>
      <x:c r="O539" s="16" t="str">
        <x:f>IF(A539="","",Events!R538)</x:f>
      </x:c>
      <x:c r="P539" s="16" t="str">
        <x:f>IF(A539="","",LOWER(Events!B538&amp;" "&amp;Events!D538&amp;" "&amp;Events!K538))</x:f>
      </x:c>
      <x:c r="Q539" s="16" t="str">
        <x:f>IF(A539="","",LOWER(Events!C538&amp;" "&amp;Events!K538&amp;" "&amp;Events!T538))</x:f>
      </x:c>
      <x:c r="R539" s="16" t="str">
        <x:f>IF(A539="","",IF(ISNUMBER(SEARCH("Occurrence verified",E539)),"Occurrence verified",E539))</x:f>
      </x:c>
      <x:c r="S539" s="79" t="str">
        <x:f>IF(A539="","",Events!X538)</x:f>
      </x:c>
      <x:c r="Z539" s="79" t="str">
        <x:f>IF(A539="","",Events!AD538)</x:f>
      </x:c>
      <x:c r="AA539" s="79" t="str">
        <x:f>IF(A539="","",Events!AE538)</x:f>
      </x:c>
    </x:row>
    <x:row r="540">
      <x:c r="A540" s="16" t="str">
        <x:f>IF(Events!A539="","",Events!A539)</x:f>
      </x:c>
      <x:c r="B540" s="16" t="str">
        <x:f>IF(A540="","",Events!B539)</x:f>
      </x:c>
      <x:c r="C540" s="16" t="str">
        <x:f>IF(A540="","",Events!E539)</x:f>
      </x:c>
      <x:c r="D540" s="16" t="str">
        <x:f>IF(A540="","",Events!J539)</x:f>
      </x:c>
      <x:c r="E540" s="16" t="str">
        <x:f>IF(A540="","",Events!N539)</x:f>
      </x:c>
      <x:c r="F540" s="109" t="str">
        <x:f>IF(OR(A540="",Events!H539=""),"",Events!H539)</x:f>
      </x:c>
      <x:c r="G540" s="109" t="str">
        <x:f>IF(A540="","",IF(Events!I539&lt;&gt;"",Events!I539,IF(Events!S539&lt;&gt;"",Events!S539,"")))</x:f>
      </x:c>
      <x:c r="H540" s="16" t="str">
        <x:f>IF(A540="","",Events!W539)</x:f>
      </x:c>
      <x:c r="I540" s="16" t="str">
        <x:f>IF(A540="","",IF(Events!Y539&lt;&gt;"",Events!Y539,IF(OR(ISNUMBER(SEARCH("education",P540)),ISNUMBER(SEARCH("exam",P540)),ISNUMBER(SEARCH("school",P540))),"Education",IF(OR(ISNUMBER(SEARCH("trade agreement",P540)),ISNUMBER(SEARCH("economic",P540)),ISNUMBER(SEARCH("import",P540))),"Trade &amp; economic policy",IF(OR(ISNUMBER(SEARCH("land acquisition",P540)),ISNUMBER(SEARCH("rehabilitation",P540)),ISNUMBER(SEARCH("displacement",P540)),ISNUMBER(SEARCH("township",P540))),"Land &amp; rehabilitation",IF(OR(ISNUMBER(SEARCH("forest",P540)),ISNUMBER(SEARCH("environment",P540)),ISNUMBER(SEARCH("ecological",P540)),ISNUMBER(SEARCH("biodiversity",P540)),ISNUMBER(SEARCH("green cover",P540))),"Environment",IF(OR(ISNUMBER(SEARCH("irrigation",P540)),ISNUMBER(SEARCH("water",P540)),ISNUMBER(SEARCH("crop",P540)),ISNUMBER(SEARCH("farmer",P540)),ISNUMBER(SEARCH("agriculture",P540))),"Agriculture &amp; water",IF(OR(ISNUMBER(SEARCH("health",P540)),ISNUMBER(SEARCH("hospital",P540)),ISNUMBER(SEARCH("medicine",P540))),"Public health",IF(OR(ISNUMBER(SEARCH("employee",P540)),ISNUMBER(SEARCH("labour",P540)),ISNUMBER(SEARCH("worker",P540)),ISNUMBER(SEARCH("salary",P540))),"Labour &amp; employment",IF(OR(ISNUMBER(SEARCH("rti",P540)),ISNUMBER(SEARCH("transparency",P540)),ISNUMBER(SEARCH("corruption",P540)),ISNUMBER(SEARCH("governance",P540))),"Governance &amp; transparency",IF(OR(ISNUMBER(SEARCH("police",P540)),ISNUMBER(SEARCH("detention",P540)),ISNUMBER(SEARCH("civil rights",P540)),ISNUMBER(SEARCH("justice",P540))),"Civil rights &amp; justice",IF(OR(ISNUMBER(SEARCH("road",P540)),ISNUMBER(SEARCH("utility",P540)),ISNUMBER(SEARCH("infrastructure",P540)),ISNUMBER(SEARCH("public service",P540))),"Infrastructure &amp; public services","Other"))))))))))))</x:f>
      </x:c>
      <x:c r="J540" s="16" t="str">
        <x:f>IF(A540="","",IF(OR(ISNUMBER(SEARCH("fatal",Q540)),ISNUMBER(SEARCH("death",Q540)),ISNUMBER(SEARCH("riot",Q540)),ISNUMBER(SEARCH("curfew",Q540)),ISNUMBER(SEARCH("internet shutdown",Q540))),5,MIN(4,1+IF(H540&gt;=7,1,0)+IF(OR(ISNUMBER(SEARCH("hunger strike",Q540)),ISNUMBER(SEARCH("blockade",Q540)),ISNUMBER(SEARCH("strike",Q540)),ISNUMBER(SEARCH("jal satyagraha",Q540)),ISNUMBER(SEARCH("survey",Q540)),ISNUMBER(SEARCH("human chain",Q540)),ISNUMBER(SEARCH("march",Q540))),1,0)+IF(OR(ISNUMBER(SEARCH("fir",Q540)),ISNUMBER(SEARCH("confrontation",Q540)),ISNUMBER(SEARCH("violence",Q540)),ISNUMBER(SEARCH("detention",Q540)),ISNUMBER(SEARCH("arrest",Q540)),ISNUMBER(SEARCH("demolition",Q540)),ISNUMBER(SEARCH("injury",Q540))),1,0)+IF(OR(D540="Ongoing",D540="Unresolved"),1,0))))</x:f>
      </x:c>
      <x:c r="K540" s="16" t="str">
        <x:f>IF(J540="","",IF(J540=1,"Limited",IF(J540=2,"Local",IF(J540=3,"Significant",IF(J540=4,"High","Critical")))))</x:f>
      </x:c>
      <x:c r="L540" s="16" t="str">
        <x:f>IF(A540="","",Events!U539)</x:f>
      </x:c>
      <x:c r="M540" s="16" t="str">
        <x:f>IF(A540="","",Events!V539)</x:f>
      </x:c>
      <x:c r="N540" s="16" t="str">
        <x:f>IF(A540="","",Events!Q539)</x:f>
      </x:c>
      <x:c r="O540" s="16" t="str">
        <x:f>IF(A540="","",Events!R539)</x:f>
      </x:c>
      <x:c r="P540" s="16" t="str">
        <x:f>IF(A540="","",LOWER(Events!B539&amp;" "&amp;Events!D539&amp;" "&amp;Events!K539))</x:f>
      </x:c>
      <x:c r="Q540" s="16" t="str">
        <x:f>IF(A540="","",LOWER(Events!C539&amp;" "&amp;Events!K539&amp;" "&amp;Events!T539))</x:f>
      </x:c>
      <x:c r="R540" s="16" t="str">
        <x:f>IF(A540="","",IF(ISNUMBER(SEARCH("Occurrence verified",E540)),"Occurrence verified",E540))</x:f>
      </x:c>
      <x:c r="S540" s="79" t="str">
        <x:f>IF(A540="","",Events!X539)</x:f>
      </x:c>
      <x:c r="Z540" s="79" t="str">
        <x:f>IF(A540="","",Events!AD539)</x:f>
      </x:c>
      <x:c r="AA540" s="79" t="str">
        <x:f>IF(A540="","",Events!AE539)</x:f>
      </x:c>
    </x:row>
    <x:row r="541">
      <x:c r="A541" s="16" t="str">
        <x:f>IF(Events!A540="","",Events!A540)</x:f>
      </x:c>
      <x:c r="B541" s="16" t="str">
        <x:f>IF(A541="","",Events!B540)</x:f>
      </x:c>
      <x:c r="C541" s="16" t="str">
        <x:f>IF(A541="","",Events!E540)</x:f>
      </x:c>
      <x:c r="D541" s="16" t="str">
        <x:f>IF(A541="","",Events!J540)</x:f>
      </x:c>
      <x:c r="E541" s="16" t="str">
        <x:f>IF(A541="","",Events!N540)</x:f>
      </x:c>
      <x:c r="F541" s="109" t="str">
        <x:f>IF(OR(A541="",Events!H540=""),"",Events!H540)</x:f>
      </x:c>
      <x:c r="G541" s="109" t="str">
        <x:f>IF(A541="","",IF(Events!I540&lt;&gt;"",Events!I540,IF(Events!S540&lt;&gt;"",Events!S540,"")))</x:f>
      </x:c>
      <x:c r="H541" s="16" t="str">
        <x:f>IF(A541="","",Events!W540)</x:f>
      </x:c>
      <x:c r="I541" s="16" t="str">
        <x:f>IF(A541="","",IF(Events!Y540&lt;&gt;"",Events!Y540,IF(OR(ISNUMBER(SEARCH("education",P541)),ISNUMBER(SEARCH("exam",P541)),ISNUMBER(SEARCH("school",P541))),"Education",IF(OR(ISNUMBER(SEARCH("trade agreement",P541)),ISNUMBER(SEARCH("economic",P541)),ISNUMBER(SEARCH("import",P541))),"Trade &amp; economic policy",IF(OR(ISNUMBER(SEARCH("land acquisition",P541)),ISNUMBER(SEARCH("rehabilitation",P541)),ISNUMBER(SEARCH("displacement",P541)),ISNUMBER(SEARCH("township",P541))),"Land &amp; rehabilitation",IF(OR(ISNUMBER(SEARCH("forest",P541)),ISNUMBER(SEARCH("environment",P541)),ISNUMBER(SEARCH("ecological",P541)),ISNUMBER(SEARCH("biodiversity",P541)),ISNUMBER(SEARCH("green cover",P541))),"Environment",IF(OR(ISNUMBER(SEARCH("irrigation",P541)),ISNUMBER(SEARCH("water",P541)),ISNUMBER(SEARCH("crop",P541)),ISNUMBER(SEARCH("farmer",P541)),ISNUMBER(SEARCH("agriculture",P541))),"Agriculture &amp; water",IF(OR(ISNUMBER(SEARCH("health",P541)),ISNUMBER(SEARCH("hospital",P541)),ISNUMBER(SEARCH("medicine",P541))),"Public health",IF(OR(ISNUMBER(SEARCH("employee",P541)),ISNUMBER(SEARCH("labour",P541)),ISNUMBER(SEARCH("worker",P541)),ISNUMBER(SEARCH("salary",P541))),"Labour &amp; employment",IF(OR(ISNUMBER(SEARCH("rti",P541)),ISNUMBER(SEARCH("transparency",P541)),ISNUMBER(SEARCH("corruption",P541)),ISNUMBER(SEARCH("governance",P541))),"Governance &amp; transparency",IF(OR(ISNUMBER(SEARCH("police",P541)),ISNUMBER(SEARCH("detention",P541)),ISNUMBER(SEARCH("civil rights",P541)),ISNUMBER(SEARCH("justice",P541))),"Civil rights &amp; justice",IF(OR(ISNUMBER(SEARCH("road",P541)),ISNUMBER(SEARCH("utility",P541)),ISNUMBER(SEARCH("infrastructure",P541)),ISNUMBER(SEARCH("public service",P541))),"Infrastructure &amp; public services","Other"))))))))))))</x:f>
      </x:c>
      <x:c r="J541" s="16" t="str">
        <x:f>IF(A541="","",IF(OR(ISNUMBER(SEARCH("fatal",Q541)),ISNUMBER(SEARCH("death",Q541)),ISNUMBER(SEARCH("riot",Q541)),ISNUMBER(SEARCH("curfew",Q541)),ISNUMBER(SEARCH("internet shutdown",Q541))),5,MIN(4,1+IF(H541&gt;=7,1,0)+IF(OR(ISNUMBER(SEARCH("hunger strike",Q541)),ISNUMBER(SEARCH("blockade",Q541)),ISNUMBER(SEARCH("strike",Q541)),ISNUMBER(SEARCH("jal satyagraha",Q541)),ISNUMBER(SEARCH("survey",Q541)),ISNUMBER(SEARCH("human chain",Q541)),ISNUMBER(SEARCH("march",Q541))),1,0)+IF(OR(ISNUMBER(SEARCH("fir",Q541)),ISNUMBER(SEARCH("confrontation",Q541)),ISNUMBER(SEARCH("violence",Q541)),ISNUMBER(SEARCH("detention",Q541)),ISNUMBER(SEARCH("arrest",Q541)),ISNUMBER(SEARCH("demolition",Q541)),ISNUMBER(SEARCH("injury",Q541))),1,0)+IF(OR(D541="Ongoing",D541="Unresolved"),1,0))))</x:f>
      </x:c>
      <x:c r="K541" s="16" t="str">
        <x:f>IF(J541="","",IF(J541=1,"Limited",IF(J541=2,"Local",IF(J541=3,"Significant",IF(J541=4,"High","Critical")))))</x:f>
      </x:c>
      <x:c r="L541" s="16" t="str">
        <x:f>IF(A541="","",Events!U540)</x:f>
      </x:c>
      <x:c r="M541" s="16" t="str">
        <x:f>IF(A541="","",Events!V540)</x:f>
      </x:c>
      <x:c r="N541" s="16" t="str">
        <x:f>IF(A541="","",Events!Q540)</x:f>
      </x:c>
      <x:c r="O541" s="16" t="str">
        <x:f>IF(A541="","",Events!R540)</x:f>
      </x:c>
      <x:c r="P541" s="16" t="str">
        <x:f>IF(A541="","",LOWER(Events!B540&amp;" "&amp;Events!D540&amp;" "&amp;Events!K540))</x:f>
      </x:c>
      <x:c r="Q541" s="16" t="str">
        <x:f>IF(A541="","",LOWER(Events!C540&amp;" "&amp;Events!K540&amp;" "&amp;Events!T540))</x:f>
      </x:c>
      <x:c r="R541" s="16" t="str">
        <x:f>IF(A541="","",IF(ISNUMBER(SEARCH("Occurrence verified",E541)),"Occurrence verified",E541))</x:f>
      </x:c>
      <x:c r="S541" s="79" t="str">
        <x:f>IF(A541="","",Events!X540)</x:f>
      </x:c>
      <x:c r="Z541" s="79" t="str">
        <x:f>IF(A541="","",Events!AD540)</x:f>
      </x:c>
      <x:c r="AA541" s="79" t="str">
        <x:f>IF(A541="","",Events!AE540)</x:f>
      </x:c>
    </x:row>
    <x:row r="542">
      <x:c r="A542" s="16" t="str">
        <x:f>IF(Events!A541="","",Events!A541)</x:f>
      </x:c>
      <x:c r="B542" s="16" t="str">
        <x:f>IF(A542="","",Events!B541)</x:f>
      </x:c>
      <x:c r="C542" s="16" t="str">
        <x:f>IF(A542="","",Events!E541)</x:f>
      </x:c>
      <x:c r="D542" s="16" t="str">
        <x:f>IF(A542="","",Events!J541)</x:f>
      </x:c>
      <x:c r="E542" s="16" t="str">
        <x:f>IF(A542="","",Events!N541)</x:f>
      </x:c>
      <x:c r="F542" s="109" t="str">
        <x:f>IF(OR(A542="",Events!H541=""),"",Events!H541)</x:f>
      </x:c>
      <x:c r="G542" s="109" t="str">
        <x:f>IF(A542="","",IF(Events!I541&lt;&gt;"",Events!I541,IF(Events!S541&lt;&gt;"",Events!S541,"")))</x:f>
      </x:c>
      <x:c r="H542" s="16" t="str">
        <x:f>IF(A542="","",Events!W541)</x:f>
      </x:c>
      <x:c r="I542" s="16" t="str">
        <x:f>IF(A542="","",IF(Events!Y541&lt;&gt;"",Events!Y541,IF(OR(ISNUMBER(SEARCH("education",P542)),ISNUMBER(SEARCH("exam",P542)),ISNUMBER(SEARCH("school",P542))),"Education",IF(OR(ISNUMBER(SEARCH("trade agreement",P542)),ISNUMBER(SEARCH("economic",P542)),ISNUMBER(SEARCH("import",P542))),"Trade &amp; economic policy",IF(OR(ISNUMBER(SEARCH("land acquisition",P542)),ISNUMBER(SEARCH("rehabilitation",P542)),ISNUMBER(SEARCH("displacement",P542)),ISNUMBER(SEARCH("township",P542))),"Land &amp; rehabilitation",IF(OR(ISNUMBER(SEARCH("forest",P542)),ISNUMBER(SEARCH("environment",P542)),ISNUMBER(SEARCH("ecological",P542)),ISNUMBER(SEARCH("biodiversity",P542)),ISNUMBER(SEARCH("green cover",P542))),"Environment",IF(OR(ISNUMBER(SEARCH("irrigation",P542)),ISNUMBER(SEARCH("water",P542)),ISNUMBER(SEARCH("crop",P542)),ISNUMBER(SEARCH("farmer",P542)),ISNUMBER(SEARCH("agriculture",P542))),"Agriculture &amp; water",IF(OR(ISNUMBER(SEARCH("health",P542)),ISNUMBER(SEARCH("hospital",P542)),ISNUMBER(SEARCH("medicine",P542))),"Public health",IF(OR(ISNUMBER(SEARCH("employee",P542)),ISNUMBER(SEARCH("labour",P542)),ISNUMBER(SEARCH("worker",P542)),ISNUMBER(SEARCH("salary",P542))),"Labour &amp; employment",IF(OR(ISNUMBER(SEARCH("rti",P542)),ISNUMBER(SEARCH("transparency",P542)),ISNUMBER(SEARCH("corruption",P542)),ISNUMBER(SEARCH("governance",P542))),"Governance &amp; transparency",IF(OR(ISNUMBER(SEARCH("police",P542)),ISNUMBER(SEARCH("detention",P542)),ISNUMBER(SEARCH("civil rights",P542)),ISNUMBER(SEARCH("justice",P542))),"Civil rights &amp; justice",IF(OR(ISNUMBER(SEARCH("road",P542)),ISNUMBER(SEARCH("utility",P542)),ISNUMBER(SEARCH("infrastructure",P542)),ISNUMBER(SEARCH("public service",P542))),"Infrastructure &amp; public services","Other"))))))))))))</x:f>
      </x:c>
      <x:c r="J542" s="16" t="str">
        <x:f>IF(A542="","",IF(OR(ISNUMBER(SEARCH("fatal",Q542)),ISNUMBER(SEARCH("death",Q542)),ISNUMBER(SEARCH("riot",Q542)),ISNUMBER(SEARCH("curfew",Q542)),ISNUMBER(SEARCH("internet shutdown",Q542))),5,MIN(4,1+IF(H542&gt;=7,1,0)+IF(OR(ISNUMBER(SEARCH("hunger strike",Q542)),ISNUMBER(SEARCH("blockade",Q542)),ISNUMBER(SEARCH("strike",Q542)),ISNUMBER(SEARCH("jal satyagraha",Q542)),ISNUMBER(SEARCH("survey",Q542)),ISNUMBER(SEARCH("human chain",Q542)),ISNUMBER(SEARCH("march",Q542))),1,0)+IF(OR(ISNUMBER(SEARCH("fir",Q542)),ISNUMBER(SEARCH("confrontation",Q542)),ISNUMBER(SEARCH("violence",Q542)),ISNUMBER(SEARCH("detention",Q542)),ISNUMBER(SEARCH("arrest",Q542)),ISNUMBER(SEARCH("demolition",Q542)),ISNUMBER(SEARCH("injury",Q542))),1,0)+IF(OR(D542="Ongoing",D542="Unresolved"),1,0))))</x:f>
      </x:c>
      <x:c r="K542" s="16" t="str">
        <x:f>IF(J542="","",IF(J542=1,"Limited",IF(J542=2,"Local",IF(J542=3,"Significant",IF(J542=4,"High","Critical")))))</x:f>
      </x:c>
      <x:c r="L542" s="16" t="str">
        <x:f>IF(A542="","",Events!U541)</x:f>
      </x:c>
      <x:c r="M542" s="16" t="str">
        <x:f>IF(A542="","",Events!V541)</x:f>
      </x:c>
      <x:c r="N542" s="16" t="str">
        <x:f>IF(A542="","",Events!Q541)</x:f>
      </x:c>
      <x:c r="O542" s="16" t="str">
        <x:f>IF(A542="","",Events!R541)</x:f>
      </x:c>
      <x:c r="P542" s="16" t="str">
        <x:f>IF(A542="","",LOWER(Events!B541&amp;" "&amp;Events!D541&amp;" "&amp;Events!K541))</x:f>
      </x:c>
      <x:c r="Q542" s="16" t="str">
        <x:f>IF(A542="","",LOWER(Events!C541&amp;" "&amp;Events!K541&amp;" "&amp;Events!T541))</x:f>
      </x:c>
      <x:c r="R542" s="16" t="str">
        <x:f>IF(A542="","",IF(ISNUMBER(SEARCH("Occurrence verified",E542)),"Occurrence verified",E542))</x:f>
      </x:c>
      <x:c r="S542" s="79" t="str">
        <x:f>IF(A542="","",Events!X541)</x:f>
      </x:c>
      <x:c r="Z542" s="79" t="str">
        <x:f>IF(A542="","",Events!AD541)</x:f>
      </x:c>
      <x:c r="AA542" s="79" t="str">
        <x:f>IF(A542="","",Events!AE541)</x:f>
      </x:c>
    </x:row>
    <x:row r="543">
      <x:c r="A543" s="16" t="str">
        <x:f>IF(Events!A542="","",Events!A542)</x:f>
      </x:c>
      <x:c r="B543" s="16" t="str">
        <x:f>IF(A543="","",Events!B542)</x:f>
      </x:c>
      <x:c r="C543" s="16" t="str">
        <x:f>IF(A543="","",Events!E542)</x:f>
      </x:c>
      <x:c r="D543" s="16" t="str">
        <x:f>IF(A543="","",Events!J542)</x:f>
      </x:c>
      <x:c r="E543" s="16" t="str">
        <x:f>IF(A543="","",Events!N542)</x:f>
      </x:c>
      <x:c r="F543" s="109" t="str">
        <x:f>IF(OR(A543="",Events!H542=""),"",Events!H542)</x:f>
      </x:c>
      <x:c r="G543" s="109" t="str">
        <x:f>IF(A543="","",IF(Events!I542&lt;&gt;"",Events!I542,IF(Events!S542&lt;&gt;"",Events!S542,"")))</x:f>
      </x:c>
      <x:c r="H543" s="16" t="str">
        <x:f>IF(A543="","",Events!W542)</x:f>
      </x:c>
      <x:c r="I543" s="16" t="str">
        <x:f>IF(A543="","",IF(Events!Y542&lt;&gt;"",Events!Y542,IF(OR(ISNUMBER(SEARCH("education",P543)),ISNUMBER(SEARCH("exam",P543)),ISNUMBER(SEARCH("school",P543))),"Education",IF(OR(ISNUMBER(SEARCH("trade agreement",P543)),ISNUMBER(SEARCH("economic",P543)),ISNUMBER(SEARCH("import",P543))),"Trade &amp; economic policy",IF(OR(ISNUMBER(SEARCH("land acquisition",P543)),ISNUMBER(SEARCH("rehabilitation",P543)),ISNUMBER(SEARCH("displacement",P543)),ISNUMBER(SEARCH("township",P543))),"Land &amp; rehabilitation",IF(OR(ISNUMBER(SEARCH("forest",P543)),ISNUMBER(SEARCH("environment",P543)),ISNUMBER(SEARCH("ecological",P543)),ISNUMBER(SEARCH("biodiversity",P543)),ISNUMBER(SEARCH("green cover",P543))),"Environment",IF(OR(ISNUMBER(SEARCH("irrigation",P543)),ISNUMBER(SEARCH("water",P543)),ISNUMBER(SEARCH("crop",P543)),ISNUMBER(SEARCH("farmer",P543)),ISNUMBER(SEARCH("agriculture",P543))),"Agriculture &amp; water",IF(OR(ISNUMBER(SEARCH("health",P543)),ISNUMBER(SEARCH("hospital",P543)),ISNUMBER(SEARCH("medicine",P543))),"Public health",IF(OR(ISNUMBER(SEARCH("employee",P543)),ISNUMBER(SEARCH("labour",P543)),ISNUMBER(SEARCH("worker",P543)),ISNUMBER(SEARCH("salary",P543))),"Labour &amp; employment",IF(OR(ISNUMBER(SEARCH("rti",P543)),ISNUMBER(SEARCH("transparency",P543)),ISNUMBER(SEARCH("corruption",P543)),ISNUMBER(SEARCH("governance",P543))),"Governance &amp; transparency",IF(OR(ISNUMBER(SEARCH("police",P543)),ISNUMBER(SEARCH("detention",P543)),ISNUMBER(SEARCH("civil rights",P543)),ISNUMBER(SEARCH("justice",P543))),"Civil rights &amp; justice",IF(OR(ISNUMBER(SEARCH("road",P543)),ISNUMBER(SEARCH("utility",P543)),ISNUMBER(SEARCH("infrastructure",P543)),ISNUMBER(SEARCH("public service",P543))),"Infrastructure &amp; public services","Other"))))))))))))</x:f>
      </x:c>
      <x:c r="J543" s="16" t="str">
        <x:f>IF(A543="","",IF(OR(ISNUMBER(SEARCH("fatal",Q543)),ISNUMBER(SEARCH("death",Q543)),ISNUMBER(SEARCH("riot",Q543)),ISNUMBER(SEARCH("curfew",Q543)),ISNUMBER(SEARCH("internet shutdown",Q543))),5,MIN(4,1+IF(H543&gt;=7,1,0)+IF(OR(ISNUMBER(SEARCH("hunger strike",Q543)),ISNUMBER(SEARCH("blockade",Q543)),ISNUMBER(SEARCH("strike",Q543)),ISNUMBER(SEARCH("jal satyagraha",Q543)),ISNUMBER(SEARCH("survey",Q543)),ISNUMBER(SEARCH("human chain",Q543)),ISNUMBER(SEARCH("march",Q543))),1,0)+IF(OR(ISNUMBER(SEARCH("fir",Q543)),ISNUMBER(SEARCH("confrontation",Q543)),ISNUMBER(SEARCH("violence",Q543)),ISNUMBER(SEARCH("detention",Q543)),ISNUMBER(SEARCH("arrest",Q543)),ISNUMBER(SEARCH("demolition",Q543)),ISNUMBER(SEARCH("injury",Q543))),1,0)+IF(OR(D543="Ongoing",D543="Unresolved"),1,0))))</x:f>
      </x:c>
      <x:c r="K543" s="16" t="str">
        <x:f>IF(J543="","",IF(J543=1,"Limited",IF(J543=2,"Local",IF(J543=3,"Significant",IF(J543=4,"High","Critical")))))</x:f>
      </x:c>
      <x:c r="L543" s="16" t="str">
        <x:f>IF(A543="","",Events!U542)</x:f>
      </x:c>
      <x:c r="M543" s="16" t="str">
        <x:f>IF(A543="","",Events!V542)</x:f>
      </x:c>
      <x:c r="N543" s="16" t="str">
        <x:f>IF(A543="","",Events!Q542)</x:f>
      </x:c>
      <x:c r="O543" s="16" t="str">
        <x:f>IF(A543="","",Events!R542)</x:f>
      </x:c>
      <x:c r="P543" s="16" t="str">
        <x:f>IF(A543="","",LOWER(Events!B542&amp;" "&amp;Events!D542&amp;" "&amp;Events!K542))</x:f>
      </x:c>
      <x:c r="Q543" s="16" t="str">
        <x:f>IF(A543="","",LOWER(Events!C542&amp;" "&amp;Events!K542&amp;" "&amp;Events!T542))</x:f>
      </x:c>
      <x:c r="R543" s="16" t="str">
        <x:f>IF(A543="","",IF(ISNUMBER(SEARCH("Occurrence verified",E543)),"Occurrence verified",E543))</x:f>
      </x:c>
      <x:c r="S543" s="79" t="str">
        <x:f>IF(A543="","",Events!X542)</x:f>
      </x:c>
      <x:c r="Z543" s="79" t="str">
        <x:f>IF(A543="","",Events!AD542)</x:f>
      </x:c>
      <x:c r="AA543" s="79" t="str">
        <x:f>IF(A543="","",Events!AE542)</x:f>
      </x:c>
    </x:row>
    <x:row r="544">
      <x:c r="A544" s="16" t="str">
        <x:f>IF(Events!A543="","",Events!A543)</x:f>
      </x:c>
      <x:c r="B544" s="16" t="str">
        <x:f>IF(A544="","",Events!B543)</x:f>
      </x:c>
      <x:c r="C544" s="16" t="str">
        <x:f>IF(A544="","",Events!E543)</x:f>
      </x:c>
      <x:c r="D544" s="16" t="str">
        <x:f>IF(A544="","",Events!J543)</x:f>
      </x:c>
      <x:c r="E544" s="16" t="str">
        <x:f>IF(A544="","",Events!N543)</x:f>
      </x:c>
      <x:c r="F544" s="109" t="str">
        <x:f>IF(OR(A544="",Events!H543=""),"",Events!H543)</x:f>
      </x:c>
      <x:c r="G544" s="109" t="str">
        <x:f>IF(A544="","",IF(Events!I543&lt;&gt;"",Events!I543,IF(Events!S543&lt;&gt;"",Events!S543,"")))</x:f>
      </x:c>
      <x:c r="H544" s="16" t="str">
        <x:f>IF(A544="","",Events!W543)</x:f>
      </x:c>
      <x:c r="I544" s="16" t="str">
        <x:f>IF(A544="","",IF(Events!Y543&lt;&gt;"",Events!Y543,IF(OR(ISNUMBER(SEARCH("education",P544)),ISNUMBER(SEARCH("exam",P544)),ISNUMBER(SEARCH("school",P544))),"Education",IF(OR(ISNUMBER(SEARCH("trade agreement",P544)),ISNUMBER(SEARCH("economic",P544)),ISNUMBER(SEARCH("import",P544))),"Trade &amp; economic policy",IF(OR(ISNUMBER(SEARCH("land acquisition",P544)),ISNUMBER(SEARCH("rehabilitation",P544)),ISNUMBER(SEARCH("displacement",P544)),ISNUMBER(SEARCH("township",P544))),"Land &amp; rehabilitation",IF(OR(ISNUMBER(SEARCH("forest",P544)),ISNUMBER(SEARCH("environment",P544)),ISNUMBER(SEARCH("ecological",P544)),ISNUMBER(SEARCH("biodiversity",P544)),ISNUMBER(SEARCH("green cover",P544))),"Environment",IF(OR(ISNUMBER(SEARCH("irrigation",P544)),ISNUMBER(SEARCH("water",P544)),ISNUMBER(SEARCH("crop",P544)),ISNUMBER(SEARCH("farmer",P544)),ISNUMBER(SEARCH("agriculture",P544))),"Agriculture &amp; water",IF(OR(ISNUMBER(SEARCH("health",P544)),ISNUMBER(SEARCH("hospital",P544)),ISNUMBER(SEARCH("medicine",P544))),"Public health",IF(OR(ISNUMBER(SEARCH("employee",P544)),ISNUMBER(SEARCH("labour",P544)),ISNUMBER(SEARCH("worker",P544)),ISNUMBER(SEARCH("salary",P544))),"Labour &amp; employment",IF(OR(ISNUMBER(SEARCH("rti",P544)),ISNUMBER(SEARCH("transparency",P544)),ISNUMBER(SEARCH("corruption",P544)),ISNUMBER(SEARCH("governance",P544))),"Governance &amp; transparency",IF(OR(ISNUMBER(SEARCH("police",P544)),ISNUMBER(SEARCH("detention",P544)),ISNUMBER(SEARCH("civil rights",P544)),ISNUMBER(SEARCH("justice",P544))),"Civil rights &amp; justice",IF(OR(ISNUMBER(SEARCH("road",P544)),ISNUMBER(SEARCH("utility",P544)),ISNUMBER(SEARCH("infrastructure",P544)),ISNUMBER(SEARCH("public service",P544))),"Infrastructure &amp; public services","Other"))))))))))))</x:f>
      </x:c>
      <x:c r="J544" s="16" t="str">
        <x:f>IF(A544="","",IF(OR(ISNUMBER(SEARCH("fatal",Q544)),ISNUMBER(SEARCH("death",Q544)),ISNUMBER(SEARCH("riot",Q544)),ISNUMBER(SEARCH("curfew",Q544)),ISNUMBER(SEARCH("internet shutdown",Q544))),5,MIN(4,1+IF(H544&gt;=7,1,0)+IF(OR(ISNUMBER(SEARCH("hunger strike",Q544)),ISNUMBER(SEARCH("blockade",Q544)),ISNUMBER(SEARCH("strike",Q544)),ISNUMBER(SEARCH("jal satyagraha",Q544)),ISNUMBER(SEARCH("survey",Q544)),ISNUMBER(SEARCH("human chain",Q544)),ISNUMBER(SEARCH("march",Q544))),1,0)+IF(OR(ISNUMBER(SEARCH("fir",Q544)),ISNUMBER(SEARCH("confrontation",Q544)),ISNUMBER(SEARCH("violence",Q544)),ISNUMBER(SEARCH("detention",Q544)),ISNUMBER(SEARCH("arrest",Q544)),ISNUMBER(SEARCH("demolition",Q544)),ISNUMBER(SEARCH("injury",Q544))),1,0)+IF(OR(D544="Ongoing",D544="Unresolved"),1,0))))</x:f>
      </x:c>
      <x:c r="K544" s="16" t="str">
        <x:f>IF(J544="","",IF(J544=1,"Limited",IF(J544=2,"Local",IF(J544=3,"Significant",IF(J544=4,"High","Critical")))))</x:f>
      </x:c>
      <x:c r="L544" s="16" t="str">
        <x:f>IF(A544="","",Events!U543)</x:f>
      </x:c>
      <x:c r="M544" s="16" t="str">
        <x:f>IF(A544="","",Events!V543)</x:f>
      </x:c>
      <x:c r="N544" s="16" t="str">
        <x:f>IF(A544="","",Events!Q543)</x:f>
      </x:c>
      <x:c r="O544" s="16" t="str">
        <x:f>IF(A544="","",Events!R543)</x:f>
      </x:c>
      <x:c r="P544" s="16" t="str">
        <x:f>IF(A544="","",LOWER(Events!B543&amp;" "&amp;Events!D543&amp;" "&amp;Events!K543))</x:f>
      </x:c>
      <x:c r="Q544" s="16" t="str">
        <x:f>IF(A544="","",LOWER(Events!C543&amp;" "&amp;Events!K543&amp;" "&amp;Events!T543))</x:f>
      </x:c>
      <x:c r="R544" s="16" t="str">
        <x:f>IF(A544="","",IF(ISNUMBER(SEARCH("Occurrence verified",E544)),"Occurrence verified",E544))</x:f>
      </x:c>
      <x:c r="S544" s="79" t="str">
        <x:f>IF(A544="","",Events!X543)</x:f>
      </x:c>
      <x:c r="Z544" s="79" t="str">
        <x:f>IF(A544="","",Events!AD543)</x:f>
      </x:c>
      <x:c r="AA544" s="79" t="str">
        <x:f>IF(A544="","",Events!AE543)</x:f>
      </x:c>
    </x:row>
    <x:row r="545">
      <x:c r="A545" s="16" t="str">
        <x:f>IF(Events!A544="","",Events!A544)</x:f>
      </x:c>
      <x:c r="B545" s="16" t="str">
        <x:f>IF(A545="","",Events!B544)</x:f>
      </x:c>
      <x:c r="C545" s="16" t="str">
        <x:f>IF(A545="","",Events!E544)</x:f>
      </x:c>
      <x:c r="D545" s="16" t="str">
        <x:f>IF(A545="","",Events!J544)</x:f>
      </x:c>
      <x:c r="E545" s="16" t="str">
        <x:f>IF(A545="","",Events!N544)</x:f>
      </x:c>
      <x:c r="F545" s="109" t="str">
        <x:f>IF(OR(A545="",Events!H544=""),"",Events!H544)</x:f>
      </x:c>
      <x:c r="G545" s="109" t="str">
        <x:f>IF(A545="","",IF(Events!I544&lt;&gt;"",Events!I544,IF(Events!S544&lt;&gt;"",Events!S544,"")))</x:f>
      </x:c>
      <x:c r="H545" s="16" t="str">
        <x:f>IF(A545="","",Events!W544)</x:f>
      </x:c>
      <x:c r="I545" s="16" t="str">
        <x:f>IF(A545="","",IF(Events!Y544&lt;&gt;"",Events!Y544,IF(OR(ISNUMBER(SEARCH("education",P545)),ISNUMBER(SEARCH("exam",P545)),ISNUMBER(SEARCH("school",P545))),"Education",IF(OR(ISNUMBER(SEARCH("trade agreement",P545)),ISNUMBER(SEARCH("economic",P545)),ISNUMBER(SEARCH("import",P545))),"Trade &amp; economic policy",IF(OR(ISNUMBER(SEARCH("land acquisition",P545)),ISNUMBER(SEARCH("rehabilitation",P545)),ISNUMBER(SEARCH("displacement",P545)),ISNUMBER(SEARCH("township",P545))),"Land &amp; rehabilitation",IF(OR(ISNUMBER(SEARCH("forest",P545)),ISNUMBER(SEARCH("environment",P545)),ISNUMBER(SEARCH("ecological",P545)),ISNUMBER(SEARCH("biodiversity",P545)),ISNUMBER(SEARCH("green cover",P545))),"Environment",IF(OR(ISNUMBER(SEARCH("irrigation",P545)),ISNUMBER(SEARCH("water",P545)),ISNUMBER(SEARCH("crop",P545)),ISNUMBER(SEARCH("farmer",P545)),ISNUMBER(SEARCH("agriculture",P545))),"Agriculture &amp; water",IF(OR(ISNUMBER(SEARCH("health",P545)),ISNUMBER(SEARCH("hospital",P545)),ISNUMBER(SEARCH("medicine",P545))),"Public health",IF(OR(ISNUMBER(SEARCH("employee",P545)),ISNUMBER(SEARCH("labour",P545)),ISNUMBER(SEARCH("worker",P545)),ISNUMBER(SEARCH("salary",P545))),"Labour &amp; employment",IF(OR(ISNUMBER(SEARCH("rti",P545)),ISNUMBER(SEARCH("transparency",P545)),ISNUMBER(SEARCH("corruption",P545)),ISNUMBER(SEARCH("governance",P545))),"Governance &amp; transparency",IF(OR(ISNUMBER(SEARCH("police",P545)),ISNUMBER(SEARCH("detention",P545)),ISNUMBER(SEARCH("civil rights",P545)),ISNUMBER(SEARCH("justice",P545))),"Civil rights &amp; justice",IF(OR(ISNUMBER(SEARCH("road",P545)),ISNUMBER(SEARCH("utility",P545)),ISNUMBER(SEARCH("infrastructure",P545)),ISNUMBER(SEARCH("public service",P545))),"Infrastructure &amp; public services","Other"))))))))))))</x:f>
      </x:c>
      <x:c r="J545" s="16" t="str">
        <x:f>IF(A545="","",IF(OR(ISNUMBER(SEARCH("fatal",Q545)),ISNUMBER(SEARCH("death",Q545)),ISNUMBER(SEARCH("riot",Q545)),ISNUMBER(SEARCH("curfew",Q545)),ISNUMBER(SEARCH("internet shutdown",Q545))),5,MIN(4,1+IF(H545&gt;=7,1,0)+IF(OR(ISNUMBER(SEARCH("hunger strike",Q545)),ISNUMBER(SEARCH("blockade",Q545)),ISNUMBER(SEARCH("strike",Q545)),ISNUMBER(SEARCH("jal satyagraha",Q545)),ISNUMBER(SEARCH("survey",Q545)),ISNUMBER(SEARCH("human chain",Q545)),ISNUMBER(SEARCH("march",Q545))),1,0)+IF(OR(ISNUMBER(SEARCH("fir",Q545)),ISNUMBER(SEARCH("confrontation",Q545)),ISNUMBER(SEARCH("violence",Q545)),ISNUMBER(SEARCH("detention",Q545)),ISNUMBER(SEARCH("arrest",Q545)),ISNUMBER(SEARCH("demolition",Q545)),ISNUMBER(SEARCH("injury",Q545))),1,0)+IF(OR(D545="Ongoing",D545="Unresolved"),1,0))))</x:f>
      </x:c>
      <x:c r="K545" s="16" t="str">
        <x:f>IF(J545="","",IF(J545=1,"Limited",IF(J545=2,"Local",IF(J545=3,"Significant",IF(J545=4,"High","Critical")))))</x:f>
      </x:c>
      <x:c r="L545" s="16" t="str">
        <x:f>IF(A545="","",Events!U544)</x:f>
      </x:c>
      <x:c r="M545" s="16" t="str">
        <x:f>IF(A545="","",Events!V544)</x:f>
      </x:c>
      <x:c r="N545" s="16" t="str">
        <x:f>IF(A545="","",Events!Q544)</x:f>
      </x:c>
      <x:c r="O545" s="16" t="str">
        <x:f>IF(A545="","",Events!R544)</x:f>
      </x:c>
      <x:c r="P545" s="16" t="str">
        <x:f>IF(A545="","",LOWER(Events!B544&amp;" "&amp;Events!D544&amp;" "&amp;Events!K544))</x:f>
      </x:c>
      <x:c r="Q545" s="16" t="str">
        <x:f>IF(A545="","",LOWER(Events!C544&amp;" "&amp;Events!K544&amp;" "&amp;Events!T544))</x:f>
      </x:c>
      <x:c r="R545" s="16" t="str">
        <x:f>IF(A545="","",IF(ISNUMBER(SEARCH("Occurrence verified",E545)),"Occurrence verified",E545))</x:f>
      </x:c>
      <x:c r="S545" s="79" t="str">
        <x:f>IF(A545="","",Events!X544)</x:f>
      </x:c>
      <x:c r="Z545" s="79" t="str">
        <x:f>IF(A545="","",Events!AD544)</x:f>
      </x:c>
      <x:c r="AA545" s="79" t="str">
        <x:f>IF(A545="","",Events!AE544)</x:f>
      </x:c>
    </x:row>
    <x:row r="546">
      <x:c r="A546" s="16" t="str">
        <x:f>IF(Events!A545="","",Events!A545)</x:f>
      </x:c>
      <x:c r="B546" s="16" t="str">
        <x:f>IF(A546="","",Events!B545)</x:f>
      </x:c>
      <x:c r="C546" s="16" t="str">
        <x:f>IF(A546="","",Events!E545)</x:f>
      </x:c>
      <x:c r="D546" s="16" t="str">
        <x:f>IF(A546="","",Events!J545)</x:f>
      </x:c>
      <x:c r="E546" s="16" t="str">
        <x:f>IF(A546="","",Events!N545)</x:f>
      </x:c>
      <x:c r="F546" s="109" t="str">
        <x:f>IF(OR(A546="",Events!H545=""),"",Events!H545)</x:f>
      </x:c>
      <x:c r="G546" s="109" t="str">
        <x:f>IF(A546="","",IF(Events!I545&lt;&gt;"",Events!I545,IF(Events!S545&lt;&gt;"",Events!S545,"")))</x:f>
      </x:c>
      <x:c r="H546" s="16" t="str">
        <x:f>IF(A546="","",Events!W545)</x:f>
      </x:c>
      <x:c r="I546" s="16" t="str">
        <x:f>IF(A546="","",IF(Events!Y545&lt;&gt;"",Events!Y545,IF(OR(ISNUMBER(SEARCH("education",P546)),ISNUMBER(SEARCH("exam",P546)),ISNUMBER(SEARCH("school",P546))),"Education",IF(OR(ISNUMBER(SEARCH("trade agreement",P546)),ISNUMBER(SEARCH("economic",P546)),ISNUMBER(SEARCH("import",P546))),"Trade &amp; economic policy",IF(OR(ISNUMBER(SEARCH("land acquisition",P546)),ISNUMBER(SEARCH("rehabilitation",P546)),ISNUMBER(SEARCH("displacement",P546)),ISNUMBER(SEARCH("township",P546))),"Land &amp; rehabilitation",IF(OR(ISNUMBER(SEARCH("forest",P546)),ISNUMBER(SEARCH("environment",P546)),ISNUMBER(SEARCH("ecological",P546)),ISNUMBER(SEARCH("biodiversity",P546)),ISNUMBER(SEARCH("green cover",P546))),"Environment",IF(OR(ISNUMBER(SEARCH("irrigation",P546)),ISNUMBER(SEARCH("water",P546)),ISNUMBER(SEARCH("crop",P546)),ISNUMBER(SEARCH("farmer",P546)),ISNUMBER(SEARCH("agriculture",P546))),"Agriculture &amp; water",IF(OR(ISNUMBER(SEARCH("health",P546)),ISNUMBER(SEARCH("hospital",P546)),ISNUMBER(SEARCH("medicine",P546))),"Public health",IF(OR(ISNUMBER(SEARCH("employee",P546)),ISNUMBER(SEARCH("labour",P546)),ISNUMBER(SEARCH("worker",P546)),ISNUMBER(SEARCH("salary",P546))),"Labour &amp; employment",IF(OR(ISNUMBER(SEARCH("rti",P546)),ISNUMBER(SEARCH("transparency",P546)),ISNUMBER(SEARCH("corruption",P546)),ISNUMBER(SEARCH("governance",P546))),"Governance &amp; transparency",IF(OR(ISNUMBER(SEARCH("police",P546)),ISNUMBER(SEARCH("detention",P546)),ISNUMBER(SEARCH("civil rights",P546)),ISNUMBER(SEARCH("justice",P546))),"Civil rights &amp; justice",IF(OR(ISNUMBER(SEARCH("road",P546)),ISNUMBER(SEARCH("utility",P546)),ISNUMBER(SEARCH("infrastructure",P546)),ISNUMBER(SEARCH("public service",P546))),"Infrastructure &amp; public services","Other"))))))))))))</x:f>
      </x:c>
      <x:c r="J546" s="16" t="str">
        <x:f>IF(A546="","",IF(OR(ISNUMBER(SEARCH("fatal",Q546)),ISNUMBER(SEARCH("death",Q546)),ISNUMBER(SEARCH("riot",Q546)),ISNUMBER(SEARCH("curfew",Q546)),ISNUMBER(SEARCH("internet shutdown",Q546))),5,MIN(4,1+IF(H546&gt;=7,1,0)+IF(OR(ISNUMBER(SEARCH("hunger strike",Q546)),ISNUMBER(SEARCH("blockade",Q546)),ISNUMBER(SEARCH("strike",Q546)),ISNUMBER(SEARCH("jal satyagraha",Q546)),ISNUMBER(SEARCH("survey",Q546)),ISNUMBER(SEARCH("human chain",Q546)),ISNUMBER(SEARCH("march",Q546))),1,0)+IF(OR(ISNUMBER(SEARCH("fir",Q546)),ISNUMBER(SEARCH("confrontation",Q546)),ISNUMBER(SEARCH("violence",Q546)),ISNUMBER(SEARCH("detention",Q546)),ISNUMBER(SEARCH("arrest",Q546)),ISNUMBER(SEARCH("demolition",Q546)),ISNUMBER(SEARCH("injury",Q546))),1,0)+IF(OR(D546="Ongoing",D546="Unresolved"),1,0))))</x:f>
      </x:c>
      <x:c r="K546" s="16" t="str">
        <x:f>IF(J546="","",IF(J546=1,"Limited",IF(J546=2,"Local",IF(J546=3,"Significant",IF(J546=4,"High","Critical")))))</x:f>
      </x:c>
      <x:c r="L546" s="16" t="str">
        <x:f>IF(A546="","",Events!U545)</x:f>
      </x:c>
      <x:c r="M546" s="16" t="str">
        <x:f>IF(A546="","",Events!V545)</x:f>
      </x:c>
      <x:c r="N546" s="16" t="str">
        <x:f>IF(A546="","",Events!Q545)</x:f>
      </x:c>
      <x:c r="O546" s="16" t="str">
        <x:f>IF(A546="","",Events!R545)</x:f>
      </x:c>
      <x:c r="P546" s="16" t="str">
        <x:f>IF(A546="","",LOWER(Events!B545&amp;" "&amp;Events!D545&amp;" "&amp;Events!K545))</x:f>
      </x:c>
      <x:c r="Q546" s="16" t="str">
        <x:f>IF(A546="","",LOWER(Events!C545&amp;" "&amp;Events!K545&amp;" "&amp;Events!T545))</x:f>
      </x:c>
      <x:c r="R546" s="16" t="str">
        <x:f>IF(A546="","",IF(ISNUMBER(SEARCH("Occurrence verified",E546)),"Occurrence verified",E546))</x:f>
      </x:c>
      <x:c r="S546" s="79" t="str">
        <x:f>IF(A546="","",Events!X545)</x:f>
      </x:c>
      <x:c r="Z546" s="79" t="str">
        <x:f>IF(A546="","",Events!AD545)</x:f>
      </x:c>
      <x:c r="AA546" s="79" t="str">
        <x:f>IF(A546="","",Events!AE545)</x:f>
      </x:c>
    </x:row>
    <x:row r="547">
      <x:c r="A547" s="16" t="str">
        <x:f>IF(Events!A546="","",Events!A546)</x:f>
      </x:c>
      <x:c r="B547" s="16" t="str">
        <x:f>IF(A547="","",Events!B546)</x:f>
      </x:c>
      <x:c r="C547" s="16" t="str">
        <x:f>IF(A547="","",Events!E546)</x:f>
      </x:c>
      <x:c r="D547" s="16" t="str">
        <x:f>IF(A547="","",Events!J546)</x:f>
      </x:c>
      <x:c r="E547" s="16" t="str">
        <x:f>IF(A547="","",Events!N546)</x:f>
      </x:c>
      <x:c r="F547" s="109" t="str">
        <x:f>IF(OR(A547="",Events!H546=""),"",Events!H546)</x:f>
      </x:c>
      <x:c r="G547" s="109" t="str">
        <x:f>IF(A547="","",IF(Events!I546&lt;&gt;"",Events!I546,IF(Events!S546&lt;&gt;"",Events!S546,"")))</x:f>
      </x:c>
      <x:c r="H547" s="16" t="str">
        <x:f>IF(A547="","",Events!W546)</x:f>
      </x:c>
      <x:c r="I547" s="16" t="str">
        <x:f>IF(A547="","",IF(Events!Y546&lt;&gt;"",Events!Y546,IF(OR(ISNUMBER(SEARCH("education",P547)),ISNUMBER(SEARCH("exam",P547)),ISNUMBER(SEARCH("school",P547))),"Education",IF(OR(ISNUMBER(SEARCH("trade agreement",P547)),ISNUMBER(SEARCH("economic",P547)),ISNUMBER(SEARCH("import",P547))),"Trade &amp; economic policy",IF(OR(ISNUMBER(SEARCH("land acquisition",P547)),ISNUMBER(SEARCH("rehabilitation",P547)),ISNUMBER(SEARCH("displacement",P547)),ISNUMBER(SEARCH("township",P547))),"Land &amp; rehabilitation",IF(OR(ISNUMBER(SEARCH("forest",P547)),ISNUMBER(SEARCH("environment",P547)),ISNUMBER(SEARCH("ecological",P547)),ISNUMBER(SEARCH("biodiversity",P547)),ISNUMBER(SEARCH("green cover",P547))),"Environment",IF(OR(ISNUMBER(SEARCH("irrigation",P547)),ISNUMBER(SEARCH("water",P547)),ISNUMBER(SEARCH("crop",P547)),ISNUMBER(SEARCH("farmer",P547)),ISNUMBER(SEARCH("agriculture",P547))),"Agriculture &amp; water",IF(OR(ISNUMBER(SEARCH("health",P547)),ISNUMBER(SEARCH("hospital",P547)),ISNUMBER(SEARCH("medicine",P547))),"Public health",IF(OR(ISNUMBER(SEARCH("employee",P547)),ISNUMBER(SEARCH("labour",P547)),ISNUMBER(SEARCH("worker",P547)),ISNUMBER(SEARCH("salary",P547))),"Labour &amp; employment",IF(OR(ISNUMBER(SEARCH("rti",P547)),ISNUMBER(SEARCH("transparency",P547)),ISNUMBER(SEARCH("corruption",P547)),ISNUMBER(SEARCH("governance",P547))),"Governance &amp; transparency",IF(OR(ISNUMBER(SEARCH("police",P547)),ISNUMBER(SEARCH("detention",P547)),ISNUMBER(SEARCH("civil rights",P547)),ISNUMBER(SEARCH("justice",P547))),"Civil rights &amp; justice",IF(OR(ISNUMBER(SEARCH("road",P547)),ISNUMBER(SEARCH("utility",P547)),ISNUMBER(SEARCH("infrastructure",P547)),ISNUMBER(SEARCH("public service",P547))),"Infrastructure &amp; public services","Other"))))))))))))</x:f>
      </x:c>
      <x:c r="J547" s="16" t="str">
        <x:f>IF(A547="","",IF(OR(ISNUMBER(SEARCH("fatal",Q547)),ISNUMBER(SEARCH("death",Q547)),ISNUMBER(SEARCH("riot",Q547)),ISNUMBER(SEARCH("curfew",Q547)),ISNUMBER(SEARCH("internet shutdown",Q547))),5,MIN(4,1+IF(H547&gt;=7,1,0)+IF(OR(ISNUMBER(SEARCH("hunger strike",Q547)),ISNUMBER(SEARCH("blockade",Q547)),ISNUMBER(SEARCH("strike",Q547)),ISNUMBER(SEARCH("jal satyagraha",Q547)),ISNUMBER(SEARCH("survey",Q547)),ISNUMBER(SEARCH("human chain",Q547)),ISNUMBER(SEARCH("march",Q547))),1,0)+IF(OR(ISNUMBER(SEARCH("fir",Q547)),ISNUMBER(SEARCH("confrontation",Q547)),ISNUMBER(SEARCH("violence",Q547)),ISNUMBER(SEARCH("detention",Q547)),ISNUMBER(SEARCH("arrest",Q547)),ISNUMBER(SEARCH("demolition",Q547)),ISNUMBER(SEARCH("injury",Q547))),1,0)+IF(OR(D547="Ongoing",D547="Unresolved"),1,0))))</x:f>
      </x:c>
      <x:c r="K547" s="16" t="str">
        <x:f>IF(J547="","",IF(J547=1,"Limited",IF(J547=2,"Local",IF(J547=3,"Significant",IF(J547=4,"High","Critical")))))</x:f>
      </x:c>
      <x:c r="L547" s="16" t="str">
        <x:f>IF(A547="","",Events!U546)</x:f>
      </x:c>
      <x:c r="M547" s="16" t="str">
        <x:f>IF(A547="","",Events!V546)</x:f>
      </x:c>
      <x:c r="N547" s="16" t="str">
        <x:f>IF(A547="","",Events!Q546)</x:f>
      </x:c>
      <x:c r="O547" s="16" t="str">
        <x:f>IF(A547="","",Events!R546)</x:f>
      </x:c>
      <x:c r="P547" s="16" t="str">
        <x:f>IF(A547="","",LOWER(Events!B546&amp;" "&amp;Events!D546&amp;" "&amp;Events!K546))</x:f>
      </x:c>
      <x:c r="Q547" s="16" t="str">
        <x:f>IF(A547="","",LOWER(Events!C546&amp;" "&amp;Events!K546&amp;" "&amp;Events!T546))</x:f>
      </x:c>
      <x:c r="R547" s="16" t="str">
        <x:f>IF(A547="","",IF(ISNUMBER(SEARCH("Occurrence verified",E547)),"Occurrence verified",E547))</x:f>
      </x:c>
      <x:c r="S547" s="79" t="str">
        <x:f>IF(A547="","",Events!X546)</x:f>
      </x:c>
      <x:c r="Z547" s="79" t="str">
        <x:f>IF(A547="","",Events!AD546)</x:f>
      </x:c>
      <x:c r="AA547" s="79" t="str">
        <x:f>IF(A547="","",Events!AE546)</x:f>
      </x:c>
    </x:row>
    <x:row r="548">
      <x:c r="A548" s="16" t="str">
        <x:f>IF(Events!A547="","",Events!A547)</x:f>
      </x:c>
      <x:c r="B548" s="16" t="str">
        <x:f>IF(A548="","",Events!B547)</x:f>
      </x:c>
      <x:c r="C548" s="16" t="str">
        <x:f>IF(A548="","",Events!E547)</x:f>
      </x:c>
      <x:c r="D548" s="16" t="str">
        <x:f>IF(A548="","",Events!J547)</x:f>
      </x:c>
      <x:c r="E548" s="16" t="str">
        <x:f>IF(A548="","",Events!N547)</x:f>
      </x:c>
      <x:c r="F548" s="109" t="str">
        <x:f>IF(OR(A548="",Events!H547=""),"",Events!H547)</x:f>
      </x:c>
      <x:c r="G548" s="109" t="str">
        <x:f>IF(A548="","",IF(Events!I547&lt;&gt;"",Events!I547,IF(Events!S547&lt;&gt;"",Events!S547,"")))</x:f>
      </x:c>
      <x:c r="H548" s="16" t="str">
        <x:f>IF(A548="","",Events!W547)</x:f>
      </x:c>
      <x:c r="I548" s="16" t="str">
        <x:f>IF(A548="","",IF(Events!Y547&lt;&gt;"",Events!Y547,IF(OR(ISNUMBER(SEARCH("education",P548)),ISNUMBER(SEARCH("exam",P548)),ISNUMBER(SEARCH("school",P548))),"Education",IF(OR(ISNUMBER(SEARCH("trade agreement",P548)),ISNUMBER(SEARCH("economic",P548)),ISNUMBER(SEARCH("import",P548))),"Trade &amp; economic policy",IF(OR(ISNUMBER(SEARCH("land acquisition",P548)),ISNUMBER(SEARCH("rehabilitation",P548)),ISNUMBER(SEARCH("displacement",P548)),ISNUMBER(SEARCH("township",P548))),"Land &amp; rehabilitation",IF(OR(ISNUMBER(SEARCH("forest",P548)),ISNUMBER(SEARCH("environment",P548)),ISNUMBER(SEARCH("ecological",P548)),ISNUMBER(SEARCH("biodiversity",P548)),ISNUMBER(SEARCH("green cover",P548))),"Environment",IF(OR(ISNUMBER(SEARCH("irrigation",P548)),ISNUMBER(SEARCH("water",P548)),ISNUMBER(SEARCH("crop",P548)),ISNUMBER(SEARCH("farmer",P548)),ISNUMBER(SEARCH("agriculture",P548))),"Agriculture &amp; water",IF(OR(ISNUMBER(SEARCH("health",P548)),ISNUMBER(SEARCH("hospital",P548)),ISNUMBER(SEARCH("medicine",P548))),"Public health",IF(OR(ISNUMBER(SEARCH("employee",P548)),ISNUMBER(SEARCH("labour",P548)),ISNUMBER(SEARCH("worker",P548)),ISNUMBER(SEARCH("salary",P548))),"Labour &amp; employment",IF(OR(ISNUMBER(SEARCH("rti",P548)),ISNUMBER(SEARCH("transparency",P548)),ISNUMBER(SEARCH("corruption",P548)),ISNUMBER(SEARCH("governance",P548))),"Governance &amp; transparency",IF(OR(ISNUMBER(SEARCH("police",P548)),ISNUMBER(SEARCH("detention",P548)),ISNUMBER(SEARCH("civil rights",P548)),ISNUMBER(SEARCH("justice",P548))),"Civil rights &amp; justice",IF(OR(ISNUMBER(SEARCH("road",P548)),ISNUMBER(SEARCH("utility",P548)),ISNUMBER(SEARCH("infrastructure",P548)),ISNUMBER(SEARCH("public service",P548))),"Infrastructure &amp; public services","Other"))))))))))))</x:f>
      </x:c>
      <x:c r="J548" s="16" t="str">
        <x:f>IF(A548="","",IF(OR(ISNUMBER(SEARCH("fatal",Q548)),ISNUMBER(SEARCH("death",Q548)),ISNUMBER(SEARCH("riot",Q548)),ISNUMBER(SEARCH("curfew",Q548)),ISNUMBER(SEARCH("internet shutdown",Q548))),5,MIN(4,1+IF(H548&gt;=7,1,0)+IF(OR(ISNUMBER(SEARCH("hunger strike",Q548)),ISNUMBER(SEARCH("blockade",Q548)),ISNUMBER(SEARCH("strike",Q548)),ISNUMBER(SEARCH("jal satyagraha",Q548)),ISNUMBER(SEARCH("survey",Q548)),ISNUMBER(SEARCH("human chain",Q548)),ISNUMBER(SEARCH("march",Q548))),1,0)+IF(OR(ISNUMBER(SEARCH("fir",Q548)),ISNUMBER(SEARCH("confrontation",Q548)),ISNUMBER(SEARCH("violence",Q548)),ISNUMBER(SEARCH("detention",Q548)),ISNUMBER(SEARCH("arrest",Q548)),ISNUMBER(SEARCH("demolition",Q548)),ISNUMBER(SEARCH("injury",Q548))),1,0)+IF(OR(D548="Ongoing",D548="Unresolved"),1,0))))</x:f>
      </x:c>
      <x:c r="K548" s="16" t="str">
        <x:f>IF(J548="","",IF(J548=1,"Limited",IF(J548=2,"Local",IF(J548=3,"Significant",IF(J548=4,"High","Critical")))))</x:f>
      </x:c>
      <x:c r="L548" s="16" t="str">
        <x:f>IF(A548="","",Events!U547)</x:f>
      </x:c>
      <x:c r="M548" s="16" t="str">
        <x:f>IF(A548="","",Events!V547)</x:f>
      </x:c>
      <x:c r="N548" s="16" t="str">
        <x:f>IF(A548="","",Events!Q547)</x:f>
      </x:c>
      <x:c r="O548" s="16" t="str">
        <x:f>IF(A548="","",Events!R547)</x:f>
      </x:c>
      <x:c r="P548" s="16" t="str">
        <x:f>IF(A548="","",LOWER(Events!B547&amp;" "&amp;Events!D547&amp;" "&amp;Events!K547))</x:f>
      </x:c>
      <x:c r="Q548" s="16" t="str">
        <x:f>IF(A548="","",LOWER(Events!C547&amp;" "&amp;Events!K547&amp;" "&amp;Events!T547))</x:f>
      </x:c>
      <x:c r="R548" s="16" t="str">
        <x:f>IF(A548="","",IF(ISNUMBER(SEARCH("Occurrence verified",E548)),"Occurrence verified",E548))</x:f>
      </x:c>
      <x:c r="S548" s="79" t="str">
        <x:f>IF(A548="","",Events!X547)</x:f>
      </x:c>
      <x:c r="Z548" s="79" t="str">
        <x:f>IF(A548="","",Events!AD547)</x:f>
      </x:c>
      <x:c r="AA548" s="79" t="str">
        <x:f>IF(A548="","",Events!AE547)</x:f>
      </x:c>
    </x:row>
    <x:row r="549">
      <x:c r="A549" s="16" t="str">
        <x:f>IF(Events!A548="","",Events!A548)</x:f>
      </x:c>
      <x:c r="B549" s="16" t="str">
        <x:f>IF(A549="","",Events!B548)</x:f>
      </x:c>
      <x:c r="C549" s="16" t="str">
        <x:f>IF(A549="","",Events!E548)</x:f>
      </x:c>
      <x:c r="D549" s="16" t="str">
        <x:f>IF(A549="","",Events!J548)</x:f>
      </x:c>
      <x:c r="E549" s="16" t="str">
        <x:f>IF(A549="","",Events!N548)</x:f>
      </x:c>
      <x:c r="F549" s="109" t="str">
        <x:f>IF(OR(A549="",Events!H548=""),"",Events!H548)</x:f>
      </x:c>
      <x:c r="G549" s="109" t="str">
        <x:f>IF(A549="","",IF(Events!I548&lt;&gt;"",Events!I548,IF(Events!S548&lt;&gt;"",Events!S548,"")))</x:f>
      </x:c>
      <x:c r="H549" s="16" t="str">
        <x:f>IF(A549="","",Events!W548)</x:f>
      </x:c>
      <x:c r="I549" s="16" t="str">
        <x:f>IF(A549="","",IF(Events!Y548&lt;&gt;"",Events!Y548,IF(OR(ISNUMBER(SEARCH("education",P549)),ISNUMBER(SEARCH("exam",P549)),ISNUMBER(SEARCH("school",P549))),"Education",IF(OR(ISNUMBER(SEARCH("trade agreement",P549)),ISNUMBER(SEARCH("economic",P549)),ISNUMBER(SEARCH("import",P549))),"Trade &amp; economic policy",IF(OR(ISNUMBER(SEARCH("land acquisition",P549)),ISNUMBER(SEARCH("rehabilitation",P549)),ISNUMBER(SEARCH("displacement",P549)),ISNUMBER(SEARCH("township",P549))),"Land &amp; rehabilitation",IF(OR(ISNUMBER(SEARCH("forest",P549)),ISNUMBER(SEARCH("environment",P549)),ISNUMBER(SEARCH("ecological",P549)),ISNUMBER(SEARCH("biodiversity",P549)),ISNUMBER(SEARCH("green cover",P549))),"Environment",IF(OR(ISNUMBER(SEARCH("irrigation",P549)),ISNUMBER(SEARCH("water",P549)),ISNUMBER(SEARCH("crop",P549)),ISNUMBER(SEARCH("farmer",P549)),ISNUMBER(SEARCH("agriculture",P549))),"Agriculture &amp; water",IF(OR(ISNUMBER(SEARCH("health",P549)),ISNUMBER(SEARCH("hospital",P549)),ISNUMBER(SEARCH("medicine",P549))),"Public health",IF(OR(ISNUMBER(SEARCH("employee",P549)),ISNUMBER(SEARCH("labour",P549)),ISNUMBER(SEARCH("worker",P549)),ISNUMBER(SEARCH("salary",P549))),"Labour &amp; employment",IF(OR(ISNUMBER(SEARCH("rti",P549)),ISNUMBER(SEARCH("transparency",P549)),ISNUMBER(SEARCH("corruption",P549)),ISNUMBER(SEARCH("governance",P549))),"Governance &amp; transparency",IF(OR(ISNUMBER(SEARCH("police",P549)),ISNUMBER(SEARCH("detention",P549)),ISNUMBER(SEARCH("civil rights",P549)),ISNUMBER(SEARCH("justice",P549))),"Civil rights &amp; justice",IF(OR(ISNUMBER(SEARCH("road",P549)),ISNUMBER(SEARCH("utility",P549)),ISNUMBER(SEARCH("infrastructure",P549)),ISNUMBER(SEARCH("public service",P549))),"Infrastructure &amp; public services","Other"))))))))))))</x:f>
      </x:c>
      <x:c r="J549" s="16" t="str">
        <x:f>IF(A549="","",IF(OR(ISNUMBER(SEARCH("fatal",Q549)),ISNUMBER(SEARCH("death",Q549)),ISNUMBER(SEARCH("riot",Q549)),ISNUMBER(SEARCH("curfew",Q549)),ISNUMBER(SEARCH("internet shutdown",Q549))),5,MIN(4,1+IF(H549&gt;=7,1,0)+IF(OR(ISNUMBER(SEARCH("hunger strike",Q549)),ISNUMBER(SEARCH("blockade",Q549)),ISNUMBER(SEARCH("strike",Q549)),ISNUMBER(SEARCH("jal satyagraha",Q549)),ISNUMBER(SEARCH("survey",Q549)),ISNUMBER(SEARCH("human chain",Q549)),ISNUMBER(SEARCH("march",Q549))),1,0)+IF(OR(ISNUMBER(SEARCH("fir",Q549)),ISNUMBER(SEARCH("confrontation",Q549)),ISNUMBER(SEARCH("violence",Q549)),ISNUMBER(SEARCH("detention",Q549)),ISNUMBER(SEARCH("arrest",Q549)),ISNUMBER(SEARCH("demolition",Q549)),ISNUMBER(SEARCH("injury",Q549))),1,0)+IF(OR(D549="Ongoing",D549="Unresolved"),1,0))))</x:f>
      </x:c>
      <x:c r="K549" s="16" t="str">
        <x:f>IF(J549="","",IF(J549=1,"Limited",IF(J549=2,"Local",IF(J549=3,"Significant",IF(J549=4,"High","Critical")))))</x:f>
      </x:c>
      <x:c r="L549" s="16" t="str">
        <x:f>IF(A549="","",Events!U548)</x:f>
      </x:c>
      <x:c r="M549" s="16" t="str">
        <x:f>IF(A549="","",Events!V548)</x:f>
      </x:c>
      <x:c r="N549" s="16" t="str">
        <x:f>IF(A549="","",Events!Q548)</x:f>
      </x:c>
      <x:c r="O549" s="16" t="str">
        <x:f>IF(A549="","",Events!R548)</x:f>
      </x:c>
      <x:c r="P549" s="16" t="str">
        <x:f>IF(A549="","",LOWER(Events!B548&amp;" "&amp;Events!D548&amp;" "&amp;Events!K548))</x:f>
      </x:c>
      <x:c r="Q549" s="16" t="str">
        <x:f>IF(A549="","",LOWER(Events!C548&amp;" "&amp;Events!K548&amp;" "&amp;Events!T548))</x:f>
      </x:c>
      <x:c r="R549" s="16" t="str">
        <x:f>IF(A549="","",IF(ISNUMBER(SEARCH("Occurrence verified",E549)),"Occurrence verified",E549))</x:f>
      </x:c>
      <x:c r="S549" s="79" t="str">
        <x:f>IF(A549="","",Events!X548)</x:f>
      </x:c>
      <x:c r="Z549" s="79" t="str">
        <x:f>IF(A549="","",Events!AD548)</x:f>
      </x:c>
      <x:c r="AA549" s="79" t="str">
        <x:f>IF(A549="","",Events!AE548)</x:f>
      </x:c>
    </x:row>
    <x:row r="550">
      <x:c r="A550" s="16" t="str">
        <x:f>IF(Events!A549="","",Events!A549)</x:f>
      </x:c>
      <x:c r="B550" s="16" t="str">
        <x:f>IF(A550="","",Events!B549)</x:f>
      </x:c>
      <x:c r="C550" s="16" t="str">
        <x:f>IF(A550="","",Events!E549)</x:f>
      </x:c>
      <x:c r="D550" s="16" t="str">
        <x:f>IF(A550="","",Events!J549)</x:f>
      </x:c>
      <x:c r="E550" s="16" t="str">
        <x:f>IF(A550="","",Events!N549)</x:f>
      </x:c>
      <x:c r="F550" s="109" t="str">
        <x:f>IF(OR(A550="",Events!H549=""),"",Events!H549)</x:f>
      </x:c>
      <x:c r="G550" s="109" t="str">
        <x:f>IF(A550="","",IF(Events!I549&lt;&gt;"",Events!I549,IF(Events!S549&lt;&gt;"",Events!S549,"")))</x:f>
      </x:c>
      <x:c r="H550" s="16" t="str">
        <x:f>IF(A550="","",Events!W549)</x:f>
      </x:c>
      <x:c r="I550" s="16" t="str">
        <x:f>IF(A550="","",IF(Events!Y549&lt;&gt;"",Events!Y549,IF(OR(ISNUMBER(SEARCH("education",P550)),ISNUMBER(SEARCH("exam",P550)),ISNUMBER(SEARCH("school",P550))),"Education",IF(OR(ISNUMBER(SEARCH("trade agreement",P550)),ISNUMBER(SEARCH("economic",P550)),ISNUMBER(SEARCH("import",P550))),"Trade &amp; economic policy",IF(OR(ISNUMBER(SEARCH("land acquisition",P550)),ISNUMBER(SEARCH("rehabilitation",P550)),ISNUMBER(SEARCH("displacement",P550)),ISNUMBER(SEARCH("township",P550))),"Land &amp; rehabilitation",IF(OR(ISNUMBER(SEARCH("forest",P550)),ISNUMBER(SEARCH("environment",P550)),ISNUMBER(SEARCH("ecological",P550)),ISNUMBER(SEARCH("biodiversity",P550)),ISNUMBER(SEARCH("green cover",P550))),"Environment",IF(OR(ISNUMBER(SEARCH("irrigation",P550)),ISNUMBER(SEARCH("water",P550)),ISNUMBER(SEARCH("crop",P550)),ISNUMBER(SEARCH("farmer",P550)),ISNUMBER(SEARCH("agriculture",P550))),"Agriculture &amp; water",IF(OR(ISNUMBER(SEARCH("health",P550)),ISNUMBER(SEARCH("hospital",P550)),ISNUMBER(SEARCH("medicine",P550))),"Public health",IF(OR(ISNUMBER(SEARCH("employee",P550)),ISNUMBER(SEARCH("labour",P550)),ISNUMBER(SEARCH("worker",P550)),ISNUMBER(SEARCH("salary",P550))),"Labour &amp; employment",IF(OR(ISNUMBER(SEARCH("rti",P550)),ISNUMBER(SEARCH("transparency",P550)),ISNUMBER(SEARCH("corruption",P550)),ISNUMBER(SEARCH("governance",P550))),"Governance &amp; transparency",IF(OR(ISNUMBER(SEARCH("police",P550)),ISNUMBER(SEARCH("detention",P550)),ISNUMBER(SEARCH("civil rights",P550)),ISNUMBER(SEARCH("justice",P550))),"Civil rights &amp; justice",IF(OR(ISNUMBER(SEARCH("road",P550)),ISNUMBER(SEARCH("utility",P550)),ISNUMBER(SEARCH("infrastructure",P550)),ISNUMBER(SEARCH("public service",P550))),"Infrastructure &amp; public services","Other"))))))))))))</x:f>
      </x:c>
      <x:c r="J550" s="16" t="str">
        <x:f>IF(A550="","",IF(OR(ISNUMBER(SEARCH("fatal",Q550)),ISNUMBER(SEARCH("death",Q550)),ISNUMBER(SEARCH("riot",Q550)),ISNUMBER(SEARCH("curfew",Q550)),ISNUMBER(SEARCH("internet shutdown",Q550))),5,MIN(4,1+IF(H550&gt;=7,1,0)+IF(OR(ISNUMBER(SEARCH("hunger strike",Q550)),ISNUMBER(SEARCH("blockade",Q550)),ISNUMBER(SEARCH("strike",Q550)),ISNUMBER(SEARCH("jal satyagraha",Q550)),ISNUMBER(SEARCH("survey",Q550)),ISNUMBER(SEARCH("human chain",Q550)),ISNUMBER(SEARCH("march",Q550))),1,0)+IF(OR(ISNUMBER(SEARCH("fir",Q550)),ISNUMBER(SEARCH("confrontation",Q550)),ISNUMBER(SEARCH("violence",Q550)),ISNUMBER(SEARCH("detention",Q550)),ISNUMBER(SEARCH("arrest",Q550)),ISNUMBER(SEARCH("demolition",Q550)),ISNUMBER(SEARCH("injury",Q550))),1,0)+IF(OR(D550="Ongoing",D550="Unresolved"),1,0))))</x:f>
      </x:c>
      <x:c r="K550" s="16" t="str">
        <x:f>IF(J550="","",IF(J550=1,"Limited",IF(J550=2,"Local",IF(J550=3,"Significant",IF(J550=4,"High","Critical")))))</x:f>
      </x:c>
      <x:c r="L550" s="16" t="str">
        <x:f>IF(A550="","",Events!U549)</x:f>
      </x:c>
      <x:c r="M550" s="16" t="str">
        <x:f>IF(A550="","",Events!V549)</x:f>
      </x:c>
      <x:c r="N550" s="16" t="str">
        <x:f>IF(A550="","",Events!Q549)</x:f>
      </x:c>
      <x:c r="O550" s="16" t="str">
        <x:f>IF(A550="","",Events!R549)</x:f>
      </x:c>
      <x:c r="P550" s="16" t="str">
        <x:f>IF(A550="","",LOWER(Events!B549&amp;" "&amp;Events!D549&amp;" "&amp;Events!K549))</x:f>
      </x:c>
      <x:c r="Q550" s="16" t="str">
        <x:f>IF(A550="","",LOWER(Events!C549&amp;" "&amp;Events!K549&amp;" "&amp;Events!T549))</x:f>
      </x:c>
      <x:c r="R550" s="16" t="str">
        <x:f>IF(A550="","",IF(ISNUMBER(SEARCH("Occurrence verified",E550)),"Occurrence verified",E550))</x:f>
      </x:c>
      <x:c r="S550" s="79" t="str">
        <x:f>IF(A550="","",Events!X549)</x:f>
      </x:c>
      <x:c r="Z550" s="79" t="str">
        <x:f>IF(A550="","",Events!AD549)</x:f>
      </x:c>
      <x:c r="AA550" s="79" t="str">
        <x:f>IF(A550="","",Events!AE549)</x:f>
      </x:c>
    </x:row>
    <x:row r="551">
      <x:c r="A551" s="16" t="str">
        <x:f>IF(Events!A550="","",Events!A550)</x:f>
      </x:c>
      <x:c r="B551" s="16" t="str">
        <x:f>IF(A551="","",Events!B550)</x:f>
      </x:c>
      <x:c r="C551" s="16" t="str">
        <x:f>IF(A551="","",Events!E550)</x:f>
      </x:c>
      <x:c r="D551" s="16" t="str">
        <x:f>IF(A551="","",Events!J550)</x:f>
      </x:c>
      <x:c r="E551" s="16" t="str">
        <x:f>IF(A551="","",Events!N550)</x:f>
      </x:c>
      <x:c r="F551" s="109" t="str">
        <x:f>IF(OR(A551="",Events!H550=""),"",Events!H550)</x:f>
      </x:c>
      <x:c r="G551" s="109" t="str">
        <x:f>IF(A551="","",IF(Events!I550&lt;&gt;"",Events!I550,IF(Events!S550&lt;&gt;"",Events!S550,"")))</x:f>
      </x:c>
      <x:c r="H551" s="16" t="str">
        <x:f>IF(A551="","",Events!W550)</x:f>
      </x:c>
      <x:c r="I551" s="16" t="str">
        <x:f>IF(A551="","",IF(Events!Y550&lt;&gt;"",Events!Y550,IF(OR(ISNUMBER(SEARCH("education",P551)),ISNUMBER(SEARCH("exam",P551)),ISNUMBER(SEARCH("school",P551))),"Education",IF(OR(ISNUMBER(SEARCH("trade agreement",P551)),ISNUMBER(SEARCH("economic",P551)),ISNUMBER(SEARCH("import",P551))),"Trade &amp; economic policy",IF(OR(ISNUMBER(SEARCH("land acquisition",P551)),ISNUMBER(SEARCH("rehabilitation",P551)),ISNUMBER(SEARCH("displacement",P551)),ISNUMBER(SEARCH("township",P551))),"Land &amp; rehabilitation",IF(OR(ISNUMBER(SEARCH("forest",P551)),ISNUMBER(SEARCH("environment",P551)),ISNUMBER(SEARCH("ecological",P551)),ISNUMBER(SEARCH("biodiversity",P551)),ISNUMBER(SEARCH("green cover",P551))),"Environment",IF(OR(ISNUMBER(SEARCH("irrigation",P551)),ISNUMBER(SEARCH("water",P551)),ISNUMBER(SEARCH("crop",P551)),ISNUMBER(SEARCH("farmer",P551)),ISNUMBER(SEARCH("agriculture",P551))),"Agriculture &amp; water",IF(OR(ISNUMBER(SEARCH("health",P551)),ISNUMBER(SEARCH("hospital",P551)),ISNUMBER(SEARCH("medicine",P551))),"Public health",IF(OR(ISNUMBER(SEARCH("employee",P551)),ISNUMBER(SEARCH("labour",P551)),ISNUMBER(SEARCH("worker",P551)),ISNUMBER(SEARCH("salary",P551))),"Labour &amp; employment",IF(OR(ISNUMBER(SEARCH("rti",P551)),ISNUMBER(SEARCH("transparency",P551)),ISNUMBER(SEARCH("corruption",P551)),ISNUMBER(SEARCH("governance",P551))),"Governance &amp; transparency",IF(OR(ISNUMBER(SEARCH("police",P551)),ISNUMBER(SEARCH("detention",P551)),ISNUMBER(SEARCH("civil rights",P551)),ISNUMBER(SEARCH("justice",P551))),"Civil rights &amp; justice",IF(OR(ISNUMBER(SEARCH("road",P551)),ISNUMBER(SEARCH("utility",P551)),ISNUMBER(SEARCH("infrastructure",P551)),ISNUMBER(SEARCH("public service",P551))),"Infrastructure &amp; public services","Other"))))))))))))</x:f>
      </x:c>
      <x:c r="J551" s="16" t="str">
        <x:f>IF(A551="","",IF(OR(ISNUMBER(SEARCH("fatal",Q551)),ISNUMBER(SEARCH("death",Q551)),ISNUMBER(SEARCH("riot",Q551)),ISNUMBER(SEARCH("curfew",Q551)),ISNUMBER(SEARCH("internet shutdown",Q551))),5,MIN(4,1+IF(H551&gt;=7,1,0)+IF(OR(ISNUMBER(SEARCH("hunger strike",Q551)),ISNUMBER(SEARCH("blockade",Q551)),ISNUMBER(SEARCH("strike",Q551)),ISNUMBER(SEARCH("jal satyagraha",Q551)),ISNUMBER(SEARCH("survey",Q551)),ISNUMBER(SEARCH("human chain",Q551)),ISNUMBER(SEARCH("march",Q551))),1,0)+IF(OR(ISNUMBER(SEARCH("fir",Q551)),ISNUMBER(SEARCH("confrontation",Q551)),ISNUMBER(SEARCH("violence",Q551)),ISNUMBER(SEARCH("detention",Q551)),ISNUMBER(SEARCH("arrest",Q551)),ISNUMBER(SEARCH("demolition",Q551)),ISNUMBER(SEARCH("injury",Q551))),1,0)+IF(OR(D551="Ongoing",D551="Unresolved"),1,0))))</x:f>
      </x:c>
      <x:c r="K551" s="16" t="str">
        <x:f>IF(J551="","",IF(J551=1,"Limited",IF(J551=2,"Local",IF(J551=3,"Significant",IF(J551=4,"High","Critical")))))</x:f>
      </x:c>
      <x:c r="L551" s="16" t="str">
        <x:f>IF(A551="","",Events!U550)</x:f>
      </x:c>
      <x:c r="M551" s="16" t="str">
        <x:f>IF(A551="","",Events!V550)</x:f>
      </x:c>
      <x:c r="N551" s="16" t="str">
        <x:f>IF(A551="","",Events!Q550)</x:f>
      </x:c>
      <x:c r="O551" s="16" t="str">
        <x:f>IF(A551="","",Events!R550)</x:f>
      </x:c>
      <x:c r="P551" s="16" t="str">
        <x:f>IF(A551="","",LOWER(Events!B550&amp;" "&amp;Events!D550&amp;" "&amp;Events!K550))</x:f>
      </x:c>
      <x:c r="Q551" s="16" t="str">
        <x:f>IF(A551="","",LOWER(Events!C550&amp;" "&amp;Events!K550&amp;" "&amp;Events!T550))</x:f>
      </x:c>
      <x:c r="R551" s="16" t="str">
        <x:f>IF(A551="","",IF(ISNUMBER(SEARCH("Occurrence verified",E551)),"Occurrence verified",E551))</x:f>
      </x:c>
      <x:c r="S551" s="79" t="str">
        <x:f>IF(A551="","",Events!X550)</x:f>
      </x:c>
      <x:c r="Z551" s="79" t="str">
        <x:f>IF(A551="","",Events!AD550)</x:f>
      </x:c>
      <x:c r="AA551" s="79" t="str">
        <x:f>IF(A551="","",Events!AE550)</x:f>
      </x:c>
    </x:row>
    <x:row r="552">
      <x:c r="A552" s="16" t="str">
        <x:f>IF(Events!A551="","",Events!A551)</x:f>
      </x:c>
      <x:c r="B552" s="16" t="str">
        <x:f>IF(A552="","",Events!B551)</x:f>
      </x:c>
      <x:c r="C552" s="16" t="str">
        <x:f>IF(A552="","",Events!E551)</x:f>
      </x:c>
      <x:c r="D552" s="16" t="str">
        <x:f>IF(A552="","",Events!J551)</x:f>
      </x:c>
      <x:c r="E552" s="16" t="str">
        <x:f>IF(A552="","",Events!N551)</x:f>
      </x:c>
      <x:c r="F552" s="109" t="str">
        <x:f>IF(OR(A552="",Events!H551=""),"",Events!H551)</x:f>
      </x:c>
      <x:c r="G552" s="109" t="str">
        <x:f>IF(A552="","",IF(Events!I551&lt;&gt;"",Events!I551,IF(Events!S551&lt;&gt;"",Events!S551,"")))</x:f>
      </x:c>
      <x:c r="H552" s="16" t="str">
        <x:f>IF(A552="","",Events!W551)</x:f>
      </x:c>
      <x:c r="I552" s="16" t="str">
        <x:f>IF(A552="","",IF(Events!Y551&lt;&gt;"",Events!Y551,IF(OR(ISNUMBER(SEARCH("education",P552)),ISNUMBER(SEARCH("exam",P552)),ISNUMBER(SEARCH("school",P552))),"Education",IF(OR(ISNUMBER(SEARCH("trade agreement",P552)),ISNUMBER(SEARCH("economic",P552)),ISNUMBER(SEARCH("import",P552))),"Trade &amp; economic policy",IF(OR(ISNUMBER(SEARCH("land acquisition",P552)),ISNUMBER(SEARCH("rehabilitation",P552)),ISNUMBER(SEARCH("displacement",P552)),ISNUMBER(SEARCH("township",P552))),"Land &amp; rehabilitation",IF(OR(ISNUMBER(SEARCH("forest",P552)),ISNUMBER(SEARCH("environment",P552)),ISNUMBER(SEARCH("ecological",P552)),ISNUMBER(SEARCH("biodiversity",P552)),ISNUMBER(SEARCH("green cover",P552))),"Environment",IF(OR(ISNUMBER(SEARCH("irrigation",P552)),ISNUMBER(SEARCH("water",P552)),ISNUMBER(SEARCH("crop",P552)),ISNUMBER(SEARCH("farmer",P552)),ISNUMBER(SEARCH("agriculture",P552))),"Agriculture &amp; water",IF(OR(ISNUMBER(SEARCH("health",P552)),ISNUMBER(SEARCH("hospital",P552)),ISNUMBER(SEARCH("medicine",P552))),"Public health",IF(OR(ISNUMBER(SEARCH("employee",P552)),ISNUMBER(SEARCH("labour",P552)),ISNUMBER(SEARCH("worker",P552)),ISNUMBER(SEARCH("salary",P552))),"Labour &amp; employment",IF(OR(ISNUMBER(SEARCH("rti",P552)),ISNUMBER(SEARCH("transparency",P552)),ISNUMBER(SEARCH("corruption",P552)),ISNUMBER(SEARCH("governance",P552))),"Governance &amp; transparency",IF(OR(ISNUMBER(SEARCH("police",P552)),ISNUMBER(SEARCH("detention",P552)),ISNUMBER(SEARCH("civil rights",P552)),ISNUMBER(SEARCH("justice",P552))),"Civil rights &amp; justice",IF(OR(ISNUMBER(SEARCH("road",P552)),ISNUMBER(SEARCH("utility",P552)),ISNUMBER(SEARCH("infrastructure",P552)),ISNUMBER(SEARCH("public service",P552))),"Infrastructure &amp; public services","Other"))))))))))))</x:f>
      </x:c>
      <x:c r="J552" s="16" t="str">
        <x:f>IF(A552="","",IF(OR(ISNUMBER(SEARCH("fatal",Q552)),ISNUMBER(SEARCH("death",Q552)),ISNUMBER(SEARCH("riot",Q552)),ISNUMBER(SEARCH("curfew",Q552)),ISNUMBER(SEARCH("internet shutdown",Q552))),5,MIN(4,1+IF(H552&gt;=7,1,0)+IF(OR(ISNUMBER(SEARCH("hunger strike",Q552)),ISNUMBER(SEARCH("blockade",Q552)),ISNUMBER(SEARCH("strike",Q552)),ISNUMBER(SEARCH("jal satyagraha",Q552)),ISNUMBER(SEARCH("survey",Q552)),ISNUMBER(SEARCH("human chain",Q552)),ISNUMBER(SEARCH("march",Q552))),1,0)+IF(OR(ISNUMBER(SEARCH("fir",Q552)),ISNUMBER(SEARCH("confrontation",Q552)),ISNUMBER(SEARCH("violence",Q552)),ISNUMBER(SEARCH("detention",Q552)),ISNUMBER(SEARCH("arrest",Q552)),ISNUMBER(SEARCH("demolition",Q552)),ISNUMBER(SEARCH("injury",Q552))),1,0)+IF(OR(D552="Ongoing",D552="Unresolved"),1,0))))</x:f>
      </x:c>
      <x:c r="K552" s="16" t="str">
        <x:f>IF(J552="","",IF(J552=1,"Limited",IF(J552=2,"Local",IF(J552=3,"Significant",IF(J552=4,"High","Critical")))))</x:f>
      </x:c>
      <x:c r="L552" s="16" t="str">
        <x:f>IF(A552="","",Events!U551)</x:f>
      </x:c>
      <x:c r="M552" s="16" t="str">
        <x:f>IF(A552="","",Events!V551)</x:f>
      </x:c>
      <x:c r="N552" s="16" t="str">
        <x:f>IF(A552="","",Events!Q551)</x:f>
      </x:c>
      <x:c r="O552" s="16" t="str">
        <x:f>IF(A552="","",Events!R551)</x:f>
      </x:c>
      <x:c r="P552" s="16" t="str">
        <x:f>IF(A552="","",LOWER(Events!B551&amp;" "&amp;Events!D551&amp;" "&amp;Events!K551))</x:f>
      </x:c>
      <x:c r="Q552" s="16" t="str">
        <x:f>IF(A552="","",LOWER(Events!C551&amp;" "&amp;Events!K551&amp;" "&amp;Events!T551))</x:f>
      </x:c>
      <x:c r="R552" s="16" t="str">
        <x:f>IF(A552="","",IF(ISNUMBER(SEARCH("Occurrence verified",E552)),"Occurrence verified",E552))</x:f>
      </x:c>
      <x:c r="S552" s="79" t="str">
        <x:f>IF(A552="","",Events!X551)</x:f>
      </x:c>
      <x:c r="Z552" s="79" t="str">
        <x:f>IF(A552="","",Events!AD551)</x:f>
      </x:c>
      <x:c r="AA552" s="79" t="str">
        <x:f>IF(A552="","",Events!AE551)</x:f>
      </x:c>
    </x:row>
    <x:row r="553">
      <x:c r="A553" s="16" t="str">
        <x:f>IF(Events!A552="","",Events!A552)</x:f>
      </x:c>
      <x:c r="B553" s="16" t="str">
        <x:f>IF(A553="","",Events!B552)</x:f>
      </x:c>
      <x:c r="C553" s="16" t="str">
        <x:f>IF(A553="","",Events!E552)</x:f>
      </x:c>
      <x:c r="D553" s="16" t="str">
        <x:f>IF(A553="","",Events!J552)</x:f>
      </x:c>
      <x:c r="E553" s="16" t="str">
        <x:f>IF(A553="","",Events!N552)</x:f>
      </x:c>
      <x:c r="F553" s="109" t="str">
        <x:f>IF(OR(A553="",Events!H552=""),"",Events!H552)</x:f>
      </x:c>
      <x:c r="G553" s="109" t="str">
        <x:f>IF(A553="","",IF(Events!I552&lt;&gt;"",Events!I552,IF(Events!S552&lt;&gt;"",Events!S552,"")))</x:f>
      </x:c>
      <x:c r="H553" s="16" t="str">
        <x:f>IF(A553="","",Events!W552)</x:f>
      </x:c>
      <x:c r="I553" s="16" t="str">
        <x:f>IF(A553="","",IF(Events!Y552&lt;&gt;"",Events!Y552,IF(OR(ISNUMBER(SEARCH("education",P553)),ISNUMBER(SEARCH("exam",P553)),ISNUMBER(SEARCH("school",P553))),"Education",IF(OR(ISNUMBER(SEARCH("trade agreement",P553)),ISNUMBER(SEARCH("economic",P553)),ISNUMBER(SEARCH("import",P553))),"Trade &amp; economic policy",IF(OR(ISNUMBER(SEARCH("land acquisition",P553)),ISNUMBER(SEARCH("rehabilitation",P553)),ISNUMBER(SEARCH("displacement",P553)),ISNUMBER(SEARCH("township",P553))),"Land &amp; rehabilitation",IF(OR(ISNUMBER(SEARCH("forest",P553)),ISNUMBER(SEARCH("environment",P553)),ISNUMBER(SEARCH("ecological",P553)),ISNUMBER(SEARCH("biodiversity",P553)),ISNUMBER(SEARCH("green cover",P553))),"Environment",IF(OR(ISNUMBER(SEARCH("irrigation",P553)),ISNUMBER(SEARCH("water",P553)),ISNUMBER(SEARCH("crop",P553)),ISNUMBER(SEARCH("farmer",P553)),ISNUMBER(SEARCH("agriculture",P553))),"Agriculture &amp; water",IF(OR(ISNUMBER(SEARCH("health",P553)),ISNUMBER(SEARCH("hospital",P553)),ISNUMBER(SEARCH("medicine",P553))),"Public health",IF(OR(ISNUMBER(SEARCH("employee",P553)),ISNUMBER(SEARCH("labour",P553)),ISNUMBER(SEARCH("worker",P553)),ISNUMBER(SEARCH("salary",P553))),"Labour &amp; employment",IF(OR(ISNUMBER(SEARCH("rti",P553)),ISNUMBER(SEARCH("transparency",P553)),ISNUMBER(SEARCH("corruption",P553)),ISNUMBER(SEARCH("governance",P553))),"Governance &amp; transparency",IF(OR(ISNUMBER(SEARCH("police",P553)),ISNUMBER(SEARCH("detention",P553)),ISNUMBER(SEARCH("civil rights",P553)),ISNUMBER(SEARCH("justice",P553))),"Civil rights &amp; justice",IF(OR(ISNUMBER(SEARCH("road",P553)),ISNUMBER(SEARCH("utility",P553)),ISNUMBER(SEARCH("infrastructure",P553)),ISNUMBER(SEARCH("public service",P553))),"Infrastructure &amp; public services","Other"))))))))))))</x:f>
      </x:c>
      <x:c r="J553" s="16" t="str">
        <x:f>IF(A553="","",IF(OR(ISNUMBER(SEARCH("fatal",Q553)),ISNUMBER(SEARCH("death",Q553)),ISNUMBER(SEARCH("riot",Q553)),ISNUMBER(SEARCH("curfew",Q553)),ISNUMBER(SEARCH("internet shutdown",Q553))),5,MIN(4,1+IF(H553&gt;=7,1,0)+IF(OR(ISNUMBER(SEARCH("hunger strike",Q553)),ISNUMBER(SEARCH("blockade",Q553)),ISNUMBER(SEARCH("strike",Q553)),ISNUMBER(SEARCH("jal satyagraha",Q553)),ISNUMBER(SEARCH("survey",Q553)),ISNUMBER(SEARCH("human chain",Q553)),ISNUMBER(SEARCH("march",Q553))),1,0)+IF(OR(ISNUMBER(SEARCH("fir",Q553)),ISNUMBER(SEARCH("confrontation",Q553)),ISNUMBER(SEARCH("violence",Q553)),ISNUMBER(SEARCH("detention",Q553)),ISNUMBER(SEARCH("arrest",Q553)),ISNUMBER(SEARCH("demolition",Q553)),ISNUMBER(SEARCH("injury",Q553))),1,0)+IF(OR(D553="Ongoing",D553="Unresolved"),1,0))))</x:f>
      </x:c>
      <x:c r="K553" s="16" t="str">
        <x:f>IF(J553="","",IF(J553=1,"Limited",IF(J553=2,"Local",IF(J553=3,"Significant",IF(J553=4,"High","Critical")))))</x:f>
      </x:c>
      <x:c r="L553" s="16" t="str">
        <x:f>IF(A553="","",Events!U552)</x:f>
      </x:c>
      <x:c r="M553" s="16" t="str">
        <x:f>IF(A553="","",Events!V552)</x:f>
      </x:c>
      <x:c r="N553" s="16" t="str">
        <x:f>IF(A553="","",Events!Q552)</x:f>
      </x:c>
      <x:c r="O553" s="16" t="str">
        <x:f>IF(A553="","",Events!R552)</x:f>
      </x:c>
      <x:c r="P553" s="16" t="str">
        <x:f>IF(A553="","",LOWER(Events!B552&amp;" "&amp;Events!D552&amp;" "&amp;Events!K552))</x:f>
      </x:c>
      <x:c r="Q553" s="16" t="str">
        <x:f>IF(A553="","",LOWER(Events!C552&amp;" "&amp;Events!K552&amp;" "&amp;Events!T552))</x:f>
      </x:c>
      <x:c r="R553" s="16" t="str">
        <x:f>IF(A553="","",IF(ISNUMBER(SEARCH("Occurrence verified",E553)),"Occurrence verified",E553))</x:f>
      </x:c>
      <x:c r="S553" s="79" t="str">
        <x:f>IF(A553="","",Events!X552)</x:f>
      </x:c>
      <x:c r="Z553" s="79" t="str">
        <x:f>IF(A553="","",Events!AD552)</x:f>
      </x:c>
      <x:c r="AA553" s="79" t="str">
        <x:f>IF(A553="","",Events!AE552)</x:f>
      </x:c>
    </x:row>
    <x:row r="554">
      <x:c r="A554" s="16" t="str">
        <x:f>IF(Events!A553="","",Events!A553)</x:f>
      </x:c>
      <x:c r="B554" s="16" t="str">
        <x:f>IF(A554="","",Events!B553)</x:f>
      </x:c>
      <x:c r="C554" s="16" t="str">
        <x:f>IF(A554="","",Events!E553)</x:f>
      </x:c>
      <x:c r="D554" s="16" t="str">
        <x:f>IF(A554="","",Events!J553)</x:f>
      </x:c>
      <x:c r="E554" s="16" t="str">
        <x:f>IF(A554="","",Events!N553)</x:f>
      </x:c>
      <x:c r="F554" s="109" t="str">
        <x:f>IF(OR(A554="",Events!H553=""),"",Events!H553)</x:f>
      </x:c>
      <x:c r="G554" s="109" t="str">
        <x:f>IF(A554="","",IF(Events!I553&lt;&gt;"",Events!I553,IF(Events!S553&lt;&gt;"",Events!S553,"")))</x:f>
      </x:c>
      <x:c r="H554" s="16" t="str">
        <x:f>IF(A554="","",Events!W553)</x:f>
      </x:c>
      <x:c r="I554" s="16" t="str">
        <x:f>IF(A554="","",IF(Events!Y553&lt;&gt;"",Events!Y553,IF(OR(ISNUMBER(SEARCH("education",P554)),ISNUMBER(SEARCH("exam",P554)),ISNUMBER(SEARCH("school",P554))),"Education",IF(OR(ISNUMBER(SEARCH("trade agreement",P554)),ISNUMBER(SEARCH("economic",P554)),ISNUMBER(SEARCH("import",P554))),"Trade &amp; economic policy",IF(OR(ISNUMBER(SEARCH("land acquisition",P554)),ISNUMBER(SEARCH("rehabilitation",P554)),ISNUMBER(SEARCH("displacement",P554)),ISNUMBER(SEARCH("township",P554))),"Land &amp; rehabilitation",IF(OR(ISNUMBER(SEARCH("forest",P554)),ISNUMBER(SEARCH("environment",P554)),ISNUMBER(SEARCH("ecological",P554)),ISNUMBER(SEARCH("biodiversity",P554)),ISNUMBER(SEARCH("green cover",P554))),"Environment",IF(OR(ISNUMBER(SEARCH("irrigation",P554)),ISNUMBER(SEARCH("water",P554)),ISNUMBER(SEARCH("crop",P554)),ISNUMBER(SEARCH("farmer",P554)),ISNUMBER(SEARCH("agriculture",P554))),"Agriculture &amp; water",IF(OR(ISNUMBER(SEARCH("health",P554)),ISNUMBER(SEARCH("hospital",P554)),ISNUMBER(SEARCH("medicine",P554))),"Public health",IF(OR(ISNUMBER(SEARCH("employee",P554)),ISNUMBER(SEARCH("labour",P554)),ISNUMBER(SEARCH("worker",P554)),ISNUMBER(SEARCH("salary",P554))),"Labour &amp; employment",IF(OR(ISNUMBER(SEARCH("rti",P554)),ISNUMBER(SEARCH("transparency",P554)),ISNUMBER(SEARCH("corruption",P554)),ISNUMBER(SEARCH("governance",P554))),"Governance &amp; transparency",IF(OR(ISNUMBER(SEARCH("police",P554)),ISNUMBER(SEARCH("detention",P554)),ISNUMBER(SEARCH("civil rights",P554)),ISNUMBER(SEARCH("justice",P554))),"Civil rights &amp; justice",IF(OR(ISNUMBER(SEARCH("road",P554)),ISNUMBER(SEARCH("utility",P554)),ISNUMBER(SEARCH("infrastructure",P554)),ISNUMBER(SEARCH("public service",P554))),"Infrastructure &amp; public services","Other"))))))))))))</x:f>
      </x:c>
      <x:c r="J554" s="16" t="str">
        <x:f>IF(A554="","",IF(OR(ISNUMBER(SEARCH("fatal",Q554)),ISNUMBER(SEARCH("death",Q554)),ISNUMBER(SEARCH("riot",Q554)),ISNUMBER(SEARCH("curfew",Q554)),ISNUMBER(SEARCH("internet shutdown",Q554))),5,MIN(4,1+IF(H554&gt;=7,1,0)+IF(OR(ISNUMBER(SEARCH("hunger strike",Q554)),ISNUMBER(SEARCH("blockade",Q554)),ISNUMBER(SEARCH("strike",Q554)),ISNUMBER(SEARCH("jal satyagraha",Q554)),ISNUMBER(SEARCH("survey",Q554)),ISNUMBER(SEARCH("human chain",Q554)),ISNUMBER(SEARCH("march",Q554))),1,0)+IF(OR(ISNUMBER(SEARCH("fir",Q554)),ISNUMBER(SEARCH("confrontation",Q554)),ISNUMBER(SEARCH("violence",Q554)),ISNUMBER(SEARCH("detention",Q554)),ISNUMBER(SEARCH("arrest",Q554)),ISNUMBER(SEARCH("demolition",Q554)),ISNUMBER(SEARCH("injury",Q554))),1,0)+IF(OR(D554="Ongoing",D554="Unresolved"),1,0))))</x:f>
      </x:c>
      <x:c r="K554" s="16" t="str">
        <x:f>IF(J554="","",IF(J554=1,"Limited",IF(J554=2,"Local",IF(J554=3,"Significant",IF(J554=4,"High","Critical")))))</x:f>
      </x:c>
      <x:c r="L554" s="16" t="str">
        <x:f>IF(A554="","",Events!U553)</x:f>
      </x:c>
      <x:c r="M554" s="16" t="str">
        <x:f>IF(A554="","",Events!V553)</x:f>
      </x:c>
      <x:c r="N554" s="16" t="str">
        <x:f>IF(A554="","",Events!Q553)</x:f>
      </x:c>
      <x:c r="O554" s="16" t="str">
        <x:f>IF(A554="","",Events!R553)</x:f>
      </x:c>
      <x:c r="P554" s="16" t="str">
        <x:f>IF(A554="","",LOWER(Events!B553&amp;" "&amp;Events!D553&amp;" "&amp;Events!K553))</x:f>
      </x:c>
      <x:c r="Q554" s="16" t="str">
        <x:f>IF(A554="","",LOWER(Events!C553&amp;" "&amp;Events!K553&amp;" "&amp;Events!T553))</x:f>
      </x:c>
      <x:c r="R554" s="16" t="str">
        <x:f>IF(A554="","",IF(ISNUMBER(SEARCH("Occurrence verified",E554)),"Occurrence verified",E554))</x:f>
      </x:c>
      <x:c r="S554" s="79" t="str">
        <x:f>IF(A554="","",Events!X553)</x:f>
      </x:c>
      <x:c r="Z554" s="79" t="str">
        <x:f>IF(A554="","",Events!AD553)</x:f>
      </x:c>
      <x:c r="AA554" s="79" t="str">
        <x:f>IF(A554="","",Events!AE553)</x:f>
      </x:c>
    </x:row>
    <x:row r="555">
      <x:c r="A555" s="16" t="str">
        <x:f>IF(Events!A554="","",Events!A554)</x:f>
      </x:c>
      <x:c r="B555" s="16" t="str">
        <x:f>IF(A555="","",Events!B554)</x:f>
      </x:c>
      <x:c r="C555" s="16" t="str">
        <x:f>IF(A555="","",Events!E554)</x:f>
      </x:c>
      <x:c r="D555" s="16" t="str">
        <x:f>IF(A555="","",Events!J554)</x:f>
      </x:c>
      <x:c r="E555" s="16" t="str">
        <x:f>IF(A555="","",Events!N554)</x:f>
      </x:c>
      <x:c r="F555" s="109" t="str">
        <x:f>IF(OR(A555="",Events!H554=""),"",Events!H554)</x:f>
      </x:c>
      <x:c r="G555" s="109" t="str">
        <x:f>IF(A555="","",IF(Events!I554&lt;&gt;"",Events!I554,IF(Events!S554&lt;&gt;"",Events!S554,"")))</x:f>
      </x:c>
      <x:c r="H555" s="16" t="str">
        <x:f>IF(A555="","",Events!W554)</x:f>
      </x:c>
      <x:c r="I555" s="16" t="str">
        <x:f>IF(A555="","",IF(Events!Y554&lt;&gt;"",Events!Y554,IF(OR(ISNUMBER(SEARCH("education",P555)),ISNUMBER(SEARCH("exam",P555)),ISNUMBER(SEARCH("school",P555))),"Education",IF(OR(ISNUMBER(SEARCH("trade agreement",P555)),ISNUMBER(SEARCH("economic",P555)),ISNUMBER(SEARCH("import",P555))),"Trade &amp; economic policy",IF(OR(ISNUMBER(SEARCH("land acquisition",P555)),ISNUMBER(SEARCH("rehabilitation",P555)),ISNUMBER(SEARCH("displacement",P555)),ISNUMBER(SEARCH("township",P555))),"Land &amp; rehabilitation",IF(OR(ISNUMBER(SEARCH("forest",P555)),ISNUMBER(SEARCH("environment",P555)),ISNUMBER(SEARCH("ecological",P555)),ISNUMBER(SEARCH("biodiversity",P555)),ISNUMBER(SEARCH("green cover",P555))),"Environment",IF(OR(ISNUMBER(SEARCH("irrigation",P555)),ISNUMBER(SEARCH("water",P555)),ISNUMBER(SEARCH("crop",P555)),ISNUMBER(SEARCH("farmer",P555)),ISNUMBER(SEARCH("agriculture",P555))),"Agriculture &amp; water",IF(OR(ISNUMBER(SEARCH("health",P555)),ISNUMBER(SEARCH("hospital",P555)),ISNUMBER(SEARCH("medicine",P555))),"Public health",IF(OR(ISNUMBER(SEARCH("employee",P555)),ISNUMBER(SEARCH("labour",P555)),ISNUMBER(SEARCH("worker",P555)),ISNUMBER(SEARCH("salary",P555))),"Labour &amp; employment",IF(OR(ISNUMBER(SEARCH("rti",P555)),ISNUMBER(SEARCH("transparency",P555)),ISNUMBER(SEARCH("corruption",P555)),ISNUMBER(SEARCH("governance",P555))),"Governance &amp; transparency",IF(OR(ISNUMBER(SEARCH("police",P555)),ISNUMBER(SEARCH("detention",P555)),ISNUMBER(SEARCH("civil rights",P555)),ISNUMBER(SEARCH("justice",P555))),"Civil rights &amp; justice",IF(OR(ISNUMBER(SEARCH("road",P555)),ISNUMBER(SEARCH("utility",P555)),ISNUMBER(SEARCH("infrastructure",P555)),ISNUMBER(SEARCH("public service",P555))),"Infrastructure &amp; public services","Other"))))))))))))</x:f>
      </x:c>
      <x:c r="J555" s="16" t="str">
        <x:f>IF(A555="","",IF(OR(ISNUMBER(SEARCH("fatal",Q555)),ISNUMBER(SEARCH("death",Q555)),ISNUMBER(SEARCH("riot",Q555)),ISNUMBER(SEARCH("curfew",Q555)),ISNUMBER(SEARCH("internet shutdown",Q555))),5,MIN(4,1+IF(H555&gt;=7,1,0)+IF(OR(ISNUMBER(SEARCH("hunger strike",Q555)),ISNUMBER(SEARCH("blockade",Q555)),ISNUMBER(SEARCH("strike",Q555)),ISNUMBER(SEARCH("jal satyagraha",Q555)),ISNUMBER(SEARCH("survey",Q555)),ISNUMBER(SEARCH("human chain",Q555)),ISNUMBER(SEARCH("march",Q555))),1,0)+IF(OR(ISNUMBER(SEARCH("fir",Q555)),ISNUMBER(SEARCH("confrontation",Q555)),ISNUMBER(SEARCH("violence",Q555)),ISNUMBER(SEARCH("detention",Q555)),ISNUMBER(SEARCH("arrest",Q555)),ISNUMBER(SEARCH("demolition",Q555)),ISNUMBER(SEARCH("injury",Q555))),1,0)+IF(OR(D555="Ongoing",D555="Unresolved"),1,0))))</x:f>
      </x:c>
      <x:c r="K555" s="16" t="str">
        <x:f>IF(J555="","",IF(J555=1,"Limited",IF(J555=2,"Local",IF(J555=3,"Significant",IF(J555=4,"High","Critical")))))</x:f>
      </x:c>
      <x:c r="L555" s="16" t="str">
        <x:f>IF(A555="","",Events!U554)</x:f>
      </x:c>
      <x:c r="M555" s="16" t="str">
        <x:f>IF(A555="","",Events!V554)</x:f>
      </x:c>
      <x:c r="N555" s="16" t="str">
        <x:f>IF(A555="","",Events!Q554)</x:f>
      </x:c>
      <x:c r="O555" s="16" t="str">
        <x:f>IF(A555="","",Events!R554)</x:f>
      </x:c>
      <x:c r="P555" s="16" t="str">
        <x:f>IF(A555="","",LOWER(Events!B554&amp;" "&amp;Events!D554&amp;" "&amp;Events!K554))</x:f>
      </x:c>
      <x:c r="Q555" s="16" t="str">
        <x:f>IF(A555="","",LOWER(Events!C554&amp;" "&amp;Events!K554&amp;" "&amp;Events!T554))</x:f>
      </x:c>
      <x:c r="R555" s="16" t="str">
        <x:f>IF(A555="","",IF(ISNUMBER(SEARCH("Occurrence verified",E555)),"Occurrence verified",E555))</x:f>
      </x:c>
      <x:c r="S555" s="79" t="str">
        <x:f>IF(A555="","",Events!X554)</x:f>
      </x:c>
      <x:c r="Z555" s="79" t="str">
        <x:f>IF(A555="","",Events!AD554)</x:f>
      </x:c>
      <x:c r="AA555" s="79" t="str">
        <x:f>IF(A555="","",Events!AE554)</x:f>
      </x:c>
    </x:row>
    <x:row r="556">
      <x:c r="A556" s="16" t="str">
        <x:f>IF(Events!A555="","",Events!A555)</x:f>
      </x:c>
      <x:c r="B556" s="16" t="str">
        <x:f>IF(A556="","",Events!B555)</x:f>
      </x:c>
      <x:c r="C556" s="16" t="str">
        <x:f>IF(A556="","",Events!E555)</x:f>
      </x:c>
      <x:c r="D556" s="16" t="str">
        <x:f>IF(A556="","",Events!J555)</x:f>
      </x:c>
      <x:c r="E556" s="16" t="str">
        <x:f>IF(A556="","",Events!N555)</x:f>
      </x:c>
      <x:c r="F556" s="109" t="str">
        <x:f>IF(OR(A556="",Events!H555=""),"",Events!H555)</x:f>
      </x:c>
      <x:c r="G556" s="109" t="str">
        <x:f>IF(A556="","",IF(Events!I555&lt;&gt;"",Events!I555,IF(Events!S555&lt;&gt;"",Events!S555,"")))</x:f>
      </x:c>
      <x:c r="H556" s="16" t="str">
        <x:f>IF(A556="","",Events!W555)</x:f>
      </x:c>
      <x:c r="I556" s="16" t="str">
        <x:f>IF(A556="","",IF(Events!Y555&lt;&gt;"",Events!Y555,IF(OR(ISNUMBER(SEARCH("education",P556)),ISNUMBER(SEARCH("exam",P556)),ISNUMBER(SEARCH("school",P556))),"Education",IF(OR(ISNUMBER(SEARCH("trade agreement",P556)),ISNUMBER(SEARCH("economic",P556)),ISNUMBER(SEARCH("import",P556))),"Trade &amp; economic policy",IF(OR(ISNUMBER(SEARCH("land acquisition",P556)),ISNUMBER(SEARCH("rehabilitation",P556)),ISNUMBER(SEARCH("displacement",P556)),ISNUMBER(SEARCH("township",P556))),"Land &amp; rehabilitation",IF(OR(ISNUMBER(SEARCH("forest",P556)),ISNUMBER(SEARCH("environment",P556)),ISNUMBER(SEARCH("ecological",P556)),ISNUMBER(SEARCH("biodiversity",P556)),ISNUMBER(SEARCH("green cover",P556))),"Environment",IF(OR(ISNUMBER(SEARCH("irrigation",P556)),ISNUMBER(SEARCH("water",P556)),ISNUMBER(SEARCH("crop",P556)),ISNUMBER(SEARCH("farmer",P556)),ISNUMBER(SEARCH("agriculture",P556))),"Agriculture &amp; water",IF(OR(ISNUMBER(SEARCH("health",P556)),ISNUMBER(SEARCH("hospital",P556)),ISNUMBER(SEARCH("medicine",P556))),"Public health",IF(OR(ISNUMBER(SEARCH("employee",P556)),ISNUMBER(SEARCH("labour",P556)),ISNUMBER(SEARCH("worker",P556)),ISNUMBER(SEARCH("salary",P556))),"Labour &amp; employment",IF(OR(ISNUMBER(SEARCH("rti",P556)),ISNUMBER(SEARCH("transparency",P556)),ISNUMBER(SEARCH("corruption",P556)),ISNUMBER(SEARCH("governance",P556))),"Governance &amp; transparency",IF(OR(ISNUMBER(SEARCH("police",P556)),ISNUMBER(SEARCH("detention",P556)),ISNUMBER(SEARCH("civil rights",P556)),ISNUMBER(SEARCH("justice",P556))),"Civil rights &amp; justice",IF(OR(ISNUMBER(SEARCH("road",P556)),ISNUMBER(SEARCH("utility",P556)),ISNUMBER(SEARCH("infrastructure",P556)),ISNUMBER(SEARCH("public service",P556))),"Infrastructure &amp; public services","Other"))))))))))))</x:f>
      </x:c>
      <x:c r="J556" s="16" t="str">
        <x:f>IF(A556="","",IF(OR(ISNUMBER(SEARCH("fatal",Q556)),ISNUMBER(SEARCH("death",Q556)),ISNUMBER(SEARCH("riot",Q556)),ISNUMBER(SEARCH("curfew",Q556)),ISNUMBER(SEARCH("internet shutdown",Q556))),5,MIN(4,1+IF(H556&gt;=7,1,0)+IF(OR(ISNUMBER(SEARCH("hunger strike",Q556)),ISNUMBER(SEARCH("blockade",Q556)),ISNUMBER(SEARCH("strike",Q556)),ISNUMBER(SEARCH("jal satyagraha",Q556)),ISNUMBER(SEARCH("survey",Q556)),ISNUMBER(SEARCH("human chain",Q556)),ISNUMBER(SEARCH("march",Q556))),1,0)+IF(OR(ISNUMBER(SEARCH("fir",Q556)),ISNUMBER(SEARCH("confrontation",Q556)),ISNUMBER(SEARCH("violence",Q556)),ISNUMBER(SEARCH("detention",Q556)),ISNUMBER(SEARCH("arrest",Q556)),ISNUMBER(SEARCH("demolition",Q556)),ISNUMBER(SEARCH("injury",Q556))),1,0)+IF(OR(D556="Ongoing",D556="Unresolved"),1,0))))</x:f>
      </x:c>
      <x:c r="K556" s="16" t="str">
        <x:f>IF(J556="","",IF(J556=1,"Limited",IF(J556=2,"Local",IF(J556=3,"Significant",IF(J556=4,"High","Critical")))))</x:f>
      </x:c>
      <x:c r="L556" s="16" t="str">
        <x:f>IF(A556="","",Events!U555)</x:f>
      </x:c>
      <x:c r="M556" s="16" t="str">
        <x:f>IF(A556="","",Events!V555)</x:f>
      </x:c>
      <x:c r="N556" s="16" t="str">
        <x:f>IF(A556="","",Events!Q555)</x:f>
      </x:c>
      <x:c r="O556" s="16" t="str">
        <x:f>IF(A556="","",Events!R555)</x:f>
      </x:c>
      <x:c r="P556" s="16" t="str">
        <x:f>IF(A556="","",LOWER(Events!B555&amp;" "&amp;Events!D555&amp;" "&amp;Events!K555))</x:f>
      </x:c>
      <x:c r="Q556" s="16" t="str">
        <x:f>IF(A556="","",LOWER(Events!C555&amp;" "&amp;Events!K555&amp;" "&amp;Events!T555))</x:f>
      </x:c>
      <x:c r="R556" s="16" t="str">
        <x:f>IF(A556="","",IF(ISNUMBER(SEARCH("Occurrence verified",E556)),"Occurrence verified",E556))</x:f>
      </x:c>
      <x:c r="S556" s="79" t="str">
        <x:f>IF(A556="","",Events!X555)</x:f>
      </x:c>
      <x:c r="Z556" s="79" t="str">
        <x:f>IF(A556="","",Events!AD555)</x:f>
      </x:c>
      <x:c r="AA556" s="79" t="str">
        <x:f>IF(A556="","",Events!AE555)</x:f>
      </x:c>
    </x:row>
    <x:row r="557">
      <x:c r="A557" s="16" t="str">
        <x:f>IF(Events!A556="","",Events!A556)</x:f>
      </x:c>
      <x:c r="B557" s="16" t="str">
        <x:f>IF(A557="","",Events!B556)</x:f>
      </x:c>
      <x:c r="C557" s="16" t="str">
        <x:f>IF(A557="","",Events!E556)</x:f>
      </x:c>
      <x:c r="D557" s="16" t="str">
        <x:f>IF(A557="","",Events!J556)</x:f>
      </x:c>
      <x:c r="E557" s="16" t="str">
        <x:f>IF(A557="","",Events!N556)</x:f>
      </x:c>
      <x:c r="F557" s="109" t="str">
        <x:f>IF(OR(A557="",Events!H556=""),"",Events!H556)</x:f>
      </x:c>
      <x:c r="G557" s="109" t="str">
        <x:f>IF(A557="","",IF(Events!I556&lt;&gt;"",Events!I556,IF(Events!S556&lt;&gt;"",Events!S556,"")))</x:f>
      </x:c>
      <x:c r="H557" s="16" t="str">
        <x:f>IF(A557="","",Events!W556)</x:f>
      </x:c>
      <x:c r="I557" s="16" t="str">
        <x:f>IF(A557="","",IF(Events!Y556&lt;&gt;"",Events!Y556,IF(OR(ISNUMBER(SEARCH("education",P557)),ISNUMBER(SEARCH("exam",P557)),ISNUMBER(SEARCH("school",P557))),"Education",IF(OR(ISNUMBER(SEARCH("trade agreement",P557)),ISNUMBER(SEARCH("economic",P557)),ISNUMBER(SEARCH("import",P557))),"Trade &amp; economic policy",IF(OR(ISNUMBER(SEARCH("land acquisition",P557)),ISNUMBER(SEARCH("rehabilitation",P557)),ISNUMBER(SEARCH("displacement",P557)),ISNUMBER(SEARCH("township",P557))),"Land &amp; rehabilitation",IF(OR(ISNUMBER(SEARCH("forest",P557)),ISNUMBER(SEARCH("environment",P557)),ISNUMBER(SEARCH("ecological",P557)),ISNUMBER(SEARCH("biodiversity",P557)),ISNUMBER(SEARCH("green cover",P557))),"Environment",IF(OR(ISNUMBER(SEARCH("irrigation",P557)),ISNUMBER(SEARCH("water",P557)),ISNUMBER(SEARCH("crop",P557)),ISNUMBER(SEARCH("farmer",P557)),ISNUMBER(SEARCH("agriculture",P557))),"Agriculture &amp; water",IF(OR(ISNUMBER(SEARCH("health",P557)),ISNUMBER(SEARCH("hospital",P557)),ISNUMBER(SEARCH("medicine",P557))),"Public health",IF(OR(ISNUMBER(SEARCH("employee",P557)),ISNUMBER(SEARCH("labour",P557)),ISNUMBER(SEARCH("worker",P557)),ISNUMBER(SEARCH("salary",P557))),"Labour &amp; employment",IF(OR(ISNUMBER(SEARCH("rti",P557)),ISNUMBER(SEARCH("transparency",P557)),ISNUMBER(SEARCH("corruption",P557)),ISNUMBER(SEARCH("governance",P557))),"Governance &amp; transparency",IF(OR(ISNUMBER(SEARCH("police",P557)),ISNUMBER(SEARCH("detention",P557)),ISNUMBER(SEARCH("civil rights",P557)),ISNUMBER(SEARCH("justice",P557))),"Civil rights &amp; justice",IF(OR(ISNUMBER(SEARCH("road",P557)),ISNUMBER(SEARCH("utility",P557)),ISNUMBER(SEARCH("infrastructure",P557)),ISNUMBER(SEARCH("public service",P557))),"Infrastructure &amp; public services","Other"))))))))))))</x:f>
      </x:c>
      <x:c r="J557" s="16" t="str">
        <x:f>IF(A557="","",IF(OR(ISNUMBER(SEARCH("fatal",Q557)),ISNUMBER(SEARCH("death",Q557)),ISNUMBER(SEARCH("riot",Q557)),ISNUMBER(SEARCH("curfew",Q557)),ISNUMBER(SEARCH("internet shutdown",Q557))),5,MIN(4,1+IF(H557&gt;=7,1,0)+IF(OR(ISNUMBER(SEARCH("hunger strike",Q557)),ISNUMBER(SEARCH("blockade",Q557)),ISNUMBER(SEARCH("strike",Q557)),ISNUMBER(SEARCH("jal satyagraha",Q557)),ISNUMBER(SEARCH("survey",Q557)),ISNUMBER(SEARCH("human chain",Q557)),ISNUMBER(SEARCH("march",Q557))),1,0)+IF(OR(ISNUMBER(SEARCH("fir",Q557)),ISNUMBER(SEARCH("confrontation",Q557)),ISNUMBER(SEARCH("violence",Q557)),ISNUMBER(SEARCH("detention",Q557)),ISNUMBER(SEARCH("arrest",Q557)),ISNUMBER(SEARCH("demolition",Q557)),ISNUMBER(SEARCH("injury",Q557))),1,0)+IF(OR(D557="Ongoing",D557="Unresolved"),1,0))))</x:f>
      </x:c>
      <x:c r="K557" s="16" t="str">
        <x:f>IF(J557="","",IF(J557=1,"Limited",IF(J557=2,"Local",IF(J557=3,"Significant",IF(J557=4,"High","Critical")))))</x:f>
      </x:c>
      <x:c r="L557" s="16" t="str">
        <x:f>IF(A557="","",Events!U556)</x:f>
      </x:c>
      <x:c r="M557" s="16" t="str">
        <x:f>IF(A557="","",Events!V556)</x:f>
      </x:c>
      <x:c r="N557" s="16" t="str">
        <x:f>IF(A557="","",Events!Q556)</x:f>
      </x:c>
      <x:c r="O557" s="16" t="str">
        <x:f>IF(A557="","",Events!R556)</x:f>
      </x:c>
      <x:c r="P557" s="16" t="str">
        <x:f>IF(A557="","",LOWER(Events!B556&amp;" "&amp;Events!D556&amp;" "&amp;Events!K556))</x:f>
      </x:c>
      <x:c r="Q557" s="16" t="str">
        <x:f>IF(A557="","",LOWER(Events!C556&amp;" "&amp;Events!K556&amp;" "&amp;Events!T556))</x:f>
      </x:c>
      <x:c r="R557" s="16" t="str">
        <x:f>IF(A557="","",IF(ISNUMBER(SEARCH("Occurrence verified",E557)),"Occurrence verified",E557))</x:f>
      </x:c>
      <x:c r="S557" s="79" t="str">
        <x:f>IF(A557="","",Events!X556)</x:f>
      </x:c>
      <x:c r="Z557" s="79" t="str">
        <x:f>IF(A557="","",Events!AD556)</x:f>
      </x:c>
      <x:c r="AA557" s="79" t="str">
        <x:f>IF(A557="","",Events!AE556)</x:f>
      </x:c>
    </x:row>
    <x:row r="558">
      <x:c r="A558" s="16" t="str">
        <x:f>IF(Events!A557="","",Events!A557)</x:f>
      </x:c>
      <x:c r="B558" s="16" t="str">
        <x:f>IF(A558="","",Events!B557)</x:f>
      </x:c>
      <x:c r="C558" s="16" t="str">
        <x:f>IF(A558="","",Events!E557)</x:f>
      </x:c>
      <x:c r="D558" s="16" t="str">
        <x:f>IF(A558="","",Events!J557)</x:f>
      </x:c>
      <x:c r="E558" s="16" t="str">
        <x:f>IF(A558="","",Events!N557)</x:f>
      </x:c>
      <x:c r="F558" s="109" t="str">
        <x:f>IF(OR(A558="",Events!H557=""),"",Events!H557)</x:f>
      </x:c>
      <x:c r="G558" s="109" t="str">
        <x:f>IF(A558="","",IF(Events!I557&lt;&gt;"",Events!I557,IF(Events!S557&lt;&gt;"",Events!S557,"")))</x:f>
      </x:c>
      <x:c r="H558" s="16" t="str">
        <x:f>IF(A558="","",Events!W557)</x:f>
      </x:c>
      <x:c r="I558" s="16" t="str">
        <x:f>IF(A558="","",IF(Events!Y557&lt;&gt;"",Events!Y557,IF(OR(ISNUMBER(SEARCH("education",P558)),ISNUMBER(SEARCH("exam",P558)),ISNUMBER(SEARCH("school",P558))),"Education",IF(OR(ISNUMBER(SEARCH("trade agreement",P558)),ISNUMBER(SEARCH("economic",P558)),ISNUMBER(SEARCH("import",P558))),"Trade &amp; economic policy",IF(OR(ISNUMBER(SEARCH("land acquisition",P558)),ISNUMBER(SEARCH("rehabilitation",P558)),ISNUMBER(SEARCH("displacement",P558)),ISNUMBER(SEARCH("township",P558))),"Land &amp; rehabilitation",IF(OR(ISNUMBER(SEARCH("forest",P558)),ISNUMBER(SEARCH("environment",P558)),ISNUMBER(SEARCH("ecological",P558)),ISNUMBER(SEARCH("biodiversity",P558)),ISNUMBER(SEARCH("green cover",P558))),"Environment",IF(OR(ISNUMBER(SEARCH("irrigation",P558)),ISNUMBER(SEARCH("water",P558)),ISNUMBER(SEARCH("crop",P558)),ISNUMBER(SEARCH("farmer",P558)),ISNUMBER(SEARCH("agriculture",P558))),"Agriculture &amp; water",IF(OR(ISNUMBER(SEARCH("health",P558)),ISNUMBER(SEARCH("hospital",P558)),ISNUMBER(SEARCH("medicine",P558))),"Public health",IF(OR(ISNUMBER(SEARCH("employee",P558)),ISNUMBER(SEARCH("labour",P558)),ISNUMBER(SEARCH("worker",P558)),ISNUMBER(SEARCH("salary",P558))),"Labour &amp; employment",IF(OR(ISNUMBER(SEARCH("rti",P558)),ISNUMBER(SEARCH("transparency",P558)),ISNUMBER(SEARCH("corruption",P558)),ISNUMBER(SEARCH("governance",P558))),"Governance &amp; transparency",IF(OR(ISNUMBER(SEARCH("police",P558)),ISNUMBER(SEARCH("detention",P558)),ISNUMBER(SEARCH("civil rights",P558)),ISNUMBER(SEARCH("justice",P558))),"Civil rights &amp; justice",IF(OR(ISNUMBER(SEARCH("road",P558)),ISNUMBER(SEARCH("utility",P558)),ISNUMBER(SEARCH("infrastructure",P558)),ISNUMBER(SEARCH("public service",P558))),"Infrastructure &amp; public services","Other"))))))))))))</x:f>
      </x:c>
      <x:c r="J558" s="16" t="str">
        <x:f>IF(A558="","",IF(OR(ISNUMBER(SEARCH("fatal",Q558)),ISNUMBER(SEARCH("death",Q558)),ISNUMBER(SEARCH("riot",Q558)),ISNUMBER(SEARCH("curfew",Q558)),ISNUMBER(SEARCH("internet shutdown",Q558))),5,MIN(4,1+IF(H558&gt;=7,1,0)+IF(OR(ISNUMBER(SEARCH("hunger strike",Q558)),ISNUMBER(SEARCH("blockade",Q558)),ISNUMBER(SEARCH("strike",Q558)),ISNUMBER(SEARCH("jal satyagraha",Q558)),ISNUMBER(SEARCH("survey",Q558)),ISNUMBER(SEARCH("human chain",Q558)),ISNUMBER(SEARCH("march",Q558))),1,0)+IF(OR(ISNUMBER(SEARCH("fir",Q558)),ISNUMBER(SEARCH("confrontation",Q558)),ISNUMBER(SEARCH("violence",Q558)),ISNUMBER(SEARCH("detention",Q558)),ISNUMBER(SEARCH("arrest",Q558)),ISNUMBER(SEARCH("demolition",Q558)),ISNUMBER(SEARCH("injury",Q558))),1,0)+IF(OR(D558="Ongoing",D558="Unresolved"),1,0))))</x:f>
      </x:c>
      <x:c r="K558" s="16" t="str">
        <x:f>IF(J558="","",IF(J558=1,"Limited",IF(J558=2,"Local",IF(J558=3,"Significant",IF(J558=4,"High","Critical")))))</x:f>
      </x:c>
      <x:c r="L558" s="16" t="str">
        <x:f>IF(A558="","",Events!U557)</x:f>
      </x:c>
      <x:c r="M558" s="16" t="str">
        <x:f>IF(A558="","",Events!V557)</x:f>
      </x:c>
      <x:c r="N558" s="16" t="str">
        <x:f>IF(A558="","",Events!Q557)</x:f>
      </x:c>
      <x:c r="O558" s="16" t="str">
        <x:f>IF(A558="","",Events!R557)</x:f>
      </x:c>
      <x:c r="P558" s="16" t="str">
        <x:f>IF(A558="","",LOWER(Events!B557&amp;" "&amp;Events!D557&amp;" "&amp;Events!K557))</x:f>
      </x:c>
      <x:c r="Q558" s="16" t="str">
        <x:f>IF(A558="","",LOWER(Events!C557&amp;" "&amp;Events!K557&amp;" "&amp;Events!T557))</x:f>
      </x:c>
      <x:c r="R558" s="16" t="str">
        <x:f>IF(A558="","",IF(ISNUMBER(SEARCH("Occurrence verified",E558)),"Occurrence verified",E558))</x:f>
      </x:c>
      <x:c r="S558" s="79" t="str">
        <x:f>IF(A558="","",Events!X557)</x:f>
      </x:c>
      <x:c r="Z558" s="79" t="str">
        <x:f>IF(A558="","",Events!AD557)</x:f>
      </x:c>
      <x:c r="AA558" s="79" t="str">
        <x:f>IF(A558="","",Events!AE557)</x:f>
      </x:c>
    </x:row>
    <x:row r="559">
      <x:c r="A559" s="16" t="str">
        <x:f>IF(Events!A558="","",Events!A558)</x:f>
      </x:c>
      <x:c r="B559" s="16" t="str">
        <x:f>IF(A559="","",Events!B558)</x:f>
      </x:c>
      <x:c r="C559" s="16" t="str">
        <x:f>IF(A559="","",Events!E558)</x:f>
      </x:c>
      <x:c r="D559" s="16" t="str">
        <x:f>IF(A559="","",Events!J558)</x:f>
      </x:c>
      <x:c r="E559" s="16" t="str">
        <x:f>IF(A559="","",Events!N558)</x:f>
      </x:c>
      <x:c r="F559" s="109" t="str">
        <x:f>IF(OR(A559="",Events!H558=""),"",Events!H558)</x:f>
      </x:c>
      <x:c r="G559" s="109" t="str">
        <x:f>IF(A559="","",IF(Events!I558&lt;&gt;"",Events!I558,IF(Events!S558&lt;&gt;"",Events!S558,"")))</x:f>
      </x:c>
      <x:c r="H559" s="16" t="str">
        <x:f>IF(A559="","",Events!W558)</x:f>
      </x:c>
      <x:c r="I559" s="16" t="str">
        <x:f>IF(A559="","",IF(Events!Y558&lt;&gt;"",Events!Y558,IF(OR(ISNUMBER(SEARCH("education",P559)),ISNUMBER(SEARCH("exam",P559)),ISNUMBER(SEARCH("school",P559))),"Education",IF(OR(ISNUMBER(SEARCH("trade agreement",P559)),ISNUMBER(SEARCH("economic",P559)),ISNUMBER(SEARCH("import",P559))),"Trade &amp; economic policy",IF(OR(ISNUMBER(SEARCH("land acquisition",P559)),ISNUMBER(SEARCH("rehabilitation",P559)),ISNUMBER(SEARCH("displacement",P559)),ISNUMBER(SEARCH("township",P559))),"Land &amp; rehabilitation",IF(OR(ISNUMBER(SEARCH("forest",P559)),ISNUMBER(SEARCH("environment",P559)),ISNUMBER(SEARCH("ecological",P559)),ISNUMBER(SEARCH("biodiversity",P559)),ISNUMBER(SEARCH("green cover",P559))),"Environment",IF(OR(ISNUMBER(SEARCH("irrigation",P559)),ISNUMBER(SEARCH("water",P559)),ISNUMBER(SEARCH("crop",P559)),ISNUMBER(SEARCH("farmer",P559)),ISNUMBER(SEARCH("agriculture",P559))),"Agriculture &amp; water",IF(OR(ISNUMBER(SEARCH("health",P559)),ISNUMBER(SEARCH("hospital",P559)),ISNUMBER(SEARCH("medicine",P559))),"Public health",IF(OR(ISNUMBER(SEARCH("employee",P559)),ISNUMBER(SEARCH("labour",P559)),ISNUMBER(SEARCH("worker",P559)),ISNUMBER(SEARCH("salary",P559))),"Labour &amp; employment",IF(OR(ISNUMBER(SEARCH("rti",P559)),ISNUMBER(SEARCH("transparency",P559)),ISNUMBER(SEARCH("corruption",P559)),ISNUMBER(SEARCH("governance",P559))),"Governance &amp; transparency",IF(OR(ISNUMBER(SEARCH("police",P559)),ISNUMBER(SEARCH("detention",P559)),ISNUMBER(SEARCH("civil rights",P559)),ISNUMBER(SEARCH("justice",P559))),"Civil rights &amp; justice",IF(OR(ISNUMBER(SEARCH("road",P559)),ISNUMBER(SEARCH("utility",P559)),ISNUMBER(SEARCH("infrastructure",P559)),ISNUMBER(SEARCH("public service",P559))),"Infrastructure &amp; public services","Other"))))))))))))</x:f>
      </x:c>
      <x:c r="J559" s="16" t="str">
        <x:f>IF(A559="","",IF(OR(ISNUMBER(SEARCH("fatal",Q559)),ISNUMBER(SEARCH("death",Q559)),ISNUMBER(SEARCH("riot",Q559)),ISNUMBER(SEARCH("curfew",Q559)),ISNUMBER(SEARCH("internet shutdown",Q559))),5,MIN(4,1+IF(H559&gt;=7,1,0)+IF(OR(ISNUMBER(SEARCH("hunger strike",Q559)),ISNUMBER(SEARCH("blockade",Q559)),ISNUMBER(SEARCH("strike",Q559)),ISNUMBER(SEARCH("jal satyagraha",Q559)),ISNUMBER(SEARCH("survey",Q559)),ISNUMBER(SEARCH("human chain",Q559)),ISNUMBER(SEARCH("march",Q559))),1,0)+IF(OR(ISNUMBER(SEARCH("fir",Q559)),ISNUMBER(SEARCH("confrontation",Q559)),ISNUMBER(SEARCH("violence",Q559)),ISNUMBER(SEARCH("detention",Q559)),ISNUMBER(SEARCH("arrest",Q559)),ISNUMBER(SEARCH("demolition",Q559)),ISNUMBER(SEARCH("injury",Q559))),1,0)+IF(OR(D559="Ongoing",D559="Unresolved"),1,0))))</x:f>
      </x:c>
      <x:c r="K559" s="16" t="str">
        <x:f>IF(J559="","",IF(J559=1,"Limited",IF(J559=2,"Local",IF(J559=3,"Significant",IF(J559=4,"High","Critical")))))</x:f>
      </x:c>
      <x:c r="L559" s="16" t="str">
        <x:f>IF(A559="","",Events!U558)</x:f>
      </x:c>
      <x:c r="M559" s="16" t="str">
        <x:f>IF(A559="","",Events!V558)</x:f>
      </x:c>
      <x:c r="N559" s="16" t="str">
        <x:f>IF(A559="","",Events!Q558)</x:f>
      </x:c>
      <x:c r="O559" s="16" t="str">
        <x:f>IF(A559="","",Events!R558)</x:f>
      </x:c>
      <x:c r="P559" s="16" t="str">
        <x:f>IF(A559="","",LOWER(Events!B558&amp;" "&amp;Events!D558&amp;" "&amp;Events!K558))</x:f>
      </x:c>
      <x:c r="Q559" s="16" t="str">
        <x:f>IF(A559="","",LOWER(Events!C558&amp;" "&amp;Events!K558&amp;" "&amp;Events!T558))</x:f>
      </x:c>
      <x:c r="R559" s="16" t="str">
        <x:f>IF(A559="","",IF(ISNUMBER(SEARCH("Occurrence verified",E559)),"Occurrence verified",E559))</x:f>
      </x:c>
      <x:c r="S559" s="79" t="str">
        <x:f>IF(A559="","",Events!X558)</x:f>
      </x:c>
      <x:c r="Z559" s="79" t="str">
        <x:f>IF(A559="","",Events!AD558)</x:f>
      </x:c>
      <x:c r="AA559" s="79" t="str">
        <x:f>IF(A559="","",Events!AE558)</x:f>
      </x:c>
    </x:row>
    <x:row r="560">
      <x:c r="A560" s="16" t="str">
        <x:f>IF(Events!A559="","",Events!A559)</x:f>
      </x:c>
      <x:c r="B560" s="16" t="str">
        <x:f>IF(A560="","",Events!B559)</x:f>
      </x:c>
      <x:c r="C560" s="16" t="str">
        <x:f>IF(A560="","",Events!E559)</x:f>
      </x:c>
      <x:c r="D560" s="16" t="str">
        <x:f>IF(A560="","",Events!J559)</x:f>
      </x:c>
      <x:c r="E560" s="16" t="str">
        <x:f>IF(A560="","",Events!N559)</x:f>
      </x:c>
      <x:c r="F560" s="109" t="str">
        <x:f>IF(OR(A560="",Events!H559=""),"",Events!H559)</x:f>
      </x:c>
      <x:c r="G560" s="109" t="str">
        <x:f>IF(A560="","",IF(Events!I559&lt;&gt;"",Events!I559,IF(Events!S559&lt;&gt;"",Events!S559,"")))</x:f>
      </x:c>
      <x:c r="H560" s="16" t="str">
        <x:f>IF(A560="","",Events!W559)</x:f>
      </x:c>
      <x:c r="I560" s="16" t="str">
        <x:f>IF(A560="","",IF(Events!Y559&lt;&gt;"",Events!Y559,IF(OR(ISNUMBER(SEARCH("education",P560)),ISNUMBER(SEARCH("exam",P560)),ISNUMBER(SEARCH("school",P560))),"Education",IF(OR(ISNUMBER(SEARCH("trade agreement",P560)),ISNUMBER(SEARCH("economic",P560)),ISNUMBER(SEARCH("import",P560))),"Trade &amp; economic policy",IF(OR(ISNUMBER(SEARCH("land acquisition",P560)),ISNUMBER(SEARCH("rehabilitation",P560)),ISNUMBER(SEARCH("displacement",P560)),ISNUMBER(SEARCH("township",P560))),"Land &amp; rehabilitation",IF(OR(ISNUMBER(SEARCH("forest",P560)),ISNUMBER(SEARCH("environment",P560)),ISNUMBER(SEARCH("ecological",P560)),ISNUMBER(SEARCH("biodiversity",P560)),ISNUMBER(SEARCH("green cover",P560))),"Environment",IF(OR(ISNUMBER(SEARCH("irrigation",P560)),ISNUMBER(SEARCH("water",P560)),ISNUMBER(SEARCH("crop",P560)),ISNUMBER(SEARCH("farmer",P560)),ISNUMBER(SEARCH("agriculture",P560))),"Agriculture &amp; water",IF(OR(ISNUMBER(SEARCH("health",P560)),ISNUMBER(SEARCH("hospital",P560)),ISNUMBER(SEARCH("medicine",P560))),"Public health",IF(OR(ISNUMBER(SEARCH("employee",P560)),ISNUMBER(SEARCH("labour",P560)),ISNUMBER(SEARCH("worker",P560)),ISNUMBER(SEARCH("salary",P560))),"Labour &amp; employment",IF(OR(ISNUMBER(SEARCH("rti",P560)),ISNUMBER(SEARCH("transparency",P560)),ISNUMBER(SEARCH("corruption",P560)),ISNUMBER(SEARCH("governance",P560))),"Governance &amp; transparency",IF(OR(ISNUMBER(SEARCH("police",P560)),ISNUMBER(SEARCH("detention",P560)),ISNUMBER(SEARCH("civil rights",P560)),ISNUMBER(SEARCH("justice",P560))),"Civil rights &amp; justice",IF(OR(ISNUMBER(SEARCH("road",P560)),ISNUMBER(SEARCH("utility",P560)),ISNUMBER(SEARCH("infrastructure",P560)),ISNUMBER(SEARCH("public service",P560))),"Infrastructure &amp; public services","Other"))))))))))))</x:f>
      </x:c>
      <x:c r="J560" s="16" t="str">
        <x:f>IF(A560="","",IF(OR(ISNUMBER(SEARCH("fatal",Q560)),ISNUMBER(SEARCH("death",Q560)),ISNUMBER(SEARCH("riot",Q560)),ISNUMBER(SEARCH("curfew",Q560)),ISNUMBER(SEARCH("internet shutdown",Q560))),5,MIN(4,1+IF(H560&gt;=7,1,0)+IF(OR(ISNUMBER(SEARCH("hunger strike",Q560)),ISNUMBER(SEARCH("blockade",Q560)),ISNUMBER(SEARCH("strike",Q560)),ISNUMBER(SEARCH("jal satyagraha",Q560)),ISNUMBER(SEARCH("survey",Q560)),ISNUMBER(SEARCH("human chain",Q560)),ISNUMBER(SEARCH("march",Q560))),1,0)+IF(OR(ISNUMBER(SEARCH("fir",Q560)),ISNUMBER(SEARCH("confrontation",Q560)),ISNUMBER(SEARCH("violence",Q560)),ISNUMBER(SEARCH("detention",Q560)),ISNUMBER(SEARCH("arrest",Q560)),ISNUMBER(SEARCH("demolition",Q560)),ISNUMBER(SEARCH("injury",Q560))),1,0)+IF(OR(D560="Ongoing",D560="Unresolved"),1,0))))</x:f>
      </x:c>
      <x:c r="K560" s="16" t="str">
        <x:f>IF(J560="","",IF(J560=1,"Limited",IF(J560=2,"Local",IF(J560=3,"Significant",IF(J560=4,"High","Critical")))))</x:f>
      </x:c>
      <x:c r="L560" s="16" t="str">
        <x:f>IF(A560="","",Events!U559)</x:f>
      </x:c>
      <x:c r="M560" s="16" t="str">
        <x:f>IF(A560="","",Events!V559)</x:f>
      </x:c>
      <x:c r="N560" s="16" t="str">
        <x:f>IF(A560="","",Events!Q559)</x:f>
      </x:c>
      <x:c r="O560" s="16" t="str">
        <x:f>IF(A560="","",Events!R559)</x:f>
      </x:c>
      <x:c r="P560" s="16" t="str">
        <x:f>IF(A560="","",LOWER(Events!B559&amp;" "&amp;Events!D559&amp;" "&amp;Events!K559))</x:f>
      </x:c>
      <x:c r="Q560" s="16" t="str">
        <x:f>IF(A560="","",LOWER(Events!C559&amp;" "&amp;Events!K559&amp;" "&amp;Events!T559))</x:f>
      </x:c>
      <x:c r="R560" s="16" t="str">
        <x:f>IF(A560="","",IF(ISNUMBER(SEARCH("Occurrence verified",E560)),"Occurrence verified",E560))</x:f>
      </x:c>
      <x:c r="S560" s="79" t="str">
        <x:f>IF(A560="","",Events!X559)</x:f>
      </x:c>
      <x:c r="Z560" s="79" t="str">
        <x:f>IF(A560="","",Events!AD559)</x:f>
      </x:c>
      <x:c r="AA560" s="79" t="str">
        <x:f>IF(A560="","",Events!AE559)</x:f>
      </x:c>
    </x:row>
    <x:row r="561">
      <x:c r="A561" s="16" t="str">
        <x:f>IF(Events!A560="","",Events!A560)</x:f>
      </x:c>
      <x:c r="B561" s="16" t="str">
        <x:f>IF(A561="","",Events!B560)</x:f>
      </x:c>
      <x:c r="C561" s="16" t="str">
        <x:f>IF(A561="","",Events!E560)</x:f>
      </x:c>
      <x:c r="D561" s="16" t="str">
        <x:f>IF(A561="","",Events!J560)</x:f>
      </x:c>
      <x:c r="E561" s="16" t="str">
        <x:f>IF(A561="","",Events!N560)</x:f>
      </x:c>
      <x:c r="F561" s="109" t="str">
        <x:f>IF(OR(A561="",Events!H560=""),"",Events!H560)</x:f>
      </x:c>
      <x:c r="G561" s="109" t="str">
        <x:f>IF(A561="","",IF(Events!I560&lt;&gt;"",Events!I560,IF(Events!S560&lt;&gt;"",Events!S560,"")))</x:f>
      </x:c>
      <x:c r="H561" s="16" t="str">
        <x:f>IF(A561="","",Events!W560)</x:f>
      </x:c>
      <x:c r="I561" s="16" t="str">
        <x:f>IF(A561="","",IF(Events!Y560&lt;&gt;"",Events!Y560,IF(OR(ISNUMBER(SEARCH("education",P561)),ISNUMBER(SEARCH("exam",P561)),ISNUMBER(SEARCH("school",P561))),"Education",IF(OR(ISNUMBER(SEARCH("trade agreement",P561)),ISNUMBER(SEARCH("economic",P561)),ISNUMBER(SEARCH("import",P561))),"Trade &amp; economic policy",IF(OR(ISNUMBER(SEARCH("land acquisition",P561)),ISNUMBER(SEARCH("rehabilitation",P561)),ISNUMBER(SEARCH("displacement",P561)),ISNUMBER(SEARCH("township",P561))),"Land &amp; rehabilitation",IF(OR(ISNUMBER(SEARCH("forest",P561)),ISNUMBER(SEARCH("environment",P561)),ISNUMBER(SEARCH("ecological",P561)),ISNUMBER(SEARCH("biodiversity",P561)),ISNUMBER(SEARCH("green cover",P561))),"Environment",IF(OR(ISNUMBER(SEARCH("irrigation",P561)),ISNUMBER(SEARCH("water",P561)),ISNUMBER(SEARCH("crop",P561)),ISNUMBER(SEARCH("farmer",P561)),ISNUMBER(SEARCH("agriculture",P561))),"Agriculture &amp; water",IF(OR(ISNUMBER(SEARCH("health",P561)),ISNUMBER(SEARCH("hospital",P561)),ISNUMBER(SEARCH("medicine",P561))),"Public health",IF(OR(ISNUMBER(SEARCH("employee",P561)),ISNUMBER(SEARCH("labour",P561)),ISNUMBER(SEARCH("worker",P561)),ISNUMBER(SEARCH("salary",P561))),"Labour &amp; employment",IF(OR(ISNUMBER(SEARCH("rti",P561)),ISNUMBER(SEARCH("transparency",P561)),ISNUMBER(SEARCH("corruption",P561)),ISNUMBER(SEARCH("governance",P561))),"Governance &amp; transparency",IF(OR(ISNUMBER(SEARCH("police",P561)),ISNUMBER(SEARCH("detention",P561)),ISNUMBER(SEARCH("civil rights",P561)),ISNUMBER(SEARCH("justice",P561))),"Civil rights &amp; justice",IF(OR(ISNUMBER(SEARCH("road",P561)),ISNUMBER(SEARCH("utility",P561)),ISNUMBER(SEARCH("infrastructure",P561)),ISNUMBER(SEARCH("public service",P561))),"Infrastructure &amp; public services","Other"))))))))))))</x:f>
      </x:c>
      <x:c r="J561" s="16" t="str">
        <x:f>IF(A561="","",IF(OR(ISNUMBER(SEARCH("fatal",Q561)),ISNUMBER(SEARCH("death",Q561)),ISNUMBER(SEARCH("riot",Q561)),ISNUMBER(SEARCH("curfew",Q561)),ISNUMBER(SEARCH("internet shutdown",Q561))),5,MIN(4,1+IF(H561&gt;=7,1,0)+IF(OR(ISNUMBER(SEARCH("hunger strike",Q561)),ISNUMBER(SEARCH("blockade",Q561)),ISNUMBER(SEARCH("strike",Q561)),ISNUMBER(SEARCH("jal satyagraha",Q561)),ISNUMBER(SEARCH("survey",Q561)),ISNUMBER(SEARCH("human chain",Q561)),ISNUMBER(SEARCH("march",Q561))),1,0)+IF(OR(ISNUMBER(SEARCH("fir",Q561)),ISNUMBER(SEARCH("confrontation",Q561)),ISNUMBER(SEARCH("violence",Q561)),ISNUMBER(SEARCH("detention",Q561)),ISNUMBER(SEARCH("arrest",Q561)),ISNUMBER(SEARCH("demolition",Q561)),ISNUMBER(SEARCH("injury",Q561))),1,0)+IF(OR(D561="Ongoing",D561="Unresolved"),1,0))))</x:f>
      </x:c>
      <x:c r="K561" s="16" t="str">
        <x:f>IF(J561="","",IF(J561=1,"Limited",IF(J561=2,"Local",IF(J561=3,"Significant",IF(J561=4,"High","Critical")))))</x:f>
      </x:c>
      <x:c r="L561" s="16" t="str">
        <x:f>IF(A561="","",Events!U560)</x:f>
      </x:c>
      <x:c r="M561" s="16" t="str">
        <x:f>IF(A561="","",Events!V560)</x:f>
      </x:c>
      <x:c r="N561" s="16" t="str">
        <x:f>IF(A561="","",Events!Q560)</x:f>
      </x:c>
      <x:c r="O561" s="16" t="str">
        <x:f>IF(A561="","",Events!R560)</x:f>
      </x:c>
      <x:c r="P561" s="16" t="str">
        <x:f>IF(A561="","",LOWER(Events!B560&amp;" "&amp;Events!D560&amp;" "&amp;Events!K560))</x:f>
      </x:c>
      <x:c r="Q561" s="16" t="str">
        <x:f>IF(A561="","",LOWER(Events!C560&amp;" "&amp;Events!K560&amp;" "&amp;Events!T560))</x:f>
      </x:c>
      <x:c r="R561" s="16" t="str">
        <x:f>IF(A561="","",IF(ISNUMBER(SEARCH("Occurrence verified",E561)),"Occurrence verified",E561))</x:f>
      </x:c>
      <x:c r="S561" s="79" t="str">
        <x:f>IF(A561="","",Events!X560)</x:f>
      </x:c>
      <x:c r="Z561" s="79" t="str">
        <x:f>IF(A561="","",Events!AD560)</x:f>
      </x:c>
      <x:c r="AA561" s="79" t="str">
        <x:f>IF(A561="","",Events!AE560)</x:f>
      </x:c>
    </x:row>
    <x:row r="562">
      <x:c r="A562" s="16" t="str">
        <x:f>IF(Events!A561="","",Events!A561)</x:f>
      </x:c>
      <x:c r="B562" s="16" t="str">
        <x:f>IF(A562="","",Events!B561)</x:f>
      </x:c>
      <x:c r="C562" s="16" t="str">
        <x:f>IF(A562="","",Events!E561)</x:f>
      </x:c>
      <x:c r="D562" s="16" t="str">
        <x:f>IF(A562="","",Events!J561)</x:f>
      </x:c>
      <x:c r="E562" s="16" t="str">
        <x:f>IF(A562="","",Events!N561)</x:f>
      </x:c>
      <x:c r="F562" s="109" t="str">
        <x:f>IF(OR(A562="",Events!H561=""),"",Events!H561)</x:f>
      </x:c>
      <x:c r="G562" s="109" t="str">
        <x:f>IF(A562="","",IF(Events!I561&lt;&gt;"",Events!I561,IF(Events!S561&lt;&gt;"",Events!S561,"")))</x:f>
      </x:c>
      <x:c r="H562" s="16" t="str">
        <x:f>IF(A562="","",Events!W561)</x:f>
      </x:c>
      <x:c r="I562" s="16" t="str">
        <x:f>IF(A562="","",IF(Events!Y561&lt;&gt;"",Events!Y561,IF(OR(ISNUMBER(SEARCH("education",P562)),ISNUMBER(SEARCH("exam",P562)),ISNUMBER(SEARCH("school",P562))),"Education",IF(OR(ISNUMBER(SEARCH("trade agreement",P562)),ISNUMBER(SEARCH("economic",P562)),ISNUMBER(SEARCH("import",P562))),"Trade &amp; economic policy",IF(OR(ISNUMBER(SEARCH("land acquisition",P562)),ISNUMBER(SEARCH("rehabilitation",P562)),ISNUMBER(SEARCH("displacement",P562)),ISNUMBER(SEARCH("township",P562))),"Land &amp; rehabilitation",IF(OR(ISNUMBER(SEARCH("forest",P562)),ISNUMBER(SEARCH("environment",P562)),ISNUMBER(SEARCH("ecological",P562)),ISNUMBER(SEARCH("biodiversity",P562)),ISNUMBER(SEARCH("green cover",P562))),"Environment",IF(OR(ISNUMBER(SEARCH("irrigation",P562)),ISNUMBER(SEARCH("water",P562)),ISNUMBER(SEARCH("crop",P562)),ISNUMBER(SEARCH("farmer",P562)),ISNUMBER(SEARCH("agriculture",P562))),"Agriculture &amp; water",IF(OR(ISNUMBER(SEARCH("health",P562)),ISNUMBER(SEARCH("hospital",P562)),ISNUMBER(SEARCH("medicine",P562))),"Public health",IF(OR(ISNUMBER(SEARCH("employee",P562)),ISNUMBER(SEARCH("labour",P562)),ISNUMBER(SEARCH("worker",P562)),ISNUMBER(SEARCH("salary",P562))),"Labour &amp; employment",IF(OR(ISNUMBER(SEARCH("rti",P562)),ISNUMBER(SEARCH("transparency",P562)),ISNUMBER(SEARCH("corruption",P562)),ISNUMBER(SEARCH("governance",P562))),"Governance &amp; transparency",IF(OR(ISNUMBER(SEARCH("police",P562)),ISNUMBER(SEARCH("detention",P562)),ISNUMBER(SEARCH("civil rights",P562)),ISNUMBER(SEARCH("justice",P562))),"Civil rights &amp; justice",IF(OR(ISNUMBER(SEARCH("road",P562)),ISNUMBER(SEARCH("utility",P562)),ISNUMBER(SEARCH("infrastructure",P562)),ISNUMBER(SEARCH("public service",P562))),"Infrastructure &amp; public services","Other"))))))))))))</x:f>
      </x:c>
      <x:c r="J562" s="16" t="str">
        <x:f>IF(A562="","",IF(OR(ISNUMBER(SEARCH("fatal",Q562)),ISNUMBER(SEARCH("death",Q562)),ISNUMBER(SEARCH("riot",Q562)),ISNUMBER(SEARCH("curfew",Q562)),ISNUMBER(SEARCH("internet shutdown",Q562))),5,MIN(4,1+IF(H562&gt;=7,1,0)+IF(OR(ISNUMBER(SEARCH("hunger strike",Q562)),ISNUMBER(SEARCH("blockade",Q562)),ISNUMBER(SEARCH("strike",Q562)),ISNUMBER(SEARCH("jal satyagraha",Q562)),ISNUMBER(SEARCH("survey",Q562)),ISNUMBER(SEARCH("human chain",Q562)),ISNUMBER(SEARCH("march",Q562))),1,0)+IF(OR(ISNUMBER(SEARCH("fir",Q562)),ISNUMBER(SEARCH("confrontation",Q562)),ISNUMBER(SEARCH("violence",Q562)),ISNUMBER(SEARCH("detention",Q562)),ISNUMBER(SEARCH("arrest",Q562)),ISNUMBER(SEARCH("demolition",Q562)),ISNUMBER(SEARCH("injury",Q562))),1,0)+IF(OR(D562="Ongoing",D562="Unresolved"),1,0))))</x:f>
      </x:c>
      <x:c r="K562" s="16" t="str">
        <x:f>IF(J562="","",IF(J562=1,"Limited",IF(J562=2,"Local",IF(J562=3,"Significant",IF(J562=4,"High","Critical")))))</x:f>
      </x:c>
      <x:c r="L562" s="16" t="str">
        <x:f>IF(A562="","",Events!U561)</x:f>
      </x:c>
      <x:c r="M562" s="16" t="str">
        <x:f>IF(A562="","",Events!V561)</x:f>
      </x:c>
      <x:c r="N562" s="16" t="str">
        <x:f>IF(A562="","",Events!Q561)</x:f>
      </x:c>
      <x:c r="O562" s="16" t="str">
        <x:f>IF(A562="","",Events!R561)</x:f>
      </x:c>
      <x:c r="P562" s="16" t="str">
        <x:f>IF(A562="","",LOWER(Events!B561&amp;" "&amp;Events!D561&amp;" "&amp;Events!K561))</x:f>
      </x:c>
      <x:c r="Q562" s="16" t="str">
        <x:f>IF(A562="","",LOWER(Events!C561&amp;" "&amp;Events!K561&amp;" "&amp;Events!T561))</x:f>
      </x:c>
      <x:c r="R562" s="16" t="str">
        <x:f>IF(A562="","",IF(ISNUMBER(SEARCH("Occurrence verified",E562)),"Occurrence verified",E562))</x:f>
      </x:c>
      <x:c r="S562" s="79" t="str">
        <x:f>IF(A562="","",Events!X561)</x:f>
      </x:c>
      <x:c r="Z562" s="79" t="str">
        <x:f>IF(A562="","",Events!AD561)</x:f>
      </x:c>
      <x:c r="AA562" s="79" t="str">
        <x:f>IF(A562="","",Events!AE561)</x:f>
      </x:c>
    </x:row>
    <x:row r="563">
      <x:c r="A563" s="16" t="str">
        <x:f>IF(Events!A562="","",Events!A562)</x:f>
      </x:c>
      <x:c r="B563" s="16" t="str">
        <x:f>IF(A563="","",Events!B562)</x:f>
      </x:c>
      <x:c r="C563" s="16" t="str">
        <x:f>IF(A563="","",Events!E562)</x:f>
      </x:c>
      <x:c r="D563" s="16" t="str">
        <x:f>IF(A563="","",Events!J562)</x:f>
      </x:c>
      <x:c r="E563" s="16" t="str">
        <x:f>IF(A563="","",Events!N562)</x:f>
      </x:c>
      <x:c r="F563" s="109" t="str">
        <x:f>IF(OR(A563="",Events!H562=""),"",Events!H562)</x:f>
      </x:c>
      <x:c r="G563" s="109" t="str">
        <x:f>IF(A563="","",IF(Events!I562&lt;&gt;"",Events!I562,IF(Events!S562&lt;&gt;"",Events!S562,"")))</x:f>
      </x:c>
      <x:c r="H563" s="16" t="str">
        <x:f>IF(A563="","",Events!W562)</x:f>
      </x:c>
      <x:c r="I563" s="16" t="str">
        <x:f>IF(A563="","",IF(Events!Y562&lt;&gt;"",Events!Y562,IF(OR(ISNUMBER(SEARCH("education",P563)),ISNUMBER(SEARCH("exam",P563)),ISNUMBER(SEARCH("school",P563))),"Education",IF(OR(ISNUMBER(SEARCH("trade agreement",P563)),ISNUMBER(SEARCH("economic",P563)),ISNUMBER(SEARCH("import",P563))),"Trade &amp; economic policy",IF(OR(ISNUMBER(SEARCH("land acquisition",P563)),ISNUMBER(SEARCH("rehabilitation",P563)),ISNUMBER(SEARCH("displacement",P563)),ISNUMBER(SEARCH("township",P563))),"Land &amp; rehabilitation",IF(OR(ISNUMBER(SEARCH("forest",P563)),ISNUMBER(SEARCH("environment",P563)),ISNUMBER(SEARCH("ecological",P563)),ISNUMBER(SEARCH("biodiversity",P563)),ISNUMBER(SEARCH("green cover",P563))),"Environment",IF(OR(ISNUMBER(SEARCH("irrigation",P563)),ISNUMBER(SEARCH("water",P563)),ISNUMBER(SEARCH("crop",P563)),ISNUMBER(SEARCH("farmer",P563)),ISNUMBER(SEARCH("agriculture",P563))),"Agriculture &amp; water",IF(OR(ISNUMBER(SEARCH("health",P563)),ISNUMBER(SEARCH("hospital",P563)),ISNUMBER(SEARCH("medicine",P563))),"Public health",IF(OR(ISNUMBER(SEARCH("employee",P563)),ISNUMBER(SEARCH("labour",P563)),ISNUMBER(SEARCH("worker",P563)),ISNUMBER(SEARCH("salary",P563))),"Labour &amp; employment",IF(OR(ISNUMBER(SEARCH("rti",P563)),ISNUMBER(SEARCH("transparency",P563)),ISNUMBER(SEARCH("corruption",P563)),ISNUMBER(SEARCH("governance",P563))),"Governance &amp; transparency",IF(OR(ISNUMBER(SEARCH("police",P563)),ISNUMBER(SEARCH("detention",P563)),ISNUMBER(SEARCH("civil rights",P563)),ISNUMBER(SEARCH("justice",P563))),"Civil rights &amp; justice",IF(OR(ISNUMBER(SEARCH("road",P563)),ISNUMBER(SEARCH("utility",P563)),ISNUMBER(SEARCH("infrastructure",P563)),ISNUMBER(SEARCH("public service",P563))),"Infrastructure &amp; public services","Other"))))))))))))</x:f>
      </x:c>
      <x:c r="J563" s="16" t="str">
        <x:f>IF(A563="","",IF(OR(ISNUMBER(SEARCH("fatal",Q563)),ISNUMBER(SEARCH("death",Q563)),ISNUMBER(SEARCH("riot",Q563)),ISNUMBER(SEARCH("curfew",Q563)),ISNUMBER(SEARCH("internet shutdown",Q563))),5,MIN(4,1+IF(H563&gt;=7,1,0)+IF(OR(ISNUMBER(SEARCH("hunger strike",Q563)),ISNUMBER(SEARCH("blockade",Q563)),ISNUMBER(SEARCH("strike",Q563)),ISNUMBER(SEARCH("jal satyagraha",Q563)),ISNUMBER(SEARCH("survey",Q563)),ISNUMBER(SEARCH("human chain",Q563)),ISNUMBER(SEARCH("march",Q563))),1,0)+IF(OR(ISNUMBER(SEARCH("fir",Q563)),ISNUMBER(SEARCH("confrontation",Q563)),ISNUMBER(SEARCH("violence",Q563)),ISNUMBER(SEARCH("detention",Q563)),ISNUMBER(SEARCH("arrest",Q563)),ISNUMBER(SEARCH("demolition",Q563)),ISNUMBER(SEARCH("injury",Q563))),1,0)+IF(OR(D563="Ongoing",D563="Unresolved"),1,0))))</x:f>
      </x:c>
      <x:c r="K563" s="16" t="str">
        <x:f>IF(J563="","",IF(J563=1,"Limited",IF(J563=2,"Local",IF(J563=3,"Significant",IF(J563=4,"High","Critical")))))</x:f>
      </x:c>
      <x:c r="L563" s="16" t="str">
        <x:f>IF(A563="","",Events!U562)</x:f>
      </x:c>
      <x:c r="M563" s="16" t="str">
        <x:f>IF(A563="","",Events!V562)</x:f>
      </x:c>
      <x:c r="N563" s="16" t="str">
        <x:f>IF(A563="","",Events!Q562)</x:f>
      </x:c>
      <x:c r="O563" s="16" t="str">
        <x:f>IF(A563="","",Events!R562)</x:f>
      </x:c>
      <x:c r="P563" s="16" t="str">
        <x:f>IF(A563="","",LOWER(Events!B562&amp;" "&amp;Events!D562&amp;" "&amp;Events!K562))</x:f>
      </x:c>
      <x:c r="Q563" s="16" t="str">
        <x:f>IF(A563="","",LOWER(Events!C562&amp;" "&amp;Events!K562&amp;" "&amp;Events!T562))</x:f>
      </x:c>
      <x:c r="R563" s="16" t="str">
        <x:f>IF(A563="","",IF(ISNUMBER(SEARCH("Occurrence verified",E563)),"Occurrence verified",E563))</x:f>
      </x:c>
      <x:c r="S563" s="79" t="str">
        <x:f>IF(A563="","",Events!X562)</x:f>
      </x:c>
      <x:c r="Z563" s="79" t="str">
        <x:f>IF(A563="","",Events!AD562)</x:f>
      </x:c>
      <x:c r="AA563" s="79" t="str">
        <x:f>IF(A563="","",Events!AE562)</x:f>
      </x:c>
    </x:row>
    <x:row r="564">
      <x:c r="A564" s="16" t="str">
        <x:f>IF(Events!A563="","",Events!A563)</x:f>
      </x:c>
      <x:c r="B564" s="16" t="str">
        <x:f>IF(A564="","",Events!B563)</x:f>
      </x:c>
      <x:c r="C564" s="16" t="str">
        <x:f>IF(A564="","",Events!E563)</x:f>
      </x:c>
      <x:c r="D564" s="16" t="str">
        <x:f>IF(A564="","",Events!J563)</x:f>
      </x:c>
      <x:c r="E564" s="16" t="str">
        <x:f>IF(A564="","",Events!N563)</x:f>
      </x:c>
      <x:c r="F564" s="109" t="str">
        <x:f>IF(OR(A564="",Events!H563=""),"",Events!H563)</x:f>
      </x:c>
      <x:c r="G564" s="109" t="str">
        <x:f>IF(A564="","",IF(Events!I563&lt;&gt;"",Events!I563,IF(Events!S563&lt;&gt;"",Events!S563,"")))</x:f>
      </x:c>
      <x:c r="H564" s="16" t="str">
        <x:f>IF(A564="","",Events!W563)</x:f>
      </x:c>
      <x:c r="I564" s="16" t="str">
        <x:f>IF(A564="","",IF(Events!Y563&lt;&gt;"",Events!Y563,IF(OR(ISNUMBER(SEARCH("education",P564)),ISNUMBER(SEARCH("exam",P564)),ISNUMBER(SEARCH("school",P564))),"Education",IF(OR(ISNUMBER(SEARCH("trade agreement",P564)),ISNUMBER(SEARCH("economic",P564)),ISNUMBER(SEARCH("import",P564))),"Trade &amp; economic policy",IF(OR(ISNUMBER(SEARCH("land acquisition",P564)),ISNUMBER(SEARCH("rehabilitation",P564)),ISNUMBER(SEARCH("displacement",P564)),ISNUMBER(SEARCH("township",P564))),"Land &amp; rehabilitation",IF(OR(ISNUMBER(SEARCH("forest",P564)),ISNUMBER(SEARCH("environment",P564)),ISNUMBER(SEARCH("ecological",P564)),ISNUMBER(SEARCH("biodiversity",P564)),ISNUMBER(SEARCH("green cover",P564))),"Environment",IF(OR(ISNUMBER(SEARCH("irrigation",P564)),ISNUMBER(SEARCH("water",P564)),ISNUMBER(SEARCH("crop",P564)),ISNUMBER(SEARCH("farmer",P564)),ISNUMBER(SEARCH("agriculture",P564))),"Agriculture &amp; water",IF(OR(ISNUMBER(SEARCH("health",P564)),ISNUMBER(SEARCH("hospital",P564)),ISNUMBER(SEARCH("medicine",P564))),"Public health",IF(OR(ISNUMBER(SEARCH("employee",P564)),ISNUMBER(SEARCH("labour",P564)),ISNUMBER(SEARCH("worker",P564)),ISNUMBER(SEARCH("salary",P564))),"Labour &amp; employment",IF(OR(ISNUMBER(SEARCH("rti",P564)),ISNUMBER(SEARCH("transparency",P564)),ISNUMBER(SEARCH("corruption",P564)),ISNUMBER(SEARCH("governance",P564))),"Governance &amp; transparency",IF(OR(ISNUMBER(SEARCH("police",P564)),ISNUMBER(SEARCH("detention",P564)),ISNUMBER(SEARCH("civil rights",P564)),ISNUMBER(SEARCH("justice",P564))),"Civil rights &amp; justice",IF(OR(ISNUMBER(SEARCH("road",P564)),ISNUMBER(SEARCH("utility",P564)),ISNUMBER(SEARCH("infrastructure",P564)),ISNUMBER(SEARCH("public service",P564))),"Infrastructure &amp; public services","Other"))))))))))))</x:f>
      </x:c>
      <x:c r="J564" s="16" t="str">
        <x:f>IF(A564="","",IF(OR(ISNUMBER(SEARCH("fatal",Q564)),ISNUMBER(SEARCH("death",Q564)),ISNUMBER(SEARCH("riot",Q564)),ISNUMBER(SEARCH("curfew",Q564)),ISNUMBER(SEARCH("internet shutdown",Q564))),5,MIN(4,1+IF(H564&gt;=7,1,0)+IF(OR(ISNUMBER(SEARCH("hunger strike",Q564)),ISNUMBER(SEARCH("blockade",Q564)),ISNUMBER(SEARCH("strike",Q564)),ISNUMBER(SEARCH("jal satyagraha",Q564)),ISNUMBER(SEARCH("survey",Q564)),ISNUMBER(SEARCH("human chain",Q564)),ISNUMBER(SEARCH("march",Q564))),1,0)+IF(OR(ISNUMBER(SEARCH("fir",Q564)),ISNUMBER(SEARCH("confrontation",Q564)),ISNUMBER(SEARCH("violence",Q564)),ISNUMBER(SEARCH("detention",Q564)),ISNUMBER(SEARCH("arrest",Q564)),ISNUMBER(SEARCH("demolition",Q564)),ISNUMBER(SEARCH("injury",Q564))),1,0)+IF(OR(D564="Ongoing",D564="Unresolved"),1,0))))</x:f>
      </x:c>
      <x:c r="K564" s="16" t="str">
        <x:f>IF(J564="","",IF(J564=1,"Limited",IF(J564=2,"Local",IF(J564=3,"Significant",IF(J564=4,"High","Critical")))))</x:f>
      </x:c>
      <x:c r="L564" s="16" t="str">
        <x:f>IF(A564="","",Events!U563)</x:f>
      </x:c>
      <x:c r="M564" s="16" t="str">
        <x:f>IF(A564="","",Events!V563)</x:f>
      </x:c>
      <x:c r="N564" s="16" t="str">
        <x:f>IF(A564="","",Events!Q563)</x:f>
      </x:c>
      <x:c r="O564" s="16" t="str">
        <x:f>IF(A564="","",Events!R563)</x:f>
      </x:c>
      <x:c r="P564" s="16" t="str">
        <x:f>IF(A564="","",LOWER(Events!B563&amp;" "&amp;Events!D563&amp;" "&amp;Events!K563))</x:f>
      </x:c>
      <x:c r="Q564" s="16" t="str">
        <x:f>IF(A564="","",LOWER(Events!C563&amp;" "&amp;Events!K563&amp;" "&amp;Events!T563))</x:f>
      </x:c>
      <x:c r="R564" s="16" t="str">
        <x:f>IF(A564="","",IF(ISNUMBER(SEARCH("Occurrence verified",E564)),"Occurrence verified",E564))</x:f>
      </x:c>
      <x:c r="S564" s="79" t="str">
        <x:f>IF(A564="","",Events!X563)</x:f>
      </x:c>
      <x:c r="Z564" s="79" t="str">
        <x:f>IF(A564="","",Events!AD563)</x:f>
      </x:c>
      <x:c r="AA564" s="79" t="str">
        <x:f>IF(A564="","",Events!AE563)</x:f>
      </x:c>
    </x:row>
    <x:row r="565">
      <x:c r="A565" s="16" t="str">
        <x:f>IF(Events!A564="","",Events!A564)</x:f>
      </x:c>
      <x:c r="B565" s="16" t="str">
        <x:f>IF(A565="","",Events!B564)</x:f>
      </x:c>
      <x:c r="C565" s="16" t="str">
        <x:f>IF(A565="","",Events!E564)</x:f>
      </x:c>
      <x:c r="D565" s="16" t="str">
        <x:f>IF(A565="","",Events!J564)</x:f>
      </x:c>
      <x:c r="E565" s="16" t="str">
        <x:f>IF(A565="","",Events!N564)</x:f>
      </x:c>
      <x:c r="F565" s="109" t="str">
        <x:f>IF(OR(A565="",Events!H564=""),"",Events!H564)</x:f>
      </x:c>
      <x:c r="G565" s="109" t="str">
        <x:f>IF(A565="","",IF(Events!I564&lt;&gt;"",Events!I564,IF(Events!S564&lt;&gt;"",Events!S564,"")))</x:f>
      </x:c>
      <x:c r="H565" s="16" t="str">
        <x:f>IF(A565="","",Events!W564)</x:f>
      </x:c>
      <x:c r="I565" s="16" t="str">
        <x:f>IF(A565="","",IF(Events!Y564&lt;&gt;"",Events!Y564,IF(OR(ISNUMBER(SEARCH("education",P565)),ISNUMBER(SEARCH("exam",P565)),ISNUMBER(SEARCH("school",P565))),"Education",IF(OR(ISNUMBER(SEARCH("trade agreement",P565)),ISNUMBER(SEARCH("economic",P565)),ISNUMBER(SEARCH("import",P565))),"Trade &amp; economic policy",IF(OR(ISNUMBER(SEARCH("land acquisition",P565)),ISNUMBER(SEARCH("rehabilitation",P565)),ISNUMBER(SEARCH("displacement",P565)),ISNUMBER(SEARCH("township",P565))),"Land &amp; rehabilitation",IF(OR(ISNUMBER(SEARCH("forest",P565)),ISNUMBER(SEARCH("environment",P565)),ISNUMBER(SEARCH("ecological",P565)),ISNUMBER(SEARCH("biodiversity",P565)),ISNUMBER(SEARCH("green cover",P565))),"Environment",IF(OR(ISNUMBER(SEARCH("irrigation",P565)),ISNUMBER(SEARCH("water",P565)),ISNUMBER(SEARCH("crop",P565)),ISNUMBER(SEARCH("farmer",P565)),ISNUMBER(SEARCH("agriculture",P565))),"Agriculture &amp; water",IF(OR(ISNUMBER(SEARCH("health",P565)),ISNUMBER(SEARCH("hospital",P565)),ISNUMBER(SEARCH("medicine",P565))),"Public health",IF(OR(ISNUMBER(SEARCH("employee",P565)),ISNUMBER(SEARCH("labour",P565)),ISNUMBER(SEARCH("worker",P565)),ISNUMBER(SEARCH("salary",P565))),"Labour &amp; employment",IF(OR(ISNUMBER(SEARCH("rti",P565)),ISNUMBER(SEARCH("transparency",P565)),ISNUMBER(SEARCH("corruption",P565)),ISNUMBER(SEARCH("governance",P565))),"Governance &amp; transparency",IF(OR(ISNUMBER(SEARCH("police",P565)),ISNUMBER(SEARCH("detention",P565)),ISNUMBER(SEARCH("civil rights",P565)),ISNUMBER(SEARCH("justice",P565))),"Civil rights &amp; justice",IF(OR(ISNUMBER(SEARCH("road",P565)),ISNUMBER(SEARCH("utility",P565)),ISNUMBER(SEARCH("infrastructure",P565)),ISNUMBER(SEARCH("public service",P565))),"Infrastructure &amp; public services","Other"))))))))))))</x:f>
      </x:c>
      <x:c r="J565" s="16" t="str">
        <x:f>IF(A565="","",IF(OR(ISNUMBER(SEARCH("fatal",Q565)),ISNUMBER(SEARCH("death",Q565)),ISNUMBER(SEARCH("riot",Q565)),ISNUMBER(SEARCH("curfew",Q565)),ISNUMBER(SEARCH("internet shutdown",Q565))),5,MIN(4,1+IF(H565&gt;=7,1,0)+IF(OR(ISNUMBER(SEARCH("hunger strike",Q565)),ISNUMBER(SEARCH("blockade",Q565)),ISNUMBER(SEARCH("strike",Q565)),ISNUMBER(SEARCH("jal satyagraha",Q565)),ISNUMBER(SEARCH("survey",Q565)),ISNUMBER(SEARCH("human chain",Q565)),ISNUMBER(SEARCH("march",Q565))),1,0)+IF(OR(ISNUMBER(SEARCH("fir",Q565)),ISNUMBER(SEARCH("confrontation",Q565)),ISNUMBER(SEARCH("violence",Q565)),ISNUMBER(SEARCH("detention",Q565)),ISNUMBER(SEARCH("arrest",Q565)),ISNUMBER(SEARCH("demolition",Q565)),ISNUMBER(SEARCH("injury",Q565))),1,0)+IF(OR(D565="Ongoing",D565="Unresolved"),1,0))))</x:f>
      </x:c>
      <x:c r="K565" s="16" t="str">
        <x:f>IF(J565="","",IF(J565=1,"Limited",IF(J565=2,"Local",IF(J565=3,"Significant",IF(J565=4,"High","Critical")))))</x:f>
      </x:c>
      <x:c r="L565" s="16" t="str">
        <x:f>IF(A565="","",Events!U564)</x:f>
      </x:c>
      <x:c r="M565" s="16" t="str">
        <x:f>IF(A565="","",Events!V564)</x:f>
      </x:c>
      <x:c r="N565" s="16" t="str">
        <x:f>IF(A565="","",Events!Q564)</x:f>
      </x:c>
      <x:c r="O565" s="16" t="str">
        <x:f>IF(A565="","",Events!R564)</x:f>
      </x:c>
      <x:c r="P565" s="16" t="str">
        <x:f>IF(A565="","",LOWER(Events!B564&amp;" "&amp;Events!D564&amp;" "&amp;Events!K564))</x:f>
      </x:c>
      <x:c r="Q565" s="16" t="str">
        <x:f>IF(A565="","",LOWER(Events!C564&amp;" "&amp;Events!K564&amp;" "&amp;Events!T564))</x:f>
      </x:c>
      <x:c r="R565" s="16" t="str">
        <x:f>IF(A565="","",IF(ISNUMBER(SEARCH("Occurrence verified",E565)),"Occurrence verified",E565))</x:f>
      </x:c>
      <x:c r="S565" s="79" t="str">
        <x:f>IF(A565="","",Events!X564)</x:f>
      </x:c>
      <x:c r="Z565" s="79" t="str">
        <x:f>IF(A565="","",Events!AD564)</x:f>
      </x:c>
      <x:c r="AA565" s="79" t="str">
        <x:f>IF(A565="","",Events!AE564)</x:f>
      </x:c>
    </x:row>
    <x:row r="566">
      <x:c r="A566" s="16" t="str">
        <x:f>IF(Events!A565="","",Events!A565)</x:f>
      </x:c>
      <x:c r="B566" s="16" t="str">
        <x:f>IF(A566="","",Events!B565)</x:f>
      </x:c>
      <x:c r="C566" s="16" t="str">
        <x:f>IF(A566="","",Events!E565)</x:f>
      </x:c>
      <x:c r="D566" s="16" t="str">
        <x:f>IF(A566="","",Events!J565)</x:f>
      </x:c>
      <x:c r="E566" s="16" t="str">
        <x:f>IF(A566="","",Events!N565)</x:f>
      </x:c>
      <x:c r="F566" s="109" t="str">
        <x:f>IF(OR(A566="",Events!H565=""),"",Events!H565)</x:f>
      </x:c>
      <x:c r="G566" s="109" t="str">
        <x:f>IF(A566="","",IF(Events!I565&lt;&gt;"",Events!I565,IF(Events!S565&lt;&gt;"",Events!S565,"")))</x:f>
      </x:c>
      <x:c r="H566" s="16" t="str">
        <x:f>IF(A566="","",Events!W565)</x:f>
      </x:c>
      <x:c r="I566" s="16" t="str">
        <x:f>IF(A566="","",IF(Events!Y565&lt;&gt;"",Events!Y565,IF(OR(ISNUMBER(SEARCH("education",P566)),ISNUMBER(SEARCH("exam",P566)),ISNUMBER(SEARCH("school",P566))),"Education",IF(OR(ISNUMBER(SEARCH("trade agreement",P566)),ISNUMBER(SEARCH("economic",P566)),ISNUMBER(SEARCH("import",P566))),"Trade &amp; economic policy",IF(OR(ISNUMBER(SEARCH("land acquisition",P566)),ISNUMBER(SEARCH("rehabilitation",P566)),ISNUMBER(SEARCH("displacement",P566)),ISNUMBER(SEARCH("township",P566))),"Land &amp; rehabilitation",IF(OR(ISNUMBER(SEARCH("forest",P566)),ISNUMBER(SEARCH("environment",P566)),ISNUMBER(SEARCH("ecological",P566)),ISNUMBER(SEARCH("biodiversity",P566)),ISNUMBER(SEARCH("green cover",P566))),"Environment",IF(OR(ISNUMBER(SEARCH("irrigation",P566)),ISNUMBER(SEARCH("water",P566)),ISNUMBER(SEARCH("crop",P566)),ISNUMBER(SEARCH("farmer",P566)),ISNUMBER(SEARCH("agriculture",P566))),"Agriculture &amp; water",IF(OR(ISNUMBER(SEARCH("health",P566)),ISNUMBER(SEARCH("hospital",P566)),ISNUMBER(SEARCH("medicine",P566))),"Public health",IF(OR(ISNUMBER(SEARCH("employee",P566)),ISNUMBER(SEARCH("labour",P566)),ISNUMBER(SEARCH("worker",P566)),ISNUMBER(SEARCH("salary",P566))),"Labour &amp; employment",IF(OR(ISNUMBER(SEARCH("rti",P566)),ISNUMBER(SEARCH("transparency",P566)),ISNUMBER(SEARCH("corruption",P566)),ISNUMBER(SEARCH("governance",P566))),"Governance &amp; transparency",IF(OR(ISNUMBER(SEARCH("police",P566)),ISNUMBER(SEARCH("detention",P566)),ISNUMBER(SEARCH("civil rights",P566)),ISNUMBER(SEARCH("justice",P566))),"Civil rights &amp; justice",IF(OR(ISNUMBER(SEARCH("road",P566)),ISNUMBER(SEARCH("utility",P566)),ISNUMBER(SEARCH("infrastructure",P566)),ISNUMBER(SEARCH("public service",P566))),"Infrastructure &amp; public services","Other"))))))))))))</x:f>
      </x:c>
      <x:c r="J566" s="16" t="str">
        <x:f>IF(A566="","",IF(OR(ISNUMBER(SEARCH("fatal",Q566)),ISNUMBER(SEARCH("death",Q566)),ISNUMBER(SEARCH("riot",Q566)),ISNUMBER(SEARCH("curfew",Q566)),ISNUMBER(SEARCH("internet shutdown",Q566))),5,MIN(4,1+IF(H566&gt;=7,1,0)+IF(OR(ISNUMBER(SEARCH("hunger strike",Q566)),ISNUMBER(SEARCH("blockade",Q566)),ISNUMBER(SEARCH("strike",Q566)),ISNUMBER(SEARCH("jal satyagraha",Q566)),ISNUMBER(SEARCH("survey",Q566)),ISNUMBER(SEARCH("human chain",Q566)),ISNUMBER(SEARCH("march",Q566))),1,0)+IF(OR(ISNUMBER(SEARCH("fir",Q566)),ISNUMBER(SEARCH("confrontation",Q566)),ISNUMBER(SEARCH("violence",Q566)),ISNUMBER(SEARCH("detention",Q566)),ISNUMBER(SEARCH("arrest",Q566)),ISNUMBER(SEARCH("demolition",Q566)),ISNUMBER(SEARCH("injury",Q566))),1,0)+IF(OR(D566="Ongoing",D566="Unresolved"),1,0))))</x:f>
      </x:c>
      <x:c r="K566" s="16" t="str">
        <x:f>IF(J566="","",IF(J566=1,"Limited",IF(J566=2,"Local",IF(J566=3,"Significant",IF(J566=4,"High","Critical")))))</x:f>
      </x:c>
      <x:c r="L566" s="16" t="str">
        <x:f>IF(A566="","",Events!U565)</x:f>
      </x:c>
      <x:c r="M566" s="16" t="str">
        <x:f>IF(A566="","",Events!V565)</x:f>
      </x:c>
      <x:c r="N566" s="16" t="str">
        <x:f>IF(A566="","",Events!Q565)</x:f>
      </x:c>
      <x:c r="O566" s="16" t="str">
        <x:f>IF(A566="","",Events!R565)</x:f>
      </x:c>
      <x:c r="P566" s="16" t="str">
        <x:f>IF(A566="","",LOWER(Events!B565&amp;" "&amp;Events!D565&amp;" "&amp;Events!K565))</x:f>
      </x:c>
      <x:c r="Q566" s="16" t="str">
        <x:f>IF(A566="","",LOWER(Events!C565&amp;" "&amp;Events!K565&amp;" "&amp;Events!T565))</x:f>
      </x:c>
      <x:c r="R566" s="16" t="str">
        <x:f>IF(A566="","",IF(ISNUMBER(SEARCH("Occurrence verified",E566)),"Occurrence verified",E566))</x:f>
      </x:c>
      <x:c r="S566" s="79" t="str">
        <x:f>IF(A566="","",Events!X565)</x:f>
      </x:c>
      <x:c r="Z566" s="79" t="str">
        <x:f>IF(A566="","",Events!AD565)</x:f>
      </x:c>
      <x:c r="AA566" s="79" t="str">
        <x:f>IF(A566="","",Events!AE565)</x:f>
      </x:c>
    </x:row>
    <x:row r="567">
      <x:c r="A567" s="16" t="str">
        <x:f>IF(Events!A566="","",Events!A566)</x:f>
      </x:c>
      <x:c r="B567" s="16" t="str">
        <x:f>IF(A567="","",Events!B566)</x:f>
      </x:c>
      <x:c r="C567" s="16" t="str">
        <x:f>IF(A567="","",Events!E566)</x:f>
      </x:c>
      <x:c r="D567" s="16" t="str">
        <x:f>IF(A567="","",Events!J566)</x:f>
      </x:c>
      <x:c r="E567" s="16" t="str">
        <x:f>IF(A567="","",Events!N566)</x:f>
      </x:c>
      <x:c r="F567" s="109" t="str">
        <x:f>IF(OR(A567="",Events!H566=""),"",Events!H566)</x:f>
      </x:c>
      <x:c r="G567" s="109" t="str">
        <x:f>IF(A567="","",IF(Events!I566&lt;&gt;"",Events!I566,IF(Events!S566&lt;&gt;"",Events!S566,"")))</x:f>
      </x:c>
      <x:c r="H567" s="16" t="str">
        <x:f>IF(A567="","",Events!W566)</x:f>
      </x:c>
      <x:c r="I567" s="16" t="str">
        <x:f>IF(A567="","",IF(Events!Y566&lt;&gt;"",Events!Y566,IF(OR(ISNUMBER(SEARCH("education",P567)),ISNUMBER(SEARCH("exam",P567)),ISNUMBER(SEARCH("school",P567))),"Education",IF(OR(ISNUMBER(SEARCH("trade agreement",P567)),ISNUMBER(SEARCH("economic",P567)),ISNUMBER(SEARCH("import",P567))),"Trade &amp; economic policy",IF(OR(ISNUMBER(SEARCH("land acquisition",P567)),ISNUMBER(SEARCH("rehabilitation",P567)),ISNUMBER(SEARCH("displacement",P567)),ISNUMBER(SEARCH("township",P567))),"Land &amp; rehabilitation",IF(OR(ISNUMBER(SEARCH("forest",P567)),ISNUMBER(SEARCH("environment",P567)),ISNUMBER(SEARCH("ecological",P567)),ISNUMBER(SEARCH("biodiversity",P567)),ISNUMBER(SEARCH("green cover",P567))),"Environment",IF(OR(ISNUMBER(SEARCH("irrigation",P567)),ISNUMBER(SEARCH("water",P567)),ISNUMBER(SEARCH("crop",P567)),ISNUMBER(SEARCH("farmer",P567)),ISNUMBER(SEARCH("agriculture",P567))),"Agriculture &amp; water",IF(OR(ISNUMBER(SEARCH("health",P567)),ISNUMBER(SEARCH("hospital",P567)),ISNUMBER(SEARCH("medicine",P567))),"Public health",IF(OR(ISNUMBER(SEARCH("employee",P567)),ISNUMBER(SEARCH("labour",P567)),ISNUMBER(SEARCH("worker",P567)),ISNUMBER(SEARCH("salary",P567))),"Labour &amp; employment",IF(OR(ISNUMBER(SEARCH("rti",P567)),ISNUMBER(SEARCH("transparency",P567)),ISNUMBER(SEARCH("corruption",P567)),ISNUMBER(SEARCH("governance",P567))),"Governance &amp; transparency",IF(OR(ISNUMBER(SEARCH("police",P567)),ISNUMBER(SEARCH("detention",P567)),ISNUMBER(SEARCH("civil rights",P567)),ISNUMBER(SEARCH("justice",P567))),"Civil rights &amp; justice",IF(OR(ISNUMBER(SEARCH("road",P567)),ISNUMBER(SEARCH("utility",P567)),ISNUMBER(SEARCH("infrastructure",P567)),ISNUMBER(SEARCH("public service",P567))),"Infrastructure &amp; public services","Other"))))))))))))</x:f>
      </x:c>
      <x:c r="J567" s="16" t="str">
        <x:f>IF(A567="","",IF(OR(ISNUMBER(SEARCH("fatal",Q567)),ISNUMBER(SEARCH("death",Q567)),ISNUMBER(SEARCH("riot",Q567)),ISNUMBER(SEARCH("curfew",Q567)),ISNUMBER(SEARCH("internet shutdown",Q567))),5,MIN(4,1+IF(H567&gt;=7,1,0)+IF(OR(ISNUMBER(SEARCH("hunger strike",Q567)),ISNUMBER(SEARCH("blockade",Q567)),ISNUMBER(SEARCH("strike",Q567)),ISNUMBER(SEARCH("jal satyagraha",Q567)),ISNUMBER(SEARCH("survey",Q567)),ISNUMBER(SEARCH("human chain",Q567)),ISNUMBER(SEARCH("march",Q567))),1,0)+IF(OR(ISNUMBER(SEARCH("fir",Q567)),ISNUMBER(SEARCH("confrontation",Q567)),ISNUMBER(SEARCH("violence",Q567)),ISNUMBER(SEARCH("detention",Q567)),ISNUMBER(SEARCH("arrest",Q567)),ISNUMBER(SEARCH("demolition",Q567)),ISNUMBER(SEARCH("injury",Q567))),1,0)+IF(OR(D567="Ongoing",D567="Unresolved"),1,0))))</x:f>
      </x:c>
      <x:c r="K567" s="16" t="str">
        <x:f>IF(J567="","",IF(J567=1,"Limited",IF(J567=2,"Local",IF(J567=3,"Significant",IF(J567=4,"High","Critical")))))</x:f>
      </x:c>
      <x:c r="L567" s="16" t="str">
        <x:f>IF(A567="","",Events!U566)</x:f>
      </x:c>
      <x:c r="M567" s="16" t="str">
        <x:f>IF(A567="","",Events!V566)</x:f>
      </x:c>
      <x:c r="N567" s="16" t="str">
        <x:f>IF(A567="","",Events!Q566)</x:f>
      </x:c>
      <x:c r="O567" s="16" t="str">
        <x:f>IF(A567="","",Events!R566)</x:f>
      </x:c>
      <x:c r="P567" s="16" t="str">
        <x:f>IF(A567="","",LOWER(Events!B566&amp;" "&amp;Events!D566&amp;" "&amp;Events!K566))</x:f>
      </x:c>
      <x:c r="Q567" s="16" t="str">
        <x:f>IF(A567="","",LOWER(Events!C566&amp;" "&amp;Events!K566&amp;" "&amp;Events!T566))</x:f>
      </x:c>
      <x:c r="R567" s="16" t="str">
        <x:f>IF(A567="","",IF(ISNUMBER(SEARCH("Occurrence verified",E567)),"Occurrence verified",E567))</x:f>
      </x:c>
      <x:c r="S567" s="79" t="str">
        <x:f>IF(A567="","",Events!X566)</x:f>
      </x:c>
      <x:c r="Z567" s="79" t="str">
        <x:f>IF(A567="","",Events!AD566)</x:f>
      </x:c>
      <x:c r="AA567" s="79" t="str">
        <x:f>IF(A567="","",Events!AE566)</x:f>
      </x:c>
    </x:row>
    <x:row r="568">
      <x:c r="A568" s="16" t="str">
        <x:f>IF(Events!A567="","",Events!A567)</x:f>
      </x:c>
      <x:c r="B568" s="16" t="str">
        <x:f>IF(A568="","",Events!B567)</x:f>
      </x:c>
      <x:c r="C568" s="16" t="str">
        <x:f>IF(A568="","",Events!E567)</x:f>
      </x:c>
      <x:c r="D568" s="16" t="str">
        <x:f>IF(A568="","",Events!J567)</x:f>
      </x:c>
      <x:c r="E568" s="16" t="str">
        <x:f>IF(A568="","",Events!N567)</x:f>
      </x:c>
      <x:c r="F568" s="109" t="str">
        <x:f>IF(OR(A568="",Events!H567=""),"",Events!H567)</x:f>
      </x:c>
      <x:c r="G568" s="109" t="str">
        <x:f>IF(A568="","",IF(Events!I567&lt;&gt;"",Events!I567,IF(Events!S567&lt;&gt;"",Events!S567,"")))</x:f>
      </x:c>
      <x:c r="H568" s="16" t="str">
        <x:f>IF(A568="","",Events!W567)</x:f>
      </x:c>
      <x:c r="I568" s="16" t="str">
        <x:f>IF(A568="","",IF(Events!Y567&lt;&gt;"",Events!Y567,IF(OR(ISNUMBER(SEARCH("education",P568)),ISNUMBER(SEARCH("exam",P568)),ISNUMBER(SEARCH("school",P568))),"Education",IF(OR(ISNUMBER(SEARCH("trade agreement",P568)),ISNUMBER(SEARCH("economic",P568)),ISNUMBER(SEARCH("import",P568))),"Trade &amp; economic policy",IF(OR(ISNUMBER(SEARCH("land acquisition",P568)),ISNUMBER(SEARCH("rehabilitation",P568)),ISNUMBER(SEARCH("displacement",P568)),ISNUMBER(SEARCH("township",P568))),"Land &amp; rehabilitation",IF(OR(ISNUMBER(SEARCH("forest",P568)),ISNUMBER(SEARCH("environment",P568)),ISNUMBER(SEARCH("ecological",P568)),ISNUMBER(SEARCH("biodiversity",P568)),ISNUMBER(SEARCH("green cover",P568))),"Environment",IF(OR(ISNUMBER(SEARCH("irrigation",P568)),ISNUMBER(SEARCH("water",P568)),ISNUMBER(SEARCH("crop",P568)),ISNUMBER(SEARCH("farmer",P568)),ISNUMBER(SEARCH("agriculture",P568))),"Agriculture &amp; water",IF(OR(ISNUMBER(SEARCH("health",P568)),ISNUMBER(SEARCH("hospital",P568)),ISNUMBER(SEARCH("medicine",P568))),"Public health",IF(OR(ISNUMBER(SEARCH("employee",P568)),ISNUMBER(SEARCH("labour",P568)),ISNUMBER(SEARCH("worker",P568)),ISNUMBER(SEARCH("salary",P568))),"Labour &amp; employment",IF(OR(ISNUMBER(SEARCH("rti",P568)),ISNUMBER(SEARCH("transparency",P568)),ISNUMBER(SEARCH("corruption",P568)),ISNUMBER(SEARCH("governance",P568))),"Governance &amp; transparency",IF(OR(ISNUMBER(SEARCH("police",P568)),ISNUMBER(SEARCH("detention",P568)),ISNUMBER(SEARCH("civil rights",P568)),ISNUMBER(SEARCH("justice",P568))),"Civil rights &amp; justice",IF(OR(ISNUMBER(SEARCH("road",P568)),ISNUMBER(SEARCH("utility",P568)),ISNUMBER(SEARCH("infrastructure",P568)),ISNUMBER(SEARCH("public service",P568))),"Infrastructure &amp; public services","Other"))))))))))))</x:f>
      </x:c>
      <x:c r="J568" s="16" t="str">
        <x:f>IF(A568="","",IF(OR(ISNUMBER(SEARCH("fatal",Q568)),ISNUMBER(SEARCH("death",Q568)),ISNUMBER(SEARCH("riot",Q568)),ISNUMBER(SEARCH("curfew",Q568)),ISNUMBER(SEARCH("internet shutdown",Q568))),5,MIN(4,1+IF(H568&gt;=7,1,0)+IF(OR(ISNUMBER(SEARCH("hunger strike",Q568)),ISNUMBER(SEARCH("blockade",Q568)),ISNUMBER(SEARCH("strike",Q568)),ISNUMBER(SEARCH("jal satyagraha",Q568)),ISNUMBER(SEARCH("survey",Q568)),ISNUMBER(SEARCH("human chain",Q568)),ISNUMBER(SEARCH("march",Q568))),1,0)+IF(OR(ISNUMBER(SEARCH("fir",Q568)),ISNUMBER(SEARCH("confrontation",Q568)),ISNUMBER(SEARCH("violence",Q568)),ISNUMBER(SEARCH("detention",Q568)),ISNUMBER(SEARCH("arrest",Q568)),ISNUMBER(SEARCH("demolition",Q568)),ISNUMBER(SEARCH("injury",Q568))),1,0)+IF(OR(D568="Ongoing",D568="Unresolved"),1,0))))</x:f>
      </x:c>
      <x:c r="K568" s="16" t="str">
        <x:f>IF(J568="","",IF(J568=1,"Limited",IF(J568=2,"Local",IF(J568=3,"Significant",IF(J568=4,"High","Critical")))))</x:f>
      </x:c>
      <x:c r="L568" s="16" t="str">
        <x:f>IF(A568="","",Events!U567)</x:f>
      </x:c>
      <x:c r="M568" s="16" t="str">
        <x:f>IF(A568="","",Events!V567)</x:f>
      </x:c>
      <x:c r="N568" s="16" t="str">
        <x:f>IF(A568="","",Events!Q567)</x:f>
      </x:c>
      <x:c r="O568" s="16" t="str">
        <x:f>IF(A568="","",Events!R567)</x:f>
      </x:c>
      <x:c r="P568" s="16" t="str">
        <x:f>IF(A568="","",LOWER(Events!B567&amp;" "&amp;Events!D567&amp;" "&amp;Events!K567))</x:f>
      </x:c>
      <x:c r="Q568" s="16" t="str">
        <x:f>IF(A568="","",LOWER(Events!C567&amp;" "&amp;Events!K567&amp;" "&amp;Events!T567))</x:f>
      </x:c>
      <x:c r="R568" s="16" t="str">
        <x:f>IF(A568="","",IF(ISNUMBER(SEARCH("Occurrence verified",E568)),"Occurrence verified",E568))</x:f>
      </x:c>
      <x:c r="S568" s="79" t="str">
        <x:f>IF(A568="","",Events!X567)</x:f>
      </x:c>
      <x:c r="Z568" s="79" t="str">
        <x:f>IF(A568="","",Events!AD567)</x:f>
      </x:c>
      <x:c r="AA568" s="79" t="str">
        <x:f>IF(A568="","",Events!AE567)</x:f>
      </x:c>
    </x:row>
    <x:row r="569">
      <x:c r="A569" s="16" t="str">
        <x:f>IF(Events!A568="","",Events!A568)</x:f>
      </x:c>
      <x:c r="B569" s="16" t="str">
        <x:f>IF(A569="","",Events!B568)</x:f>
      </x:c>
      <x:c r="C569" s="16" t="str">
        <x:f>IF(A569="","",Events!E568)</x:f>
      </x:c>
      <x:c r="D569" s="16" t="str">
        <x:f>IF(A569="","",Events!J568)</x:f>
      </x:c>
      <x:c r="E569" s="16" t="str">
        <x:f>IF(A569="","",Events!N568)</x:f>
      </x:c>
      <x:c r="F569" s="109" t="str">
        <x:f>IF(OR(A569="",Events!H568=""),"",Events!H568)</x:f>
      </x:c>
      <x:c r="G569" s="109" t="str">
        <x:f>IF(A569="","",IF(Events!I568&lt;&gt;"",Events!I568,IF(Events!S568&lt;&gt;"",Events!S568,"")))</x:f>
      </x:c>
      <x:c r="H569" s="16" t="str">
        <x:f>IF(A569="","",Events!W568)</x:f>
      </x:c>
      <x:c r="I569" s="16" t="str">
        <x:f>IF(A569="","",IF(Events!Y568&lt;&gt;"",Events!Y568,IF(OR(ISNUMBER(SEARCH("education",P569)),ISNUMBER(SEARCH("exam",P569)),ISNUMBER(SEARCH("school",P569))),"Education",IF(OR(ISNUMBER(SEARCH("trade agreement",P569)),ISNUMBER(SEARCH("economic",P569)),ISNUMBER(SEARCH("import",P569))),"Trade &amp; economic policy",IF(OR(ISNUMBER(SEARCH("land acquisition",P569)),ISNUMBER(SEARCH("rehabilitation",P569)),ISNUMBER(SEARCH("displacement",P569)),ISNUMBER(SEARCH("township",P569))),"Land &amp; rehabilitation",IF(OR(ISNUMBER(SEARCH("forest",P569)),ISNUMBER(SEARCH("environment",P569)),ISNUMBER(SEARCH("ecological",P569)),ISNUMBER(SEARCH("biodiversity",P569)),ISNUMBER(SEARCH("green cover",P569))),"Environment",IF(OR(ISNUMBER(SEARCH("irrigation",P569)),ISNUMBER(SEARCH("water",P569)),ISNUMBER(SEARCH("crop",P569)),ISNUMBER(SEARCH("farmer",P569)),ISNUMBER(SEARCH("agriculture",P569))),"Agriculture &amp; water",IF(OR(ISNUMBER(SEARCH("health",P569)),ISNUMBER(SEARCH("hospital",P569)),ISNUMBER(SEARCH("medicine",P569))),"Public health",IF(OR(ISNUMBER(SEARCH("employee",P569)),ISNUMBER(SEARCH("labour",P569)),ISNUMBER(SEARCH("worker",P569)),ISNUMBER(SEARCH("salary",P569))),"Labour &amp; employment",IF(OR(ISNUMBER(SEARCH("rti",P569)),ISNUMBER(SEARCH("transparency",P569)),ISNUMBER(SEARCH("corruption",P569)),ISNUMBER(SEARCH("governance",P569))),"Governance &amp; transparency",IF(OR(ISNUMBER(SEARCH("police",P569)),ISNUMBER(SEARCH("detention",P569)),ISNUMBER(SEARCH("civil rights",P569)),ISNUMBER(SEARCH("justice",P569))),"Civil rights &amp; justice",IF(OR(ISNUMBER(SEARCH("road",P569)),ISNUMBER(SEARCH("utility",P569)),ISNUMBER(SEARCH("infrastructure",P569)),ISNUMBER(SEARCH("public service",P569))),"Infrastructure &amp; public services","Other"))))))))))))</x:f>
      </x:c>
      <x:c r="J569" s="16" t="str">
        <x:f>IF(A569="","",IF(OR(ISNUMBER(SEARCH("fatal",Q569)),ISNUMBER(SEARCH("death",Q569)),ISNUMBER(SEARCH("riot",Q569)),ISNUMBER(SEARCH("curfew",Q569)),ISNUMBER(SEARCH("internet shutdown",Q569))),5,MIN(4,1+IF(H569&gt;=7,1,0)+IF(OR(ISNUMBER(SEARCH("hunger strike",Q569)),ISNUMBER(SEARCH("blockade",Q569)),ISNUMBER(SEARCH("strike",Q569)),ISNUMBER(SEARCH("jal satyagraha",Q569)),ISNUMBER(SEARCH("survey",Q569)),ISNUMBER(SEARCH("human chain",Q569)),ISNUMBER(SEARCH("march",Q569))),1,0)+IF(OR(ISNUMBER(SEARCH("fir",Q569)),ISNUMBER(SEARCH("confrontation",Q569)),ISNUMBER(SEARCH("violence",Q569)),ISNUMBER(SEARCH("detention",Q569)),ISNUMBER(SEARCH("arrest",Q569)),ISNUMBER(SEARCH("demolition",Q569)),ISNUMBER(SEARCH("injury",Q569))),1,0)+IF(OR(D569="Ongoing",D569="Unresolved"),1,0))))</x:f>
      </x:c>
      <x:c r="K569" s="16" t="str">
        <x:f>IF(J569="","",IF(J569=1,"Limited",IF(J569=2,"Local",IF(J569=3,"Significant",IF(J569=4,"High","Critical")))))</x:f>
      </x:c>
      <x:c r="L569" s="16" t="str">
        <x:f>IF(A569="","",Events!U568)</x:f>
      </x:c>
      <x:c r="M569" s="16" t="str">
        <x:f>IF(A569="","",Events!V568)</x:f>
      </x:c>
      <x:c r="N569" s="16" t="str">
        <x:f>IF(A569="","",Events!Q568)</x:f>
      </x:c>
      <x:c r="O569" s="16" t="str">
        <x:f>IF(A569="","",Events!R568)</x:f>
      </x:c>
      <x:c r="P569" s="16" t="str">
        <x:f>IF(A569="","",LOWER(Events!B568&amp;" "&amp;Events!D568&amp;" "&amp;Events!K568))</x:f>
      </x:c>
      <x:c r="Q569" s="16" t="str">
        <x:f>IF(A569="","",LOWER(Events!C568&amp;" "&amp;Events!K568&amp;" "&amp;Events!T568))</x:f>
      </x:c>
      <x:c r="R569" s="16" t="str">
        <x:f>IF(A569="","",IF(ISNUMBER(SEARCH("Occurrence verified",E569)),"Occurrence verified",E569))</x:f>
      </x:c>
      <x:c r="S569" s="79" t="str">
        <x:f>IF(A569="","",Events!X568)</x:f>
      </x:c>
      <x:c r="Z569" s="79" t="str">
        <x:f>IF(A569="","",Events!AD568)</x:f>
      </x:c>
      <x:c r="AA569" s="79" t="str">
        <x:f>IF(A569="","",Events!AE568)</x:f>
      </x:c>
    </x:row>
    <x:row r="570">
      <x:c r="A570" s="16" t="str">
        <x:f>IF(Events!A569="","",Events!A569)</x:f>
      </x:c>
      <x:c r="B570" s="16" t="str">
        <x:f>IF(A570="","",Events!B569)</x:f>
      </x:c>
      <x:c r="C570" s="16" t="str">
        <x:f>IF(A570="","",Events!E569)</x:f>
      </x:c>
      <x:c r="D570" s="16" t="str">
        <x:f>IF(A570="","",Events!J569)</x:f>
      </x:c>
      <x:c r="E570" s="16" t="str">
        <x:f>IF(A570="","",Events!N569)</x:f>
      </x:c>
      <x:c r="F570" s="109" t="str">
        <x:f>IF(OR(A570="",Events!H569=""),"",Events!H569)</x:f>
      </x:c>
      <x:c r="G570" s="109" t="str">
        <x:f>IF(A570="","",IF(Events!I569&lt;&gt;"",Events!I569,IF(Events!S569&lt;&gt;"",Events!S569,"")))</x:f>
      </x:c>
      <x:c r="H570" s="16" t="str">
        <x:f>IF(A570="","",Events!W569)</x:f>
      </x:c>
      <x:c r="I570" s="16" t="str">
        <x:f>IF(A570="","",IF(Events!Y569&lt;&gt;"",Events!Y569,IF(OR(ISNUMBER(SEARCH("education",P570)),ISNUMBER(SEARCH("exam",P570)),ISNUMBER(SEARCH("school",P570))),"Education",IF(OR(ISNUMBER(SEARCH("trade agreement",P570)),ISNUMBER(SEARCH("economic",P570)),ISNUMBER(SEARCH("import",P570))),"Trade &amp; economic policy",IF(OR(ISNUMBER(SEARCH("land acquisition",P570)),ISNUMBER(SEARCH("rehabilitation",P570)),ISNUMBER(SEARCH("displacement",P570)),ISNUMBER(SEARCH("township",P570))),"Land &amp; rehabilitation",IF(OR(ISNUMBER(SEARCH("forest",P570)),ISNUMBER(SEARCH("environment",P570)),ISNUMBER(SEARCH("ecological",P570)),ISNUMBER(SEARCH("biodiversity",P570)),ISNUMBER(SEARCH("green cover",P570))),"Environment",IF(OR(ISNUMBER(SEARCH("irrigation",P570)),ISNUMBER(SEARCH("water",P570)),ISNUMBER(SEARCH("crop",P570)),ISNUMBER(SEARCH("farmer",P570)),ISNUMBER(SEARCH("agriculture",P570))),"Agriculture &amp; water",IF(OR(ISNUMBER(SEARCH("health",P570)),ISNUMBER(SEARCH("hospital",P570)),ISNUMBER(SEARCH("medicine",P570))),"Public health",IF(OR(ISNUMBER(SEARCH("employee",P570)),ISNUMBER(SEARCH("labour",P570)),ISNUMBER(SEARCH("worker",P570)),ISNUMBER(SEARCH("salary",P570))),"Labour &amp; employment",IF(OR(ISNUMBER(SEARCH("rti",P570)),ISNUMBER(SEARCH("transparency",P570)),ISNUMBER(SEARCH("corruption",P570)),ISNUMBER(SEARCH("governance",P570))),"Governance &amp; transparency",IF(OR(ISNUMBER(SEARCH("police",P570)),ISNUMBER(SEARCH("detention",P570)),ISNUMBER(SEARCH("civil rights",P570)),ISNUMBER(SEARCH("justice",P570))),"Civil rights &amp; justice",IF(OR(ISNUMBER(SEARCH("road",P570)),ISNUMBER(SEARCH("utility",P570)),ISNUMBER(SEARCH("infrastructure",P570)),ISNUMBER(SEARCH("public service",P570))),"Infrastructure &amp; public services","Other"))))))))))))</x:f>
      </x:c>
      <x:c r="J570" s="16" t="str">
        <x:f>IF(A570="","",IF(OR(ISNUMBER(SEARCH("fatal",Q570)),ISNUMBER(SEARCH("death",Q570)),ISNUMBER(SEARCH("riot",Q570)),ISNUMBER(SEARCH("curfew",Q570)),ISNUMBER(SEARCH("internet shutdown",Q570))),5,MIN(4,1+IF(H570&gt;=7,1,0)+IF(OR(ISNUMBER(SEARCH("hunger strike",Q570)),ISNUMBER(SEARCH("blockade",Q570)),ISNUMBER(SEARCH("strike",Q570)),ISNUMBER(SEARCH("jal satyagraha",Q570)),ISNUMBER(SEARCH("survey",Q570)),ISNUMBER(SEARCH("human chain",Q570)),ISNUMBER(SEARCH("march",Q570))),1,0)+IF(OR(ISNUMBER(SEARCH("fir",Q570)),ISNUMBER(SEARCH("confrontation",Q570)),ISNUMBER(SEARCH("violence",Q570)),ISNUMBER(SEARCH("detention",Q570)),ISNUMBER(SEARCH("arrest",Q570)),ISNUMBER(SEARCH("demolition",Q570)),ISNUMBER(SEARCH("injury",Q570))),1,0)+IF(OR(D570="Ongoing",D570="Unresolved"),1,0))))</x:f>
      </x:c>
      <x:c r="K570" s="16" t="str">
        <x:f>IF(J570="","",IF(J570=1,"Limited",IF(J570=2,"Local",IF(J570=3,"Significant",IF(J570=4,"High","Critical")))))</x:f>
      </x:c>
      <x:c r="L570" s="16" t="str">
        <x:f>IF(A570="","",Events!U569)</x:f>
      </x:c>
      <x:c r="M570" s="16" t="str">
        <x:f>IF(A570="","",Events!V569)</x:f>
      </x:c>
      <x:c r="N570" s="16" t="str">
        <x:f>IF(A570="","",Events!Q569)</x:f>
      </x:c>
      <x:c r="O570" s="16" t="str">
        <x:f>IF(A570="","",Events!R569)</x:f>
      </x:c>
      <x:c r="P570" s="16" t="str">
        <x:f>IF(A570="","",LOWER(Events!B569&amp;" "&amp;Events!D569&amp;" "&amp;Events!K569))</x:f>
      </x:c>
      <x:c r="Q570" s="16" t="str">
        <x:f>IF(A570="","",LOWER(Events!C569&amp;" "&amp;Events!K569&amp;" "&amp;Events!T569))</x:f>
      </x:c>
      <x:c r="R570" s="16" t="str">
        <x:f>IF(A570="","",IF(ISNUMBER(SEARCH("Occurrence verified",E570)),"Occurrence verified",E570))</x:f>
      </x:c>
      <x:c r="S570" s="79" t="str">
        <x:f>IF(A570="","",Events!X569)</x:f>
      </x:c>
      <x:c r="Z570" s="79" t="str">
        <x:f>IF(A570="","",Events!AD569)</x:f>
      </x:c>
      <x:c r="AA570" s="79" t="str">
        <x:f>IF(A570="","",Events!AE569)</x:f>
      </x:c>
    </x:row>
    <x:row r="571">
      <x:c r="A571" s="16" t="str">
        <x:f>IF(Events!A570="","",Events!A570)</x:f>
      </x:c>
      <x:c r="B571" s="16" t="str">
        <x:f>IF(A571="","",Events!B570)</x:f>
      </x:c>
      <x:c r="C571" s="16" t="str">
        <x:f>IF(A571="","",Events!E570)</x:f>
      </x:c>
      <x:c r="D571" s="16" t="str">
        <x:f>IF(A571="","",Events!J570)</x:f>
      </x:c>
      <x:c r="E571" s="16" t="str">
        <x:f>IF(A571="","",Events!N570)</x:f>
      </x:c>
      <x:c r="F571" s="109" t="str">
        <x:f>IF(OR(A571="",Events!H570=""),"",Events!H570)</x:f>
      </x:c>
      <x:c r="G571" s="109" t="str">
        <x:f>IF(A571="","",IF(Events!I570&lt;&gt;"",Events!I570,IF(Events!S570&lt;&gt;"",Events!S570,"")))</x:f>
      </x:c>
      <x:c r="H571" s="16" t="str">
        <x:f>IF(A571="","",Events!W570)</x:f>
      </x:c>
      <x:c r="I571" s="16" t="str">
        <x:f>IF(A571="","",IF(Events!Y570&lt;&gt;"",Events!Y570,IF(OR(ISNUMBER(SEARCH("education",P571)),ISNUMBER(SEARCH("exam",P571)),ISNUMBER(SEARCH("school",P571))),"Education",IF(OR(ISNUMBER(SEARCH("trade agreement",P571)),ISNUMBER(SEARCH("economic",P571)),ISNUMBER(SEARCH("import",P571))),"Trade &amp; economic policy",IF(OR(ISNUMBER(SEARCH("land acquisition",P571)),ISNUMBER(SEARCH("rehabilitation",P571)),ISNUMBER(SEARCH("displacement",P571)),ISNUMBER(SEARCH("township",P571))),"Land &amp; rehabilitation",IF(OR(ISNUMBER(SEARCH("forest",P571)),ISNUMBER(SEARCH("environment",P571)),ISNUMBER(SEARCH("ecological",P571)),ISNUMBER(SEARCH("biodiversity",P571)),ISNUMBER(SEARCH("green cover",P571))),"Environment",IF(OR(ISNUMBER(SEARCH("irrigation",P571)),ISNUMBER(SEARCH("water",P571)),ISNUMBER(SEARCH("crop",P571)),ISNUMBER(SEARCH("farmer",P571)),ISNUMBER(SEARCH("agriculture",P571))),"Agriculture &amp; water",IF(OR(ISNUMBER(SEARCH("health",P571)),ISNUMBER(SEARCH("hospital",P571)),ISNUMBER(SEARCH("medicine",P571))),"Public health",IF(OR(ISNUMBER(SEARCH("employee",P571)),ISNUMBER(SEARCH("labour",P571)),ISNUMBER(SEARCH("worker",P571)),ISNUMBER(SEARCH("salary",P571))),"Labour &amp; employment",IF(OR(ISNUMBER(SEARCH("rti",P571)),ISNUMBER(SEARCH("transparency",P571)),ISNUMBER(SEARCH("corruption",P571)),ISNUMBER(SEARCH("governance",P571))),"Governance &amp; transparency",IF(OR(ISNUMBER(SEARCH("police",P571)),ISNUMBER(SEARCH("detention",P571)),ISNUMBER(SEARCH("civil rights",P571)),ISNUMBER(SEARCH("justice",P571))),"Civil rights &amp; justice",IF(OR(ISNUMBER(SEARCH("road",P571)),ISNUMBER(SEARCH("utility",P571)),ISNUMBER(SEARCH("infrastructure",P571)),ISNUMBER(SEARCH("public service",P571))),"Infrastructure &amp; public services","Other"))))))))))))</x:f>
      </x:c>
      <x:c r="J571" s="16" t="str">
        <x:f>IF(A571="","",IF(OR(ISNUMBER(SEARCH("fatal",Q571)),ISNUMBER(SEARCH("death",Q571)),ISNUMBER(SEARCH("riot",Q571)),ISNUMBER(SEARCH("curfew",Q571)),ISNUMBER(SEARCH("internet shutdown",Q571))),5,MIN(4,1+IF(H571&gt;=7,1,0)+IF(OR(ISNUMBER(SEARCH("hunger strike",Q571)),ISNUMBER(SEARCH("blockade",Q571)),ISNUMBER(SEARCH("strike",Q571)),ISNUMBER(SEARCH("jal satyagraha",Q571)),ISNUMBER(SEARCH("survey",Q571)),ISNUMBER(SEARCH("human chain",Q571)),ISNUMBER(SEARCH("march",Q571))),1,0)+IF(OR(ISNUMBER(SEARCH("fir",Q571)),ISNUMBER(SEARCH("confrontation",Q571)),ISNUMBER(SEARCH("violence",Q571)),ISNUMBER(SEARCH("detention",Q571)),ISNUMBER(SEARCH("arrest",Q571)),ISNUMBER(SEARCH("demolition",Q571)),ISNUMBER(SEARCH("injury",Q571))),1,0)+IF(OR(D571="Ongoing",D571="Unresolved"),1,0))))</x:f>
      </x:c>
      <x:c r="K571" s="16" t="str">
        <x:f>IF(J571="","",IF(J571=1,"Limited",IF(J571=2,"Local",IF(J571=3,"Significant",IF(J571=4,"High","Critical")))))</x:f>
      </x:c>
      <x:c r="L571" s="16" t="str">
        <x:f>IF(A571="","",Events!U570)</x:f>
      </x:c>
      <x:c r="M571" s="16" t="str">
        <x:f>IF(A571="","",Events!V570)</x:f>
      </x:c>
      <x:c r="N571" s="16" t="str">
        <x:f>IF(A571="","",Events!Q570)</x:f>
      </x:c>
      <x:c r="O571" s="16" t="str">
        <x:f>IF(A571="","",Events!R570)</x:f>
      </x:c>
      <x:c r="P571" s="16" t="str">
        <x:f>IF(A571="","",LOWER(Events!B570&amp;" "&amp;Events!D570&amp;" "&amp;Events!K570))</x:f>
      </x:c>
      <x:c r="Q571" s="16" t="str">
        <x:f>IF(A571="","",LOWER(Events!C570&amp;" "&amp;Events!K570&amp;" "&amp;Events!T570))</x:f>
      </x:c>
      <x:c r="R571" s="16" t="str">
        <x:f>IF(A571="","",IF(ISNUMBER(SEARCH("Occurrence verified",E571)),"Occurrence verified",E571))</x:f>
      </x:c>
      <x:c r="S571" s="79" t="str">
        <x:f>IF(A571="","",Events!X570)</x:f>
      </x:c>
      <x:c r="Z571" s="79" t="str">
        <x:f>IF(A571="","",Events!AD570)</x:f>
      </x:c>
      <x:c r="AA571" s="79" t="str">
        <x:f>IF(A571="","",Events!AE570)</x:f>
      </x:c>
    </x:row>
    <x:row r="572">
      <x:c r="A572" s="16" t="str">
        <x:f>IF(Events!A571="","",Events!A571)</x:f>
      </x:c>
      <x:c r="B572" s="16" t="str">
        <x:f>IF(A572="","",Events!B571)</x:f>
      </x:c>
      <x:c r="C572" s="16" t="str">
        <x:f>IF(A572="","",Events!E571)</x:f>
      </x:c>
      <x:c r="D572" s="16" t="str">
        <x:f>IF(A572="","",Events!J571)</x:f>
      </x:c>
      <x:c r="E572" s="16" t="str">
        <x:f>IF(A572="","",Events!N571)</x:f>
      </x:c>
      <x:c r="F572" s="109" t="str">
        <x:f>IF(OR(A572="",Events!H571=""),"",Events!H571)</x:f>
      </x:c>
      <x:c r="G572" s="109" t="str">
        <x:f>IF(A572="","",IF(Events!I571&lt;&gt;"",Events!I571,IF(Events!S571&lt;&gt;"",Events!S571,"")))</x:f>
      </x:c>
      <x:c r="H572" s="16" t="str">
        <x:f>IF(A572="","",Events!W571)</x:f>
      </x:c>
      <x:c r="I572" s="16" t="str">
        <x:f>IF(A572="","",IF(Events!Y571&lt;&gt;"",Events!Y571,IF(OR(ISNUMBER(SEARCH("education",P572)),ISNUMBER(SEARCH("exam",P572)),ISNUMBER(SEARCH("school",P572))),"Education",IF(OR(ISNUMBER(SEARCH("trade agreement",P572)),ISNUMBER(SEARCH("economic",P572)),ISNUMBER(SEARCH("import",P572))),"Trade &amp; economic policy",IF(OR(ISNUMBER(SEARCH("land acquisition",P572)),ISNUMBER(SEARCH("rehabilitation",P572)),ISNUMBER(SEARCH("displacement",P572)),ISNUMBER(SEARCH("township",P572))),"Land &amp; rehabilitation",IF(OR(ISNUMBER(SEARCH("forest",P572)),ISNUMBER(SEARCH("environment",P572)),ISNUMBER(SEARCH("ecological",P572)),ISNUMBER(SEARCH("biodiversity",P572)),ISNUMBER(SEARCH("green cover",P572))),"Environment",IF(OR(ISNUMBER(SEARCH("irrigation",P572)),ISNUMBER(SEARCH("water",P572)),ISNUMBER(SEARCH("crop",P572)),ISNUMBER(SEARCH("farmer",P572)),ISNUMBER(SEARCH("agriculture",P572))),"Agriculture &amp; water",IF(OR(ISNUMBER(SEARCH("health",P572)),ISNUMBER(SEARCH("hospital",P572)),ISNUMBER(SEARCH("medicine",P572))),"Public health",IF(OR(ISNUMBER(SEARCH("employee",P572)),ISNUMBER(SEARCH("labour",P572)),ISNUMBER(SEARCH("worker",P572)),ISNUMBER(SEARCH("salary",P572))),"Labour &amp; employment",IF(OR(ISNUMBER(SEARCH("rti",P572)),ISNUMBER(SEARCH("transparency",P572)),ISNUMBER(SEARCH("corruption",P572)),ISNUMBER(SEARCH("governance",P572))),"Governance &amp; transparency",IF(OR(ISNUMBER(SEARCH("police",P572)),ISNUMBER(SEARCH("detention",P572)),ISNUMBER(SEARCH("civil rights",P572)),ISNUMBER(SEARCH("justice",P572))),"Civil rights &amp; justice",IF(OR(ISNUMBER(SEARCH("road",P572)),ISNUMBER(SEARCH("utility",P572)),ISNUMBER(SEARCH("infrastructure",P572)),ISNUMBER(SEARCH("public service",P572))),"Infrastructure &amp; public services","Other"))))))))))))</x:f>
      </x:c>
      <x:c r="J572" s="16" t="str">
        <x:f>IF(A572="","",IF(OR(ISNUMBER(SEARCH("fatal",Q572)),ISNUMBER(SEARCH("death",Q572)),ISNUMBER(SEARCH("riot",Q572)),ISNUMBER(SEARCH("curfew",Q572)),ISNUMBER(SEARCH("internet shutdown",Q572))),5,MIN(4,1+IF(H572&gt;=7,1,0)+IF(OR(ISNUMBER(SEARCH("hunger strike",Q572)),ISNUMBER(SEARCH("blockade",Q572)),ISNUMBER(SEARCH("strike",Q572)),ISNUMBER(SEARCH("jal satyagraha",Q572)),ISNUMBER(SEARCH("survey",Q572)),ISNUMBER(SEARCH("human chain",Q572)),ISNUMBER(SEARCH("march",Q572))),1,0)+IF(OR(ISNUMBER(SEARCH("fir",Q572)),ISNUMBER(SEARCH("confrontation",Q572)),ISNUMBER(SEARCH("violence",Q572)),ISNUMBER(SEARCH("detention",Q572)),ISNUMBER(SEARCH("arrest",Q572)),ISNUMBER(SEARCH("demolition",Q572)),ISNUMBER(SEARCH("injury",Q572))),1,0)+IF(OR(D572="Ongoing",D572="Unresolved"),1,0))))</x:f>
      </x:c>
      <x:c r="K572" s="16" t="str">
        <x:f>IF(J572="","",IF(J572=1,"Limited",IF(J572=2,"Local",IF(J572=3,"Significant",IF(J572=4,"High","Critical")))))</x:f>
      </x:c>
      <x:c r="L572" s="16" t="str">
        <x:f>IF(A572="","",Events!U571)</x:f>
      </x:c>
      <x:c r="M572" s="16" t="str">
        <x:f>IF(A572="","",Events!V571)</x:f>
      </x:c>
      <x:c r="N572" s="16" t="str">
        <x:f>IF(A572="","",Events!Q571)</x:f>
      </x:c>
      <x:c r="O572" s="16" t="str">
        <x:f>IF(A572="","",Events!R571)</x:f>
      </x:c>
      <x:c r="P572" s="16" t="str">
        <x:f>IF(A572="","",LOWER(Events!B571&amp;" "&amp;Events!D571&amp;" "&amp;Events!K571))</x:f>
      </x:c>
      <x:c r="Q572" s="16" t="str">
        <x:f>IF(A572="","",LOWER(Events!C571&amp;" "&amp;Events!K571&amp;" "&amp;Events!T571))</x:f>
      </x:c>
      <x:c r="R572" s="16" t="str">
        <x:f>IF(A572="","",IF(ISNUMBER(SEARCH("Occurrence verified",E572)),"Occurrence verified",E572))</x:f>
      </x:c>
      <x:c r="S572" s="79" t="str">
        <x:f>IF(A572="","",Events!X571)</x:f>
      </x:c>
      <x:c r="Z572" s="79" t="str">
        <x:f>IF(A572="","",Events!AD571)</x:f>
      </x:c>
      <x:c r="AA572" s="79" t="str">
        <x:f>IF(A572="","",Events!AE571)</x:f>
      </x:c>
    </x:row>
    <x:row r="573">
      <x:c r="A573" s="16" t="str">
        <x:f>IF(Events!A572="","",Events!A572)</x:f>
      </x:c>
      <x:c r="B573" s="16" t="str">
        <x:f>IF(A573="","",Events!B572)</x:f>
      </x:c>
      <x:c r="C573" s="16" t="str">
        <x:f>IF(A573="","",Events!E572)</x:f>
      </x:c>
      <x:c r="D573" s="16" t="str">
        <x:f>IF(A573="","",Events!J572)</x:f>
      </x:c>
      <x:c r="E573" s="16" t="str">
        <x:f>IF(A573="","",Events!N572)</x:f>
      </x:c>
      <x:c r="F573" s="109" t="str">
        <x:f>IF(OR(A573="",Events!H572=""),"",Events!H572)</x:f>
      </x:c>
      <x:c r="G573" s="109" t="str">
        <x:f>IF(A573="","",IF(Events!I572&lt;&gt;"",Events!I572,IF(Events!S572&lt;&gt;"",Events!S572,"")))</x:f>
      </x:c>
      <x:c r="H573" s="16" t="str">
        <x:f>IF(A573="","",Events!W572)</x:f>
      </x:c>
      <x:c r="I573" s="16" t="str">
        <x:f>IF(A573="","",IF(Events!Y572&lt;&gt;"",Events!Y572,IF(OR(ISNUMBER(SEARCH("education",P573)),ISNUMBER(SEARCH("exam",P573)),ISNUMBER(SEARCH("school",P573))),"Education",IF(OR(ISNUMBER(SEARCH("trade agreement",P573)),ISNUMBER(SEARCH("economic",P573)),ISNUMBER(SEARCH("import",P573))),"Trade &amp; economic policy",IF(OR(ISNUMBER(SEARCH("land acquisition",P573)),ISNUMBER(SEARCH("rehabilitation",P573)),ISNUMBER(SEARCH("displacement",P573)),ISNUMBER(SEARCH("township",P573))),"Land &amp; rehabilitation",IF(OR(ISNUMBER(SEARCH("forest",P573)),ISNUMBER(SEARCH("environment",P573)),ISNUMBER(SEARCH("ecological",P573)),ISNUMBER(SEARCH("biodiversity",P573)),ISNUMBER(SEARCH("green cover",P573))),"Environment",IF(OR(ISNUMBER(SEARCH("irrigation",P573)),ISNUMBER(SEARCH("water",P573)),ISNUMBER(SEARCH("crop",P573)),ISNUMBER(SEARCH("farmer",P573)),ISNUMBER(SEARCH("agriculture",P573))),"Agriculture &amp; water",IF(OR(ISNUMBER(SEARCH("health",P573)),ISNUMBER(SEARCH("hospital",P573)),ISNUMBER(SEARCH("medicine",P573))),"Public health",IF(OR(ISNUMBER(SEARCH("employee",P573)),ISNUMBER(SEARCH("labour",P573)),ISNUMBER(SEARCH("worker",P573)),ISNUMBER(SEARCH("salary",P573))),"Labour &amp; employment",IF(OR(ISNUMBER(SEARCH("rti",P573)),ISNUMBER(SEARCH("transparency",P573)),ISNUMBER(SEARCH("corruption",P573)),ISNUMBER(SEARCH("governance",P573))),"Governance &amp; transparency",IF(OR(ISNUMBER(SEARCH("police",P573)),ISNUMBER(SEARCH("detention",P573)),ISNUMBER(SEARCH("civil rights",P573)),ISNUMBER(SEARCH("justice",P573))),"Civil rights &amp; justice",IF(OR(ISNUMBER(SEARCH("road",P573)),ISNUMBER(SEARCH("utility",P573)),ISNUMBER(SEARCH("infrastructure",P573)),ISNUMBER(SEARCH("public service",P573))),"Infrastructure &amp; public services","Other"))))))))))))</x:f>
      </x:c>
      <x:c r="J573" s="16" t="str">
        <x:f>IF(A573="","",IF(OR(ISNUMBER(SEARCH("fatal",Q573)),ISNUMBER(SEARCH("death",Q573)),ISNUMBER(SEARCH("riot",Q573)),ISNUMBER(SEARCH("curfew",Q573)),ISNUMBER(SEARCH("internet shutdown",Q573))),5,MIN(4,1+IF(H573&gt;=7,1,0)+IF(OR(ISNUMBER(SEARCH("hunger strike",Q573)),ISNUMBER(SEARCH("blockade",Q573)),ISNUMBER(SEARCH("strike",Q573)),ISNUMBER(SEARCH("jal satyagraha",Q573)),ISNUMBER(SEARCH("survey",Q573)),ISNUMBER(SEARCH("human chain",Q573)),ISNUMBER(SEARCH("march",Q573))),1,0)+IF(OR(ISNUMBER(SEARCH("fir",Q573)),ISNUMBER(SEARCH("confrontation",Q573)),ISNUMBER(SEARCH("violence",Q573)),ISNUMBER(SEARCH("detention",Q573)),ISNUMBER(SEARCH("arrest",Q573)),ISNUMBER(SEARCH("demolition",Q573)),ISNUMBER(SEARCH("injury",Q573))),1,0)+IF(OR(D573="Ongoing",D573="Unresolved"),1,0))))</x:f>
      </x:c>
      <x:c r="K573" s="16" t="str">
        <x:f>IF(J573="","",IF(J573=1,"Limited",IF(J573=2,"Local",IF(J573=3,"Significant",IF(J573=4,"High","Critical")))))</x:f>
      </x:c>
      <x:c r="L573" s="16" t="str">
        <x:f>IF(A573="","",Events!U572)</x:f>
      </x:c>
      <x:c r="M573" s="16" t="str">
        <x:f>IF(A573="","",Events!V572)</x:f>
      </x:c>
      <x:c r="N573" s="16" t="str">
        <x:f>IF(A573="","",Events!Q572)</x:f>
      </x:c>
      <x:c r="O573" s="16" t="str">
        <x:f>IF(A573="","",Events!R572)</x:f>
      </x:c>
      <x:c r="P573" s="16" t="str">
        <x:f>IF(A573="","",LOWER(Events!B572&amp;" "&amp;Events!D572&amp;" "&amp;Events!K572))</x:f>
      </x:c>
      <x:c r="Q573" s="16" t="str">
        <x:f>IF(A573="","",LOWER(Events!C572&amp;" "&amp;Events!K572&amp;" "&amp;Events!T572))</x:f>
      </x:c>
      <x:c r="R573" s="16" t="str">
        <x:f>IF(A573="","",IF(ISNUMBER(SEARCH("Occurrence verified",E573)),"Occurrence verified",E573))</x:f>
      </x:c>
      <x:c r="S573" s="79" t="str">
        <x:f>IF(A573="","",Events!X572)</x:f>
      </x:c>
      <x:c r="Z573" s="79" t="str">
        <x:f>IF(A573="","",Events!AD572)</x:f>
      </x:c>
      <x:c r="AA573" s="79" t="str">
        <x:f>IF(A573="","",Events!AE572)</x:f>
      </x:c>
    </x:row>
    <x:row r="574">
      <x:c r="A574" s="16" t="str">
        <x:f>IF(Events!A573="","",Events!A573)</x:f>
      </x:c>
      <x:c r="B574" s="16" t="str">
        <x:f>IF(A574="","",Events!B573)</x:f>
      </x:c>
      <x:c r="C574" s="16" t="str">
        <x:f>IF(A574="","",Events!E573)</x:f>
      </x:c>
      <x:c r="D574" s="16" t="str">
        <x:f>IF(A574="","",Events!J573)</x:f>
      </x:c>
      <x:c r="E574" s="16" t="str">
        <x:f>IF(A574="","",Events!N573)</x:f>
      </x:c>
      <x:c r="F574" s="109" t="str">
        <x:f>IF(OR(A574="",Events!H573=""),"",Events!H573)</x:f>
      </x:c>
      <x:c r="G574" s="109" t="str">
        <x:f>IF(A574="","",IF(Events!I573&lt;&gt;"",Events!I573,IF(Events!S573&lt;&gt;"",Events!S573,"")))</x:f>
      </x:c>
      <x:c r="H574" s="16" t="str">
        <x:f>IF(A574="","",Events!W573)</x:f>
      </x:c>
      <x:c r="I574" s="16" t="str">
        <x:f>IF(A574="","",IF(Events!Y573&lt;&gt;"",Events!Y573,IF(OR(ISNUMBER(SEARCH("education",P574)),ISNUMBER(SEARCH("exam",P574)),ISNUMBER(SEARCH("school",P574))),"Education",IF(OR(ISNUMBER(SEARCH("trade agreement",P574)),ISNUMBER(SEARCH("economic",P574)),ISNUMBER(SEARCH("import",P574))),"Trade &amp; economic policy",IF(OR(ISNUMBER(SEARCH("land acquisition",P574)),ISNUMBER(SEARCH("rehabilitation",P574)),ISNUMBER(SEARCH("displacement",P574)),ISNUMBER(SEARCH("township",P574))),"Land &amp; rehabilitation",IF(OR(ISNUMBER(SEARCH("forest",P574)),ISNUMBER(SEARCH("environment",P574)),ISNUMBER(SEARCH("ecological",P574)),ISNUMBER(SEARCH("biodiversity",P574)),ISNUMBER(SEARCH("green cover",P574))),"Environment",IF(OR(ISNUMBER(SEARCH("irrigation",P574)),ISNUMBER(SEARCH("water",P574)),ISNUMBER(SEARCH("crop",P574)),ISNUMBER(SEARCH("farmer",P574)),ISNUMBER(SEARCH("agriculture",P574))),"Agriculture &amp; water",IF(OR(ISNUMBER(SEARCH("health",P574)),ISNUMBER(SEARCH("hospital",P574)),ISNUMBER(SEARCH("medicine",P574))),"Public health",IF(OR(ISNUMBER(SEARCH("employee",P574)),ISNUMBER(SEARCH("labour",P574)),ISNUMBER(SEARCH("worker",P574)),ISNUMBER(SEARCH("salary",P574))),"Labour &amp; employment",IF(OR(ISNUMBER(SEARCH("rti",P574)),ISNUMBER(SEARCH("transparency",P574)),ISNUMBER(SEARCH("corruption",P574)),ISNUMBER(SEARCH("governance",P574))),"Governance &amp; transparency",IF(OR(ISNUMBER(SEARCH("police",P574)),ISNUMBER(SEARCH("detention",P574)),ISNUMBER(SEARCH("civil rights",P574)),ISNUMBER(SEARCH("justice",P574))),"Civil rights &amp; justice",IF(OR(ISNUMBER(SEARCH("road",P574)),ISNUMBER(SEARCH("utility",P574)),ISNUMBER(SEARCH("infrastructure",P574)),ISNUMBER(SEARCH("public service",P574))),"Infrastructure &amp; public services","Other"))))))))))))</x:f>
      </x:c>
      <x:c r="J574" s="16" t="str">
        <x:f>IF(A574="","",IF(OR(ISNUMBER(SEARCH("fatal",Q574)),ISNUMBER(SEARCH("death",Q574)),ISNUMBER(SEARCH("riot",Q574)),ISNUMBER(SEARCH("curfew",Q574)),ISNUMBER(SEARCH("internet shutdown",Q574))),5,MIN(4,1+IF(H574&gt;=7,1,0)+IF(OR(ISNUMBER(SEARCH("hunger strike",Q574)),ISNUMBER(SEARCH("blockade",Q574)),ISNUMBER(SEARCH("strike",Q574)),ISNUMBER(SEARCH("jal satyagraha",Q574)),ISNUMBER(SEARCH("survey",Q574)),ISNUMBER(SEARCH("human chain",Q574)),ISNUMBER(SEARCH("march",Q574))),1,0)+IF(OR(ISNUMBER(SEARCH("fir",Q574)),ISNUMBER(SEARCH("confrontation",Q574)),ISNUMBER(SEARCH("violence",Q574)),ISNUMBER(SEARCH("detention",Q574)),ISNUMBER(SEARCH("arrest",Q574)),ISNUMBER(SEARCH("demolition",Q574)),ISNUMBER(SEARCH("injury",Q574))),1,0)+IF(OR(D574="Ongoing",D574="Unresolved"),1,0))))</x:f>
      </x:c>
      <x:c r="K574" s="16" t="str">
        <x:f>IF(J574="","",IF(J574=1,"Limited",IF(J574=2,"Local",IF(J574=3,"Significant",IF(J574=4,"High","Critical")))))</x:f>
      </x:c>
      <x:c r="L574" s="16" t="str">
        <x:f>IF(A574="","",Events!U573)</x:f>
      </x:c>
      <x:c r="M574" s="16" t="str">
        <x:f>IF(A574="","",Events!V573)</x:f>
      </x:c>
      <x:c r="N574" s="16" t="str">
        <x:f>IF(A574="","",Events!Q573)</x:f>
      </x:c>
      <x:c r="O574" s="16" t="str">
        <x:f>IF(A574="","",Events!R573)</x:f>
      </x:c>
      <x:c r="P574" s="16" t="str">
        <x:f>IF(A574="","",LOWER(Events!B573&amp;" "&amp;Events!D573&amp;" "&amp;Events!K573))</x:f>
      </x:c>
      <x:c r="Q574" s="16" t="str">
        <x:f>IF(A574="","",LOWER(Events!C573&amp;" "&amp;Events!K573&amp;" "&amp;Events!T573))</x:f>
      </x:c>
      <x:c r="R574" s="16" t="str">
        <x:f>IF(A574="","",IF(ISNUMBER(SEARCH("Occurrence verified",E574)),"Occurrence verified",E574))</x:f>
      </x:c>
      <x:c r="S574" s="79" t="str">
        <x:f>IF(A574="","",Events!X573)</x:f>
      </x:c>
      <x:c r="Z574" s="79" t="str">
        <x:f>IF(A574="","",Events!AD573)</x:f>
      </x:c>
      <x:c r="AA574" s="79" t="str">
        <x:f>IF(A574="","",Events!AE573)</x:f>
      </x:c>
    </x:row>
    <x:row r="575">
      <x:c r="A575" s="16" t="str">
        <x:f>IF(Events!A574="","",Events!A574)</x:f>
      </x:c>
      <x:c r="B575" s="16" t="str">
        <x:f>IF(A575="","",Events!B574)</x:f>
      </x:c>
      <x:c r="C575" s="16" t="str">
        <x:f>IF(A575="","",Events!E574)</x:f>
      </x:c>
      <x:c r="D575" s="16" t="str">
        <x:f>IF(A575="","",Events!J574)</x:f>
      </x:c>
      <x:c r="E575" s="16" t="str">
        <x:f>IF(A575="","",Events!N574)</x:f>
      </x:c>
      <x:c r="F575" s="109" t="str">
        <x:f>IF(OR(A575="",Events!H574=""),"",Events!H574)</x:f>
      </x:c>
      <x:c r="G575" s="109" t="str">
        <x:f>IF(A575="","",IF(Events!I574&lt;&gt;"",Events!I574,IF(Events!S574&lt;&gt;"",Events!S574,"")))</x:f>
      </x:c>
      <x:c r="H575" s="16" t="str">
        <x:f>IF(A575="","",Events!W574)</x:f>
      </x:c>
      <x:c r="I575" s="16" t="str">
        <x:f>IF(A575="","",IF(Events!Y574&lt;&gt;"",Events!Y574,IF(OR(ISNUMBER(SEARCH("education",P575)),ISNUMBER(SEARCH("exam",P575)),ISNUMBER(SEARCH("school",P575))),"Education",IF(OR(ISNUMBER(SEARCH("trade agreement",P575)),ISNUMBER(SEARCH("economic",P575)),ISNUMBER(SEARCH("import",P575))),"Trade &amp; economic policy",IF(OR(ISNUMBER(SEARCH("land acquisition",P575)),ISNUMBER(SEARCH("rehabilitation",P575)),ISNUMBER(SEARCH("displacement",P575)),ISNUMBER(SEARCH("township",P575))),"Land &amp; rehabilitation",IF(OR(ISNUMBER(SEARCH("forest",P575)),ISNUMBER(SEARCH("environment",P575)),ISNUMBER(SEARCH("ecological",P575)),ISNUMBER(SEARCH("biodiversity",P575)),ISNUMBER(SEARCH("green cover",P575))),"Environment",IF(OR(ISNUMBER(SEARCH("irrigation",P575)),ISNUMBER(SEARCH("water",P575)),ISNUMBER(SEARCH("crop",P575)),ISNUMBER(SEARCH("farmer",P575)),ISNUMBER(SEARCH("agriculture",P575))),"Agriculture &amp; water",IF(OR(ISNUMBER(SEARCH("health",P575)),ISNUMBER(SEARCH("hospital",P575)),ISNUMBER(SEARCH("medicine",P575))),"Public health",IF(OR(ISNUMBER(SEARCH("employee",P575)),ISNUMBER(SEARCH("labour",P575)),ISNUMBER(SEARCH("worker",P575)),ISNUMBER(SEARCH("salary",P575))),"Labour &amp; employment",IF(OR(ISNUMBER(SEARCH("rti",P575)),ISNUMBER(SEARCH("transparency",P575)),ISNUMBER(SEARCH("corruption",P575)),ISNUMBER(SEARCH("governance",P575))),"Governance &amp; transparency",IF(OR(ISNUMBER(SEARCH("police",P575)),ISNUMBER(SEARCH("detention",P575)),ISNUMBER(SEARCH("civil rights",P575)),ISNUMBER(SEARCH("justice",P575))),"Civil rights &amp; justice",IF(OR(ISNUMBER(SEARCH("road",P575)),ISNUMBER(SEARCH("utility",P575)),ISNUMBER(SEARCH("infrastructure",P575)),ISNUMBER(SEARCH("public service",P575))),"Infrastructure &amp; public services","Other"))))))))))))</x:f>
      </x:c>
      <x:c r="J575" s="16" t="str">
        <x:f>IF(A575="","",IF(OR(ISNUMBER(SEARCH("fatal",Q575)),ISNUMBER(SEARCH("death",Q575)),ISNUMBER(SEARCH("riot",Q575)),ISNUMBER(SEARCH("curfew",Q575)),ISNUMBER(SEARCH("internet shutdown",Q575))),5,MIN(4,1+IF(H575&gt;=7,1,0)+IF(OR(ISNUMBER(SEARCH("hunger strike",Q575)),ISNUMBER(SEARCH("blockade",Q575)),ISNUMBER(SEARCH("strike",Q575)),ISNUMBER(SEARCH("jal satyagraha",Q575)),ISNUMBER(SEARCH("survey",Q575)),ISNUMBER(SEARCH("human chain",Q575)),ISNUMBER(SEARCH("march",Q575))),1,0)+IF(OR(ISNUMBER(SEARCH("fir",Q575)),ISNUMBER(SEARCH("confrontation",Q575)),ISNUMBER(SEARCH("violence",Q575)),ISNUMBER(SEARCH("detention",Q575)),ISNUMBER(SEARCH("arrest",Q575)),ISNUMBER(SEARCH("demolition",Q575)),ISNUMBER(SEARCH("injury",Q575))),1,0)+IF(OR(D575="Ongoing",D575="Unresolved"),1,0))))</x:f>
      </x:c>
      <x:c r="K575" s="16" t="str">
        <x:f>IF(J575="","",IF(J575=1,"Limited",IF(J575=2,"Local",IF(J575=3,"Significant",IF(J575=4,"High","Critical")))))</x:f>
      </x:c>
      <x:c r="L575" s="16" t="str">
        <x:f>IF(A575="","",Events!U574)</x:f>
      </x:c>
      <x:c r="M575" s="16" t="str">
        <x:f>IF(A575="","",Events!V574)</x:f>
      </x:c>
      <x:c r="N575" s="16" t="str">
        <x:f>IF(A575="","",Events!Q574)</x:f>
      </x:c>
      <x:c r="O575" s="16" t="str">
        <x:f>IF(A575="","",Events!R574)</x:f>
      </x:c>
      <x:c r="P575" s="16" t="str">
        <x:f>IF(A575="","",LOWER(Events!B574&amp;" "&amp;Events!D574&amp;" "&amp;Events!K574))</x:f>
      </x:c>
      <x:c r="Q575" s="16" t="str">
        <x:f>IF(A575="","",LOWER(Events!C574&amp;" "&amp;Events!K574&amp;" "&amp;Events!T574))</x:f>
      </x:c>
      <x:c r="R575" s="16" t="str">
        <x:f>IF(A575="","",IF(ISNUMBER(SEARCH("Occurrence verified",E575)),"Occurrence verified",E575))</x:f>
      </x:c>
      <x:c r="S575" s="79" t="str">
        <x:f>IF(A575="","",Events!X574)</x:f>
      </x:c>
      <x:c r="Z575" s="79" t="str">
        <x:f>IF(A575="","",Events!AD574)</x:f>
      </x:c>
      <x:c r="AA575" s="79" t="str">
        <x:f>IF(A575="","",Events!AE574)</x:f>
      </x:c>
    </x:row>
    <x:row r="576">
      <x:c r="A576" s="16" t="str">
        <x:f>IF(Events!A575="","",Events!A575)</x:f>
      </x:c>
      <x:c r="B576" s="16" t="str">
        <x:f>IF(A576="","",Events!B575)</x:f>
      </x:c>
      <x:c r="C576" s="16" t="str">
        <x:f>IF(A576="","",Events!E575)</x:f>
      </x:c>
      <x:c r="D576" s="16" t="str">
        <x:f>IF(A576="","",Events!J575)</x:f>
      </x:c>
      <x:c r="E576" s="16" t="str">
        <x:f>IF(A576="","",Events!N575)</x:f>
      </x:c>
      <x:c r="F576" s="109" t="str">
        <x:f>IF(OR(A576="",Events!H575=""),"",Events!H575)</x:f>
      </x:c>
      <x:c r="G576" s="109" t="str">
        <x:f>IF(A576="","",IF(Events!I575&lt;&gt;"",Events!I575,IF(Events!S575&lt;&gt;"",Events!S575,"")))</x:f>
      </x:c>
      <x:c r="H576" s="16" t="str">
        <x:f>IF(A576="","",Events!W575)</x:f>
      </x:c>
      <x:c r="I576" s="16" t="str">
        <x:f>IF(A576="","",IF(Events!Y575&lt;&gt;"",Events!Y575,IF(OR(ISNUMBER(SEARCH("education",P576)),ISNUMBER(SEARCH("exam",P576)),ISNUMBER(SEARCH("school",P576))),"Education",IF(OR(ISNUMBER(SEARCH("trade agreement",P576)),ISNUMBER(SEARCH("economic",P576)),ISNUMBER(SEARCH("import",P576))),"Trade &amp; economic policy",IF(OR(ISNUMBER(SEARCH("land acquisition",P576)),ISNUMBER(SEARCH("rehabilitation",P576)),ISNUMBER(SEARCH("displacement",P576)),ISNUMBER(SEARCH("township",P576))),"Land &amp; rehabilitation",IF(OR(ISNUMBER(SEARCH("forest",P576)),ISNUMBER(SEARCH("environment",P576)),ISNUMBER(SEARCH("ecological",P576)),ISNUMBER(SEARCH("biodiversity",P576)),ISNUMBER(SEARCH("green cover",P576))),"Environment",IF(OR(ISNUMBER(SEARCH("irrigation",P576)),ISNUMBER(SEARCH("water",P576)),ISNUMBER(SEARCH("crop",P576)),ISNUMBER(SEARCH("farmer",P576)),ISNUMBER(SEARCH("agriculture",P576))),"Agriculture &amp; water",IF(OR(ISNUMBER(SEARCH("health",P576)),ISNUMBER(SEARCH("hospital",P576)),ISNUMBER(SEARCH("medicine",P576))),"Public health",IF(OR(ISNUMBER(SEARCH("employee",P576)),ISNUMBER(SEARCH("labour",P576)),ISNUMBER(SEARCH("worker",P576)),ISNUMBER(SEARCH("salary",P576))),"Labour &amp; employment",IF(OR(ISNUMBER(SEARCH("rti",P576)),ISNUMBER(SEARCH("transparency",P576)),ISNUMBER(SEARCH("corruption",P576)),ISNUMBER(SEARCH("governance",P576))),"Governance &amp; transparency",IF(OR(ISNUMBER(SEARCH("police",P576)),ISNUMBER(SEARCH("detention",P576)),ISNUMBER(SEARCH("civil rights",P576)),ISNUMBER(SEARCH("justice",P576))),"Civil rights &amp; justice",IF(OR(ISNUMBER(SEARCH("road",P576)),ISNUMBER(SEARCH("utility",P576)),ISNUMBER(SEARCH("infrastructure",P576)),ISNUMBER(SEARCH("public service",P576))),"Infrastructure &amp; public services","Other"))))))))))))</x:f>
      </x:c>
      <x:c r="J576" s="16" t="str">
        <x:f>IF(A576="","",IF(OR(ISNUMBER(SEARCH("fatal",Q576)),ISNUMBER(SEARCH("death",Q576)),ISNUMBER(SEARCH("riot",Q576)),ISNUMBER(SEARCH("curfew",Q576)),ISNUMBER(SEARCH("internet shutdown",Q576))),5,MIN(4,1+IF(H576&gt;=7,1,0)+IF(OR(ISNUMBER(SEARCH("hunger strike",Q576)),ISNUMBER(SEARCH("blockade",Q576)),ISNUMBER(SEARCH("strike",Q576)),ISNUMBER(SEARCH("jal satyagraha",Q576)),ISNUMBER(SEARCH("survey",Q576)),ISNUMBER(SEARCH("human chain",Q576)),ISNUMBER(SEARCH("march",Q576))),1,0)+IF(OR(ISNUMBER(SEARCH("fir",Q576)),ISNUMBER(SEARCH("confrontation",Q576)),ISNUMBER(SEARCH("violence",Q576)),ISNUMBER(SEARCH("detention",Q576)),ISNUMBER(SEARCH("arrest",Q576)),ISNUMBER(SEARCH("demolition",Q576)),ISNUMBER(SEARCH("injury",Q576))),1,0)+IF(OR(D576="Ongoing",D576="Unresolved"),1,0))))</x:f>
      </x:c>
      <x:c r="K576" s="16" t="str">
        <x:f>IF(J576="","",IF(J576=1,"Limited",IF(J576=2,"Local",IF(J576=3,"Significant",IF(J576=4,"High","Critical")))))</x:f>
      </x:c>
      <x:c r="L576" s="16" t="str">
        <x:f>IF(A576="","",Events!U575)</x:f>
      </x:c>
      <x:c r="M576" s="16" t="str">
        <x:f>IF(A576="","",Events!V575)</x:f>
      </x:c>
      <x:c r="N576" s="16" t="str">
        <x:f>IF(A576="","",Events!Q575)</x:f>
      </x:c>
      <x:c r="O576" s="16" t="str">
        <x:f>IF(A576="","",Events!R575)</x:f>
      </x:c>
      <x:c r="P576" s="16" t="str">
        <x:f>IF(A576="","",LOWER(Events!B575&amp;" "&amp;Events!D575&amp;" "&amp;Events!K575))</x:f>
      </x:c>
      <x:c r="Q576" s="16" t="str">
        <x:f>IF(A576="","",LOWER(Events!C575&amp;" "&amp;Events!K575&amp;" "&amp;Events!T575))</x:f>
      </x:c>
      <x:c r="R576" s="16" t="str">
        <x:f>IF(A576="","",IF(ISNUMBER(SEARCH("Occurrence verified",E576)),"Occurrence verified",E576))</x:f>
      </x:c>
      <x:c r="S576" s="79" t="str">
        <x:f>IF(A576="","",Events!X575)</x:f>
      </x:c>
      <x:c r="Z576" s="79" t="str">
        <x:f>IF(A576="","",Events!AD575)</x:f>
      </x:c>
      <x:c r="AA576" s="79" t="str">
        <x:f>IF(A576="","",Events!AE575)</x:f>
      </x:c>
    </x:row>
    <x:row r="577">
      <x:c r="A577" s="16" t="str">
        <x:f>IF(Events!A576="","",Events!A576)</x:f>
      </x:c>
      <x:c r="B577" s="16" t="str">
        <x:f>IF(A577="","",Events!B576)</x:f>
      </x:c>
      <x:c r="C577" s="16" t="str">
        <x:f>IF(A577="","",Events!E576)</x:f>
      </x:c>
      <x:c r="D577" s="16" t="str">
        <x:f>IF(A577="","",Events!J576)</x:f>
      </x:c>
      <x:c r="E577" s="16" t="str">
        <x:f>IF(A577="","",Events!N576)</x:f>
      </x:c>
      <x:c r="F577" s="109" t="str">
        <x:f>IF(OR(A577="",Events!H576=""),"",Events!H576)</x:f>
      </x:c>
      <x:c r="G577" s="109" t="str">
        <x:f>IF(A577="","",IF(Events!I576&lt;&gt;"",Events!I576,IF(Events!S576&lt;&gt;"",Events!S576,"")))</x:f>
      </x:c>
      <x:c r="H577" s="16" t="str">
        <x:f>IF(A577="","",Events!W576)</x:f>
      </x:c>
      <x:c r="I577" s="16" t="str">
        <x:f>IF(A577="","",IF(Events!Y576&lt;&gt;"",Events!Y576,IF(OR(ISNUMBER(SEARCH("education",P577)),ISNUMBER(SEARCH("exam",P577)),ISNUMBER(SEARCH("school",P577))),"Education",IF(OR(ISNUMBER(SEARCH("trade agreement",P577)),ISNUMBER(SEARCH("economic",P577)),ISNUMBER(SEARCH("import",P577))),"Trade &amp; economic policy",IF(OR(ISNUMBER(SEARCH("land acquisition",P577)),ISNUMBER(SEARCH("rehabilitation",P577)),ISNUMBER(SEARCH("displacement",P577)),ISNUMBER(SEARCH("township",P577))),"Land &amp; rehabilitation",IF(OR(ISNUMBER(SEARCH("forest",P577)),ISNUMBER(SEARCH("environment",P577)),ISNUMBER(SEARCH("ecological",P577)),ISNUMBER(SEARCH("biodiversity",P577)),ISNUMBER(SEARCH("green cover",P577))),"Environment",IF(OR(ISNUMBER(SEARCH("irrigation",P577)),ISNUMBER(SEARCH("water",P577)),ISNUMBER(SEARCH("crop",P577)),ISNUMBER(SEARCH("farmer",P577)),ISNUMBER(SEARCH("agriculture",P577))),"Agriculture &amp; water",IF(OR(ISNUMBER(SEARCH("health",P577)),ISNUMBER(SEARCH("hospital",P577)),ISNUMBER(SEARCH("medicine",P577))),"Public health",IF(OR(ISNUMBER(SEARCH("employee",P577)),ISNUMBER(SEARCH("labour",P577)),ISNUMBER(SEARCH("worker",P577)),ISNUMBER(SEARCH("salary",P577))),"Labour &amp; employment",IF(OR(ISNUMBER(SEARCH("rti",P577)),ISNUMBER(SEARCH("transparency",P577)),ISNUMBER(SEARCH("corruption",P577)),ISNUMBER(SEARCH("governance",P577))),"Governance &amp; transparency",IF(OR(ISNUMBER(SEARCH("police",P577)),ISNUMBER(SEARCH("detention",P577)),ISNUMBER(SEARCH("civil rights",P577)),ISNUMBER(SEARCH("justice",P577))),"Civil rights &amp; justice",IF(OR(ISNUMBER(SEARCH("road",P577)),ISNUMBER(SEARCH("utility",P577)),ISNUMBER(SEARCH("infrastructure",P577)),ISNUMBER(SEARCH("public service",P577))),"Infrastructure &amp; public services","Other"))))))))))))</x:f>
      </x:c>
      <x:c r="J577" s="16" t="str">
        <x:f>IF(A577="","",IF(OR(ISNUMBER(SEARCH("fatal",Q577)),ISNUMBER(SEARCH("death",Q577)),ISNUMBER(SEARCH("riot",Q577)),ISNUMBER(SEARCH("curfew",Q577)),ISNUMBER(SEARCH("internet shutdown",Q577))),5,MIN(4,1+IF(H577&gt;=7,1,0)+IF(OR(ISNUMBER(SEARCH("hunger strike",Q577)),ISNUMBER(SEARCH("blockade",Q577)),ISNUMBER(SEARCH("strike",Q577)),ISNUMBER(SEARCH("jal satyagraha",Q577)),ISNUMBER(SEARCH("survey",Q577)),ISNUMBER(SEARCH("human chain",Q577)),ISNUMBER(SEARCH("march",Q577))),1,0)+IF(OR(ISNUMBER(SEARCH("fir",Q577)),ISNUMBER(SEARCH("confrontation",Q577)),ISNUMBER(SEARCH("violence",Q577)),ISNUMBER(SEARCH("detention",Q577)),ISNUMBER(SEARCH("arrest",Q577)),ISNUMBER(SEARCH("demolition",Q577)),ISNUMBER(SEARCH("injury",Q577))),1,0)+IF(OR(D577="Ongoing",D577="Unresolved"),1,0))))</x:f>
      </x:c>
      <x:c r="K577" s="16" t="str">
        <x:f>IF(J577="","",IF(J577=1,"Limited",IF(J577=2,"Local",IF(J577=3,"Significant",IF(J577=4,"High","Critical")))))</x:f>
      </x:c>
      <x:c r="L577" s="16" t="str">
        <x:f>IF(A577="","",Events!U576)</x:f>
      </x:c>
      <x:c r="M577" s="16" t="str">
        <x:f>IF(A577="","",Events!V576)</x:f>
      </x:c>
      <x:c r="N577" s="16" t="str">
        <x:f>IF(A577="","",Events!Q576)</x:f>
      </x:c>
      <x:c r="O577" s="16" t="str">
        <x:f>IF(A577="","",Events!R576)</x:f>
      </x:c>
      <x:c r="P577" s="16" t="str">
        <x:f>IF(A577="","",LOWER(Events!B576&amp;" "&amp;Events!D576&amp;" "&amp;Events!K576))</x:f>
      </x:c>
      <x:c r="Q577" s="16" t="str">
        <x:f>IF(A577="","",LOWER(Events!C576&amp;" "&amp;Events!K576&amp;" "&amp;Events!T576))</x:f>
      </x:c>
      <x:c r="R577" s="16" t="str">
        <x:f>IF(A577="","",IF(ISNUMBER(SEARCH("Occurrence verified",E577)),"Occurrence verified",E577))</x:f>
      </x:c>
      <x:c r="S577" s="79" t="str">
        <x:f>IF(A577="","",Events!X576)</x:f>
      </x:c>
      <x:c r="Z577" s="79" t="str">
        <x:f>IF(A577="","",Events!AD576)</x:f>
      </x:c>
      <x:c r="AA577" s="79" t="str">
        <x:f>IF(A577="","",Events!AE576)</x:f>
      </x:c>
    </x:row>
    <x:row r="578">
      <x:c r="A578" s="16" t="str">
        <x:f>IF(Events!A577="","",Events!A577)</x:f>
      </x:c>
      <x:c r="B578" s="16" t="str">
        <x:f>IF(A578="","",Events!B577)</x:f>
      </x:c>
      <x:c r="C578" s="16" t="str">
        <x:f>IF(A578="","",Events!E577)</x:f>
      </x:c>
      <x:c r="D578" s="16" t="str">
        <x:f>IF(A578="","",Events!J577)</x:f>
      </x:c>
      <x:c r="E578" s="16" t="str">
        <x:f>IF(A578="","",Events!N577)</x:f>
      </x:c>
      <x:c r="F578" s="109" t="str">
        <x:f>IF(OR(A578="",Events!H577=""),"",Events!H577)</x:f>
      </x:c>
      <x:c r="G578" s="109" t="str">
        <x:f>IF(A578="","",IF(Events!I577&lt;&gt;"",Events!I577,IF(Events!S577&lt;&gt;"",Events!S577,"")))</x:f>
      </x:c>
      <x:c r="H578" s="16" t="str">
        <x:f>IF(A578="","",Events!W577)</x:f>
      </x:c>
      <x:c r="I578" s="16" t="str">
        <x:f>IF(A578="","",IF(Events!Y577&lt;&gt;"",Events!Y577,IF(OR(ISNUMBER(SEARCH("education",P578)),ISNUMBER(SEARCH("exam",P578)),ISNUMBER(SEARCH("school",P578))),"Education",IF(OR(ISNUMBER(SEARCH("trade agreement",P578)),ISNUMBER(SEARCH("economic",P578)),ISNUMBER(SEARCH("import",P578))),"Trade &amp; economic policy",IF(OR(ISNUMBER(SEARCH("land acquisition",P578)),ISNUMBER(SEARCH("rehabilitation",P578)),ISNUMBER(SEARCH("displacement",P578)),ISNUMBER(SEARCH("township",P578))),"Land &amp; rehabilitation",IF(OR(ISNUMBER(SEARCH("forest",P578)),ISNUMBER(SEARCH("environment",P578)),ISNUMBER(SEARCH("ecological",P578)),ISNUMBER(SEARCH("biodiversity",P578)),ISNUMBER(SEARCH("green cover",P578))),"Environment",IF(OR(ISNUMBER(SEARCH("irrigation",P578)),ISNUMBER(SEARCH("water",P578)),ISNUMBER(SEARCH("crop",P578)),ISNUMBER(SEARCH("farmer",P578)),ISNUMBER(SEARCH("agriculture",P578))),"Agriculture &amp; water",IF(OR(ISNUMBER(SEARCH("health",P578)),ISNUMBER(SEARCH("hospital",P578)),ISNUMBER(SEARCH("medicine",P578))),"Public health",IF(OR(ISNUMBER(SEARCH("employee",P578)),ISNUMBER(SEARCH("labour",P578)),ISNUMBER(SEARCH("worker",P578)),ISNUMBER(SEARCH("salary",P578))),"Labour &amp; employment",IF(OR(ISNUMBER(SEARCH("rti",P578)),ISNUMBER(SEARCH("transparency",P578)),ISNUMBER(SEARCH("corruption",P578)),ISNUMBER(SEARCH("governance",P578))),"Governance &amp; transparency",IF(OR(ISNUMBER(SEARCH("police",P578)),ISNUMBER(SEARCH("detention",P578)),ISNUMBER(SEARCH("civil rights",P578)),ISNUMBER(SEARCH("justice",P578))),"Civil rights &amp; justice",IF(OR(ISNUMBER(SEARCH("road",P578)),ISNUMBER(SEARCH("utility",P578)),ISNUMBER(SEARCH("infrastructure",P578)),ISNUMBER(SEARCH("public service",P578))),"Infrastructure &amp; public services","Other"))))))))))))</x:f>
      </x:c>
      <x:c r="J578" s="16" t="str">
        <x:f>IF(A578="","",IF(OR(ISNUMBER(SEARCH("fatal",Q578)),ISNUMBER(SEARCH("death",Q578)),ISNUMBER(SEARCH("riot",Q578)),ISNUMBER(SEARCH("curfew",Q578)),ISNUMBER(SEARCH("internet shutdown",Q578))),5,MIN(4,1+IF(H578&gt;=7,1,0)+IF(OR(ISNUMBER(SEARCH("hunger strike",Q578)),ISNUMBER(SEARCH("blockade",Q578)),ISNUMBER(SEARCH("strike",Q578)),ISNUMBER(SEARCH("jal satyagraha",Q578)),ISNUMBER(SEARCH("survey",Q578)),ISNUMBER(SEARCH("human chain",Q578)),ISNUMBER(SEARCH("march",Q578))),1,0)+IF(OR(ISNUMBER(SEARCH("fir",Q578)),ISNUMBER(SEARCH("confrontation",Q578)),ISNUMBER(SEARCH("violence",Q578)),ISNUMBER(SEARCH("detention",Q578)),ISNUMBER(SEARCH("arrest",Q578)),ISNUMBER(SEARCH("demolition",Q578)),ISNUMBER(SEARCH("injury",Q578))),1,0)+IF(OR(D578="Ongoing",D578="Unresolved"),1,0))))</x:f>
      </x:c>
      <x:c r="K578" s="16" t="str">
        <x:f>IF(J578="","",IF(J578=1,"Limited",IF(J578=2,"Local",IF(J578=3,"Significant",IF(J578=4,"High","Critical")))))</x:f>
      </x:c>
      <x:c r="L578" s="16" t="str">
        <x:f>IF(A578="","",Events!U577)</x:f>
      </x:c>
      <x:c r="M578" s="16" t="str">
        <x:f>IF(A578="","",Events!V577)</x:f>
      </x:c>
      <x:c r="N578" s="16" t="str">
        <x:f>IF(A578="","",Events!Q577)</x:f>
      </x:c>
      <x:c r="O578" s="16" t="str">
        <x:f>IF(A578="","",Events!R577)</x:f>
      </x:c>
      <x:c r="P578" s="16" t="str">
        <x:f>IF(A578="","",LOWER(Events!B577&amp;" "&amp;Events!D577&amp;" "&amp;Events!K577))</x:f>
      </x:c>
      <x:c r="Q578" s="16" t="str">
        <x:f>IF(A578="","",LOWER(Events!C577&amp;" "&amp;Events!K577&amp;" "&amp;Events!T577))</x:f>
      </x:c>
      <x:c r="R578" s="16" t="str">
        <x:f>IF(A578="","",IF(ISNUMBER(SEARCH("Occurrence verified",E578)),"Occurrence verified",E578))</x:f>
      </x:c>
      <x:c r="S578" s="79" t="str">
        <x:f>IF(A578="","",Events!X577)</x:f>
      </x:c>
      <x:c r="Z578" s="79" t="str">
        <x:f>IF(A578="","",Events!AD577)</x:f>
      </x:c>
      <x:c r="AA578" s="79" t="str">
        <x:f>IF(A578="","",Events!AE577)</x:f>
      </x:c>
    </x:row>
    <x:row r="579">
      <x:c r="A579" s="16" t="str">
        <x:f>IF(Events!A578="","",Events!A578)</x:f>
      </x:c>
      <x:c r="B579" s="16" t="str">
        <x:f>IF(A579="","",Events!B578)</x:f>
      </x:c>
      <x:c r="C579" s="16" t="str">
        <x:f>IF(A579="","",Events!E578)</x:f>
      </x:c>
      <x:c r="D579" s="16" t="str">
        <x:f>IF(A579="","",Events!J578)</x:f>
      </x:c>
      <x:c r="E579" s="16" t="str">
        <x:f>IF(A579="","",Events!N578)</x:f>
      </x:c>
      <x:c r="F579" s="109" t="str">
        <x:f>IF(OR(A579="",Events!H578=""),"",Events!H578)</x:f>
      </x:c>
      <x:c r="G579" s="109" t="str">
        <x:f>IF(A579="","",IF(Events!I578&lt;&gt;"",Events!I578,IF(Events!S578&lt;&gt;"",Events!S578,"")))</x:f>
      </x:c>
      <x:c r="H579" s="16" t="str">
        <x:f>IF(A579="","",Events!W578)</x:f>
      </x:c>
      <x:c r="I579" s="16" t="str">
        <x:f>IF(A579="","",IF(Events!Y578&lt;&gt;"",Events!Y578,IF(OR(ISNUMBER(SEARCH("education",P579)),ISNUMBER(SEARCH("exam",P579)),ISNUMBER(SEARCH("school",P579))),"Education",IF(OR(ISNUMBER(SEARCH("trade agreement",P579)),ISNUMBER(SEARCH("economic",P579)),ISNUMBER(SEARCH("import",P579))),"Trade &amp; economic policy",IF(OR(ISNUMBER(SEARCH("land acquisition",P579)),ISNUMBER(SEARCH("rehabilitation",P579)),ISNUMBER(SEARCH("displacement",P579)),ISNUMBER(SEARCH("township",P579))),"Land &amp; rehabilitation",IF(OR(ISNUMBER(SEARCH("forest",P579)),ISNUMBER(SEARCH("environment",P579)),ISNUMBER(SEARCH("ecological",P579)),ISNUMBER(SEARCH("biodiversity",P579)),ISNUMBER(SEARCH("green cover",P579))),"Environment",IF(OR(ISNUMBER(SEARCH("irrigation",P579)),ISNUMBER(SEARCH("water",P579)),ISNUMBER(SEARCH("crop",P579)),ISNUMBER(SEARCH("farmer",P579)),ISNUMBER(SEARCH("agriculture",P579))),"Agriculture &amp; water",IF(OR(ISNUMBER(SEARCH("health",P579)),ISNUMBER(SEARCH("hospital",P579)),ISNUMBER(SEARCH("medicine",P579))),"Public health",IF(OR(ISNUMBER(SEARCH("employee",P579)),ISNUMBER(SEARCH("labour",P579)),ISNUMBER(SEARCH("worker",P579)),ISNUMBER(SEARCH("salary",P579))),"Labour &amp; employment",IF(OR(ISNUMBER(SEARCH("rti",P579)),ISNUMBER(SEARCH("transparency",P579)),ISNUMBER(SEARCH("corruption",P579)),ISNUMBER(SEARCH("governance",P579))),"Governance &amp; transparency",IF(OR(ISNUMBER(SEARCH("police",P579)),ISNUMBER(SEARCH("detention",P579)),ISNUMBER(SEARCH("civil rights",P579)),ISNUMBER(SEARCH("justice",P579))),"Civil rights &amp; justice",IF(OR(ISNUMBER(SEARCH("road",P579)),ISNUMBER(SEARCH("utility",P579)),ISNUMBER(SEARCH("infrastructure",P579)),ISNUMBER(SEARCH("public service",P579))),"Infrastructure &amp; public services","Other"))))))))))))</x:f>
      </x:c>
      <x:c r="J579" s="16" t="str">
        <x:f>IF(A579="","",IF(OR(ISNUMBER(SEARCH("fatal",Q579)),ISNUMBER(SEARCH("death",Q579)),ISNUMBER(SEARCH("riot",Q579)),ISNUMBER(SEARCH("curfew",Q579)),ISNUMBER(SEARCH("internet shutdown",Q579))),5,MIN(4,1+IF(H579&gt;=7,1,0)+IF(OR(ISNUMBER(SEARCH("hunger strike",Q579)),ISNUMBER(SEARCH("blockade",Q579)),ISNUMBER(SEARCH("strike",Q579)),ISNUMBER(SEARCH("jal satyagraha",Q579)),ISNUMBER(SEARCH("survey",Q579)),ISNUMBER(SEARCH("human chain",Q579)),ISNUMBER(SEARCH("march",Q579))),1,0)+IF(OR(ISNUMBER(SEARCH("fir",Q579)),ISNUMBER(SEARCH("confrontation",Q579)),ISNUMBER(SEARCH("violence",Q579)),ISNUMBER(SEARCH("detention",Q579)),ISNUMBER(SEARCH("arrest",Q579)),ISNUMBER(SEARCH("demolition",Q579)),ISNUMBER(SEARCH("injury",Q579))),1,0)+IF(OR(D579="Ongoing",D579="Unresolved"),1,0))))</x:f>
      </x:c>
      <x:c r="K579" s="16" t="str">
        <x:f>IF(J579="","",IF(J579=1,"Limited",IF(J579=2,"Local",IF(J579=3,"Significant",IF(J579=4,"High","Critical")))))</x:f>
      </x:c>
      <x:c r="L579" s="16" t="str">
        <x:f>IF(A579="","",Events!U578)</x:f>
      </x:c>
      <x:c r="M579" s="16" t="str">
        <x:f>IF(A579="","",Events!V578)</x:f>
      </x:c>
      <x:c r="N579" s="16" t="str">
        <x:f>IF(A579="","",Events!Q578)</x:f>
      </x:c>
      <x:c r="O579" s="16" t="str">
        <x:f>IF(A579="","",Events!R578)</x:f>
      </x:c>
      <x:c r="P579" s="16" t="str">
        <x:f>IF(A579="","",LOWER(Events!B578&amp;" "&amp;Events!D578&amp;" "&amp;Events!K578))</x:f>
      </x:c>
      <x:c r="Q579" s="16" t="str">
        <x:f>IF(A579="","",LOWER(Events!C578&amp;" "&amp;Events!K578&amp;" "&amp;Events!T578))</x:f>
      </x:c>
      <x:c r="R579" s="16" t="str">
        <x:f>IF(A579="","",IF(ISNUMBER(SEARCH("Occurrence verified",E579)),"Occurrence verified",E579))</x:f>
      </x:c>
      <x:c r="S579" s="79" t="str">
        <x:f>IF(A579="","",Events!X578)</x:f>
      </x:c>
      <x:c r="Z579" s="79" t="str">
        <x:f>IF(A579="","",Events!AD578)</x:f>
      </x:c>
      <x:c r="AA579" s="79" t="str">
        <x:f>IF(A579="","",Events!AE578)</x:f>
      </x:c>
    </x:row>
    <x:row r="580">
      <x:c r="A580" s="16" t="str">
        <x:f>IF(Events!A579="","",Events!A579)</x:f>
      </x:c>
      <x:c r="B580" s="16" t="str">
        <x:f>IF(A580="","",Events!B579)</x:f>
      </x:c>
      <x:c r="C580" s="16" t="str">
        <x:f>IF(A580="","",Events!E579)</x:f>
      </x:c>
      <x:c r="D580" s="16" t="str">
        <x:f>IF(A580="","",Events!J579)</x:f>
      </x:c>
      <x:c r="E580" s="16" t="str">
        <x:f>IF(A580="","",Events!N579)</x:f>
      </x:c>
      <x:c r="F580" s="109" t="str">
        <x:f>IF(OR(A580="",Events!H579=""),"",Events!H579)</x:f>
      </x:c>
      <x:c r="G580" s="109" t="str">
        <x:f>IF(A580="","",IF(Events!I579&lt;&gt;"",Events!I579,IF(Events!S579&lt;&gt;"",Events!S579,"")))</x:f>
      </x:c>
      <x:c r="H580" s="16" t="str">
        <x:f>IF(A580="","",Events!W579)</x:f>
      </x:c>
      <x:c r="I580" s="16" t="str">
        <x:f>IF(A580="","",IF(Events!Y579&lt;&gt;"",Events!Y579,IF(OR(ISNUMBER(SEARCH("education",P580)),ISNUMBER(SEARCH("exam",P580)),ISNUMBER(SEARCH("school",P580))),"Education",IF(OR(ISNUMBER(SEARCH("trade agreement",P580)),ISNUMBER(SEARCH("economic",P580)),ISNUMBER(SEARCH("import",P580))),"Trade &amp; economic policy",IF(OR(ISNUMBER(SEARCH("land acquisition",P580)),ISNUMBER(SEARCH("rehabilitation",P580)),ISNUMBER(SEARCH("displacement",P580)),ISNUMBER(SEARCH("township",P580))),"Land &amp; rehabilitation",IF(OR(ISNUMBER(SEARCH("forest",P580)),ISNUMBER(SEARCH("environment",P580)),ISNUMBER(SEARCH("ecological",P580)),ISNUMBER(SEARCH("biodiversity",P580)),ISNUMBER(SEARCH("green cover",P580))),"Environment",IF(OR(ISNUMBER(SEARCH("irrigation",P580)),ISNUMBER(SEARCH("water",P580)),ISNUMBER(SEARCH("crop",P580)),ISNUMBER(SEARCH("farmer",P580)),ISNUMBER(SEARCH("agriculture",P580))),"Agriculture &amp; water",IF(OR(ISNUMBER(SEARCH("health",P580)),ISNUMBER(SEARCH("hospital",P580)),ISNUMBER(SEARCH("medicine",P580))),"Public health",IF(OR(ISNUMBER(SEARCH("employee",P580)),ISNUMBER(SEARCH("labour",P580)),ISNUMBER(SEARCH("worker",P580)),ISNUMBER(SEARCH("salary",P580))),"Labour &amp; employment",IF(OR(ISNUMBER(SEARCH("rti",P580)),ISNUMBER(SEARCH("transparency",P580)),ISNUMBER(SEARCH("corruption",P580)),ISNUMBER(SEARCH("governance",P580))),"Governance &amp; transparency",IF(OR(ISNUMBER(SEARCH("police",P580)),ISNUMBER(SEARCH("detention",P580)),ISNUMBER(SEARCH("civil rights",P580)),ISNUMBER(SEARCH("justice",P580))),"Civil rights &amp; justice",IF(OR(ISNUMBER(SEARCH("road",P580)),ISNUMBER(SEARCH("utility",P580)),ISNUMBER(SEARCH("infrastructure",P580)),ISNUMBER(SEARCH("public service",P580))),"Infrastructure &amp; public services","Other"))))))))))))</x:f>
      </x:c>
      <x:c r="J580" s="16" t="str">
        <x:f>IF(A580="","",IF(OR(ISNUMBER(SEARCH("fatal",Q580)),ISNUMBER(SEARCH("death",Q580)),ISNUMBER(SEARCH("riot",Q580)),ISNUMBER(SEARCH("curfew",Q580)),ISNUMBER(SEARCH("internet shutdown",Q580))),5,MIN(4,1+IF(H580&gt;=7,1,0)+IF(OR(ISNUMBER(SEARCH("hunger strike",Q580)),ISNUMBER(SEARCH("blockade",Q580)),ISNUMBER(SEARCH("strike",Q580)),ISNUMBER(SEARCH("jal satyagraha",Q580)),ISNUMBER(SEARCH("survey",Q580)),ISNUMBER(SEARCH("human chain",Q580)),ISNUMBER(SEARCH("march",Q580))),1,0)+IF(OR(ISNUMBER(SEARCH("fir",Q580)),ISNUMBER(SEARCH("confrontation",Q580)),ISNUMBER(SEARCH("violence",Q580)),ISNUMBER(SEARCH("detention",Q580)),ISNUMBER(SEARCH("arrest",Q580)),ISNUMBER(SEARCH("demolition",Q580)),ISNUMBER(SEARCH("injury",Q580))),1,0)+IF(OR(D580="Ongoing",D580="Unresolved"),1,0))))</x:f>
      </x:c>
      <x:c r="K580" s="16" t="str">
        <x:f>IF(J580="","",IF(J580=1,"Limited",IF(J580=2,"Local",IF(J580=3,"Significant",IF(J580=4,"High","Critical")))))</x:f>
      </x:c>
      <x:c r="L580" s="16" t="str">
        <x:f>IF(A580="","",Events!U579)</x:f>
      </x:c>
      <x:c r="M580" s="16" t="str">
        <x:f>IF(A580="","",Events!V579)</x:f>
      </x:c>
      <x:c r="N580" s="16" t="str">
        <x:f>IF(A580="","",Events!Q579)</x:f>
      </x:c>
      <x:c r="O580" s="16" t="str">
        <x:f>IF(A580="","",Events!R579)</x:f>
      </x:c>
      <x:c r="P580" s="16" t="str">
        <x:f>IF(A580="","",LOWER(Events!B579&amp;" "&amp;Events!D579&amp;" "&amp;Events!K579))</x:f>
      </x:c>
      <x:c r="Q580" s="16" t="str">
        <x:f>IF(A580="","",LOWER(Events!C579&amp;" "&amp;Events!K579&amp;" "&amp;Events!T579))</x:f>
      </x:c>
      <x:c r="R580" s="16" t="str">
        <x:f>IF(A580="","",IF(ISNUMBER(SEARCH("Occurrence verified",E580)),"Occurrence verified",E580))</x:f>
      </x:c>
      <x:c r="S580" s="79" t="str">
        <x:f>IF(A580="","",Events!X579)</x:f>
      </x:c>
      <x:c r="Z580" s="79" t="str">
        <x:f>IF(A580="","",Events!AD579)</x:f>
      </x:c>
      <x:c r="AA580" s="79" t="str">
        <x:f>IF(A580="","",Events!AE579)</x:f>
      </x:c>
    </x:row>
    <x:row r="581">
      <x:c r="A581" s="16" t="str">
        <x:f>IF(Events!A580="","",Events!A580)</x:f>
      </x:c>
      <x:c r="B581" s="16" t="str">
        <x:f>IF(A581="","",Events!B580)</x:f>
      </x:c>
      <x:c r="C581" s="16" t="str">
        <x:f>IF(A581="","",Events!E580)</x:f>
      </x:c>
      <x:c r="D581" s="16" t="str">
        <x:f>IF(A581="","",Events!J580)</x:f>
      </x:c>
      <x:c r="E581" s="16" t="str">
        <x:f>IF(A581="","",Events!N580)</x:f>
      </x:c>
      <x:c r="F581" s="109" t="str">
        <x:f>IF(OR(A581="",Events!H580=""),"",Events!H580)</x:f>
      </x:c>
      <x:c r="G581" s="109" t="str">
        <x:f>IF(A581="","",IF(Events!I580&lt;&gt;"",Events!I580,IF(Events!S580&lt;&gt;"",Events!S580,"")))</x:f>
      </x:c>
      <x:c r="H581" s="16" t="str">
        <x:f>IF(A581="","",Events!W580)</x:f>
      </x:c>
      <x:c r="I581" s="16" t="str">
        <x:f>IF(A581="","",IF(Events!Y580&lt;&gt;"",Events!Y580,IF(OR(ISNUMBER(SEARCH("education",P581)),ISNUMBER(SEARCH("exam",P581)),ISNUMBER(SEARCH("school",P581))),"Education",IF(OR(ISNUMBER(SEARCH("trade agreement",P581)),ISNUMBER(SEARCH("economic",P581)),ISNUMBER(SEARCH("import",P581))),"Trade &amp; economic policy",IF(OR(ISNUMBER(SEARCH("land acquisition",P581)),ISNUMBER(SEARCH("rehabilitation",P581)),ISNUMBER(SEARCH("displacement",P581)),ISNUMBER(SEARCH("township",P581))),"Land &amp; rehabilitation",IF(OR(ISNUMBER(SEARCH("forest",P581)),ISNUMBER(SEARCH("environment",P581)),ISNUMBER(SEARCH("ecological",P581)),ISNUMBER(SEARCH("biodiversity",P581)),ISNUMBER(SEARCH("green cover",P581))),"Environment",IF(OR(ISNUMBER(SEARCH("irrigation",P581)),ISNUMBER(SEARCH("water",P581)),ISNUMBER(SEARCH("crop",P581)),ISNUMBER(SEARCH("farmer",P581)),ISNUMBER(SEARCH("agriculture",P581))),"Agriculture &amp; water",IF(OR(ISNUMBER(SEARCH("health",P581)),ISNUMBER(SEARCH("hospital",P581)),ISNUMBER(SEARCH("medicine",P581))),"Public health",IF(OR(ISNUMBER(SEARCH("employee",P581)),ISNUMBER(SEARCH("labour",P581)),ISNUMBER(SEARCH("worker",P581)),ISNUMBER(SEARCH("salary",P581))),"Labour &amp; employment",IF(OR(ISNUMBER(SEARCH("rti",P581)),ISNUMBER(SEARCH("transparency",P581)),ISNUMBER(SEARCH("corruption",P581)),ISNUMBER(SEARCH("governance",P581))),"Governance &amp; transparency",IF(OR(ISNUMBER(SEARCH("police",P581)),ISNUMBER(SEARCH("detention",P581)),ISNUMBER(SEARCH("civil rights",P581)),ISNUMBER(SEARCH("justice",P581))),"Civil rights &amp; justice",IF(OR(ISNUMBER(SEARCH("road",P581)),ISNUMBER(SEARCH("utility",P581)),ISNUMBER(SEARCH("infrastructure",P581)),ISNUMBER(SEARCH("public service",P581))),"Infrastructure &amp; public services","Other"))))))))))))</x:f>
      </x:c>
      <x:c r="J581" s="16" t="str">
        <x:f>IF(A581="","",IF(OR(ISNUMBER(SEARCH("fatal",Q581)),ISNUMBER(SEARCH("death",Q581)),ISNUMBER(SEARCH("riot",Q581)),ISNUMBER(SEARCH("curfew",Q581)),ISNUMBER(SEARCH("internet shutdown",Q581))),5,MIN(4,1+IF(H581&gt;=7,1,0)+IF(OR(ISNUMBER(SEARCH("hunger strike",Q581)),ISNUMBER(SEARCH("blockade",Q581)),ISNUMBER(SEARCH("strike",Q581)),ISNUMBER(SEARCH("jal satyagraha",Q581)),ISNUMBER(SEARCH("survey",Q581)),ISNUMBER(SEARCH("human chain",Q581)),ISNUMBER(SEARCH("march",Q581))),1,0)+IF(OR(ISNUMBER(SEARCH("fir",Q581)),ISNUMBER(SEARCH("confrontation",Q581)),ISNUMBER(SEARCH("violence",Q581)),ISNUMBER(SEARCH("detention",Q581)),ISNUMBER(SEARCH("arrest",Q581)),ISNUMBER(SEARCH("demolition",Q581)),ISNUMBER(SEARCH("injury",Q581))),1,0)+IF(OR(D581="Ongoing",D581="Unresolved"),1,0))))</x:f>
      </x:c>
      <x:c r="K581" s="16" t="str">
        <x:f>IF(J581="","",IF(J581=1,"Limited",IF(J581=2,"Local",IF(J581=3,"Significant",IF(J581=4,"High","Critical")))))</x:f>
      </x:c>
      <x:c r="L581" s="16" t="str">
        <x:f>IF(A581="","",Events!U580)</x:f>
      </x:c>
      <x:c r="M581" s="16" t="str">
        <x:f>IF(A581="","",Events!V580)</x:f>
      </x:c>
      <x:c r="N581" s="16" t="str">
        <x:f>IF(A581="","",Events!Q580)</x:f>
      </x:c>
      <x:c r="O581" s="16" t="str">
        <x:f>IF(A581="","",Events!R580)</x:f>
      </x:c>
      <x:c r="P581" s="16" t="str">
        <x:f>IF(A581="","",LOWER(Events!B580&amp;" "&amp;Events!D580&amp;" "&amp;Events!K580))</x:f>
      </x:c>
      <x:c r="Q581" s="16" t="str">
        <x:f>IF(A581="","",LOWER(Events!C580&amp;" "&amp;Events!K580&amp;" "&amp;Events!T580))</x:f>
      </x:c>
      <x:c r="R581" s="16" t="str">
        <x:f>IF(A581="","",IF(ISNUMBER(SEARCH("Occurrence verified",E581)),"Occurrence verified",E581))</x:f>
      </x:c>
      <x:c r="S581" s="79" t="str">
        <x:f>IF(A581="","",Events!X580)</x:f>
      </x:c>
      <x:c r="Z581" s="79" t="str">
        <x:f>IF(A581="","",Events!AD580)</x:f>
      </x:c>
      <x:c r="AA581" s="79" t="str">
        <x:f>IF(A581="","",Events!AE580)</x:f>
      </x:c>
    </x:row>
    <x:row r="582">
      <x:c r="A582" s="16" t="str">
        <x:f>IF(Events!A581="","",Events!A581)</x:f>
      </x:c>
      <x:c r="B582" s="16" t="str">
        <x:f>IF(A582="","",Events!B581)</x:f>
      </x:c>
      <x:c r="C582" s="16" t="str">
        <x:f>IF(A582="","",Events!E581)</x:f>
      </x:c>
      <x:c r="D582" s="16" t="str">
        <x:f>IF(A582="","",Events!J581)</x:f>
      </x:c>
      <x:c r="E582" s="16" t="str">
        <x:f>IF(A582="","",Events!N581)</x:f>
      </x:c>
      <x:c r="F582" s="109" t="str">
        <x:f>IF(OR(A582="",Events!H581=""),"",Events!H581)</x:f>
      </x:c>
      <x:c r="G582" s="109" t="str">
        <x:f>IF(A582="","",IF(Events!I581&lt;&gt;"",Events!I581,IF(Events!S581&lt;&gt;"",Events!S581,"")))</x:f>
      </x:c>
      <x:c r="H582" s="16" t="str">
        <x:f>IF(A582="","",Events!W581)</x:f>
      </x:c>
      <x:c r="I582" s="16" t="str">
        <x:f>IF(A582="","",IF(Events!Y581&lt;&gt;"",Events!Y581,IF(OR(ISNUMBER(SEARCH("education",P582)),ISNUMBER(SEARCH("exam",P582)),ISNUMBER(SEARCH("school",P582))),"Education",IF(OR(ISNUMBER(SEARCH("trade agreement",P582)),ISNUMBER(SEARCH("economic",P582)),ISNUMBER(SEARCH("import",P582))),"Trade &amp; economic policy",IF(OR(ISNUMBER(SEARCH("land acquisition",P582)),ISNUMBER(SEARCH("rehabilitation",P582)),ISNUMBER(SEARCH("displacement",P582)),ISNUMBER(SEARCH("township",P582))),"Land &amp; rehabilitation",IF(OR(ISNUMBER(SEARCH("forest",P582)),ISNUMBER(SEARCH("environment",P582)),ISNUMBER(SEARCH("ecological",P582)),ISNUMBER(SEARCH("biodiversity",P582)),ISNUMBER(SEARCH("green cover",P582))),"Environment",IF(OR(ISNUMBER(SEARCH("irrigation",P582)),ISNUMBER(SEARCH("water",P582)),ISNUMBER(SEARCH("crop",P582)),ISNUMBER(SEARCH("farmer",P582)),ISNUMBER(SEARCH("agriculture",P582))),"Agriculture &amp; water",IF(OR(ISNUMBER(SEARCH("health",P582)),ISNUMBER(SEARCH("hospital",P582)),ISNUMBER(SEARCH("medicine",P582))),"Public health",IF(OR(ISNUMBER(SEARCH("employee",P582)),ISNUMBER(SEARCH("labour",P582)),ISNUMBER(SEARCH("worker",P582)),ISNUMBER(SEARCH("salary",P582))),"Labour &amp; employment",IF(OR(ISNUMBER(SEARCH("rti",P582)),ISNUMBER(SEARCH("transparency",P582)),ISNUMBER(SEARCH("corruption",P582)),ISNUMBER(SEARCH("governance",P582))),"Governance &amp; transparency",IF(OR(ISNUMBER(SEARCH("police",P582)),ISNUMBER(SEARCH("detention",P582)),ISNUMBER(SEARCH("civil rights",P582)),ISNUMBER(SEARCH("justice",P582))),"Civil rights &amp; justice",IF(OR(ISNUMBER(SEARCH("road",P582)),ISNUMBER(SEARCH("utility",P582)),ISNUMBER(SEARCH("infrastructure",P582)),ISNUMBER(SEARCH("public service",P582))),"Infrastructure &amp; public services","Other"))))))))))))</x:f>
      </x:c>
      <x:c r="J582" s="16" t="str">
        <x:f>IF(A582="","",IF(OR(ISNUMBER(SEARCH("fatal",Q582)),ISNUMBER(SEARCH("death",Q582)),ISNUMBER(SEARCH("riot",Q582)),ISNUMBER(SEARCH("curfew",Q582)),ISNUMBER(SEARCH("internet shutdown",Q582))),5,MIN(4,1+IF(H582&gt;=7,1,0)+IF(OR(ISNUMBER(SEARCH("hunger strike",Q582)),ISNUMBER(SEARCH("blockade",Q582)),ISNUMBER(SEARCH("strike",Q582)),ISNUMBER(SEARCH("jal satyagraha",Q582)),ISNUMBER(SEARCH("survey",Q582)),ISNUMBER(SEARCH("human chain",Q582)),ISNUMBER(SEARCH("march",Q582))),1,0)+IF(OR(ISNUMBER(SEARCH("fir",Q582)),ISNUMBER(SEARCH("confrontation",Q582)),ISNUMBER(SEARCH("violence",Q582)),ISNUMBER(SEARCH("detention",Q582)),ISNUMBER(SEARCH("arrest",Q582)),ISNUMBER(SEARCH("demolition",Q582)),ISNUMBER(SEARCH("injury",Q582))),1,0)+IF(OR(D582="Ongoing",D582="Unresolved"),1,0))))</x:f>
      </x:c>
      <x:c r="K582" s="16" t="str">
        <x:f>IF(J582="","",IF(J582=1,"Limited",IF(J582=2,"Local",IF(J582=3,"Significant",IF(J582=4,"High","Critical")))))</x:f>
      </x:c>
      <x:c r="L582" s="16" t="str">
        <x:f>IF(A582="","",Events!U581)</x:f>
      </x:c>
      <x:c r="M582" s="16" t="str">
        <x:f>IF(A582="","",Events!V581)</x:f>
      </x:c>
      <x:c r="N582" s="16" t="str">
        <x:f>IF(A582="","",Events!Q581)</x:f>
      </x:c>
      <x:c r="O582" s="16" t="str">
        <x:f>IF(A582="","",Events!R581)</x:f>
      </x:c>
      <x:c r="P582" s="16" t="str">
        <x:f>IF(A582="","",LOWER(Events!B581&amp;" "&amp;Events!D581&amp;" "&amp;Events!K581))</x:f>
      </x:c>
      <x:c r="Q582" s="16" t="str">
        <x:f>IF(A582="","",LOWER(Events!C581&amp;" "&amp;Events!K581&amp;" "&amp;Events!T581))</x:f>
      </x:c>
      <x:c r="R582" s="16" t="str">
        <x:f>IF(A582="","",IF(ISNUMBER(SEARCH("Occurrence verified",E582)),"Occurrence verified",E582))</x:f>
      </x:c>
      <x:c r="S582" s="79" t="str">
        <x:f>IF(A582="","",Events!X581)</x:f>
      </x:c>
      <x:c r="Z582" s="79" t="str">
        <x:f>IF(A582="","",Events!AD581)</x:f>
      </x:c>
      <x:c r="AA582" s="79" t="str">
        <x:f>IF(A582="","",Events!AE581)</x:f>
      </x:c>
    </x:row>
    <x:row r="583">
      <x:c r="A583" s="16" t="str">
        <x:f>IF(Events!A582="","",Events!A582)</x:f>
      </x:c>
      <x:c r="B583" s="16" t="str">
        <x:f>IF(A583="","",Events!B582)</x:f>
      </x:c>
      <x:c r="C583" s="16" t="str">
        <x:f>IF(A583="","",Events!E582)</x:f>
      </x:c>
      <x:c r="D583" s="16" t="str">
        <x:f>IF(A583="","",Events!J582)</x:f>
      </x:c>
      <x:c r="E583" s="16" t="str">
        <x:f>IF(A583="","",Events!N582)</x:f>
      </x:c>
      <x:c r="F583" s="109" t="str">
        <x:f>IF(OR(A583="",Events!H582=""),"",Events!H582)</x:f>
      </x:c>
      <x:c r="G583" s="109" t="str">
        <x:f>IF(A583="","",IF(Events!I582&lt;&gt;"",Events!I582,IF(Events!S582&lt;&gt;"",Events!S582,"")))</x:f>
      </x:c>
      <x:c r="H583" s="16" t="str">
        <x:f>IF(A583="","",Events!W582)</x:f>
      </x:c>
      <x:c r="I583" s="16" t="str">
        <x:f>IF(A583="","",IF(Events!Y582&lt;&gt;"",Events!Y582,IF(OR(ISNUMBER(SEARCH("education",P583)),ISNUMBER(SEARCH("exam",P583)),ISNUMBER(SEARCH("school",P583))),"Education",IF(OR(ISNUMBER(SEARCH("trade agreement",P583)),ISNUMBER(SEARCH("economic",P583)),ISNUMBER(SEARCH("import",P583))),"Trade &amp; economic policy",IF(OR(ISNUMBER(SEARCH("land acquisition",P583)),ISNUMBER(SEARCH("rehabilitation",P583)),ISNUMBER(SEARCH("displacement",P583)),ISNUMBER(SEARCH("township",P583))),"Land &amp; rehabilitation",IF(OR(ISNUMBER(SEARCH("forest",P583)),ISNUMBER(SEARCH("environment",P583)),ISNUMBER(SEARCH("ecological",P583)),ISNUMBER(SEARCH("biodiversity",P583)),ISNUMBER(SEARCH("green cover",P583))),"Environment",IF(OR(ISNUMBER(SEARCH("irrigation",P583)),ISNUMBER(SEARCH("water",P583)),ISNUMBER(SEARCH("crop",P583)),ISNUMBER(SEARCH("farmer",P583)),ISNUMBER(SEARCH("agriculture",P583))),"Agriculture &amp; water",IF(OR(ISNUMBER(SEARCH("health",P583)),ISNUMBER(SEARCH("hospital",P583)),ISNUMBER(SEARCH("medicine",P583))),"Public health",IF(OR(ISNUMBER(SEARCH("employee",P583)),ISNUMBER(SEARCH("labour",P583)),ISNUMBER(SEARCH("worker",P583)),ISNUMBER(SEARCH("salary",P583))),"Labour &amp; employment",IF(OR(ISNUMBER(SEARCH("rti",P583)),ISNUMBER(SEARCH("transparency",P583)),ISNUMBER(SEARCH("corruption",P583)),ISNUMBER(SEARCH("governance",P583))),"Governance &amp; transparency",IF(OR(ISNUMBER(SEARCH("police",P583)),ISNUMBER(SEARCH("detention",P583)),ISNUMBER(SEARCH("civil rights",P583)),ISNUMBER(SEARCH("justice",P583))),"Civil rights &amp; justice",IF(OR(ISNUMBER(SEARCH("road",P583)),ISNUMBER(SEARCH("utility",P583)),ISNUMBER(SEARCH("infrastructure",P583)),ISNUMBER(SEARCH("public service",P583))),"Infrastructure &amp; public services","Other"))))))))))))</x:f>
      </x:c>
      <x:c r="J583" s="16" t="str">
        <x:f>IF(A583="","",IF(OR(ISNUMBER(SEARCH("fatal",Q583)),ISNUMBER(SEARCH("death",Q583)),ISNUMBER(SEARCH("riot",Q583)),ISNUMBER(SEARCH("curfew",Q583)),ISNUMBER(SEARCH("internet shutdown",Q583))),5,MIN(4,1+IF(H583&gt;=7,1,0)+IF(OR(ISNUMBER(SEARCH("hunger strike",Q583)),ISNUMBER(SEARCH("blockade",Q583)),ISNUMBER(SEARCH("strike",Q583)),ISNUMBER(SEARCH("jal satyagraha",Q583)),ISNUMBER(SEARCH("survey",Q583)),ISNUMBER(SEARCH("human chain",Q583)),ISNUMBER(SEARCH("march",Q583))),1,0)+IF(OR(ISNUMBER(SEARCH("fir",Q583)),ISNUMBER(SEARCH("confrontation",Q583)),ISNUMBER(SEARCH("violence",Q583)),ISNUMBER(SEARCH("detention",Q583)),ISNUMBER(SEARCH("arrest",Q583)),ISNUMBER(SEARCH("demolition",Q583)),ISNUMBER(SEARCH("injury",Q583))),1,0)+IF(OR(D583="Ongoing",D583="Unresolved"),1,0))))</x:f>
      </x:c>
      <x:c r="K583" s="16" t="str">
        <x:f>IF(J583="","",IF(J583=1,"Limited",IF(J583=2,"Local",IF(J583=3,"Significant",IF(J583=4,"High","Critical")))))</x:f>
      </x:c>
      <x:c r="L583" s="16" t="str">
        <x:f>IF(A583="","",Events!U582)</x:f>
      </x:c>
      <x:c r="M583" s="16" t="str">
        <x:f>IF(A583="","",Events!V582)</x:f>
      </x:c>
      <x:c r="N583" s="16" t="str">
        <x:f>IF(A583="","",Events!Q582)</x:f>
      </x:c>
      <x:c r="O583" s="16" t="str">
        <x:f>IF(A583="","",Events!R582)</x:f>
      </x:c>
      <x:c r="P583" s="16" t="str">
        <x:f>IF(A583="","",LOWER(Events!B582&amp;" "&amp;Events!D582&amp;" "&amp;Events!K582))</x:f>
      </x:c>
      <x:c r="Q583" s="16" t="str">
        <x:f>IF(A583="","",LOWER(Events!C582&amp;" "&amp;Events!K582&amp;" "&amp;Events!T582))</x:f>
      </x:c>
      <x:c r="R583" s="16" t="str">
        <x:f>IF(A583="","",IF(ISNUMBER(SEARCH("Occurrence verified",E583)),"Occurrence verified",E583))</x:f>
      </x:c>
      <x:c r="S583" s="79" t="str">
        <x:f>IF(A583="","",Events!X582)</x:f>
      </x:c>
      <x:c r="Z583" s="79" t="str">
        <x:f>IF(A583="","",Events!AD582)</x:f>
      </x:c>
      <x:c r="AA583" s="79" t="str">
        <x:f>IF(A583="","",Events!AE582)</x:f>
      </x:c>
    </x:row>
    <x:row r="584">
      <x:c r="A584" s="16" t="str">
        <x:f>IF(Events!A583="","",Events!A583)</x:f>
      </x:c>
      <x:c r="B584" s="16" t="str">
        <x:f>IF(A584="","",Events!B583)</x:f>
      </x:c>
      <x:c r="C584" s="16" t="str">
        <x:f>IF(A584="","",Events!E583)</x:f>
      </x:c>
      <x:c r="D584" s="16" t="str">
        <x:f>IF(A584="","",Events!J583)</x:f>
      </x:c>
      <x:c r="E584" s="16" t="str">
        <x:f>IF(A584="","",Events!N583)</x:f>
      </x:c>
      <x:c r="F584" s="109" t="str">
        <x:f>IF(OR(A584="",Events!H583=""),"",Events!H583)</x:f>
      </x:c>
      <x:c r="G584" s="109" t="str">
        <x:f>IF(A584="","",IF(Events!I583&lt;&gt;"",Events!I583,IF(Events!S583&lt;&gt;"",Events!S583,"")))</x:f>
      </x:c>
      <x:c r="H584" s="16" t="str">
        <x:f>IF(A584="","",Events!W583)</x:f>
      </x:c>
      <x:c r="I584" s="16" t="str">
        <x:f>IF(A584="","",IF(Events!Y583&lt;&gt;"",Events!Y583,IF(OR(ISNUMBER(SEARCH("education",P584)),ISNUMBER(SEARCH("exam",P584)),ISNUMBER(SEARCH("school",P584))),"Education",IF(OR(ISNUMBER(SEARCH("trade agreement",P584)),ISNUMBER(SEARCH("economic",P584)),ISNUMBER(SEARCH("import",P584))),"Trade &amp; economic policy",IF(OR(ISNUMBER(SEARCH("land acquisition",P584)),ISNUMBER(SEARCH("rehabilitation",P584)),ISNUMBER(SEARCH("displacement",P584)),ISNUMBER(SEARCH("township",P584))),"Land &amp; rehabilitation",IF(OR(ISNUMBER(SEARCH("forest",P584)),ISNUMBER(SEARCH("environment",P584)),ISNUMBER(SEARCH("ecological",P584)),ISNUMBER(SEARCH("biodiversity",P584)),ISNUMBER(SEARCH("green cover",P584))),"Environment",IF(OR(ISNUMBER(SEARCH("irrigation",P584)),ISNUMBER(SEARCH("water",P584)),ISNUMBER(SEARCH("crop",P584)),ISNUMBER(SEARCH("farmer",P584)),ISNUMBER(SEARCH("agriculture",P584))),"Agriculture &amp; water",IF(OR(ISNUMBER(SEARCH("health",P584)),ISNUMBER(SEARCH("hospital",P584)),ISNUMBER(SEARCH("medicine",P584))),"Public health",IF(OR(ISNUMBER(SEARCH("employee",P584)),ISNUMBER(SEARCH("labour",P584)),ISNUMBER(SEARCH("worker",P584)),ISNUMBER(SEARCH("salary",P584))),"Labour &amp; employment",IF(OR(ISNUMBER(SEARCH("rti",P584)),ISNUMBER(SEARCH("transparency",P584)),ISNUMBER(SEARCH("corruption",P584)),ISNUMBER(SEARCH("governance",P584))),"Governance &amp; transparency",IF(OR(ISNUMBER(SEARCH("police",P584)),ISNUMBER(SEARCH("detention",P584)),ISNUMBER(SEARCH("civil rights",P584)),ISNUMBER(SEARCH("justice",P584))),"Civil rights &amp; justice",IF(OR(ISNUMBER(SEARCH("road",P584)),ISNUMBER(SEARCH("utility",P584)),ISNUMBER(SEARCH("infrastructure",P584)),ISNUMBER(SEARCH("public service",P584))),"Infrastructure &amp; public services","Other"))))))))))))</x:f>
      </x:c>
      <x:c r="J584" s="16" t="str">
        <x:f>IF(A584="","",IF(OR(ISNUMBER(SEARCH("fatal",Q584)),ISNUMBER(SEARCH("death",Q584)),ISNUMBER(SEARCH("riot",Q584)),ISNUMBER(SEARCH("curfew",Q584)),ISNUMBER(SEARCH("internet shutdown",Q584))),5,MIN(4,1+IF(H584&gt;=7,1,0)+IF(OR(ISNUMBER(SEARCH("hunger strike",Q584)),ISNUMBER(SEARCH("blockade",Q584)),ISNUMBER(SEARCH("strike",Q584)),ISNUMBER(SEARCH("jal satyagraha",Q584)),ISNUMBER(SEARCH("survey",Q584)),ISNUMBER(SEARCH("human chain",Q584)),ISNUMBER(SEARCH("march",Q584))),1,0)+IF(OR(ISNUMBER(SEARCH("fir",Q584)),ISNUMBER(SEARCH("confrontation",Q584)),ISNUMBER(SEARCH("violence",Q584)),ISNUMBER(SEARCH("detention",Q584)),ISNUMBER(SEARCH("arrest",Q584)),ISNUMBER(SEARCH("demolition",Q584)),ISNUMBER(SEARCH("injury",Q584))),1,0)+IF(OR(D584="Ongoing",D584="Unresolved"),1,0))))</x:f>
      </x:c>
      <x:c r="K584" s="16" t="str">
        <x:f>IF(J584="","",IF(J584=1,"Limited",IF(J584=2,"Local",IF(J584=3,"Significant",IF(J584=4,"High","Critical")))))</x:f>
      </x:c>
      <x:c r="L584" s="16" t="str">
        <x:f>IF(A584="","",Events!U583)</x:f>
      </x:c>
      <x:c r="M584" s="16" t="str">
        <x:f>IF(A584="","",Events!V583)</x:f>
      </x:c>
      <x:c r="N584" s="16" t="str">
        <x:f>IF(A584="","",Events!Q583)</x:f>
      </x:c>
      <x:c r="O584" s="16" t="str">
        <x:f>IF(A584="","",Events!R583)</x:f>
      </x:c>
      <x:c r="P584" s="16" t="str">
        <x:f>IF(A584="","",LOWER(Events!B583&amp;" "&amp;Events!D583&amp;" "&amp;Events!K583))</x:f>
      </x:c>
      <x:c r="Q584" s="16" t="str">
        <x:f>IF(A584="","",LOWER(Events!C583&amp;" "&amp;Events!K583&amp;" "&amp;Events!T583))</x:f>
      </x:c>
      <x:c r="R584" s="16" t="str">
        <x:f>IF(A584="","",IF(ISNUMBER(SEARCH("Occurrence verified",E584)),"Occurrence verified",E584))</x:f>
      </x:c>
      <x:c r="S584" s="79" t="str">
        <x:f>IF(A584="","",Events!X583)</x:f>
      </x:c>
      <x:c r="Z584" s="79" t="str">
        <x:f>IF(A584="","",Events!AD583)</x:f>
      </x:c>
      <x:c r="AA584" s="79" t="str">
        <x:f>IF(A584="","",Events!AE583)</x:f>
      </x:c>
    </x:row>
    <x:row r="585">
      <x:c r="A585" s="16" t="str">
        <x:f>IF(Events!A584="","",Events!A584)</x:f>
      </x:c>
      <x:c r="B585" s="16" t="str">
        <x:f>IF(A585="","",Events!B584)</x:f>
      </x:c>
      <x:c r="C585" s="16" t="str">
        <x:f>IF(A585="","",Events!E584)</x:f>
      </x:c>
      <x:c r="D585" s="16" t="str">
        <x:f>IF(A585="","",Events!J584)</x:f>
      </x:c>
      <x:c r="E585" s="16" t="str">
        <x:f>IF(A585="","",Events!N584)</x:f>
      </x:c>
      <x:c r="F585" s="109" t="str">
        <x:f>IF(OR(A585="",Events!H584=""),"",Events!H584)</x:f>
      </x:c>
      <x:c r="G585" s="109" t="str">
        <x:f>IF(A585="","",IF(Events!I584&lt;&gt;"",Events!I584,IF(Events!S584&lt;&gt;"",Events!S584,"")))</x:f>
      </x:c>
      <x:c r="H585" s="16" t="str">
        <x:f>IF(A585="","",Events!W584)</x:f>
      </x:c>
      <x:c r="I585" s="16" t="str">
        <x:f>IF(A585="","",IF(Events!Y584&lt;&gt;"",Events!Y584,IF(OR(ISNUMBER(SEARCH("education",P585)),ISNUMBER(SEARCH("exam",P585)),ISNUMBER(SEARCH("school",P585))),"Education",IF(OR(ISNUMBER(SEARCH("trade agreement",P585)),ISNUMBER(SEARCH("economic",P585)),ISNUMBER(SEARCH("import",P585))),"Trade &amp; economic policy",IF(OR(ISNUMBER(SEARCH("land acquisition",P585)),ISNUMBER(SEARCH("rehabilitation",P585)),ISNUMBER(SEARCH("displacement",P585)),ISNUMBER(SEARCH("township",P585))),"Land &amp; rehabilitation",IF(OR(ISNUMBER(SEARCH("forest",P585)),ISNUMBER(SEARCH("environment",P585)),ISNUMBER(SEARCH("ecological",P585)),ISNUMBER(SEARCH("biodiversity",P585)),ISNUMBER(SEARCH("green cover",P585))),"Environment",IF(OR(ISNUMBER(SEARCH("irrigation",P585)),ISNUMBER(SEARCH("water",P585)),ISNUMBER(SEARCH("crop",P585)),ISNUMBER(SEARCH("farmer",P585)),ISNUMBER(SEARCH("agriculture",P585))),"Agriculture &amp; water",IF(OR(ISNUMBER(SEARCH("health",P585)),ISNUMBER(SEARCH("hospital",P585)),ISNUMBER(SEARCH("medicine",P585))),"Public health",IF(OR(ISNUMBER(SEARCH("employee",P585)),ISNUMBER(SEARCH("labour",P585)),ISNUMBER(SEARCH("worker",P585)),ISNUMBER(SEARCH("salary",P585))),"Labour &amp; employment",IF(OR(ISNUMBER(SEARCH("rti",P585)),ISNUMBER(SEARCH("transparency",P585)),ISNUMBER(SEARCH("corruption",P585)),ISNUMBER(SEARCH("governance",P585))),"Governance &amp; transparency",IF(OR(ISNUMBER(SEARCH("police",P585)),ISNUMBER(SEARCH("detention",P585)),ISNUMBER(SEARCH("civil rights",P585)),ISNUMBER(SEARCH("justice",P585))),"Civil rights &amp; justice",IF(OR(ISNUMBER(SEARCH("road",P585)),ISNUMBER(SEARCH("utility",P585)),ISNUMBER(SEARCH("infrastructure",P585)),ISNUMBER(SEARCH("public service",P585))),"Infrastructure &amp; public services","Other"))))))))))))</x:f>
      </x:c>
      <x:c r="J585" s="16" t="str">
        <x:f>IF(A585="","",IF(OR(ISNUMBER(SEARCH("fatal",Q585)),ISNUMBER(SEARCH("death",Q585)),ISNUMBER(SEARCH("riot",Q585)),ISNUMBER(SEARCH("curfew",Q585)),ISNUMBER(SEARCH("internet shutdown",Q585))),5,MIN(4,1+IF(H585&gt;=7,1,0)+IF(OR(ISNUMBER(SEARCH("hunger strike",Q585)),ISNUMBER(SEARCH("blockade",Q585)),ISNUMBER(SEARCH("strike",Q585)),ISNUMBER(SEARCH("jal satyagraha",Q585)),ISNUMBER(SEARCH("survey",Q585)),ISNUMBER(SEARCH("human chain",Q585)),ISNUMBER(SEARCH("march",Q585))),1,0)+IF(OR(ISNUMBER(SEARCH("fir",Q585)),ISNUMBER(SEARCH("confrontation",Q585)),ISNUMBER(SEARCH("violence",Q585)),ISNUMBER(SEARCH("detention",Q585)),ISNUMBER(SEARCH("arrest",Q585)),ISNUMBER(SEARCH("demolition",Q585)),ISNUMBER(SEARCH("injury",Q585))),1,0)+IF(OR(D585="Ongoing",D585="Unresolved"),1,0))))</x:f>
      </x:c>
      <x:c r="K585" s="16" t="str">
        <x:f>IF(J585="","",IF(J585=1,"Limited",IF(J585=2,"Local",IF(J585=3,"Significant",IF(J585=4,"High","Critical")))))</x:f>
      </x:c>
      <x:c r="L585" s="16" t="str">
        <x:f>IF(A585="","",Events!U584)</x:f>
      </x:c>
      <x:c r="M585" s="16" t="str">
        <x:f>IF(A585="","",Events!V584)</x:f>
      </x:c>
      <x:c r="N585" s="16" t="str">
        <x:f>IF(A585="","",Events!Q584)</x:f>
      </x:c>
      <x:c r="O585" s="16" t="str">
        <x:f>IF(A585="","",Events!R584)</x:f>
      </x:c>
      <x:c r="P585" s="16" t="str">
        <x:f>IF(A585="","",LOWER(Events!B584&amp;" "&amp;Events!D584&amp;" "&amp;Events!K584))</x:f>
      </x:c>
      <x:c r="Q585" s="16" t="str">
        <x:f>IF(A585="","",LOWER(Events!C584&amp;" "&amp;Events!K584&amp;" "&amp;Events!T584))</x:f>
      </x:c>
      <x:c r="R585" s="16" t="str">
        <x:f>IF(A585="","",IF(ISNUMBER(SEARCH("Occurrence verified",E585)),"Occurrence verified",E585))</x:f>
      </x:c>
      <x:c r="S585" s="79" t="str">
        <x:f>IF(A585="","",Events!X584)</x:f>
      </x:c>
      <x:c r="Z585" s="79" t="str">
        <x:f>IF(A585="","",Events!AD584)</x:f>
      </x:c>
      <x:c r="AA585" s="79" t="str">
        <x:f>IF(A585="","",Events!AE584)</x:f>
      </x:c>
    </x:row>
    <x:row r="586">
      <x:c r="A586" s="16" t="str">
        <x:f>IF(Events!A585="","",Events!A585)</x:f>
      </x:c>
      <x:c r="B586" s="16" t="str">
        <x:f>IF(A586="","",Events!B585)</x:f>
      </x:c>
      <x:c r="C586" s="16" t="str">
        <x:f>IF(A586="","",Events!E585)</x:f>
      </x:c>
      <x:c r="D586" s="16" t="str">
        <x:f>IF(A586="","",Events!J585)</x:f>
      </x:c>
      <x:c r="E586" s="16" t="str">
        <x:f>IF(A586="","",Events!N585)</x:f>
      </x:c>
      <x:c r="F586" s="109" t="str">
        <x:f>IF(OR(A586="",Events!H585=""),"",Events!H585)</x:f>
      </x:c>
      <x:c r="G586" s="109" t="str">
        <x:f>IF(A586="","",IF(Events!I585&lt;&gt;"",Events!I585,IF(Events!S585&lt;&gt;"",Events!S585,"")))</x:f>
      </x:c>
      <x:c r="H586" s="16" t="str">
        <x:f>IF(A586="","",Events!W585)</x:f>
      </x:c>
      <x:c r="I586" s="16" t="str">
        <x:f>IF(A586="","",IF(Events!Y585&lt;&gt;"",Events!Y585,IF(OR(ISNUMBER(SEARCH("education",P586)),ISNUMBER(SEARCH("exam",P586)),ISNUMBER(SEARCH("school",P586))),"Education",IF(OR(ISNUMBER(SEARCH("trade agreement",P586)),ISNUMBER(SEARCH("economic",P586)),ISNUMBER(SEARCH("import",P586))),"Trade &amp; economic policy",IF(OR(ISNUMBER(SEARCH("land acquisition",P586)),ISNUMBER(SEARCH("rehabilitation",P586)),ISNUMBER(SEARCH("displacement",P586)),ISNUMBER(SEARCH("township",P586))),"Land &amp; rehabilitation",IF(OR(ISNUMBER(SEARCH("forest",P586)),ISNUMBER(SEARCH("environment",P586)),ISNUMBER(SEARCH("ecological",P586)),ISNUMBER(SEARCH("biodiversity",P586)),ISNUMBER(SEARCH("green cover",P586))),"Environment",IF(OR(ISNUMBER(SEARCH("irrigation",P586)),ISNUMBER(SEARCH("water",P586)),ISNUMBER(SEARCH("crop",P586)),ISNUMBER(SEARCH("farmer",P586)),ISNUMBER(SEARCH("agriculture",P586))),"Agriculture &amp; water",IF(OR(ISNUMBER(SEARCH("health",P586)),ISNUMBER(SEARCH("hospital",P586)),ISNUMBER(SEARCH("medicine",P586))),"Public health",IF(OR(ISNUMBER(SEARCH("employee",P586)),ISNUMBER(SEARCH("labour",P586)),ISNUMBER(SEARCH("worker",P586)),ISNUMBER(SEARCH("salary",P586))),"Labour &amp; employment",IF(OR(ISNUMBER(SEARCH("rti",P586)),ISNUMBER(SEARCH("transparency",P586)),ISNUMBER(SEARCH("corruption",P586)),ISNUMBER(SEARCH("governance",P586))),"Governance &amp; transparency",IF(OR(ISNUMBER(SEARCH("police",P586)),ISNUMBER(SEARCH("detention",P586)),ISNUMBER(SEARCH("civil rights",P586)),ISNUMBER(SEARCH("justice",P586))),"Civil rights &amp; justice",IF(OR(ISNUMBER(SEARCH("road",P586)),ISNUMBER(SEARCH("utility",P586)),ISNUMBER(SEARCH("infrastructure",P586)),ISNUMBER(SEARCH("public service",P586))),"Infrastructure &amp; public services","Other"))))))))))))</x:f>
      </x:c>
      <x:c r="J586" s="16" t="str">
        <x:f>IF(A586="","",IF(OR(ISNUMBER(SEARCH("fatal",Q586)),ISNUMBER(SEARCH("death",Q586)),ISNUMBER(SEARCH("riot",Q586)),ISNUMBER(SEARCH("curfew",Q586)),ISNUMBER(SEARCH("internet shutdown",Q586))),5,MIN(4,1+IF(H586&gt;=7,1,0)+IF(OR(ISNUMBER(SEARCH("hunger strike",Q586)),ISNUMBER(SEARCH("blockade",Q586)),ISNUMBER(SEARCH("strike",Q586)),ISNUMBER(SEARCH("jal satyagraha",Q586)),ISNUMBER(SEARCH("survey",Q586)),ISNUMBER(SEARCH("human chain",Q586)),ISNUMBER(SEARCH("march",Q586))),1,0)+IF(OR(ISNUMBER(SEARCH("fir",Q586)),ISNUMBER(SEARCH("confrontation",Q586)),ISNUMBER(SEARCH("violence",Q586)),ISNUMBER(SEARCH("detention",Q586)),ISNUMBER(SEARCH("arrest",Q586)),ISNUMBER(SEARCH("demolition",Q586)),ISNUMBER(SEARCH("injury",Q586))),1,0)+IF(OR(D586="Ongoing",D586="Unresolved"),1,0))))</x:f>
      </x:c>
      <x:c r="K586" s="16" t="str">
        <x:f>IF(J586="","",IF(J586=1,"Limited",IF(J586=2,"Local",IF(J586=3,"Significant",IF(J586=4,"High","Critical")))))</x:f>
      </x:c>
      <x:c r="L586" s="16" t="str">
        <x:f>IF(A586="","",Events!U585)</x:f>
      </x:c>
      <x:c r="M586" s="16" t="str">
        <x:f>IF(A586="","",Events!V585)</x:f>
      </x:c>
      <x:c r="N586" s="16" t="str">
        <x:f>IF(A586="","",Events!Q585)</x:f>
      </x:c>
      <x:c r="O586" s="16" t="str">
        <x:f>IF(A586="","",Events!R585)</x:f>
      </x:c>
      <x:c r="P586" s="16" t="str">
        <x:f>IF(A586="","",LOWER(Events!B585&amp;" "&amp;Events!D585&amp;" "&amp;Events!K585))</x:f>
      </x:c>
      <x:c r="Q586" s="16" t="str">
        <x:f>IF(A586="","",LOWER(Events!C585&amp;" "&amp;Events!K585&amp;" "&amp;Events!T585))</x:f>
      </x:c>
      <x:c r="R586" s="16" t="str">
        <x:f>IF(A586="","",IF(ISNUMBER(SEARCH("Occurrence verified",E586)),"Occurrence verified",E586))</x:f>
      </x:c>
      <x:c r="S586" s="79" t="str">
        <x:f>IF(A586="","",Events!X585)</x:f>
      </x:c>
      <x:c r="Z586" s="79" t="str">
        <x:f>IF(A586="","",Events!AD585)</x:f>
      </x:c>
      <x:c r="AA586" s="79" t="str">
        <x:f>IF(A586="","",Events!AE585)</x:f>
      </x:c>
    </x:row>
    <x:row r="587">
      <x:c r="A587" s="16" t="str">
        <x:f>IF(Events!A586="","",Events!A586)</x:f>
      </x:c>
      <x:c r="B587" s="16" t="str">
        <x:f>IF(A587="","",Events!B586)</x:f>
      </x:c>
      <x:c r="C587" s="16" t="str">
        <x:f>IF(A587="","",Events!E586)</x:f>
      </x:c>
      <x:c r="D587" s="16" t="str">
        <x:f>IF(A587="","",Events!J586)</x:f>
      </x:c>
      <x:c r="E587" s="16" t="str">
        <x:f>IF(A587="","",Events!N586)</x:f>
      </x:c>
      <x:c r="F587" s="109" t="str">
        <x:f>IF(OR(A587="",Events!H586=""),"",Events!H586)</x:f>
      </x:c>
      <x:c r="G587" s="109" t="str">
        <x:f>IF(A587="","",IF(Events!I586&lt;&gt;"",Events!I586,IF(Events!S586&lt;&gt;"",Events!S586,"")))</x:f>
      </x:c>
      <x:c r="H587" s="16" t="str">
        <x:f>IF(A587="","",Events!W586)</x:f>
      </x:c>
      <x:c r="I587" s="16" t="str">
        <x:f>IF(A587="","",IF(Events!Y586&lt;&gt;"",Events!Y586,IF(OR(ISNUMBER(SEARCH("education",P587)),ISNUMBER(SEARCH("exam",P587)),ISNUMBER(SEARCH("school",P587))),"Education",IF(OR(ISNUMBER(SEARCH("trade agreement",P587)),ISNUMBER(SEARCH("economic",P587)),ISNUMBER(SEARCH("import",P587))),"Trade &amp; economic policy",IF(OR(ISNUMBER(SEARCH("land acquisition",P587)),ISNUMBER(SEARCH("rehabilitation",P587)),ISNUMBER(SEARCH("displacement",P587)),ISNUMBER(SEARCH("township",P587))),"Land &amp; rehabilitation",IF(OR(ISNUMBER(SEARCH("forest",P587)),ISNUMBER(SEARCH("environment",P587)),ISNUMBER(SEARCH("ecological",P587)),ISNUMBER(SEARCH("biodiversity",P587)),ISNUMBER(SEARCH("green cover",P587))),"Environment",IF(OR(ISNUMBER(SEARCH("irrigation",P587)),ISNUMBER(SEARCH("water",P587)),ISNUMBER(SEARCH("crop",P587)),ISNUMBER(SEARCH("farmer",P587)),ISNUMBER(SEARCH("agriculture",P587))),"Agriculture &amp; water",IF(OR(ISNUMBER(SEARCH("health",P587)),ISNUMBER(SEARCH("hospital",P587)),ISNUMBER(SEARCH("medicine",P587))),"Public health",IF(OR(ISNUMBER(SEARCH("employee",P587)),ISNUMBER(SEARCH("labour",P587)),ISNUMBER(SEARCH("worker",P587)),ISNUMBER(SEARCH("salary",P587))),"Labour &amp; employment",IF(OR(ISNUMBER(SEARCH("rti",P587)),ISNUMBER(SEARCH("transparency",P587)),ISNUMBER(SEARCH("corruption",P587)),ISNUMBER(SEARCH("governance",P587))),"Governance &amp; transparency",IF(OR(ISNUMBER(SEARCH("police",P587)),ISNUMBER(SEARCH("detention",P587)),ISNUMBER(SEARCH("civil rights",P587)),ISNUMBER(SEARCH("justice",P587))),"Civil rights &amp; justice",IF(OR(ISNUMBER(SEARCH("road",P587)),ISNUMBER(SEARCH("utility",P587)),ISNUMBER(SEARCH("infrastructure",P587)),ISNUMBER(SEARCH("public service",P587))),"Infrastructure &amp; public services","Other"))))))))))))</x:f>
      </x:c>
      <x:c r="J587" s="16" t="str">
        <x:f>IF(A587="","",IF(OR(ISNUMBER(SEARCH("fatal",Q587)),ISNUMBER(SEARCH("death",Q587)),ISNUMBER(SEARCH("riot",Q587)),ISNUMBER(SEARCH("curfew",Q587)),ISNUMBER(SEARCH("internet shutdown",Q587))),5,MIN(4,1+IF(H587&gt;=7,1,0)+IF(OR(ISNUMBER(SEARCH("hunger strike",Q587)),ISNUMBER(SEARCH("blockade",Q587)),ISNUMBER(SEARCH("strike",Q587)),ISNUMBER(SEARCH("jal satyagraha",Q587)),ISNUMBER(SEARCH("survey",Q587)),ISNUMBER(SEARCH("human chain",Q587)),ISNUMBER(SEARCH("march",Q587))),1,0)+IF(OR(ISNUMBER(SEARCH("fir",Q587)),ISNUMBER(SEARCH("confrontation",Q587)),ISNUMBER(SEARCH("violence",Q587)),ISNUMBER(SEARCH("detention",Q587)),ISNUMBER(SEARCH("arrest",Q587)),ISNUMBER(SEARCH("demolition",Q587)),ISNUMBER(SEARCH("injury",Q587))),1,0)+IF(OR(D587="Ongoing",D587="Unresolved"),1,0))))</x:f>
      </x:c>
      <x:c r="K587" s="16" t="str">
        <x:f>IF(J587="","",IF(J587=1,"Limited",IF(J587=2,"Local",IF(J587=3,"Significant",IF(J587=4,"High","Critical")))))</x:f>
      </x:c>
      <x:c r="L587" s="16" t="str">
        <x:f>IF(A587="","",Events!U586)</x:f>
      </x:c>
      <x:c r="M587" s="16" t="str">
        <x:f>IF(A587="","",Events!V586)</x:f>
      </x:c>
      <x:c r="N587" s="16" t="str">
        <x:f>IF(A587="","",Events!Q586)</x:f>
      </x:c>
      <x:c r="O587" s="16" t="str">
        <x:f>IF(A587="","",Events!R586)</x:f>
      </x:c>
      <x:c r="P587" s="16" t="str">
        <x:f>IF(A587="","",LOWER(Events!B586&amp;" "&amp;Events!D586&amp;" "&amp;Events!K586))</x:f>
      </x:c>
      <x:c r="Q587" s="16" t="str">
        <x:f>IF(A587="","",LOWER(Events!C586&amp;" "&amp;Events!K586&amp;" "&amp;Events!T586))</x:f>
      </x:c>
      <x:c r="R587" s="16" t="str">
        <x:f>IF(A587="","",IF(ISNUMBER(SEARCH("Occurrence verified",E587)),"Occurrence verified",E587))</x:f>
      </x:c>
      <x:c r="S587" s="79" t="str">
        <x:f>IF(A587="","",Events!X586)</x:f>
      </x:c>
      <x:c r="Z587" s="79" t="str">
        <x:f>IF(A587="","",Events!AD586)</x:f>
      </x:c>
      <x:c r="AA587" s="79" t="str">
        <x:f>IF(A587="","",Events!AE586)</x:f>
      </x:c>
    </x:row>
    <x:row r="588">
      <x:c r="A588" s="16" t="str">
        <x:f>IF(Events!A587="","",Events!A587)</x:f>
      </x:c>
      <x:c r="B588" s="16" t="str">
        <x:f>IF(A588="","",Events!B587)</x:f>
      </x:c>
      <x:c r="C588" s="16" t="str">
        <x:f>IF(A588="","",Events!E587)</x:f>
      </x:c>
      <x:c r="D588" s="16" t="str">
        <x:f>IF(A588="","",Events!J587)</x:f>
      </x:c>
      <x:c r="E588" s="16" t="str">
        <x:f>IF(A588="","",Events!N587)</x:f>
      </x:c>
      <x:c r="F588" s="109" t="str">
        <x:f>IF(OR(A588="",Events!H587=""),"",Events!H587)</x:f>
      </x:c>
      <x:c r="G588" s="109" t="str">
        <x:f>IF(A588="","",IF(Events!I587&lt;&gt;"",Events!I587,IF(Events!S587&lt;&gt;"",Events!S587,"")))</x:f>
      </x:c>
      <x:c r="H588" s="16" t="str">
        <x:f>IF(A588="","",Events!W587)</x:f>
      </x:c>
      <x:c r="I588" s="16" t="str">
        <x:f>IF(A588="","",IF(Events!Y587&lt;&gt;"",Events!Y587,IF(OR(ISNUMBER(SEARCH("education",P588)),ISNUMBER(SEARCH("exam",P588)),ISNUMBER(SEARCH("school",P588))),"Education",IF(OR(ISNUMBER(SEARCH("trade agreement",P588)),ISNUMBER(SEARCH("economic",P588)),ISNUMBER(SEARCH("import",P588))),"Trade &amp; economic policy",IF(OR(ISNUMBER(SEARCH("land acquisition",P588)),ISNUMBER(SEARCH("rehabilitation",P588)),ISNUMBER(SEARCH("displacement",P588)),ISNUMBER(SEARCH("township",P588))),"Land &amp; rehabilitation",IF(OR(ISNUMBER(SEARCH("forest",P588)),ISNUMBER(SEARCH("environment",P588)),ISNUMBER(SEARCH("ecological",P588)),ISNUMBER(SEARCH("biodiversity",P588)),ISNUMBER(SEARCH("green cover",P588))),"Environment",IF(OR(ISNUMBER(SEARCH("irrigation",P588)),ISNUMBER(SEARCH("water",P588)),ISNUMBER(SEARCH("crop",P588)),ISNUMBER(SEARCH("farmer",P588)),ISNUMBER(SEARCH("agriculture",P588))),"Agriculture &amp; water",IF(OR(ISNUMBER(SEARCH("health",P588)),ISNUMBER(SEARCH("hospital",P588)),ISNUMBER(SEARCH("medicine",P588))),"Public health",IF(OR(ISNUMBER(SEARCH("employee",P588)),ISNUMBER(SEARCH("labour",P588)),ISNUMBER(SEARCH("worker",P588)),ISNUMBER(SEARCH("salary",P588))),"Labour &amp; employment",IF(OR(ISNUMBER(SEARCH("rti",P588)),ISNUMBER(SEARCH("transparency",P588)),ISNUMBER(SEARCH("corruption",P588)),ISNUMBER(SEARCH("governance",P588))),"Governance &amp; transparency",IF(OR(ISNUMBER(SEARCH("police",P588)),ISNUMBER(SEARCH("detention",P588)),ISNUMBER(SEARCH("civil rights",P588)),ISNUMBER(SEARCH("justice",P588))),"Civil rights &amp; justice",IF(OR(ISNUMBER(SEARCH("road",P588)),ISNUMBER(SEARCH("utility",P588)),ISNUMBER(SEARCH("infrastructure",P588)),ISNUMBER(SEARCH("public service",P588))),"Infrastructure &amp; public services","Other"))))))))))))</x:f>
      </x:c>
      <x:c r="J588" s="16" t="str">
        <x:f>IF(A588="","",IF(OR(ISNUMBER(SEARCH("fatal",Q588)),ISNUMBER(SEARCH("death",Q588)),ISNUMBER(SEARCH("riot",Q588)),ISNUMBER(SEARCH("curfew",Q588)),ISNUMBER(SEARCH("internet shutdown",Q588))),5,MIN(4,1+IF(H588&gt;=7,1,0)+IF(OR(ISNUMBER(SEARCH("hunger strike",Q588)),ISNUMBER(SEARCH("blockade",Q588)),ISNUMBER(SEARCH("strike",Q588)),ISNUMBER(SEARCH("jal satyagraha",Q588)),ISNUMBER(SEARCH("survey",Q588)),ISNUMBER(SEARCH("human chain",Q588)),ISNUMBER(SEARCH("march",Q588))),1,0)+IF(OR(ISNUMBER(SEARCH("fir",Q588)),ISNUMBER(SEARCH("confrontation",Q588)),ISNUMBER(SEARCH("violence",Q588)),ISNUMBER(SEARCH("detention",Q588)),ISNUMBER(SEARCH("arrest",Q588)),ISNUMBER(SEARCH("demolition",Q588)),ISNUMBER(SEARCH("injury",Q588))),1,0)+IF(OR(D588="Ongoing",D588="Unresolved"),1,0))))</x:f>
      </x:c>
      <x:c r="K588" s="16" t="str">
        <x:f>IF(J588="","",IF(J588=1,"Limited",IF(J588=2,"Local",IF(J588=3,"Significant",IF(J588=4,"High","Critical")))))</x:f>
      </x:c>
      <x:c r="L588" s="16" t="str">
        <x:f>IF(A588="","",Events!U587)</x:f>
      </x:c>
      <x:c r="M588" s="16" t="str">
        <x:f>IF(A588="","",Events!V587)</x:f>
      </x:c>
      <x:c r="N588" s="16" t="str">
        <x:f>IF(A588="","",Events!Q587)</x:f>
      </x:c>
      <x:c r="O588" s="16" t="str">
        <x:f>IF(A588="","",Events!R587)</x:f>
      </x:c>
      <x:c r="P588" s="16" t="str">
        <x:f>IF(A588="","",LOWER(Events!B587&amp;" "&amp;Events!D587&amp;" "&amp;Events!K587))</x:f>
      </x:c>
      <x:c r="Q588" s="16" t="str">
        <x:f>IF(A588="","",LOWER(Events!C587&amp;" "&amp;Events!K587&amp;" "&amp;Events!T587))</x:f>
      </x:c>
      <x:c r="R588" s="16" t="str">
        <x:f>IF(A588="","",IF(ISNUMBER(SEARCH("Occurrence verified",E588)),"Occurrence verified",E588))</x:f>
      </x:c>
      <x:c r="S588" s="79" t="str">
        <x:f>IF(A588="","",Events!X587)</x:f>
      </x:c>
      <x:c r="Z588" s="79" t="str">
        <x:f>IF(A588="","",Events!AD587)</x:f>
      </x:c>
      <x:c r="AA588" s="79" t="str">
        <x:f>IF(A588="","",Events!AE587)</x:f>
      </x:c>
    </x:row>
    <x:row r="589">
      <x:c r="A589" s="16" t="str">
        <x:f>IF(Events!A588="","",Events!A588)</x:f>
      </x:c>
      <x:c r="B589" s="16" t="str">
        <x:f>IF(A589="","",Events!B588)</x:f>
      </x:c>
      <x:c r="C589" s="16" t="str">
        <x:f>IF(A589="","",Events!E588)</x:f>
      </x:c>
      <x:c r="D589" s="16" t="str">
        <x:f>IF(A589="","",Events!J588)</x:f>
      </x:c>
      <x:c r="E589" s="16" t="str">
        <x:f>IF(A589="","",Events!N588)</x:f>
      </x:c>
      <x:c r="F589" s="109" t="str">
        <x:f>IF(OR(A589="",Events!H588=""),"",Events!H588)</x:f>
      </x:c>
      <x:c r="G589" s="109" t="str">
        <x:f>IF(A589="","",IF(Events!I588&lt;&gt;"",Events!I588,IF(Events!S588&lt;&gt;"",Events!S588,"")))</x:f>
      </x:c>
      <x:c r="H589" s="16" t="str">
        <x:f>IF(A589="","",Events!W588)</x:f>
      </x:c>
      <x:c r="I589" s="16" t="str">
        <x:f>IF(A589="","",IF(Events!Y588&lt;&gt;"",Events!Y588,IF(OR(ISNUMBER(SEARCH("education",P589)),ISNUMBER(SEARCH("exam",P589)),ISNUMBER(SEARCH("school",P589))),"Education",IF(OR(ISNUMBER(SEARCH("trade agreement",P589)),ISNUMBER(SEARCH("economic",P589)),ISNUMBER(SEARCH("import",P589))),"Trade &amp; economic policy",IF(OR(ISNUMBER(SEARCH("land acquisition",P589)),ISNUMBER(SEARCH("rehabilitation",P589)),ISNUMBER(SEARCH("displacement",P589)),ISNUMBER(SEARCH("township",P589))),"Land &amp; rehabilitation",IF(OR(ISNUMBER(SEARCH("forest",P589)),ISNUMBER(SEARCH("environment",P589)),ISNUMBER(SEARCH("ecological",P589)),ISNUMBER(SEARCH("biodiversity",P589)),ISNUMBER(SEARCH("green cover",P589))),"Environment",IF(OR(ISNUMBER(SEARCH("irrigation",P589)),ISNUMBER(SEARCH("water",P589)),ISNUMBER(SEARCH("crop",P589)),ISNUMBER(SEARCH("farmer",P589)),ISNUMBER(SEARCH("agriculture",P589))),"Agriculture &amp; water",IF(OR(ISNUMBER(SEARCH("health",P589)),ISNUMBER(SEARCH("hospital",P589)),ISNUMBER(SEARCH("medicine",P589))),"Public health",IF(OR(ISNUMBER(SEARCH("employee",P589)),ISNUMBER(SEARCH("labour",P589)),ISNUMBER(SEARCH("worker",P589)),ISNUMBER(SEARCH("salary",P589))),"Labour &amp; employment",IF(OR(ISNUMBER(SEARCH("rti",P589)),ISNUMBER(SEARCH("transparency",P589)),ISNUMBER(SEARCH("corruption",P589)),ISNUMBER(SEARCH("governance",P589))),"Governance &amp; transparency",IF(OR(ISNUMBER(SEARCH("police",P589)),ISNUMBER(SEARCH("detention",P589)),ISNUMBER(SEARCH("civil rights",P589)),ISNUMBER(SEARCH("justice",P589))),"Civil rights &amp; justice",IF(OR(ISNUMBER(SEARCH("road",P589)),ISNUMBER(SEARCH("utility",P589)),ISNUMBER(SEARCH("infrastructure",P589)),ISNUMBER(SEARCH("public service",P589))),"Infrastructure &amp; public services","Other"))))))))))))</x:f>
      </x:c>
      <x:c r="J589" s="16" t="str">
        <x:f>IF(A589="","",IF(OR(ISNUMBER(SEARCH("fatal",Q589)),ISNUMBER(SEARCH("death",Q589)),ISNUMBER(SEARCH("riot",Q589)),ISNUMBER(SEARCH("curfew",Q589)),ISNUMBER(SEARCH("internet shutdown",Q589))),5,MIN(4,1+IF(H589&gt;=7,1,0)+IF(OR(ISNUMBER(SEARCH("hunger strike",Q589)),ISNUMBER(SEARCH("blockade",Q589)),ISNUMBER(SEARCH("strike",Q589)),ISNUMBER(SEARCH("jal satyagraha",Q589)),ISNUMBER(SEARCH("survey",Q589)),ISNUMBER(SEARCH("human chain",Q589)),ISNUMBER(SEARCH("march",Q589))),1,0)+IF(OR(ISNUMBER(SEARCH("fir",Q589)),ISNUMBER(SEARCH("confrontation",Q589)),ISNUMBER(SEARCH("violence",Q589)),ISNUMBER(SEARCH("detention",Q589)),ISNUMBER(SEARCH("arrest",Q589)),ISNUMBER(SEARCH("demolition",Q589)),ISNUMBER(SEARCH("injury",Q589))),1,0)+IF(OR(D589="Ongoing",D589="Unresolved"),1,0))))</x:f>
      </x:c>
      <x:c r="K589" s="16" t="str">
        <x:f>IF(J589="","",IF(J589=1,"Limited",IF(J589=2,"Local",IF(J589=3,"Significant",IF(J589=4,"High","Critical")))))</x:f>
      </x:c>
      <x:c r="L589" s="16" t="str">
        <x:f>IF(A589="","",Events!U588)</x:f>
      </x:c>
      <x:c r="M589" s="16" t="str">
        <x:f>IF(A589="","",Events!V588)</x:f>
      </x:c>
      <x:c r="N589" s="16" t="str">
        <x:f>IF(A589="","",Events!Q588)</x:f>
      </x:c>
      <x:c r="O589" s="16" t="str">
        <x:f>IF(A589="","",Events!R588)</x:f>
      </x:c>
      <x:c r="P589" s="16" t="str">
        <x:f>IF(A589="","",LOWER(Events!B588&amp;" "&amp;Events!D588&amp;" "&amp;Events!K588))</x:f>
      </x:c>
      <x:c r="Q589" s="16" t="str">
        <x:f>IF(A589="","",LOWER(Events!C588&amp;" "&amp;Events!K588&amp;" "&amp;Events!T588))</x:f>
      </x:c>
      <x:c r="R589" s="16" t="str">
        <x:f>IF(A589="","",IF(ISNUMBER(SEARCH("Occurrence verified",E589)),"Occurrence verified",E589))</x:f>
      </x:c>
      <x:c r="S589" s="79" t="str">
        <x:f>IF(A589="","",Events!X588)</x:f>
      </x:c>
      <x:c r="Z589" s="79" t="str">
        <x:f>IF(A589="","",Events!AD588)</x:f>
      </x:c>
      <x:c r="AA589" s="79" t="str">
        <x:f>IF(A589="","",Events!AE588)</x:f>
      </x:c>
    </x:row>
    <x:row r="590">
      <x:c r="A590" s="16" t="str">
        <x:f>IF(Events!A589="","",Events!A589)</x:f>
      </x:c>
      <x:c r="B590" s="16" t="str">
        <x:f>IF(A590="","",Events!B589)</x:f>
      </x:c>
      <x:c r="C590" s="16" t="str">
        <x:f>IF(A590="","",Events!E589)</x:f>
      </x:c>
      <x:c r="D590" s="16" t="str">
        <x:f>IF(A590="","",Events!J589)</x:f>
      </x:c>
      <x:c r="E590" s="16" t="str">
        <x:f>IF(A590="","",Events!N589)</x:f>
      </x:c>
      <x:c r="F590" s="109" t="str">
        <x:f>IF(OR(A590="",Events!H589=""),"",Events!H589)</x:f>
      </x:c>
      <x:c r="G590" s="109" t="str">
        <x:f>IF(A590="","",IF(Events!I589&lt;&gt;"",Events!I589,IF(Events!S589&lt;&gt;"",Events!S589,"")))</x:f>
      </x:c>
      <x:c r="H590" s="16" t="str">
        <x:f>IF(A590="","",Events!W589)</x:f>
      </x:c>
      <x:c r="I590" s="16" t="str">
        <x:f>IF(A590="","",IF(Events!Y589&lt;&gt;"",Events!Y589,IF(OR(ISNUMBER(SEARCH("education",P590)),ISNUMBER(SEARCH("exam",P590)),ISNUMBER(SEARCH("school",P590))),"Education",IF(OR(ISNUMBER(SEARCH("trade agreement",P590)),ISNUMBER(SEARCH("economic",P590)),ISNUMBER(SEARCH("import",P590))),"Trade &amp; economic policy",IF(OR(ISNUMBER(SEARCH("land acquisition",P590)),ISNUMBER(SEARCH("rehabilitation",P590)),ISNUMBER(SEARCH("displacement",P590)),ISNUMBER(SEARCH("township",P590))),"Land &amp; rehabilitation",IF(OR(ISNUMBER(SEARCH("forest",P590)),ISNUMBER(SEARCH("environment",P590)),ISNUMBER(SEARCH("ecological",P590)),ISNUMBER(SEARCH("biodiversity",P590)),ISNUMBER(SEARCH("green cover",P590))),"Environment",IF(OR(ISNUMBER(SEARCH("irrigation",P590)),ISNUMBER(SEARCH("water",P590)),ISNUMBER(SEARCH("crop",P590)),ISNUMBER(SEARCH("farmer",P590)),ISNUMBER(SEARCH("agriculture",P590))),"Agriculture &amp; water",IF(OR(ISNUMBER(SEARCH("health",P590)),ISNUMBER(SEARCH("hospital",P590)),ISNUMBER(SEARCH("medicine",P590))),"Public health",IF(OR(ISNUMBER(SEARCH("employee",P590)),ISNUMBER(SEARCH("labour",P590)),ISNUMBER(SEARCH("worker",P590)),ISNUMBER(SEARCH("salary",P590))),"Labour &amp; employment",IF(OR(ISNUMBER(SEARCH("rti",P590)),ISNUMBER(SEARCH("transparency",P590)),ISNUMBER(SEARCH("corruption",P590)),ISNUMBER(SEARCH("governance",P590))),"Governance &amp; transparency",IF(OR(ISNUMBER(SEARCH("police",P590)),ISNUMBER(SEARCH("detention",P590)),ISNUMBER(SEARCH("civil rights",P590)),ISNUMBER(SEARCH("justice",P590))),"Civil rights &amp; justice",IF(OR(ISNUMBER(SEARCH("road",P590)),ISNUMBER(SEARCH("utility",P590)),ISNUMBER(SEARCH("infrastructure",P590)),ISNUMBER(SEARCH("public service",P590))),"Infrastructure &amp; public services","Other"))))))))))))</x:f>
      </x:c>
      <x:c r="J590" s="16" t="str">
        <x:f>IF(A590="","",IF(OR(ISNUMBER(SEARCH("fatal",Q590)),ISNUMBER(SEARCH("death",Q590)),ISNUMBER(SEARCH("riot",Q590)),ISNUMBER(SEARCH("curfew",Q590)),ISNUMBER(SEARCH("internet shutdown",Q590))),5,MIN(4,1+IF(H590&gt;=7,1,0)+IF(OR(ISNUMBER(SEARCH("hunger strike",Q590)),ISNUMBER(SEARCH("blockade",Q590)),ISNUMBER(SEARCH("strike",Q590)),ISNUMBER(SEARCH("jal satyagraha",Q590)),ISNUMBER(SEARCH("survey",Q590)),ISNUMBER(SEARCH("human chain",Q590)),ISNUMBER(SEARCH("march",Q590))),1,0)+IF(OR(ISNUMBER(SEARCH("fir",Q590)),ISNUMBER(SEARCH("confrontation",Q590)),ISNUMBER(SEARCH("violence",Q590)),ISNUMBER(SEARCH("detention",Q590)),ISNUMBER(SEARCH("arrest",Q590)),ISNUMBER(SEARCH("demolition",Q590)),ISNUMBER(SEARCH("injury",Q590))),1,0)+IF(OR(D590="Ongoing",D590="Unresolved"),1,0))))</x:f>
      </x:c>
      <x:c r="K590" s="16" t="str">
        <x:f>IF(J590="","",IF(J590=1,"Limited",IF(J590=2,"Local",IF(J590=3,"Significant",IF(J590=4,"High","Critical")))))</x:f>
      </x:c>
      <x:c r="L590" s="16" t="str">
        <x:f>IF(A590="","",Events!U589)</x:f>
      </x:c>
      <x:c r="M590" s="16" t="str">
        <x:f>IF(A590="","",Events!V589)</x:f>
      </x:c>
      <x:c r="N590" s="16" t="str">
        <x:f>IF(A590="","",Events!Q589)</x:f>
      </x:c>
      <x:c r="O590" s="16" t="str">
        <x:f>IF(A590="","",Events!R589)</x:f>
      </x:c>
      <x:c r="P590" s="16" t="str">
        <x:f>IF(A590="","",LOWER(Events!B589&amp;" "&amp;Events!D589&amp;" "&amp;Events!K589))</x:f>
      </x:c>
      <x:c r="Q590" s="16" t="str">
        <x:f>IF(A590="","",LOWER(Events!C589&amp;" "&amp;Events!K589&amp;" "&amp;Events!T589))</x:f>
      </x:c>
      <x:c r="R590" s="16" t="str">
        <x:f>IF(A590="","",IF(ISNUMBER(SEARCH("Occurrence verified",E590)),"Occurrence verified",E590))</x:f>
      </x:c>
      <x:c r="S590" s="79" t="str">
        <x:f>IF(A590="","",Events!X589)</x:f>
      </x:c>
      <x:c r="Z590" s="79" t="str">
        <x:f>IF(A590="","",Events!AD589)</x:f>
      </x:c>
      <x:c r="AA590" s="79" t="str">
        <x:f>IF(A590="","",Events!AE589)</x:f>
      </x:c>
    </x:row>
    <x:row r="591">
      <x:c r="A591" s="16" t="str">
        <x:f>IF(Events!A590="","",Events!A590)</x:f>
      </x:c>
      <x:c r="B591" s="16" t="str">
        <x:f>IF(A591="","",Events!B590)</x:f>
      </x:c>
      <x:c r="C591" s="16" t="str">
        <x:f>IF(A591="","",Events!E590)</x:f>
      </x:c>
      <x:c r="D591" s="16" t="str">
        <x:f>IF(A591="","",Events!J590)</x:f>
      </x:c>
      <x:c r="E591" s="16" t="str">
        <x:f>IF(A591="","",Events!N590)</x:f>
      </x:c>
      <x:c r="F591" s="109" t="str">
        <x:f>IF(OR(A591="",Events!H590=""),"",Events!H590)</x:f>
      </x:c>
      <x:c r="G591" s="109" t="str">
        <x:f>IF(A591="","",IF(Events!I590&lt;&gt;"",Events!I590,IF(Events!S590&lt;&gt;"",Events!S590,"")))</x:f>
      </x:c>
      <x:c r="H591" s="16" t="str">
        <x:f>IF(A591="","",Events!W590)</x:f>
      </x:c>
      <x:c r="I591" s="16" t="str">
        <x:f>IF(A591="","",IF(Events!Y590&lt;&gt;"",Events!Y590,IF(OR(ISNUMBER(SEARCH("education",P591)),ISNUMBER(SEARCH("exam",P591)),ISNUMBER(SEARCH("school",P591))),"Education",IF(OR(ISNUMBER(SEARCH("trade agreement",P591)),ISNUMBER(SEARCH("economic",P591)),ISNUMBER(SEARCH("import",P591))),"Trade &amp; economic policy",IF(OR(ISNUMBER(SEARCH("land acquisition",P591)),ISNUMBER(SEARCH("rehabilitation",P591)),ISNUMBER(SEARCH("displacement",P591)),ISNUMBER(SEARCH("township",P591))),"Land &amp; rehabilitation",IF(OR(ISNUMBER(SEARCH("forest",P591)),ISNUMBER(SEARCH("environment",P591)),ISNUMBER(SEARCH("ecological",P591)),ISNUMBER(SEARCH("biodiversity",P591)),ISNUMBER(SEARCH("green cover",P591))),"Environment",IF(OR(ISNUMBER(SEARCH("irrigation",P591)),ISNUMBER(SEARCH("water",P591)),ISNUMBER(SEARCH("crop",P591)),ISNUMBER(SEARCH("farmer",P591)),ISNUMBER(SEARCH("agriculture",P591))),"Agriculture &amp; water",IF(OR(ISNUMBER(SEARCH("health",P591)),ISNUMBER(SEARCH("hospital",P591)),ISNUMBER(SEARCH("medicine",P591))),"Public health",IF(OR(ISNUMBER(SEARCH("employee",P591)),ISNUMBER(SEARCH("labour",P591)),ISNUMBER(SEARCH("worker",P591)),ISNUMBER(SEARCH("salary",P591))),"Labour &amp; employment",IF(OR(ISNUMBER(SEARCH("rti",P591)),ISNUMBER(SEARCH("transparency",P591)),ISNUMBER(SEARCH("corruption",P591)),ISNUMBER(SEARCH("governance",P591))),"Governance &amp; transparency",IF(OR(ISNUMBER(SEARCH("police",P591)),ISNUMBER(SEARCH("detention",P591)),ISNUMBER(SEARCH("civil rights",P591)),ISNUMBER(SEARCH("justice",P591))),"Civil rights &amp; justice",IF(OR(ISNUMBER(SEARCH("road",P591)),ISNUMBER(SEARCH("utility",P591)),ISNUMBER(SEARCH("infrastructure",P591)),ISNUMBER(SEARCH("public service",P591))),"Infrastructure &amp; public services","Other"))))))))))))</x:f>
      </x:c>
      <x:c r="J591" s="16" t="str">
        <x:f>IF(A591="","",IF(OR(ISNUMBER(SEARCH("fatal",Q591)),ISNUMBER(SEARCH("death",Q591)),ISNUMBER(SEARCH("riot",Q591)),ISNUMBER(SEARCH("curfew",Q591)),ISNUMBER(SEARCH("internet shutdown",Q591))),5,MIN(4,1+IF(H591&gt;=7,1,0)+IF(OR(ISNUMBER(SEARCH("hunger strike",Q591)),ISNUMBER(SEARCH("blockade",Q591)),ISNUMBER(SEARCH("strike",Q591)),ISNUMBER(SEARCH("jal satyagraha",Q591)),ISNUMBER(SEARCH("survey",Q591)),ISNUMBER(SEARCH("human chain",Q591)),ISNUMBER(SEARCH("march",Q591))),1,0)+IF(OR(ISNUMBER(SEARCH("fir",Q591)),ISNUMBER(SEARCH("confrontation",Q591)),ISNUMBER(SEARCH("violence",Q591)),ISNUMBER(SEARCH("detention",Q591)),ISNUMBER(SEARCH("arrest",Q591)),ISNUMBER(SEARCH("demolition",Q591)),ISNUMBER(SEARCH("injury",Q591))),1,0)+IF(OR(D591="Ongoing",D591="Unresolved"),1,0))))</x:f>
      </x:c>
      <x:c r="K591" s="16" t="str">
        <x:f>IF(J591="","",IF(J591=1,"Limited",IF(J591=2,"Local",IF(J591=3,"Significant",IF(J591=4,"High","Critical")))))</x:f>
      </x:c>
      <x:c r="L591" s="16" t="str">
        <x:f>IF(A591="","",Events!U590)</x:f>
      </x:c>
      <x:c r="M591" s="16" t="str">
        <x:f>IF(A591="","",Events!V590)</x:f>
      </x:c>
      <x:c r="N591" s="16" t="str">
        <x:f>IF(A591="","",Events!Q590)</x:f>
      </x:c>
      <x:c r="O591" s="16" t="str">
        <x:f>IF(A591="","",Events!R590)</x:f>
      </x:c>
      <x:c r="P591" s="16" t="str">
        <x:f>IF(A591="","",LOWER(Events!B590&amp;" "&amp;Events!D590&amp;" "&amp;Events!K590))</x:f>
      </x:c>
      <x:c r="Q591" s="16" t="str">
        <x:f>IF(A591="","",LOWER(Events!C590&amp;" "&amp;Events!K590&amp;" "&amp;Events!T590))</x:f>
      </x:c>
      <x:c r="R591" s="16" t="str">
        <x:f>IF(A591="","",IF(ISNUMBER(SEARCH("Occurrence verified",E591)),"Occurrence verified",E591))</x:f>
      </x:c>
      <x:c r="S591" s="79" t="str">
        <x:f>IF(A591="","",Events!X590)</x:f>
      </x:c>
      <x:c r="Z591" s="79" t="str">
        <x:f>IF(A591="","",Events!AD590)</x:f>
      </x:c>
      <x:c r="AA591" s="79" t="str">
        <x:f>IF(A591="","",Events!AE590)</x:f>
      </x:c>
    </x:row>
    <x:row r="592">
      <x:c r="A592" s="16" t="str">
        <x:f>IF(Events!A591="","",Events!A591)</x:f>
      </x:c>
      <x:c r="B592" s="16" t="str">
        <x:f>IF(A592="","",Events!B591)</x:f>
      </x:c>
      <x:c r="C592" s="16" t="str">
        <x:f>IF(A592="","",Events!E591)</x:f>
      </x:c>
      <x:c r="D592" s="16" t="str">
        <x:f>IF(A592="","",Events!J591)</x:f>
      </x:c>
      <x:c r="E592" s="16" t="str">
        <x:f>IF(A592="","",Events!N591)</x:f>
      </x:c>
      <x:c r="F592" s="109" t="str">
        <x:f>IF(OR(A592="",Events!H591=""),"",Events!H591)</x:f>
      </x:c>
      <x:c r="G592" s="109" t="str">
        <x:f>IF(A592="","",IF(Events!I591&lt;&gt;"",Events!I591,IF(Events!S591&lt;&gt;"",Events!S591,"")))</x:f>
      </x:c>
      <x:c r="H592" s="16" t="str">
        <x:f>IF(A592="","",Events!W591)</x:f>
      </x:c>
      <x:c r="I592" s="16" t="str">
        <x:f>IF(A592="","",IF(Events!Y591&lt;&gt;"",Events!Y591,IF(OR(ISNUMBER(SEARCH("education",P592)),ISNUMBER(SEARCH("exam",P592)),ISNUMBER(SEARCH("school",P592))),"Education",IF(OR(ISNUMBER(SEARCH("trade agreement",P592)),ISNUMBER(SEARCH("economic",P592)),ISNUMBER(SEARCH("import",P592))),"Trade &amp; economic policy",IF(OR(ISNUMBER(SEARCH("land acquisition",P592)),ISNUMBER(SEARCH("rehabilitation",P592)),ISNUMBER(SEARCH("displacement",P592)),ISNUMBER(SEARCH("township",P592))),"Land &amp; rehabilitation",IF(OR(ISNUMBER(SEARCH("forest",P592)),ISNUMBER(SEARCH("environment",P592)),ISNUMBER(SEARCH("ecological",P592)),ISNUMBER(SEARCH("biodiversity",P592)),ISNUMBER(SEARCH("green cover",P592))),"Environment",IF(OR(ISNUMBER(SEARCH("irrigation",P592)),ISNUMBER(SEARCH("water",P592)),ISNUMBER(SEARCH("crop",P592)),ISNUMBER(SEARCH("farmer",P592)),ISNUMBER(SEARCH("agriculture",P592))),"Agriculture &amp; water",IF(OR(ISNUMBER(SEARCH("health",P592)),ISNUMBER(SEARCH("hospital",P592)),ISNUMBER(SEARCH("medicine",P592))),"Public health",IF(OR(ISNUMBER(SEARCH("employee",P592)),ISNUMBER(SEARCH("labour",P592)),ISNUMBER(SEARCH("worker",P592)),ISNUMBER(SEARCH("salary",P592))),"Labour &amp; employment",IF(OR(ISNUMBER(SEARCH("rti",P592)),ISNUMBER(SEARCH("transparency",P592)),ISNUMBER(SEARCH("corruption",P592)),ISNUMBER(SEARCH("governance",P592))),"Governance &amp; transparency",IF(OR(ISNUMBER(SEARCH("police",P592)),ISNUMBER(SEARCH("detention",P592)),ISNUMBER(SEARCH("civil rights",P592)),ISNUMBER(SEARCH("justice",P592))),"Civil rights &amp; justice",IF(OR(ISNUMBER(SEARCH("road",P592)),ISNUMBER(SEARCH("utility",P592)),ISNUMBER(SEARCH("infrastructure",P592)),ISNUMBER(SEARCH("public service",P592))),"Infrastructure &amp; public services","Other"))))))))))))</x:f>
      </x:c>
      <x:c r="J592" s="16" t="str">
        <x:f>IF(A592="","",IF(OR(ISNUMBER(SEARCH("fatal",Q592)),ISNUMBER(SEARCH("death",Q592)),ISNUMBER(SEARCH("riot",Q592)),ISNUMBER(SEARCH("curfew",Q592)),ISNUMBER(SEARCH("internet shutdown",Q592))),5,MIN(4,1+IF(H592&gt;=7,1,0)+IF(OR(ISNUMBER(SEARCH("hunger strike",Q592)),ISNUMBER(SEARCH("blockade",Q592)),ISNUMBER(SEARCH("strike",Q592)),ISNUMBER(SEARCH("jal satyagraha",Q592)),ISNUMBER(SEARCH("survey",Q592)),ISNUMBER(SEARCH("human chain",Q592)),ISNUMBER(SEARCH("march",Q592))),1,0)+IF(OR(ISNUMBER(SEARCH("fir",Q592)),ISNUMBER(SEARCH("confrontation",Q592)),ISNUMBER(SEARCH("violence",Q592)),ISNUMBER(SEARCH("detention",Q592)),ISNUMBER(SEARCH("arrest",Q592)),ISNUMBER(SEARCH("demolition",Q592)),ISNUMBER(SEARCH("injury",Q592))),1,0)+IF(OR(D592="Ongoing",D592="Unresolved"),1,0))))</x:f>
      </x:c>
      <x:c r="K592" s="16" t="str">
        <x:f>IF(J592="","",IF(J592=1,"Limited",IF(J592=2,"Local",IF(J592=3,"Significant",IF(J592=4,"High","Critical")))))</x:f>
      </x:c>
      <x:c r="L592" s="16" t="str">
        <x:f>IF(A592="","",Events!U591)</x:f>
      </x:c>
      <x:c r="M592" s="16" t="str">
        <x:f>IF(A592="","",Events!V591)</x:f>
      </x:c>
      <x:c r="N592" s="16" t="str">
        <x:f>IF(A592="","",Events!Q591)</x:f>
      </x:c>
      <x:c r="O592" s="16" t="str">
        <x:f>IF(A592="","",Events!R591)</x:f>
      </x:c>
      <x:c r="P592" s="16" t="str">
        <x:f>IF(A592="","",LOWER(Events!B591&amp;" "&amp;Events!D591&amp;" "&amp;Events!K591))</x:f>
      </x:c>
      <x:c r="Q592" s="16" t="str">
        <x:f>IF(A592="","",LOWER(Events!C591&amp;" "&amp;Events!K591&amp;" "&amp;Events!T591))</x:f>
      </x:c>
      <x:c r="R592" s="16" t="str">
        <x:f>IF(A592="","",IF(ISNUMBER(SEARCH("Occurrence verified",E592)),"Occurrence verified",E592))</x:f>
      </x:c>
      <x:c r="S592" s="79" t="str">
        <x:f>IF(A592="","",Events!X591)</x:f>
      </x:c>
      <x:c r="Z592" s="79" t="str">
        <x:f>IF(A592="","",Events!AD591)</x:f>
      </x:c>
      <x:c r="AA592" s="79" t="str">
        <x:f>IF(A592="","",Events!AE591)</x:f>
      </x:c>
    </x:row>
    <x:row r="593">
      <x:c r="A593" s="16" t="str">
        <x:f>IF(Events!A592="","",Events!A592)</x:f>
      </x:c>
      <x:c r="B593" s="16" t="str">
        <x:f>IF(A593="","",Events!B592)</x:f>
      </x:c>
      <x:c r="C593" s="16" t="str">
        <x:f>IF(A593="","",Events!E592)</x:f>
      </x:c>
      <x:c r="D593" s="16" t="str">
        <x:f>IF(A593="","",Events!J592)</x:f>
      </x:c>
      <x:c r="E593" s="16" t="str">
        <x:f>IF(A593="","",Events!N592)</x:f>
      </x:c>
      <x:c r="F593" s="109" t="str">
        <x:f>IF(OR(A593="",Events!H592=""),"",Events!H592)</x:f>
      </x:c>
      <x:c r="G593" s="109" t="str">
        <x:f>IF(A593="","",IF(Events!I592&lt;&gt;"",Events!I592,IF(Events!S592&lt;&gt;"",Events!S592,"")))</x:f>
      </x:c>
      <x:c r="H593" s="16" t="str">
        <x:f>IF(A593="","",Events!W592)</x:f>
      </x:c>
      <x:c r="I593" s="16" t="str">
        <x:f>IF(A593="","",IF(Events!Y592&lt;&gt;"",Events!Y592,IF(OR(ISNUMBER(SEARCH("education",P593)),ISNUMBER(SEARCH("exam",P593)),ISNUMBER(SEARCH("school",P593))),"Education",IF(OR(ISNUMBER(SEARCH("trade agreement",P593)),ISNUMBER(SEARCH("economic",P593)),ISNUMBER(SEARCH("import",P593))),"Trade &amp; economic policy",IF(OR(ISNUMBER(SEARCH("land acquisition",P593)),ISNUMBER(SEARCH("rehabilitation",P593)),ISNUMBER(SEARCH("displacement",P593)),ISNUMBER(SEARCH("township",P593))),"Land &amp; rehabilitation",IF(OR(ISNUMBER(SEARCH("forest",P593)),ISNUMBER(SEARCH("environment",P593)),ISNUMBER(SEARCH("ecological",P593)),ISNUMBER(SEARCH("biodiversity",P593)),ISNUMBER(SEARCH("green cover",P593))),"Environment",IF(OR(ISNUMBER(SEARCH("irrigation",P593)),ISNUMBER(SEARCH("water",P593)),ISNUMBER(SEARCH("crop",P593)),ISNUMBER(SEARCH("farmer",P593)),ISNUMBER(SEARCH("agriculture",P593))),"Agriculture &amp; water",IF(OR(ISNUMBER(SEARCH("health",P593)),ISNUMBER(SEARCH("hospital",P593)),ISNUMBER(SEARCH("medicine",P593))),"Public health",IF(OR(ISNUMBER(SEARCH("employee",P593)),ISNUMBER(SEARCH("labour",P593)),ISNUMBER(SEARCH("worker",P593)),ISNUMBER(SEARCH("salary",P593))),"Labour &amp; employment",IF(OR(ISNUMBER(SEARCH("rti",P593)),ISNUMBER(SEARCH("transparency",P593)),ISNUMBER(SEARCH("corruption",P593)),ISNUMBER(SEARCH("governance",P593))),"Governance &amp; transparency",IF(OR(ISNUMBER(SEARCH("police",P593)),ISNUMBER(SEARCH("detention",P593)),ISNUMBER(SEARCH("civil rights",P593)),ISNUMBER(SEARCH("justice",P593))),"Civil rights &amp; justice",IF(OR(ISNUMBER(SEARCH("road",P593)),ISNUMBER(SEARCH("utility",P593)),ISNUMBER(SEARCH("infrastructure",P593)),ISNUMBER(SEARCH("public service",P593))),"Infrastructure &amp; public services","Other"))))))))))))</x:f>
      </x:c>
      <x:c r="J593" s="16" t="str">
        <x:f>IF(A593="","",IF(OR(ISNUMBER(SEARCH("fatal",Q593)),ISNUMBER(SEARCH("death",Q593)),ISNUMBER(SEARCH("riot",Q593)),ISNUMBER(SEARCH("curfew",Q593)),ISNUMBER(SEARCH("internet shutdown",Q593))),5,MIN(4,1+IF(H593&gt;=7,1,0)+IF(OR(ISNUMBER(SEARCH("hunger strike",Q593)),ISNUMBER(SEARCH("blockade",Q593)),ISNUMBER(SEARCH("strike",Q593)),ISNUMBER(SEARCH("jal satyagraha",Q593)),ISNUMBER(SEARCH("survey",Q593)),ISNUMBER(SEARCH("human chain",Q593)),ISNUMBER(SEARCH("march",Q593))),1,0)+IF(OR(ISNUMBER(SEARCH("fir",Q593)),ISNUMBER(SEARCH("confrontation",Q593)),ISNUMBER(SEARCH("violence",Q593)),ISNUMBER(SEARCH("detention",Q593)),ISNUMBER(SEARCH("arrest",Q593)),ISNUMBER(SEARCH("demolition",Q593)),ISNUMBER(SEARCH("injury",Q593))),1,0)+IF(OR(D593="Ongoing",D593="Unresolved"),1,0))))</x:f>
      </x:c>
      <x:c r="K593" s="16" t="str">
        <x:f>IF(J593="","",IF(J593=1,"Limited",IF(J593=2,"Local",IF(J593=3,"Significant",IF(J593=4,"High","Critical")))))</x:f>
      </x:c>
      <x:c r="L593" s="16" t="str">
        <x:f>IF(A593="","",Events!U592)</x:f>
      </x:c>
      <x:c r="M593" s="16" t="str">
        <x:f>IF(A593="","",Events!V592)</x:f>
      </x:c>
      <x:c r="N593" s="16" t="str">
        <x:f>IF(A593="","",Events!Q592)</x:f>
      </x:c>
      <x:c r="O593" s="16" t="str">
        <x:f>IF(A593="","",Events!R592)</x:f>
      </x:c>
      <x:c r="P593" s="16" t="str">
        <x:f>IF(A593="","",LOWER(Events!B592&amp;" "&amp;Events!D592&amp;" "&amp;Events!K592))</x:f>
      </x:c>
      <x:c r="Q593" s="16" t="str">
        <x:f>IF(A593="","",LOWER(Events!C592&amp;" "&amp;Events!K592&amp;" "&amp;Events!T592))</x:f>
      </x:c>
      <x:c r="R593" s="16" t="str">
        <x:f>IF(A593="","",IF(ISNUMBER(SEARCH("Occurrence verified",E593)),"Occurrence verified",E593))</x:f>
      </x:c>
      <x:c r="S593" s="79" t="str">
        <x:f>IF(A593="","",Events!X592)</x:f>
      </x:c>
      <x:c r="Z593" s="79" t="str">
        <x:f>IF(A593="","",Events!AD592)</x:f>
      </x:c>
      <x:c r="AA593" s="79" t="str">
        <x:f>IF(A593="","",Events!AE592)</x:f>
      </x:c>
    </x:row>
    <x:row r="594">
      <x:c r="A594" s="16" t="str">
        <x:f>IF(Events!A593="","",Events!A593)</x:f>
      </x:c>
      <x:c r="B594" s="16" t="str">
        <x:f>IF(A594="","",Events!B593)</x:f>
      </x:c>
      <x:c r="C594" s="16" t="str">
        <x:f>IF(A594="","",Events!E593)</x:f>
      </x:c>
      <x:c r="D594" s="16" t="str">
        <x:f>IF(A594="","",Events!J593)</x:f>
      </x:c>
      <x:c r="E594" s="16" t="str">
        <x:f>IF(A594="","",Events!N593)</x:f>
      </x:c>
      <x:c r="F594" s="109" t="str">
        <x:f>IF(OR(A594="",Events!H593=""),"",Events!H593)</x:f>
      </x:c>
      <x:c r="G594" s="109" t="str">
        <x:f>IF(A594="","",IF(Events!I593&lt;&gt;"",Events!I593,IF(Events!S593&lt;&gt;"",Events!S593,"")))</x:f>
      </x:c>
      <x:c r="H594" s="16" t="str">
        <x:f>IF(A594="","",Events!W593)</x:f>
      </x:c>
      <x:c r="I594" s="16" t="str">
        <x:f>IF(A594="","",IF(Events!Y593&lt;&gt;"",Events!Y593,IF(OR(ISNUMBER(SEARCH("education",P594)),ISNUMBER(SEARCH("exam",P594)),ISNUMBER(SEARCH("school",P594))),"Education",IF(OR(ISNUMBER(SEARCH("trade agreement",P594)),ISNUMBER(SEARCH("economic",P594)),ISNUMBER(SEARCH("import",P594))),"Trade &amp; economic policy",IF(OR(ISNUMBER(SEARCH("land acquisition",P594)),ISNUMBER(SEARCH("rehabilitation",P594)),ISNUMBER(SEARCH("displacement",P594)),ISNUMBER(SEARCH("township",P594))),"Land &amp; rehabilitation",IF(OR(ISNUMBER(SEARCH("forest",P594)),ISNUMBER(SEARCH("environment",P594)),ISNUMBER(SEARCH("ecological",P594)),ISNUMBER(SEARCH("biodiversity",P594)),ISNUMBER(SEARCH("green cover",P594))),"Environment",IF(OR(ISNUMBER(SEARCH("irrigation",P594)),ISNUMBER(SEARCH("water",P594)),ISNUMBER(SEARCH("crop",P594)),ISNUMBER(SEARCH("farmer",P594)),ISNUMBER(SEARCH("agriculture",P594))),"Agriculture &amp; water",IF(OR(ISNUMBER(SEARCH("health",P594)),ISNUMBER(SEARCH("hospital",P594)),ISNUMBER(SEARCH("medicine",P594))),"Public health",IF(OR(ISNUMBER(SEARCH("employee",P594)),ISNUMBER(SEARCH("labour",P594)),ISNUMBER(SEARCH("worker",P594)),ISNUMBER(SEARCH("salary",P594))),"Labour &amp; employment",IF(OR(ISNUMBER(SEARCH("rti",P594)),ISNUMBER(SEARCH("transparency",P594)),ISNUMBER(SEARCH("corruption",P594)),ISNUMBER(SEARCH("governance",P594))),"Governance &amp; transparency",IF(OR(ISNUMBER(SEARCH("police",P594)),ISNUMBER(SEARCH("detention",P594)),ISNUMBER(SEARCH("civil rights",P594)),ISNUMBER(SEARCH("justice",P594))),"Civil rights &amp; justice",IF(OR(ISNUMBER(SEARCH("road",P594)),ISNUMBER(SEARCH("utility",P594)),ISNUMBER(SEARCH("infrastructure",P594)),ISNUMBER(SEARCH("public service",P594))),"Infrastructure &amp; public services","Other"))))))))))))</x:f>
      </x:c>
      <x:c r="J594" s="16" t="str">
        <x:f>IF(A594="","",IF(OR(ISNUMBER(SEARCH("fatal",Q594)),ISNUMBER(SEARCH("death",Q594)),ISNUMBER(SEARCH("riot",Q594)),ISNUMBER(SEARCH("curfew",Q594)),ISNUMBER(SEARCH("internet shutdown",Q594))),5,MIN(4,1+IF(H594&gt;=7,1,0)+IF(OR(ISNUMBER(SEARCH("hunger strike",Q594)),ISNUMBER(SEARCH("blockade",Q594)),ISNUMBER(SEARCH("strike",Q594)),ISNUMBER(SEARCH("jal satyagraha",Q594)),ISNUMBER(SEARCH("survey",Q594)),ISNUMBER(SEARCH("human chain",Q594)),ISNUMBER(SEARCH("march",Q594))),1,0)+IF(OR(ISNUMBER(SEARCH("fir",Q594)),ISNUMBER(SEARCH("confrontation",Q594)),ISNUMBER(SEARCH("violence",Q594)),ISNUMBER(SEARCH("detention",Q594)),ISNUMBER(SEARCH("arrest",Q594)),ISNUMBER(SEARCH("demolition",Q594)),ISNUMBER(SEARCH("injury",Q594))),1,0)+IF(OR(D594="Ongoing",D594="Unresolved"),1,0))))</x:f>
      </x:c>
      <x:c r="K594" s="16" t="str">
        <x:f>IF(J594="","",IF(J594=1,"Limited",IF(J594=2,"Local",IF(J594=3,"Significant",IF(J594=4,"High","Critical")))))</x:f>
      </x:c>
      <x:c r="L594" s="16" t="str">
        <x:f>IF(A594="","",Events!U593)</x:f>
      </x:c>
      <x:c r="M594" s="16" t="str">
        <x:f>IF(A594="","",Events!V593)</x:f>
      </x:c>
      <x:c r="N594" s="16" t="str">
        <x:f>IF(A594="","",Events!Q593)</x:f>
      </x:c>
      <x:c r="O594" s="16" t="str">
        <x:f>IF(A594="","",Events!R593)</x:f>
      </x:c>
      <x:c r="P594" s="16" t="str">
        <x:f>IF(A594="","",LOWER(Events!B593&amp;" "&amp;Events!D593&amp;" "&amp;Events!K593))</x:f>
      </x:c>
      <x:c r="Q594" s="16" t="str">
        <x:f>IF(A594="","",LOWER(Events!C593&amp;" "&amp;Events!K593&amp;" "&amp;Events!T593))</x:f>
      </x:c>
      <x:c r="R594" s="16" t="str">
        <x:f>IF(A594="","",IF(ISNUMBER(SEARCH("Occurrence verified",E594)),"Occurrence verified",E594))</x:f>
      </x:c>
      <x:c r="S594" s="79" t="str">
        <x:f>IF(A594="","",Events!X593)</x:f>
      </x:c>
      <x:c r="Z594" s="79" t="str">
        <x:f>IF(A594="","",Events!AD593)</x:f>
      </x:c>
      <x:c r="AA594" s="79" t="str">
        <x:f>IF(A594="","",Events!AE593)</x:f>
      </x:c>
    </x:row>
    <x:row r="595">
      <x:c r="A595" s="16" t="str">
        <x:f>IF(Events!A594="","",Events!A594)</x:f>
      </x:c>
      <x:c r="B595" s="16" t="str">
        <x:f>IF(A595="","",Events!B594)</x:f>
      </x:c>
      <x:c r="C595" s="16" t="str">
        <x:f>IF(A595="","",Events!E594)</x:f>
      </x:c>
      <x:c r="D595" s="16" t="str">
        <x:f>IF(A595="","",Events!J594)</x:f>
      </x:c>
      <x:c r="E595" s="16" t="str">
        <x:f>IF(A595="","",Events!N594)</x:f>
      </x:c>
      <x:c r="F595" s="109" t="str">
        <x:f>IF(OR(A595="",Events!H594=""),"",Events!H594)</x:f>
      </x:c>
      <x:c r="G595" s="109" t="str">
        <x:f>IF(A595="","",IF(Events!I594&lt;&gt;"",Events!I594,IF(Events!S594&lt;&gt;"",Events!S594,"")))</x:f>
      </x:c>
      <x:c r="H595" s="16" t="str">
        <x:f>IF(A595="","",Events!W594)</x:f>
      </x:c>
      <x:c r="I595" s="16" t="str">
        <x:f>IF(A595="","",IF(Events!Y594&lt;&gt;"",Events!Y594,IF(OR(ISNUMBER(SEARCH("education",P595)),ISNUMBER(SEARCH("exam",P595)),ISNUMBER(SEARCH("school",P595))),"Education",IF(OR(ISNUMBER(SEARCH("trade agreement",P595)),ISNUMBER(SEARCH("economic",P595)),ISNUMBER(SEARCH("import",P595))),"Trade &amp; economic policy",IF(OR(ISNUMBER(SEARCH("land acquisition",P595)),ISNUMBER(SEARCH("rehabilitation",P595)),ISNUMBER(SEARCH("displacement",P595)),ISNUMBER(SEARCH("township",P595))),"Land &amp; rehabilitation",IF(OR(ISNUMBER(SEARCH("forest",P595)),ISNUMBER(SEARCH("environment",P595)),ISNUMBER(SEARCH("ecological",P595)),ISNUMBER(SEARCH("biodiversity",P595)),ISNUMBER(SEARCH("green cover",P595))),"Environment",IF(OR(ISNUMBER(SEARCH("irrigation",P595)),ISNUMBER(SEARCH("water",P595)),ISNUMBER(SEARCH("crop",P595)),ISNUMBER(SEARCH("farmer",P595)),ISNUMBER(SEARCH("agriculture",P595))),"Agriculture &amp; water",IF(OR(ISNUMBER(SEARCH("health",P595)),ISNUMBER(SEARCH("hospital",P595)),ISNUMBER(SEARCH("medicine",P595))),"Public health",IF(OR(ISNUMBER(SEARCH("employee",P595)),ISNUMBER(SEARCH("labour",P595)),ISNUMBER(SEARCH("worker",P595)),ISNUMBER(SEARCH("salary",P595))),"Labour &amp; employment",IF(OR(ISNUMBER(SEARCH("rti",P595)),ISNUMBER(SEARCH("transparency",P595)),ISNUMBER(SEARCH("corruption",P595)),ISNUMBER(SEARCH("governance",P595))),"Governance &amp; transparency",IF(OR(ISNUMBER(SEARCH("police",P595)),ISNUMBER(SEARCH("detention",P595)),ISNUMBER(SEARCH("civil rights",P595)),ISNUMBER(SEARCH("justice",P595))),"Civil rights &amp; justice",IF(OR(ISNUMBER(SEARCH("road",P595)),ISNUMBER(SEARCH("utility",P595)),ISNUMBER(SEARCH("infrastructure",P595)),ISNUMBER(SEARCH("public service",P595))),"Infrastructure &amp; public services","Other"))))))))))))</x:f>
      </x:c>
      <x:c r="J595" s="16" t="str">
        <x:f>IF(A595="","",IF(OR(ISNUMBER(SEARCH("fatal",Q595)),ISNUMBER(SEARCH("death",Q595)),ISNUMBER(SEARCH("riot",Q595)),ISNUMBER(SEARCH("curfew",Q595)),ISNUMBER(SEARCH("internet shutdown",Q595))),5,MIN(4,1+IF(H595&gt;=7,1,0)+IF(OR(ISNUMBER(SEARCH("hunger strike",Q595)),ISNUMBER(SEARCH("blockade",Q595)),ISNUMBER(SEARCH("strike",Q595)),ISNUMBER(SEARCH("jal satyagraha",Q595)),ISNUMBER(SEARCH("survey",Q595)),ISNUMBER(SEARCH("human chain",Q595)),ISNUMBER(SEARCH("march",Q595))),1,0)+IF(OR(ISNUMBER(SEARCH("fir",Q595)),ISNUMBER(SEARCH("confrontation",Q595)),ISNUMBER(SEARCH("violence",Q595)),ISNUMBER(SEARCH("detention",Q595)),ISNUMBER(SEARCH("arrest",Q595)),ISNUMBER(SEARCH("demolition",Q595)),ISNUMBER(SEARCH("injury",Q595))),1,0)+IF(OR(D595="Ongoing",D595="Unresolved"),1,0))))</x:f>
      </x:c>
      <x:c r="K595" s="16" t="str">
        <x:f>IF(J595="","",IF(J595=1,"Limited",IF(J595=2,"Local",IF(J595=3,"Significant",IF(J595=4,"High","Critical")))))</x:f>
      </x:c>
      <x:c r="L595" s="16" t="str">
        <x:f>IF(A595="","",Events!U594)</x:f>
      </x:c>
      <x:c r="M595" s="16" t="str">
        <x:f>IF(A595="","",Events!V594)</x:f>
      </x:c>
      <x:c r="N595" s="16" t="str">
        <x:f>IF(A595="","",Events!Q594)</x:f>
      </x:c>
      <x:c r="O595" s="16" t="str">
        <x:f>IF(A595="","",Events!R594)</x:f>
      </x:c>
      <x:c r="P595" s="16" t="str">
        <x:f>IF(A595="","",LOWER(Events!B594&amp;" "&amp;Events!D594&amp;" "&amp;Events!K594))</x:f>
      </x:c>
      <x:c r="Q595" s="16" t="str">
        <x:f>IF(A595="","",LOWER(Events!C594&amp;" "&amp;Events!K594&amp;" "&amp;Events!T594))</x:f>
      </x:c>
      <x:c r="R595" s="16" t="str">
        <x:f>IF(A595="","",IF(ISNUMBER(SEARCH("Occurrence verified",E595)),"Occurrence verified",E595))</x:f>
      </x:c>
      <x:c r="S595" s="79" t="str">
        <x:f>IF(A595="","",Events!X594)</x:f>
      </x:c>
      <x:c r="Z595" s="79" t="str">
        <x:f>IF(A595="","",Events!AD594)</x:f>
      </x:c>
      <x:c r="AA595" s="79" t="str">
        <x:f>IF(A595="","",Events!AE594)</x:f>
      </x:c>
    </x:row>
    <x:row r="596">
      <x:c r="A596" s="16" t="str">
        <x:f>IF(Events!A595="","",Events!A595)</x:f>
      </x:c>
      <x:c r="B596" s="16" t="str">
        <x:f>IF(A596="","",Events!B595)</x:f>
      </x:c>
      <x:c r="C596" s="16" t="str">
        <x:f>IF(A596="","",Events!E595)</x:f>
      </x:c>
      <x:c r="D596" s="16" t="str">
        <x:f>IF(A596="","",Events!J595)</x:f>
      </x:c>
      <x:c r="E596" s="16" t="str">
        <x:f>IF(A596="","",Events!N595)</x:f>
      </x:c>
      <x:c r="F596" s="109" t="str">
        <x:f>IF(OR(A596="",Events!H595=""),"",Events!H595)</x:f>
      </x:c>
      <x:c r="G596" s="109" t="str">
        <x:f>IF(A596="","",IF(Events!I595&lt;&gt;"",Events!I595,IF(Events!S595&lt;&gt;"",Events!S595,"")))</x:f>
      </x:c>
      <x:c r="H596" s="16" t="str">
        <x:f>IF(A596="","",Events!W595)</x:f>
      </x:c>
      <x:c r="I596" s="16" t="str">
        <x:f>IF(A596="","",IF(Events!Y595&lt;&gt;"",Events!Y595,IF(OR(ISNUMBER(SEARCH("education",P596)),ISNUMBER(SEARCH("exam",P596)),ISNUMBER(SEARCH("school",P596))),"Education",IF(OR(ISNUMBER(SEARCH("trade agreement",P596)),ISNUMBER(SEARCH("economic",P596)),ISNUMBER(SEARCH("import",P596))),"Trade &amp; economic policy",IF(OR(ISNUMBER(SEARCH("land acquisition",P596)),ISNUMBER(SEARCH("rehabilitation",P596)),ISNUMBER(SEARCH("displacement",P596)),ISNUMBER(SEARCH("township",P596))),"Land &amp; rehabilitation",IF(OR(ISNUMBER(SEARCH("forest",P596)),ISNUMBER(SEARCH("environment",P596)),ISNUMBER(SEARCH("ecological",P596)),ISNUMBER(SEARCH("biodiversity",P596)),ISNUMBER(SEARCH("green cover",P596))),"Environment",IF(OR(ISNUMBER(SEARCH("irrigation",P596)),ISNUMBER(SEARCH("water",P596)),ISNUMBER(SEARCH("crop",P596)),ISNUMBER(SEARCH("farmer",P596)),ISNUMBER(SEARCH("agriculture",P596))),"Agriculture &amp; water",IF(OR(ISNUMBER(SEARCH("health",P596)),ISNUMBER(SEARCH("hospital",P596)),ISNUMBER(SEARCH("medicine",P596))),"Public health",IF(OR(ISNUMBER(SEARCH("employee",P596)),ISNUMBER(SEARCH("labour",P596)),ISNUMBER(SEARCH("worker",P596)),ISNUMBER(SEARCH("salary",P596))),"Labour &amp; employment",IF(OR(ISNUMBER(SEARCH("rti",P596)),ISNUMBER(SEARCH("transparency",P596)),ISNUMBER(SEARCH("corruption",P596)),ISNUMBER(SEARCH("governance",P596))),"Governance &amp; transparency",IF(OR(ISNUMBER(SEARCH("police",P596)),ISNUMBER(SEARCH("detention",P596)),ISNUMBER(SEARCH("civil rights",P596)),ISNUMBER(SEARCH("justice",P596))),"Civil rights &amp; justice",IF(OR(ISNUMBER(SEARCH("road",P596)),ISNUMBER(SEARCH("utility",P596)),ISNUMBER(SEARCH("infrastructure",P596)),ISNUMBER(SEARCH("public service",P596))),"Infrastructure &amp; public services","Other"))))))))))))</x:f>
      </x:c>
      <x:c r="J596" s="16" t="str">
        <x:f>IF(A596="","",IF(OR(ISNUMBER(SEARCH("fatal",Q596)),ISNUMBER(SEARCH("death",Q596)),ISNUMBER(SEARCH("riot",Q596)),ISNUMBER(SEARCH("curfew",Q596)),ISNUMBER(SEARCH("internet shutdown",Q596))),5,MIN(4,1+IF(H596&gt;=7,1,0)+IF(OR(ISNUMBER(SEARCH("hunger strike",Q596)),ISNUMBER(SEARCH("blockade",Q596)),ISNUMBER(SEARCH("strike",Q596)),ISNUMBER(SEARCH("jal satyagraha",Q596)),ISNUMBER(SEARCH("survey",Q596)),ISNUMBER(SEARCH("human chain",Q596)),ISNUMBER(SEARCH("march",Q596))),1,0)+IF(OR(ISNUMBER(SEARCH("fir",Q596)),ISNUMBER(SEARCH("confrontation",Q596)),ISNUMBER(SEARCH("violence",Q596)),ISNUMBER(SEARCH("detention",Q596)),ISNUMBER(SEARCH("arrest",Q596)),ISNUMBER(SEARCH("demolition",Q596)),ISNUMBER(SEARCH("injury",Q596))),1,0)+IF(OR(D596="Ongoing",D596="Unresolved"),1,0))))</x:f>
      </x:c>
      <x:c r="K596" s="16" t="str">
        <x:f>IF(J596="","",IF(J596=1,"Limited",IF(J596=2,"Local",IF(J596=3,"Significant",IF(J596=4,"High","Critical")))))</x:f>
      </x:c>
      <x:c r="L596" s="16" t="str">
        <x:f>IF(A596="","",Events!U595)</x:f>
      </x:c>
      <x:c r="M596" s="16" t="str">
        <x:f>IF(A596="","",Events!V595)</x:f>
      </x:c>
      <x:c r="N596" s="16" t="str">
        <x:f>IF(A596="","",Events!Q595)</x:f>
      </x:c>
      <x:c r="O596" s="16" t="str">
        <x:f>IF(A596="","",Events!R595)</x:f>
      </x:c>
      <x:c r="P596" s="16" t="str">
        <x:f>IF(A596="","",LOWER(Events!B595&amp;" "&amp;Events!D595&amp;" "&amp;Events!K595))</x:f>
      </x:c>
      <x:c r="Q596" s="16" t="str">
        <x:f>IF(A596="","",LOWER(Events!C595&amp;" "&amp;Events!K595&amp;" "&amp;Events!T595))</x:f>
      </x:c>
      <x:c r="R596" s="16" t="str">
        <x:f>IF(A596="","",IF(ISNUMBER(SEARCH("Occurrence verified",E596)),"Occurrence verified",E596))</x:f>
      </x:c>
      <x:c r="S596" s="79" t="str">
        <x:f>IF(A596="","",Events!X595)</x:f>
      </x:c>
      <x:c r="Z596" s="79" t="str">
        <x:f>IF(A596="","",Events!AD595)</x:f>
      </x:c>
      <x:c r="AA596" s="79" t="str">
        <x:f>IF(A596="","",Events!AE595)</x:f>
      </x:c>
    </x:row>
    <x:row r="597">
      <x:c r="A597" s="16" t="str">
        <x:f>IF(Events!A596="","",Events!A596)</x:f>
      </x:c>
      <x:c r="B597" s="16" t="str">
        <x:f>IF(A597="","",Events!B596)</x:f>
      </x:c>
      <x:c r="C597" s="16" t="str">
        <x:f>IF(A597="","",Events!E596)</x:f>
      </x:c>
      <x:c r="D597" s="16" t="str">
        <x:f>IF(A597="","",Events!J596)</x:f>
      </x:c>
      <x:c r="E597" s="16" t="str">
        <x:f>IF(A597="","",Events!N596)</x:f>
      </x:c>
      <x:c r="F597" s="109" t="str">
        <x:f>IF(OR(A597="",Events!H596=""),"",Events!H596)</x:f>
      </x:c>
      <x:c r="G597" s="109" t="str">
        <x:f>IF(A597="","",IF(Events!I596&lt;&gt;"",Events!I596,IF(Events!S596&lt;&gt;"",Events!S596,"")))</x:f>
      </x:c>
      <x:c r="H597" s="16" t="str">
        <x:f>IF(A597="","",Events!W596)</x:f>
      </x:c>
      <x:c r="I597" s="16" t="str">
        <x:f>IF(A597="","",IF(Events!Y596&lt;&gt;"",Events!Y596,IF(OR(ISNUMBER(SEARCH("education",P597)),ISNUMBER(SEARCH("exam",P597)),ISNUMBER(SEARCH("school",P597))),"Education",IF(OR(ISNUMBER(SEARCH("trade agreement",P597)),ISNUMBER(SEARCH("economic",P597)),ISNUMBER(SEARCH("import",P597))),"Trade &amp; economic policy",IF(OR(ISNUMBER(SEARCH("land acquisition",P597)),ISNUMBER(SEARCH("rehabilitation",P597)),ISNUMBER(SEARCH("displacement",P597)),ISNUMBER(SEARCH("township",P597))),"Land &amp; rehabilitation",IF(OR(ISNUMBER(SEARCH("forest",P597)),ISNUMBER(SEARCH("environment",P597)),ISNUMBER(SEARCH("ecological",P597)),ISNUMBER(SEARCH("biodiversity",P597)),ISNUMBER(SEARCH("green cover",P597))),"Environment",IF(OR(ISNUMBER(SEARCH("irrigation",P597)),ISNUMBER(SEARCH("water",P597)),ISNUMBER(SEARCH("crop",P597)),ISNUMBER(SEARCH("farmer",P597)),ISNUMBER(SEARCH("agriculture",P597))),"Agriculture &amp; water",IF(OR(ISNUMBER(SEARCH("health",P597)),ISNUMBER(SEARCH("hospital",P597)),ISNUMBER(SEARCH("medicine",P597))),"Public health",IF(OR(ISNUMBER(SEARCH("employee",P597)),ISNUMBER(SEARCH("labour",P597)),ISNUMBER(SEARCH("worker",P597)),ISNUMBER(SEARCH("salary",P597))),"Labour &amp; employment",IF(OR(ISNUMBER(SEARCH("rti",P597)),ISNUMBER(SEARCH("transparency",P597)),ISNUMBER(SEARCH("corruption",P597)),ISNUMBER(SEARCH("governance",P597))),"Governance &amp; transparency",IF(OR(ISNUMBER(SEARCH("police",P597)),ISNUMBER(SEARCH("detention",P597)),ISNUMBER(SEARCH("civil rights",P597)),ISNUMBER(SEARCH("justice",P597))),"Civil rights &amp; justice",IF(OR(ISNUMBER(SEARCH("road",P597)),ISNUMBER(SEARCH("utility",P597)),ISNUMBER(SEARCH("infrastructure",P597)),ISNUMBER(SEARCH("public service",P597))),"Infrastructure &amp; public services","Other"))))))))))))</x:f>
      </x:c>
      <x:c r="J597" s="16" t="str">
        <x:f>IF(A597="","",IF(OR(ISNUMBER(SEARCH("fatal",Q597)),ISNUMBER(SEARCH("death",Q597)),ISNUMBER(SEARCH("riot",Q597)),ISNUMBER(SEARCH("curfew",Q597)),ISNUMBER(SEARCH("internet shutdown",Q597))),5,MIN(4,1+IF(H597&gt;=7,1,0)+IF(OR(ISNUMBER(SEARCH("hunger strike",Q597)),ISNUMBER(SEARCH("blockade",Q597)),ISNUMBER(SEARCH("strike",Q597)),ISNUMBER(SEARCH("jal satyagraha",Q597)),ISNUMBER(SEARCH("survey",Q597)),ISNUMBER(SEARCH("human chain",Q597)),ISNUMBER(SEARCH("march",Q597))),1,0)+IF(OR(ISNUMBER(SEARCH("fir",Q597)),ISNUMBER(SEARCH("confrontation",Q597)),ISNUMBER(SEARCH("violence",Q597)),ISNUMBER(SEARCH("detention",Q597)),ISNUMBER(SEARCH("arrest",Q597)),ISNUMBER(SEARCH("demolition",Q597)),ISNUMBER(SEARCH("injury",Q597))),1,0)+IF(OR(D597="Ongoing",D597="Unresolved"),1,0))))</x:f>
      </x:c>
      <x:c r="K597" s="16" t="str">
        <x:f>IF(J597="","",IF(J597=1,"Limited",IF(J597=2,"Local",IF(J597=3,"Significant",IF(J597=4,"High","Critical")))))</x:f>
      </x:c>
      <x:c r="L597" s="16" t="str">
        <x:f>IF(A597="","",Events!U596)</x:f>
      </x:c>
      <x:c r="M597" s="16" t="str">
        <x:f>IF(A597="","",Events!V596)</x:f>
      </x:c>
      <x:c r="N597" s="16" t="str">
        <x:f>IF(A597="","",Events!Q596)</x:f>
      </x:c>
      <x:c r="O597" s="16" t="str">
        <x:f>IF(A597="","",Events!R596)</x:f>
      </x:c>
      <x:c r="P597" s="16" t="str">
        <x:f>IF(A597="","",LOWER(Events!B596&amp;" "&amp;Events!D596&amp;" "&amp;Events!K596))</x:f>
      </x:c>
      <x:c r="Q597" s="16" t="str">
        <x:f>IF(A597="","",LOWER(Events!C596&amp;" "&amp;Events!K596&amp;" "&amp;Events!T596))</x:f>
      </x:c>
      <x:c r="R597" s="16" t="str">
        <x:f>IF(A597="","",IF(ISNUMBER(SEARCH("Occurrence verified",E597)),"Occurrence verified",E597))</x:f>
      </x:c>
      <x:c r="S597" s="79" t="str">
        <x:f>IF(A597="","",Events!X596)</x:f>
      </x:c>
      <x:c r="Z597" s="79" t="str">
        <x:f>IF(A597="","",Events!AD596)</x:f>
      </x:c>
      <x:c r="AA597" s="79" t="str">
        <x:f>IF(A597="","",Events!AE596)</x:f>
      </x:c>
    </x:row>
    <x:row r="598">
      <x:c r="A598" s="16" t="str">
        <x:f>IF(Events!A597="","",Events!A597)</x:f>
      </x:c>
      <x:c r="B598" s="16" t="str">
        <x:f>IF(A598="","",Events!B597)</x:f>
      </x:c>
      <x:c r="C598" s="16" t="str">
        <x:f>IF(A598="","",Events!E597)</x:f>
      </x:c>
      <x:c r="D598" s="16" t="str">
        <x:f>IF(A598="","",Events!J597)</x:f>
      </x:c>
      <x:c r="E598" s="16" t="str">
        <x:f>IF(A598="","",Events!N597)</x:f>
      </x:c>
      <x:c r="F598" s="109" t="str">
        <x:f>IF(OR(A598="",Events!H597=""),"",Events!H597)</x:f>
      </x:c>
      <x:c r="G598" s="109" t="str">
        <x:f>IF(A598="","",IF(Events!I597&lt;&gt;"",Events!I597,IF(Events!S597&lt;&gt;"",Events!S597,"")))</x:f>
      </x:c>
      <x:c r="H598" s="16" t="str">
        <x:f>IF(A598="","",Events!W597)</x:f>
      </x:c>
      <x:c r="I598" s="16" t="str">
        <x:f>IF(A598="","",IF(Events!Y597&lt;&gt;"",Events!Y597,IF(OR(ISNUMBER(SEARCH("education",P598)),ISNUMBER(SEARCH("exam",P598)),ISNUMBER(SEARCH("school",P598))),"Education",IF(OR(ISNUMBER(SEARCH("trade agreement",P598)),ISNUMBER(SEARCH("economic",P598)),ISNUMBER(SEARCH("import",P598))),"Trade &amp; economic policy",IF(OR(ISNUMBER(SEARCH("land acquisition",P598)),ISNUMBER(SEARCH("rehabilitation",P598)),ISNUMBER(SEARCH("displacement",P598)),ISNUMBER(SEARCH("township",P598))),"Land &amp; rehabilitation",IF(OR(ISNUMBER(SEARCH("forest",P598)),ISNUMBER(SEARCH("environment",P598)),ISNUMBER(SEARCH("ecological",P598)),ISNUMBER(SEARCH("biodiversity",P598)),ISNUMBER(SEARCH("green cover",P598))),"Environment",IF(OR(ISNUMBER(SEARCH("irrigation",P598)),ISNUMBER(SEARCH("water",P598)),ISNUMBER(SEARCH("crop",P598)),ISNUMBER(SEARCH("farmer",P598)),ISNUMBER(SEARCH("agriculture",P598))),"Agriculture &amp; water",IF(OR(ISNUMBER(SEARCH("health",P598)),ISNUMBER(SEARCH("hospital",P598)),ISNUMBER(SEARCH("medicine",P598))),"Public health",IF(OR(ISNUMBER(SEARCH("employee",P598)),ISNUMBER(SEARCH("labour",P598)),ISNUMBER(SEARCH("worker",P598)),ISNUMBER(SEARCH("salary",P598))),"Labour &amp; employment",IF(OR(ISNUMBER(SEARCH("rti",P598)),ISNUMBER(SEARCH("transparency",P598)),ISNUMBER(SEARCH("corruption",P598)),ISNUMBER(SEARCH("governance",P598))),"Governance &amp; transparency",IF(OR(ISNUMBER(SEARCH("police",P598)),ISNUMBER(SEARCH("detention",P598)),ISNUMBER(SEARCH("civil rights",P598)),ISNUMBER(SEARCH("justice",P598))),"Civil rights &amp; justice",IF(OR(ISNUMBER(SEARCH("road",P598)),ISNUMBER(SEARCH("utility",P598)),ISNUMBER(SEARCH("infrastructure",P598)),ISNUMBER(SEARCH("public service",P598))),"Infrastructure &amp; public services","Other"))))))))))))</x:f>
      </x:c>
      <x:c r="J598" s="16" t="str">
        <x:f>IF(A598="","",IF(OR(ISNUMBER(SEARCH("fatal",Q598)),ISNUMBER(SEARCH("death",Q598)),ISNUMBER(SEARCH("riot",Q598)),ISNUMBER(SEARCH("curfew",Q598)),ISNUMBER(SEARCH("internet shutdown",Q598))),5,MIN(4,1+IF(H598&gt;=7,1,0)+IF(OR(ISNUMBER(SEARCH("hunger strike",Q598)),ISNUMBER(SEARCH("blockade",Q598)),ISNUMBER(SEARCH("strike",Q598)),ISNUMBER(SEARCH("jal satyagraha",Q598)),ISNUMBER(SEARCH("survey",Q598)),ISNUMBER(SEARCH("human chain",Q598)),ISNUMBER(SEARCH("march",Q598))),1,0)+IF(OR(ISNUMBER(SEARCH("fir",Q598)),ISNUMBER(SEARCH("confrontation",Q598)),ISNUMBER(SEARCH("violence",Q598)),ISNUMBER(SEARCH("detention",Q598)),ISNUMBER(SEARCH("arrest",Q598)),ISNUMBER(SEARCH("demolition",Q598)),ISNUMBER(SEARCH("injury",Q598))),1,0)+IF(OR(D598="Ongoing",D598="Unresolved"),1,0))))</x:f>
      </x:c>
      <x:c r="K598" s="16" t="str">
        <x:f>IF(J598="","",IF(J598=1,"Limited",IF(J598=2,"Local",IF(J598=3,"Significant",IF(J598=4,"High","Critical")))))</x:f>
      </x:c>
      <x:c r="L598" s="16" t="str">
        <x:f>IF(A598="","",Events!U597)</x:f>
      </x:c>
      <x:c r="M598" s="16" t="str">
        <x:f>IF(A598="","",Events!V597)</x:f>
      </x:c>
      <x:c r="N598" s="16" t="str">
        <x:f>IF(A598="","",Events!Q597)</x:f>
      </x:c>
      <x:c r="O598" s="16" t="str">
        <x:f>IF(A598="","",Events!R597)</x:f>
      </x:c>
      <x:c r="P598" s="16" t="str">
        <x:f>IF(A598="","",LOWER(Events!B597&amp;" "&amp;Events!D597&amp;" "&amp;Events!K597))</x:f>
      </x:c>
      <x:c r="Q598" s="16" t="str">
        <x:f>IF(A598="","",LOWER(Events!C597&amp;" "&amp;Events!K597&amp;" "&amp;Events!T597))</x:f>
      </x:c>
      <x:c r="R598" s="16" t="str">
        <x:f>IF(A598="","",IF(ISNUMBER(SEARCH("Occurrence verified",E598)),"Occurrence verified",E598))</x:f>
      </x:c>
      <x:c r="S598" s="79" t="str">
        <x:f>IF(A598="","",Events!X597)</x:f>
      </x:c>
      <x:c r="Z598" s="79" t="str">
        <x:f>IF(A598="","",Events!AD597)</x:f>
      </x:c>
      <x:c r="AA598" s="79" t="str">
        <x:f>IF(A598="","",Events!AE597)</x:f>
      </x:c>
    </x:row>
    <x:row r="599">
      <x:c r="A599" s="16" t="str">
        <x:f>IF(Events!A598="","",Events!A598)</x:f>
      </x:c>
      <x:c r="B599" s="16" t="str">
        <x:f>IF(A599="","",Events!B598)</x:f>
      </x:c>
      <x:c r="C599" s="16" t="str">
        <x:f>IF(A599="","",Events!E598)</x:f>
      </x:c>
      <x:c r="D599" s="16" t="str">
        <x:f>IF(A599="","",Events!J598)</x:f>
      </x:c>
      <x:c r="E599" s="16" t="str">
        <x:f>IF(A599="","",Events!N598)</x:f>
      </x:c>
      <x:c r="F599" s="109" t="str">
        <x:f>IF(OR(A599="",Events!H598=""),"",Events!H598)</x:f>
      </x:c>
      <x:c r="G599" s="109" t="str">
        <x:f>IF(A599="","",IF(Events!I598&lt;&gt;"",Events!I598,IF(Events!S598&lt;&gt;"",Events!S598,"")))</x:f>
      </x:c>
      <x:c r="H599" s="16" t="str">
        <x:f>IF(A599="","",Events!W598)</x:f>
      </x:c>
      <x:c r="I599" s="16" t="str">
        <x:f>IF(A599="","",IF(Events!Y598&lt;&gt;"",Events!Y598,IF(OR(ISNUMBER(SEARCH("education",P599)),ISNUMBER(SEARCH("exam",P599)),ISNUMBER(SEARCH("school",P599))),"Education",IF(OR(ISNUMBER(SEARCH("trade agreement",P599)),ISNUMBER(SEARCH("economic",P599)),ISNUMBER(SEARCH("import",P599))),"Trade &amp; economic policy",IF(OR(ISNUMBER(SEARCH("land acquisition",P599)),ISNUMBER(SEARCH("rehabilitation",P599)),ISNUMBER(SEARCH("displacement",P599)),ISNUMBER(SEARCH("township",P599))),"Land &amp; rehabilitation",IF(OR(ISNUMBER(SEARCH("forest",P599)),ISNUMBER(SEARCH("environment",P599)),ISNUMBER(SEARCH("ecological",P599)),ISNUMBER(SEARCH("biodiversity",P599)),ISNUMBER(SEARCH("green cover",P599))),"Environment",IF(OR(ISNUMBER(SEARCH("irrigation",P599)),ISNUMBER(SEARCH("water",P599)),ISNUMBER(SEARCH("crop",P599)),ISNUMBER(SEARCH("farmer",P599)),ISNUMBER(SEARCH("agriculture",P599))),"Agriculture &amp; water",IF(OR(ISNUMBER(SEARCH("health",P599)),ISNUMBER(SEARCH("hospital",P599)),ISNUMBER(SEARCH("medicine",P599))),"Public health",IF(OR(ISNUMBER(SEARCH("employee",P599)),ISNUMBER(SEARCH("labour",P599)),ISNUMBER(SEARCH("worker",P599)),ISNUMBER(SEARCH("salary",P599))),"Labour &amp; employment",IF(OR(ISNUMBER(SEARCH("rti",P599)),ISNUMBER(SEARCH("transparency",P599)),ISNUMBER(SEARCH("corruption",P599)),ISNUMBER(SEARCH("governance",P599))),"Governance &amp; transparency",IF(OR(ISNUMBER(SEARCH("police",P599)),ISNUMBER(SEARCH("detention",P599)),ISNUMBER(SEARCH("civil rights",P599)),ISNUMBER(SEARCH("justice",P599))),"Civil rights &amp; justice",IF(OR(ISNUMBER(SEARCH("road",P599)),ISNUMBER(SEARCH("utility",P599)),ISNUMBER(SEARCH("infrastructure",P599)),ISNUMBER(SEARCH("public service",P599))),"Infrastructure &amp; public services","Other"))))))))))))</x:f>
      </x:c>
      <x:c r="J599" s="16" t="str">
        <x:f>IF(A599="","",IF(OR(ISNUMBER(SEARCH("fatal",Q599)),ISNUMBER(SEARCH("death",Q599)),ISNUMBER(SEARCH("riot",Q599)),ISNUMBER(SEARCH("curfew",Q599)),ISNUMBER(SEARCH("internet shutdown",Q599))),5,MIN(4,1+IF(H599&gt;=7,1,0)+IF(OR(ISNUMBER(SEARCH("hunger strike",Q599)),ISNUMBER(SEARCH("blockade",Q599)),ISNUMBER(SEARCH("strike",Q599)),ISNUMBER(SEARCH("jal satyagraha",Q599)),ISNUMBER(SEARCH("survey",Q599)),ISNUMBER(SEARCH("human chain",Q599)),ISNUMBER(SEARCH("march",Q599))),1,0)+IF(OR(ISNUMBER(SEARCH("fir",Q599)),ISNUMBER(SEARCH("confrontation",Q599)),ISNUMBER(SEARCH("violence",Q599)),ISNUMBER(SEARCH("detention",Q599)),ISNUMBER(SEARCH("arrest",Q599)),ISNUMBER(SEARCH("demolition",Q599)),ISNUMBER(SEARCH("injury",Q599))),1,0)+IF(OR(D599="Ongoing",D599="Unresolved"),1,0))))</x:f>
      </x:c>
      <x:c r="K599" s="16" t="str">
        <x:f>IF(J599="","",IF(J599=1,"Limited",IF(J599=2,"Local",IF(J599=3,"Significant",IF(J599=4,"High","Critical")))))</x:f>
      </x:c>
      <x:c r="L599" s="16" t="str">
        <x:f>IF(A599="","",Events!U598)</x:f>
      </x:c>
      <x:c r="M599" s="16" t="str">
        <x:f>IF(A599="","",Events!V598)</x:f>
      </x:c>
      <x:c r="N599" s="16" t="str">
        <x:f>IF(A599="","",Events!Q598)</x:f>
      </x:c>
      <x:c r="O599" s="16" t="str">
        <x:f>IF(A599="","",Events!R598)</x:f>
      </x:c>
      <x:c r="P599" s="16" t="str">
        <x:f>IF(A599="","",LOWER(Events!B598&amp;" "&amp;Events!D598&amp;" "&amp;Events!K598))</x:f>
      </x:c>
      <x:c r="Q599" s="16" t="str">
        <x:f>IF(A599="","",LOWER(Events!C598&amp;" "&amp;Events!K598&amp;" "&amp;Events!T598))</x:f>
      </x:c>
      <x:c r="R599" s="16" t="str">
        <x:f>IF(A599="","",IF(ISNUMBER(SEARCH("Occurrence verified",E599)),"Occurrence verified",E599))</x:f>
      </x:c>
      <x:c r="S599" s="79" t="str">
        <x:f>IF(A599="","",Events!X598)</x:f>
      </x:c>
      <x:c r="Z599" s="79" t="str">
        <x:f>IF(A599="","",Events!AD598)</x:f>
      </x:c>
      <x:c r="AA599" s="79" t="str">
        <x:f>IF(A599="","",Events!AE598)</x:f>
      </x:c>
    </x:row>
    <x:row r="600">
      <x:c r="A600" s="16" t="str">
        <x:f>IF(Events!A599="","",Events!A599)</x:f>
      </x:c>
      <x:c r="B600" s="16" t="str">
        <x:f>IF(A600="","",Events!B599)</x:f>
      </x:c>
      <x:c r="C600" s="16" t="str">
        <x:f>IF(A600="","",Events!E599)</x:f>
      </x:c>
      <x:c r="D600" s="16" t="str">
        <x:f>IF(A600="","",Events!J599)</x:f>
      </x:c>
      <x:c r="E600" s="16" t="str">
        <x:f>IF(A600="","",Events!N599)</x:f>
      </x:c>
      <x:c r="F600" s="109" t="str">
        <x:f>IF(OR(A600="",Events!H599=""),"",Events!H599)</x:f>
      </x:c>
      <x:c r="G600" s="109" t="str">
        <x:f>IF(A600="","",IF(Events!I599&lt;&gt;"",Events!I599,IF(Events!S599&lt;&gt;"",Events!S599,"")))</x:f>
      </x:c>
      <x:c r="H600" s="16" t="str">
        <x:f>IF(A600="","",Events!W599)</x:f>
      </x:c>
      <x:c r="I600" s="16" t="str">
        <x:f>IF(A600="","",IF(Events!Y599&lt;&gt;"",Events!Y599,IF(OR(ISNUMBER(SEARCH("education",P600)),ISNUMBER(SEARCH("exam",P600)),ISNUMBER(SEARCH("school",P600))),"Education",IF(OR(ISNUMBER(SEARCH("trade agreement",P600)),ISNUMBER(SEARCH("economic",P600)),ISNUMBER(SEARCH("import",P600))),"Trade &amp; economic policy",IF(OR(ISNUMBER(SEARCH("land acquisition",P600)),ISNUMBER(SEARCH("rehabilitation",P600)),ISNUMBER(SEARCH("displacement",P600)),ISNUMBER(SEARCH("township",P600))),"Land &amp; rehabilitation",IF(OR(ISNUMBER(SEARCH("forest",P600)),ISNUMBER(SEARCH("environment",P600)),ISNUMBER(SEARCH("ecological",P600)),ISNUMBER(SEARCH("biodiversity",P600)),ISNUMBER(SEARCH("green cover",P600))),"Environment",IF(OR(ISNUMBER(SEARCH("irrigation",P600)),ISNUMBER(SEARCH("water",P600)),ISNUMBER(SEARCH("crop",P600)),ISNUMBER(SEARCH("farmer",P600)),ISNUMBER(SEARCH("agriculture",P600))),"Agriculture &amp; water",IF(OR(ISNUMBER(SEARCH("health",P600)),ISNUMBER(SEARCH("hospital",P600)),ISNUMBER(SEARCH("medicine",P600))),"Public health",IF(OR(ISNUMBER(SEARCH("employee",P600)),ISNUMBER(SEARCH("labour",P600)),ISNUMBER(SEARCH("worker",P600)),ISNUMBER(SEARCH("salary",P600))),"Labour &amp; employment",IF(OR(ISNUMBER(SEARCH("rti",P600)),ISNUMBER(SEARCH("transparency",P600)),ISNUMBER(SEARCH("corruption",P600)),ISNUMBER(SEARCH("governance",P600))),"Governance &amp; transparency",IF(OR(ISNUMBER(SEARCH("police",P600)),ISNUMBER(SEARCH("detention",P600)),ISNUMBER(SEARCH("civil rights",P600)),ISNUMBER(SEARCH("justice",P600))),"Civil rights &amp; justice",IF(OR(ISNUMBER(SEARCH("road",P600)),ISNUMBER(SEARCH("utility",P600)),ISNUMBER(SEARCH("infrastructure",P600)),ISNUMBER(SEARCH("public service",P600))),"Infrastructure &amp; public services","Other"))))))))))))</x:f>
      </x:c>
      <x:c r="J600" s="16" t="str">
        <x:f>IF(A600="","",IF(OR(ISNUMBER(SEARCH("fatal",Q600)),ISNUMBER(SEARCH("death",Q600)),ISNUMBER(SEARCH("riot",Q600)),ISNUMBER(SEARCH("curfew",Q600)),ISNUMBER(SEARCH("internet shutdown",Q600))),5,MIN(4,1+IF(H600&gt;=7,1,0)+IF(OR(ISNUMBER(SEARCH("hunger strike",Q600)),ISNUMBER(SEARCH("blockade",Q600)),ISNUMBER(SEARCH("strike",Q600)),ISNUMBER(SEARCH("jal satyagraha",Q600)),ISNUMBER(SEARCH("survey",Q600)),ISNUMBER(SEARCH("human chain",Q600)),ISNUMBER(SEARCH("march",Q600))),1,0)+IF(OR(ISNUMBER(SEARCH("fir",Q600)),ISNUMBER(SEARCH("confrontation",Q600)),ISNUMBER(SEARCH("violence",Q600)),ISNUMBER(SEARCH("detention",Q600)),ISNUMBER(SEARCH("arrest",Q600)),ISNUMBER(SEARCH("demolition",Q600)),ISNUMBER(SEARCH("injury",Q600))),1,0)+IF(OR(D600="Ongoing",D600="Unresolved"),1,0))))</x:f>
      </x:c>
      <x:c r="K600" s="16" t="str">
        <x:f>IF(J600="","",IF(J600=1,"Limited",IF(J600=2,"Local",IF(J600=3,"Significant",IF(J600=4,"High","Critical")))))</x:f>
      </x:c>
      <x:c r="L600" s="16" t="str">
        <x:f>IF(A600="","",Events!U599)</x:f>
      </x:c>
      <x:c r="M600" s="16" t="str">
        <x:f>IF(A600="","",Events!V599)</x:f>
      </x:c>
      <x:c r="N600" s="16" t="str">
        <x:f>IF(A600="","",Events!Q599)</x:f>
      </x:c>
      <x:c r="O600" s="16" t="str">
        <x:f>IF(A600="","",Events!R599)</x:f>
      </x:c>
      <x:c r="P600" s="16" t="str">
        <x:f>IF(A600="","",LOWER(Events!B599&amp;" "&amp;Events!D599&amp;" "&amp;Events!K599))</x:f>
      </x:c>
      <x:c r="Q600" s="16" t="str">
        <x:f>IF(A600="","",LOWER(Events!C599&amp;" "&amp;Events!K599&amp;" "&amp;Events!T599))</x:f>
      </x:c>
      <x:c r="R600" s="16" t="str">
        <x:f>IF(A600="","",IF(ISNUMBER(SEARCH("Occurrence verified",E600)),"Occurrence verified",E600))</x:f>
      </x:c>
      <x:c r="S600" s="79" t="str">
        <x:f>IF(A600="","",Events!X599)</x:f>
      </x:c>
      <x:c r="Z600" s="79" t="str">
        <x:f>IF(A600="","",Events!AD599)</x:f>
      </x:c>
      <x:c r="AA600" s="79" t="str">
        <x:f>IF(A600="","",Events!AE599)</x:f>
      </x:c>
    </x:row>
    <x:row r="601">
      <x:c r="A601" s="16" t="str">
        <x:f>IF(Events!A600="","",Events!A600)</x:f>
      </x:c>
      <x:c r="B601" s="16" t="str">
        <x:f>IF(A601="","",Events!B600)</x:f>
      </x:c>
      <x:c r="C601" s="16" t="str">
        <x:f>IF(A601="","",Events!E600)</x:f>
      </x:c>
      <x:c r="D601" s="16" t="str">
        <x:f>IF(A601="","",Events!J600)</x:f>
      </x:c>
      <x:c r="E601" s="16" t="str">
        <x:f>IF(A601="","",Events!N600)</x:f>
      </x:c>
      <x:c r="F601" s="109" t="str">
        <x:f>IF(OR(A601="",Events!H600=""),"",Events!H600)</x:f>
      </x:c>
      <x:c r="G601" s="109" t="str">
        <x:f>IF(A601="","",IF(Events!I600&lt;&gt;"",Events!I600,IF(Events!S600&lt;&gt;"",Events!S600,"")))</x:f>
      </x:c>
      <x:c r="H601" s="16" t="str">
        <x:f>IF(A601="","",Events!W600)</x:f>
      </x:c>
      <x:c r="I601" s="16" t="str">
        <x:f>IF(A601="","",IF(Events!Y600&lt;&gt;"",Events!Y600,IF(OR(ISNUMBER(SEARCH("education",P601)),ISNUMBER(SEARCH("exam",P601)),ISNUMBER(SEARCH("school",P601))),"Education",IF(OR(ISNUMBER(SEARCH("trade agreement",P601)),ISNUMBER(SEARCH("economic",P601)),ISNUMBER(SEARCH("import",P601))),"Trade &amp; economic policy",IF(OR(ISNUMBER(SEARCH("land acquisition",P601)),ISNUMBER(SEARCH("rehabilitation",P601)),ISNUMBER(SEARCH("displacement",P601)),ISNUMBER(SEARCH("township",P601))),"Land &amp; rehabilitation",IF(OR(ISNUMBER(SEARCH("forest",P601)),ISNUMBER(SEARCH("environment",P601)),ISNUMBER(SEARCH("ecological",P601)),ISNUMBER(SEARCH("biodiversity",P601)),ISNUMBER(SEARCH("green cover",P601))),"Environment",IF(OR(ISNUMBER(SEARCH("irrigation",P601)),ISNUMBER(SEARCH("water",P601)),ISNUMBER(SEARCH("crop",P601)),ISNUMBER(SEARCH("farmer",P601)),ISNUMBER(SEARCH("agriculture",P601))),"Agriculture &amp; water",IF(OR(ISNUMBER(SEARCH("health",P601)),ISNUMBER(SEARCH("hospital",P601)),ISNUMBER(SEARCH("medicine",P601))),"Public health",IF(OR(ISNUMBER(SEARCH("employee",P601)),ISNUMBER(SEARCH("labour",P601)),ISNUMBER(SEARCH("worker",P601)),ISNUMBER(SEARCH("salary",P601))),"Labour &amp; employment",IF(OR(ISNUMBER(SEARCH("rti",P601)),ISNUMBER(SEARCH("transparency",P601)),ISNUMBER(SEARCH("corruption",P601)),ISNUMBER(SEARCH("governance",P601))),"Governance &amp; transparency",IF(OR(ISNUMBER(SEARCH("police",P601)),ISNUMBER(SEARCH("detention",P601)),ISNUMBER(SEARCH("civil rights",P601)),ISNUMBER(SEARCH("justice",P601))),"Civil rights &amp; justice",IF(OR(ISNUMBER(SEARCH("road",P601)),ISNUMBER(SEARCH("utility",P601)),ISNUMBER(SEARCH("infrastructure",P601)),ISNUMBER(SEARCH("public service",P601))),"Infrastructure &amp; public services","Other"))))))))))))</x:f>
      </x:c>
      <x:c r="J601" s="16" t="str">
        <x:f>IF(A601="","",IF(OR(ISNUMBER(SEARCH("fatal",Q601)),ISNUMBER(SEARCH("death",Q601)),ISNUMBER(SEARCH("riot",Q601)),ISNUMBER(SEARCH("curfew",Q601)),ISNUMBER(SEARCH("internet shutdown",Q601))),5,MIN(4,1+IF(H601&gt;=7,1,0)+IF(OR(ISNUMBER(SEARCH("hunger strike",Q601)),ISNUMBER(SEARCH("blockade",Q601)),ISNUMBER(SEARCH("strike",Q601)),ISNUMBER(SEARCH("jal satyagraha",Q601)),ISNUMBER(SEARCH("survey",Q601)),ISNUMBER(SEARCH("human chain",Q601)),ISNUMBER(SEARCH("march",Q601))),1,0)+IF(OR(ISNUMBER(SEARCH("fir",Q601)),ISNUMBER(SEARCH("confrontation",Q601)),ISNUMBER(SEARCH("violence",Q601)),ISNUMBER(SEARCH("detention",Q601)),ISNUMBER(SEARCH("arrest",Q601)),ISNUMBER(SEARCH("demolition",Q601)),ISNUMBER(SEARCH("injury",Q601))),1,0)+IF(OR(D601="Ongoing",D601="Unresolved"),1,0))))</x:f>
      </x:c>
      <x:c r="K601" s="16" t="str">
        <x:f>IF(J601="","",IF(J601=1,"Limited",IF(J601=2,"Local",IF(J601=3,"Significant",IF(J601=4,"High","Critical")))))</x:f>
      </x:c>
      <x:c r="L601" s="16" t="str">
        <x:f>IF(A601="","",Events!U600)</x:f>
      </x:c>
      <x:c r="M601" s="16" t="str">
        <x:f>IF(A601="","",Events!V600)</x:f>
      </x:c>
      <x:c r="N601" s="16" t="str">
        <x:f>IF(A601="","",Events!Q600)</x:f>
      </x:c>
      <x:c r="O601" s="16" t="str">
        <x:f>IF(A601="","",Events!R600)</x:f>
      </x:c>
      <x:c r="P601" s="16" t="str">
        <x:f>IF(A601="","",LOWER(Events!B600&amp;" "&amp;Events!D600&amp;" "&amp;Events!K600))</x:f>
      </x:c>
      <x:c r="Q601" s="16" t="str">
        <x:f>IF(A601="","",LOWER(Events!C600&amp;" "&amp;Events!K600&amp;" "&amp;Events!T600))</x:f>
      </x:c>
      <x:c r="R601" s="16" t="str">
        <x:f>IF(A601="","",IF(ISNUMBER(SEARCH("Occurrence verified",E601)),"Occurrence verified",E601))</x:f>
      </x:c>
      <x:c r="S601" s="79" t="str">
        <x:f>IF(A601="","",Events!X600)</x:f>
      </x:c>
      <x:c r="Z601" s="79" t="str">
        <x:f>IF(A601="","",Events!AD600)</x:f>
      </x:c>
      <x:c r="AA601" s="79" t="str">
        <x:f>IF(A601="","",Events!AE600)</x:f>
      </x:c>
    </x:row>
    <x:row r="602">
      <x:c r="A602" s="16" t="str">
        <x:f>IF(Events!A601="","",Events!A601)</x:f>
      </x:c>
      <x:c r="B602" s="16" t="str">
        <x:f>IF(A602="","",Events!B601)</x:f>
      </x:c>
      <x:c r="C602" s="16" t="str">
        <x:f>IF(A602="","",Events!E601)</x:f>
      </x:c>
      <x:c r="D602" s="16" t="str">
        <x:f>IF(A602="","",Events!J601)</x:f>
      </x:c>
      <x:c r="E602" s="16" t="str">
        <x:f>IF(A602="","",Events!N601)</x:f>
      </x:c>
      <x:c r="F602" s="109" t="str">
        <x:f>IF(OR(A602="",Events!H601=""),"",Events!H601)</x:f>
      </x:c>
      <x:c r="G602" s="109" t="str">
        <x:f>IF(A602="","",IF(Events!I601&lt;&gt;"",Events!I601,IF(Events!S601&lt;&gt;"",Events!S601,"")))</x:f>
      </x:c>
      <x:c r="H602" s="16" t="str">
        <x:f>IF(A602="","",Events!W601)</x:f>
      </x:c>
      <x:c r="I602" s="16" t="str">
        <x:f>IF(A602="","",IF(Events!Y601&lt;&gt;"",Events!Y601,IF(OR(ISNUMBER(SEARCH("education",P602)),ISNUMBER(SEARCH("exam",P602)),ISNUMBER(SEARCH("school",P602))),"Education",IF(OR(ISNUMBER(SEARCH("trade agreement",P602)),ISNUMBER(SEARCH("economic",P602)),ISNUMBER(SEARCH("import",P602))),"Trade &amp; economic policy",IF(OR(ISNUMBER(SEARCH("land acquisition",P602)),ISNUMBER(SEARCH("rehabilitation",P602)),ISNUMBER(SEARCH("displacement",P602)),ISNUMBER(SEARCH("township",P602))),"Land &amp; rehabilitation",IF(OR(ISNUMBER(SEARCH("forest",P602)),ISNUMBER(SEARCH("environment",P602)),ISNUMBER(SEARCH("ecological",P602)),ISNUMBER(SEARCH("biodiversity",P602)),ISNUMBER(SEARCH("green cover",P602))),"Environment",IF(OR(ISNUMBER(SEARCH("irrigation",P602)),ISNUMBER(SEARCH("water",P602)),ISNUMBER(SEARCH("crop",P602)),ISNUMBER(SEARCH("farmer",P602)),ISNUMBER(SEARCH("agriculture",P602))),"Agriculture &amp; water",IF(OR(ISNUMBER(SEARCH("health",P602)),ISNUMBER(SEARCH("hospital",P602)),ISNUMBER(SEARCH("medicine",P602))),"Public health",IF(OR(ISNUMBER(SEARCH("employee",P602)),ISNUMBER(SEARCH("labour",P602)),ISNUMBER(SEARCH("worker",P602)),ISNUMBER(SEARCH("salary",P602))),"Labour &amp; employment",IF(OR(ISNUMBER(SEARCH("rti",P602)),ISNUMBER(SEARCH("transparency",P602)),ISNUMBER(SEARCH("corruption",P602)),ISNUMBER(SEARCH("governance",P602))),"Governance &amp; transparency",IF(OR(ISNUMBER(SEARCH("police",P602)),ISNUMBER(SEARCH("detention",P602)),ISNUMBER(SEARCH("civil rights",P602)),ISNUMBER(SEARCH("justice",P602))),"Civil rights &amp; justice",IF(OR(ISNUMBER(SEARCH("road",P602)),ISNUMBER(SEARCH("utility",P602)),ISNUMBER(SEARCH("infrastructure",P602)),ISNUMBER(SEARCH("public service",P602))),"Infrastructure &amp; public services","Other"))))))))))))</x:f>
      </x:c>
      <x:c r="J602" s="16" t="str">
        <x:f>IF(A602="","",IF(OR(ISNUMBER(SEARCH("fatal",Q602)),ISNUMBER(SEARCH("death",Q602)),ISNUMBER(SEARCH("riot",Q602)),ISNUMBER(SEARCH("curfew",Q602)),ISNUMBER(SEARCH("internet shutdown",Q602))),5,MIN(4,1+IF(H602&gt;=7,1,0)+IF(OR(ISNUMBER(SEARCH("hunger strike",Q602)),ISNUMBER(SEARCH("blockade",Q602)),ISNUMBER(SEARCH("strike",Q602)),ISNUMBER(SEARCH("jal satyagraha",Q602)),ISNUMBER(SEARCH("survey",Q602)),ISNUMBER(SEARCH("human chain",Q602)),ISNUMBER(SEARCH("march",Q602))),1,0)+IF(OR(ISNUMBER(SEARCH("fir",Q602)),ISNUMBER(SEARCH("confrontation",Q602)),ISNUMBER(SEARCH("violence",Q602)),ISNUMBER(SEARCH("detention",Q602)),ISNUMBER(SEARCH("arrest",Q602)),ISNUMBER(SEARCH("demolition",Q602)),ISNUMBER(SEARCH("injury",Q602))),1,0)+IF(OR(D602="Ongoing",D602="Unresolved"),1,0))))</x:f>
      </x:c>
      <x:c r="K602" s="16" t="str">
        <x:f>IF(J602="","",IF(J602=1,"Limited",IF(J602=2,"Local",IF(J602=3,"Significant",IF(J602=4,"High","Critical")))))</x:f>
      </x:c>
      <x:c r="L602" s="16" t="str">
        <x:f>IF(A602="","",Events!U601)</x:f>
      </x:c>
      <x:c r="M602" s="16" t="str">
        <x:f>IF(A602="","",Events!V601)</x:f>
      </x:c>
      <x:c r="N602" s="16" t="str">
        <x:f>IF(A602="","",Events!Q601)</x:f>
      </x:c>
      <x:c r="O602" s="16" t="str">
        <x:f>IF(A602="","",Events!R601)</x:f>
      </x:c>
      <x:c r="P602" s="16" t="str">
        <x:f>IF(A602="","",LOWER(Events!B601&amp;" "&amp;Events!D601&amp;" "&amp;Events!K601))</x:f>
      </x:c>
      <x:c r="Q602" s="16" t="str">
        <x:f>IF(A602="","",LOWER(Events!C601&amp;" "&amp;Events!K601&amp;" "&amp;Events!T601))</x:f>
      </x:c>
      <x:c r="R602" s="16" t="str">
        <x:f>IF(A602="","",IF(ISNUMBER(SEARCH("Occurrence verified",E602)),"Occurrence verified",E602))</x:f>
      </x:c>
      <x:c r="S602" s="79" t="str">
        <x:f>IF(A602="","",Events!X601)</x:f>
      </x:c>
      <x:c r="Z602" s="79" t="str">
        <x:f>IF(A602="","",Events!AD601)</x:f>
      </x:c>
      <x:c r="AA602" s="79" t="str">
        <x:f>IF(A602="","",Events!AE601)</x:f>
      </x:c>
    </x:row>
    <x:row r="603">
      <x:c r="A603" s="16" t="str">
        <x:f>IF(Events!A602="","",Events!A602)</x:f>
      </x:c>
      <x:c r="B603" s="16" t="str">
        <x:f>IF(A603="","",Events!B602)</x:f>
      </x:c>
      <x:c r="C603" s="16" t="str">
        <x:f>IF(A603="","",Events!E602)</x:f>
      </x:c>
      <x:c r="D603" s="16" t="str">
        <x:f>IF(A603="","",Events!J602)</x:f>
      </x:c>
      <x:c r="E603" s="16" t="str">
        <x:f>IF(A603="","",Events!N602)</x:f>
      </x:c>
      <x:c r="F603" s="109" t="str">
        <x:f>IF(OR(A603="",Events!H602=""),"",Events!H602)</x:f>
      </x:c>
      <x:c r="G603" s="109" t="str">
        <x:f>IF(A603="","",IF(Events!I602&lt;&gt;"",Events!I602,IF(Events!S602&lt;&gt;"",Events!S602,"")))</x:f>
      </x:c>
      <x:c r="H603" s="16" t="str">
        <x:f>IF(A603="","",Events!W602)</x:f>
      </x:c>
      <x:c r="I603" s="16" t="str">
        <x:f>IF(A603="","",IF(Events!Y602&lt;&gt;"",Events!Y602,IF(OR(ISNUMBER(SEARCH("education",P603)),ISNUMBER(SEARCH("exam",P603)),ISNUMBER(SEARCH("school",P603))),"Education",IF(OR(ISNUMBER(SEARCH("trade agreement",P603)),ISNUMBER(SEARCH("economic",P603)),ISNUMBER(SEARCH("import",P603))),"Trade &amp; economic policy",IF(OR(ISNUMBER(SEARCH("land acquisition",P603)),ISNUMBER(SEARCH("rehabilitation",P603)),ISNUMBER(SEARCH("displacement",P603)),ISNUMBER(SEARCH("township",P603))),"Land &amp; rehabilitation",IF(OR(ISNUMBER(SEARCH("forest",P603)),ISNUMBER(SEARCH("environment",P603)),ISNUMBER(SEARCH("ecological",P603)),ISNUMBER(SEARCH("biodiversity",P603)),ISNUMBER(SEARCH("green cover",P603))),"Environment",IF(OR(ISNUMBER(SEARCH("irrigation",P603)),ISNUMBER(SEARCH("water",P603)),ISNUMBER(SEARCH("crop",P603)),ISNUMBER(SEARCH("farmer",P603)),ISNUMBER(SEARCH("agriculture",P603))),"Agriculture &amp; water",IF(OR(ISNUMBER(SEARCH("health",P603)),ISNUMBER(SEARCH("hospital",P603)),ISNUMBER(SEARCH("medicine",P603))),"Public health",IF(OR(ISNUMBER(SEARCH("employee",P603)),ISNUMBER(SEARCH("labour",P603)),ISNUMBER(SEARCH("worker",P603)),ISNUMBER(SEARCH("salary",P603))),"Labour &amp; employment",IF(OR(ISNUMBER(SEARCH("rti",P603)),ISNUMBER(SEARCH("transparency",P603)),ISNUMBER(SEARCH("corruption",P603)),ISNUMBER(SEARCH("governance",P603))),"Governance &amp; transparency",IF(OR(ISNUMBER(SEARCH("police",P603)),ISNUMBER(SEARCH("detention",P603)),ISNUMBER(SEARCH("civil rights",P603)),ISNUMBER(SEARCH("justice",P603))),"Civil rights &amp; justice",IF(OR(ISNUMBER(SEARCH("road",P603)),ISNUMBER(SEARCH("utility",P603)),ISNUMBER(SEARCH("infrastructure",P603)),ISNUMBER(SEARCH("public service",P603))),"Infrastructure &amp; public services","Other"))))))))))))</x:f>
      </x:c>
      <x:c r="J603" s="16" t="str">
        <x:f>IF(A603="","",IF(OR(ISNUMBER(SEARCH("fatal",Q603)),ISNUMBER(SEARCH("death",Q603)),ISNUMBER(SEARCH("riot",Q603)),ISNUMBER(SEARCH("curfew",Q603)),ISNUMBER(SEARCH("internet shutdown",Q603))),5,MIN(4,1+IF(H603&gt;=7,1,0)+IF(OR(ISNUMBER(SEARCH("hunger strike",Q603)),ISNUMBER(SEARCH("blockade",Q603)),ISNUMBER(SEARCH("strike",Q603)),ISNUMBER(SEARCH("jal satyagraha",Q603)),ISNUMBER(SEARCH("survey",Q603)),ISNUMBER(SEARCH("human chain",Q603)),ISNUMBER(SEARCH("march",Q603))),1,0)+IF(OR(ISNUMBER(SEARCH("fir",Q603)),ISNUMBER(SEARCH("confrontation",Q603)),ISNUMBER(SEARCH("violence",Q603)),ISNUMBER(SEARCH("detention",Q603)),ISNUMBER(SEARCH("arrest",Q603)),ISNUMBER(SEARCH("demolition",Q603)),ISNUMBER(SEARCH("injury",Q603))),1,0)+IF(OR(D603="Ongoing",D603="Unresolved"),1,0))))</x:f>
      </x:c>
      <x:c r="K603" s="16" t="str">
        <x:f>IF(J603="","",IF(J603=1,"Limited",IF(J603=2,"Local",IF(J603=3,"Significant",IF(J603=4,"High","Critical")))))</x:f>
      </x:c>
      <x:c r="L603" s="16" t="str">
        <x:f>IF(A603="","",Events!U602)</x:f>
      </x:c>
      <x:c r="M603" s="16" t="str">
        <x:f>IF(A603="","",Events!V602)</x:f>
      </x:c>
      <x:c r="N603" s="16" t="str">
        <x:f>IF(A603="","",Events!Q602)</x:f>
      </x:c>
      <x:c r="O603" s="16" t="str">
        <x:f>IF(A603="","",Events!R602)</x:f>
      </x:c>
      <x:c r="P603" s="16" t="str">
        <x:f>IF(A603="","",LOWER(Events!B602&amp;" "&amp;Events!D602&amp;" "&amp;Events!K602))</x:f>
      </x:c>
      <x:c r="Q603" s="16" t="str">
        <x:f>IF(A603="","",LOWER(Events!C602&amp;" "&amp;Events!K602&amp;" "&amp;Events!T602))</x:f>
      </x:c>
      <x:c r="R603" s="16" t="str">
        <x:f>IF(A603="","",IF(ISNUMBER(SEARCH("Occurrence verified",E603)),"Occurrence verified",E603))</x:f>
      </x:c>
      <x:c r="S603" s="79" t="str">
        <x:f>IF(A603="","",Events!X602)</x:f>
      </x:c>
      <x:c r="Z603" s="79" t="str">
        <x:f>IF(A603="","",Events!AD602)</x:f>
      </x:c>
      <x:c r="AA603" s="79" t="str">
        <x:f>IF(A603="","",Events!AE602)</x:f>
      </x:c>
    </x:row>
    <x:row r="604">
      <x:c r="A604" s="16" t="str">
        <x:f>IF(Events!A603="","",Events!A603)</x:f>
      </x:c>
      <x:c r="B604" s="16" t="str">
        <x:f>IF(A604="","",Events!B603)</x:f>
      </x:c>
      <x:c r="C604" s="16" t="str">
        <x:f>IF(A604="","",Events!E603)</x:f>
      </x:c>
      <x:c r="D604" s="16" t="str">
        <x:f>IF(A604="","",Events!J603)</x:f>
      </x:c>
      <x:c r="E604" s="16" t="str">
        <x:f>IF(A604="","",Events!N603)</x:f>
      </x:c>
      <x:c r="F604" s="109" t="str">
        <x:f>IF(OR(A604="",Events!H603=""),"",Events!H603)</x:f>
      </x:c>
      <x:c r="G604" s="109" t="str">
        <x:f>IF(A604="","",IF(Events!I603&lt;&gt;"",Events!I603,IF(Events!S603&lt;&gt;"",Events!S603,"")))</x:f>
      </x:c>
      <x:c r="H604" s="16" t="str">
        <x:f>IF(A604="","",Events!W603)</x:f>
      </x:c>
      <x:c r="I604" s="16" t="str">
        <x:f>IF(A604="","",IF(Events!Y603&lt;&gt;"",Events!Y603,IF(OR(ISNUMBER(SEARCH("education",P604)),ISNUMBER(SEARCH("exam",P604)),ISNUMBER(SEARCH("school",P604))),"Education",IF(OR(ISNUMBER(SEARCH("trade agreement",P604)),ISNUMBER(SEARCH("economic",P604)),ISNUMBER(SEARCH("import",P604))),"Trade &amp; economic policy",IF(OR(ISNUMBER(SEARCH("land acquisition",P604)),ISNUMBER(SEARCH("rehabilitation",P604)),ISNUMBER(SEARCH("displacement",P604)),ISNUMBER(SEARCH("township",P604))),"Land &amp; rehabilitation",IF(OR(ISNUMBER(SEARCH("forest",P604)),ISNUMBER(SEARCH("environment",P604)),ISNUMBER(SEARCH("ecological",P604)),ISNUMBER(SEARCH("biodiversity",P604)),ISNUMBER(SEARCH("green cover",P604))),"Environment",IF(OR(ISNUMBER(SEARCH("irrigation",P604)),ISNUMBER(SEARCH("water",P604)),ISNUMBER(SEARCH("crop",P604)),ISNUMBER(SEARCH("farmer",P604)),ISNUMBER(SEARCH("agriculture",P604))),"Agriculture &amp; water",IF(OR(ISNUMBER(SEARCH("health",P604)),ISNUMBER(SEARCH("hospital",P604)),ISNUMBER(SEARCH("medicine",P604))),"Public health",IF(OR(ISNUMBER(SEARCH("employee",P604)),ISNUMBER(SEARCH("labour",P604)),ISNUMBER(SEARCH("worker",P604)),ISNUMBER(SEARCH("salary",P604))),"Labour &amp; employment",IF(OR(ISNUMBER(SEARCH("rti",P604)),ISNUMBER(SEARCH("transparency",P604)),ISNUMBER(SEARCH("corruption",P604)),ISNUMBER(SEARCH("governance",P604))),"Governance &amp; transparency",IF(OR(ISNUMBER(SEARCH("police",P604)),ISNUMBER(SEARCH("detention",P604)),ISNUMBER(SEARCH("civil rights",P604)),ISNUMBER(SEARCH("justice",P604))),"Civil rights &amp; justice",IF(OR(ISNUMBER(SEARCH("road",P604)),ISNUMBER(SEARCH("utility",P604)),ISNUMBER(SEARCH("infrastructure",P604)),ISNUMBER(SEARCH("public service",P604))),"Infrastructure &amp; public services","Other"))))))))))))</x:f>
      </x:c>
      <x:c r="J604" s="16" t="str">
        <x:f>IF(A604="","",IF(OR(ISNUMBER(SEARCH("fatal",Q604)),ISNUMBER(SEARCH("death",Q604)),ISNUMBER(SEARCH("riot",Q604)),ISNUMBER(SEARCH("curfew",Q604)),ISNUMBER(SEARCH("internet shutdown",Q604))),5,MIN(4,1+IF(H604&gt;=7,1,0)+IF(OR(ISNUMBER(SEARCH("hunger strike",Q604)),ISNUMBER(SEARCH("blockade",Q604)),ISNUMBER(SEARCH("strike",Q604)),ISNUMBER(SEARCH("jal satyagraha",Q604)),ISNUMBER(SEARCH("survey",Q604)),ISNUMBER(SEARCH("human chain",Q604)),ISNUMBER(SEARCH("march",Q604))),1,0)+IF(OR(ISNUMBER(SEARCH("fir",Q604)),ISNUMBER(SEARCH("confrontation",Q604)),ISNUMBER(SEARCH("violence",Q604)),ISNUMBER(SEARCH("detention",Q604)),ISNUMBER(SEARCH("arrest",Q604)),ISNUMBER(SEARCH("demolition",Q604)),ISNUMBER(SEARCH("injury",Q604))),1,0)+IF(OR(D604="Ongoing",D604="Unresolved"),1,0))))</x:f>
      </x:c>
      <x:c r="K604" s="16" t="str">
        <x:f>IF(J604="","",IF(J604=1,"Limited",IF(J604=2,"Local",IF(J604=3,"Significant",IF(J604=4,"High","Critical")))))</x:f>
      </x:c>
      <x:c r="L604" s="16" t="str">
        <x:f>IF(A604="","",Events!U603)</x:f>
      </x:c>
      <x:c r="M604" s="16" t="str">
        <x:f>IF(A604="","",Events!V603)</x:f>
      </x:c>
      <x:c r="N604" s="16" t="str">
        <x:f>IF(A604="","",Events!Q603)</x:f>
      </x:c>
      <x:c r="O604" s="16" t="str">
        <x:f>IF(A604="","",Events!R603)</x:f>
      </x:c>
      <x:c r="P604" s="16" t="str">
        <x:f>IF(A604="","",LOWER(Events!B603&amp;" "&amp;Events!D603&amp;" "&amp;Events!K603))</x:f>
      </x:c>
      <x:c r="Q604" s="16" t="str">
        <x:f>IF(A604="","",LOWER(Events!C603&amp;" "&amp;Events!K603&amp;" "&amp;Events!T603))</x:f>
      </x:c>
      <x:c r="R604" s="16" t="str">
        <x:f>IF(A604="","",IF(ISNUMBER(SEARCH("Occurrence verified",E604)),"Occurrence verified",E604))</x:f>
      </x:c>
      <x:c r="S604" s="79" t="str">
        <x:f>IF(A604="","",Events!X603)</x:f>
      </x:c>
      <x:c r="Z604" s="79" t="str">
        <x:f>IF(A604="","",Events!AD603)</x:f>
      </x:c>
      <x:c r="AA604" s="79" t="str">
        <x:f>IF(A604="","",Events!AE603)</x:f>
      </x:c>
    </x:row>
    <x:row r="605">
      <x:c r="A605" s="16" t="str">
        <x:f>IF(Events!A604="","",Events!A604)</x:f>
      </x:c>
      <x:c r="B605" s="16" t="str">
        <x:f>IF(A605="","",Events!B604)</x:f>
      </x:c>
      <x:c r="C605" s="16" t="str">
        <x:f>IF(A605="","",Events!E604)</x:f>
      </x:c>
      <x:c r="D605" s="16" t="str">
        <x:f>IF(A605="","",Events!J604)</x:f>
      </x:c>
      <x:c r="E605" s="16" t="str">
        <x:f>IF(A605="","",Events!N604)</x:f>
      </x:c>
      <x:c r="F605" s="109" t="str">
        <x:f>IF(OR(A605="",Events!H604=""),"",Events!H604)</x:f>
      </x:c>
      <x:c r="G605" s="109" t="str">
        <x:f>IF(A605="","",IF(Events!I604&lt;&gt;"",Events!I604,IF(Events!S604&lt;&gt;"",Events!S604,"")))</x:f>
      </x:c>
      <x:c r="H605" s="16" t="str">
        <x:f>IF(A605="","",Events!W604)</x:f>
      </x:c>
      <x:c r="I605" s="16" t="str">
        <x:f>IF(A605="","",IF(Events!Y604&lt;&gt;"",Events!Y604,IF(OR(ISNUMBER(SEARCH("education",P605)),ISNUMBER(SEARCH("exam",P605)),ISNUMBER(SEARCH("school",P605))),"Education",IF(OR(ISNUMBER(SEARCH("trade agreement",P605)),ISNUMBER(SEARCH("economic",P605)),ISNUMBER(SEARCH("import",P605))),"Trade &amp; economic policy",IF(OR(ISNUMBER(SEARCH("land acquisition",P605)),ISNUMBER(SEARCH("rehabilitation",P605)),ISNUMBER(SEARCH("displacement",P605)),ISNUMBER(SEARCH("township",P605))),"Land &amp; rehabilitation",IF(OR(ISNUMBER(SEARCH("forest",P605)),ISNUMBER(SEARCH("environment",P605)),ISNUMBER(SEARCH("ecological",P605)),ISNUMBER(SEARCH("biodiversity",P605)),ISNUMBER(SEARCH("green cover",P605))),"Environment",IF(OR(ISNUMBER(SEARCH("irrigation",P605)),ISNUMBER(SEARCH("water",P605)),ISNUMBER(SEARCH("crop",P605)),ISNUMBER(SEARCH("farmer",P605)),ISNUMBER(SEARCH("agriculture",P605))),"Agriculture &amp; water",IF(OR(ISNUMBER(SEARCH("health",P605)),ISNUMBER(SEARCH("hospital",P605)),ISNUMBER(SEARCH("medicine",P605))),"Public health",IF(OR(ISNUMBER(SEARCH("employee",P605)),ISNUMBER(SEARCH("labour",P605)),ISNUMBER(SEARCH("worker",P605)),ISNUMBER(SEARCH("salary",P605))),"Labour &amp; employment",IF(OR(ISNUMBER(SEARCH("rti",P605)),ISNUMBER(SEARCH("transparency",P605)),ISNUMBER(SEARCH("corruption",P605)),ISNUMBER(SEARCH("governance",P605))),"Governance &amp; transparency",IF(OR(ISNUMBER(SEARCH("police",P605)),ISNUMBER(SEARCH("detention",P605)),ISNUMBER(SEARCH("civil rights",P605)),ISNUMBER(SEARCH("justice",P605))),"Civil rights &amp; justice",IF(OR(ISNUMBER(SEARCH("road",P605)),ISNUMBER(SEARCH("utility",P605)),ISNUMBER(SEARCH("infrastructure",P605)),ISNUMBER(SEARCH("public service",P605))),"Infrastructure &amp; public services","Other"))))))))))))</x:f>
      </x:c>
      <x:c r="J605" s="16" t="str">
        <x:f>IF(A605="","",IF(OR(ISNUMBER(SEARCH("fatal",Q605)),ISNUMBER(SEARCH("death",Q605)),ISNUMBER(SEARCH("riot",Q605)),ISNUMBER(SEARCH("curfew",Q605)),ISNUMBER(SEARCH("internet shutdown",Q605))),5,MIN(4,1+IF(H605&gt;=7,1,0)+IF(OR(ISNUMBER(SEARCH("hunger strike",Q605)),ISNUMBER(SEARCH("blockade",Q605)),ISNUMBER(SEARCH("strike",Q605)),ISNUMBER(SEARCH("jal satyagraha",Q605)),ISNUMBER(SEARCH("survey",Q605)),ISNUMBER(SEARCH("human chain",Q605)),ISNUMBER(SEARCH("march",Q605))),1,0)+IF(OR(ISNUMBER(SEARCH("fir",Q605)),ISNUMBER(SEARCH("confrontation",Q605)),ISNUMBER(SEARCH("violence",Q605)),ISNUMBER(SEARCH("detention",Q605)),ISNUMBER(SEARCH("arrest",Q605)),ISNUMBER(SEARCH("demolition",Q605)),ISNUMBER(SEARCH("injury",Q605))),1,0)+IF(OR(D605="Ongoing",D605="Unresolved"),1,0))))</x:f>
      </x:c>
      <x:c r="K605" s="16" t="str">
        <x:f>IF(J605="","",IF(J605=1,"Limited",IF(J605=2,"Local",IF(J605=3,"Significant",IF(J605=4,"High","Critical")))))</x:f>
      </x:c>
      <x:c r="L605" s="16" t="str">
        <x:f>IF(A605="","",Events!U604)</x:f>
      </x:c>
      <x:c r="M605" s="16" t="str">
        <x:f>IF(A605="","",Events!V604)</x:f>
      </x:c>
      <x:c r="N605" s="16" t="str">
        <x:f>IF(A605="","",Events!Q604)</x:f>
      </x:c>
      <x:c r="O605" s="16" t="str">
        <x:f>IF(A605="","",Events!R604)</x:f>
      </x:c>
      <x:c r="P605" s="16" t="str">
        <x:f>IF(A605="","",LOWER(Events!B604&amp;" "&amp;Events!D604&amp;" "&amp;Events!K604))</x:f>
      </x:c>
      <x:c r="Q605" s="16" t="str">
        <x:f>IF(A605="","",LOWER(Events!C604&amp;" "&amp;Events!K604&amp;" "&amp;Events!T604))</x:f>
      </x:c>
      <x:c r="R605" s="16" t="str">
        <x:f>IF(A605="","",IF(ISNUMBER(SEARCH("Occurrence verified",E605)),"Occurrence verified",E605))</x:f>
      </x:c>
      <x:c r="S605" s="79" t="str">
        <x:f>IF(A605="","",Events!X604)</x:f>
      </x:c>
      <x:c r="Z605" s="79" t="str">
        <x:f>IF(A605="","",Events!AD604)</x:f>
      </x:c>
      <x:c r="AA605" s="79" t="str">
        <x:f>IF(A605="","",Events!AE604)</x:f>
      </x:c>
    </x:row>
    <x:row r="606">
      <x:c r="A606" s="16" t="str">
        <x:f>IF(Events!A605="","",Events!A605)</x:f>
      </x:c>
      <x:c r="B606" s="16" t="str">
        <x:f>IF(A606="","",Events!B605)</x:f>
      </x:c>
      <x:c r="C606" s="16" t="str">
        <x:f>IF(A606="","",Events!E605)</x:f>
      </x:c>
      <x:c r="D606" s="16" t="str">
        <x:f>IF(A606="","",Events!J605)</x:f>
      </x:c>
      <x:c r="E606" s="16" t="str">
        <x:f>IF(A606="","",Events!N605)</x:f>
      </x:c>
      <x:c r="F606" s="109" t="str">
        <x:f>IF(OR(A606="",Events!H605=""),"",Events!H605)</x:f>
      </x:c>
      <x:c r="G606" s="109" t="str">
        <x:f>IF(A606="","",IF(Events!I605&lt;&gt;"",Events!I605,IF(Events!S605&lt;&gt;"",Events!S605,"")))</x:f>
      </x:c>
      <x:c r="H606" s="16" t="str">
        <x:f>IF(A606="","",Events!W605)</x:f>
      </x:c>
      <x:c r="I606" s="16" t="str">
        <x:f>IF(A606="","",IF(Events!Y605&lt;&gt;"",Events!Y605,IF(OR(ISNUMBER(SEARCH("education",P606)),ISNUMBER(SEARCH("exam",P606)),ISNUMBER(SEARCH("school",P606))),"Education",IF(OR(ISNUMBER(SEARCH("trade agreement",P606)),ISNUMBER(SEARCH("economic",P606)),ISNUMBER(SEARCH("import",P606))),"Trade &amp; economic policy",IF(OR(ISNUMBER(SEARCH("land acquisition",P606)),ISNUMBER(SEARCH("rehabilitation",P606)),ISNUMBER(SEARCH("displacement",P606)),ISNUMBER(SEARCH("township",P606))),"Land &amp; rehabilitation",IF(OR(ISNUMBER(SEARCH("forest",P606)),ISNUMBER(SEARCH("environment",P606)),ISNUMBER(SEARCH("ecological",P606)),ISNUMBER(SEARCH("biodiversity",P606)),ISNUMBER(SEARCH("green cover",P606))),"Environment",IF(OR(ISNUMBER(SEARCH("irrigation",P606)),ISNUMBER(SEARCH("water",P606)),ISNUMBER(SEARCH("crop",P606)),ISNUMBER(SEARCH("farmer",P606)),ISNUMBER(SEARCH("agriculture",P606))),"Agriculture &amp; water",IF(OR(ISNUMBER(SEARCH("health",P606)),ISNUMBER(SEARCH("hospital",P606)),ISNUMBER(SEARCH("medicine",P606))),"Public health",IF(OR(ISNUMBER(SEARCH("employee",P606)),ISNUMBER(SEARCH("labour",P606)),ISNUMBER(SEARCH("worker",P606)),ISNUMBER(SEARCH("salary",P606))),"Labour &amp; employment",IF(OR(ISNUMBER(SEARCH("rti",P606)),ISNUMBER(SEARCH("transparency",P606)),ISNUMBER(SEARCH("corruption",P606)),ISNUMBER(SEARCH("governance",P606))),"Governance &amp; transparency",IF(OR(ISNUMBER(SEARCH("police",P606)),ISNUMBER(SEARCH("detention",P606)),ISNUMBER(SEARCH("civil rights",P606)),ISNUMBER(SEARCH("justice",P606))),"Civil rights &amp; justice",IF(OR(ISNUMBER(SEARCH("road",P606)),ISNUMBER(SEARCH("utility",P606)),ISNUMBER(SEARCH("infrastructure",P606)),ISNUMBER(SEARCH("public service",P606))),"Infrastructure &amp; public services","Other"))))))))))))</x:f>
      </x:c>
      <x:c r="J606" s="16" t="str">
        <x:f>IF(A606="","",IF(OR(ISNUMBER(SEARCH("fatal",Q606)),ISNUMBER(SEARCH("death",Q606)),ISNUMBER(SEARCH("riot",Q606)),ISNUMBER(SEARCH("curfew",Q606)),ISNUMBER(SEARCH("internet shutdown",Q606))),5,MIN(4,1+IF(H606&gt;=7,1,0)+IF(OR(ISNUMBER(SEARCH("hunger strike",Q606)),ISNUMBER(SEARCH("blockade",Q606)),ISNUMBER(SEARCH("strike",Q606)),ISNUMBER(SEARCH("jal satyagraha",Q606)),ISNUMBER(SEARCH("survey",Q606)),ISNUMBER(SEARCH("human chain",Q606)),ISNUMBER(SEARCH("march",Q606))),1,0)+IF(OR(ISNUMBER(SEARCH("fir",Q606)),ISNUMBER(SEARCH("confrontation",Q606)),ISNUMBER(SEARCH("violence",Q606)),ISNUMBER(SEARCH("detention",Q606)),ISNUMBER(SEARCH("arrest",Q606)),ISNUMBER(SEARCH("demolition",Q606)),ISNUMBER(SEARCH("injury",Q606))),1,0)+IF(OR(D606="Ongoing",D606="Unresolved"),1,0))))</x:f>
      </x:c>
      <x:c r="K606" s="16" t="str">
        <x:f>IF(J606="","",IF(J606=1,"Limited",IF(J606=2,"Local",IF(J606=3,"Significant",IF(J606=4,"High","Critical")))))</x:f>
      </x:c>
      <x:c r="L606" s="16" t="str">
        <x:f>IF(A606="","",Events!U605)</x:f>
      </x:c>
      <x:c r="M606" s="16" t="str">
        <x:f>IF(A606="","",Events!V605)</x:f>
      </x:c>
      <x:c r="N606" s="16" t="str">
        <x:f>IF(A606="","",Events!Q605)</x:f>
      </x:c>
      <x:c r="O606" s="16" t="str">
        <x:f>IF(A606="","",Events!R605)</x:f>
      </x:c>
      <x:c r="P606" s="16" t="str">
        <x:f>IF(A606="","",LOWER(Events!B605&amp;" "&amp;Events!D605&amp;" "&amp;Events!K605))</x:f>
      </x:c>
      <x:c r="Q606" s="16" t="str">
        <x:f>IF(A606="","",LOWER(Events!C605&amp;" "&amp;Events!K605&amp;" "&amp;Events!T605))</x:f>
      </x:c>
      <x:c r="R606" s="16" t="str">
        <x:f>IF(A606="","",IF(ISNUMBER(SEARCH("Occurrence verified",E606)),"Occurrence verified",E606))</x:f>
      </x:c>
      <x:c r="S606" s="79" t="str">
        <x:f>IF(A606="","",Events!X605)</x:f>
      </x:c>
      <x:c r="Z606" s="79" t="str">
        <x:f>IF(A606="","",Events!AD605)</x:f>
      </x:c>
      <x:c r="AA606" s="79" t="str">
        <x:f>IF(A606="","",Events!AE605)</x:f>
      </x:c>
    </x:row>
    <x:row r="607">
      <x:c r="A607" s="16" t="str">
        <x:f>IF(Events!A606="","",Events!A606)</x:f>
      </x:c>
      <x:c r="B607" s="16" t="str">
        <x:f>IF(A607="","",Events!B606)</x:f>
      </x:c>
      <x:c r="C607" s="16" t="str">
        <x:f>IF(A607="","",Events!E606)</x:f>
      </x:c>
      <x:c r="D607" s="16" t="str">
        <x:f>IF(A607="","",Events!J606)</x:f>
      </x:c>
      <x:c r="E607" s="16" t="str">
        <x:f>IF(A607="","",Events!N606)</x:f>
      </x:c>
      <x:c r="F607" s="109" t="str">
        <x:f>IF(OR(A607="",Events!H606=""),"",Events!H606)</x:f>
      </x:c>
      <x:c r="G607" s="109" t="str">
        <x:f>IF(A607="","",IF(Events!I606&lt;&gt;"",Events!I606,IF(Events!S606&lt;&gt;"",Events!S606,"")))</x:f>
      </x:c>
      <x:c r="H607" s="16" t="str">
        <x:f>IF(A607="","",Events!W606)</x:f>
      </x:c>
      <x:c r="I607" s="16" t="str">
        <x:f>IF(A607="","",IF(Events!Y606&lt;&gt;"",Events!Y606,IF(OR(ISNUMBER(SEARCH("education",P607)),ISNUMBER(SEARCH("exam",P607)),ISNUMBER(SEARCH("school",P607))),"Education",IF(OR(ISNUMBER(SEARCH("trade agreement",P607)),ISNUMBER(SEARCH("economic",P607)),ISNUMBER(SEARCH("import",P607))),"Trade &amp; economic policy",IF(OR(ISNUMBER(SEARCH("land acquisition",P607)),ISNUMBER(SEARCH("rehabilitation",P607)),ISNUMBER(SEARCH("displacement",P607)),ISNUMBER(SEARCH("township",P607))),"Land &amp; rehabilitation",IF(OR(ISNUMBER(SEARCH("forest",P607)),ISNUMBER(SEARCH("environment",P607)),ISNUMBER(SEARCH("ecological",P607)),ISNUMBER(SEARCH("biodiversity",P607)),ISNUMBER(SEARCH("green cover",P607))),"Environment",IF(OR(ISNUMBER(SEARCH("irrigation",P607)),ISNUMBER(SEARCH("water",P607)),ISNUMBER(SEARCH("crop",P607)),ISNUMBER(SEARCH("farmer",P607)),ISNUMBER(SEARCH("agriculture",P607))),"Agriculture &amp; water",IF(OR(ISNUMBER(SEARCH("health",P607)),ISNUMBER(SEARCH("hospital",P607)),ISNUMBER(SEARCH("medicine",P607))),"Public health",IF(OR(ISNUMBER(SEARCH("employee",P607)),ISNUMBER(SEARCH("labour",P607)),ISNUMBER(SEARCH("worker",P607)),ISNUMBER(SEARCH("salary",P607))),"Labour &amp; employment",IF(OR(ISNUMBER(SEARCH("rti",P607)),ISNUMBER(SEARCH("transparency",P607)),ISNUMBER(SEARCH("corruption",P607)),ISNUMBER(SEARCH("governance",P607))),"Governance &amp; transparency",IF(OR(ISNUMBER(SEARCH("police",P607)),ISNUMBER(SEARCH("detention",P607)),ISNUMBER(SEARCH("civil rights",P607)),ISNUMBER(SEARCH("justice",P607))),"Civil rights &amp; justice",IF(OR(ISNUMBER(SEARCH("road",P607)),ISNUMBER(SEARCH("utility",P607)),ISNUMBER(SEARCH("infrastructure",P607)),ISNUMBER(SEARCH("public service",P607))),"Infrastructure &amp; public services","Other"))))))))))))</x:f>
      </x:c>
      <x:c r="J607" s="16" t="str">
        <x:f>IF(A607="","",IF(OR(ISNUMBER(SEARCH("fatal",Q607)),ISNUMBER(SEARCH("death",Q607)),ISNUMBER(SEARCH("riot",Q607)),ISNUMBER(SEARCH("curfew",Q607)),ISNUMBER(SEARCH("internet shutdown",Q607))),5,MIN(4,1+IF(H607&gt;=7,1,0)+IF(OR(ISNUMBER(SEARCH("hunger strike",Q607)),ISNUMBER(SEARCH("blockade",Q607)),ISNUMBER(SEARCH("strike",Q607)),ISNUMBER(SEARCH("jal satyagraha",Q607)),ISNUMBER(SEARCH("survey",Q607)),ISNUMBER(SEARCH("human chain",Q607)),ISNUMBER(SEARCH("march",Q607))),1,0)+IF(OR(ISNUMBER(SEARCH("fir",Q607)),ISNUMBER(SEARCH("confrontation",Q607)),ISNUMBER(SEARCH("violence",Q607)),ISNUMBER(SEARCH("detention",Q607)),ISNUMBER(SEARCH("arrest",Q607)),ISNUMBER(SEARCH("demolition",Q607)),ISNUMBER(SEARCH("injury",Q607))),1,0)+IF(OR(D607="Ongoing",D607="Unresolved"),1,0))))</x:f>
      </x:c>
      <x:c r="K607" s="16" t="str">
        <x:f>IF(J607="","",IF(J607=1,"Limited",IF(J607=2,"Local",IF(J607=3,"Significant",IF(J607=4,"High","Critical")))))</x:f>
      </x:c>
      <x:c r="L607" s="16" t="str">
        <x:f>IF(A607="","",Events!U606)</x:f>
      </x:c>
      <x:c r="M607" s="16" t="str">
        <x:f>IF(A607="","",Events!V606)</x:f>
      </x:c>
      <x:c r="N607" s="16" t="str">
        <x:f>IF(A607="","",Events!Q606)</x:f>
      </x:c>
      <x:c r="O607" s="16" t="str">
        <x:f>IF(A607="","",Events!R606)</x:f>
      </x:c>
      <x:c r="P607" s="16" t="str">
        <x:f>IF(A607="","",LOWER(Events!B606&amp;" "&amp;Events!D606&amp;" "&amp;Events!K606))</x:f>
      </x:c>
      <x:c r="Q607" s="16" t="str">
        <x:f>IF(A607="","",LOWER(Events!C606&amp;" "&amp;Events!K606&amp;" "&amp;Events!T606))</x:f>
      </x:c>
      <x:c r="R607" s="16" t="str">
        <x:f>IF(A607="","",IF(ISNUMBER(SEARCH("Occurrence verified",E607)),"Occurrence verified",E607))</x:f>
      </x:c>
      <x:c r="S607" s="79" t="str">
        <x:f>IF(A607="","",Events!X606)</x:f>
      </x:c>
      <x:c r="Z607" s="79" t="str">
        <x:f>IF(A607="","",Events!AD606)</x:f>
      </x:c>
      <x:c r="AA607" s="79" t="str">
        <x:f>IF(A607="","",Events!AE606)</x:f>
      </x:c>
    </x:row>
    <x:row r="608">
      <x:c r="A608" s="16" t="str">
        <x:f>IF(Events!A607="","",Events!A607)</x:f>
      </x:c>
      <x:c r="B608" s="16" t="str">
        <x:f>IF(A608="","",Events!B607)</x:f>
      </x:c>
      <x:c r="C608" s="16" t="str">
        <x:f>IF(A608="","",Events!E607)</x:f>
      </x:c>
      <x:c r="D608" s="16" t="str">
        <x:f>IF(A608="","",Events!J607)</x:f>
      </x:c>
      <x:c r="E608" s="16" t="str">
        <x:f>IF(A608="","",Events!N607)</x:f>
      </x:c>
      <x:c r="F608" s="109" t="str">
        <x:f>IF(OR(A608="",Events!H607=""),"",Events!H607)</x:f>
      </x:c>
      <x:c r="G608" s="109" t="str">
        <x:f>IF(A608="","",IF(Events!I607&lt;&gt;"",Events!I607,IF(Events!S607&lt;&gt;"",Events!S607,"")))</x:f>
      </x:c>
      <x:c r="H608" s="16" t="str">
        <x:f>IF(A608="","",Events!W607)</x:f>
      </x:c>
      <x:c r="I608" s="16" t="str">
        <x:f>IF(A608="","",IF(Events!Y607&lt;&gt;"",Events!Y607,IF(OR(ISNUMBER(SEARCH("education",P608)),ISNUMBER(SEARCH("exam",P608)),ISNUMBER(SEARCH("school",P608))),"Education",IF(OR(ISNUMBER(SEARCH("trade agreement",P608)),ISNUMBER(SEARCH("economic",P608)),ISNUMBER(SEARCH("import",P608))),"Trade &amp; economic policy",IF(OR(ISNUMBER(SEARCH("land acquisition",P608)),ISNUMBER(SEARCH("rehabilitation",P608)),ISNUMBER(SEARCH("displacement",P608)),ISNUMBER(SEARCH("township",P608))),"Land &amp; rehabilitation",IF(OR(ISNUMBER(SEARCH("forest",P608)),ISNUMBER(SEARCH("environment",P608)),ISNUMBER(SEARCH("ecological",P608)),ISNUMBER(SEARCH("biodiversity",P608)),ISNUMBER(SEARCH("green cover",P608))),"Environment",IF(OR(ISNUMBER(SEARCH("irrigation",P608)),ISNUMBER(SEARCH("water",P608)),ISNUMBER(SEARCH("crop",P608)),ISNUMBER(SEARCH("farmer",P608)),ISNUMBER(SEARCH("agriculture",P608))),"Agriculture &amp; water",IF(OR(ISNUMBER(SEARCH("health",P608)),ISNUMBER(SEARCH("hospital",P608)),ISNUMBER(SEARCH("medicine",P608))),"Public health",IF(OR(ISNUMBER(SEARCH("employee",P608)),ISNUMBER(SEARCH("labour",P608)),ISNUMBER(SEARCH("worker",P608)),ISNUMBER(SEARCH("salary",P608))),"Labour &amp; employment",IF(OR(ISNUMBER(SEARCH("rti",P608)),ISNUMBER(SEARCH("transparency",P608)),ISNUMBER(SEARCH("corruption",P608)),ISNUMBER(SEARCH("governance",P608))),"Governance &amp; transparency",IF(OR(ISNUMBER(SEARCH("police",P608)),ISNUMBER(SEARCH("detention",P608)),ISNUMBER(SEARCH("civil rights",P608)),ISNUMBER(SEARCH("justice",P608))),"Civil rights &amp; justice",IF(OR(ISNUMBER(SEARCH("road",P608)),ISNUMBER(SEARCH("utility",P608)),ISNUMBER(SEARCH("infrastructure",P608)),ISNUMBER(SEARCH("public service",P608))),"Infrastructure &amp; public services","Other"))))))))))))</x:f>
      </x:c>
      <x:c r="J608" s="16" t="str">
        <x:f>IF(A608="","",IF(OR(ISNUMBER(SEARCH("fatal",Q608)),ISNUMBER(SEARCH("death",Q608)),ISNUMBER(SEARCH("riot",Q608)),ISNUMBER(SEARCH("curfew",Q608)),ISNUMBER(SEARCH("internet shutdown",Q608))),5,MIN(4,1+IF(H608&gt;=7,1,0)+IF(OR(ISNUMBER(SEARCH("hunger strike",Q608)),ISNUMBER(SEARCH("blockade",Q608)),ISNUMBER(SEARCH("strike",Q608)),ISNUMBER(SEARCH("jal satyagraha",Q608)),ISNUMBER(SEARCH("survey",Q608)),ISNUMBER(SEARCH("human chain",Q608)),ISNUMBER(SEARCH("march",Q608))),1,0)+IF(OR(ISNUMBER(SEARCH("fir",Q608)),ISNUMBER(SEARCH("confrontation",Q608)),ISNUMBER(SEARCH("violence",Q608)),ISNUMBER(SEARCH("detention",Q608)),ISNUMBER(SEARCH("arrest",Q608)),ISNUMBER(SEARCH("demolition",Q608)),ISNUMBER(SEARCH("injury",Q608))),1,0)+IF(OR(D608="Ongoing",D608="Unresolved"),1,0))))</x:f>
      </x:c>
      <x:c r="K608" s="16" t="str">
        <x:f>IF(J608="","",IF(J608=1,"Limited",IF(J608=2,"Local",IF(J608=3,"Significant",IF(J608=4,"High","Critical")))))</x:f>
      </x:c>
      <x:c r="L608" s="16" t="str">
        <x:f>IF(A608="","",Events!U607)</x:f>
      </x:c>
      <x:c r="M608" s="16" t="str">
        <x:f>IF(A608="","",Events!V607)</x:f>
      </x:c>
      <x:c r="N608" s="16" t="str">
        <x:f>IF(A608="","",Events!Q607)</x:f>
      </x:c>
      <x:c r="O608" s="16" t="str">
        <x:f>IF(A608="","",Events!R607)</x:f>
      </x:c>
      <x:c r="P608" s="16" t="str">
        <x:f>IF(A608="","",LOWER(Events!B607&amp;" "&amp;Events!D607&amp;" "&amp;Events!K607))</x:f>
      </x:c>
      <x:c r="Q608" s="16" t="str">
        <x:f>IF(A608="","",LOWER(Events!C607&amp;" "&amp;Events!K607&amp;" "&amp;Events!T607))</x:f>
      </x:c>
      <x:c r="R608" s="16" t="str">
        <x:f>IF(A608="","",IF(ISNUMBER(SEARCH("Occurrence verified",E608)),"Occurrence verified",E608))</x:f>
      </x:c>
      <x:c r="S608" s="79" t="str">
        <x:f>IF(A608="","",Events!X607)</x:f>
      </x:c>
      <x:c r="Z608" s="79" t="str">
        <x:f>IF(A608="","",Events!AD607)</x:f>
      </x:c>
      <x:c r="AA608" s="79" t="str">
        <x:f>IF(A608="","",Events!AE607)</x:f>
      </x:c>
    </x:row>
    <x:row r="609">
      <x:c r="A609" s="16" t="str">
        <x:f>IF(Events!A608="","",Events!A608)</x:f>
      </x:c>
      <x:c r="B609" s="16" t="str">
        <x:f>IF(A609="","",Events!B608)</x:f>
      </x:c>
      <x:c r="C609" s="16" t="str">
        <x:f>IF(A609="","",Events!E608)</x:f>
      </x:c>
      <x:c r="D609" s="16" t="str">
        <x:f>IF(A609="","",Events!J608)</x:f>
      </x:c>
      <x:c r="E609" s="16" t="str">
        <x:f>IF(A609="","",Events!N608)</x:f>
      </x:c>
      <x:c r="F609" s="109" t="str">
        <x:f>IF(OR(A609="",Events!H608=""),"",Events!H608)</x:f>
      </x:c>
      <x:c r="G609" s="109" t="str">
        <x:f>IF(A609="","",IF(Events!I608&lt;&gt;"",Events!I608,IF(Events!S608&lt;&gt;"",Events!S608,"")))</x:f>
      </x:c>
      <x:c r="H609" s="16" t="str">
        <x:f>IF(A609="","",Events!W608)</x:f>
      </x:c>
      <x:c r="I609" s="16" t="str">
        <x:f>IF(A609="","",IF(Events!Y608&lt;&gt;"",Events!Y608,IF(OR(ISNUMBER(SEARCH("education",P609)),ISNUMBER(SEARCH("exam",P609)),ISNUMBER(SEARCH("school",P609))),"Education",IF(OR(ISNUMBER(SEARCH("trade agreement",P609)),ISNUMBER(SEARCH("economic",P609)),ISNUMBER(SEARCH("import",P609))),"Trade &amp; economic policy",IF(OR(ISNUMBER(SEARCH("land acquisition",P609)),ISNUMBER(SEARCH("rehabilitation",P609)),ISNUMBER(SEARCH("displacement",P609)),ISNUMBER(SEARCH("township",P609))),"Land &amp; rehabilitation",IF(OR(ISNUMBER(SEARCH("forest",P609)),ISNUMBER(SEARCH("environment",P609)),ISNUMBER(SEARCH("ecological",P609)),ISNUMBER(SEARCH("biodiversity",P609)),ISNUMBER(SEARCH("green cover",P609))),"Environment",IF(OR(ISNUMBER(SEARCH("irrigation",P609)),ISNUMBER(SEARCH("water",P609)),ISNUMBER(SEARCH("crop",P609)),ISNUMBER(SEARCH("farmer",P609)),ISNUMBER(SEARCH("agriculture",P609))),"Agriculture &amp; water",IF(OR(ISNUMBER(SEARCH("health",P609)),ISNUMBER(SEARCH("hospital",P609)),ISNUMBER(SEARCH("medicine",P609))),"Public health",IF(OR(ISNUMBER(SEARCH("employee",P609)),ISNUMBER(SEARCH("labour",P609)),ISNUMBER(SEARCH("worker",P609)),ISNUMBER(SEARCH("salary",P609))),"Labour &amp; employment",IF(OR(ISNUMBER(SEARCH("rti",P609)),ISNUMBER(SEARCH("transparency",P609)),ISNUMBER(SEARCH("corruption",P609)),ISNUMBER(SEARCH("governance",P609))),"Governance &amp; transparency",IF(OR(ISNUMBER(SEARCH("police",P609)),ISNUMBER(SEARCH("detention",P609)),ISNUMBER(SEARCH("civil rights",P609)),ISNUMBER(SEARCH("justice",P609))),"Civil rights &amp; justice",IF(OR(ISNUMBER(SEARCH("road",P609)),ISNUMBER(SEARCH("utility",P609)),ISNUMBER(SEARCH("infrastructure",P609)),ISNUMBER(SEARCH("public service",P609))),"Infrastructure &amp; public services","Other"))))))))))))</x:f>
      </x:c>
      <x:c r="J609" s="16" t="str">
        <x:f>IF(A609="","",IF(OR(ISNUMBER(SEARCH("fatal",Q609)),ISNUMBER(SEARCH("death",Q609)),ISNUMBER(SEARCH("riot",Q609)),ISNUMBER(SEARCH("curfew",Q609)),ISNUMBER(SEARCH("internet shutdown",Q609))),5,MIN(4,1+IF(H609&gt;=7,1,0)+IF(OR(ISNUMBER(SEARCH("hunger strike",Q609)),ISNUMBER(SEARCH("blockade",Q609)),ISNUMBER(SEARCH("strike",Q609)),ISNUMBER(SEARCH("jal satyagraha",Q609)),ISNUMBER(SEARCH("survey",Q609)),ISNUMBER(SEARCH("human chain",Q609)),ISNUMBER(SEARCH("march",Q609))),1,0)+IF(OR(ISNUMBER(SEARCH("fir",Q609)),ISNUMBER(SEARCH("confrontation",Q609)),ISNUMBER(SEARCH("violence",Q609)),ISNUMBER(SEARCH("detention",Q609)),ISNUMBER(SEARCH("arrest",Q609)),ISNUMBER(SEARCH("demolition",Q609)),ISNUMBER(SEARCH("injury",Q609))),1,0)+IF(OR(D609="Ongoing",D609="Unresolved"),1,0))))</x:f>
      </x:c>
      <x:c r="K609" s="16" t="str">
        <x:f>IF(J609="","",IF(J609=1,"Limited",IF(J609=2,"Local",IF(J609=3,"Significant",IF(J609=4,"High","Critical")))))</x:f>
      </x:c>
      <x:c r="L609" s="16" t="str">
        <x:f>IF(A609="","",Events!U608)</x:f>
      </x:c>
      <x:c r="M609" s="16" t="str">
        <x:f>IF(A609="","",Events!V608)</x:f>
      </x:c>
      <x:c r="N609" s="16" t="str">
        <x:f>IF(A609="","",Events!Q608)</x:f>
      </x:c>
      <x:c r="O609" s="16" t="str">
        <x:f>IF(A609="","",Events!R608)</x:f>
      </x:c>
      <x:c r="P609" s="16" t="str">
        <x:f>IF(A609="","",LOWER(Events!B608&amp;" "&amp;Events!D608&amp;" "&amp;Events!K608))</x:f>
      </x:c>
      <x:c r="Q609" s="16" t="str">
        <x:f>IF(A609="","",LOWER(Events!C608&amp;" "&amp;Events!K608&amp;" "&amp;Events!T608))</x:f>
      </x:c>
      <x:c r="R609" s="16" t="str">
        <x:f>IF(A609="","",IF(ISNUMBER(SEARCH("Occurrence verified",E609)),"Occurrence verified",E609))</x:f>
      </x:c>
      <x:c r="S609" s="79" t="str">
        <x:f>IF(A609="","",Events!X608)</x:f>
      </x:c>
      <x:c r="Z609" s="79" t="str">
        <x:f>IF(A609="","",Events!AD608)</x:f>
      </x:c>
      <x:c r="AA609" s="79" t="str">
        <x:f>IF(A609="","",Events!AE608)</x:f>
      </x:c>
    </x:row>
    <x:row r="610">
      <x:c r="A610" s="16" t="str">
        <x:f>IF(Events!A609="","",Events!A609)</x:f>
      </x:c>
      <x:c r="B610" s="16" t="str">
        <x:f>IF(A610="","",Events!B609)</x:f>
      </x:c>
      <x:c r="C610" s="16" t="str">
        <x:f>IF(A610="","",Events!E609)</x:f>
      </x:c>
      <x:c r="D610" s="16" t="str">
        <x:f>IF(A610="","",Events!J609)</x:f>
      </x:c>
      <x:c r="E610" s="16" t="str">
        <x:f>IF(A610="","",Events!N609)</x:f>
      </x:c>
      <x:c r="F610" s="109" t="str">
        <x:f>IF(OR(A610="",Events!H609=""),"",Events!H609)</x:f>
      </x:c>
      <x:c r="G610" s="109" t="str">
        <x:f>IF(A610="","",IF(Events!I609&lt;&gt;"",Events!I609,IF(Events!S609&lt;&gt;"",Events!S609,"")))</x:f>
      </x:c>
      <x:c r="H610" s="16" t="str">
        <x:f>IF(A610="","",Events!W609)</x:f>
      </x:c>
      <x:c r="I610" s="16" t="str">
        <x:f>IF(A610="","",IF(Events!Y609&lt;&gt;"",Events!Y609,IF(OR(ISNUMBER(SEARCH("education",P610)),ISNUMBER(SEARCH("exam",P610)),ISNUMBER(SEARCH("school",P610))),"Education",IF(OR(ISNUMBER(SEARCH("trade agreement",P610)),ISNUMBER(SEARCH("economic",P610)),ISNUMBER(SEARCH("import",P610))),"Trade &amp; economic policy",IF(OR(ISNUMBER(SEARCH("land acquisition",P610)),ISNUMBER(SEARCH("rehabilitation",P610)),ISNUMBER(SEARCH("displacement",P610)),ISNUMBER(SEARCH("township",P610))),"Land &amp; rehabilitation",IF(OR(ISNUMBER(SEARCH("forest",P610)),ISNUMBER(SEARCH("environment",P610)),ISNUMBER(SEARCH("ecological",P610)),ISNUMBER(SEARCH("biodiversity",P610)),ISNUMBER(SEARCH("green cover",P610))),"Environment",IF(OR(ISNUMBER(SEARCH("irrigation",P610)),ISNUMBER(SEARCH("water",P610)),ISNUMBER(SEARCH("crop",P610)),ISNUMBER(SEARCH("farmer",P610)),ISNUMBER(SEARCH("agriculture",P610))),"Agriculture &amp; water",IF(OR(ISNUMBER(SEARCH("health",P610)),ISNUMBER(SEARCH("hospital",P610)),ISNUMBER(SEARCH("medicine",P610))),"Public health",IF(OR(ISNUMBER(SEARCH("employee",P610)),ISNUMBER(SEARCH("labour",P610)),ISNUMBER(SEARCH("worker",P610)),ISNUMBER(SEARCH("salary",P610))),"Labour &amp; employment",IF(OR(ISNUMBER(SEARCH("rti",P610)),ISNUMBER(SEARCH("transparency",P610)),ISNUMBER(SEARCH("corruption",P610)),ISNUMBER(SEARCH("governance",P610))),"Governance &amp; transparency",IF(OR(ISNUMBER(SEARCH("police",P610)),ISNUMBER(SEARCH("detention",P610)),ISNUMBER(SEARCH("civil rights",P610)),ISNUMBER(SEARCH("justice",P610))),"Civil rights &amp; justice",IF(OR(ISNUMBER(SEARCH("road",P610)),ISNUMBER(SEARCH("utility",P610)),ISNUMBER(SEARCH("infrastructure",P610)),ISNUMBER(SEARCH("public service",P610))),"Infrastructure &amp; public services","Other"))))))))))))</x:f>
      </x:c>
      <x:c r="J610" s="16" t="str">
        <x:f>IF(A610="","",IF(OR(ISNUMBER(SEARCH("fatal",Q610)),ISNUMBER(SEARCH("death",Q610)),ISNUMBER(SEARCH("riot",Q610)),ISNUMBER(SEARCH("curfew",Q610)),ISNUMBER(SEARCH("internet shutdown",Q610))),5,MIN(4,1+IF(H610&gt;=7,1,0)+IF(OR(ISNUMBER(SEARCH("hunger strike",Q610)),ISNUMBER(SEARCH("blockade",Q610)),ISNUMBER(SEARCH("strike",Q610)),ISNUMBER(SEARCH("jal satyagraha",Q610)),ISNUMBER(SEARCH("survey",Q610)),ISNUMBER(SEARCH("human chain",Q610)),ISNUMBER(SEARCH("march",Q610))),1,0)+IF(OR(ISNUMBER(SEARCH("fir",Q610)),ISNUMBER(SEARCH("confrontation",Q610)),ISNUMBER(SEARCH("violence",Q610)),ISNUMBER(SEARCH("detention",Q610)),ISNUMBER(SEARCH("arrest",Q610)),ISNUMBER(SEARCH("demolition",Q610)),ISNUMBER(SEARCH("injury",Q610))),1,0)+IF(OR(D610="Ongoing",D610="Unresolved"),1,0))))</x:f>
      </x:c>
      <x:c r="K610" s="16" t="str">
        <x:f>IF(J610="","",IF(J610=1,"Limited",IF(J610=2,"Local",IF(J610=3,"Significant",IF(J610=4,"High","Critical")))))</x:f>
      </x:c>
      <x:c r="L610" s="16" t="str">
        <x:f>IF(A610="","",Events!U609)</x:f>
      </x:c>
      <x:c r="M610" s="16" t="str">
        <x:f>IF(A610="","",Events!V609)</x:f>
      </x:c>
      <x:c r="N610" s="16" t="str">
        <x:f>IF(A610="","",Events!Q609)</x:f>
      </x:c>
      <x:c r="O610" s="16" t="str">
        <x:f>IF(A610="","",Events!R609)</x:f>
      </x:c>
      <x:c r="P610" s="16" t="str">
        <x:f>IF(A610="","",LOWER(Events!B609&amp;" "&amp;Events!D609&amp;" "&amp;Events!K609))</x:f>
      </x:c>
      <x:c r="Q610" s="16" t="str">
        <x:f>IF(A610="","",LOWER(Events!C609&amp;" "&amp;Events!K609&amp;" "&amp;Events!T609))</x:f>
      </x:c>
      <x:c r="R610" s="16" t="str">
        <x:f>IF(A610="","",IF(ISNUMBER(SEARCH("Occurrence verified",E610)),"Occurrence verified",E610))</x:f>
      </x:c>
      <x:c r="S610" s="79" t="str">
        <x:f>IF(A610="","",Events!X609)</x:f>
      </x:c>
      <x:c r="Z610" s="79" t="str">
        <x:f>IF(A610="","",Events!AD609)</x:f>
      </x:c>
      <x:c r="AA610" s="79" t="str">
        <x:f>IF(A610="","",Events!AE609)</x:f>
      </x:c>
    </x:row>
    <x:row r="611">
      <x:c r="A611" s="16" t="str">
        <x:f>IF(Events!A610="","",Events!A610)</x:f>
      </x:c>
      <x:c r="B611" s="16" t="str">
        <x:f>IF(A611="","",Events!B610)</x:f>
      </x:c>
      <x:c r="C611" s="16" t="str">
        <x:f>IF(A611="","",Events!E610)</x:f>
      </x:c>
      <x:c r="D611" s="16" t="str">
        <x:f>IF(A611="","",Events!J610)</x:f>
      </x:c>
      <x:c r="E611" s="16" t="str">
        <x:f>IF(A611="","",Events!N610)</x:f>
      </x:c>
      <x:c r="F611" s="109" t="str">
        <x:f>IF(OR(A611="",Events!H610=""),"",Events!H610)</x:f>
      </x:c>
      <x:c r="G611" s="109" t="str">
        <x:f>IF(A611="","",IF(Events!I610&lt;&gt;"",Events!I610,IF(Events!S610&lt;&gt;"",Events!S610,"")))</x:f>
      </x:c>
      <x:c r="H611" s="16" t="str">
        <x:f>IF(A611="","",Events!W610)</x:f>
      </x:c>
      <x:c r="I611" s="16" t="str">
        <x:f>IF(A611="","",IF(Events!Y610&lt;&gt;"",Events!Y610,IF(OR(ISNUMBER(SEARCH("education",P611)),ISNUMBER(SEARCH("exam",P611)),ISNUMBER(SEARCH("school",P611))),"Education",IF(OR(ISNUMBER(SEARCH("trade agreement",P611)),ISNUMBER(SEARCH("economic",P611)),ISNUMBER(SEARCH("import",P611))),"Trade &amp; economic policy",IF(OR(ISNUMBER(SEARCH("land acquisition",P611)),ISNUMBER(SEARCH("rehabilitation",P611)),ISNUMBER(SEARCH("displacement",P611)),ISNUMBER(SEARCH("township",P611))),"Land &amp; rehabilitation",IF(OR(ISNUMBER(SEARCH("forest",P611)),ISNUMBER(SEARCH("environment",P611)),ISNUMBER(SEARCH("ecological",P611)),ISNUMBER(SEARCH("biodiversity",P611)),ISNUMBER(SEARCH("green cover",P611))),"Environment",IF(OR(ISNUMBER(SEARCH("irrigation",P611)),ISNUMBER(SEARCH("water",P611)),ISNUMBER(SEARCH("crop",P611)),ISNUMBER(SEARCH("farmer",P611)),ISNUMBER(SEARCH("agriculture",P611))),"Agriculture &amp; water",IF(OR(ISNUMBER(SEARCH("health",P611)),ISNUMBER(SEARCH("hospital",P611)),ISNUMBER(SEARCH("medicine",P611))),"Public health",IF(OR(ISNUMBER(SEARCH("employee",P611)),ISNUMBER(SEARCH("labour",P611)),ISNUMBER(SEARCH("worker",P611)),ISNUMBER(SEARCH("salary",P611))),"Labour &amp; employment",IF(OR(ISNUMBER(SEARCH("rti",P611)),ISNUMBER(SEARCH("transparency",P611)),ISNUMBER(SEARCH("corruption",P611)),ISNUMBER(SEARCH("governance",P611))),"Governance &amp; transparency",IF(OR(ISNUMBER(SEARCH("police",P611)),ISNUMBER(SEARCH("detention",P611)),ISNUMBER(SEARCH("civil rights",P611)),ISNUMBER(SEARCH("justice",P611))),"Civil rights &amp; justice",IF(OR(ISNUMBER(SEARCH("road",P611)),ISNUMBER(SEARCH("utility",P611)),ISNUMBER(SEARCH("infrastructure",P611)),ISNUMBER(SEARCH("public service",P611))),"Infrastructure &amp; public services","Other"))))))))))))</x:f>
      </x:c>
      <x:c r="J611" s="16" t="str">
        <x:f>IF(A611="","",IF(OR(ISNUMBER(SEARCH("fatal",Q611)),ISNUMBER(SEARCH("death",Q611)),ISNUMBER(SEARCH("riot",Q611)),ISNUMBER(SEARCH("curfew",Q611)),ISNUMBER(SEARCH("internet shutdown",Q611))),5,MIN(4,1+IF(H611&gt;=7,1,0)+IF(OR(ISNUMBER(SEARCH("hunger strike",Q611)),ISNUMBER(SEARCH("blockade",Q611)),ISNUMBER(SEARCH("strike",Q611)),ISNUMBER(SEARCH("jal satyagraha",Q611)),ISNUMBER(SEARCH("survey",Q611)),ISNUMBER(SEARCH("human chain",Q611)),ISNUMBER(SEARCH("march",Q611))),1,0)+IF(OR(ISNUMBER(SEARCH("fir",Q611)),ISNUMBER(SEARCH("confrontation",Q611)),ISNUMBER(SEARCH("violence",Q611)),ISNUMBER(SEARCH("detention",Q611)),ISNUMBER(SEARCH("arrest",Q611)),ISNUMBER(SEARCH("demolition",Q611)),ISNUMBER(SEARCH("injury",Q611))),1,0)+IF(OR(D611="Ongoing",D611="Unresolved"),1,0))))</x:f>
      </x:c>
      <x:c r="K611" s="16" t="str">
        <x:f>IF(J611="","",IF(J611=1,"Limited",IF(J611=2,"Local",IF(J611=3,"Significant",IF(J611=4,"High","Critical")))))</x:f>
      </x:c>
      <x:c r="L611" s="16" t="str">
        <x:f>IF(A611="","",Events!U610)</x:f>
      </x:c>
      <x:c r="M611" s="16" t="str">
        <x:f>IF(A611="","",Events!V610)</x:f>
      </x:c>
      <x:c r="N611" s="16" t="str">
        <x:f>IF(A611="","",Events!Q610)</x:f>
      </x:c>
      <x:c r="O611" s="16" t="str">
        <x:f>IF(A611="","",Events!R610)</x:f>
      </x:c>
      <x:c r="P611" s="16" t="str">
        <x:f>IF(A611="","",LOWER(Events!B610&amp;" "&amp;Events!D610&amp;" "&amp;Events!K610))</x:f>
      </x:c>
      <x:c r="Q611" s="16" t="str">
        <x:f>IF(A611="","",LOWER(Events!C610&amp;" "&amp;Events!K610&amp;" "&amp;Events!T610))</x:f>
      </x:c>
      <x:c r="R611" s="16" t="str">
        <x:f>IF(A611="","",IF(ISNUMBER(SEARCH("Occurrence verified",E611)),"Occurrence verified",E611))</x:f>
      </x:c>
      <x:c r="S611" s="79" t="str">
        <x:f>IF(A611="","",Events!X610)</x:f>
      </x:c>
      <x:c r="Z611" s="79" t="str">
        <x:f>IF(A611="","",Events!AD610)</x:f>
      </x:c>
      <x:c r="AA611" s="79" t="str">
        <x:f>IF(A611="","",Events!AE610)</x:f>
      </x:c>
    </x:row>
    <x:row r="612">
      <x:c r="A612" s="16" t="str">
        <x:f>IF(Events!A611="","",Events!A611)</x:f>
      </x:c>
      <x:c r="B612" s="16" t="str">
        <x:f>IF(A612="","",Events!B611)</x:f>
      </x:c>
      <x:c r="C612" s="16" t="str">
        <x:f>IF(A612="","",Events!E611)</x:f>
      </x:c>
      <x:c r="D612" s="16" t="str">
        <x:f>IF(A612="","",Events!J611)</x:f>
      </x:c>
      <x:c r="E612" s="16" t="str">
        <x:f>IF(A612="","",Events!N611)</x:f>
      </x:c>
      <x:c r="F612" s="109" t="str">
        <x:f>IF(OR(A612="",Events!H611=""),"",Events!H611)</x:f>
      </x:c>
      <x:c r="G612" s="109" t="str">
        <x:f>IF(A612="","",IF(Events!I611&lt;&gt;"",Events!I611,IF(Events!S611&lt;&gt;"",Events!S611,"")))</x:f>
      </x:c>
      <x:c r="H612" s="16" t="str">
        <x:f>IF(A612="","",Events!W611)</x:f>
      </x:c>
      <x:c r="I612" s="16" t="str">
        <x:f>IF(A612="","",IF(Events!Y611&lt;&gt;"",Events!Y611,IF(OR(ISNUMBER(SEARCH("education",P612)),ISNUMBER(SEARCH("exam",P612)),ISNUMBER(SEARCH("school",P612))),"Education",IF(OR(ISNUMBER(SEARCH("trade agreement",P612)),ISNUMBER(SEARCH("economic",P612)),ISNUMBER(SEARCH("import",P612))),"Trade &amp; economic policy",IF(OR(ISNUMBER(SEARCH("land acquisition",P612)),ISNUMBER(SEARCH("rehabilitation",P612)),ISNUMBER(SEARCH("displacement",P612)),ISNUMBER(SEARCH("township",P612))),"Land &amp; rehabilitation",IF(OR(ISNUMBER(SEARCH("forest",P612)),ISNUMBER(SEARCH("environment",P612)),ISNUMBER(SEARCH("ecological",P612)),ISNUMBER(SEARCH("biodiversity",P612)),ISNUMBER(SEARCH("green cover",P612))),"Environment",IF(OR(ISNUMBER(SEARCH("irrigation",P612)),ISNUMBER(SEARCH("water",P612)),ISNUMBER(SEARCH("crop",P612)),ISNUMBER(SEARCH("farmer",P612)),ISNUMBER(SEARCH("agriculture",P612))),"Agriculture &amp; water",IF(OR(ISNUMBER(SEARCH("health",P612)),ISNUMBER(SEARCH("hospital",P612)),ISNUMBER(SEARCH("medicine",P612))),"Public health",IF(OR(ISNUMBER(SEARCH("employee",P612)),ISNUMBER(SEARCH("labour",P612)),ISNUMBER(SEARCH("worker",P612)),ISNUMBER(SEARCH("salary",P612))),"Labour &amp; employment",IF(OR(ISNUMBER(SEARCH("rti",P612)),ISNUMBER(SEARCH("transparency",P612)),ISNUMBER(SEARCH("corruption",P612)),ISNUMBER(SEARCH("governance",P612))),"Governance &amp; transparency",IF(OR(ISNUMBER(SEARCH("police",P612)),ISNUMBER(SEARCH("detention",P612)),ISNUMBER(SEARCH("civil rights",P612)),ISNUMBER(SEARCH("justice",P612))),"Civil rights &amp; justice",IF(OR(ISNUMBER(SEARCH("road",P612)),ISNUMBER(SEARCH("utility",P612)),ISNUMBER(SEARCH("infrastructure",P612)),ISNUMBER(SEARCH("public service",P612))),"Infrastructure &amp; public services","Other"))))))))))))</x:f>
      </x:c>
      <x:c r="J612" s="16" t="str">
        <x:f>IF(A612="","",IF(OR(ISNUMBER(SEARCH("fatal",Q612)),ISNUMBER(SEARCH("death",Q612)),ISNUMBER(SEARCH("riot",Q612)),ISNUMBER(SEARCH("curfew",Q612)),ISNUMBER(SEARCH("internet shutdown",Q612))),5,MIN(4,1+IF(H612&gt;=7,1,0)+IF(OR(ISNUMBER(SEARCH("hunger strike",Q612)),ISNUMBER(SEARCH("blockade",Q612)),ISNUMBER(SEARCH("strike",Q612)),ISNUMBER(SEARCH("jal satyagraha",Q612)),ISNUMBER(SEARCH("survey",Q612)),ISNUMBER(SEARCH("human chain",Q612)),ISNUMBER(SEARCH("march",Q612))),1,0)+IF(OR(ISNUMBER(SEARCH("fir",Q612)),ISNUMBER(SEARCH("confrontation",Q612)),ISNUMBER(SEARCH("violence",Q612)),ISNUMBER(SEARCH("detention",Q612)),ISNUMBER(SEARCH("arrest",Q612)),ISNUMBER(SEARCH("demolition",Q612)),ISNUMBER(SEARCH("injury",Q612))),1,0)+IF(OR(D612="Ongoing",D612="Unresolved"),1,0))))</x:f>
      </x:c>
      <x:c r="K612" s="16" t="str">
        <x:f>IF(J612="","",IF(J612=1,"Limited",IF(J612=2,"Local",IF(J612=3,"Significant",IF(J612=4,"High","Critical")))))</x:f>
      </x:c>
      <x:c r="L612" s="16" t="str">
        <x:f>IF(A612="","",Events!U611)</x:f>
      </x:c>
      <x:c r="M612" s="16" t="str">
        <x:f>IF(A612="","",Events!V611)</x:f>
      </x:c>
      <x:c r="N612" s="16" t="str">
        <x:f>IF(A612="","",Events!Q611)</x:f>
      </x:c>
      <x:c r="O612" s="16" t="str">
        <x:f>IF(A612="","",Events!R611)</x:f>
      </x:c>
      <x:c r="P612" s="16" t="str">
        <x:f>IF(A612="","",LOWER(Events!B611&amp;" "&amp;Events!D611&amp;" "&amp;Events!K611))</x:f>
      </x:c>
      <x:c r="Q612" s="16" t="str">
        <x:f>IF(A612="","",LOWER(Events!C611&amp;" "&amp;Events!K611&amp;" "&amp;Events!T611))</x:f>
      </x:c>
      <x:c r="R612" s="16" t="str">
        <x:f>IF(A612="","",IF(ISNUMBER(SEARCH("Occurrence verified",E612)),"Occurrence verified",E612))</x:f>
      </x:c>
      <x:c r="S612" s="79" t="str">
        <x:f>IF(A612="","",Events!X611)</x:f>
      </x:c>
      <x:c r="Z612" s="79" t="str">
        <x:f>IF(A612="","",Events!AD611)</x:f>
      </x:c>
      <x:c r="AA612" s="79" t="str">
        <x:f>IF(A612="","",Events!AE611)</x:f>
      </x:c>
    </x:row>
    <x:row r="613">
      <x:c r="A613" s="16" t="str">
        <x:f>IF(Events!A612="","",Events!A612)</x:f>
      </x:c>
      <x:c r="B613" s="16" t="str">
        <x:f>IF(A613="","",Events!B612)</x:f>
      </x:c>
      <x:c r="C613" s="16" t="str">
        <x:f>IF(A613="","",Events!E612)</x:f>
      </x:c>
      <x:c r="D613" s="16" t="str">
        <x:f>IF(A613="","",Events!J612)</x:f>
      </x:c>
      <x:c r="E613" s="16" t="str">
        <x:f>IF(A613="","",Events!N612)</x:f>
      </x:c>
      <x:c r="F613" s="109" t="str">
        <x:f>IF(OR(A613="",Events!H612=""),"",Events!H612)</x:f>
      </x:c>
      <x:c r="G613" s="109" t="str">
        <x:f>IF(A613="","",IF(Events!I612&lt;&gt;"",Events!I612,IF(Events!S612&lt;&gt;"",Events!S612,"")))</x:f>
      </x:c>
      <x:c r="H613" s="16" t="str">
        <x:f>IF(A613="","",Events!W612)</x:f>
      </x:c>
      <x:c r="I613" s="16" t="str">
        <x:f>IF(A613="","",IF(Events!Y612&lt;&gt;"",Events!Y612,IF(OR(ISNUMBER(SEARCH("education",P613)),ISNUMBER(SEARCH("exam",P613)),ISNUMBER(SEARCH("school",P613))),"Education",IF(OR(ISNUMBER(SEARCH("trade agreement",P613)),ISNUMBER(SEARCH("economic",P613)),ISNUMBER(SEARCH("import",P613))),"Trade &amp; economic policy",IF(OR(ISNUMBER(SEARCH("land acquisition",P613)),ISNUMBER(SEARCH("rehabilitation",P613)),ISNUMBER(SEARCH("displacement",P613)),ISNUMBER(SEARCH("township",P613))),"Land &amp; rehabilitation",IF(OR(ISNUMBER(SEARCH("forest",P613)),ISNUMBER(SEARCH("environment",P613)),ISNUMBER(SEARCH("ecological",P613)),ISNUMBER(SEARCH("biodiversity",P613)),ISNUMBER(SEARCH("green cover",P613))),"Environment",IF(OR(ISNUMBER(SEARCH("irrigation",P613)),ISNUMBER(SEARCH("water",P613)),ISNUMBER(SEARCH("crop",P613)),ISNUMBER(SEARCH("farmer",P613)),ISNUMBER(SEARCH("agriculture",P613))),"Agriculture &amp; water",IF(OR(ISNUMBER(SEARCH("health",P613)),ISNUMBER(SEARCH("hospital",P613)),ISNUMBER(SEARCH("medicine",P613))),"Public health",IF(OR(ISNUMBER(SEARCH("employee",P613)),ISNUMBER(SEARCH("labour",P613)),ISNUMBER(SEARCH("worker",P613)),ISNUMBER(SEARCH("salary",P613))),"Labour &amp; employment",IF(OR(ISNUMBER(SEARCH("rti",P613)),ISNUMBER(SEARCH("transparency",P613)),ISNUMBER(SEARCH("corruption",P613)),ISNUMBER(SEARCH("governance",P613))),"Governance &amp; transparency",IF(OR(ISNUMBER(SEARCH("police",P613)),ISNUMBER(SEARCH("detention",P613)),ISNUMBER(SEARCH("civil rights",P613)),ISNUMBER(SEARCH("justice",P613))),"Civil rights &amp; justice",IF(OR(ISNUMBER(SEARCH("road",P613)),ISNUMBER(SEARCH("utility",P613)),ISNUMBER(SEARCH("infrastructure",P613)),ISNUMBER(SEARCH("public service",P613))),"Infrastructure &amp; public services","Other"))))))))))))</x:f>
      </x:c>
      <x:c r="J613" s="16" t="str">
        <x:f>IF(A613="","",IF(OR(ISNUMBER(SEARCH("fatal",Q613)),ISNUMBER(SEARCH("death",Q613)),ISNUMBER(SEARCH("riot",Q613)),ISNUMBER(SEARCH("curfew",Q613)),ISNUMBER(SEARCH("internet shutdown",Q613))),5,MIN(4,1+IF(H613&gt;=7,1,0)+IF(OR(ISNUMBER(SEARCH("hunger strike",Q613)),ISNUMBER(SEARCH("blockade",Q613)),ISNUMBER(SEARCH("strike",Q613)),ISNUMBER(SEARCH("jal satyagraha",Q613)),ISNUMBER(SEARCH("survey",Q613)),ISNUMBER(SEARCH("human chain",Q613)),ISNUMBER(SEARCH("march",Q613))),1,0)+IF(OR(ISNUMBER(SEARCH("fir",Q613)),ISNUMBER(SEARCH("confrontation",Q613)),ISNUMBER(SEARCH("violence",Q613)),ISNUMBER(SEARCH("detention",Q613)),ISNUMBER(SEARCH("arrest",Q613)),ISNUMBER(SEARCH("demolition",Q613)),ISNUMBER(SEARCH("injury",Q613))),1,0)+IF(OR(D613="Ongoing",D613="Unresolved"),1,0))))</x:f>
      </x:c>
      <x:c r="K613" s="16" t="str">
        <x:f>IF(J613="","",IF(J613=1,"Limited",IF(J613=2,"Local",IF(J613=3,"Significant",IF(J613=4,"High","Critical")))))</x:f>
      </x:c>
      <x:c r="L613" s="16" t="str">
        <x:f>IF(A613="","",Events!U612)</x:f>
      </x:c>
      <x:c r="M613" s="16" t="str">
        <x:f>IF(A613="","",Events!V612)</x:f>
      </x:c>
      <x:c r="N613" s="16" t="str">
        <x:f>IF(A613="","",Events!Q612)</x:f>
      </x:c>
      <x:c r="O613" s="16" t="str">
        <x:f>IF(A613="","",Events!R612)</x:f>
      </x:c>
      <x:c r="P613" s="16" t="str">
        <x:f>IF(A613="","",LOWER(Events!B612&amp;" "&amp;Events!D612&amp;" "&amp;Events!K612))</x:f>
      </x:c>
      <x:c r="Q613" s="16" t="str">
        <x:f>IF(A613="","",LOWER(Events!C612&amp;" "&amp;Events!K612&amp;" "&amp;Events!T612))</x:f>
      </x:c>
      <x:c r="R613" s="16" t="str">
        <x:f>IF(A613="","",IF(ISNUMBER(SEARCH("Occurrence verified",E613)),"Occurrence verified",E613))</x:f>
      </x:c>
      <x:c r="S613" s="79" t="str">
        <x:f>IF(A613="","",Events!X612)</x:f>
      </x:c>
      <x:c r="Z613" s="79" t="str">
        <x:f>IF(A613="","",Events!AD612)</x:f>
      </x:c>
      <x:c r="AA613" s="79" t="str">
        <x:f>IF(A613="","",Events!AE612)</x:f>
      </x:c>
    </x:row>
    <x:row r="614">
      <x:c r="A614" s="16" t="str">
        <x:f>IF(Events!A613="","",Events!A613)</x:f>
      </x:c>
      <x:c r="B614" s="16" t="str">
        <x:f>IF(A614="","",Events!B613)</x:f>
      </x:c>
      <x:c r="C614" s="16" t="str">
        <x:f>IF(A614="","",Events!E613)</x:f>
      </x:c>
      <x:c r="D614" s="16" t="str">
        <x:f>IF(A614="","",Events!J613)</x:f>
      </x:c>
      <x:c r="E614" s="16" t="str">
        <x:f>IF(A614="","",Events!N613)</x:f>
      </x:c>
      <x:c r="F614" s="109" t="str">
        <x:f>IF(OR(A614="",Events!H613=""),"",Events!H613)</x:f>
      </x:c>
      <x:c r="G614" s="109" t="str">
        <x:f>IF(A614="","",IF(Events!I613&lt;&gt;"",Events!I613,IF(Events!S613&lt;&gt;"",Events!S613,"")))</x:f>
      </x:c>
      <x:c r="H614" s="16" t="str">
        <x:f>IF(A614="","",Events!W613)</x:f>
      </x:c>
      <x:c r="I614" s="16" t="str">
        <x:f>IF(A614="","",IF(Events!Y613&lt;&gt;"",Events!Y613,IF(OR(ISNUMBER(SEARCH("education",P614)),ISNUMBER(SEARCH("exam",P614)),ISNUMBER(SEARCH("school",P614))),"Education",IF(OR(ISNUMBER(SEARCH("trade agreement",P614)),ISNUMBER(SEARCH("economic",P614)),ISNUMBER(SEARCH("import",P614))),"Trade &amp; economic policy",IF(OR(ISNUMBER(SEARCH("land acquisition",P614)),ISNUMBER(SEARCH("rehabilitation",P614)),ISNUMBER(SEARCH("displacement",P614)),ISNUMBER(SEARCH("township",P614))),"Land &amp; rehabilitation",IF(OR(ISNUMBER(SEARCH("forest",P614)),ISNUMBER(SEARCH("environment",P614)),ISNUMBER(SEARCH("ecological",P614)),ISNUMBER(SEARCH("biodiversity",P614)),ISNUMBER(SEARCH("green cover",P614))),"Environment",IF(OR(ISNUMBER(SEARCH("irrigation",P614)),ISNUMBER(SEARCH("water",P614)),ISNUMBER(SEARCH("crop",P614)),ISNUMBER(SEARCH("farmer",P614)),ISNUMBER(SEARCH("agriculture",P614))),"Agriculture &amp; water",IF(OR(ISNUMBER(SEARCH("health",P614)),ISNUMBER(SEARCH("hospital",P614)),ISNUMBER(SEARCH("medicine",P614))),"Public health",IF(OR(ISNUMBER(SEARCH("employee",P614)),ISNUMBER(SEARCH("labour",P614)),ISNUMBER(SEARCH("worker",P614)),ISNUMBER(SEARCH("salary",P614))),"Labour &amp; employment",IF(OR(ISNUMBER(SEARCH("rti",P614)),ISNUMBER(SEARCH("transparency",P614)),ISNUMBER(SEARCH("corruption",P614)),ISNUMBER(SEARCH("governance",P614))),"Governance &amp; transparency",IF(OR(ISNUMBER(SEARCH("police",P614)),ISNUMBER(SEARCH("detention",P614)),ISNUMBER(SEARCH("civil rights",P614)),ISNUMBER(SEARCH("justice",P614))),"Civil rights &amp; justice",IF(OR(ISNUMBER(SEARCH("road",P614)),ISNUMBER(SEARCH("utility",P614)),ISNUMBER(SEARCH("infrastructure",P614)),ISNUMBER(SEARCH("public service",P614))),"Infrastructure &amp; public services","Other"))))))))))))</x:f>
      </x:c>
      <x:c r="J614" s="16" t="str">
        <x:f>IF(A614="","",IF(OR(ISNUMBER(SEARCH("fatal",Q614)),ISNUMBER(SEARCH("death",Q614)),ISNUMBER(SEARCH("riot",Q614)),ISNUMBER(SEARCH("curfew",Q614)),ISNUMBER(SEARCH("internet shutdown",Q614))),5,MIN(4,1+IF(H614&gt;=7,1,0)+IF(OR(ISNUMBER(SEARCH("hunger strike",Q614)),ISNUMBER(SEARCH("blockade",Q614)),ISNUMBER(SEARCH("strike",Q614)),ISNUMBER(SEARCH("jal satyagraha",Q614)),ISNUMBER(SEARCH("survey",Q614)),ISNUMBER(SEARCH("human chain",Q614)),ISNUMBER(SEARCH("march",Q614))),1,0)+IF(OR(ISNUMBER(SEARCH("fir",Q614)),ISNUMBER(SEARCH("confrontation",Q614)),ISNUMBER(SEARCH("violence",Q614)),ISNUMBER(SEARCH("detention",Q614)),ISNUMBER(SEARCH("arrest",Q614)),ISNUMBER(SEARCH("demolition",Q614)),ISNUMBER(SEARCH("injury",Q614))),1,0)+IF(OR(D614="Ongoing",D614="Unresolved"),1,0))))</x:f>
      </x:c>
      <x:c r="K614" s="16" t="str">
        <x:f>IF(J614="","",IF(J614=1,"Limited",IF(J614=2,"Local",IF(J614=3,"Significant",IF(J614=4,"High","Critical")))))</x:f>
      </x:c>
      <x:c r="L614" s="16" t="str">
        <x:f>IF(A614="","",Events!U613)</x:f>
      </x:c>
      <x:c r="M614" s="16" t="str">
        <x:f>IF(A614="","",Events!V613)</x:f>
      </x:c>
      <x:c r="N614" s="16" t="str">
        <x:f>IF(A614="","",Events!Q613)</x:f>
      </x:c>
      <x:c r="O614" s="16" t="str">
        <x:f>IF(A614="","",Events!R613)</x:f>
      </x:c>
      <x:c r="P614" s="16" t="str">
        <x:f>IF(A614="","",LOWER(Events!B613&amp;" "&amp;Events!D613&amp;" "&amp;Events!K613))</x:f>
      </x:c>
      <x:c r="Q614" s="16" t="str">
        <x:f>IF(A614="","",LOWER(Events!C613&amp;" "&amp;Events!K613&amp;" "&amp;Events!T613))</x:f>
      </x:c>
      <x:c r="R614" s="16" t="str">
        <x:f>IF(A614="","",IF(ISNUMBER(SEARCH("Occurrence verified",E614)),"Occurrence verified",E614))</x:f>
      </x:c>
      <x:c r="S614" s="79" t="str">
        <x:f>IF(A614="","",Events!X613)</x:f>
      </x:c>
      <x:c r="Z614" s="79" t="str">
        <x:f>IF(A614="","",Events!AD613)</x:f>
      </x:c>
      <x:c r="AA614" s="79" t="str">
        <x:f>IF(A614="","",Events!AE613)</x:f>
      </x:c>
    </x:row>
    <x:row r="615">
      <x:c r="A615" s="16" t="str">
        <x:f>IF(Events!A614="","",Events!A614)</x:f>
      </x:c>
      <x:c r="B615" s="16" t="str">
        <x:f>IF(A615="","",Events!B614)</x:f>
      </x:c>
      <x:c r="C615" s="16" t="str">
        <x:f>IF(A615="","",Events!E614)</x:f>
      </x:c>
      <x:c r="D615" s="16" t="str">
        <x:f>IF(A615="","",Events!J614)</x:f>
      </x:c>
      <x:c r="E615" s="16" t="str">
        <x:f>IF(A615="","",Events!N614)</x:f>
      </x:c>
      <x:c r="F615" s="109" t="str">
        <x:f>IF(OR(A615="",Events!H614=""),"",Events!H614)</x:f>
      </x:c>
      <x:c r="G615" s="109" t="str">
        <x:f>IF(A615="","",IF(Events!I614&lt;&gt;"",Events!I614,IF(Events!S614&lt;&gt;"",Events!S614,"")))</x:f>
      </x:c>
      <x:c r="H615" s="16" t="str">
        <x:f>IF(A615="","",Events!W614)</x:f>
      </x:c>
      <x:c r="I615" s="16" t="str">
        <x:f>IF(A615="","",IF(Events!Y614&lt;&gt;"",Events!Y614,IF(OR(ISNUMBER(SEARCH("education",P615)),ISNUMBER(SEARCH("exam",P615)),ISNUMBER(SEARCH("school",P615))),"Education",IF(OR(ISNUMBER(SEARCH("trade agreement",P615)),ISNUMBER(SEARCH("economic",P615)),ISNUMBER(SEARCH("import",P615))),"Trade &amp; economic policy",IF(OR(ISNUMBER(SEARCH("land acquisition",P615)),ISNUMBER(SEARCH("rehabilitation",P615)),ISNUMBER(SEARCH("displacement",P615)),ISNUMBER(SEARCH("township",P615))),"Land &amp; rehabilitation",IF(OR(ISNUMBER(SEARCH("forest",P615)),ISNUMBER(SEARCH("environment",P615)),ISNUMBER(SEARCH("ecological",P615)),ISNUMBER(SEARCH("biodiversity",P615)),ISNUMBER(SEARCH("green cover",P615))),"Environment",IF(OR(ISNUMBER(SEARCH("irrigation",P615)),ISNUMBER(SEARCH("water",P615)),ISNUMBER(SEARCH("crop",P615)),ISNUMBER(SEARCH("farmer",P615)),ISNUMBER(SEARCH("agriculture",P615))),"Agriculture &amp; water",IF(OR(ISNUMBER(SEARCH("health",P615)),ISNUMBER(SEARCH("hospital",P615)),ISNUMBER(SEARCH("medicine",P615))),"Public health",IF(OR(ISNUMBER(SEARCH("employee",P615)),ISNUMBER(SEARCH("labour",P615)),ISNUMBER(SEARCH("worker",P615)),ISNUMBER(SEARCH("salary",P615))),"Labour &amp; employment",IF(OR(ISNUMBER(SEARCH("rti",P615)),ISNUMBER(SEARCH("transparency",P615)),ISNUMBER(SEARCH("corruption",P615)),ISNUMBER(SEARCH("governance",P615))),"Governance &amp; transparency",IF(OR(ISNUMBER(SEARCH("police",P615)),ISNUMBER(SEARCH("detention",P615)),ISNUMBER(SEARCH("civil rights",P615)),ISNUMBER(SEARCH("justice",P615))),"Civil rights &amp; justice",IF(OR(ISNUMBER(SEARCH("road",P615)),ISNUMBER(SEARCH("utility",P615)),ISNUMBER(SEARCH("infrastructure",P615)),ISNUMBER(SEARCH("public service",P615))),"Infrastructure &amp; public services","Other"))))))))))))</x:f>
      </x:c>
      <x:c r="J615" s="16" t="str">
        <x:f>IF(A615="","",IF(OR(ISNUMBER(SEARCH("fatal",Q615)),ISNUMBER(SEARCH("death",Q615)),ISNUMBER(SEARCH("riot",Q615)),ISNUMBER(SEARCH("curfew",Q615)),ISNUMBER(SEARCH("internet shutdown",Q615))),5,MIN(4,1+IF(H615&gt;=7,1,0)+IF(OR(ISNUMBER(SEARCH("hunger strike",Q615)),ISNUMBER(SEARCH("blockade",Q615)),ISNUMBER(SEARCH("strike",Q615)),ISNUMBER(SEARCH("jal satyagraha",Q615)),ISNUMBER(SEARCH("survey",Q615)),ISNUMBER(SEARCH("human chain",Q615)),ISNUMBER(SEARCH("march",Q615))),1,0)+IF(OR(ISNUMBER(SEARCH("fir",Q615)),ISNUMBER(SEARCH("confrontation",Q615)),ISNUMBER(SEARCH("violence",Q615)),ISNUMBER(SEARCH("detention",Q615)),ISNUMBER(SEARCH("arrest",Q615)),ISNUMBER(SEARCH("demolition",Q615)),ISNUMBER(SEARCH("injury",Q615))),1,0)+IF(OR(D615="Ongoing",D615="Unresolved"),1,0))))</x:f>
      </x:c>
      <x:c r="K615" s="16" t="str">
        <x:f>IF(J615="","",IF(J615=1,"Limited",IF(J615=2,"Local",IF(J615=3,"Significant",IF(J615=4,"High","Critical")))))</x:f>
      </x:c>
      <x:c r="L615" s="16" t="str">
        <x:f>IF(A615="","",Events!U614)</x:f>
      </x:c>
      <x:c r="M615" s="16" t="str">
        <x:f>IF(A615="","",Events!V614)</x:f>
      </x:c>
      <x:c r="N615" s="16" t="str">
        <x:f>IF(A615="","",Events!Q614)</x:f>
      </x:c>
      <x:c r="O615" s="16" t="str">
        <x:f>IF(A615="","",Events!R614)</x:f>
      </x:c>
      <x:c r="P615" s="16" t="str">
        <x:f>IF(A615="","",LOWER(Events!B614&amp;" "&amp;Events!D614&amp;" "&amp;Events!K614))</x:f>
      </x:c>
      <x:c r="Q615" s="16" t="str">
        <x:f>IF(A615="","",LOWER(Events!C614&amp;" "&amp;Events!K614&amp;" "&amp;Events!T614))</x:f>
      </x:c>
      <x:c r="R615" s="16" t="str">
        <x:f>IF(A615="","",IF(ISNUMBER(SEARCH("Occurrence verified",E615)),"Occurrence verified",E615))</x:f>
      </x:c>
      <x:c r="S615" s="79" t="str">
        <x:f>IF(A615="","",Events!X614)</x:f>
      </x:c>
      <x:c r="Z615" s="79" t="str">
        <x:f>IF(A615="","",Events!AD614)</x:f>
      </x:c>
      <x:c r="AA615" s="79" t="str">
        <x:f>IF(A615="","",Events!AE614)</x:f>
      </x:c>
    </x:row>
    <x:row r="616">
      <x:c r="A616" s="16" t="str">
        <x:f>IF(Events!A615="","",Events!A615)</x:f>
      </x:c>
      <x:c r="B616" s="16" t="str">
        <x:f>IF(A616="","",Events!B615)</x:f>
      </x:c>
      <x:c r="C616" s="16" t="str">
        <x:f>IF(A616="","",Events!E615)</x:f>
      </x:c>
      <x:c r="D616" s="16" t="str">
        <x:f>IF(A616="","",Events!J615)</x:f>
      </x:c>
      <x:c r="E616" s="16" t="str">
        <x:f>IF(A616="","",Events!N615)</x:f>
      </x:c>
      <x:c r="F616" s="109" t="str">
        <x:f>IF(OR(A616="",Events!H615=""),"",Events!H615)</x:f>
      </x:c>
      <x:c r="G616" s="109" t="str">
        <x:f>IF(A616="","",IF(Events!I615&lt;&gt;"",Events!I615,IF(Events!S615&lt;&gt;"",Events!S615,"")))</x:f>
      </x:c>
      <x:c r="H616" s="16" t="str">
        <x:f>IF(A616="","",Events!W615)</x:f>
      </x:c>
      <x:c r="I616" s="16" t="str">
        <x:f>IF(A616="","",IF(Events!Y615&lt;&gt;"",Events!Y615,IF(OR(ISNUMBER(SEARCH("education",P616)),ISNUMBER(SEARCH("exam",P616)),ISNUMBER(SEARCH("school",P616))),"Education",IF(OR(ISNUMBER(SEARCH("trade agreement",P616)),ISNUMBER(SEARCH("economic",P616)),ISNUMBER(SEARCH("import",P616))),"Trade &amp; economic policy",IF(OR(ISNUMBER(SEARCH("land acquisition",P616)),ISNUMBER(SEARCH("rehabilitation",P616)),ISNUMBER(SEARCH("displacement",P616)),ISNUMBER(SEARCH("township",P616))),"Land &amp; rehabilitation",IF(OR(ISNUMBER(SEARCH("forest",P616)),ISNUMBER(SEARCH("environment",P616)),ISNUMBER(SEARCH("ecological",P616)),ISNUMBER(SEARCH("biodiversity",P616)),ISNUMBER(SEARCH("green cover",P616))),"Environment",IF(OR(ISNUMBER(SEARCH("irrigation",P616)),ISNUMBER(SEARCH("water",P616)),ISNUMBER(SEARCH("crop",P616)),ISNUMBER(SEARCH("farmer",P616)),ISNUMBER(SEARCH("agriculture",P616))),"Agriculture &amp; water",IF(OR(ISNUMBER(SEARCH("health",P616)),ISNUMBER(SEARCH("hospital",P616)),ISNUMBER(SEARCH("medicine",P616))),"Public health",IF(OR(ISNUMBER(SEARCH("employee",P616)),ISNUMBER(SEARCH("labour",P616)),ISNUMBER(SEARCH("worker",P616)),ISNUMBER(SEARCH("salary",P616))),"Labour &amp; employment",IF(OR(ISNUMBER(SEARCH("rti",P616)),ISNUMBER(SEARCH("transparency",P616)),ISNUMBER(SEARCH("corruption",P616)),ISNUMBER(SEARCH("governance",P616))),"Governance &amp; transparency",IF(OR(ISNUMBER(SEARCH("police",P616)),ISNUMBER(SEARCH("detention",P616)),ISNUMBER(SEARCH("civil rights",P616)),ISNUMBER(SEARCH("justice",P616))),"Civil rights &amp; justice",IF(OR(ISNUMBER(SEARCH("road",P616)),ISNUMBER(SEARCH("utility",P616)),ISNUMBER(SEARCH("infrastructure",P616)),ISNUMBER(SEARCH("public service",P616))),"Infrastructure &amp; public services","Other"))))))))))))</x:f>
      </x:c>
      <x:c r="J616" s="16" t="str">
        <x:f>IF(A616="","",IF(OR(ISNUMBER(SEARCH("fatal",Q616)),ISNUMBER(SEARCH("death",Q616)),ISNUMBER(SEARCH("riot",Q616)),ISNUMBER(SEARCH("curfew",Q616)),ISNUMBER(SEARCH("internet shutdown",Q616))),5,MIN(4,1+IF(H616&gt;=7,1,0)+IF(OR(ISNUMBER(SEARCH("hunger strike",Q616)),ISNUMBER(SEARCH("blockade",Q616)),ISNUMBER(SEARCH("strike",Q616)),ISNUMBER(SEARCH("jal satyagraha",Q616)),ISNUMBER(SEARCH("survey",Q616)),ISNUMBER(SEARCH("human chain",Q616)),ISNUMBER(SEARCH("march",Q616))),1,0)+IF(OR(ISNUMBER(SEARCH("fir",Q616)),ISNUMBER(SEARCH("confrontation",Q616)),ISNUMBER(SEARCH("violence",Q616)),ISNUMBER(SEARCH("detention",Q616)),ISNUMBER(SEARCH("arrest",Q616)),ISNUMBER(SEARCH("demolition",Q616)),ISNUMBER(SEARCH("injury",Q616))),1,0)+IF(OR(D616="Ongoing",D616="Unresolved"),1,0))))</x:f>
      </x:c>
      <x:c r="K616" s="16" t="str">
        <x:f>IF(J616="","",IF(J616=1,"Limited",IF(J616=2,"Local",IF(J616=3,"Significant",IF(J616=4,"High","Critical")))))</x:f>
      </x:c>
      <x:c r="L616" s="16" t="str">
        <x:f>IF(A616="","",Events!U615)</x:f>
      </x:c>
      <x:c r="M616" s="16" t="str">
        <x:f>IF(A616="","",Events!V615)</x:f>
      </x:c>
      <x:c r="N616" s="16" t="str">
        <x:f>IF(A616="","",Events!Q615)</x:f>
      </x:c>
      <x:c r="O616" s="16" t="str">
        <x:f>IF(A616="","",Events!R615)</x:f>
      </x:c>
      <x:c r="P616" s="16" t="str">
        <x:f>IF(A616="","",LOWER(Events!B615&amp;" "&amp;Events!D615&amp;" "&amp;Events!K615))</x:f>
      </x:c>
      <x:c r="Q616" s="16" t="str">
        <x:f>IF(A616="","",LOWER(Events!C615&amp;" "&amp;Events!K615&amp;" "&amp;Events!T615))</x:f>
      </x:c>
      <x:c r="R616" s="16" t="str">
        <x:f>IF(A616="","",IF(ISNUMBER(SEARCH("Occurrence verified",E616)),"Occurrence verified",E616))</x:f>
      </x:c>
      <x:c r="S616" s="79" t="str">
        <x:f>IF(A616="","",Events!X615)</x:f>
      </x:c>
      <x:c r="Z616" s="79" t="str">
        <x:f>IF(A616="","",Events!AD615)</x:f>
      </x:c>
      <x:c r="AA616" s="79" t="str">
        <x:f>IF(A616="","",Events!AE615)</x:f>
      </x:c>
    </x:row>
    <x:row r="617">
      <x:c r="A617" s="16" t="str">
        <x:f>IF(Events!A616="","",Events!A616)</x:f>
      </x:c>
      <x:c r="B617" s="16" t="str">
        <x:f>IF(A617="","",Events!B616)</x:f>
      </x:c>
      <x:c r="C617" s="16" t="str">
        <x:f>IF(A617="","",Events!E616)</x:f>
      </x:c>
      <x:c r="D617" s="16" t="str">
        <x:f>IF(A617="","",Events!J616)</x:f>
      </x:c>
      <x:c r="E617" s="16" t="str">
        <x:f>IF(A617="","",Events!N616)</x:f>
      </x:c>
      <x:c r="F617" s="109" t="str">
        <x:f>IF(OR(A617="",Events!H616=""),"",Events!H616)</x:f>
      </x:c>
      <x:c r="G617" s="109" t="str">
        <x:f>IF(A617="","",IF(Events!I616&lt;&gt;"",Events!I616,IF(Events!S616&lt;&gt;"",Events!S616,"")))</x:f>
      </x:c>
      <x:c r="H617" s="16" t="str">
        <x:f>IF(A617="","",Events!W616)</x:f>
      </x:c>
      <x:c r="I617" s="16" t="str">
        <x:f>IF(A617="","",IF(Events!Y616&lt;&gt;"",Events!Y616,IF(OR(ISNUMBER(SEARCH("education",P617)),ISNUMBER(SEARCH("exam",P617)),ISNUMBER(SEARCH("school",P617))),"Education",IF(OR(ISNUMBER(SEARCH("trade agreement",P617)),ISNUMBER(SEARCH("economic",P617)),ISNUMBER(SEARCH("import",P617))),"Trade &amp; economic policy",IF(OR(ISNUMBER(SEARCH("land acquisition",P617)),ISNUMBER(SEARCH("rehabilitation",P617)),ISNUMBER(SEARCH("displacement",P617)),ISNUMBER(SEARCH("township",P617))),"Land &amp; rehabilitation",IF(OR(ISNUMBER(SEARCH("forest",P617)),ISNUMBER(SEARCH("environment",P617)),ISNUMBER(SEARCH("ecological",P617)),ISNUMBER(SEARCH("biodiversity",P617)),ISNUMBER(SEARCH("green cover",P617))),"Environment",IF(OR(ISNUMBER(SEARCH("irrigation",P617)),ISNUMBER(SEARCH("water",P617)),ISNUMBER(SEARCH("crop",P617)),ISNUMBER(SEARCH("farmer",P617)),ISNUMBER(SEARCH("agriculture",P617))),"Agriculture &amp; water",IF(OR(ISNUMBER(SEARCH("health",P617)),ISNUMBER(SEARCH("hospital",P617)),ISNUMBER(SEARCH("medicine",P617))),"Public health",IF(OR(ISNUMBER(SEARCH("employee",P617)),ISNUMBER(SEARCH("labour",P617)),ISNUMBER(SEARCH("worker",P617)),ISNUMBER(SEARCH("salary",P617))),"Labour &amp; employment",IF(OR(ISNUMBER(SEARCH("rti",P617)),ISNUMBER(SEARCH("transparency",P617)),ISNUMBER(SEARCH("corruption",P617)),ISNUMBER(SEARCH("governance",P617))),"Governance &amp; transparency",IF(OR(ISNUMBER(SEARCH("police",P617)),ISNUMBER(SEARCH("detention",P617)),ISNUMBER(SEARCH("civil rights",P617)),ISNUMBER(SEARCH("justice",P617))),"Civil rights &amp; justice",IF(OR(ISNUMBER(SEARCH("road",P617)),ISNUMBER(SEARCH("utility",P617)),ISNUMBER(SEARCH("infrastructure",P617)),ISNUMBER(SEARCH("public service",P617))),"Infrastructure &amp; public services","Other"))))))))))))</x:f>
      </x:c>
      <x:c r="J617" s="16" t="str">
        <x:f>IF(A617="","",IF(OR(ISNUMBER(SEARCH("fatal",Q617)),ISNUMBER(SEARCH("death",Q617)),ISNUMBER(SEARCH("riot",Q617)),ISNUMBER(SEARCH("curfew",Q617)),ISNUMBER(SEARCH("internet shutdown",Q617))),5,MIN(4,1+IF(H617&gt;=7,1,0)+IF(OR(ISNUMBER(SEARCH("hunger strike",Q617)),ISNUMBER(SEARCH("blockade",Q617)),ISNUMBER(SEARCH("strike",Q617)),ISNUMBER(SEARCH("jal satyagraha",Q617)),ISNUMBER(SEARCH("survey",Q617)),ISNUMBER(SEARCH("human chain",Q617)),ISNUMBER(SEARCH("march",Q617))),1,0)+IF(OR(ISNUMBER(SEARCH("fir",Q617)),ISNUMBER(SEARCH("confrontation",Q617)),ISNUMBER(SEARCH("violence",Q617)),ISNUMBER(SEARCH("detention",Q617)),ISNUMBER(SEARCH("arrest",Q617)),ISNUMBER(SEARCH("demolition",Q617)),ISNUMBER(SEARCH("injury",Q617))),1,0)+IF(OR(D617="Ongoing",D617="Unresolved"),1,0))))</x:f>
      </x:c>
      <x:c r="K617" s="16" t="str">
        <x:f>IF(J617="","",IF(J617=1,"Limited",IF(J617=2,"Local",IF(J617=3,"Significant",IF(J617=4,"High","Critical")))))</x:f>
      </x:c>
      <x:c r="L617" s="16" t="str">
        <x:f>IF(A617="","",Events!U616)</x:f>
      </x:c>
      <x:c r="M617" s="16" t="str">
        <x:f>IF(A617="","",Events!V616)</x:f>
      </x:c>
      <x:c r="N617" s="16" t="str">
        <x:f>IF(A617="","",Events!Q616)</x:f>
      </x:c>
      <x:c r="O617" s="16" t="str">
        <x:f>IF(A617="","",Events!R616)</x:f>
      </x:c>
      <x:c r="P617" s="16" t="str">
        <x:f>IF(A617="","",LOWER(Events!B616&amp;" "&amp;Events!D616&amp;" "&amp;Events!K616))</x:f>
      </x:c>
      <x:c r="Q617" s="16" t="str">
        <x:f>IF(A617="","",LOWER(Events!C616&amp;" "&amp;Events!K616&amp;" "&amp;Events!T616))</x:f>
      </x:c>
      <x:c r="R617" s="16" t="str">
        <x:f>IF(A617="","",IF(ISNUMBER(SEARCH("Occurrence verified",E617)),"Occurrence verified",E617))</x:f>
      </x:c>
      <x:c r="S617" s="79" t="str">
        <x:f>IF(A617="","",Events!X616)</x:f>
      </x:c>
      <x:c r="Z617" s="79" t="str">
        <x:f>IF(A617="","",Events!AD616)</x:f>
      </x:c>
      <x:c r="AA617" s="79" t="str">
        <x:f>IF(A617="","",Events!AE616)</x:f>
      </x:c>
    </x:row>
    <x:row r="618">
      <x:c r="A618" s="16" t="str">
        <x:f>IF(Events!A617="","",Events!A617)</x:f>
      </x:c>
      <x:c r="B618" s="16" t="str">
        <x:f>IF(A618="","",Events!B617)</x:f>
      </x:c>
      <x:c r="C618" s="16" t="str">
        <x:f>IF(A618="","",Events!E617)</x:f>
      </x:c>
      <x:c r="D618" s="16" t="str">
        <x:f>IF(A618="","",Events!J617)</x:f>
      </x:c>
      <x:c r="E618" s="16" t="str">
        <x:f>IF(A618="","",Events!N617)</x:f>
      </x:c>
      <x:c r="F618" s="109" t="str">
        <x:f>IF(OR(A618="",Events!H617=""),"",Events!H617)</x:f>
      </x:c>
      <x:c r="G618" s="109" t="str">
        <x:f>IF(A618="","",IF(Events!I617&lt;&gt;"",Events!I617,IF(Events!S617&lt;&gt;"",Events!S617,"")))</x:f>
      </x:c>
      <x:c r="H618" s="16" t="str">
        <x:f>IF(A618="","",Events!W617)</x:f>
      </x:c>
      <x:c r="I618" s="16" t="str">
        <x:f>IF(A618="","",IF(Events!Y617&lt;&gt;"",Events!Y617,IF(OR(ISNUMBER(SEARCH("education",P618)),ISNUMBER(SEARCH("exam",P618)),ISNUMBER(SEARCH("school",P618))),"Education",IF(OR(ISNUMBER(SEARCH("trade agreement",P618)),ISNUMBER(SEARCH("economic",P618)),ISNUMBER(SEARCH("import",P618))),"Trade &amp; economic policy",IF(OR(ISNUMBER(SEARCH("land acquisition",P618)),ISNUMBER(SEARCH("rehabilitation",P618)),ISNUMBER(SEARCH("displacement",P618)),ISNUMBER(SEARCH("township",P618))),"Land &amp; rehabilitation",IF(OR(ISNUMBER(SEARCH("forest",P618)),ISNUMBER(SEARCH("environment",P618)),ISNUMBER(SEARCH("ecological",P618)),ISNUMBER(SEARCH("biodiversity",P618)),ISNUMBER(SEARCH("green cover",P618))),"Environment",IF(OR(ISNUMBER(SEARCH("irrigation",P618)),ISNUMBER(SEARCH("water",P618)),ISNUMBER(SEARCH("crop",P618)),ISNUMBER(SEARCH("farmer",P618)),ISNUMBER(SEARCH("agriculture",P618))),"Agriculture &amp; water",IF(OR(ISNUMBER(SEARCH("health",P618)),ISNUMBER(SEARCH("hospital",P618)),ISNUMBER(SEARCH("medicine",P618))),"Public health",IF(OR(ISNUMBER(SEARCH("employee",P618)),ISNUMBER(SEARCH("labour",P618)),ISNUMBER(SEARCH("worker",P618)),ISNUMBER(SEARCH("salary",P618))),"Labour &amp; employment",IF(OR(ISNUMBER(SEARCH("rti",P618)),ISNUMBER(SEARCH("transparency",P618)),ISNUMBER(SEARCH("corruption",P618)),ISNUMBER(SEARCH("governance",P618))),"Governance &amp; transparency",IF(OR(ISNUMBER(SEARCH("police",P618)),ISNUMBER(SEARCH("detention",P618)),ISNUMBER(SEARCH("civil rights",P618)),ISNUMBER(SEARCH("justice",P618))),"Civil rights &amp; justice",IF(OR(ISNUMBER(SEARCH("road",P618)),ISNUMBER(SEARCH("utility",P618)),ISNUMBER(SEARCH("infrastructure",P618)),ISNUMBER(SEARCH("public service",P618))),"Infrastructure &amp; public services","Other"))))))))))))</x:f>
      </x:c>
      <x:c r="J618" s="16" t="str">
        <x:f>IF(A618="","",IF(OR(ISNUMBER(SEARCH("fatal",Q618)),ISNUMBER(SEARCH("death",Q618)),ISNUMBER(SEARCH("riot",Q618)),ISNUMBER(SEARCH("curfew",Q618)),ISNUMBER(SEARCH("internet shutdown",Q618))),5,MIN(4,1+IF(H618&gt;=7,1,0)+IF(OR(ISNUMBER(SEARCH("hunger strike",Q618)),ISNUMBER(SEARCH("blockade",Q618)),ISNUMBER(SEARCH("strike",Q618)),ISNUMBER(SEARCH("jal satyagraha",Q618)),ISNUMBER(SEARCH("survey",Q618)),ISNUMBER(SEARCH("human chain",Q618)),ISNUMBER(SEARCH("march",Q618))),1,0)+IF(OR(ISNUMBER(SEARCH("fir",Q618)),ISNUMBER(SEARCH("confrontation",Q618)),ISNUMBER(SEARCH("violence",Q618)),ISNUMBER(SEARCH("detention",Q618)),ISNUMBER(SEARCH("arrest",Q618)),ISNUMBER(SEARCH("demolition",Q618)),ISNUMBER(SEARCH("injury",Q618))),1,0)+IF(OR(D618="Ongoing",D618="Unresolved"),1,0))))</x:f>
      </x:c>
      <x:c r="K618" s="16" t="str">
        <x:f>IF(J618="","",IF(J618=1,"Limited",IF(J618=2,"Local",IF(J618=3,"Significant",IF(J618=4,"High","Critical")))))</x:f>
      </x:c>
      <x:c r="L618" s="16" t="str">
        <x:f>IF(A618="","",Events!U617)</x:f>
      </x:c>
      <x:c r="M618" s="16" t="str">
        <x:f>IF(A618="","",Events!V617)</x:f>
      </x:c>
      <x:c r="N618" s="16" t="str">
        <x:f>IF(A618="","",Events!Q617)</x:f>
      </x:c>
      <x:c r="O618" s="16" t="str">
        <x:f>IF(A618="","",Events!R617)</x:f>
      </x:c>
      <x:c r="P618" s="16" t="str">
        <x:f>IF(A618="","",LOWER(Events!B617&amp;" "&amp;Events!D617&amp;" "&amp;Events!K617))</x:f>
      </x:c>
      <x:c r="Q618" s="16" t="str">
        <x:f>IF(A618="","",LOWER(Events!C617&amp;" "&amp;Events!K617&amp;" "&amp;Events!T617))</x:f>
      </x:c>
      <x:c r="R618" s="16" t="str">
        <x:f>IF(A618="","",IF(ISNUMBER(SEARCH("Occurrence verified",E618)),"Occurrence verified",E618))</x:f>
      </x:c>
      <x:c r="S618" s="79" t="str">
        <x:f>IF(A618="","",Events!X617)</x:f>
      </x:c>
      <x:c r="Z618" s="79" t="str">
        <x:f>IF(A618="","",Events!AD617)</x:f>
      </x:c>
      <x:c r="AA618" s="79" t="str">
        <x:f>IF(A618="","",Events!AE617)</x:f>
      </x:c>
    </x:row>
    <x:row r="619">
      <x:c r="A619" s="16" t="str">
        <x:f>IF(Events!A618="","",Events!A618)</x:f>
      </x:c>
      <x:c r="B619" s="16" t="str">
        <x:f>IF(A619="","",Events!B618)</x:f>
      </x:c>
      <x:c r="C619" s="16" t="str">
        <x:f>IF(A619="","",Events!E618)</x:f>
      </x:c>
      <x:c r="D619" s="16" t="str">
        <x:f>IF(A619="","",Events!J618)</x:f>
      </x:c>
      <x:c r="E619" s="16" t="str">
        <x:f>IF(A619="","",Events!N618)</x:f>
      </x:c>
      <x:c r="F619" s="109" t="str">
        <x:f>IF(OR(A619="",Events!H618=""),"",Events!H618)</x:f>
      </x:c>
      <x:c r="G619" s="109" t="str">
        <x:f>IF(A619="","",IF(Events!I618&lt;&gt;"",Events!I618,IF(Events!S618&lt;&gt;"",Events!S618,"")))</x:f>
      </x:c>
      <x:c r="H619" s="16" t="str">
        <x:f>IF(A619="","",Events!W618)</x:f>
      </x:c>
      <x:c r="I619" s="16" t="str">
        <x:f>IF(A619="","",IF(Events!Y618&lt;&gt;"",Events!Y618,IF(OR(ISNUMBER(SEARCH("education",P619)),ISNUMBER(SEARCH("exam",P619)),ISNUMBER(SEARCH("school",P619))),"Education",IF(OR(ISNUMBER(SEARCH("trade agreement",P619)),ISNUMBER(SEARCH("economic",P619)),ISNUMBER(SEARCH("import",P619))),"Trade &amp; economic policy",IF(OR(ISNUMBER(SEARCH("land acquisition",P619)),ISNUMBER(SEARCH("rehabilitation",P619)),ISNUMBER(SEARCH("displacement",P619)),ISNUMBER(SEARCH("township",P619))),"Land &amp; rehabilitation",IF(OR(ISNUMBER(SEARCH("forest",P619)),ISNUMBER(SEARCH("environment",P619)),ISNUMBER(SEARCH("ecological",P619)),ISNUMBER(SEARCH("biodiversity",P619)),ISNUMBER(SEARCH("green cover",P619))),"Environment",IF(OR(ISNUMBER(SEARCH("irrigation",P619)),ISNUMBER(SEARCH("water",P619)),ISNUMBER(SEARCH("crop",P619)),ISNUMBER(SEARCH("farmer",P619)),ISNUMBER(SEARCH("agriculture",P619))),"Agriculture &amp; water",IF(OR(ISNUMBER(SEARCH("health",P619)),ISNUMBER(SEARCH("hospital",P619)),ISNUMBER(SEARCH("medicine",P619))),"Public health",IF(OR(ISNUMBER(SEARCH("employee",P619)),ISNUMBER(SEARCH("labour",P619)),ISNUMBER(SEARCH("worker",P619)),ISNUMBER(SEARCH("salary",P619))),"Labour &amp; employment",IF(OR(ISNUMBER(SEARCH("rti",P619)),ISNUMBER(SEARCH("transparency",P619)),ISNUMBER(SEARCH("corruption",P619)),ISNUMBER(SEARCH("governance",P619))),"Governance &amp; transparency",IF(OR(ISNUMBER(SEARCH("police",P619)),ISNUMBER(SEARCH("detention",P619)),ISNUMBER(SEARCH("civil rights",P619)),ISNUMBER(SEARCH("justice",P619))),"Civil rights &amp; justice",IF(OR(ISNUMBER(SEARCH("road",P619)),ISNUMBER(SEARCH("utility",P619)),ISNUMBER(SEARCH("infrastructure",P619)),ISNUMBER(SEARCH("public service",P619))),"Infrastructure &amp; public services","Other"))))))))))))</x:f>
      </x:c>
      <x:c r="J619" s="16" t="str">
        <x:f>IF(A619="","",IF(OR(ISNUMBER(SEARCH("fatal",Q619)),ISNUMBER(SEARCH("death",Q619)),ISNUMBER(SEARCH("riot",Q619)),ISNUMBER(SEARCH("curfew",Q619)),ISNUMBER(SEARCH("internet shutdown",Q619))),5,MIN(4,1+IF(H619&gt;=7,1,0)+IF(OR(ISNUMBER(SEARCH("hunger strike",Q619)),ISNUMBER(SEARCH("blockade",Q619)),ISNUMBER(SEARCH("strike",Q619)),ISNUMBER(SEARCH("jal satyagraha",Q619)),ISNUMBER(SEARCH("survey",Q619)),ISNUMBER(SEARCH("human chain",Q619)),ISNUMBER(SEARCH("march",Q619))),1,0)+IF(OR(ISNUMBER(SEARCH("fir",Q619)),ISNUMBER(SEARCH("confrontation",Q619)),ISNUMBER(SEARCH("violence",Q619)),ISNUMBER(SEARCH("detention",Q619)),ISNUMBER(SEARCH("arrest",Q619)),ISNUMBER(SEARCH("demolition",Q619)),ISNUMBER(SEARCH("injury",Q619))),1,0)+IF(OR(D619="Ongoing",D619="Unresolved"),1,0))))</x:f>
      </x:c>
      <x:c r="K619" s="16" t="str">
        <x:f>IF(J619="","",IF(J619=1,"Limited",IF(J619=2,"Local",IF(J619=3,"Significant",IF(J619=4,"High","Critical")))))</x:f>
      </x:c>
      <x:c r="L619" s="16" t="str">
        <x:f>IF(A619="","",Events!U618)</x:f>
      </x:c>
      <x:c r="M619" s="16" t="str">
        <x:f>IF(A619="","",Events!V618)</x:f>
      </x:c>
      <x:c r="N619" s="16" t="str">
        <x:f>IF(A619="","",Events!Q618)</x:f>
      </x:c>
      <x:c r="O619" s="16" t="str">
        <x:f>IF(A619="","",Events!R618)</x:f>
      </x:c>
      <x:c r="P619" s="16" t="str">
        <x:f>IF(A619="","",LOWER(Events!B618&amp;" "&amp;Events!D618&amp;" "&amp;Events!K618))</x:f>
      </x:c>
      <x:c r="Q619" s="16" t="str">
        <x:f>IF(A619="","",LOWER(Events!C618&amp;" "&amp;Events!K618&amp;" "&amp;Events!T618))</x:f>
      </x:c>
      <x:c r="R619" s="16" t="str">
        <x:f>IF(A619="","",IF(ISNUMBER(SEARCH("Occurrence verified",E619)),"Occurrence verified",E619))</x:f>
      </x:c>
      <x:c r="S619" s="79" t="str">
        <x:f>IF(A619="","",Events!X618)</x:f>
      </x:c>
      <x:c r="Z619" s="79" t="str">
        <x:f>IF(A619="","",Events!AD618)</x:f>
      </x:c>
      <x:c r="AA619" s="79" t="str">
        <x:f>IF(A619="","",Events!AE618)</x:f>
      </x:c>
    </x:row>
    <x:row r="620">
      <x:c r="A620" s="16" t="str">
        <x:f>IF(Events!A619="","",Events!A619)</x:f>
      </x:c>
      <x:c r="B620" s="16" t="str">
        <x:f>IF(A620="","",Events!B619)</x:f>
      </x:c>
      <x:c r="C620" s="16" t="str">
        <x:f>IF(A620="","",Events!E619)</x:f>
      </x:c>
      <x:c r="D620" s="16" t="str">
        <x:f>IF(A620="","",Events!J619)</x:f>
      </x:c>
      <x:c r="E620" s="16" t="str">
        <x:f>IF(A620="","",Events!N619)</x:f>
      </x:c>
      <x:c r="F620" s="109" t="str">
        <x:f>IF(OR(A620="",Events!H619=""),"",Events!H619)</x:f>
      </x:c>
      <x:c r="G620" s="109" t="str">
        <x:f>IF(A620="","",IF(Events!I619&lt;&gt;"",Events!I619,IF(Events!S619&lt;&gt;"",Events!S619,"")))</x:f>
      </x:c>
      <x:c r="H620" s="16" t="str">
        <x:f>IF(A620="","",Events!W619)</x:f>
      </x:c>
      <x:c r="I620" s="16" t="str">
        <x:f>IF(A620="","",IF(Events!Y619&lt;&gt;"",Events!Y619,IF(OR(ISNUMBER(SEARCH("education",P620)),ISNUMBER(SEARCH("exam",P620)),ISNUMBER(SEARCH("school",P620))),"Education",IF(OR(ISNUMBER(SEARCH("trade agreement",P620)),ISNUMBER(SEARCH("economic",P620)),ISNUMBER(SEARCH("import",P620))),"Trade &amp; economic policy",IF(OR(ISNUMBER(SEARCH("land acquisition",P620)),ISNUMBER(SEARCH("rehabilitation",P620)),ISNUMBER(SEARCH("displacement",P620)),ISNUMBER(SEARCH("township",P620))),"Land &amp; rehabilitation",IF(OR(ISNUMBER(SEARCH("forest",P620)),ISNUMBER(SEARCH("environment",P620)),ISNUMBER(SEARCH("ecological",P620)),ISNUMBER(SEARCH("biodiversity",P620)),ISNUMBER(SEARCH("green cover",P620))),"Environment",IF(OR(ISNUMBER(SEARCH("irrigation",P620)),ISNUMBER(SEARCH("water",P620)),ISNUMBER(SEARCH("crop",P620)),ISNUMBER(SEARCH("farmer",P620)),ISNUMBER(SEARCH("agriculture",P620))),"Agriculture &amp; water",IF(OR(ISNUMBER(SEARCH("health",P620)),ISNUMBER(SEARCH("hospital",P620)),ISNUMBER(SEARCH("medicine",P620))),"Public health",IF(OR(ISNUMBER(SEARCH("employee",P620)),ISNUMBER(SEARCH("labour",P620)),ISNUMBER(SEARCH("worker",P620)),ISNUMBER(SEARCH("salary",P620))),"Labour &amp; employment",IF(OR(ISNUMBER(SEARCH("rti",P620)),ISNUMBER(SEARCH("transparency",P620)),ISNUMBER(SEARCH("corruption",P620)),ISNUMBER(SEARCH("governance",P620))),"Governance &amp; transparency",IF(OR(ISNUMBER(SEARCH("police",P620)),ISNUMBER(SEARCH("detention",P620)),ISNUMBER(SEARCH("civil rights",P620)),ISNUMBER(SEARCH("justice",P620))),"Civil rights &amp; justice",IF(OR(ISNUMBER(SEARCH("road",P620)),ISNUMBER(SEARCH("utility",P620)),ISNUMBER(SEARCH("infrastructure",P620)),ISNUMBER(SEARCH("public service",P620))),"Infrastructure &amp; public services","Other"))))))))))))</x:f>
      </x:c>
      <x:c r="J620" s="16" t="str">
        <x:f>IF(A620="","",IF(OR(ISNUMBER(SEARCH("fatal",Q620)),ISNUMBER(SEARCH("death",Q620)),ISNUMBER(SEARCH("riot",Q620)),ISNUMBER(SEARCH("curfew",Q620)),ISNUMBER(SEARCH("internet shutdown",Q620))),5,MIN(4,1+IF(H620&gt;=7,1,0)+IF(OR(ISNUMBER(SEARCH("hunger strike",Q620)),ISNUMBER(SEARCH("blockade",Q620)),ISNUMBER(SEARCH("strike",Q620)),ISNUMBER(SEARCH("jal satyagraha",Q620)),ISNUMBER(SEARCH("survey",Q620)),ISNUMBER(SEARCH("human chain",Q620)),ISNUMBER(SEARCH("march",Q620))),1,0)+IF(OR(ISNUMBER(SEARCH("fir",Q620)),ISNUMBER(SEARCH("confrontation",Q620)),ISNUMBER(SEARCH("violence",Q620)),ISNUMBER(SEARCH("detention",Q620)),ISNUMBER(SEARCH("arrest",Q620)),ISNUMBER(SEARCH("demolition",Q620)),ISNUMBER(SEARCH("injury",Q620))),1,0)+IF(OR(D620="Ongoing",D620="Unresolved"),1,0))))</x:f>
      </x:c>
      <x:c r="K620" s="16" t="str">
        <x:f>IF(J620="","",IF(J620=1,"Limited",IF(J620=2,"Local",IF(J620=3,"Significant",IF(J620=4,"High","Critical")))))</x:f>
      </x:c>
      <x:c r="L620" s="16" t="str">
        <x:f>IF(A620="","",Events!U619)</x:f>
      </x:c>
      <x:c r="M620" s="16" t="str">
        <x:f>IF(A620="","",Events!V619)</x:f>
      </x:c>
      <x:c r="N620" s="16" t="str">
        <x:f>IF(A620="","",Events!Q619)</x:f>
      </x:c>
      <x:c r="O620" s="16" t="str">
        <x:f>IF(A620="","",Events!R619)</x:f>
      </x:c>
      <x:c r="P620" s="16" t="str">
        <x:f>IF(A620="","",LOWER(Events!B619&amp;" "&amp;Events!D619&amp;" "&amp;Events!K619))</x:f>
      </x:c>
      <x:c r="Q620" s="16" t="str">
        <x:f>IF(A620="","",LOWER(Events!C619&amp;" "&amp;Events!K619&amp;" "&amp;Events!T619))</x:f>
      </x:c>
      <x:c r="R620" s="16" t="str">
        <x:f>IF(A620="","",IF(ISNUMBER(SEARCH("Occurrence verified",E620)),"Occurrence verified",E620))</x:f>
      </x:c>
      <x:c r="S620" s="79" t="str">
        <x:f>IF(A620="","",Events!X619)</x:f>
      </x:c>
      <x:c r="Z620" s="79" t="str">
        <x:f>IF(A620="","",Events!AD619)</x:f>
      </x:c>
      <x:c r="AA620" s="79" t="str">
        <x:f>IF(A620="","",Events!AE619)</x:f>
      </x:c>
    </x:row>
    <x:row r="621">
      <x:c r="A621" s="16" t="str">
        <x:f>IF(Events!A620="","",Events!A620)</x:f>
      </x:c>
      <x:c r="B621" s="16" t="str">
        <x:f>IF(A621="","",Events!B620)</x:f>
      </x:c>
      <x:c r="C621" s="16" t="str">
        <x:f>IF(A621="","",Events!E620)</x:f>
      </x:c>
      <x:c r="D621" s="16" t="str">
        <x:f>IF(A621="","",Events!J620)</x:f>
      </x:c>
      <x:c r="E621" s="16" t="str">
        <x:f>IF(A621="","",Events!N620)</x:f>
      </x:c>
      <x:c r="F621" s="109" t="str">
        <x:f>IF(OR(A621="",Events!H620=""),"",Events!H620)</x:f>
      </x:c>
      <x:c r="G621" s="109" t="str">
        <x:f>IF(A621="","",IF(Events!I620&lt;&gt;"",Events!I620,IF(Events!S620&lt;&gt;"",Events!S620,"")))</x:f>
      </x:c>
      <x:c r="H621" s="16" t="str">
        <x:f>IF(A621="","",Events!W620)</x:f>
      </x:c>
      <x:c r="I621" s="16" t="str">
        <x:f>IF(A621="","",IF(Events!Y620&lt;&gt;"",Events!Y620,IF(OR(ISNUMBER(SEARCH("education",P621)),ISNUMBER(SEARCH("exam",P621)),ISNUMBER(SEARCH("school",P621))),"Education",IF(OR(ISNUMBER(SEARCH("trade agreement",P621)),ISNUMBER(SEARCH("economic",P621)),ISNUMBER(SEARCH("import",P621))),"Trade &amp; economic policy",IF(OR(ISNUMBER(SEARCH("land acquisition",P621)),ISNUMBER(SEARCH("rehabilitation",P621)),ISNUMBER(SEARCH("displacement",P621)),ISNUMBER(SEARCH("township",P621))),"Land &amp; rehabilitation",IF(OR(ISNUMBER(SEARCH("forest",P621)),ISNUMBER(SEARCH("environment",P621)),ISNUMBER(SEARCH("ecological",P621)),ISNUMBER(SEARCH("biodiversity",P621)),ISNUMBER(SEARCH("green cover",P621))),"Environment",IF(OR(ISNUMBER(SEARCH("irrigation",P621)),ISNUMBER(SEARCH("water",P621)),ISNUMBER(SEARCH("crop",P621)),ISNUMBER(SEARCH("farmer",P621)),ISNUMBER(SEARCH("agriculture",P621))),"Agriculture &amp; water",IF(OR(ISNUMBER(SEARCH("health",P621)),ISNUMBER(SEARCH("hospital",P621)),ISNUMBER(SEARCH("medicine",P621))),"Public health",IF(OR(ISNUMBER(SEARCH("employee",P621)),ISNUMBER(SEARCH("labour",P621)),ISNUMBER(SEARCH("worker",P621)),ISNUMBER(SEARCH("salary",P621))),"Labour &amp; employment",IF(OR(ISNUMBER(SEARCH("rti",P621)),ISNUMBER(SEARCH("transparency",P621)),ISNUMBER(SEARCH("corruption",P621)),ISNUMBER(SEARCH("governance",P621))),"Governance &amp; transparency",IF(OR(ISNUMBER(SEARCH("police",P621)),ISNUMBER(SEARCH("detention",P621)),ISNUMBER(SEARCH("civil rights",P621)),ISNUMBER(SEARCH("justice",P621))),"Civil rights &amp; justice",IF(OR(ISNUMBER(SEARCH("road",P621)),ISNUMBER(SEARCH("utility",P621)),ISNUMBER(SEARCH("infrastructure",P621)),ISNUMBER(SEARCH("public service",P621))),"Infrastructure &amp; public services","Other"))))))))))))</x:f>
      </x:c>
      <x:c r="J621" s="16" t="str">
        <x:f>IF(A621="","",IF(OR(ISNUMBER(SEARCH("fatal",Q621)),ISNUMBER(SEARCH("death",Q621)),ISNUMBER(SEARCH("riot",Q621)),ISNUMBER(SEARCH("curfew",Q621)),ISNUMBER(SEARCH("internet shutdown",Q621))),5,MIN(4,1+IF(H621&gt;=7,1,0)+IF(OR(ISNUMBER(SEARCH("hunger strike",Q621)),ISNUMBER(SEARCH("blockade",Q621)),ISNUMBER(SEARCH("strike",Q621)),ISNUMBER(SEARCH("jal satyagraha",Q621)),ISNUMBER(SEARCH("survey",Q621)),ISNUMBER(SEARCH("human chain",Q621)),ISNUMBER(SEARCH("march",Q621))),1,0)+IF(OR(ISNUMBER(SEARCH("fir",Q621)),ISNUMBER(SEARCH("confrontation",Q621)),ISNUMBER(SEARCH("violence",Q621)),ISNUMBER(SEARCH("detention",Q621)),ISNUMBER(SEARCH("arrest",Q621)),ISNUMBER(SEARCH("demolition",Q621)),ISNUMBER(SEARCH("injury",Q621))),1,0)+IF(OR(D621="Ongoing",D621="Unresolved"),1,0))))</x:f>
      </x:c>
      <x:c r="K621" s="16" t="str">
        <x:f>IF(J621="","",IF(J621=1,"Limited",IF(J621=2,"Local",IF(J621=3,"Significant",IF(J621=4,"High","Critical")))))</x:f>
      </x:c>
      <x:c r="L621" s="16" t="str">
        <x:f>IF(A621="","",Events!U620)</x:f>
      </x:c>
      <x:c r="M621" s="16" t="str">
        <x:f>IF(A621="","",Events!V620)</x:f>
      </x:c>
      <x:c r="N621" s="16" t="str">
        <x:f>IF(A621="","",Events!Q620)</x:f>
      </x:c>
      <x:c r="O621" s="16" t="str">
        <x:f>IF(A621="","",Events!R620)</x:f>
      </x:c>
      <x:c r="P621" s="16" t="str">
        <x:f>IF(A621="","",LOWER(Events!B620&amp;" "&amp;Events!D620&amp;" "&amp;Events!K620))</x:f>
      </x:c>
      <x:c r="Q621" s="16" t="str">
        <x:f>IF(A621="","",LOWER(Events!C620&amp;" "&amp;Events!K620&amp;" "&amp;Events!T620))</x:f>
      </x:c>
      <x:c r="R621" s="16" t="str">
        <x:f>IF(A621="","",IF(ISNUMBER(SEARCH("Occurrence verified",E621)),"Occurrence verified",E621))</x:f>
      </x:c>
      <x:c r="S621" s="79" t="str">
        <x:f>IF(A621="","",Events!X620)</x:f>
      </x:c>
      <x:c r="Z621" s="79" t="str">
        <x:f>IF(A621="","",Events!AD620)</x:f>
      </x:c>
      <x:c r="AA621" s="79" t="str">
        <x:f>IF(A621="","",Events!AE620)</x:f>
      </x:c>
    </x:row>
    <x:row r="622">
      <x:c r="A622" s="16" t="str">
        <x:f>IF(Events!A621="","",Events!A621)</x:f>
      </x:c>
      <x:c r="B622" s="16" t="str">
        <x:f>IF(A622="","",Events!B621)</x:f>
      </x:c>
      <x:c r="C622" s="16" t="str">
        <x:f>IF(A622="","",Events!E621)</x:f>
      </x:c>
      <x:c r="D622" s="16" t="str">
        <x:f>IF(A622="","",Events!J621)</x:f>
      </x:c>
      <x:c r="E622" s="16" t="str">
        <x:f>IF(A622="","",Events!N621)</x:f>
      </x:c>
      <x:c r="F622" s="109" t="str">
        <x:f>IF(OR(A622="",Events!H621=""),"",Events!H621)</x:f>
      </x:c>
      <x:c r="G622" s="109" t="str">
        <x:f>IF(A622="","",IF(Events!I621&lt;&gt;"",Events!I621,IF(Events!S621&lt;&gt;"",Events!S621,"")))</x:f>
      </x:c>
      <x:c r="H622" s="16" t="str">
        <x:f>IF(A622="","",Events!W621)</x:f>
      </x:c>
      <x:c r="I622" s="16" t="str">
        <x:f>IF(A622="","",IF(Events!Y621&lt;&gt;"",Events!Y621,IF(OR(ISNUMBER(SEARCH("education",P622)),ISNUMBER(SEARCH("exam",P622)),ISNUMBER(SEARCH("school",P622))),"Education",IF(OR(ISNUMBER(SEARCH("trade agreement",P622)),ISNUMBER(SEARCH("economic",P622)),ISNUMBER(SEARCH("import",P622))),"Trade &amp; economic policy",IF(OR(ISNUMBER(SEARCH("land acquisition",P622)),ISNUMBER(SEARCH("rehabilitation",P622)),ISNUMBER(SEARCH("displacement",P622)),ISNUMBER(SEARCH("township",P622))),"Land &amp; rehabilitation",IF(OR(ISNUMBER(SEARCH("forest",P622)),ISNUMBER(SEARCH("environment",P622)),ISNUMBER(SEARCH("ecological",P622)),ISNUMBER(SEARCH("biodiversity",P622)),ISNUMBER(SEARCH("green cover",P622))),"Environment",IF(OR(ISNUMBER(SEARCH("irrigation",P622)),ISNUMBER(SEARCH("water",P622)),ISNUMBER(SEARCH("crop",P622)),ISNUMBER(SEARCH("farmer",P622)),ISNUMBER(SEARCH("agriculture",P622))),"Agriculture &amp; water",IF(OR(ISNUMBER(SEARCH("health",P622)),ISNUMBER(SEARCH("hospital",P622)),ISNUMBER(SEARCH("medicine",P622))),"Public health",IF(OR(ISNUMBER(SEARCH("employee",P622)),ISNUMBER(SEARCH("labour",P622)),ISNUMBER(SEARCH("worker",P622)),ISNUMBER(SEARCH("salary",P622))),"Labour &amp; employment",IF(OR(ISNUMBER(SEARCH("rti",P622)),ISNUMBER(SEARCH("transparency",P622)),ISNUMBER(SEARCH("corruption",P622)),ISNUMBER(SEARCH("governance",P622))),"Governance &amp; transparency",IF(OR(ISNUMBER(SEARCH("police",P622)),ISNUMBER(SEARCH("detention",P622)),ISNUMBER(SEARCH("civil rights",P622)),ISNUMBER(SEARCH("justice",P622))),"Civil rights &amp; justice",IF(OR(ISNUMBER(SEARCH("road",P622)),ISNUMBER(SEARCH("utility",P622)),ISNUMBER(SEARCH("infrastructure",P622)),ISNUMBER(SEARCH("public service",P622))),"Infrastructure &amp; public services","Other"))))))))))))</x:f>
      </x:c>
      <x:c r="J622" s="16" t="str">
        <x:f>IF(A622="","",IF(OR(ISNUMBER(SEARCH("fatal",Q622)),ISNUMBER(SEARCH("death",Q622)),ISNUMBER(SEARCH("riot",Q622)),ISNUMBER(SEARCH("curfew",Q622)),ISNUMBER(SEARCH("internet shutdown",Q622))),5,MIN(4,1+IF(H622&gt;=7,1,0)+IF(OR(ISNUMBER(SEARCH("hunger strike",Q622)),ISNUMBER(SEARCH("blockade",Q622)),ISNUMBER(SEARCH("strike",Q622)),ISNUMBER(SEARCH("jal satyagraha",Q622)),ISNUMBER(SEARCH("survey",Q622)),ISNUMBER(SEARCH("human chain",Q622)),ISNUMBER(SEARCH("march",Q622))),1,0)+IF(OR(ISNUMBER(SEARCH("fir",Q622)),ISNUMBER(SEARCH("confrontation",Q622)),ISNUMBER(SEARCH("violence",Q622)),ISNUMBER(SEARCH("detention",Q622)),ISNUMBER(SEARCH("arrest",Q622)),ISNUMBER(SEARCH("demolition",Q622)),ISNUMBER(SEARCH("injury",Q622))),1,0)+IF(OR(D622="Ongoing",D622="Unresolved"),1,0))))</x:f>
      </x:c>
      <x:c r="K622" s="16" t="str">
        <x:f>IF(J622="","",IF(J622=1,"Limited",IF(J622=2,"Local",IF(J622=3,"Significant",IF(J622=4,"High","Critical")))))</x:f>
      </x:c>
      <x:c r="L622" s="16" t="str">
        <x:f>IF(A622="","",Events!U621)</x:f>
      </x:c>
      <x:c r="M622" s="16" t="str">
        <x:f>IF(A622="","",Events!V621)</x:f>
      </x:c>
      <x:c r="N622" s="16" t="str">
        <x:f>IF(A622="","",Events!Q621)</x:f>
      </x:c>
      <x:c r="O622" s="16" t="str">
        <x:f>IF(A622="","",Events!R621)</x:f>
      </x:c>
      <x:c r="P622" s="16" t="str">
        <x:f>IF(A622="","",LOWER(Events!B621&amp;" "&amp;Events!D621&amp;" "&amp;Events!K621))</x:f>
      </x:c>
      <x:c r="Q622" s="16" t="str">
        <x:f>IF(A622="","",LOWER(Events!C621&amp;" "&amp;Events!K621&amp;" "&amp;Events!T621))</x:f>
      </x:c>
      <x:c r="R622" s="16" t="str">
        <x:f>IF(A622="","",IF(ISNUMBER(SEARCH("Occurrence verified",E622)),"Occurrence verified",E622))</x:f>
      </x:c>
      <x:c r="S622" s="79" t="str">
        <x:f>IF(A622="","",Events!X621)</x:f>
      </x:c>
      <x:c r="Z622" s="79" t="str">
        <x:f>IF(A622="","",Events!AD621)</x:f>
      </x:c>
      <x:c r="AA622" s="79" t="str">
        <x:f>IF(A622="","",Events!AE621)</x:f>
      </x:c>
    </x:row>
    <x:row r="623">
      <x:c r="A623" s="16" t="str">
        <x:f>IF(Events!A622="","",Events!A622)</x:f>
      </x:c>
      <x:c r="B623" s="16" t="str">
        <x:f>IF(A623="","",Events!B622)</x:f>
      </x:c>
      <x:c r="C623" s="16" t="str">
        <x:f>IF(A623="","",Events!E622)</x:f>
      </x:c>
      <x:c r="D623" s="16" t="str">
        <x:f>IF(A623="","",Events!J622)</x:f>
      </x:c>
      <x:c r="E623" s="16" t="str">
        <x:f>IF(A623="","",Events!N622)</x:f>
      </x:c>
      <x:c r="F623" s="109" t="str">
        <x:f>IF(OR(A623="",Events!H622=""),"",Events!H622)</x:f>
      </x:c>
      <x:c r="G623" s="109" t="str">
        <x:f>IF(A623="","",IF(Events!I622&lt;&gt;"",Events!I622,IF(Events!S622&lt;&gt;"",Events!S622,"")))</x:f>
      </x:c>
      <x:c r="H623" s="16" t="str">
        <x:f>IF(A623="","",Events!W622)</x:f>
      </x:c>
      <x:c r="I623" s="16" t="str">
        <x:f>IF(A623="","",IF(Events!Y622&lt;&gt;"",Events!Y622,IF(OR(ISNUMBER(SEARCH("education",P623)),ISNUMBER(SEARCH("exam",P623)),ISNUMBER(SEARCH("school",P623))),"Education",IF(OR(ISNUMBER(SEARCH("trade agreement",P623)),ISNUMBER(SEARCH("economic",P623)),ISNUMBER(SEARCH("import",P623))),"Trade &amp; economic policy",IF(OR(ISNUMBER(SEARCH("land acquisition",P623)),ISNUMBER(SEARCH("rehabilitation",P623)),ISNUMBER(SEARCH("displacement",P623)),ISNUMBER(SEARCH("township",P623))),"Land &amp; rehabilitation",IF(OR(ISNUMBER(SEARCH("forest",P623)),ISNUMBER(SEARCH("environment",P623)),ISNUMBER(SEARCH("ecological",P623)),ISNUMBER(SEARCH("biodiversity",P623)),ISNUMBER(SEARCH("green cover",P623))),"Environment",IF(OR(ISNUMBER(SEARCH("irrigation",P623)),ISNUMBER(SEARCH("water",P623)),ISNUMBER(SEARCH("crop",P623)),ISNUMBER(SEARCH("farmer",P623)),ISNUMBER(SEARCH("agriculture",P623))),"Agriculture &amp; water",IF(OR(ISNUMBER(SEARCH("health",P623)),ISNUMBER(SEARCH("hospital",P623)),ISNUMBER(SEARCH("medicine",P623))),"Public health",IF(OR(ISNUMBER(SEARCH("employee",P623)),ISNUMBER(SEARCH("labour",P623)),ISNUMBER(SEARCH("worker",P623)),ISNUMBER(SEARCH("salary",P623))),"Labour &amp; employment",IF(OR(ISNUMBER(SEARCH("rti",P623)),ISNUMBER(SEARCH("transparency",P623)),ISNUMBER(SEARCH("corruption",P623)),ISNUMBER(SEARCH("governance",P623))),"Governance &amp; transparency",IF(OR(ISNUMBER(SEARCH("police",P623)),ISNUMBER(SEARCH("detention",P623)),ISNUMBER(SEARCH("civil rights",P623)),ISNUMBER(SEARCH("justice",P623))),"Civil rights &amp; justice",IF(OR(ISNUMBER(SEARCH("road",P623)),ISNUMBER(SEARCH("utility",P623)),ISNUMBER(SEARCH("infrastructure",P623)),ISNUMBER(SEARCH("public service",P623))),"Infrastructure &amp; public services","Other"))))))))))))</x:f>
      </x:c>
      <x:c r="J623" s="16" t="str">
        <x:f>IF(A623="","",IF(OR(ISNUMBER(SEARCH("fatal",Q623)),ISNUMBER(SEARCH("death",Q623)),ISNUMBER(SEARCH("riot",Q623)),ISNUMBER(SEARCH("curfew",Q623)),ISNUMBER(SEARCH("internet shutdown",Q623))),5,MIN(4,1+IF(H623&gt;=7,1,0)+IF(OR(ISNUMBER(SEARCH("hunger strike",Q623)),ISNUMBER(SEARCH("blockade",Q623)),ISNUMBER(SEARCH("strike",Q623)),ISNUMBER(SEARCH("jal satyagraha",Q623)),ISNUMBER(SEARCH("survey",Q623)),ISNUMBER(SEARCH("human chain",Q623)),ISNUMBER(SEARCH("march",Q623))),1,0)+IF(OR(ISNUMBER(SEARCH("fir",Q623)),ISNUMBER(SEARCH("confrontation",Q623)),ISNUMBER(SEARCH("violence",Q623)),ISNUMBER(SEARCH("detention",Q623)),ISNUMBER(SEARCH("arrest",Q623)),ISNUMBER(SEARCH("demolition",Q623)),ISNUMBER(SEARCH("injury",Q623))),1,0)+IF(OR(D623="Ongoing",D623="Unresolved"),1,0))))</x:f>
      </x:c>
      <x:c r="K623" s="16" t="str">
        <x:f>IF(J623="","",IF(J623=1,"Limited",IF(J623=2,"Local",IF(J623=3,"Significant",IF(J623=4,"High","Critical")))))</x:f>
      </x:c>
      <x:c r="L623" s="16" t="str">
        <x:f>IF(A623="","",Events!U622)</x:f>
      </x:c>
      <x:c r="M623" s="16" t="str">
        <x:f>IF(A623="","",Events!V622)</x:f>
      </x:c>
      <x:c r="N623" s="16" t="str">
        <x:f>IF(A623="","",Events!Q622)</x:f>
      </x:c>
      <x:c r="O623" s="16" t="str">
        <x:f>IF(A623="","",Events!R622)</x:f>
      </x:c>
      <x:c r="P623" s="16" t="str">
        <x:f>IF(A623="","",LOWER(Events!B622&amp;" "&amp;Events!D622&amp;" "&amp;Events!K622))</x:f>
      </x:c>
      <x:c r="Q623" s="16" t="str">
        <x:f>IF(A623="","",LOWER(Events!C622&amp;" "&amp;Events!K622&amp;" "&amp;Events!T622))</x:f>
      </x:c>
      <x:c r="R623" s="16" t="str">
        <x:f>IF(A623="","",IF(ISNUMBER(SEARCH("Occurrence verified",E623)),"Occurrence verified",E623))</x:f>
      </x:c>
      <x:c r="S623" s="79" t="str">
        <x:f>IF(A623="","",Events!X622)</x:f>
      </x:c>
      <x:c r="Z623" s="79" t="str">
        <x:f>IF(A623="","",Events!AD622)</x:f>
      </x:c>
      <x:c r="AA623" s="79" t="str">
        <x:f>IF(A623="","",Events!AE622)</x:f>
      </x:c>
    </x:row>
    <x:row r="624">
      <x:c r="A624" s="16" t="str">
        <x:f>IF(Events!A623="","",Events!A623)</x:f>
      </x:c>
      <x:c r="B624" s="16" t="str">
        <x:f>IF(A624="","",Events!B623)</x:f>
      </x:c>
      <x:c r="C624" s="16" t="str">
        <x:f>IF(A624="","",Events!E623)</x:f>
      </x:c>
      <x:c r="D624" s="16" t="str">
        <x:f>IF(A624="","",Events!J623)</x:f>
      </x:c>
      <x:c r="E624" s="16" t="str">
        <x:f>IF(A624="","",Events!N623)</x:f>
      </x:c>
      <x:c r="F624" s="109" t="str">
        <x:f>IF(OR(A624="",Events!H623=""),"",Events!H623)</x:f>
      </x:c>
      <x:c r="G624" s="109" t="str">
        <x:f>IF(A624="","",IF(Events!I623&lt;&gt;"",Events!I623,IF(Events!S623&lt;&gt;"",Events!S623,"")))</x:f>
      </x:c>
      <x:c r="H624" s="16" t="str">
        <x:f>IF(A624="","",Events!W623)</x:f>
      </x:c>
      <x:c r="I624" s="16" t="str">
        <x:f>IF(A624="","",IF(Events!Y623&lt;&gt;"",Events!Y623,IF(OR(ISNUMBER(SEARCH("education",P624)),ISNUMBER(SEARCH("exam",P624)),ISNUMBER(SEARCH("school",P624))),"Education",IF(OR(ISNUMBER(SEARCH("trade agreement",P624)),ISNUMBER(SEARCH("economic",P624)),ISNUMBER(SEARCH("import",P624))),"Trade &amp; economic policy",IF(OR(ISNUMBER(SEARCH("land acquisition",P624)),ISNUMBER(SEARCH("rehabilitation",P624)),ISNUMBER(SEARCH("displacement",P624)),ISNUMBER(SEARCH("township",P624))),"Land &amp; rehabilitation",IF(OR(ISNUMBER(SEARCH("forest",P624)),ISNUMBER(SEARCH("environment",P624)),ISNUMBER(SEARCH("ecological",P624)),ISNUMBER(SEARCH("biodiversity",P624)),ISNUMBER(SEARCH("green cover",P624))),"Environment",IF(OR(ISNUMBER(SEARCH("irrigation",P624)),ISNUMBER(SEARCH("water",P624)),ISNUMBER(SEARCH("crop",P624)),ISNUMBER(SEARCH("farmer",P624)),ISNUMBER(SEARCH("agriculture",P624))),"Agriculture &amp; water",IF(OR(ISNUMBER(SEARCH("health",P624)),ISNUMBER(SEARCH("hospital",P624)),ISNUMBER(SEARCH("medicine",P624))),"Public health",IF(OR(ISNUMBER(SEARCH("employee",P624)),ISNUMBER(SEARCH("labour",P624)),ISNUMBER(SEARCH("worker",P624)),ISNUMBER(SEARCH("salary",P624))),"Labour &amp; employment",IF(OR(ISNUMBER(SEARCH("rti",P624)),ISNUMBER(SEARCH("transparency",P624)),ISNUMBER(SEARCH("corruption",P624)),ISNUMBER(SEARCH("governance",P624))),"Governance &amp; transparency",IF(OR(ISNUMBER(SEARCH("police",P624)),ISNUMBER(SEARCH("detention",P624)),ISNUMBER(SEARCH("civil rights",P624)),ISNUMBER(SEARCH("justice",P624))),"Civil rights &amp; justice",IF(OR(ISNUMBER(SEARCH("road",P624)),ISNUMBER(SEARCH("utility",P624)),ISNUMBER(SEARCH("infrastructure",P624)),ISNUMBER(SEARCH("public service",P624))),"Infrastructure &amp; public services","Other"))))))))))))</x:f>
      </x:c>
      <x:c r="J624" s="16" t="str">
        <x:f>IF(A624="","",IF(OR(ISNUMBER(SEARCH("fatal",Q624)),ISNUMBER(SEARCH("death",Q624)),ISNUMBER(SEARCH("riot",Q624)),ISNUMBER(SEARCH("curfew",Q624)),ISNUMBER(SEARCH("internet shutdown",Q624))),5,MIN(4,1+IF(H624&gt;=7,1,0)+IF(OR(ISNUMBER(SEARCH("hunger strike",Q624)),ISNUMBER(SEARCH("blockade",Q624)),ISNUMBER(SEARCH("strike",Q624)),ISNUMBER(SEARCH("jal satyagraha",Q624)),ISNUMBER(SEARCH("survey",Q624)),ISNUMBER(SEARCH("human chain",Q624)),ISNUMBER(SEARCH("march",Q624))),1,0)+IF(OR(ISNUMBER(SEARCH("fir",Q624)),ISNUMBER(SEARCH("confrontation",Q624)),ISNUMBER(SEARCH("violence",Q624)),ISNUMBER(SEARCH("detention",Q624)),ISNUMBER(SEARCH("arrest",Q624)),ISNUMBER(SEARCH("demolition",Q624)),ISNUMBER(SEARCH("injury",Q624))),1,0)+IF(OR(D624="Ongoing",D624="Unresolved"),1,0))))</x:f>
      </x:c>
      <x:c r="K624" s="16" t="str">
        <x:f>IF(J624="","",IF(J624=1,"Limited",IF(J624=2,"Local",IF(J624=3,"Significant",IF(J624=4,"High","Critical")))))</x:f>
      </x:c>
      <x:c r="L624" s="16" t="str">
        <x:f>IF(A624="","",Events!U623)</x:f>
      </x:c>
      <x:c r="M624" s="16" t="str">
        <x:f>IF(A624="","",Events!V623)</x:f>
      </x:c>
      <x:c r="N624" s="16" t="str">
        <x:f>IF(A624="","",Events!Q623)</x:f>
      </x:c>
      <x:c r="O624" s="16" t="str">
        <x:f>IF(A624="","",Events!R623)</x:f>
      </x:c>
      <x:c r="P624" s="16" t="str">
        <x:f>IF(A624="","",LOWER(Events!B623&amp;" "&amp;Events!D623&amp;" "&amp;Events!K623))</x:f>
      </x:c>
      <x:c r="Q624" s="16" t="str">
        <x:f>IF(A624="","",LOWER(Events!C623&amp;" "&amp;Events!K623&amp;" "&amp;Events!T623))</x:f>
      </x:c>
      <x:c r="R624" s="16" t="str">
        <x:f>IF(A624="","",IF(ISNUMBER(SEARCH("Occurrence verified",E624)),"Occurrence verified",E624))</x:f>
      </x:c>
      <x:c r="S624" s="79" t="str">
        <x:f>IF(A624="","",Events!X623)</x:f>
      </x:c>
      <x:c r="Z624" s="79" t="str">
        <x:f>IF(A624="","",Events!AD623)</x:f>
      </x:c>
      <x:c r="AA624" s="79" t="str">
        <x:f>IF(A624="","",Events!AE623)</x:f>
      </x:c>
    </x:row>
    <x:row r="625">
      <x:c r="A625" s="16" t="str">
        <x:f>IF(Events!A624="","",Events!A624)</x:f>
      </x:c>
      <x:c r="B625" s="16" t="str">
        <x:f>IF(A625="","",Events!B624)</x:f>
      </x:c>
      <x:c r="C625" s="16" t="str">
        <x:f>IF(A625="","",Events!E624)</x:f>
      </x:c>
      <x:c r="D625" s="16" t="str">
        <x:f>IF(A625="","",Events!J624)</x:f>
      </x:c>
      <x:c r="E625" s="16" t="str">
        <x:f>IF(A625="","",Events!N624)</x:f>
      </x:c>
      <x:c r="F625" s="109" t="str">
        <x:f>IF(OR(A625="",Events!H624=""),"",Events!H624)</x:f>
      </x:c>
      <x:c r="G625" s="109" t="str">
        <x:f>IF(A625="","",IF(Events!I624&lt;&gt;"",Events!I624,IF(Events!S624&lt;&gt;"",Events!S624,"")))</x:f>
      </x:c>
      <x:c r="H625" s="16" t="str">
        <x:f>IF(A625="","",Events!W624)</x:f>
      </x:c>
      <x:c r="I625" s="16" t="str">
        <x:f>IF(A625="","",IF(Events!Y624&lt;&gt;"",Events!Y624,IF(OR(ISNUMBER(SEARCH("education",P625)),ISNUMBER(SEARCH("exam",P625)),ISNUMBER(SEARCH("school",P625))),"Education",IF(OR(ISNUMBER(SEARCH("trade agreement",P625)),ISNUMBER(SEARCH("economic",P625)),ISNUMBER(SEARCH("import",P625))),"Trade &amp; economic policy",IF(OR(ISNUMBER(SEARCH("land acquisition",P625)),ISNUMBER(SEARCH("rehabilitation",P625)),ISNUMBER(SEARCH("displacement",P625)),ISNUMBER(SEARCH("township",P625))),"Land &amp; rehabilitation",IF(OR(ISNUMBER(SEARCH("forest",P625)),ISNUMBER(SEARCH("environment",P625)),ISNUMBER(SEARCH("ecological",P625)),ISNUMBER(SEARCH("biodiversity",P625)),ISNUMBER(SEARCH("green cover",P625))),"Environment",IF(OR(ISNUMBER(SEARCH("irrigation",P625)),ISNUMBER(SEARCH("water",P625)),ISNUMBER(SEARCH("crop",P625)),ISNUMBER(SEARCH("farmer",P625)),ISNUMBER(SEARCH("agriculture",P625))),"Agriculture &amp; water",IF(OR(ISNUMBER(SEARCH("health",P625)),ISNUMBER(SEARCH("hospital",P625)),ISNUMBER(SEARCH("medicine",P625))),"Public health",IF(OR(ISNUMBER(SEARCH("employee",P625)),ISNUMBER(SEARCH("labour",P625)),ISNUMBER(SEARCH("worker",P625)),ISNUMBER(SEARCH("salary",P625))),"Labour &amp; employment",IF(OR(ISNUMBER(SEARCH("rti",P625)),ISNUMBER(SEARCH("transparency",P625)),ISNUMBER(SEARCH("corruption",P625)),ISNUMBER(SEARCH("governance",P625))),"Governance &amp; transparency",IF(OR(ISNUMBER(SEARCH("police",P625)),ISNUMBER(SEARCH("detention",P625)),ISNUMBER(SEARCH("civil rights",P625)),ISNUMBER(SEARCH("justice",P625))),"Civil rights &amp; justice",IF(OR(ISNUMBER(SEARCH("road",P625)),ISNUMBER(SEARCH("utility",P625)),ISNUMBER(SEARCH("infrastructure",P625)),ISNUMBER(SEARCH("public service",P625))),"Infrastructure &amp; public services","Other"))))))))))))</x:f>
      </x:c>
      <x:c r="J625" s="16" t="str">
        <x:f>IF(A625="","",IF(OR(ISNUMBER(SEARCH("fatal",Q625)),ISNUMBER(SEARCH("death",Q625)),ISNUMBER(SEARCH("riot",Q625)),ISNUMBER(SEARCH("curfew",Q625)),ISNUMBER(SEARCH("internet shutdown",Q625))),5,MIN(4,1+IF(H625&gt;=7,1,0)+IF(OR(ISNUMBER(SEARCH("hunger strike",Q625)),ISNUMBER(SEARCH("blockade",Q625)),ISNUMBER(SEARCH("strike",Q625)),ISNUMBER(SEARCH("jal satyagraha",Q625)),ISNUMBER(SEARCH("survey",Q625)),ISNUMBER(SEARCH("human chain",Q625)),ISNUMBER(SEARCH("march",Q625))),1,0)+IF(OR(ISNUMBER(SEARCH("fir",Q625)),ISNUMBER(SEARCH("confrontation",Q625)),ISNUMBER(SEARCH("violence",Q625)),ISNUMBER(SEARCH("detention",Q625)),ISNUMBER(SEARCH("arrest",Q625)),ISNUMBER(SEARCH("demolition",Q625)),ISNUMBER(SEARCH("injury",Q625))),1,0)+IF(OR(D625="Ongoing",D625="Unresolved"),1,0))))</x:f>
      </x:c>
      <x:c r="K625" s="16" t="str">
        <x:f>IF(J625="","",IF(J625=1,"Limited",IF(J625=2,"Local",IF(J625=3,"Significant",IF(J625=4,"High","Critical")))))</x:f>
      </x:c>
      <x:c r="L625" s="16" t="str">
        <x:f>IF(A625="","",Events!U624)</x:f>
      </x:c>
      <x:c r="M625" s="16" t="str">
        <x:f>IF(A625="","",Events!V624)</x:f>
      </x:c>
      <x:c r="N625" s="16" t="str">
        <x:f>IF(A625="","",Events!Q624)</x:f>
      </x:c>
      <x:c r="O625" s="16" t="str">
        <x:f>IF(A625="","",Events!R624)</x:f>
      </x:c>
      <x:c r="P625" s="16" t="str">
        <x:f>IF(A625="","",LOWER(Events!B624&amp;" "&amp;Events!D624&amp;" "&amp;Events!K624))</x:f>
      </x:c>
      <x:c r="Q625" s="16" t="str">
        <x:f>IF(A625="","",LOWER(Events!C624&amp;" "&amp;Events!K624&amp;" "&amp;Events!T624))</x:f>
      </x:c>
      <x:c r="R625" s="16" t="str">
        <x:f>IF(A625="","",IF(ISNUMBER(SEARCH("Occurrence verified",E625)),"Occurrence verified",E625))</x:f>
      </x:c>
      <x:c r="S625" s="79" t="str">
        <x:f>IF(A625="","",Events!X624)</x:f>
      </x:c>
      <x:c r="Z625" s="79" t="str">
        <x:f>IF(A625="","",Events!AD624)</x:f>
      </x:c>
      <x:c r="AA625" s="79" t="str">
        <x:f>IF(A625="","",Events!AE624)</x:f>
      </x:c>
    </x:row>
    <x:row r="626">
      <x:c r="A626" s="16" t="str">
        <x:f>IF(Events!A625="","",Events!A625)</x:f>
      </x:c>
      <x:c r="B626" s="16" t="str">
        <x:f>IF(A626="","",Events!B625)</x:f>
      </x:c>
      <x:c r="C626" s="16" t="str">
        <x:f>IF(A626="","",Events!E625)</x:f>
      </x:c>
      <x:c r="D626" s="16" t="str">
        <x:f>IF(A626="","",Events!J625)</x:f>
      </x:c>
      <x:c r="E626" s="16" t="str">
        <x:f>IF(A626="","",Events!N625)</x:f>
      </x:c>
      <x:c r="F626" s="109" t="str">
        <x:f>IF(OR(A626="",Events!H625=""),"",Events!H625)</x:f>
      </x:c>
      <x:c r="G626" s="109" t="str">
        <x:f>IF(A626="","",IF(Events!I625&lt;&gt;"",Events!I625,IF(Events!S625&lt;&gt;"",Events!S625,"")))</x:f>
      </x:c>
      <x:c r="H626" s="16" t="str">
        <x:f>IF(A626="","",Events!W625)</x:f>
      </x:c>
      <x:c r="I626" s="16" t="str">
        <x:f>IF(A626="","",IF(Events!Y625&lt;&gt;"",Events!Y625,IF(OR(ISNUMBER(SEARCH("education",P626)),ISNUMBER(SEARCH("exam",P626)),ISNUMBER(SEARCH("school",P626))),"Education",IF(OR(ISNUMBER(SEARCH("trade agreement",P626)),ISNUMBER(SEARCH("economic",P626)),ISNUMBER(SEARCH("import",P626))),"Trade &amp; economic policy",IF(OR(ISNUMBER(SEARCH("land acquisition",P626)),ISNUMBER(SEARCH("rehabilitation",P626)),ISNUMBER(SEARCH("displacement",P626)),ISNUMBER(SEARCH("township",P626))),"Land &amp; rehabilitation",IF(OR(ISNUMBER(SEARCH("forest",P626)),ISNUMBER(SEARCH("environment",P626)),ISNUMBER(SEARCH("ecological",P626)),ISNUMBER(SEARCH("biodiversity",P626)),ISNUMBER(SEARCH("green cover",P626))),"Environment",IF(OR(ISNUMBER(SEARCH("irrigation",P626)),ISNUMBER(SEARCH("water",P626)),ISNUMBER(SEARCH("crop",P626)),ISNUMBER(SEARCH("farmer",P626)),ISNUMBER(SEARCH("agriculture",P626))),"Agriculture &amp; water",IF(OR(ISNUMBER(SEARCH("health",P626)),ISNUMBER(SEARCH("hospital",P626)),ISNUMBER(SEARCH("medicine",P626))),"Public health",IF(OR(ISNUMBER(SEARCH("employee",P626)),ISNUMBER(SEARCH("labour",P626)),ISNUMBER(SEARCH("worker",P626)),ISNUMBER(SEARCH("salary",P626))),"Labour &amp; employment",IF(OR(ISNUMBER(SEARCH("rti",P626)),ISNUMBER(SEARCH("transparency",P626)),ISNUMBER(SEARCH("corruption",P626)),ISNUMBER(SEARCH("governance",P626))),"Governance &amp; transparency",IF(OR(ISNUMBER(SEARCH("police",P626)),ISNUMBER(SEARCH("detention",P626)),ISNUMBER(SEARCH("civil rights",P626)),ISNUMBER(SEARCH("justice",P626))),"Civil rights &amp; justice",IF(OR(ISNUMBER(SEARCH("road",P626)),ISNUMBER(SEARCH("utility",P626)),ISNUMBER(SEARCH("infrastructure",P626)),ISNUMBER(SEARCH("public service",P626))),"Infrastructure &amp; public services","Other"))))))))))))</x:f>
      </x:c>
      <x:c r="J626" s="16" t="str">
        <x:f>IF(A626="","",IF(OR(ISNUMBER(SEARCH("fatal",Q626)),ISNUMBER(SEARCH("death",Q626)),ISNUMBER(SEARCH("riot",Q626)),ISNUMBER(SEARCH("curfew",Q626)),ISNUMBER(SEARCH("internet shutdown",Q626))),5,MIN(4,1+IF(H626&gt;=7,1,0)+IF(OR(ISNUMBER(SEARCH("hunger strike",Q626)),ISNUMBER(SEARCH("blockade",Q626)),ISNUMBER(SEARCH("strike",Q626)),ISNUMBER(SEARCH("jal satyagraha",Q626)),ISNUMBER(SEARCH("survey",Q626)),ISNUMBER(SEARCH("human chain",Q626)),ISNUMBER(SEARCH("march",Q626))),1,0)+IF(OR(ISNUMBER(SEARCH("fir",Q626)),ISNUMBER(SEARCH("confrontation",Q626)),ISNUMBER(SEARCH("violence",Q626)),ISNUMBER(SEARCH("detention",Q626)),ISNUMBER(SEARCH("arrest",Q626)),ISNUMBER(SEARCH("demolition",Q626)),ISNUMBER(SEARCH("injury",Q626))),1,0)+IF(OR(D626="Ongoing",D626="Unresolved"),1,0))))</x:f>
      </x:c>
      <x:c r="K626" s="16" t="str">
        <x:f>IF(J626="","",IF(J626=1,"Limited",IF(J626=2,"Local",IF(J626=3,"Significant",IF(J626=4,"High","Critical")))))</x:f>
      </x:c>
      <x:c r="L626" s="16" t="str">
        <x:f>IF(A626="","",Events!U625)</x:f>
      </x:c>
      <x:c r="M626" s="16" t="str">
        <x:f>IF(A626="","",Events!V625)</x:f>
      </x:c>
      <x:c r="N626" s="16" t="str">
        <x:f>IF(A626="","",Events!Q625)</x:f>
      </x:c>
      <x:c r="O626" s="16" t="str">
        <x:f>IF(A626="","",Events!R625)</x:f>
      </x:c>
      <x:c r="P626" s="16" t="str">
        <x:f>IF(A626="","",LOWER(Events!B625&amp;" "&amp;Events!D625&amp;" "&amp;Events!K625))</x:f>
      </x:c>
      <x:c r="Q626" s="16" t="str">
        <x:f>IF(A626="","",LOWER(Events!C625&amp;" "&amp;Events!K625&amp;" "&amp;Events!T625))</x:f>
      </x:c>
      <x:c r="R626" s="16" t="str">
        <x:f>IF(A626="","",IF(ISNUMBER(SEARCH("Occurrence verified",E626)),"Occurrence verified",E626))</x:f>
      </x:c>
      <x:c r="S626" s="79" t="str">
        <x:f>IF(A626="","",Events!X625)</x:f>
      </x:c>
      <x:c r="Z626" s="79" t="str">
        <x:f>IF(A626="","",Events!AD625)</x:f>
      </x:c>
      <x:c r="AA626" s="79" t="str">
        <x:f>IF(A626="","",Events!AE625)</x:f>
      </x:c>
    </x:row>
    <x:row r="627">
      <x:c r="A627" s="16" t="str">
        <x:f>IF(Events!A626="","",Events!A626)</x:f>
      </x:c>
      <x:c r="B627" s="16" t="str">
        <x:f>IF(A627="","",Events!B626)</x:f>
      </x:c>
      <x:c r="C627" s="16" t="str">
        <x:f>IF(A627="","",Events!E626)</x:f>
      </x:c>
      <x:c r="D627" s="16" t="str">
        <x:f>IF(A627="","",Events!J626)</x:f>
      </x:c>
      <x:c r="E627" s="16" t="str">
        <x:f>IF(A627="","",Events!N626)</x:f>
      </x:c>
      <x:c r="F627" s="109" t="str">
        <x:f>IF(OR(A627="",Events!H626=""),"",Events!H626)</x:f>
      </x:c>
      <x:c r="G627" s="109" t="str">
        <x:f>IF(A627="","",IF(Events!I626&lt;&gt;"",Events!I626,IF(Events!S626&lt;&gt;"",Events!S626,"")))</x:f>
      </x:c>
      <x:c r="H627" s="16" t="str">
        <x:f>IF(A627="","",Events!W626)</x:f>
      </x:c>
      <x:c r="I627" s="16" t="str">
        <x:f>IF(A627="","",IF(Events!Y626&lt;&gt;"",Events!Y626,IF(OR(ISNUMBER(SEARCH("education",P627)),ISNUMBER(SEARCH("exam",P627)),ISNUMBER(SEARCH("school",P627))),"Education",IF(OR(ISNUMBER(SEARCH("trade agreement",P627)),ISNUMBER(SEARCH("economic",P627)),ISNUMBER(SEARCH("import",P627))),"Trade &amp; economic policy",IF(OR(ISNUMBER(SEARCH("land acquisition",P627)),ISNUMBER(SEARCH("rehabilitation",P627)),ISNUMBER(SEARCH("displacement",P627)),ISNUMBER(SEARCH("township",P627))),"Land &amp; rehabilitation",IF(OR(ISNUMBER(SEARCH("forest",P627)),ISNUMBER(SEARCH("environment",P627)),ISNUMBER(SEARCH("ecological",P627)),ISNUMBER(SEARCH("biodiversity",P627)),ISNUMBER(SEARCH("green cover",P627))),"Environment",IF(OR(ISNUMBER(SEARCH("irrigation",P627)),ISNUMBER(SEARCH("water",P627)),ISNUMBER(SEARCH("crop",P627)),ISNUMBER(SEARCH("farmer",P627)),ISNUMBER(SEARCH("agriculture",P627))),"Agriculture &amp; water",IF(OR(ISNUMBER(SEARCH("health",P627)),ISNUMBER(SEARCH("hospital",P627)),ISNUMBER(SEARCH("medicine",P627))),"Public health",IF(OR(ISNUMBER(SEARCH("employee",P627)),ISNUMBER(SEARCH("labour",P627)),ISNUMBER(SEARCH("worker",P627)),ISNUMBER(SEARCH("salary",P627))),"Labour &amp; employment",IF(OR(ISNUMBER(SEARCH("rti",P627)),ISNUMBER(SEARCH("transparency",P627)),ISNUMBER(SEARCH("corruption",P627)),ISNUMBER(SEARCH("governance",P627))),"Governance &amp; transparency",IF(OR(ISNUMBER(SEARCH("police",P627)),ISNUMBER(SEARCH("detention",P627)),ISNUMBER(SEARCH("civil rights",P627)),ISNUMBER(SEARCH("justice",P627))),"Civil rights &amp; justice",IF(OR(ISNUMBER(SEARCH("road",P627)),ISNUMBER(SEARCH("utility",P627)),ISNUMBER(SEARCH("infrastructure",P627)),ISNUMBER(SEARCH("public service",P627))),"Infrastructure &amp; public services","Other"))))))))))))</x:f>
      </x:c>
      <x:c r="J627" s="16" t="str">
        <x:f>IF(A627="","",IF(OR(ISNUMBER(SEARCH("fatal",Q627)),ISNUMBER(SEARCH("death",Q627)),ISNUMBER(SEARCH("riot",Q627)),ISNUMBER(SEARCH("curfew",Q627)),ISNUMBER(SEARCH("internet shutdown",Q627))),5,MIN(4,1+IF(H627&gt;=7,1,0)+IF(OR(ISNUMBER(SEARCH("hunger strike",Q627)),ISNUMBER(SEARCH("blockade",Q627)),ISNUMBER(SEARCH("strike",Q627)),ISNUMBER(SEARCH("jal satyagraha",Q627)),ISNUMBER(SEARCH("survey",Q627)),ISNUMBER(SEARCH("human chain",Q627)),ISNUMBER(SEARCH("march",Q627))),1,0)+IF(OR(ISNUMBER(SEARCH("fir",Q627)),ISNUMBER(SEARCH("confrontation",Q627)),ISNUMBER(SEARCH("violence",Q627)),ISNUMBER(SEARCH("detention",Q627)),ISNUMBER(SEARCH("arrest",Q627)),ISNUMBER(SEARCH("demolition",Q627)),ISNUMBER(SEARCH("injury",Q627))),1,0)+IF(OR(D627="Ongoing",D627="Unresolved"),1,0))))</x:f>
      </x:c>
      <x:c r="K627" s="16" t="str">
        <x:f>IF(J627="","",IF(J627=1,"Limited",IF(J627=2,"Local",IF(J627=3,"Significant",IF(J627=4,"High","Critical")))))</x:f>
      </x:c>
      <x:c r="L627" s="16" t="str">
        <x:f>IF(A627="","",Events!U626)</x:f>
      </x:c>
      <x:c r="M627" s="16" t="str">
        <x:f>IF(A627="","",Events!V626)</x:f>
      </x:c>
      <x:c r="N627" s="16" t="str">
        <x:f>IF(A627="","",Events!Q626)</x:f>
      </x:c>
      <x:c r="O627" s="16" t="str">
        <x:f>IF(A627="","",Events!R626)</x:f>
      </x:c>
      <x:c r="P627" s="16" t="str">
        <x:f>IF(A627="","",LOWER(Events!B626&amp;" "&amp;Events!D626&amp;" "&amp;Events!K626))</x:f>
      </x:c>
      <x:c r="Q627" s="16" t="str">
        <x:f>IF(A627="","",LOWER(Events!C626&amp;" "&amp;Events!K626&amp;" "&amp;Events!T626))</x:f>
      </x:c>
      <x:c r="R627" s="16" t="str">
        <x:f>IF(A627="","",IF(ISNUMBER(SEARCH("Occurrence verified",E627)),"Occurrence verified",E627))</x:f>
      </x:c>
      <x:c r="S627" s="79" t="str">
        <x:f>IF(A627="","",Events!X626)</x:f>
      </x:c>
      <x:c r="Z627" s="79" t="str">
        <x:f>IF(A627="","",Events!AD626)</x:f>
      </x:c>
      <x:c r="AA627" s="79" t="str">
        <x:f>IF(A627="","",Events!AE626)</x:f>
      </x:c>
    </x:row>
    <x:row r="628">
      <x:c r="A628" s="16" t="str">
        <x:f>IF(Events!A627="","",Events!A627)</x:f>
      </x:c>
      <x:c r="B628" s="16" t="str">
        <x:f>IF(A628="","",Events!B627)</x:f>
      </x:c>
      <x:c r="C628" s="16" t="str">
        <x:f>IF(A628="","",Events!E627)</x:f>
      </x:c>
      <x:c r="D628" s="16" t="str">
        <x:f>IF(A628="","",Events!J627)</x:f>
      </x:c>
      <x:c r="E628" s="16" t="str">
        <x:f>IF(A628="","",Events!N627)</x:f>
      </x:c>
      <x:c r="F628" s="109" t="str">
        <x:f>IF(OR(A628="",Events!H627=""),"",Events!H627)</x:f>
      </x:c>
      <x:c r="G628" s="109" t="str">
        <x:f>IF(A628="","",IF(Events!I627&lt;&gt;"",Events!I627,IF(Events!S627&lt;&gt;"",Events!S627,"")))</x:f>
      </x:c>
      <x:c r="H628" s="16" t="str">
        <x:f>IF(A628="","",Events!W627)</x:f>
      </x:c>
      <x:c r="I628" s="16" t="str">
        <x:f>IF(A628="","",IF(Events!Y627&lt;&gt;"",Events!Y627,IF(OR(ISNUMBER(SEARCH("education",P628)),ISNUMBER(SEARCH("exam",P628)),ISNUMBER(SEARCH("school",P628))),"Education",IF(OR(ISNUMBER(SEARCH("trade agreement",P628)),ISNUMBER(SEARCH("economic",P628)),ISNUMBER(SEARCH("import",P628))),"Trade &amp; economic policy",IF(OR(ISNUMBER(SEARCH("land acquisition",P628)),ISNUMBER(SEARCH("rehabilitation",P628)),ISNUMBER(SEARCH("displacement",P628)),ISNUMBER(SEARCH("township",P628))),"Land &amp; rehabilitation",IF(OR(ISNUMBER(SEARCH("forest",P628)),ISNUMBER(SEARCH("environment",P628)),ISNUMBER(SEARCH("ecological",P628)),ISNUMBER(SEARCH("biodiversity",P628)),ISNUMBER(SEARCH("green cover",P628))),"Environment",IF(OR(ISNUMBER(SEARCH("irrigation",P628)),ISNUMBER(SEARCH("water",P628)),ISNUMBER(SEARCH("crop",P628)),ISNUMBER(SEARCH("farmer",P628)),ISNUMBER(SEARCH("agriculture",P628))),"Agriculture &amp; water",IF(OR(ISNUMBER(SEARCH("health",P628)),ISNUMBER(SEARCH("hospital",P628)),ISNUMBER(SEARCH("medicine",P628))),"Public health",IF(OR(ISNUMBER(SEARCH("employee",P628)),ISNUMBER(SEARCH("labour",P628)),ISNUMBER(SEARCH("worker",P628)),ISNUMBER(SEARCH("salary",P628))),"Labour &amp; employment",IF(OR(ISNUMBER(SEARCH("rti",P628)),ISNUMBER(SEARCH("transparency",P628)),ISNUMBER(SEARCH("corruption",P628)),ISNUMBER(SEARCH("governance",P628))),"Governance &amp; transparency",IF(OR(ISNUMBER(SEARCH("police",P628)),ISNUMBER(SEARCH("detention",P628)),ISNUMBER(SEARCH("civil rights",P628)),ISNUMBER(SEARCH("justice",P628))),"Civil rights &amp; justice",IF(OR(ISNUMBER(SEARCH("road",P628)),ISNUMBER(SEARCH("utility",P628)),ISNUMBER(SEARCH("infrastructure",P628)),ISNUMBER(SEARCH("public service",P628))),"Infrastructure &amp; public services","Other"))))))))))))</x:f>
      </x:c>
      <x:c r="J628" s="16" t="str">
        <x:f>IF(A628="","",IF(OR(ISNUMBER(SEARCH("fatal",Q628)),ISNUMBER(SEARCH("death",Q628)),ISNUMBER(SEARCH("riot",Q628)),ISNUMBER(SEARCH("curfew",Q628)),ISNUMBER(SEARCH("internet shutdown",Q628))),5,MIN(4,1+IF(H628&gt;=7,1,0)+IF(OR(ISNUMBER(SEARCH("hunger strike",Q628)),ISNUMBER(SEARCH("blockade",Q628)),ISNUMBER(SEARCH("strike",Q628)),ISNUMBER(SEARCH("jal satyagraha",Q628)),ISNUMBER(SEARCH("survey",Q628)),ISNUMBER(SEARCH("human chain",Q628)),ISNUMBER(SEARCH("march",Q628))),1,0)+IF(OR(ISNUMBER(SEARCH("fir",Q628)),ISNUMBER(SEARCH("confrontation",Q628)),ISNUMBER(SEARCH("violence",Q628)),ISNUMBER(SEARCH("detention",Q628)),ISNUMBER(SEARCH("arrest",Q628)),ISNUMBER(SEARCH("demolition",Q628)),ISNUMBER(SEARCH("injury",Q628))),1,0)+IF(OR(D628="Ongoing",D628="Unresolved"),1,0))))</x:f>
      </x:c>
      <x:c r="K628" s="16" t="str">
        <x:f>IF(J628="","",IF(J628=1,"Limited",IF(J628=2,"Local",IF(J628=3,"Significant",IF(J628=4,"High","Critical")))))</x:f>
      </x:c>
      <x:c r="L628" s="16" t="str">
        <x:f>IF(A628="","",Events!U627)</x:f>
      </x:c>
      <x:c r="M628" s="16" t="str">
        <x:f>IF(A628="","",Events!V627)</x:f>
      </x:c>
      <x:c r="N628" s="16" t="str">
        <x:f>IF(A628="","",Events!Q627)</x:f>
      </x:c>
      <x:c r="O628" s="16" t="str">
        <x:f>IF(A628="","",Events!R627)</x:f>
      </x:c>
      <x:c r="P628" s="16" t="str">
        <x:f>IF(A628="","",LOWER(Events!B627&amp;" "&amp;Events!D627&amp;" "&amp;Events!K627))</x:f>
      </x:c>
      <x:c r="Q628" s="16" t="str">
        <x:f>IF(A628="","",LOWER(Events!C627&amp;" "&amp;Events!K627&amp;" "&amp;Events!T627))</x:f>
      </x:c>
      <x:c r="R628" s="16" t="str">
        <x:f>IF(A628="","",IF(ISNUMBER(SEARCH("Occurrence verified",E628)),"Occurrence verified",E628))</x:f>
      </x:c>
      <x:c r="S628" s="79" t="str">
        <x:f>IF(A628="","",Events!X627)</x:f>
      </x:c>
      <x:c r="Z628" s="79" t="str">
        <x:f>IF(A628="","",Events!AD627)</x:f>
      </x:c>
      <x:c r="AA628" s="79" t="str">
        <x:f>IF(A628="","",Events!AE627)</x:f>
      </x:c>
    </x:row>
    <x:row r="629">
      <x:c r="A629" s="16" t="str">
        <x:f>IF(Events!A628="","",Events!A628)</x:f>
      </x:c>
      <x:c r="B629" s="16" t="str">
        <x:f>IF(A629="","",Events!B628)</x:f>
      </x:c>
      <x:c r="C629" s="16" t="str">
        <x:f>IF(A629="","",Events!E628)</x:f>
      </x:c>
      <x:c r="D629" s="16" t="str">
        <x:f>IF(A629="","",Events!J628)</x:f>
      </x:c>
      <x:c r="E629" s="16" t="str">
        <x:f>IF(A629="","",Events!N628)</x:f>
      </x:c>
      <x:c r="F629" s="109" t="str">
        <x:f>IF(OR(A629="",Events!H628=""),"",Events!H628)</x:f>
      </x:c>
      <x:c r="G629" s="109" t="str">
        <x:f>IF(A629="","",IF(Events!I628&lt;&gt;"",Events!I628,IF(Events!S628&lt;&gt;"",Events!S628,"")))</x:f>
      </x:c>
      <x:c r="H629" s="16" t="str">
        <x:f>IF(A629="","",Events!W628)</x:f>
      </x:c>
      <x:c r="I629" s="16" t="str">
        <x:f>IF(A629="","",IF(Events!Y628&lt;&gt;"",Events!Y628,IF(OR(ISNUMBER(SEARCH("education",P629)),ISNUMBER(SEARCH("exam",P629)),ISNUMBER(SEARCH("school",P629))),"Education",IF(OR(ISNUMBER(SEARCH("trade agreement",P629)),ISNUMBER(SEARCH("economic",P629)),ISNUMBER(SEARCH("import",P629))),"Trade &amp; economic policy",IF(OR(ISNUMBER(SEARCH("land acquisition",P629)),ISNUMBER(SEARCH("rehabilitation",P629)),ISNUMBER(SEARCH("displacement",P629)),ISNUMBER(SEARCH("township",P629))),"Land &amp; rehabilitation",IF(OR(ISNUMBER(SEARCH("forest",P629)),ISNUMBER(SEARCH("environment",P629)),ISNUMBER(SEARCH("ecological",P629)),ISNUMBER(SEARCH("biodiversity",P629)),ISNUMBER(SEARCH("green cover",P629))),"Environment",IF(OR(ISNUMBER(SEARCH("irrigation",P629)),ISNUMBER(SEARCH("water",P629)),ISNUMBER(SEARCH("crop",P629)),ISNUMBER(SEARCH("farmer",P629)),ISNUMBER(SEARCH("agriculture",P629))),"Agriculture &amp; water",IF(OR(ISNUMBER(SEARCH("health",P629)),ISNUMBER(SEARCH("hospital",P629)),ISNUMBER(SEARCH("medicine",P629))),"Public health",IF(OR(ISNUMBER(SEARCH("employee",P629)),ISNUMBER(SEARCH("labour",P629)),ISNUMBER(SEARCH("worker",P629)),ISNUMBER(SEARCH("salary",P629))),"Labour &amp; employment",IF(OR(ISNUMBER(SEARCH("rti",P629)),ISNUMBER(SEARCH("transparency",P629)),ISNUMBER(SEARCH("corruption",P629)),ISNUMBER(SEARCH("governance",P629))),"Governance &amp; transparency",IF(OR(ISNUMBER(SEARCH("police",P629)),ISNUMBER(SEARCH("detention",P629)),ISNUMBER(SEARCH("civil rights",P629)),ISNUMBER(SEARCH("justice",P629))),"Civil rights &amp; justice",IF(OR(ISNUMBER(SEARCH("road",P629)),ISNUMBER(SEARCH("utility",P629)),ISNUMBER(SEARCH("infrastructure",P629)),ISNUMBER(SEARCH("public service",P629))),"Infrastructure &amp; public services","Other"))))))))))))</x:f>
      </x:c>
      <x:c r="J629" s="16" t="str">
        <x:f>IF(A629="","",IF(OR(ISNUMBER(SEARCH("fatal",Q629)),ISNUMBER(SEARCH("death",Q629)),ISNUMBER(SEARCH("riot",Q629)),ISNUMBER(SEARCH("curfew",Q629)),ISNUMBER(SEARCH("internet shutdown",Q629))),5,MIN(4,1+IF(H629&gt;=7,1,0)+IF(OR(ISNUMBER(SEARCH("hunger strike",Q629)),ISNUMBER(SEARCH("blockade",Q629)),ISNUMBER(SEARCH("strike",Q629)),ISNUMBER(SEARCH("jal satyagraha",Q629)),ISNUMBER(SEARCH("survey",Q629)),ISNUMBER(SEARCH("human chain",Q629)),ISNUMBER(SEARCH("march",Q629))),1,0)+IF(OR(ISNUMBER(SEARCH("fir",Q629)),ISNUMBER(SEARCH("confrontation",Q629)),ISNUMBER(SEARCH("violence",Q629)),ISNUMBER(SEARCH("detention",Q629)),ISNUMBER(SEARCH("arrest",Q629)),ISNUMBER(SEARCH("demolition",Q629)),ISNUMBER(SEARCH("injury",Q629))),1,0)+IF(OR(D629="Ongoing",D629="Unresolved"),1,0))))</x:f>
      </x:c>
      <x:c r="K629" s="16" t="str">
        <x:f>IF(J629="","",IF(J629=1,"Limited",IF(J629=2,"Local",IF(J629=3,"Significant",IF(J629=4,"High","Critical")))))</x:f>
      </x:c>
      <x:c r="L629" s="16" t="str">
        <x:f>IF(A629="","",Events!U628)</x:f>
      </x:c>
      <x:c r="M629" s="16" t="str">
        <x:f>IF(A629="","",Events!V628)</x:f>
      </x:c>
      <x:c r="N629" s="16" t="str">
        <x:f>IF(A629="","",Events!Q628)</x:f>
      </x:c>
      <x:c r="O629" s="16" t="str">
        <x:f>IF(A629="","",Events!R628)</x:f>
      </x:c>
      <x:c r="P629" s="16" t="str">
        <x:f>IF(A629="","",LOWER(Events!B628&amp;" "&amp;Events!D628&amp;" "&amp;Events!K628))</x:f>
      </x:c>
      <x:c r="Q629" s="16" t="str">
        <x:f>IF(A629="","",LOWER(Events!C628&amp;" "&amp;Events!K628&amp;" "&amp;Events!T628))</x:f>
      </x:c>
      <x:c r="R629" s="16" t="str">
        <x:f>IF(A629="","",IF(ISNUMBER(SEARCH("Occurrence verified",E629)),"Occurrence verified",E629))</x:f>
      </x:c>
      <x:c r="S629" s="79" t="str">
        <x:f>IF(A629="","",Events!X628)</x:f>
      </x:c>
      <x:c r="Z629" s="79" t="str">
        <x:f>IF(A629="","",Events!AD628)</x:f>
      </x:c>
      <x:c r="AA629" s="79" t="str">
        <x:f>IF(A629="","",Events!AE628)</x:f>
      </x:c>
    </x:row>
    <x:row r="630">
      <x:c r="A630" s="16" t="str">
        <x:f>IF(Events!A629="","",Events!A629)</x:f>
      </x:c>
      <x:c r="B630" s="16" t="str">
        <x:f>IF(A630="","",Events!B629)</x:f>
      </x:c>
      <x:c r="C630" s="16" t="str">
        <x:f>IF(A630="","",Events!E629)</x:f>
      </x:c>
      <x:c r="D630" s="16" t="str">
        <x:f>IF(A630="","",Events!J629)</x:f>
      </x:c>
      <x:c r="E630" s="16" t="str">
        <x:f>IF(A630="","",Events!N629)</x:f>
      </x:c>
      <x:c r="F630" s="109" t="str">
        <x:f>IF(OR(A630="",Events!H629=""),"",Events!H629)</x:f>
      </x:c>
      <x:c r="G630" s="109" t="str">
        <x:f>IF(A630="","",IF(Events!I629&lt;&gt;"",Events!I629,IF(Events!S629&lt;&gt;"",Events!S629,"")))</x:f>
      </x:c>
      <x:c r="H630" s="16" t="str">
        <x:f>IF(A630="","",Events!W629)</x:f>
      </x:c>
      <x:c r="I630" s="16" t="str">
        <x:f>IF(A630="","",IF(Events!Y629&lt;&gt;"",Events!Y629,IF(OR(ISNUMBER(SEARCH("education",P630)),ISNUMBER(SEARCH("exam",P630)),ISNUMBER(SEARCH("school",P630))),"Education",IF(OR(ISNUMBER(SEARCH("trade agreement",P630)),ISNUMBER(SEARCH("economic",P630)),ISNUMBER(SEARCH("import",P630))),"Trade &amp; economic policy",IF(OR(ISNUMBER(SEARCH("land acquisition",P630)),ISNUMBER(SEARCH("rehabilitation",P630)),ISNUMBER(SEARCH("displacement",P630)),ISNUMBER(SEARCH("township",P630))),"Land &amp; rehabilitation",IF(OR(ISNUMBER(SEARCH("forest",P630)),ISNUMBER(SEARCH("environment",P630)),ISNUMBER(SEARCH("ecological",P630)),ISNUMBER(SEARCH("biodiversity",P630)),ISNUMBER(SEARCH("green cover",P630))),"Environment",IF(OR(ISNUMBER(SEARCH("irrigation",P630)),ISNUMBER(SEARCH("water",P630)),ISNUMBER(SEARCH("crop",P630)),ISNUMBER(SEARCH("farmer",P630)),ISNUMBER(SEARCH("agriculture",P630))),"Agriculture &amp; water",IF(OR(ISNUMBER(SEARCH("health",P630)),ISNUMBER(SEARCH("hospital",P630)),ISNUMBER(SEARCH("medicine",P630))),"Public health",IF(OR(ISNUMBER(SEARCH("employee",P630)),ISNUMBER(SEARCH("labour",P630)),ISNUMBER(SEARCH("worker",P630)),ISNUMBER(SEARCH("salary",P630))),"Labour &amp; employment",IF(OR(ISNUMBER(SEARCH("rti",P630)),ISNUMBER(SEARCH("transparency",P630)),ISNUMBER(SEARCH("corruption",P630)),ISNUMBER(SEARCH("governance",P630))),"Governance &amp; transparency",IF(OR(ISNUMBER(SEARCH("police",P630)),ISNUMBER(SEARCH("detention",P630)),ISNUMBER(SEARCH("civil rights",P630)),ISNUMBER(SEARCH("justice",P630))),"Civil rights &amp; justice",IF(OR(ISNUMBER(SEARCH("road",P630)),ISNUMBER(SEARCH("utility",P630)),ISNUMBER(SEARCH("infrastructure",P630)),ISNUMBER(SEARCH("public service",P630))),"Infrastructure &amp; public services","Other"))))))))))))</x:f>
      </x:c>
      <x:c r="J630" s="16" t="str">
        <x:f>IF(A630="","",IF(OR(ISNUMBER(SEARCH("fatal",Q630)),ISNUMBER(SEARCH("death",Q630)),ISNUMBER(SEARCH("riot",Q630)),ISNUMBER(SEARCH("curfew",Q630)),ISNUMBER(SEARCH("internet shutdown",Q630))),5,MIN(4,1+IF(H630&gt;=7,1,0)+IF(OR(ISNUMBER(SEARCH("hunger strike",Q630)),ISNUMBER(SEARCH("blockade",Q630)),ISNUMBER(SEARCH("strike",Q630)),ISNUMBER(SEARCH("jal satyagraha",Q630)),ISNUMBER(SEARCH("survey",Q630)),ISNUMBER(SEARCH("human chain",Q630)),ISNUMBER(SEARCH("march",Q630))),1,0)+IF(OR(ISNUMBER(SEARCH("fir",Q630)),ISNUMBER(SEARCH("confrontation",Q630)),ISNUMBER(SEARCH("violence",Q630)),ISNUMBER(SEARCH("detention",Q630)),ISNUMBER(SEARCH("arrest",Q630)),ISNUMBER(SEARCH("demolition",Q630)),ISNUMBER(SEARCH("injury",Q630))),1,0)+IF(OR(D630="Ongoing",D630="Unresolved"),1,0))))</x:f>
      </x:c>
      <x:c r="K630" s="16" t="str">
        <x:f>IF(J630="","",IF(J630=1,"Limited",IF(J630=2,"Local",IF(J630=3,"Significant",IF(J630=4,"High","Critical")))))</x:f>
      </x:c>
      <x:c r="L630" s="16" t="str">
        <x:f>IF(A630="","",Events!U629)</x:f>
      </x:c>
      <x:c r="M630" s="16" t="str">
        <x:f>IF(A630="","",Events!V629)</x:f>
      </x:c>
      <x:c r="N630" s="16" t="str">
        <x:f>IF(A630="","",Events!Q629)</x:f>
      </x:c>
      <x:c r="O630" s="16" t="str">
        <x:f>IF(A630="","",Events!R629)</x:f>
      </x:c>
      <x:c r="P630" s="16" t="str">
        <x:f>IF(A630="","",LOWER(Events!B629&amp;" "&amp;Events!D629&amp;" "&amp;Events!K629))</x:f>
      </x:c>
      <x:c r="Q630" s="16" t="str">
        <x:f>IF(A630="","",LOWER(Events!C629&amp;" "&amp;Events!K629&amp;" "&amp;Events!T629))</x:f>
      </x:c>
      <x:c r="R630" s="16" t="str">
        <x:f>IF(A630="","",IF(ISNUMBER(SEARCH("Occurrence verified",E630)),"Occurrence verified",E630))</x:f>
      </x:c>
      <x:c r="S630" s="79" t="str">
        <x:f>IF(A630="","",Events!X629)</x:f>
      </x:c>
      <x:c r="Z630" s="79" t="str">
        <x:f>IF(A630="","",Events!AD629)</x:f>
      </x:c>
      <x:c r="AA630" s="79" t="str">
        <x:f>IF(A630="","",Events!AE629)</x:f>
      </x:c>
    </x:row>
    <x:row r="631">
      <x:c r="A631" s="16" t="str">
        <x:f>IF(Events!A630="","",Events!A630)</x:f>
      </x:c>
      <x:c r="B631" s="16" t="str">
        <x:f>IF(A631="","",Events!B630)</x:f>
      </x:c>
      <x:c r="C631" s="16" t="str">
        <x:f>IF(A631="","",Events!E630)</x:f>
      </x:c>
      <x:c r="D631" s="16" t="str">
        <x:f>IF(A631="","",Events!J630)</x:f>
      </x:c>
      <x:c r="E631" s="16" t="str">
        <x:f>IF(A631="","",Events!N630)</x:f>
      </x:c>
      <x:c r="F631" s="109" t="str">
        <x:f>IF(OR(A631="",Events!H630=""),"",Events!H630)</x:f>
      </x:c>
      <x:c r="G631" s="109" t="str">
        <x:f>IF(A631="","",IF(Events!I630&lt;&gt;"",Events!I630,IF(Events!S630&lt;&gt;"",Events!S630,"")))</x:f>
      </x:c>
      <x:c r="H631" s="16" t="str">
        <x:f>IF(A631="","",Events!W630)</x:f>
      </x:c>
      <x:c r="I631" s="16" t="str">
        <x:f>IF(A631="","",IF(Events!Y630&lt;&gt;"",Events!Y630,IF(OR(ISNUMBER(SEARCH("education",P631)),ISNUMBER(SEARCH("exam",P631)),ISNUMBER(SEARCH("school",P631))),"Education",IF(OR(ISNUMBER(SEARCH("trade agreement",P631)),ISNUMBER(SEARCH("economic",P631)),ISNUMBER(SEARCH("import",P631))),"Trade &amp; economic policy",IF(OR(ISNUMBER(SEARCH("land acquisition",P631)),ISNUMBER(SEARCH("rehabilitation",P631)),ISNUMBER(SEARCH("displacement",P631)),ISNUMBER(SEARCH("township",P631))),"Land &amp; rehabilitation",IF(OR(ISNUMBER(SEARCH("forest",P631)),ISNUMBER(SEARCH("environment",P631)),ISNUMBER(SEARCH("ecological",P631)),ISNUMBER(SEARCH("biodiversity",P631)),ISNUMBER(SEARCH("green cover",P631))),"Environment",IF(OR(ISNUMBER(SEARCH("irrigation",P631)),ISNUMBER(SEARCH("water",P631)),ISNUMBER(SEARCH("crop",P631)),ISNUMBER(SEARCH("farmer",P631)),ISNUMBER(SEARCH("agriculture",P631))),"Agriculture &amp; water",IF(OR(ISNUMBER(SEARCH("health",P631)),ISNUMBER(SEARCH("hospital",P631)),ISNUMBER(SEARCH("medicine",P631))),"Public health",IF(OR(ISNUMBER(SEARCH("employee",P631)),ISNUMBER(SEARCH("labour",P631)),ISNUMBER(SEARCH("worker",P631)),ISNUMBER(SEARCH("salary",P631))),"Labour &amp; employment",IF(OR(ISNUMBER(SEARCH("rti",P631)),ISNUMBER(SEARCH("transparency",P631)),ISNUMBER(SEARCH("corruption",P631)),ISNUMBER(SEARCH("governance",P631))),"Governance &amp; transparency",IF(OR(ISNUMBER(SEARCH("police",P631)),ISNUMBER(SEARCH("detention",P631)),ISNUMBER(SEARCH("civil rights",P631)),ISNUMBER(SEARCH("justice",P631))),"Civil rights &amp; justice",IF(OR(ISNUMBER(SEARCH("road",P631)),ISNUMBER(SEARCH("utility",P631)),ISNUMBER(SEARCH("infrastructure",P631)),ISNUMBER(SEARCH("public service",P631))),"Infrastructure &amp; public services","Other"))))))))))))</x:f>
      </x:c>
      <x:c r="J631" s="16" t="str">
        <x:f>IF(A631="","",IF(OR(ISNUMBER(SEARCH("fatal",Q631)),ISNUMBER(SEARCH("death",Q631)),ISNUMBER(SEARCH("riot",Q631)),ISNUMBER(SEARCH("curfew",Q631)),ISNUMBER(SEARCH("internet shutdown",Q631))),5,MIN(4,1+IF(H631&gt;=7,1,0)+IF(OR(ISNUMBER(SEARCH("hunger strike",Q631)),ISNUMBER(SEARCH("blockade",Q631)),ISNUMBER(SEARCH("strike",Q631)),ISNUMBER(SEARCH("jal satyagraha",Q631)),ISNUMBER(SEARCH("survey",Q631)),ISNUMBER(SEARCH("human chain",Q631)),ISNUMBER(SEARCH("march",Q631))),1,0)+IF(OR(ISNUMBER(SEARCH("fir",Q631)),ISNUMBER(SEARCH("confrontation",Q631)),ISNUMBER(SEARCH("violence",Q631)),ISNUMBER(SEARCH("detention",Q631)),ISNUMBER(SEARCH("arrest",Q631)),ISNUMBER(SEARCH("demolition",Q631)),ISNUMBER(SEARCH("injury",Q631))),1,0)+IF(OR(D631="Ongoing",D631="Unresolved"),1,0))))</x:f>
      </x:c>
      <x:c r="K631" s="16" t="str">
        <x:f>IF(J631="","",IF(J631=1,"Limited",IF(J631=2,"Local",IF(J631=3,"Significant",IF(J631=4,"High","Critical")))))</x:f>
      </x:c>
      <x:c r="L631" s="16" t="str">
        <x:f>IF(A631="","",Events!U630)</x:f>
      </x:c>
      <x:c r="M631" s="16" t="str">
        <x:f>IF(A631="","",Events!V630)</x:f>
      </x:c>
      <x:c r="N631" s="16" t="str">
        <x:f>IF(A631="","",Events!Q630)</x:f>
      </x:c>
      <x:c r="O631" s="16" t="str">
        <x:f>IF(A631="","",Events!R630)</x:f>
      </x:c>
      <x:c r="P631" s="16" t="str">
        <x:f>IF(A631="","",LOWER(Events!B630&amp;" "&amp;Events!D630&amp;" "&amp;Events!K630))</x:f>
      </x:c>
      <x:c r="Q631" s="16" t="str">
        <x:f>IF(A631="","",LOWER(Events!C630&amp;" "&amp;Events!K630&amp;" "&amp;Events!T630))</x:f>
      </x:c>
      <x:c r="R631" s="16" t="str">
        <x:f>IF(A631="","",IF(ISNUMBER(SEARCH("Occurrence verified",E631)),"Occurrence verified",E631))</x:f>
      </x:c>
      <x:c r="S631" s="79" t="str">
        <x:f>IF(A631="","",Events!X630)</x:f>
      </x:c>
      <x:c r="Z631" s="79" t="str">
        <x:f>IF(A631="","",Events!AD630)</x:f>
      </x:c>
      <x:c r="AA631" s="79" t="str">
        <x:f>IF(A631="","",Events!AE630)</x:f>
      </x:c>
    </x:row>
    <x:row r="632">
      <x:c r="A632" s="16" t="str">
        <x:f>IF(Events!A631="","",Events!A631)</x:f>
      </x:c>
      <x:c r="B632" s="16" t="str">
        <x:f>IF(A632="","",Events!B631)</x:f>
      </x:c>
      <x:c r="C632" s="16" t="str">
        <x:f>IF(A632="","",Events!E631)</x:f>
      </x:c>
      <x:c r="D632" s="16" t="str">
        <x:f>IF(A632="","",Events!J631)</x:f>
      </x:c>
      <x:c r="E632" s="16" t="str">
        <x:f>IF(A632="","",Events!N631)</x:f>
      </x:c>
      <x:c r="F632" s="109" t="str">
        <x:f>IF(OR(A632="",Events!H631=""),"",Events!H631)</x:f>
      </x:c>
      <x:c r="G632" s="109" t="str">
        <x:f>IF(A632="","",IF(Events!I631&lt;&gt;"",Events!I631,IF(Events!S631&lt;&gt;"",Events!S631,"")))</x:f>
      </x:c>
      <x:c r="H632" s="16" t="str">
        <x:f>IF(A632="","",Events!W631)</x:f>
      </x:c>
      <x:c r="I632" s="16" t="str">
        <x:f>IF(A632="","",IF(Events!Y631&lt;&gt;"",Events!Y631,IF(OR(ISNUMBER(SEARCH("education",P632)),ISNUMBER(SEARCH("exam",P632)),ISNUMBER(SEARCH("school",P632))),"Education",IF(OR(ISNUMBER(SEARCH("trade agreement",P632)),ISNUMBER(SEARCH("economic",P632)),ISNUMBER(SEARCH("import",P632))),"Trade &amp; economic policy",IF(OR(ISNUMBER(SEARCH("land acquisition",P632)),ISNUMBER(SEARCH("rehabilitation",P632)),ISNUMBER(SEARCH("displacement",P632)),ISNUMBER(SEARCH("township",P632))),"Land &amp; rehabilitation",IF(OR(ISNUMBER(SEARCH("forest",P632)),ISNUMBER(SEARCH("environment",P632)),ISNUMBER(SEARCH("ecological",P632)),ISNUMBER(SEARCH("biodiversity",P632)),ISNUMBER(SEARCH("green cover",P632))),"Environment",IF(OR(ISNUMBER(SEARCH("irrigation",P632)),ISNUMBER(SEARCH("water",P632)),ISNUMBER(SEARCH("crop",P632)),ISNUMBER(SEARCH("farmer",P632)),ISNUMBER(SEARCH("agriculture",P632))),"Agriculture &amp; water",IF(OR(ISNUMBER(SEARCH("health",P632)),ISNUMBER(SEARCH("hospital",P632)),ISNUMBER(SEARCH("medicine",P632))),"Public health",IF(OR(ISNUMBER(SEARCH("employee",P632)),ISNUMBER(SEARCH("labour",P632)),ISNUMBER(SEARCH("worker",P632)),ISNUMBER(SEARCH("salary",P632))),"Labour &amp; employment",IF(OR(ISNUMBER(SEARCH("rti",P632)),ISNUMBER(SEARCH("transparency",P632)),ISNUMBER(SEARCH("corruption",P632)),ISNUMBER(SEARCH("governance",P632))),"Governance &amp; transparency",IF(OR(ISNUMBER(SEARCH("police",P632)),ISNUMBER(SEARCH("detention",P632)),ISNUMBER(SEARCH("civil rights",P632)),ISNUMBER(SEARCH("justice",P632))),"Civil rights &amp; justice",IF(OR(ISNUMBER(SEARCH("road",P632)),ISNUMBER(SEARCH("utility",P632)),ISNUMBER(SEARCH("infrastructure",P632)),ISNUMBER(SEARCH("public service",P632))),"Infrastructure &amp; public services","Other"))))))))))))</x:f>
      </x:c>
      <x:c r="J632" s="16" t="str">
        <x:f>IF(A632="","",IF(OR(ISNUMBER(SEARCH("fatal",Q632)),ISNUMBER(SEARCH("death",Q632)),ISNUMBER(SEARCH("riot",Q632)),ISNUMBER(SEARCH("curfew",Q632)),ISNUMBER(SEARCH("internet shutdown",Q632))),5,MIN(4,1+IF(H632&gt;=7,1,0)+IF(OR(ISNUMBER(SEARCH("hunger strike",Q632)),ISNUMBER(SEARCH("blockade",Q632)),ISNUMBER(SEARCH("strike",Q632)),ISNUMBER(SEARCH("jal satyagraha",Q632)),ISNUMBER(SEARCH("survey",Q632)),ISNUMBER(SEARCH("human chain",Q632)),ISNUMBER(SEARCH("march",Q632))),1,0)+IF(OR(ISNUMBER(SEARCH("fir",Q632)),ISNUMBER(SEARCH("confrontation",Q632)),ISNUMBER(SEARCH("violence",Q632)),ISNUMBER(SEARCH("detention",Q632)),ISNUMBER(SEARCH("arrest",Q632)),ISNUMBER(SEARCH("demolition",Q632)),ISNUMBER(SEARCH("injury",Q632))),1,0)+IF(OR(D632="Ongoing",D632="Unresolved"),1,0))))</x:f>
      </x:c>
      <x:c r="K632" s="16" t="str">
        <x:f>IF(J632="","",IF(J632=1,"Limited",IF(J632=2,"Local",IF(J632=3,"Significant",IF(J632=4,"High","Critical")))))</x:f>
      </x:c>
      <x:c r="L632" s="16" t="str">
        <x:f>IF(A632="","",Events!U631)</x:f>
      </x:c>
      <x:c r="M632" s="16" t="str">
        <x:f>IF(A632="","",Events!V631)</x:f>
      </x:c>
      <x:c r="N632" s="16" t="str">
        <x:f>IF(A632="","",Events!Q631)</x:f>
      </x:c>
      <x:c r="O632" s="16" t="str">
        <x:f>IF(A632="","",Events!R631)</x:f>
      </x:c>
      <x:c r="P632" s="16" t="str">
        <x:f>IF(A632="","",LOWER(Events!B631&amp;" "&amp;Events!D631&amp;" "&amp;Events!K631))</x:f>
      </x:c>
      <x:c r="Q632" s="16" t="str">
        <x:f>IF(A632="","",LOWER(Events!C631&amp;" "&amp;Events!K631&amp;" "&amp;Events!T631))</x:f>
      </x:c>
      <x:c r="R632" s="16" t="str">
        <x:f>IF(A632="","",IF(ISNUMBER(SEARCH("Occurrence verified",E632)),"Occurrence verified",E632))</x:f>
      </x:c>
      <x:c r="S632" s="79" t="str">
        <x:f>IF(A632="","",Events!X631)</x:f>
      </x:c>
      <x:c r="Z632" s="79" t="str">
        <x:f>IF(A632="","",Events!AD631)</x:f>
      </x:c>
      <x:c r="AA632" s="79" t="str">
        <x:f>IF(A632="","",Events!AE631)</x:f>
      </x:c>
    </x:row>
    <x:row r="633">
      <x:c r="A633" s="16" t="str">
        <x:f>IF(Events!A632="","",Events!A632)</x:f>
      </x:c>
      <x:c r="B633" s="16" t="str">
        <x:f>IF(A633="","",Events!B632)</x:f>
      </x:c>
      <x:c r="C633" s="16" t="str">
        <x:f>IF(A633="","",Events!E632)</x:f>
      </x:c>
      <x:c r="D633" s="16" t="str">
        <x:f>IF(A633="","",Events!J632)</x:f>
      </x:c>
      <x:c r="E633" s="16" t="str">
        <x:f>IF(A633="","",Events!N632)</x:f>
      </x:c>
      <x:c r="F633" s="109" t="str">
        <x:f>IF(OR(A633="",Events!H632=""),"",Events!H632)</x:f>
      </x:c>
      <x:c r="G633" s="109" t="str">
        <x:f>IF(A633="","",IF(Events!I632&lt;&gt;"",Events!I632,IF(Events!S632&lt;&gt;"",Events!S632,"")))</x:f>
      </x:c>
      <x:c r="H633" s="16" t="str">
        <x:f>IF(A633="","",Events!W632)</x:f>
      </x:c>
      <x:c r="I633" s="16" t="str">
        <x:f>IF(A633="","",IF(Events!Y632&lt;&gt;"",Events!Y632,IF(OR(ISNUMBER(SEARCH("education",P633)),ISNUMBER(SEARCH("exam",P633)),ISNUMBER(SEARCH("school",P633))),"Education",IF(OR(ISNUMBER(SEARCH("trade agreement",P633)),ISNUMBER(SEARCH("economic",P633)),ISNUMBER(SEARCH("import",P633))),"Trade &amp; economic policy",IF(OR(ISNUMBER(SEARCH("land acquisition",P633)),ISNUMBER(SEARCH("rehabilitation",P633)),ISNUMBER(SEARCH("displacement",P633)),ISNUMBER(SEARCH("township",P633))),"Land &amp; rehabilitation",IF(OR(ISNUMBER(SEARCH("forest",P633)),ISNUMBER(SEARCH("environment",P633)),ISNUMBER(SEARCH("ecological",P633)),ISNUMBER(SEARCH("biodiversity",P633)),ISNUMBER(SEARCH("green cover",P633))),"Environment",IF(OR(ISNUMBER(SEARCH("irrigation",P633)),ISNUMBER(SEARCH("water",P633)),ISNUMBER(SEARCH("crop",P633)),ISNUMBER(SEARCH("farmer",P633)),ISNUMBER(SEARCH("agriculture",P633))),"Agriculture &amp; water",IF(OR(ISNUMBER(SEARCH("health",P633)),ISNUMBER(SEARCH("hospital",P633)),ISNUMBER(SEARCH("medicine",P633))),"Public health",IF(OR(ISNUMBER(SEARCH("employee",P633)),ISNUMBER(SEARCH("labour",P633)),ISNUMBER(SEARCH("worker",P633)),ISNUMBER(SEARCH("salary",P633))),"Labour &amp; employment",IF(OR(ISNUMBER(SEARCH("rti",P633)),ISNUMBER(SEARCH("transparency",P633)),ISNUMBER(SEARCH("corruption",P633)),ISNUMBER(SEARCH("governance",P633))),"Governance &amp; transparency",IF(OR(ISNUMBER(SEARCH("police",P633)),ISNUMBER(SEARCH("detention",P633)),ISNUMBER(SEARCH("civil rights",P633)),ISNUMBER(SEARCH("justice",P633))),"Civil rights &amp; justice",IF(OR(ISNUMBER(SEARCH("road",P633)),ISNUMBER(SEARCH("utility",P633)),ISNUMBER(SEARCH("infrastructure",P633)),ISNUMBER(SEARCH("public service",P633))),"Infrastructure &amp; public services","Other"))))))))))))</x:f>
      </x:c>
      <x:c r="J633" s="16" t="str">
        <x:f>IF(A633="","",IF(OR(ISNUMBER(SEARCH("fatal",Q633)),ISNUMBER(SEARCH("death",Q633)),ISNUMBER(SEARCH("riot",Q633)),ISNUMBER(SEARCH("curfew",Q633)),ISNUMBER(SEARCH("internet shutdown",Q633))),5,MIN(4,1+IF(H633&gt;=7,1,0)+IF(OR(ISNUMBER(SEARCH("hunger strike",Q633)),ISNUMBER(SEARCH("blockade",Q633)),ISNUMBER(SEARCH("strike",Q633)),ISNUMBER(SEARCH("jal satyagraha",Q633)),ISNUMBER(SEARCH("survey",Q633)),ISNUMBER(SEARCH("human chain",Q633)),ISNUMBER(SEARCH("march",Q633))),1,0)+IF(OR(ISNUMBER(SEARCH("fir",Q633)),ISNUMBER(SEARCH("confrontation",Q633)),ISNUMBER(SEARCH("violence",Q633)),ISNUMBER(SEARCH("detention",Q633)),ISNUMBER(SEARCH("arrest",Q633)),ISNUMBER(SEARCH("demolition",Q633)),ISNUMBER(SEARCH("injury",Q633))),1,0)+IF(OR(D633="Ongoing",D633="Unresolved"),1,0))))</x:f>
      </x:c>
      <x:c r="K633" s="16" t="str">
        <x:f>IF(J633="","",IF(J633=1,"Limited",IF(J633=2,"Local",IF(J633=3,"Significant",IF(J633=4,"High","Critical")))))</x:f>
      </x:c>
      <x:c r="L633" s="16" t="str">
        <x:f>IF(A633="","",Events!U632)</x:f>
      </x:c>
      <x:c r="M633" s="16" t="str">
        <x:f>IF(A633="","",Events!V632)</x:f>
      </x:c>
      <x:c r="N633" s="16" t="str">
        <x:f>IF(A633="","",Events!Q632)</x:f>
      </x:c>
      <x:c r="O633" s="16" t="str">
        <x:f>IF(A633="","",Events!R632)</x:f>
      </x:c>
      <x:c r="P633" s="16" t="str">
        <x:f>IF(A633="","",LOWER(Events!B632&amp;" "&amp;Events!D632&amp;" "&amp;Events!K632))</x:f>
      </x:c>
      <x:c r="Q633" s="16" t="str">
        <x:f>IF(A633="","",LOWER(Events!C632&amp;" "&amp;Events!K632&amp;" "&amp;Events!T632))</x:f>
      </x:c>
      <x:c r="R633" s="16" t="str">
        <x:f>IF(A633="","",IF(ISNUMBER(SEARCH("Occurrence verified",E633)),"Occurrence verified",E633))</x:f>
      </x:c>
      <x:c r="S633" s="79" t="str">
        <x:f>IF(A633="","",Events!X632)</x:f>
      </x:c>
      <x:c r="Z633" s="79" t="str">
        <x:f>IF(A633="","",Events!AD632)</x:f>
      </x:c>
      <x:c r="AA633" s="79" t="str">
        <x:f>IF(A633="","",Events!AE632)</x:f>
      </x:c>
    </x:row>
    <x:row r="634">
      <x:c r="A634" s="16" t="str">
        <x:f>IF(Events!A633="","",Events!A633)</x:f>
      </x:c>
      <x:c r="B634" s="16" t="str">
        <x:f>IF(A634="","",Events!B633)</x:f>
      </x:c>
      <x:c r="C634" s="16" t="str">
        <x:f>IF(A634="","",Events!E633)</x:f>
      </x:c>
      <x:c r="D634" s="16" t="str">
        <x:f>IF(A634="","",Events!J633)</x:f>
      </x:c>
      <x:c r="E634" s="16" t="str">
        <x:f>IF(A634="","",Events!N633)</x:f>
      </x:c>
      <x:c r="F634" s="109" t="str">
        <x:f>IF(OR(A634="",Events!H633=""),"",Events!H633)</x:f>
      </x:c>
      <x:c r="G634" s="109" t="str">
        <x:f>IF(A634="","",IF(Events!I633&lt;&gt;"",Events!I633,IF(Events!S633&lt;&gt;"",Events!S633,"")))</x:f>
      </x:c>
      <x:c r="H634" s="16" t="str">
        <x:f>IF(A634="","",Events!W633)</x:f>
      </x:c>
      <x:c r="I634" s="16" t="str">
        <x:f>IF(A634="","",IF(Events!Y633&lt;&gt;"",Events!Y633,IF(OR(ISNUMBER(SEARCH("education",P634)),ISNUMBER(SEARCH("exam",P634)),ISNUMBER(SEARCH("school",P634))),"Education",IF(OR(ISNUMBER(SEARCH("trade agreement",P634)),ISNUMBER(SEARCH("economic",P634)),ISNUMBER(SEARCH("import",P634))),"Trade &amp; economic policy",IF(OR(ISNUMBER(SEARCH("land acquisition",P634)),ISNUMBER(SEARCH("rehabilitation",P634)),ISNUMBER(SEARCH("displacement",P634)),ISNUMBER(SEARCH("township",P634))),"Land &amp; rehabilitation",IF(OR(ISNUMBER(SEARCH("forest",P634)),ISNUMBER(SEARCH("environment",P634)),ISNUMBER(SEARCH("ecological",P634)),ISNUMBER(SEARCH("biodiversity",P634)),ISNUMBER(SEARCH("green cover",P634))),"Environment",IF(OR(ISNUMBER(SEARCH("irrigation",P634)),ISNUMBER(SEARCH("water",P634)),ISNUMBER(SEARCH("crop",P634)),ISNUMBER(SEARCH("farmer",P634)),ISNUMBER(SEARCH("agriculture",P634))),"Agriculture &amp; water",IF(OR(ISNUMBER(SEARCH("health",P634)),ISNUMBER(SEARCH("hospital",P634)),ISNUMBER(SEARCH("medicine",P634))),"Public health",IF(OR(ISNUMBER(SEARCH("employee",P634)),ISNUMBER(SEARCH("labour",P634)),ISNUMBER(SEARCH("worker",P634)),ISNUMBER(SEARCH("salary",P634))),"Labour &amp; employment",IF(OR(ISNUMBER(SEARCH("rti",P634)),ISNUMBER(SEARCH("transparency",P634)),ISNUMBER(SEARCH("corruption",P634)),ISNUMBER(SEARCH("governance",P634))),"Governance &amp; transparency",IF(OR(ISNUMBER(SEARCH("police",P634)),ISNUMBER(SEARCH("detention",P634)),ISNUMBER(SEARCH("civil rights",P634)),ISNUMBER(SEARCH("justice",P634))),"Civil rights &amp; justice",IF(OR(ISNUMBER(SEARCH("road",P634)),ISNUMBER(SEARCH("utility",P634)),ISNUMBER(SEARCH("infrastructure",P634)),ISNUMBER(SEARCH("public service",P634))),"Infrastructure &amp; public services","Other"))))))))))))</x:f>
      </x:c>
      <x:c r="J634" s="16" t="str">
        <x:f>IF(A634="","",IF(OR(ISNUMBER(SEARCH("fatal",Q634)),ISNUMBER(SEARCH("death",Q634)),ISNUMBER(SEARCH("riot",Q634)),ISNUMBER(SEARCH("curfew",Q634)),ISNUMBER(SEARCH("internet shutdown",Q634))),5,MIN(4,1+IF(H634&gt;=7,1,0)+IF(OR(ISNUMBER(SEARCH("hunger strike",Q634)),ISNUMBER(SEARCH("blockade",Q634)),ISNUMBER(SEARCH("strike",Q634)),ISNUMBER(SEARCH("jal satyagraha",Q634)),ISNUMBER(SEARCH("survey",Q634)),ISNUMBER(SEARCH("human chain",Q634)),ISNUMBER(SEARCH("march",Q634))),1,0)+IF(OR(ISNUMBER(SEARCH("fir",Q634)),ISNUMBER(SEARCH("confrontation",Q634)),ISNUMBER(SEARCH("violence",Q634)),ISNUMBER(SEARCH("detention",Q634)),ISNUMBER(SEARCH("arrest",Q634)),ISNUMBER(SEARCH("demolition",Q634)),ISNUMBER(SEARCH("injury",Q634))),1,0)+IF(OR(D634="Ongoing",D634="Unresolved"),1,0))))</x:f>
      </x:c>
      <x:c r="K634" s="16" t="str">
        <x:f>IF(J634="","",IF(J634=1,"Limited",IF(J634=2,"Local",IF(J634=3,"Significant",IF(J634=4,"High","Critical")))))</x:f>
      </x:c>
      <x:c r="L634" s="16" t="str">
        <x:f>IF(A634="","",Events!U633)</x:f>
      </x:c>
      <x:c r="M634" s="16" t="str">
        <x:f>IF(A634="","",Events!V633)</x:f>
      </x:c>
      <x:c r="N634" s="16" t="str">
        <x:f>IF(A634="","",Events!Q633)</x:f>
      </x:c>
      <x:c r="O634" s="16" t="str">
        <x:f>IF(A634="","",Events!R633)</x:f>
      </x:c>
      <x:c r="P634" s="16" t="str">
        <x:f>IF(A634="","",LOWER(Events!B633&amp;" "&amp;Events!D633&amp;" "&amp;Events!K633))</x:f>
      </x:c>
      <x:c r="Q634" s="16" t="str">
        <x:f>IF(A634="","",LOWER(Events!C633&amp;" "&amp;Events!K633&amp;" "&amp;Events!T633))</x:f>
      </x:c>
      <x:c r="R634" s="16" t="str">
        <x:f>IF(A634="","",IF(ISNUMBER(SEARCH("Occurrence verified",E634)),"Occurrence verified",E634))</x:f>
      </x:c>
      <x:c r="S634" s="79" t="str">
        <x:f>IF(A634="","",Events!X633)</x:f>
      </x:c>
      <x:c r="Z634" s="79" t="str">
        <x:f>IF(A634="","",Events!AD633)</x:f>
      </x:c>
      <x:c r="AA634" s="79" t="str">
        <x:f>IF(A634="","",Events!AE633)</x:f>
      </x:c>
    </x:row>
    <x:row r="635">
      <x:c r="A635" s="16" t="str">
        <x:f>IF(Events!A634="","",Events!A634)</x:f>
      </x:c>
      <x:c r="B635" s="16" t="str">
        <x:f>IF(A635="","",Events!B634)</x:f>
      </x:c>
      <x:c r="C635" s="16" t="str">
        <x:f>IF(A635="","",Events!E634)</x:f>
      </x:c>
      <x:c r="D635" s="16" t="str">
        <x:f>IF(A635="","",Events!J634)</x:f>
      </x:c>
      <x:c r="E635" s="16" t="str">
        <x:f>IF(A635="","",Events!N634)</x:f>
      </x:c>
      <x:c r="F635" s="109" t="str">
        <x:f>IF(OR(A635="",Events!H634=""),"",Events!H634)</x:f>
      </x:c>
      <x:c r="G635" s="109" t="str">
        <x:f>IF(A635="","",IF(Events!I634&lt;&gt;"",Events!I634,IF(Events!S634&lt;&gt;"",Events!S634,"")))</x:f>
      </x:c>
      <x:c r="H635" s="16" t="str">
        <x:f>IF(A635="","",Events!W634)</x:f>
      </x:c>
      <x:c r="I635" s="16" t="str">
        <x:f>IF(A635="","",IF(Events!Y634&lt;&gt;"",Events!Y634,IF(OR(ISNUMBER(SEARCH("education",P635)),ISNUMBER(SEARCH("exam",P635)),ISNUMBER(SEARCH("school",P635))),"Education",IF(OR(ISNUMBER(SEARCH("trade agreement",P635)),ISNUMBER(SEARCH("economic",P635)),ISNUMBER(SEARCH("import",P635))),"Trade &amp; economic policy",IF(OR(ISNUMBER(SEARCH("land acquisition",P635)),ISNUMBER(SEARCH("rehabilitation",P635)),ISNUMBER(SEARCH("displacement",P635)),ISNUMBER(SEARCH("township",P635))),"Land &amp; rehabilitation",IF(OR(ISNUMBER(SEARCH("forest",P635)),ISNUMBER(SEARCH("environment",P635)),ISNUMBER(SEARCH("ecological",P635)),ISNUMBER(SEARCH("biodiversity",P635)),ISNUMBER(SEARCH("green cover",P635))),"Environment",IF(OR(ISNUMBER(SEARCH("irrigation",P635)),ISNUMBER(SEARCH("water",P635)),ISNUMBER(SEARCH("crop",P635)),ISNUMBER(SEARCH("farmer",P635)),ISNUMBER(SEARCH("agriculture",P635))),"Agriculture &amp; water",IF(OR(ISNUMBER(SEARCH("health",P635)),ISNUMBER(SEARCH("hospital",P635)),ISNUMBER(SEARCH("medicine",P635))),"Public health",IF(OR(ISNUMBER(SEARCH("employee",P635)),ISNUMBER(SEARCH("labour",P635)),ISNUMBER(SEARCH("worker",P635)),ISNUMBER(SEARCH("salary",P635))),"Labour &amp; employment",IF(OR(ISNUMBER(SEARCH("rti",P635)),ISNUMBER(SEARCH("transparency",P635)),ISNUMBER(SEARCH("corruption",P635)),ISNUMBER(SEARCH("governance",P635))),"Governance &amp; transparency",IF(OR(ISNUMBER(SEARCH("police",P635)),ISNUMBER(SEARCH("detention",P635)),ISNUMBER(SEARCH("civil rights",P635)),ISNUMBER(SEARCH("justice",P635))),"Civil rights &amp; justice",IF(OR(ISNUMBER(SEARCH("road",P635)),ISNUMBER(SEARCH("utility",P635)),ISNUMBER(SEARCH("infrastructure",P635)),ISNUMBER(SEARCH("public service",P635))),"Infrastructure &amp; public services","Other"))))))))))))</x:f>
      </x:c>
      <x:c r="J635" s="16" t="str">
        <x:f>IF(A635="","",IF(OR(ISNUMBER(SEARCH("fatal",Q635)),ISNUMBER(SEARCH("death",Q635)),ISNUMBER(SEARCH("riot",Q635)),ISNUMBER(SEARCH("curfew",Q635)),ISNUMBER(SEARCH("internet shutdown",Q635))),5,MIN(4,1+IF(H635&gt;=7,1,0)+IF(OR(ISNUMBER(SEARCH("hunger strike",Q635)),ISNUMBER(SEARCH("blockade",Q635)),ISNUMBER(SEARCH("strike",Q635)),ISNUMBER(SEARCH("jal satyagraha",Q635)),ISNUMBER(SEARCH("survey",Q635)),ISNUMBER(SEARCH("human chain",Q635)),ISNUMBER(SEARCH("march",Q635))),1,0)+IF(OR(ISNUMBER(SEARCH("fir",Q635)),ISNUMBER(SEARCH("confrontation",Q635)),ISNUMBER(SEARCH("violence",Q635)),ISNUMBER(SEARCH("detention",Q635)),ISNUMBER(SEARCH("arrest",Q635)),ISNUMBER(SEARCH("demolition",Q635)),ISNUMBER(SEARCH("injury",Q635))),1,0)+IF(OR(D635="Ongoing",D635="Unresolved"),1,0))))</x:f>
      </x:c>
      <x:c r="K635" s="16" t="str">
        <x:f>IF(J635="","",IF(J635=1,"Limited",IF(J635=2,"Local",IF(J635=3,"Significant",IF(J635=4,"High","Critical")))))</x:f>
      </x:c>
      <x:c r="L635" s="16" t="str">
        <x:f>IF(A635="","",Events!U634)</x:f>
      </x:c>
      <x:c r="M635" s="16" t="str">
        <x:f>IF(A635="","",Events!V634)</x:f>
      </x:c>
      <x:c r="N635" s="16" t="str">
        <x:f>IF(A635="","",Events!Q634)</x:f>
      </x:c>
      <x:c r="O635" s="16" t="str">
        <x:f>IF(A635="","",Events!R634)</x:f>
      </x:c>
      <x:c r="P635" s="16" t="str">
        <x:f>IF(A635="","",LOWER(Events!B634&amp;" "&amp;Events!D634&amp;" "&amp;Events!K634))</x:f>
      </x:c>
      <x:c r="Q635" s="16" t="str">
        <x:f>IF(A635="","",LOWER(Events!C634&amp;" "&amp;Events!K634&amp;" "&amp;Events!T634))</x:f>
      </x:c>
      <x:c r="R635" s="16" t="str">
        <x:f>IF(A635="","",IF(ISNUMBER(SEARCH("Occurrence verified",E635)),"Occurrence verified",E635))</x:f>
      </x:c>
      <x:c r="S635" s="79" t="str">
        <x:f>IF(A635="","",Events!X634)</x:f>
      </x:c>
      <x:c r="Z635" s="79" t="str">
        <x:f>IF(A635="","",Events!AD634)</x:f>
      </x:c>
      <x:c r="AA635" s="79" t="str">
        <x:f>IF(A635="","",Events!AE634)</x:f>
      </x:c>
    </x:row>
    <x:row r="636">
      <x:c r="A636" s="16" t="str">
        <x:f>IF(Events!A635="","",Events!A635)</x:f>
      </x:c>
      <x:c r="B636" s="16" t="str">
        <x:f>IF(A636="","",Events!B635)</x:f>
      </x:c>
      <x:c r="C636" s="16" t="str">
        <x:f>IF(A636="","",Events!E635)</x:f>
      </x:c>
      <x:c r="D636" s="16" t="str">
        <x:f>IF(A636="","",Events!J635)</x:f>
      </x:c>
      <x:c r="E636" s="16" t="str">
        <x:f>IF(A636="","",Events!N635)</x:f>
      </x:c>
      <x:c r="F636" s="109" t="str">
        <x:f>IF(OR(A636="",Events!H635=""),"",Events!H635)</x:f>
      </x:c>
      <x:c r="G636" s="109" t="str">
        <x:f>IF(A636="","",IF(Events!I635&lt;&gt;"",Events!I635,IF(Events!S635&lt;&gt;"",Events!S635,"")))</x:f>
      </x:c>
      <x:c r="H636" s="16" t="str">
        <x:f>IF(A636="","",Events!W635)</x:f>
      </x:c>
      <x:c r="I636" s="16" t="str">
        <x:f>IF(A636="","",IF(Events!Y635&lt;&gt;"",Events!Y635,IF(OR(ISNUMBER(SEARCH("education",P636)),ISNUMBER(SEARCH("exam",P636)),ISNUMBER(SEARCH("school",P636))),"Education",IF(OR(ISNUMBER(SEARCH("trade agreement",P636)),ISNUMBER(SEARCH("economic",P636)),ISNUMBER(SEARCH("import",P636))),"Trade &amp; economic policy",IF(OR(ISNUMBER(SEARCH("land acquisition",P636)),ISNUMBER(SEARCH("rehabilitation",P636)),ISNUMBER(SEARCH("displacement",P636)),ISNUMBER(SEARCH("township",P636))),"Land &amp; rehabilitation",IF(OR(ISNUMBER(SEARCH("forest",P636)),ISNUMBER(SEARCH("environment",P636)),ISNUMBER(SEARCH("ecological",P636)),ISNUMBER(SEARCH("biodiversity",P636)),ISNUMBER(SEARCH("green cover",P636))),"Environment",IF(OR(ISNUMBER(SEARCH("irrigation",P636)),ISNUMBER(SEARCH("water",P636)),ISNUMBER(SEARCH("crop",P636)),ISNUMBER(SEARCH("farmer",P636)),ISNUMBER(SEARCH("agriculture",P636))),"Agriculture &amp; water",IF(OR(ISNUMBER(SEARCH("health",P636)),ISNUMBER(SEARCH("hospital",P636)),ISNUMBER(SEARCH("medicine",P636))),"Public health",IF(OR(ISNUMBER(SEARCH("employee",P636)),ISNUMBER(SEARCH("labour",P636)),ISNUMBER(SEARCH("worker",P636)),ISNUMBER(SEARCH("salary",P636))),"Labour &amp; employment",IF(OR(ISNUMBER(SEARCH("rti",P636)),ISNUMBER(SEARCH("transparency",P636)),ISNUMBER(SEARCH("corruption",P636)),ISNUMBER(SEARCH("governance",P636))),"Governance &amp; transparency",IF(OR(ISNUMBER(SEARCH("police",P636)),ISNUMBER(SEARCH("detention",P636)),ISNUMBER(SEARCH("civil rights",P636)),ISNUMBER(SEARCH("justice",P636))),"Civil rights &amp; justice",IF(OR(ISNUMBER(SEARCH("road",P636)),ISNUMBER(SEARCH("utility",P636)),ISNUMBER(SEARCH("infrastructure",P636)),ISNUMBER(SEARCH("public service",P636))),"Infrastructure &amp; public services","Other"))))))))))))</x:f>
      </x:c>
      <x:c r="J636" s="16" t="str">
        <x:f>IF(A636="","",IF(OR(ISNUMBER(SEARCH("fatal",Q636)),ISNUMBER(SEARCH("death",Q636)),ISNUMBER(SEARCH("riot",Q636)),ISNUMBER(SEARCH("curfew",Q636)),ISNUMBER(SEARCH("internet shutdown",Q636))),5,MIN(4,1+IF(H636&gt;=7,1,0)+IF(OR(ISNUMBER(SEARCH("hunger strike",Q636)),ISNUMBER(SEARCH("blockade",Q636)),ISNUMBER(SEARCH("strike",Q636)),ISNUMBER(SEARCH("jal satyagraha",Q636)),ISNUMBER(SEARCH("survey",Q636)),ISNUMBER(SEARCH("human chain",Q636)),ISNUMBER(SEARCH("march",Q636))),1,0)+IF(OR(ISNUMBER(SEARCH("fir",Q636)),ISNUMBER(SEARCH("confrontation",Q636)),ISNUMBER(SEARCH("violence",Q636)),ISNUMBER(SEARCH("detention",Q636)),ISNUMBER(SEARCH("arrest",Q636)),ISNUMBER(SEARCH("demolition",Q636)),ISNUMBER(SEARCH("injury",Q636))),1,0)+IF(OR(D636="Ongoing",D636="Unresolved"),1,0))))</x:f>
      </x:c>
      <x:c r="K636" s="16" t="str">
        <x:f>IF(J636="","",IF(J636=1,"Limited",IF(J636=2,"Local",IF(J636=3,"Significant",IF(J636=4,"High","Critical")))))</x:f>
      </x:c>
      <x:c r="L636" s="16" t="str">
        <x:f>IF(A636="","",Events!U635)</x:f>
      </x:c>
      <x:c r="M636" s="16" t="str">
        <x:f>IF(A636="","",Events!V635)</x:f>
      </x:c>
      <x:c r="N636" s="16" t="str">
        <x:f>IF(A636="","",Events!Q635)</x:f>
      </x:c>
      <x:c r="O636" s="16" t="str">
        <x:f>IF(A636="","",Events!R635)</x:f>
      </x:c>
      <x:c r="P636" s="16" t="str">
        <x:f>IF(A636="","",LOWER(Events!B635&amp;" "&amp;Events!D635&amp;" "&amp;Events!K635))</x:f>
      </x:c>
      <x:c r="Q636" s="16" t="str">
        <x:f>IF(A636="","",LOWER(Events!C635&amp;" "&amp;Events!K635&amp;" "&amp;Events!T635))</x:f>
      </x:c>
      <x:c r="R636" s="16" t="str">
        <x:f>IF(A636="","",IF(ISNUMBER(SEARCH("Occurrence verified",E636)),"Occurrence verified",E636))</x:f>
      </x:c>
      <x:c r="S636" s="79" t="str">
        <x:f>IF(A636="","",Events!X635)</x:f>
      </x:c>
      <x:c r="Z636" s="79" t="str">
        <x:f>IF(A636="","",Events!AD635)</x:f>
      </x:c>
      <x:c r="AA636" s="79" t="str">
        <x:f>IF(A636="","",Events!AE635)</x:f>
      </x:c>
    </x:row>
    <x:row r="637">
      <x:c r="A637" s="16" t="str">
        <x:f>IF(Events!A636="","",Events!A636)</x:f>
      </x:c>
      <x:c r="B637" s="16" t="str">
        <x:f>IF(A637="","",Events!B636)</x:f>
      </x:c>
      <x:c r="C637" s="16" t="str">
        <x:f>IF(A637="","",Events!E636)</x:f>
      </x:c>
      <x:c r="D637" s="16" t="str">
        <x:f>IF(A637="","",Events!J636)</x:f>
      </x:c>
      <x:c r="E637" s="16" t="str">
        <x:f>IF(A637="","",Events!N636)</x:f>
      </x:c>
      <x:c r="F637" s="109" t="str">
        <x:f>IF(OR(A637="",Events!H636=""),"",Events!H636)</x:f>
      </x:c>
      <x:c r="G637" s="109" t="str">
        <x:f>IF(A637="","",IF(Events!I636&lt;&gt;"",Events!I636,IF(Events!S636&lt;&gt;"",Events!S636,"")))</x:f>
      </x:c>
      <x:c r="H637" s="16" t="str">
        <x:f>IF(A637="","",Events!W636)</x:f>
      </x:c>
      <x:c r="I637" s="16" t="str">
        <x:f>IF(A637="","",IF(Events!Y636&lt;&gt;"",Events!Y636,IF(OR(ISNUMBER(SEARCH("education",P637)),ISNUMBER(SEARCH("exam",P637)),ISNUMBER(SEARCH("school",P637))),"Education",IF(OR(ISNUMBER(SEARCH("trade agreement",P637)),ISNUMBER(SEARCH("economic",P637)),ISNUMBER(SEARCH("import",P637))),"Trade &amp; economic policy",IF(OR(ISNUMBER(SEARCH("land acquisition",P637)),ISNUMBER(SEARCH("rehabilitation",P637)),ISNUMBER(SEARCH("displacement",P637)),ISNUMBER(SEARCH("township",P637))),"Land &amp; rehabilitation",IF(OR(ISNUMBER(SEARCH("forest",P637)),ISNUMBER(SEARCH("environment",P637)),ISNUMBER(SEARCH("ecological",P637)),ISNUMBER(SEARCH("biodiversity",P637)),ISNUMBER(SEARCH("green cover",P637))),"Environment",IF(OR(ISNUMBER(SEARCH("irrigation",P637)),ISNUMBER(SEARCH("water",P637)),ISNUMBER(SEARCH("crop",P637)),ISNUMBER(SEARCH("farmer",P637)),ISNUMBER(SEARCH("agriculture",P637))),"Agriculture &amp; water",IF(OR(ISNUMBER(SEARCH("health",P637)),ISNUMBER(SEARCH("hospital",P637)),ISNUMBER(SEARCH("medicine",P637))),"Public health",IF(OR(ISNUMBER(SEARCH("employee",P637)),ISNUMBER(SEARCH("labour",P637)),ISNUMBER(SEARCH("worker",P637)),ISNUMBER(SEARCH("salary",P637))),"Labour &amp; employment",IF(OR(ISNUMBER(SEARCH("rti",P637)),ISNUMBER(SEARCH("transparency",P637)),ISNUMBER(SEARCH("corruption",P637)),ISNUMBER(SEARCH("governance",P637))),"Governance &amp; transparency",IF(OR(ISNUMBER(SEARCH("police",P637)),ISNUMBER(SEARCH("detention",P637)),ISNUMBER(SEARCH("civil rights",P637)),ISNUMBER(SEARCH("justice",P637))),"Civil rights &amp; justice",IF(OR(ISNUMBER(SEARCH("road",P637)),ISNUMBER(SEARCH("utility",P637)),ISNUMBER(SEARCH("infrastructure",P637)),ISNUMBER(SEARCH("public service",P637))),"Infrastructure &amp; public services","Other"))))))))))))</x:f>
      </x:c>
      <x:c r="J637" s="16" t="str">
        <x:f>IF(A637="","",IF(OR(ISNUMBER(SEARCH("fatal",Q637)),ISNUMBER(SEARCH("death",Q637)),ISNUMBER(SEARCH("riot",Q637)),ISNUMBER(SEARCH("curfew",Q637)),ISNUMBER(SEARCH("internet shutdown",Q637))),5,MIN(4,1+IF(H637&gt;=7,1,0)+IF(OR(ISNUMBER(SEARCH("hunger strike",Q637)),ISNUMBER(SEARCH("blockade",Q637)),ISNUMBER(SEARCH("strike",Q637)),ISNUMBER(SEARCH("jal satyagraha",Q637)),ISNUMBER(SEARCH("survey",Q637)),ISNUMBER(SEARCH("human chain",Q637)),ISNUMBER(SEARCH("march",Q637))),1,0)+IF(OR(ISNUMBER(SEARCH("fir",Q637)),ISNUMBER(SEARCH("confrontation",Q637)),ISNUMBER(SEARCH("violence",Q637)),ISNUMBER(SEARCH("detention",Q637)),ISNUMBER(SEARCH("arrest",Q637)),ISNUMBER(SEARCH("demolition",Q637)),ISNUMBER(SEARCH("injury",Q637))),1,0)+IF(OR(D637="Ongoing",D637="Unresolved"),1,0))))</x:f>
      </x:c>
      <x:c r="K637" s="16" t="str">
        <x:f>IF(J637="","",IF(J637=1,"Limited",IF(J637=2,"Local",IF(J637=3,"Significant",IF(J637=4,"High","Critical")))))</x:f>
      </x:c>
      <x:c r="L637" s="16" t="str">
        <x:f>IF(A637="","",Events!U636)</x:f>
      </x:c>
      <x:c r="M637" s="16" t="str">
        <x:f>IF(A637="","",Events!V636)</x:f>
      </x:c>
      <x:c r="N637" s="16" t="str">
        <x:f>IF(A637="","",Events!Q636)</x:f>
      </x:c>
      <x:c r="O637" s="16" t="str">
        <x:f>IF(A637="","",Events!R636)</x:f>
      </x:c>
      <x:c r="P637" s="16" t="str">
        <x:f>IF(A637="","",LOWER(Events!B636&amp;" "&amp;Events!D636&amp;" "&amp;Events!K636))</x:f>
      </x:c>
      <x:c r="Q637" s="16" t="str">
        <x:f>IF(A637="","",LOWER(Events!C636&amp;" "&amp;Events!K636&amp;" "&amp;Events!T636))</x:f>
      </x:c>
      <x:c r="R637" s="16" t="str">
        <x:f>IF(A637="","",IF(ISNUMBER(SEARCH("Occurrence verified",E637)),"Occurrence verified",E637))</x:f>
      </x:c>
      <x:c r="S637" s="79" t="str">
        <x:f>IF(A637="","",Events!X636)</x:f>
      </x:c>
      <x:c r="Z637" s="79" t="str">
        <x:f>IF(A637="","",Events!AD636)</x:f>
      </x:c>
      <x:c r="AA637" s="79" t="str">
        <x:f>IF(A637="","",Events!AE636)</x:f>
      </x:c>
    </x:row>
    <x:row r="638">
      <x:c r="A638" s="16" t="str">
        <x:f>IF(Events!A637="","",Events!A637)</x:f>
      </x:c>
      <x:c r="B638" s="16" t="str">
        <x:f>IF(A638="","",Events!B637)</x:f>
      </x:c>
      <x:c r="C638" s="16" t="str">
        <x:f>IF(A638="","",Events!E637)</x:f>
      </x:c>
      <x:c r="D638" s="16" t="str">
        <x:f>IF(A638="","",Events!J637)</x:f>
      </x:c>
      <x:c r="E638" s="16" t="str">
        <x:f>IF(A638="","",Events!N637)</x:f>
      </x:c>
      <x:c r="F638" s="109" t="str">
        <x:f>IF(OR(A638="",Events!H637=""),"",Events!H637)</x:f>
      </x:c>
      <x:c r="G638" s="109" t="str">
        <x:f>IF(A638="","",IF(Events!I637&lt;&gt;"",Events!I637,IF(Events!S637&lt;&gt;"",Events!S637,"")))</x:f>
      </x:c>
      <x:c r="H638" s="16" t="str">
        <x:f>IF(A638="","",Events!W637)</x:f>
      </x:c>
      <x:c r="I638" s="16" t="str">
        <x:f>IF(A638="","",IF(Events!Y637&lt;&gt;"",Events!Y637,IF(OR(ISNUMBER(SEARCH("education",P638)),ISNUMBER(SEARCH("exam",P638)),ISNUMBER(SEARCH("school",P638))),"Education",IF(OR(ISNUMBER(SEARCH("trade agreement",P638)),ISNUMBER(SEARCH("economic",P638)),ISNUMBER(SEARCH("import",P638))),"Trade &amp; economic policy",IF(OR(ISNUMBER(SEARCH("land acquisition",P638)),ISNUMBER(SEARCH("rehabilitation",P638)),ISNUMBER(SEARCH("displacement",P638)),ISNUMBER(SEARCH("township",P638))),"Land &amp; rehabilitation",IF(OR(ISNUMBER(SEARCH("forest",P638)),ISNUMBER(SEARCH("environment",P638)),ISNUMBER(SEARCH("ecological",P638)),ISNUMBER(SEARCH("biodiversity",P638)),ISNUMBER(SEARCH("green cover",P638))),"Environment",IF(OR(ISNUMBER(SEARCH("irrigation",P638)),ISNUMBER(SEARCH("water",P638)),ISNUMBER(SEARCH("crop",P638)),ISNUMBER(SEARCH("farmer",P638)),ISNUMBER(SEARCH("agriculture",P638))),"Agriculture &amp; water",IF(OR(ISNUMBER(SEARCH("health",P638)),ISNUMBER(SEARCH("hospital",P638)),ISNUMBER(SEARCH("medicine",P638))),"Public health",IF(OR(ISNUMBER(SEARCH("employee",P638)),ISNUMBER(SEARCH("labour",P638)),ISNUMBER(SEARCH("worker",P638)),ISNUMBER(SEARCH("salary",P638))),"Labour &amp; employment",IF(OR(ISNUMBER(SEARCH("rti",P638)),ISNUMBER(SEARCH("transparency",P638)),ISNUMBER(SEARCH("corruption",P638)),ISNUMBER(SEARCH("governance",P638))),"Governance &amp; transparency",IF(OR(ISNUMBER(SEARCH("police",P638)),ISNUMBER(SEARCH("detention",P638)),ISNUMBER(SEARCH("civil rights",P638)),ISNUMBER(SEARCH("justice",P638))),"Civil rights &amp; justice",IF(OR(ISNUMBER(SEARCH("road",P638)),ISNUMBER(SEARCH("utility",P638)),ISNUMBER(SEARCH("infrastructure",P638)),ISNUMBER(SEARCH("public service",P638))),"Infrastructure &amp; public services","Other"))))))))))))</x:f>
      </x:c>
      <x:c r="J638" s="16" t="str">
        <x:f>IF(A638="","",IF(OR(ISNUMBER(SEARCH("fatal",Q638)),ISNUMBER(SEARCH("death",Q638)),ISNUMBER(SEARCH("riot",Q638)),ISNUMBER(SEARCH("curfew",Q638)),ISNUMBER(SEARCH("internet shutdown",Q638))),5,MIN(4,1+IF(H638&gt;=7,1,0)+IF(OR(ISNUMBER(SEARCH("hunger strike",Q638)),ISNUMBER(SEARCH("blockade",Q638)),ISNUMBER(SEARCH("strike",Q638)),ISNUMBER(SEARCH("jal satyagraha",Q638)),ISNUMBER(SEARCH("survey",Q638)),ISNUMBER(SEARCH("human chain",Q638)),ISNUMBER(SEARCH("march",Q638))),1,0)+IF(OR(ISNUMBER(SEARCH("fir",Q638)),ISNUMBER(SEARCH("confrontation",Q638)),ISNUMBER(SEARCH("violence",Q638)),ISNUMBER(SEARCH("detention",Q638)),ISNUMBER(SEARCH("arrest",Q638)),ISNUMBER(SEARCH("demolition",Q638)),ISNUMBER(SEARCH("injury",Q638))),1,0)+IF(OR(D638="Ongoing",D638="Unresolved"),1,0))))</x:f>
      </x:c>
      <x:c r="K638" s="16" t="str">
        <x:f>IF(J638="","",IF(J638=1,"Limited",IF(J638=2,"Local",IF(J638=3,"Significant",IF(J638=4,"High","Critical")))))</x:f>
      </x:c>
      <x:c r="L638" s="16" t="str">
        <x:f>IF(A638="","",Events!U637)</x:f>
      </x:c>
      <x:c r="M638" s="16" t="str">
        <x:f>IF(A638="","",Events!V637)</x:f>
      </x:c>
      <x:c r="N638" s="16" t="str">
        <x:f>IF(A638="","",Events!Q637)</x:f>
      </x:c>
      <x:c r="O638" s="16" t="str">
        <x:f>IF(A638="","",Events!R637)</x:f>
      </x:c>
      <x:c r="P638" s="16" t="str">
        <x:f>IF(A638="","",LOWER(Events!B637&amp;" "&amp;Events!D637&amp;" "&amp;Events!K637))</x:f>
      </x:c>
      <x:c r="Q638" s="16" t="str">
        <x:f>IF(A638="","",LOWER(Events!C637&amp;" "&amp;Events!K637&amp;" "&amp;Events!T637))</x:f>
      </x:c>
      <x:c r="R638" s="16" t="str">
        <x:f>IF(A638="","",IF(ISNUMBER(SEARCH("Occurrence verified",E638)),"Occurrence verified",E638))</x:f>
      </x:c>
      <x:c r="S638" s="79" t="str">
        <x:f>IF(A638="","",Events!X637)</x:f>
      </x:c>
      <x:c r="Z638" s="79" t="str">
        <x:f>IF(A638="","",Events!AD637)</x:f>
      </x:c>
      <x:c r="AA638" s="79" t="str">
        <x:f>IF(A638="","",Events!AE637)</x:f>
      </x:c>
    </x:row>
    <x:row r="639">
      <x:c r="A639" s="16" t="str">
        <x:f>IF(Events!A638="","",Events!A638)</x:f>
      </x:c>
      <x:c r="B639" s="16" t="str">
        <x:f>IF(A639="","",Events!B638)</x:f>
      </x:c>
      <x:c r="C639" s="16" t="str">
        <x:f>IF(A639="","",Events!E638)</x:f>
      </x:c>
      <x:c r="D639" s="16" t="str">
        <x:f>IF(A639="","",Events!J638)</x:f>
      </x:c>
      <x:c r="E639" s="16" t="str">
        <x:f>IF(A639="","",Events!N638)</x:f>
      </x:c>
      <x:c r="F639" s="109" t="str">
        <x:f>IF(OR(A639="",Events!H638=""),"",Events!H638)</x:f>
      </x:c>
      <x:c r="G639" s="109" t="str">
        <x:f>IF(A639="","",IF(Events!I638&lt;&gt;"",Events!I638,IF(Events!S638&lt;&gt;"",Events!S638,"")))</x:f>
      </x:c>
      <x:c r="H639" s="16" t="str">
        <x:f>IF(A639="","",Events!W638)</x:f>
      </x:c>
      <x:c r="I639" s="16" t="str">
        <x:f>IF(A639="","",IF(Events!Y638&lt;&gt;"",Events!Y638,IF(OR(ISNUMBER(SEARCH("education",P639)),ISNUMBER(SEARCH("exam",P639)),ISNUMBER(SEARCH("school",P639))),"Education",IF(OR(ISNUMBER(SEARCH("trade agreement",P639)),ISNUMBER(SEARCH("economic",P639)),ISNUMBER(SEARCH("import",P639))),"Trade &amp; economic policy",IF(OR(ISNUMBER(SEARCH("land acquisition",P639)),ISNUMBER(SEARCH("rehabilitation",P639)),ISNUMBER(SEARCH("displacement",P639)),ISNUMBER(SEARCH("township",P639))),"Land &amp; rehabilitation",IF(OR(ISNUMBER(SEARCH("forest",P639)),ISNUMBER(SEARCH("environment",P639)),ISNUMBER(SEARCH("ecological",P639)),ISNUMBER(SEARCH("biodiversity",P639)),ISNUMBER(SEARCH("green cover",P639))),"Environment",IF(OR(ISNUMBER(SEARCH("irrigation",P639)),ISNUMBER(SEARCH("water",P639)),ISNUMBER(SEARCH("crop",P639)),ISNUMBER(SEARCH("farmer",P639)),ISNUMBER(SEARCH("agriculture",P639))),"Agriculture &amp; water",IF(OR(ISNUMBER(SEARCH("health",P639)),ISNUMBER(SEARCH("hospital",P639)),ISNUMBER(SEARCH("medicine",P639))),"Public health",IF(OR(ISNUMBER(SEARCH("employee",P639)),ISNUMBER(SEARCH("labour",P639)),ISNUMBER(SEARCH("worker",P639)),ISNUMBER(SEARCH("salary",P639))),"Labour &amp; employment",IF(OR(ISNUMBER(SEARCH("rti",P639)),ISNUMBER(SEARCH("transparency",P639)),ISNUMBER(SEARCH("corruption",P639)),ISNUMBER(SEARCH("governance",P639))),"Governance &amp; transparency",IF(OR(ISNUMBER(SEARCH("police",P639)),ISNUMBER(SEARCH("detention",P639)),ISNUMBER(SEARCH("civil rights",P639)),ISNUMBER(SEARCH("justice",P639))),"Civil rights &amp; justice",IF(OR(ISNUMBER(SEARCH("road",P639)),ISNUMBER(SEARCH("utility",P639)),ISNUMBER(SEARCH("infrastructure",P639)),ISNUMBER(SEARCH("public service",P639))),"Infrastructure &amp; public services","Other"))))))))))))</x:f>
      </x:c>
      <x:c r="J639" s="16" t="str">
        <x:f>IF(A639="","",IF(OR(ISNUMBER(SEARCH("fatal",Q639)),ISNUMBER(SEARCH("death",Q639)),ISNUMBER(SEARCH("riot",Q639)),ISNUMBER(SEARCH("curfew",Q639)),ISNUMBER(SEARCH("internet shutdown",Q639))),5,MIN(4,1+IF(H639&gt;=7,1,0)+IF(OR(ISNUMBER(SEARCH("hunger strike",Q639)),ISNUMBER(SEARCH("blockade",Q639)),ISNUMBER(SEARCH("strike",Q639)),ISNUMBER(SEARCH("jal satyagraha",Q639)),ISNUMBER(SEARCH("survey",Q639)),ISNUMBER(SEARCH("human chain",Q639)),ISNUMBER(SEARCH("march",Q639))),1,0)+IF(OR(ISNUMBER(SEARCH("fir",Q639)),ISNUMBER(SEARCH("confrontation",Q639)),ISNUMBER(SEARCH("violence",Q639)),ISNUMBER(SEARCH("detention",Q639)),ISNUMBER(SEARCH("arrest",Q639)),ISNUMBER(SEARCH("demolition",Q639)),ISNUMBER(SEARCH("injury",Q639))),1,0)+IF(OR(D639="Ongoing",D639="Unresolved"),1,0))))</x:f>
      </x:c>
      <x:c r="K639" s="16" t="str">
        <x:f>IF(J639="","",IF(J639=1,"Limited",IF(J639=2,"Local",IF(J639=3,"Significant",IF(J639=4,"High","Critical")))))</x:f>
      </x:c>
      <x:c r="L639" s="16" t="str">
        <x:f>IF(A639="","",Events!U638)</x:f>
      </x:c>
      <x:c r="M639" s="16" t="str">
        <x:f>IF(A639="","",Events!V638)</x:f>
      </x:c>
      <x:c r="N639" s="16" t="str">
        <x:f>IF(A639="","",Events!Q638)</x:f>
      </x:c>
      <x:c r="O639" s="16" t="str">
        <x:f>IF(A639="","",Events!R638)</x:f>
      </x:c>
      <x:c r="P639" s="16" t="str">
        <x:f>IF(A639="","",LOWER(Events!B638&amp;" "&amp;Events!D638&amp;" "&amp;Events!K638))</x:f>
      </x:c>
      <x:c r="Q639" s="16" t="str">
        <x:f>IF(A639="","",LOWER(Events!C638&amp;" "&amp;Events!K638&amp;" "&amp;Events!T638))</x:f>
      </x:c>
      <x:c r="R639" s="16" t="str">
        <x:f>IF(A639="","",IF(ISNUMBER(SEARCH("Occurrence verified",E639)),"Occurrence verified",E639))</x:f>
      </x:c>
      <x:c r="S639" s="79" t="str">
        <x:f>IF(A639="","",Events!X638)</x:f>
      </x:c>
      <x:c r="Z639" s="79" t="str">
        <x:f>IF(A639="","",Events!AD638)</x:f>
      </x:c>
      <x:c r="AA639" s="79" t="str">
        <x:f>IF(A639="","",Events!AE638)</x:f>
      </x:c>
    </x:row>
    <x:row r="640">
      <x:c r="A640" s="16" t="str">
        <x:f>IF(Events!A639="","",Events!A639)</x:f>
      </x:c>
      <x:c r="B640" s="16" t="str">
        <x:f>IF(A640="","",Events!B639)</x:f>
      </x:c>
      <x:c r="C640" s="16" t="str">
        <x:f>IF(A640="","",Events!E639)</x:f>
      </x:c>
      <x:c r="D640" s="16" t="str">
        <x:f>IF(A640="","",Events!J639)</x:f>
      </x:c>
      <x:c r="E640" s="16" t="str">
        <x:f>IF(A640="","",Events!N639)</x:f>
      </x:c>
      <x:c r="F640" s="109" t="str">
        <x:f>IF(OR(A640="",Events!H639=""),"",Events!H639)</x:f>
      </x:c>
      <x:c r="G640" s="109" t="str">
        <x:f>IF(A640="","",IF(Events!I639&lt;&gt;"",Events!I639,IF(Events!S639&lt;&gt;"",Events!S639,"")))</x:f>
      </x:c>
      <x:c r="H640" s="16" t="str">
        <x:f>IF(A640="","",Events!W639)</x:f>
      </x:c>
      <x:c r="I640" s="16" t="str">
        <x:f>IF(A640="","",IF(Events!Y639&lt;&gt;"",Events!Y639,IF(OR(ISNUMBER(SEARCH("education",P640)),ISNUMBER(SEARCH("exam",P640)),ISNUMBER(SEARCH("school",P640))),"Education",IF(OR(ISNUMBER(SEARCH("trade agreement",P640)),ISNUMBER(SEARCH("economic",P640)),ISNUMBER(SEARCH("import",P640))),"Trade &amp; economic policy",IF(OR(ISNUMBER(SEARCH("land acquisition",P640)),ISNUMBER(SEARCH("rehabilitation",P640)),ISNUMBER(SEARCH("displacement",P640)),ISNUMBER(SEARCH("township",P640))),"Land &amp; rehabilitation",IF(OR(ISNUMBER(SEARCH("forest",P640)),ISNUMBER(SEARCH("environment",P640)),ISNUMBER(SEARCH("ecological",P640)),ISNUMBER(SEARCH("biodiversity",P640)),ISNUMBER(SEARCH("green cover",P640))),"Environment",IF(OR(ISNUMBER(SEARCH("irrigation",P640)),ISNUMBER(SEARCH("water",P640)),ISNUMBER(SEARCH("crop",P640)),ISNUMBER(SEARCH("farmer",P640)),ISNUMBER(SEARCH("agriculture",P640))),"Agriculture &amp; water",IF(OR(ISNUMBER(SEARCH("health",P640)),ISNUMBER(SEARCH("hospital",P640)),ISNUMBER(SEARCH("medicine",P640))),"Public health",IF(OR(ISNUMBER(SEARCH("employee",P640)),ISNUMBER(SEARCH("labour",P640)),ISNUMBER(SEARCH("worker",P640)),ISNUMBER(SEARCH("salary",P640))),"Labour &amp; employment",IF(OR(ISNUMBER(SEARCH("rti",P640)),ISNUMBER(SEARCH("transparency",P640)),ISNUMBER(SEARCH("corruption",P640)),ISNUMBER(SEARCH("governance",P640))),"Governance &amp; transparency",IF(OR(ISNUMBER(SEARCH("police",P640)),ISNUMBER(SEARCH("detention",P640)),ISNUMBER(SEARCH("civil rights",P640)),ISNUMBER(SEARCH("justice",P640))),"Civil rights &amp; justice",IF(OR(ISNUMBER(SEARCH("road",P640)),ISNUMBER(SEARCH("utility",P640)),ISNUMBER(SEARCH("infrastructure",P640)),ISNUMBER(SEARCH("public service",P640))),"Infrastructure &amp; public services","Other"))))))))))))</x:f>
      </x:c>
      <x:c r="J640" s="16" t="str">
        <x:f>IF(A640="","",IF(OR(ISNUMBER(SEARCH("fatal",Q640)),ISNUMBER(SEARCH("death",Q640)),ISNUMBER(SEARCH("riot",Q640)),ISNUMBER(SEARCH("curfew",Q640)),ISNUMBER(SEARCH("internet shutdown",Q640))),5,MIN(4,1+IF(H640&gt;=7,1,0)+IF(OR(ISNUMBER(SEARCH("hunger strike",Q640)),ISNUMBER(SEARCH("blockade",Q640)),ISNUMBER(SEARCH("strike",Q640)),ISNUMBER(SEARCH("jal satyagraha",Q640)),ISNUMBER(SEARCH("survey",Q640)),ISNUMBER(SEARCH("human chain",Q640)),ISNUMBER(SEARCH("march",Q640))),1,0)+IF(OR(ISNUMBER(SEARCH("fir",Q640)),ISNUMBER(SEARCH("confrontation",Q640)),ISNUMBER(SEARCH("violence",Q640)),ISNUMBER(SEARCH("detention",Q640)),ISNUMBER(SEARCH("arrest",Q640)),ISNUMBER(SEARCH("demolition",Q640)),ISNUMBER(SEARCH("injury",Q640))),1,0)+IF(OR(D640="Ongoing",D640="Unresolved"),1,0))))</x:f>
      </x:c>
      <x:c r="K640" s="16" t="str">
        <x:f>IF(J640="","",IF(J640=1,"Limited",IF(J640=2,"Local",IF(J640=3,"Significant",IF(J640=4,"High","Critical")))))</x:f>
      </x:c>
      <x:c r="L640" s="16" t="str">
        <x:f>IF(A640="","",Events!U639)</x:f>
      </x:c>
      <x:c r="M640" s="16" t="str">
        <x:f>IF(A640="","",Events!V639)</x:f>
      </x:c>
      <x:c r="N640" s="16" t="str">
        <x:f>IF(A640="","",Events!Q639)</x:f>
      </x:c>
      <x:c r="O640" s="16" t="str">
        <x:f>IF(A640="","",Events!R639)</x:f>
      </x:c>
      <x:c r="P640" s="16" t="str">
        <x:f>IF(A640="","",LOWER(Events!B639&amp;" "&amp;Events!D639&amp;" "&amp;Events!K639))</x:f>
      </x:c>
      <x:c r="Q640" s="16" t="str">
        <x:f>IF(A640="","",LOWER(Events!C639&amp;" "&amp;Events!K639&amp;" "&amp;Events!T639))</x:f>
      </x:c>
      <x:c r="R640" s="16" t="str">
        <x:f>IF(A640="","",IF(ISNUMBER(SEARCH("Occurrence verified",E640)),"Occurrence verified",E640))</x:f>
      </x:c>
      <x:c r="S640" s="79" t="str">
        <x:f>IF(A640="","",Events!X639)</x:f>
      </x:c>
      <x:c r="Z640" s="79" t="str">
        <x:f>IF(A640="","",Events!AD639)</x:f>
      </x:c>
      <x:c r="AA640" s="79" t="str">
        <x:f>IF(A640="","",Events!AE639)</x:f>
      </x:c>
    </x:row>
    <x:row r="641">
      <x:c r="A641" s="16" t="str">
        <x:f>IF(Events!A640="","",Events!A640)</x:f>
      </x:c>
      <x:c r="B641" s="16" t="str">
        <x:f>IF(A641="","",Events!B640)</x:f>
      </x:c>
      <x:c r="C641" s="16" t="str">
        <x:f>IF(A641="","",Events!E640)</x:f>
      </x:c>
      <x:c r="D641" s="16" t="str">
        <x:f>IF(A641="","",Events!J640)</x:f>
      </x:c>
      <x:c r="E641" s="16" t="str">
        <x:f>IF(A641="","",Events!N640)</x:f>
      </x:c>
      <x:c r="F641" s="109" t="str">
        <x:f>IF(OR(A641="",Events!H640=""),"",Events!H640)</x:f>
      </x:c>
      <x:c r="G641" s="109" t="str">
        <x:f>IF(A641="","",IF(Events!I640&lt;&gt;"",Events!I640,IF(Events!S640&lt;&gt;"",Events!S640,"")))</x:f>
      </x:c>
      <x:c r="H641" s="16" t="str">
        <x:f>IF(A641="","",Events!W640)</x:f>
      </x:c>
      <x:c r="I641" s="16" t="str">
        <x:f>IF(A641="","",IF(Events!Y640&lt;&gt;"",Events!Y640,IF(OR(ISNUMBER(SEARCH("education",P641)),ISNUMBER(SEARCH("exam",P641)),ISNUMBER(SEARCH("school",P641))),"Education",IF(OR(ISNUMBER(SEARCH("trade agreement",P641)),ISNUMBER(SEARCH("economic",P641)),ISNUMBER(SEARCH("import",P641))),"Trade &amp; economic policy",IF(OR(ISNUMBER(SEARCH("land acquisition",P641)),ISNUMBER(SEARCH("rehabilitation",P641)),ISNUMBER(SEARCH("displacement",P641)),ISNUMBER(SEARCH("township",P641))),"Land &amp; rehabilitation",IF(OR(ISNUMBER(SEARCH("forest",P641)),ISNUMBER(SEARCH("environment",P641)),ISNUMBER(SEARCH("ecological",P641)),ISNUMBER(SEARCH("biodiversity",P641)),ISNUMBER(SEARCH("green cover",P641))),"Environment",IF(OR(ISNUMBER(SEARCH("irrigation",P641)),ISNUMBER(SEARCH("water",P641)),ISNUMBER(SEARCH("crop",P641)),ISNUMBER(SEARCH("farmer",P641)),ISNUMBER(SEARCH("agriculture",P641))),"Agriculture &amp; water",IF(OR(ISNUMBER(SEARCH("health",P641)),ISNUMBER(SEARCH("hospital",P641)),ISNUMBER(SEARCH("medicine",P641))),"Public health",IF(OR(ISNUMBER(SEARCH("employee",P641)),ISNUMBER(SEARCH("labour",P641)),ISNUMBER(SEARCH("worker",P641)),ISNUMBER(SEARCH("salary",P641))),"Labour &amp; employment",IF(OR(ISNUMBER(SEARCH("rti",P641)),ISNUMBER(SEARCH("transparency",P641)),ISNUMBER(SEARCH("corruption",P641)),ISNUMBER(SEARCH("governance",P641))),"Governance &amp; transparency",IF(OR(ISNUMBER(SEARCH("police",P641)),ISNUMBER(SEARCH("detention",P641)),ISNUMBER(SEARCH("civil rights",P641)),ISNUMBER(SEARCH("justice",P641))),"Civil rights &amp; justice",IF(OR(ISNUMBER(SEARCH("road",P641)),ISNUMBER(SEARCH("utility",P641)),ISNUMBER(SEARCH("infrastructure",P641)),ISNUMBER(SEARCH("public service",P641))),"Infrastructure &amp; public services","Other"))))))))))))</x:f>
      </x:c>
      <x:c r="J641" s="16" t="str">
        <x:f>IF(A641="","",IF(OR(ISNUMBER(SEARCH("fatal",Q641)),ISNUMBER(SEARCH("death",Q641)),ISNUMBER(SEARCH("riot",Q641)),ISNUMBER(SEARCH("curfew",Q641)),ISNUMBER(SEARCH("internet shutdown",Q641))),5,MIN(4,1+IF(H641&gt;=7,1,0)+IF(OR(ISNUMBER(SEARCH("hunger strike",Q641)),ISNUMBER(SEARCH("blockade",Q641)),ISNUMBER(SEARCH("strike",Q641)),ISNUMBER(SEARCH("jal satyagraha",Q641)),ISNUMBER(SEARCH("survey",Q641)),ISNUMBER(SEARCH("human chain",Q641)),ISNUMBER(SEARCH("march",Q641))),1,0)+IF(OR(ISNUMBER(SEARCH("fir",Q641)),ISNUMBER(SEARCH("confrontation",Q641)),ISNUMBER(SEARCH("violence",Q641)),ISNUMBER(SEARCH("detention",Q641)),ISNUMBER(SEARCH("arrest",Q641)),ISNUMBER(SEARCH("demolition",Q641)),ISNUMBER(SEARCH("injury",Q641))),1,0)+IF(OR(D641="Ongoing",D641="Unresolved"),1,0))))</x:f>
      </x:c>
      <x:c r="K641" s="16" t="str">
        <x:f>IF(J641="","",IF(J641=1,"Limited",IF(J641=2,"Local",IF(J641=3,"Significant",IF(J641=4,"High","Critical")))))</x:f>
      </x:c>
      <x:c r="L641" s="16" t="str">
        <x:f>IF(A641="","",Events!U640)</x:f>
      </x:c>
      <x:c r="M641" s="16" t="str">
        <x:f>IF(A641="","",Events!V640)</x:f>
      </x:c>
      <x:c r="N641" s="16" t="str">
        <x:f>IF(A641="","",Events!Q640)</x:f>
      </x:c>
      <x:c r="O641" s="16" t="str">
        <x:f>IF(A641="","",Events!R640)</x:f>
      </x:c>
      <x:c r="P641" s="16" t="str">
        <x:f>IF(A641="","",LOWER(Events!B640&amp;" "&amp;Events!D640&amp;" "&amp;Events!K640))</x:f>
      </x:c>
      <x:c r="Q641" s="16" t="str">
        <x:f>IF(A641="","",LOWER(Events!C640&amp;" "&amp;Events!K640&amp;" "&amp;Events!T640))</x:f>
      </x:c>
      <x:c r="R641" s="16" t="str">
        <x:f>IF(A641="","",IF(ISNUMBER(SEARCH("Occurrence verified",E641)),"Occurrence verified",E641))</x:f>
      </x:c>
      <x:c r="S641" s="79" t="str">
        <x:f>IF(A641="","",Events!X640)</x:f>
      </x:c>
      <x:c r="Z641" s="79" t="str">
        <x:f>IF(A641="","",Events!AD640)</x:f>
      </x:c>
      <x:c r="AA641" s="79" t="str">
        <x:f>IF(A641="","",Events!AE640)</x:f>
      </x:c>
    </x:row>
    <x:row r="642">
      <x:c r="A642" s="16" t="str">
        <x:f>IF(Events!A641="","",Events!A641)</x:f>
      </x:c>
      <x:c r="B642" s="16" t="str">
        <x:f>IF(A642="","",Events!B641)</x:f>
      </x:c>
      <x:c r="C642" s="16" t="str">
        <x:f>IF(A642="","",Events!E641)</x:f>
      </x:c>
      <x:c r="D642" s="16" t="str">
        <x:f>IF(A642="","",Events!J641)</x:f>
      </x:c>
      <x:c r="E642" s="16" t="str">
        <x:f>IF(A642="","",Events!N641)</x:f>
      </x:c>
      <x:c r="F642" s="109" t="str">
        <x:f>IF(OR(A642="",Events!H641=""),"",Events!H641)</x:f>
      </x:c>
      <x:c r="G642" s="109" t="str">
        <x:f>IF(A642="","",IF(Events!I641&lt;&gt;"",Events!I641,IF(Events!S641&lt;&gt;"",Events!S641,"")))</x:f>
      </x:c>
      <x:c r="H642" s="16" t="str">
        <x:f>IF(A642="","",Events!W641)</x:f>
      </x:c>
      <x:c r="I642" s="16" t="str">
        <x:f>IF(A642="","",IF(Events!Y641&lt;&gt;"",Events!Y641,IF(OR(ISNUMBER(SEARCH("education",P642)),ISNUMBER(SEARCH("exam",P642)),ISNUMBER(SEARCH("school",P642))),"Education",IF(OR(ISNUMBER(SEARCH("trade agreement",P642)),ISNUMBER(SEARCH("economic",P642)),ISNUMBER(SEARCH("import",P642))),"Trade &amp; economic policy",IF(OR(ISNUMBER(SEARCH("land acquisition",P642)),ISNUMBER(SEARCH("rehabilitation",P642)),ISNUMBER(SEARCH("displacement",P642)),ISNUMBER(SEARCH("township",P642))),"Land &amp; rehabilitation",IF(OR(ISNUMBER(SEARCH("forest",P642)),ISNUMBER(SEARCH("environment",P642)),ISNUMBER(SEARCH("ecological",P642)),ISNUMBER(SEARCH("biodiversity",P642)),ISNUMBER(SEARCH("green cover",P642))),"Environment",IF(OR(ISNUMBER(SEARCH("irrigation",P642)),ISNUMBER(SEARCH("water",P642)),ISNUMBER(SEARCH("crop",P642)),ISNUMBER(SEARCH("farmer",P642)),ISNUMBER(SEARCH("agriculture",P642))),"Agriculture &amp; water",IF(OR(ISNUMBER(SEARCH("health",P642)),ISNUMBER(SEARCH("hospital",P642)),ISNUMBER(SEARCH("medicine",P642))),"Public health",IF(OR(ISNUMBER(SEARCH("employee",P642)),ISNUMBER(SEARCH("labour",P642)),ISNUMBER(SEARCH("worker",P642)),ISNUMBER(SEARCH("salary",P642))),"Labour &amp; employment",IF(OR(ISNUMBER(SEARCH("rti",P642)),ISNUMBER(SEARCH("transparency",P642)),ISNUMBER(SEARCH("corruption",P642)),ISNUMBER(SEARCH("governance",P642))),"Governance &amp; transparency",IF(OR(ISNUMBER(SEARCH("police",P642)),ISNUMBER(SEARCH("detention",P642)),ISNUMBER(SEARCH("civil rights",P642)),ISNUMBER(SEARCH("justice",P642))),"Civil rights &amp; justice",IF(OR(ISNUMBER(SEARCH("road",P642)),ISNUMBER(SEARCH("utility",P642)),ISNUMBER(SEARCH("infrastructure",P642)),ISNUMBER(SEARCH("public service",P642))),"Infrastructure &amp; public services","Other"))))))))))))</x:f>
      </x:c>
      <x:c r="J642" s="16" t="str">
        <x:f>IF(A642="","",IF(OR(ISNUMBER(SEARCH("fatal",Q642)),ISNUMBER(SEARCH("death",Q642)),ISNUMBER(SEARCH("riot",Q642)),ISNUMBER(SEARCH("curfew",Q642)),ISNUMBER(SEARCH("internet shutdown",Q642))),5,MIN(4,1+IF(H642&gt;=7,1,0)+IF(OR(ISNUMBER(SEARCH("hunger strike",Q642)),ISNUMBER(SEARCH("blockade",Q642)),ISNUMBER(SEARCH("strike",Q642)),ISNUMBER(SEARCH("jal satyagraha",Q642)),ISNUMBER(SEARCH("survey",Q642)),ISNUMBER(SEARCH("human chain",Q642)),ISNUMBER(SEARCH("march",Q642))),1,0)+IF(OR(ISNUMBER(SEARCH("fir",Q642)),ISNUMBER(SEARCH("confrontation",Q642)),ISNUMBER(SEARCH("violence",Q642)),ISNUMBER(SEARCH("detention",Q642)),ISNUMBER(SEARCH("arrest",Q642)),ISNUMBER(SEARCH("demolition",Q642)),ISNUMBER(SEARCH("injury",Q642))),1,0)+IF(OR(D642="Ongoing",D642="Unresolved"),1,0))))</x:f>
      </x:c>
      <x:c r="K642" s="16" t="str">
        <x:f>IF(J642="","",IF(J642=1,"Limited",IF(J642=2,"Local",IF(J642=3,"Significant",IF(J642=4,"High","Critical")))))</x:f>
      </x:c>
      <x:c r="L642" s="16" t="str">
        <x:f>IF(A642="","",Events!U641)</x:f>
      </x:c>
      <x:c r="M642" s="16" t="str">
        <x:f>IF(A642="","",Events!V641)</x:f>
      </x:c>
      <x:c r="N642" s="16" t="str">
        <x:f>IF(A642="","",Events!Q641)</x:f>
      </x:c>
      <x:c r="O642" s="16" t="str">
        <x:f>IF(A642="","",Events!R641)</x:f>
      </x:c>
      <x:c r="P642" s="16" t="str">
        <x:f>IF(A642="","",LOWER(Events!B641&amp;" "&amp;Events!D641&amp;" "&amp;Events!K641))</x:f>
      </x:c>
      <x:c r="Q642" s="16" t="str">
        <x:f>IF(A642="","",LOWER(Events!C641&amp;" "&amp;Events!K641&amp;" "&amp;Events!T641))</x:f>
      </x:c>
      <x:c r="R642" s="16" t="str">
        <x:f>IF(A642="","",IF(ISNUMBER(SEARCH("Occurrence verified",E642)),"Occurrence verified",E642))</x:f>
      </x:c>
      <x:c r="S642" s="79" t="str">
        <x:f>IF(A642="","",Events!X641)</x:f>
      </x:c>
      <x:c r="Z642" s="79" t="str">
        <x:f>IF(A642="","",Events!AD641)</x:f>
      </x:c>
      <x:c r="AA642" s="79" t="str">
        <x:f>IF(A642="","",Events!AE641)</x:f>
      </x:c>
    </x:row>
    <x:row r="643">
      <x:c r="A643" s="16" t="str">
        <x:f>IF(Events!A642="","",Events!A642)</x:f>
      </x:c>
      <x:c r="B643" s="16" t="str">
        <x:f>IF(A643="","",Events!B642)</x:f>
      </x:c>
      <x:c r="C643" s="16" t="str">
        <x:f>IF(A643="","",Events!E642)</x:f>
      </x:c>
      <x:c r="D643" s="16" t="str">
        <x:f>IF(A643="","",Events!J642)</x:f>
      </x:c>
      <x:c r="E643" s="16" t="str">
        <x:f>IF(A643="","",Events!N642)</x:f>
      </x:c>
      <x:c r="F643" s="109" t="str">
        <x:f>IF(OR(A643="",Events!H642=""),"",Events!H642)</x:f>
      </x:c>
      <x:c r="G643" s="109" t="str">
        <x:f>IF(A643="","",IF(Events!I642&lt;&gt;"",Events!I642,IF(Events!S642&lt;&gt;"",Events!S642,"")))</x:f>
      </x:c>
      <x:c r="H643" s="16" t="str">
        <x:f>IF(A643="","",Events!W642)</x:f>
      </x:c>
      <x:c r="I643" s="16" t="str">
        <x:f>IF(A643="","",IF(Events!Y642&lt;&gt;"",Events!Y642,IF(OR(ISNUMBER(SEARCH("education",P643)),ISNUMBER(SEARCH("exam",P643)),ISNUMBER(SEARCH("school",P643))),"Education",IF(OR(ISNUMBER(SEARCH("trade agreement",P643)),ISNUMBER(SEARCH("economic",P643)),ISNUMBER(SEARCH("import",P643))),"Trade &amp; economic policy",IF(OR(ISNUMBER(SEARCH("land acquisition",P643)),ISNUMBER(SEARCH("rehabilitation",P643)),ISNUMBER(SEARCH("displacement",P643)),ISNUMBER(SEARCH("township",P643))),"Land &amp; rehabilitation",IF(OR(ISNUMBER(SEARCH("forest",P643)),ISNUMBER(SEARCH("environment",P643)),ISNUMBER(SEARCH("ecological",P643)),ISNUMBER(SEARCH("biodiversity",P643)),ISNUMBER(SEARCH("green cover",P643))),"Environment",IF(OR(ISNUMBER(SEARCH("irrigation",P643)),ISNUMBER(SEARCH("water",P643)),ISNUMBER(SEARCH("crop",P643)),ISNUMBER(SEARCH("farmer",P643)),ISNUMBER(SEARCH("agriculture",P643))),"Agriculture &amp; water",IF(OR(ISNUMBER(SEARCH("health",P643)),ISNUMBER(SEARCH("hospital",P643)),ISNUMBER(SEARCH("medicine",P643))),"Public health",IF(OR(ISNUMBER(SEARCH("employee",P643)),ISNUMBER(SEARCH("labour",P643)),ISNUMBER(SEARCH("worker",P643)),ISNUMBER(SEARCH("salary",P643))),"Labour &amp; employment",IF(OR(ISNUMBER(SEARCH("rti",P643)),ISNUMBER(SEARCH("transparency",P643)),ISNUMBER(SEARCH("corruption",P643)),ISNUMBER(SEARCH("governance",P643))),"Governance &amp; transparency",IF(OR(ISNUMBER(SEARCH("police",P643)),ISNUMBER(SEARCH("detention",P643)),ISNUMBER(SEARCH("civil rights",P643)),ISNUMBER(SEARCH("justice",P643))),"Civil rights &amp; justice",IF(OR(ISNUMBER(SEARCH("road",P643)),ISNUMBER(SEARCH("utility",P643)),ISNUMBER(SEARCH("infrastructure",P643)),ISNUMBER(SEARCH("public service",P643))),"Infrastructure &amp; public services","Other"))))))))))))</x:f>
      </x:c>
      <x:c r="J643" s="16" t="str">
        <x:f>IF(A643="","",IF(OR(ISNUMBER(SEARCH("fatal",Q643)),ISNUMBER(SEARCH("death",Q643)),ISNUMBER(SEARCH("riot",Q643)),ISNUMBER(SEARCH("curfew",Q643)),ISNUMBER(SEARCH("internet shutdown",Q643))),5,MIN(4,1+IF(H643&gt;=7,1,0)+IF(OR(ISNUMBER(SEARCH("hunger strike",Q643)),ISNUMBER(SEARCH("blockade",Q643)),ISNUMBER(SEARCH("strike",Q643)),ISNUMBER(SEARCH("jal satyagraha",Q643)),ISNUMBER(SEARCH("survey",Q643)),ISNUMBER(SEARCH("human chain",Q643)),ISNUMBER(SEARCH("march",Q643))),1,0)+IF(OR(ISNUMBER(SEARCH("fir",Q643)),ISNUMBER(SEARCH("confrontation",Q643)),ISNUMBER(SEARCH("violence",Q643)),ISNUMBER(SEARCH("detention",Q643)),ISNUMBER(SEARCH("arrest",Q643)),ISNUMBER(SEARCH("demolition",Q643)),ISNUMBER(SEARCH("injury",Q643))),1,0)+IF(OR(D643="Ongoing",D643="Unresolved"),1,0))))</x:f>
      </x:c>
      <x:c r="K643" s="16" t="str">
        <x:f>IF(J643="","",IF(J643=1,"Limited",IF(J643=2,"Local",IF(J643=3,"Significant",IF(J643=4,"High","Critical")))))</x:f>
      </x:c>
      <x:c r="L643" s="16" t="str">
        <x:f>IF(A643="","",Events!U642)</x:f>
      </x:c>
      <x:c r="M643" s="16" t="str">
        <x:f>IF(A643="","",Events!V642)</x:f>
      </x:c>
      <x:c r="N643" s="16" t="str">
        <x:f>IF(A643="","",Events!Q642)</x:f>
      </x:c>
      <x:c r="O643" s="16" t="str">
        <x:f>IF(A643="","",Events!R642)</x:f>
      </x:c>
      <x:c r="P643" s="16" t="str">
        <x:f>IF(A643="","",LOWER(Events!B642&amp;" "&amp;Events!D642&amp;" "&amp;Events!K642))</x:f>
      </x:c>
      <x:c r="Q643" s="16" t="str">
        <x:f>IF(A643="","",LOWER(Events!C642&amp;" "&amp;Events!K642&amp;" "&amp;Events!T642))</x:f>
      </x:c>
      <x:c r="R643" s="16" t="str">
        <x:f>IF(A643="","",IF(ISNUMBER(SEARCH("Occurrence verified",E643)),"Occurrence verified",E643))</x:f>
      </x:c>
      <x:c r="S643" s="79" t="str">
        <x:f>IF(A643="","",Events!X642)</x:f>
      </x:c>
      <x:c r="Z643" s="79" t="str">
        <x:f>IF(A643="","",Events!AD642)</x:f>
      </x:c>
      <x:c r="AA643" s="79" t="str">
        <x:f>IF(A643="","",Events!AE642)</x:f>
      </x:c>
    </x:row>
    <x:row r="644">
      <x:c r="A644" s="16" t="str">
        <x:f>IF(Events!A643="","",Events!A643)</x:f>
      </x:c>
      <x:c r="B644" s="16" t="str">
        <x:f>IF(A644="","",Events!B643)</x:f>
      </x:c>
      <x:c r="C644" s="16" t="str">
        <x:f>IF(A644="","",Events!E643)</x:f>
      </x:c>
      <x:c r="D644" s="16" t="str">
        <x:f>IF(A644="","",Events!J643)</x:f>
      </x:c>
      <x:c r="E644" s="16" t="str">
        <x:f>IF(A644="","",Events!N643)</x:f>
      </x:c>
      <x:c r="F644" s="109" t="str">
        <x:f>IF(OR(A644="",Events!H643=""),"",Events!H643)</x:f>
      </x:c>
      <x:c r="G644" s="109" t="str">
        <x:f>IF(A644="","",IF(Events!I643&lt;&gt;"",Events!I643,IF(Events!S643&lt;&gt;"",Events!S643,"")))</x:f>
      </x:c>
      <x:c r="H644" s="16" t="str">
        <x:f>IF(A644="","",Events!W643)</x:f>
      </x:c>
      <x:c r="I644" s="16" t="str">
        <x:f>IF(A644="","",IF(Events!Y643&lt;&gt;"",Events!Y643,IF(OR(ISNUMBER(SEARCH("education",P644)),ISNUMBER(SEARCH("exam",P644)),ISNUMBER(SEARCH("school",P644))),"Education",IF(OR(ISNUMBER(SEARCH("trade agreement",P644)),ISNUMBER(SEARCH("economic",P644)),ISNUMBER(SEARCH("import",P644))),"Trade &amp; economic policy",IF(OR(ISNUMBER(SEARCH("land acquisition",P644)),ISNUMBER(SEARCH("rehabilitation",P644)),ISNUMBER(SEARCH("displacement",P644)),ISNUMBER(SEARCH("township",P644))),"Land &amp; rehabilitation",IF(OR(ISNUMBER(SEARCH("forest",P644)),ISNUMBER(SEARCH("environment",P644)),ISNUMBER(SEARCH("ecological",P644)),ISNUMBER(SEARCH("biodiversity",P644)),ISNUMBER(SEARCH("green cover",P644))),"Environment",IF(OR(ISNUMBER(SEARCH("irrigation",P644)),ISNUMBER(SEARCH("water",P644)),ISNUMBER(SEARCH("crop",P644)),ISNUMBER(SEARCH("farmer",P644)),ISNUMBER(SEARCH("agriculture",P644))),"Agriculture &amp; water",IF(OR(ISNUMBER(SEARCH("health",P644)),ISNUMBER(SEARCH("hospital",P644)),ISNUMBER(SEARCH("medicine",P644))),"Public health",IF(OR(ISNUMBER(SEARCH("employee",P644)),ISNUMBER(SEARCH("labour",P644)),ISNUMBER(SEARCH("worker",P644)),ISNUMBER(SEARCH("salary",P644))),"Labour &amp; employment",IF(OR(ISNUMBER(SEARCH("rti",P644)),ISNUMBER(SEARCH("transparency",P644)),ISNUMBER(SEARCH("corruption",P644)),ISNUMBER(SEARCH("governance",P644))),"Governance &amp; transparency",IF(OR(ISNUMBER(SEARCH("police",P644)),ISNUMBER(SEARCH("detention",P644)),ISNUMBER(SEARCH("civil rights",P644)),ISNUMBER(SEARCH("justice",P644))),"Civil rights &amp; justice",IF(OR(ISNUMBER(SEARCH("road",P644)),ISNUMBER(SEARCH("utility",P644)),ISNUMBER(SEARCH("infrastructure",P644)),ISNUMBER(SEARCH("public service",P644))),"Infrastructure &amp; public services","Other"))))))))))))</x:f>
      </x:c>
      <x:c r="J644" s="16" t="str">
        <x:f>IF(A644="","",IF(OR(ISNUMBER(SEARCH("fatal",Q644)),ISNUMBER(SEARCH("death",Q644)),ISNUMBER(SEARCH("riot",Q644)),ISNUMBER(SEARCH("curfew",Q644)),ISNUMBER(SEARCH("internet shutdown",Q644))),5,MIN(4,1+IF(H644&gt;=7,1,0)+IF(OR(ISNUMBER(SEARCH("hunger strike",Q644)),ISNUMBER(SEARCH("blockade",Q644)),ISNUMBER(SEARCH("strike",Q644)),ISNUMBER(SEARCH("jal satyagraha",Q644)),ISNUMBER(SEARCH("survey",Q644)),ISNUMBER(SEARCH("human chain",Q644)),ISNUMBER(SEARCH("march",Q644))),1,0)+IF(OR(ISNUMBER(SEARCH("fir",Q644)),ISNUMBER(SEARCH("confrontation",Q644)),ISNUMBER(SEARCH("violence",Q644)),ISNUMBER(SEARCH("detention",Q644)),ISNUMBER(SEARCH("arrest",Q644)),ISNUMBER(SEARCH("demolition",Q644)),ISNUMBER(SEARCH("injury",Q644))),1,0)+IF(OR(D644="Ongoing",D644="Unresolved"),1,0))))</x:f>
      </x:c>
      <x:c r="K644" s="16" t="str">
        <x:f>IF(J644="","",IF(J644=1,"Limited",IF(J644=2,"Local",IF(J644=3,"Significant",IF(J644=4,"High","Critical")))))</x:f>
      </x:c>
      <x:c r="L644" s="16" t="str">
        <x:f>IF(A644="","",Events!U643)</x:f>
      </x:c>
      <x:c r="M644" s="16" t="str">
        <x:f>IF(A644="","",Events!V643)</x:f>
      </x:c>
      <x:c r="N644" s="16" t="str">
        <x:f>IF(A644="","",Events!Q643)</x:f>
      </x:c>
      <x:c r="O644" s="16" t="str">
        <x:f>IF(A644="","",Events!R643)</x:f>
      </x:c>
      <x:c r="P644" s="16" t="str">
        <x:f>IF(A644="","",LOWER(Events!B643&amp;" "&amp;Events!D643&amp;" "&amp;Events!K643))</x:f>
      </x:c>
      <x:c r="Q644" s="16" t="str">
        <x:f>IF(A644="","",LOWER(Events!C643&amp;" "&amp;Events!K643&amp;" "&amp;Events!T643))</x:f>
      </x:c>
      <x:c r="R644" s="16" t="str">
        <x:f>IF(A644="","",IF(ISNUMBER(SEARCH("Occurrence verified",E644)),"Occurrence verified",E644))</x:f>
      </x:c>
      <x:c r="S644" s="79" t="str">
        <x:f>IF(A644="","",Events!X643)</x:f>
      </x:c>
      <x:c r="Z644" s="79" t="str">
        <x:f>IF(A644="","",Events!AD643)</x:f>
      </x:c>
      <x:c r="AA644" s="79" t="str">
        <x:f>IF(A644="","",Events!AE643)</x:f>
      </x:c>
    </x:row>
    <x:row r="645">
      <x:c r="A645" s="16" t="str">
        <x:f>IF(Events!A644="","",Events!A644)</x:f>
      </x:c>
      <x:c r="B645" s="16" t="str">
        <x:f>IF(A645="","",Events!B644)</x:f>
      </x:c>
      <x:c r="C645" s="16" t="str">
        <x:f>IF(A645="","",Events!E644)</x:f>
      </x:c>
      <x:c r="D645" s="16" t="str">
        <x:f>IF(A645="","",Events!J644)</x:f>
      </x:c>
      <x:c r="E645" s="16" t="str">
        <x:f>IF(A645="","",Events!N644)</x:f>
      </x:c>
      <x:c r="F645" s="109" t="str">
        <x:f>IF(OR(A645="",Events!H644=""),"",Events!H644)</x:f>
      </x:c>
      <x:c r="G645" s="109" t="str">
        <x:f>IF(A645="","",IF(Events!I644&lt;&gt;"",Events!I644,IF(Events!S644&lt;&gt;"",Events!S644,"")))</x:f>
      </x:c>
      <x:c r="H645" s="16" t="str">
        <x:f>IF(A645="","",Events!W644)</x:f>
      </x:c>
      <x:c r="I645" s="16" t="str">
        <x:f>IF(A645="","",IF(Events!Y644&lt;&gt;"",Events!Y644,IF(OR(ISNUMBER(SEARCH("education",P645)),ISNUMBER(SEARCH("exam",P645)),ISNUMBER(SEARCH("school",P645))),"Education",IF(OR(ISNUMBER(SEARCH("trade agreement",P645)),ISNUMBER(SEARCH("economic",P645)),ISNUMBER(SEARCH("import",P645))),"Trade &amp; economic policy",IF(OR(ISNUMBER(SEARCH("land acquisition",P645)),ISNUMBER(SEARCH("rehabilitation",P645)),ISNUMBER(SEARCH("displacement",P645)),ISNUMBER(SEARCH("township",P645))),"Land &amp; rehabilitation",IF(OR(ISNUMBER(SEARCH("forest",P645)),ISNUMBER(SEARCH("environment",P645)),ISNUMBER(SEARCH("ecological",P645)),ISNUMBER(SEARCH("biodiversity",P645)),ISNUMBER(SEARCH("green cover",P645))),"Environment",IF(OR(ISNUMBER(SEARCH("irrigation",P645)),ISNUMBER(SEARCH("water",P645)),ISNUMBER(SEARCH("crop",P645)),ISNUMBER(SEARCH("farmer",P645)),ISNUMBER(SEARCH("agriculture",P645))),"Agriculture &amp; water",IF(OR(ISNUMBER(SEARCH("health",P645)),ISNUMBER(SEARCH("hospital",P645)),ISNUMBER(SEARCH("medicine",P645))),"Public health",IF(OR(ISNUMBER(SEARCH("employee",P645)),ISNUMBER(SEARCH("labour",P645)),ISNUMBER(SEARCH("worker",P645)),ISNUMBER(SEARCH("salary",P645))),"Labour &amp; employment",IF(OR(ISNUMBER(SEARCH("rti",P645)),ISNUMBER(SEARCH("transparency",P645)),ISNUMBER(SEARCH("corruption",P645)),ISNUMBER(SEARCH("governance",P645))),"Governance &amp; transparency",IF(OR(ISNUMBER(SEARCH("police",P645)),ISNUMBER(SEARCH("detention",P645)),ISNUMBER(SEARCH("civil rights",P645)),ISNUMBER(SEARCH("justice",P645))),"Civil rights &amp; justice",IF(OR(ISNUMBER(SEARCH("road",P645)),ISNUMBER(SEARCH("utility",P645)),ISNUMBER(SEARCH("infrastructure",P645)),ISNUMBER(SEARCH("public service",P645))),"Infrastructure &amp; public services","Other"))))))))))))</x:f>
      </x:c>
      <x:c r="J645" s="16" t="str">
        <x:f>IF(A645="","",IF(OR(ISNUMBER(SEARCH("fatal",Q645)),ISNUMBER(SEARCH("death",Q645)),ISNUMBER(SEARCH("riot",Q645)),ISNUMBER(SEARCH("curfew",Q645)),ISNUMBER(SEARCH("internet shutdown",Q645))),5,MIN(4,1+IF(H645&gt;=7,1,0)+IF(OR(ISNUMBER(SEARCH("hunger strike",Q645)),ISNUMBER(SEARCH("blockade",Q645)),ISNUMBER(SEARCH("strike",Q645)),ISNUMBER(SEARCH("jal satyagraha",Q645)),ISNUMBER(SEARCH("survey",Q645)),ISNUMBER(SEARCH("human chain",Q645)),ISNUMBER(SEARCH("march",Q645))),1,0)+IF(OR(ISNUMBER(SEARCH("fir",Q645)),ISNUMBER(SEARCH("confrontation",Q645)),ISNUMBER(SEARCH("violence",Q645)),ISNUMBER(SEARCH("detention",Q645)),ISNUMBER(SEARCH("arrest",Q645)),ISNUMBER(SEARCH("demolition",Q645)),ISNUMBER(SEARCH("injury",Q645))),1,0)+IF(OR(D645="Ongoing",D645="Unresolved"),1,0))))</x:f>
      </x:c>
      <x:c r="K645" s="16" t="str">
        <x:f>IF(J645="","",IF(J645=1,"Limited",IF(J645=2,"Local",IF(J645=3,"Significant",IF(J645=4,"High","Critical")))))</x:f>
      </x:c>
      <x:c r="L645" s="16" t="str">
        <x:f>IF(A645="","",Events!U644)</x:f>
      </x:c>
      <x:c r="M645" s="16" t="str">
        <x:f>IF(A645="","",Events!V644)</x:f>
      </x:c>
      <x:c r="N645" s="16" t="str">
        <x:f>IF(A645="","",Events!Q644)</x:f>
      </x:c>
      <x:c r="O645" s="16" t="str">
        <x:f>IF(A645="","",Events!R644)</x:f>
      </x:c>
      <x:c r="P645" s="16" t="str">
        <x:f>IF(A645="","",LOWER(Events!B644&amp;" "&amp;Events!D644&amp;" "&amp;Events!K644))</x:f>
      </x:c>
      <x:c r="Q645" s="16" t="str">
        <x:f>IF(A645="","",LOWER(Events!C644&amp;" "&amp;Events!K644&amp;" "&amp;Events!T644))</x:f>
      </x:c>
      <x:c r="R645" s="16" t="str">
        <x:f>IF(A645="","",IF(ISNUMBER(SEARCH("Occurrence verified",E645)),"Occurrence verified",E645))</x:f>
      </x:c>
      <x:c r="S645" s="79" t="str">
        <x:f>IF(A645="","",Events!X644)</x:f>
      </x:c>
      <x:c r="Z645" s="79" t="str">
        <x:f>IF(A645="","",Events!AD644)</x:f>
      </x:c>
      <x:c r="AA645" s="79" t="str">
        <x:f>IF(A645="","",Events!AE644)</x:f>
      </x:c>
    </x:row>
    <x:row r="646">
      <x:c r="A646" s="16" t="str">
        <x:f>IF(Events!A645="","",Events!A645)</x:f>
      </x:c>
      <x:c r="B646" s="16" t="str">
        <x:f>IF(A646="","",Events!B645)</x:f>
      </x:c>
      <x:c r="C646" s="16" t="str">
        <x:f>IF(A646="","",Events!E645)</x:f>
      </x:c>
      <x:c r="D646" s="16" t="str">
        <x:f>IF(A646="","",Events!J645)</x:f>
      </x:c>
      <x:c r="E646" s="16" t="str">
        <x:f>IF(A646="","",Events!N645)</x:f>
      </x:c>
      <x:c r="F646" s="109" t="str">
        <x:f>IF(OR(A646="",Events!H645=""),"",Events!H645)</x:f>
      </x:c>
      <x:c r="G646" s="109" t="str">
        <x:f>IF(A646="","",IF(Events!I645&lt;&gt;"",Events!I645,IF(Events!S645&lt;&gt;"",Events!S645,"")))</x:f>
      </x:c>
      <x:c r="H646" s="16" t="str">
        <x:f>IF(A646="","",Events!W645)</x:f>
      </x:c>
      <x:c r="I646" s="16" t="str">
        <x:f>IF(A646="","",IF(Events!Y645&lt;&gt;"",Events!Y645,IF(OR(ISNUMBER(SEARCH("education",P646)),ISNUMBER(SEARCH("exam",P646)),ISNUMBER(SEARCH("school",P646))),"Education",IF(OR(ISNUMBER(SEARCH("trade agreement",P646)),ISNUMBER(SEARCH("economic",P646)),ISNUMBER(SEARCH("import",P646))),"Trade &amp; economic policy",IF(OR(ISNUMBER(SEARCH("land acquisition",P646)),ISNUMBER(SEARCH("rehabilitation",P646)),ISNUMBER(SEARCH("displacement",P646)),ISNUMBER(SEARCH("township",P646))),"Land &amp; rehabilitation",IF(OR(ISNUMBER(SEARCH("forest",P646)),ISNUMBER(SEARCH("environment",P646)),ISNUMBER(SEARCH("ecological",P646)),ISNUMBER(SEARCH("biodiversity",P646)),ISNUMBER(SEARCH("green cover",P646))),"Environment",IF(OR(ISNUMBER(SEARCH("irrigation",P646)),ISNUMBER(SEARCH("water",P646)),ISNUMBER(SEARCH("crop",P646)),ISNUMBER(SEARCH("farmer",P646)),ISNUMBER(SEARCH("agriculture",P646))),"Agriculture &amp; water",IF(OR(ISNUMBER(SEARCH("health",P646)),ISNUMBER(SEARCH("hospital",P646)),ISNUMBER(SEARCH("medicine",P646))),"Public health",IF(OR(ISNUMBER(SEARCH("employee",P646)),ISNUMBER(SEARCH("labour",P646)),ISNUMBER(SEARCH("worker",P646)),ISNUMBER(SEARCH("salary",P646))),"Labour &amp; employment",IF(OR(ISNUMBER(SEARCH("rti",P646)),ISNUMBER(SEARCH("transparency",P646)),ISNUMBER(SEARCH("corruption",P646)),ISNUMBER(SEARCH("governance",P646))),"Governance &amp; transparency",IF(OR(ISNUMBER(SEARCH("police",P646)),ISNUMBER(SEARCH("detention",P646)),ISNUMBER(SEARCH("civil rights",P646)),ISNUMBER(SEARCH("justice",P646))),"Civil rights &amp; justice",IF(OR(ISNUMBER(SEARCH("road",P646)),ISNUMBER(SEARCH("utility",P646)),ISNUMBER(SEARCH("infrastructure",P646)),ISNUMBER(SEARCH("public service",P646))),"Infrastructure &amp; public services","Other"))))))))))))</x:f>
      </x:c>
      <x:c r="J646" s="16" t="str">
        <x:f>IF(A646="","",IF(OR(ISNUMBER(SEARCH("fatal",Q646)),ISNUMBER(SEARCH("death",Q646)),ISNUMBER(SEARCH("riot",Q646)),ISNUMBER(SEARCH("curfew",Q646)),ISNUMBER(SEARCH("internet shutdown",Q646))),5,MIN(4,1+IF(H646&gt;=7,1,0)+IF(OR(ISNUMBER(SEARCH("hunger strike",Q646)),ISNUMBER(SEARCH("blockade",Q646)),ISNUMBER(SEARCH("strike",Q646)),ISNUMBER(SEARCH("jal satyagraha",Q646)),ISNUMBER(SEARCH("survey",Q646)),ISNUMBER(SEARCH("human chain",Q646)),ISNUMBER(SEARCH("march",Q646))),1,0)+IF(OR(ISNUMBER(SEARCH("fir",Q646)),ISNUMBER(SEARCH("confrontation",Q646)),ISNUMBER(SEARCH("violence",Q646)),ISNUMBER(SEARCH("detention",Q646)),ISNUMBER(SEARCH("arrest",Q646)),ISNUMBER(SEARCH("demolition",Q646)),ISNUMBER(SEARCH("injury",Q646))),1,0)+IF(OR(D646="Ongoing",D646="Unresolved"),1,0))))</x:f>
      </x:c>
      <x:c r="K646" s="16" t="str">
        <x:f>IF(J646="","",IF(J646=1,"Limited",IF(J646=2,"Local",IF(J646=3,"Significant",IF(J646=4,"High","Critical")))))</x:f>
      </x:c>
      <x:c r="L646" s="16" t="str">
        <x:f>IF(A646="","",Events!U645)</x:f>
      </x:c>
      <x:c r="M646" s="16" t="str">
        <x:f>IF(A646="","",Events!V645)</x:f>
      </x:c>
      <x:c r="N646" s="16" t="str">
        <x:f>IF(A646="","",Events!Q645)</x:f>
      </x:c>
      <x:c r="O646" s="16" t="str">
        <x:f>IF(A646="","",Events!R645)</x:f>
      </x:c>
      <x:c r="P646" s="16" t="str">
        <x:f>IF(A646="","",LOWER(Events!B645&amp;" "&amp;Events!D645&amp;" "&amp;Events!K645))</x:f>
      </x:c>
      <x:c r="Q646" s="16" t="str">
        <x:f>IF(A646="","",LOWER(Events!C645&amp;" "&amp;Events!K645&amp;" "&amp;Events!T645))</x:f>
      </x:c>
      <x:c r="R646" s="16" t="str">
        <x:f>IF(A646="","",IF(ISNUMBER(SEARCH("Occurrence verified",E646)),"Occurrence verified",E646))</x:f>
      </x:c>
      <x:c r="S646" s="79" t="str">
        <x:f>IF(A646="","",Events!X645)</x:f>
      </x:c>
      <x:c r="Z646" s="79" t="str">
        <x:f>IF(A646="","",Events!AD645)</x:f>
      </x:c>
      <x:c r="AA646" s="79" t="str">
        <x:f>IF(A646="","",Events!AE645)</x:f>
      </x:c>
    </x:row>
    <x:row r="647">
      <x:c r="A647" s="16" t="str">
        <x:f>IF(Events!A646="","",Events!A646)</x:f>
      </x:c>
      <x:c r="B647" s="16" t="str">
        <x:f>IF(A647="","",Events!B646)</x:f>
      </x:c>
      <x:c r="C647" s="16" t="str">
        <x:f>IF(A647="","",Events!E646)</x:f>
      </x:c>
      <x:c r="D647" s="16" t="str">
        <x:f>IF(A647="","",Events!J646)</x:f>
      </x:c>
      <x:c r="E647" s="16" t="str">
        <x:f>IF(A647="","",Events!N646)</x:f>
      </x:c>
      <x:c r="F647" s="109" t="str">
        <x:f>IF(OR(A647="",Events!H646=""),"",Events!H646)</x:f>
      </x:c>
      <x:c r="G647" s="109" t="str">
        <x:f>IF(A647="","",IF(Events!I646&lt;&gt;"",Events!I646,IF(Events!S646&lt;&gt;"",Events!S646,"")))</x:f>
      </x:c>
      <x:c r="H647" s="16" t="str">
        <x:f>IF(A647="","",Events!W646)</x:f>
      </x:c>
      <x:c r="I647" s="16" t="str">
        <x:f>IF(A647="","",IF(Events!Y646&lt;&gt;"",Events!Y646,IF(OR(ISNUMBER(SEARCH("education",P647)),ISNUMBER(SEARCH("exam",P647)),ISNUMBER(SEARCH("school",P647))),"Education",IF(OR(ISNUMBER(SEARCH("trade agreement",P647)),ISNUMBER(SEARCH("economic",P647)),ISNUMBER(SEARCH("import",P647))),"Trade &amp; economic policy",IF(OR(ISNUMBER(SEARCH("land acquisition",P647)),ISNUMBER(SEARCH("rehabilitation",P647)),ISNUMBER(SEARCH("displacement",P647)),ISNUMBER(SEARCH("township",P647))),"Land &amp; rehabilitation",IF(OR(ISNUMBER(SEARCH("forest",P647)),ISNUMBER(SEARCH("environment",P647)),ISNUMBER(SEARCH("ecological",P647)),ISNUMBER(SEARCH("biodiversity",P647)),ISNUMBER(SEARCH("green cover",P647))),"Environment",IF(OR(ISNUMBER(SEARCH("irrigation",P647)),ISNUMBER(SEARCH("water",P647)),ISNUMBER(SEARCH("crop",P647)),ISNUMBER(SEARCH("farmer",P647)),ISNUMBER(SEARCH("agriculture",P647))),"Agriculture &amp; water",IF(OR(ISNUMBER(SEARCH("health",P647)),ISNUMBER(SEARCH("hospital",P647)),ISNUMBER(SEARCH("medicine",P647))),"Public health",IF(OR(ISNUMBER(SEARCH("employee",P647)),ISNUMBER(SEARCH("labour",P647)),ISNUMBER(SEARCH("worker",P647)),ISNUMBER(SEARCH("salary",P647))),"Labour &amp; employment",IF(OR(ISNUMBER(SEARCH("rti",P647)),ISNUMBER(SEARCH("transparency",P647)),ISNUMBER(SEARCH("corruption",P647)),ISNUMBER(SEARCH("governance",P647))),"Governance &amp; transparency",IF(OR(ISNUMBER(SEARCH("police",P647)),ISNUMBER(SEARCH("detention",P647)),ISNUMBER(SEARCH("civil rights",P647)),ISNUMBER(SEARCH("justice",P647))),"Civil rights &amp; justice",IF(OR(ISNUMBER(SEARCH("road",P647)),ISNUMBER(SEARCH("utility",P647)),ISNUMBER(SEARCH("infrastructure",P647)),ISNUMBER(SEARCH("public service",P647))),"Infrastructure &amp; public services","Other"))))))))))))</x:f>
      </x:c>
      <x:c r="J647" s="16" t="str">
        <x:f>IF(A647="","",IF(OR(ISNUMBER(SEARCH("fatal",Q647)),ISNUMBER(SEARCH("death",Q647)),ISNUMBER(SEARCH("riot",Q647)),ISNUMBER(SEARCH("curfew",Q647)),ISNUMBER(SEARCH("internet shutdown",Q647))),5,MIN(4,1+IF(H647&gt;=7,1,0)+IF(OR(ISNUMBER(SEARCH("hunger strike",Q647)),ISNUMBER(SEARCH("blockade",Q647)),ISNUMBER(SEARCH("strike",Q647)),ISNUMBER(SEARCH("jal satyagraha",Q647)),ISNUMBER(SEARCH("survey",Q647)),ISNUMBER(SEARCH("human chain",Q647)),ISNUMBER(SEARCH("march",Q647))),1,0)+IF(OR(ISNUMBER(SEARCH("fir",Q647)),ISNUMBER(SEARCH("confrontation",Q647)),ISNUMBER(SEARCH("violence",Q647)),ISNUMBER(SEARCH("detention",Q647)),ISNUMBER(SEARCH("arrest",Q647)),ISNUMBER(SEARCH("demolition",Q647)),ISNUMBER(SEARCH("injury",Q647))),1,0)+IF(OR(D647="Ongoing",D647="Unresolved"),1,0))))</x:f>
      </x:c>
      <x:c r="K647" s="16" t="str">
        <x:f>IF(J647="","",IF(J647=1,"Limited",IF(J647=2,"Local",IF(J647=3,"Significant",IF(J647=4,"High","Critical")))))</x:f>
      </x:c>
      <x:c r="L647" s="16" t="str">
        <x:f>IF(A647="","",Events!U646)</x:f>
      </x:c>
      <x:c r="M647" s="16" t="str">
        <x:f>IF(A647="","",Events!V646)</x:f>
      </x:c>
      <x:c r="N647" s="16" t="str">
        <x:f>IF(A647="","",Events!Q646)</x:f>
      </x:c>
      <x:c r="O647" s="16" t="str">
        <x:f>IF(A647="","",Events!R646)</x:f>
      </x:c>
      <x:c r="P647" s="16" t="str">
        <x:f>IF(A647="","",LOWER(Events!B646&amp;" "&amp;Events!D646&amp;" "&amp;Events!K646))</x:f>
      </x:c>
      <x:c r="Q647" s="16" t="str">
        <x:f>IF(A647="","",LOWER(Events!C646&amp;" "&amp;Events!K646&amp;" "&amp;Events!T646))</x:f>
      </x:c>
      <x:c r="R647" s="16" t="str">
        <x:f>IF(A647="","",IF(ISNUMBER(SEARCH("Occurrence verified",E647)),"Occurrence verified",E647))</x:f>
      </x:c>
      <x:c r="S647" s="79" t="str">
        <x:f>IF(A647="","",Events!X646)</x:f>
      </x:c>
      <x:c r="Z647" s="79" t="str">
        <x:f>IF(A647="","",Events!AD646)</x:f>
      </x:c>
      <x:c r="AA647" s="79" t="str">
        <x:f>IF(A647="","",Events!AE646)</x:f>
      </x:c>
    </x:row>
    <x:row r="648">
      <x:c r="A648" s="16" t="str">
        <x:f>IF(Events!A647="","",Events!A647)</x:f>
      </x:c>
      <x:c r="B648" s="16" t="str">
        <x:f>IF(A648="","",Events!B647)</x:f>
      </x:c>
      <x:c r="C648" s="16" t="str">
        <x:f>IF(A648="","",Events!E647)</x:f>
      </x:c>
      <x:c r="D648" s="16" t="str">
        <x:f>IF(A648="","",Events!J647)</x:f>
      </x:c>
      <x:c r="E648" s="16" t="str">
        <x:f>IF(A648="","",Events!N647)</x:f>
      </x:c>
      <x:c r="F648" s="109" t="str">
        <x:f>IF(OR(A648="",Events!H647=""),"",Events!H647)</x:f>
      </x:c>
      <x:c r="G648" s="109" t="str">
        <x:f>IF(A648="","",IF(Events!I647&lt;&gt;"",Events!I647,IF(Events!S647&lt;&gt;"",Events!S647,"")))</x:f>
      </x:c>
      <x:c r="H648" s="16" t="str">
        <x:f>IF(A648="","",Events!W647)</x:f>
      </x:c>
      <x:c r="I648" s="16" t="str">
        <x:f>IF(A648="","",IF(Events!Y647&lt;&gt;"",Events!Y647,IF(OR(ISNUMBER(SEARCH("education",P648)),ISNUMBER(SEARCH("exam",P648)),ISNUMBER(SEARCH("school",P648))),"Education",IF(OR(ISNUMBER(SEARCH("trade agreement",P648)),ISNUMBER(SEARCH("economic",P648)),ISNUMBER(SEARCH("import",P648))),"Trade &amp; economic policy",IF(OR(ISNUMBER(SEARCH("land acquisition",P648)),ISNUMBER(SEARCH("rehabilitation",P648)),ISNUMBER(SEARCH("displacement",P648)),ISNUMBER(SEARCH("township",P648))),"Land &amp; rehabilitation",IF(OR(ISNUMBER(SEARCH("forest",P648)),ISNUMBER(SEARCH("environment",P648)),ISNUMBER(SEARCH("ecological",P648)),ISNUMBER(SEARCH("biodiversity",P648)),ISNUMBER(SEARCH("green cover",P648))),"Environment",IF(OR(ISNUMBER(SEARCH("irrigation",P648)),ISNUMBER(SEARCH("water",P648)),ISNUMBER(SEARCH("crop",P648)),ISNUMBER(SEARCH("farmer",P648)),ISNUMBER(SEARCH("agriculture",P648))),"Agriculture &amp; water",IF(OR(ISNUMBER(SEARCH("health",P648)),ISNUMBER(SEARCH("hospital",P648)),ISNUMBER(SEARCH("medicine",P648))),"Public health",IF(OR(ISNUMBER(SEARCH("employee",P648)),ISNUMBER(SEARCH("labour",P648)),ISNUMBER(SEARCH("worker",P648)),ISNUMBER(SEARCH("salary",P648))),"Labour &amp; employment",IF(OR(ISNUMBER(SEARCH("rti",P648)),ISNUMBER(SEARCH("transparency",P648)),ISNUMBER(SEARCH("corruption",P648)),ISNUMBER(SEARCH("governance",P648))),"Governance &amp; transparency",IF(OR(ISNUMBER(SEARCH("police",P648)),ISNUMBER(SEARCH("detention",P648)),ISNUMBER(SEARCH("civil rights",P648)),ISNUMBER(SEARCH("justice",P648))),"Civil rights &amp; justice",IF(OR(ISNUMBER(SEARCH("road",P648)),ISNUMBER(SEARCH("utility",P648)),ISNUMBER(SEARCH("infrastructure",P648)),ISNUMBER(SEARCH("public service",P648))),"Infrastructure &amp; public services","Other"))))))))))))</x:f>
      </x:c>
      <x:c r="J648" s="16" t="str">
        <x:f>IF(A648="","",IF(OR(ISNUMBER(SEARCH("fatal",Q648)),ISNUMBER(SEARCH("death",Q648)),ISNUMBER(SEARCH("riot",Q648)),ISNUMBER(SEARCH("curfew",Q648)),ISNUMBER(SEARCH("internet shutdown",Q648))),5,MIN(4,1+IF(H648&gt;=7,1,0)+IF(OR(ISNUMBER(SEARCH("hunger strike",Q648)),ISNUMBER(SEARCH("blockade",Q648)),ISNUMBER(SEARCH("strike",Q648)),ISNUMBER(SEARCH("jal satyagraha",Q648)),ISNUMBER(SEARCH("survey",Q648)),ISNUMBER(SEARCH("human chain",Q648)),ISNUMBER(SEARCH("march",Q648))),1,0)+IF(OR(ISNUMBER(SEARCH("fir",Q648)),ISNUMBER(SEARCH("confrontation",Q648)),ISNUMBER(SEARCH("violence",Q648)),ISNUMBER(SEARCH("detention",Q648)),ISNUMBER(SEARCH("arrest",Q648)),ISNUMBER(SEARCH("demolition",Q648)),ISNUMBER(SEARCH("injury",Q648))),1,0)+IF(OR(D648="Ongoing",D648="Unresolved"),1,0))))</x:f>
      </x:c>
      <x:c r="K648" s="16" t="str">
        <x:f>IF(J648="","",IF(J648=1,"Limited",IF(J648=2,"Local",IF(J648=3,"Significant",IF(J648=4,"High","Critical")))))</x:f>
      </x:c>
      <x:c r="L648" s="16" t="str">
        <x:f>IF(A648="","",Events!U647)</x:f>
      </x:c>
      <x:c r="M648" s="16" t="str">
        <x:f>IF(A648="","",Events!V647)</x:f>
      </x:c>
      <x:c r="N648" s="16" t="str">
        <x:f>IF(A648="","",Events!Q647)</x:f>
      </x:c>
      <x:c r="O648" s="16" t="str">
        <x:f>IF(A648="","",Events!R647)</x:f>
      </x:c>
      <x:c r="P648" s="16" t="str">
        <x:f>IF(A648="","",LOWER(Events!B647&amp;" "&amp;Events!D647&amp;" "&amp;Events!K647))</x:f>
      </x:c>
      <x:c r="Q648" s="16" t="str">
        <x:f>IF(A648="","",LOWER(Events!C647&amp;" "&amp;Events!K647&amp;" "&amp;Events!T647))</x:f>
      </x:c>
      <x:c r="R648" s="16" t="str">
        <x:f>IF(A648="","",IF(ISNUMBER(SEARCH("Occurrence verified",E648)),"Occurrence verified",E648))</x:f>
      </x:c>
      <x:c r="S648" s="79" t="str">
        <x:f>IF(A648="","",Events!X647)</x:f>
      </x:c>
      <x:c r="Z648" s="79" t="str">
        <x:f>IF(A648="","",Events!AD647)</x:f>
      </x:c>
      <x:c r="AA648" s="79" t="str">
        <x:f>IF(A648="","",Events!AE647)</x:f>
      </x:c>
    </x:row>
    <x:row r="649">
      <x:c r="A649" s="16" t="str">
        <x:f>IF(Events!A648="","",Events!A648)</x:f>
      </x:c>
      <x:c r="B649" s="16" t="str">
        <x:f>IF(A649="","",Events!B648)</x:f>
      </x:c>
      <x:c r="C649" s="16" t="str">
        <x:f>IF(A649="","",Events!E648)</x:f>
      </x:c>
      <x:c r="D649" s="16" t="str">
        <x:f>IF(A649="","",Events!J648)</x:f>
      </x:c>
      <x:c r="E649" s="16" t="str">
        <x:f>IF(A649="","",Events!N648)</x:f>
      </x:c>
      <x:c r="F649" s="109" t="str">
        <x:f>IF(OR(A649="",Events!H648=""),"",Events!H648)</x:f>
      </x:c>
      <x:c r="G649" s="109" t="str">
        <x:f>IF(A649="","",IF(Events!I648&lt;&gt;"",Events!I648,IF(Events!S648&lt;&gt;"",Events!S648,"")))</x:f>
      </x:c>
      <x:c r="H649" s="16" t="str">
        <x:f>IF(A649="","",Events!W648)</x:f>
      </x:c>
      <x:c r="I649" s="16" t="str">
        <x:f>IF(A649="","",IF(Events!Y648&lt;&gt;"",Events!Y648,IF(OR(ISNUMBER(SEARCH("education",P649)),ISNUMBER(SEARCH("exam",P649)),ISNUMBER(SEARCH("school",P649))),"Education",IF(OR(ISNUMBER(SEARCH("trade agreement",P649)),ISNUMBER(SEARCH("economic",P649)),ISNUMBER(SEARCH("import",P649))),"Trade &amp; economic policy",IF(OR(ISNUMBER(SEARCH("land acquisition",P649)),ISNUMBER(SEARCH("rehabilitation",P649)),ISNUMBER(SEARCH("displacement",P649)),ISNUMBER(SEARCH("township",P649))),"Land &amp; rehabilitation",IF(OR(ISNUMBER(SEARCH("forest",P649)),ISNUMBER(SEARCH("environment",P649)),ISNUMBER(SEARCH("ecological",P649)),ISNUMBER(SEARCH("biodiversity",P649)),ISNUMBER(SEARCH("green cover",P649))),"Environment",IF(OR(ISNUMBER(SEARCH("irrigation",P649)),ISNUMBER(SEARCH("water",P649)),ISNUMBER(SEARCH("crop",P649)),ISNUMBER(SEARCH("farmer",P649)),ISNUMBER(SEARCH("agriculture",P649))),"Agriculture &amp; water",IF(OR(ISNUMBER(SEARCH("health",P649)),ISNUMBER(SEARCH("hospital",P649)),ISNUMBER(SEARCH("medicine",P649))),"Public health",IF(OR(ISNUMBER(SEARCH("employee",P649)),ISNUMBER(SEARCH("labour",P649)),ISNUMBER(SEARCH("worker",P649)),ISNUMBER(SEARCH("salary",P649))),"Labour &amp; employment",IF(OR(ISNUMBER(SEARCH("rti",P649)),ISNUMBER(SEARCH("transparency",P649)),ISNUMBER(SEARCH("corruption",P649)),ISNUMBER(SEARCH("governance",P649))),"Governance &amp; transparency",IF(OR(ISNUMBER(SEARCH("police",P649)),ISNUMBER(SEARCH("detention",P649)),ISNUMBER(SEARCH("civil rights",P649)),ISNUMBER(SEARCH("justice",P649))),"Civil rights &amp; justice",IF(OR(ISNUMBER(SEARCH("road",P649)),ISNUMBER(SEARCH("utility",P649)),ISNUMBER(SEARCH("infrastructure",P649)),ISNUMBER(SEARCH("public service",P649))),"Infrastructure &amp; public services","Other"))))))))))))</x:f>
      </x:c>
      <x:c r="J649" s="16" t="str">
        <x:f>IF(A649="","",IF(OR(ISNUMBER(SEARCH("fatal",Q649)),ISNUMBER(SEARCH("death",Q649)),ISNUMBER(SEARCH("riot",Q649)),ISNUMBER(SEARCH("curfew",Q649)),ISNUMBER(SEARCH("internet shutdown",Q649))),5,MIN(4,1+IF(H649&gt;=7,1,0)+IF(OR(ISNUMBER(SEARCH("hunger strike",Q649)),ISNUMBER(SEARCH("blockade",Q649)),ISNUMBER(SEARCH("strike",Q649)),ISNUMBER(SEARCH("jal satyagraha",Q649)),ISNUMBER(SEARCH("survey",Q649)),ISNUMBER(SEARCH("human chain",Q649)),ISNUMBER(SEARCH("march",Q649))),1,0)+IF(OR(ISNUMBER(SEARCH("fir",Q649)),ISNUMBER(SEARCH("confrontation",Q649)),ISNUMBER(SEARCH("violence",Q649)),ISNUMBER(SEARCH("detention",Q649)),ISNUMBER(SEARCH("arrest",Q649)),ISNUMBER(SEARCH("demolition",Q649)),ISNUMBER(SEARCH("injury",Q649))),1,0)+IF(OR(D649="Ongoing",D649="Unresolved"),1,0))))</x:f>
      </x:c>
      <x:c r="K649" s="16" t="str">
        <x:f>IF(J649="","",IF(J649=1,"Limited",IF(J649=2,"Local",IF(J649=3,"Significant",IF(J649=4,"High","Critical")))))</x:f>
      </x:c>
      <x:c r="L649" s="16" t="str">
        <x:f>IF(A649="","",Events!U648)</x:f>
      </x:c>
      <x:c r="M649" s="16" t="str">
        <x:f>IF(A649="","",Events!V648)</x:f>
      </x:c>
      <x:c r="N649" s="16" t="str">
        <x:f>IF(A649="","",Events!Q648)</x:f>
      </x:c>
      <x:c r="O649" s="16" t="str">
        <x:f>IF(A649="","",Events!R648)</x:f>
      </x:c>
      <x:c r="P649" s="16" t="str">
        <x:f>IF(A649="","",LOWER(Events!B648&amp;" "&amp;Events!D648&amp;" "&amp;Events!K648))</x:f>
      </x:c>
      <x:c r="Q649" s="16" t="str">
        <x:f>IF(A649="","",LOWER(Events!C648&amp;" "&amp;Events!K648&amp;" "&amp;Events!T648))</x:f>
      </x:c>
      <x:c r="R649" s="16" t="str">
        <x:f>IF(A649="","",IF(ISNUMBER(SEARCH("Occurrence verified",E649)),"Occurrence verified",E649))</x:f>
      </x:c>
      <x:c r="S649" s="79" t="str">
        <x:f>IF(A649="","",Events!X648)</x:f>
      </x:c>
      <x:c r="Z649" s="79" t="str">
        <x:f>IF(A649="","",Events!AD648)</x:f>
      </x:c>
      <x:c r="AA649" s="79" t="str">
        <x:f>IF(A649="","",Events!AE648)</x:f>
      </x:c>
    </x:row>
    <x:row r="650">
      <x:c r="A650" s="16" t="str">
        <x:f>IF(Events!A649="","",Events!A649)</x:f>
      </x:c>
      <x:c r="B650" s="16" t="str">
        <x:f>IF(A650="","",Events!B649)</x:f>
      </x:c>
      <x:c r="C650" s="16" t="str">
        <x:f>IF(A650="","",Events!E649)</x:f>
      </x:c>
      <x:c r="D650" s="16" t="str">
        <x:f>IF(A650="","",Events!J649)</x:f>
      </x:c>
      <x:c r="E650" s="16" t="str">
        <x:f>IF(A650="","",Events!N649)</x:f>
      </x:c>
      <x:c r="F650" s="109" t="str">
        <x:f>IF(OR(A650="",Events!H649=""),"",Events!H649)</x:f>
      </x:c>
      <x:c r="G650" s="109" t="str">
        <x:f>IF(A650="","",IF(Events!I649&lt;&gt;"",Events!I649,IF(Events!S649&lt;&gt;"",Events!S649,"")))</x:f>
      </x:c>
      <x:c r="H650" s="16" t="str">
        <x:f>IF(A650="","",Events!W649)</x:f>
      </x:c>
      <x:c r="I650" s="16" t="str">
        <x:f>IF(A650="","",IF(Events!Y649&lt;&gt;"",Events!Y649,IF(OR(ISNUMBER(SEARCH("education",P650)),ISNUMBER(SEARCH("exam",P650)),ISNUMBER(SEARCH("school",P650))),"Education",IF(OR(ISNUMBER(SEARCH("trade agreement",P650)),ISNUMBER(SEARCH("economic",P650)),ISNUMBER(SEARCH("import",P650))),"Trade &amp; economic policy",IF(OR(ISNUMBER(SEARCH("land acquisition",P650)),ISNUMBER(SEARCH("rehabilitation",P650)),ISNUMBER(SEARCH("displacement",P650)),ISNUMBER(SEARCH("township",P650))),"Land &amp; rehabilitation",IF(OR(ISNUMBER(SEARCH("forest",P650)),ISNUMBER(SEARCH("environment",P650)),ISNUMBER(SEARCH("ecological",P650)),ISNUMBER(SEARCH("biodiversity",P650)),ISNUMBER(SEARCH("green cover",P650))),"Environment",IF(OR(ISNUMBER(SEARCH("irrigation",P650)),ISNUMBER(SEARCH("water",P650)),ISNUMBER(SEARCH("crop",P650)),ISNUMBER(SEARCH("farmer",P650)),ISNUMBER(SEARCH("agriculture",P650))),"Agriculture &amp; water",IF(OR(ISNUMBER(SEARCH("health",P650)),ISNUMBER(SEARCH("hospital",P650)),ISNUMBER(SEARCH("medicine",P650))),"Public health",IF(OR(ISNUMBER(SEARCH("employee",P650)),ISNUMBER(SEARCH("labour",P650)),ISNUMBER(SEARCH("worker",P650)),ISNUMBER(SEARCH("salary",P650))),"Labour &amp; employment",IF(OR(ISNUMBER(SEARCH("rti",P650)),ISNUMBER(SEARCH("transparency",P650)),ISNUMBER(SEARCH("corruption",P650)),ISNUMBER(SEARCH("governance",P650))),"Governance &amp; transparency",IF(OR(ISNUMBER(SEARCH("police",P650)),ISNUMBER(SEARCH("detention",P650)),ISNUMBER(SEARCH("civil rights",P650)),ISNUMBER(SEARCH("justice",P650))),"Civil rights &amp; justice",IF(OR(ISNUMBER(SEARCH("road",P650)),ISNUMBER(SEARCH("utility",P650)),ISNUMBER(SEARCH("infrastructure",P650)),ISNUMBER(SEARCH("public service",P650))),"Infrastructure &amp; public services","Other"))))))))))))</x:f>
      </x:c>
      <x:c r="J650" s="16" t="str">
        <x:f>IF(A650="","",IF(OR(ISNUMBER(SEARCH("fatal",Q650)),ISNUMBER(SEARCH("death",Q650)),ISNUMBER(SEARCH("riot",Q650)),ISNUMBER(SEARCH("curfew",Q650)),ISNUMBER(SEARCH("internet shutdown",Q650))),5,MIN(4,1+IF(H650&gt;=7,1,0)+IF(OR(ISNUMBER(SEARCH("hunger strike",Q650)),ISNUMBER(SEARCH("blockade",Q650)),ISNUMBER(SEARCH("strike",Q650)),ISNUMBER(SEARCH("jal satyagraha",Q650)),ISNUMBER(SEARCH("survey",Q650)),ISNUMBER(SEARCH("human chain",Q650)),ISNUMBER(SEARCH("march",Q650))),1,0)+IF(OR(ISNUMBER(SEARCH("fir",Q650)),ISNUMBER(SEARCH("confrontation",Q650)),ISNUMBER(SEARCH("violence",Q650)),ISNUMBER(SEARCH("detention",Q650)),ISNUMBER(SEARCH("arrest",Q650)),ISNUMBER(SEARCH("demolition",Q650)),ISNUMBER(SEARCH("injury",Q650))),1,0)+IF(OR(D650="Ongoing",D650="Unresolved"),1,0))))</x:f>
      </x:c>
      <x:c r="K650" s="16" t="str">
        <x:f>IF(J650="","",IF(J650=1,"Limited",IF(J650=2,"Local",IF(J650=3,"Significant",IF(J650=4,"High","Critical")))))</x:f>
      </x:c>
      <x:c r="L650" s="16" t="str">
        <x:f>IF(A650="","",Events!U649)</x:f>
      </x:c>
      <x:c r="M650" s="16" t="str">
        <x:f>IF(A650="","",Events!V649)</x:f>
      </x:c>
      <x:c r="N650" s="16" t="str">
        <x:f>IF(A650="","",Events!Q649)</x:f>
      </x:c>
      <x:c r="O650" s="16" t="str">
        <x:f>IF(A650="","",Events!R649)</x:f>
      </x:c>
      <x:c r="P650" s="16" t="str">
        <x:f>IF(A650="","",LOWER(Events!B649&amp;" "&amp;Events!D649&amp;" "&amp;Events!K649))</x:f>
      </x:c>
      <x:c r="Q650" s="16" t="str">
        <x:f>IF(A650="","",LOWER(Events!C649&amp;" "&amp;Events!K649&amp;" "&amp;Events!T649))</x:f>
      </x:c>
      <x:c r="R650" s="16" t="str">
        <x:f>IF(A650="","",IF(ISNUMBER(SEARCH("Occurrence verified",E650)),"Occurrence verified",E650))</x:f>
      </x:c>
      <x:c r="S650" s="79" t="str">
        <x:f>IF(A650="","",Events!X649)</x:f>
      </x:c>
      <x:c r="Z650" s="79" t="str">
        <x:f>IF(A650="","",Events!AD649)</x:f>
      </x:c>
      <x:c r="AA650" s="79" t="str">
        <x:f>IF(A650="","",Events!AE649)</x:f>
      </x:c>
    </x:row>
    <x:row r="651">
      <x:c r="A651" s="16" t="str">
        <x:f>IF(Events!A650="","",Events!A650)</x:f>
      </x:c>
      <x:c r="B651" s="16" t="str">
        <x:f>IF(A651="","",Events!B650)</x:f>
      </x:c>
      <x:c r="C651" s="16" t="str">
        <x:f>IF(A651="","",Events!E650)</x:f>
      </x:c>
      <x:c r="D651" s="16" t="str">
        <x:f>IF(A651="","",Events!J650)</x:f>
      </x:c>
      <x:c r="E651" s="16" t="str">
        <x:f>IF(A651="","",Events!N650)</x:f>
      </x:c>
      <x:c r="F651" s="109" t="str">
        <x:f>IF(OR(A651="",Events!H650=""),"",Events!H650)</x:f>
      </x:c>
      <x:c r="G651" s="109" t="str">
        <x:f>IF(A651="","",IF(Events!I650&lt;&gt;"",Events!I650,IF(Events!S650&lt;&gt;"",Events!S650,"")))</x:f>
      </x:c>
      <x:c r="H651" s="16" t="str">
        <x:f>IF(A651="","",Events!W650)</x:f>
      </x:c>
      <x:c r="I651" s="16" t="str">
        <x:f>IF(A651="","",IF(Events!Y650&lt;&gt;"",Events!Y650,IF(OR(ISNUMBER(SEARCH("education",P651)),ISNUMBER(SEARCH("exam",P651)),ISNUMBER(SEARCH("school",P651))),"Education",IF(OR(ISNUMBER(SEARCH("trade agreement",P651)),ISNUMBER(SEARCH("economic",P651)),ISNUMBER(SEARCH("import",P651))),"Trade &amp; economic policy",IF(OR(ISNUMBER(SEARCH("land acquisition",P651)),ISNUMBER(SEARCH("rehabilitation",P651)),ISNUMBER(SEARCH("displacement",P651)),ISNUMBER(SEARCH("township",P651))),"Land &amp; rehabilitation",IF(OR(ISNUMBER(SEARCH("forest",P651)),ISNUMBER(SEARCH("environment",P651)),ISNUMBER(SEARCH("ecological",P651)),ISNUMBER(SEARCH("biodiversity",P651)),ISNUMBER(SEARCH("green cover",P651))),"Environment",IF(OR(ISNUMBER(SEARCH("irrigation",P651)),ISNUMBER(SEARCH("water",P651)),ISNUMBER(SEARCH("crop",P651)),ISNUMBER(SEARCH("farmer",P651)),ISNUMBER(SEARCH("agriculture",P651))),"Agriculture &amp; water",IF(OR(ISNUMBER(SEARCH("health",P651)),ISNUMBER(SEARCH("hospital",P651)),ISNUMBER(SEARCH("medicine",P651))),"Public health",IF(OR(ISNUMBER(SEARCH("employee",P651)),ISNUMBER(SEARCH("labour",P651)),ISNUMBER(SEARCH("worker",P651)),ISNUMBER(SEARCH("salary",P651))),"Labour &amp; employment",IF(OR(ISNUMBER(SEARCH("rti",P651)),ISNUMBER(SEARCH("transparency",P651)),ISNUMBER(SEARCH("corruption",P651)),ISNUMBER(SEARCH("governance",P651))),"Governance &amp; transparency",IF(OR(ISNUMBER(SEARCH("police",P651)),ISNUMBER(SEARCH("detention",P651)),ISNUMBER(SEARCH("civil rights",P651)),ISNUMBER(SEARCH("justice",P651))),"Civil rights &amp; justice",IF(OR(ISNUMBER(SEARCH("road",P651)),ISNUMBER(SEARCH("utility",P651)),ISNUMBER(SEARCH("infrastructure",P651)),ISNUMBER(SEARCH("public service",P651))),"Infrastructure &amp; public services","Other"))))))))))))</x:f>
      </x:c>
      <x:c r="J651" s="16" t="str">
        <x:f>IF(A651="","",IF(OR(ISNUMBER(SEARCH("fatal",Q651)),ISNUMBER(SEARCH("death",Q651)),ISNUMBER(SEARCH("riot",Q651)),ISNUMBER(SEARCH("curfew",Q651)),ISNUMBER(SEARCH("internet shutdown",Q651))),5,MIN(4,1+IF(H651&gt;=7,1,0)+IF(OR(ISNUMBER(SEARCH("hunger strike",Q651)),ISNUMBER(SEARCH("blockade",Q651)),ISNUMBER(SEARCH("strike",Q651)),ISNUMBER(SEARCH("jal satyagraha",Q651)),ISNUMBER(SEARCH("survey",Q651)),ISNUMBER(SEARCH("human chain",Q651)),ISNUMBER(SEARCH("march",Q651))),1,0)+IF(OR(ISNUMBER(SEARCH("fir",Q651)),ISNUMBER(SEARCH("confrontation",Q651)),ISNUMBER(SEARCH("violence",Q651)),ISNUMBER(SEARCH("detention",Q651)),ISNUMBER(SEARCH("arrest",Q651)),ISNUMBER(SEARCH("demolition",Q651)),ISNUMBER(SEARCH("injury",Q651))),1,0)+IF(OR(D651="Ongoing",D651="Unresolved"),1,0))))</x:f>
      </x:c>
      <x:c r="K651" s="16" t="str">
        <x:f>IF(J651="","",IF(J651=1,"Limited",IF(J651=2,"Local",IF(J651=3,"Significant",IF(J651=4,"High","Critical")))))</x:f>
      </x:c>
      <x:c r="L651" s="16" t="str">
        <x:f>IF(A651="","",Events!U650)</x:f>
      </x:c>
      <x:c r="M651" s="16" t="str">
        <x:f>IF(A651="","",Events!V650)</x:f>
      </x:c>
      <x:c r="N651" s="16" t="str">
        <x:f>IF(A651="","",Events!Q650)</x:f>
      </x:c>
      <x:c r="O651" s="16" t="str">
        <x:f>IF(A651="","",Events!R650)</x:f>
      </x:c>
      <x:c r="P651" s="16" t="str">
        <x:f>IF(A651="","",LOWER(Events!B650&amp;" "&amp;Events!D650&amp;" "&amp;Events!K650))</x:f>
      </x:c>
      <x:c r="Q651" s="16" t="str">
        <x:f>IF(A651="","",LOWER(Events!C650&amp;" "&amp;Events!K650&amp;" "&amp;Events!T650))</x:f>
      </x:c>
      <x:c r="R651" s="16" t="str">
        <x:f>IF(A651="","",IF(ISNUMBER(SEARCH("Occurrence verified",E651)),"Occurrence verified",E651))</x:f>
      </x:c>
      <x:c r="S651" s="79" t="str">
        <x:f>IF(A651="","",Events!X650)</x:f>
      </x:c>
      <x:c r="Z651" s="79" t="str">
        <x:f>IF(A651="","",Events!AD650)</x:f>
      </x:c>
      <x:c r="AA651" s="79" t="str">
        <x:f>IF(A651="","",Events!AE650)</x:f>
      </x:c>
    </x:row>
    <x:row r="652">
      <x:c r="A652" s="16" t="str">
        <x:f>IF(Events!A651="","",Events!A651)</x:f>
      </x:c>
      <x:c r="B652" s="16" t="str">
        <x:f>IF(A652="","",Events!B651)</x:f>
      </x:c>
      <x:c r="C652" s="16" t="str">
        <x:f>IF(A652="","",Events!E651)</x:f>
      </x:c>
      <x:c r="D652" s="16" t="str">
        <x:f>IF(A652="","",Events!J651)</x:f>
      </x:c>
      <x:c r="E652" s="16" t="str">
        <x:f>IF(A652="","",Events!N651)</x:f>
      </x:c>
      <x:c r="F652" s="109" t="str">
        <x:f>IF(OR(A652="",Events!H651=""),"",Events!H651)</x:f>
      </x:c>
      <x:c r="G652" s="109" t="str">
        <x:f>IF(A652="","",IF(Events!I651&lt;&gt;"",Events!I651,IF(Events!S651&lt;&gt;"",Events!S651,"")))</x:f>
      </x:c>
      <x:c r="H652" s="16" t="str">
        <x:f>IF(A652="","",Events!W651)</x:f>
      </x:c>
      <x:c r="I652" s="16" t="str">
        <x:f>IF(A652="","",IF(Events!Y651&lt;&gt;"",Events!Y651,IF(OR(ISNUMBER(SEARCH("education",P652)),ISNUMBER(SEARCH("exam",P652)),ISNUMBER(SEARCH("school",P652))),"Education",IF(OR(ISNUMBER(SEARCH("trade agreement",P652)),ISNUMBER(SEARCH("economic",P652)),ISNUMBER(SEARCH("import",P652))),"Trade &amp; economic policy",IF(OR(ISNUMBER(SEARCH("land acquisition",P652)),ISNUMBER(SEARCH("rehabilitation",P652)),ISNUMBER(SEARCH("displacement",P652)),ISNUMBER(SEARCH("township",P652))),"Land &amp; rehabilitation",IF(OR(ISNUMBER(SEARCH("forest",P652)),ISNUMBER(SEARCH("environment",P652)),ISNUMBER(SEARCH("ecological",P652)),ISNUMBER(SEARCH("biodiversity",P652)),ISNUMBER(SEARCH("green cover",P652))),"Environment",IF(OR(ISNUMBER(SEARCH("irrigation",P652)),ISNUMBER(SEARCH("water",P652)),ISNUMBER(SEARCH("crop",P652)),ISNUMBER(SEARCH("farmer",P652)),ISNUMBER(SEARCH("agriculture",P652))),"Agriculture &amp; water",IF(OR(ISNUMBER(SEARCH("health",P652)),ISNUMBER(SEARCH("hospital",P652)),ISNUMBER(SEARCH("medicine",P652))),"Public health",IF(OR(ISNUMBER(SEARCH("employee",P652)),ISNUMBER(SEARCH("labour",P652)),ISNUMBER(SEARCH("worker",P652)),ISNUMBER(SEARCH("salary",P652))),"Labour &amp; employment",IF(OR(ISNUMBER(SEARCH("rti",P652)),ISNUMBER(SEARCH("transparency",P652)),ISNUMBER(SEARCH("corruption",P652)),ISNUMBER(SEARCH("governance",P652))),"Governance &amp; transparency",IF(OR(ISNUMBER(SEARCH("police",P652)),ISNUMBER(SEARCH("detention",P652)),ISNUMBER(SEARCH("civil rights",P652)),ISNUMBER(SEARCH("justice",P652))),"Civil rights &amp; justice",IF(OR(ISNUMBER(SEARCH("road",P652)),ISNUMBER(SEARCH("utility",P652)),ISNUMBER(SEARCH("infrastructure",P652)),ISNUMBER(SEARCH("public service",P652))),"Infrastructure &amp; public services","Other"))))))))))))</x:f>
      </x:c>
      <x:c r="J652" s="16" t="str">
        <x:f>IF(A652="","",IF(OR(ISNUMBER(SEARCH("fatal",Q652)),ISNUMBER(SEARCH("death",Q652)),ISNUMBER(SEARCH("riot",Q652)),ISNUMBER(SEARCH("curfew",Q652)),ISNUMBER(SEARCH("internet shutdown",Q652))),5,MIN(4,1+IF(H652&gt;=7,1,0)+IF(OR(ISNUMBER(SEARCH("hunger strike",Q652)),ISNUMBER(SEARCH("blockade",Q652)),ISNUMBER(SEARCH("strike",Q652)),ISNUMBER(SEARCH("jal satyagraha",Q652)),ISNUMBER(SEARCH("survey",Q652)),ISNUMBER(SEARCH("human chain",Q652)),ISNUMBER(SEARCH("march",Q652))),1,0)+IF(OR(ISNUMBER(SEARCH("fir",Q652)),ISNUMBER(SEARCH("confrontation",Q652)),ISNUMBER(SEARCH("violence",Q652)),ISNUMBER(SEARCH("detention",Q652)),ISNUMBER(SEARCH("arrest",Q652)),ISNUMBER(SEARCH("demolition",Q652)),ISNUMBER(SEARCH("injury",Q652))),1,0)+IF(OR(D652="Ongoing",D652="Unresolved"),1,0))))</x:f>
      </x:c>
      <x:c r="K652" s="16" t="str">
        <x:f>IF(J652="","",IF(J652=1,"Limited",IF(J652=2,"Local",IF(J652=3,"Significant",IF(J652=4,"High","Critical")))))</x:f>
      </x:c>
      <x:c r="L652" s="16" t="str">
        <x:f>IF(A652="","",Events!U651)</x:f>
      </x:c>
      <x:c r="M652" s="16" t="str">
        <x:f>IF(A652="","",Events!V651)</x:f>
      </x:c>
      <x:c r="N652" s="16" t="str">
        <x:f>IF(A652="","",Events!Q651)</x:f>
      </x:c>
      <x:c r="O652" s="16" t="str">
        <x:f>IF(A652="","",Events!R651)</x:f>
      </x:c>
      <x:c r="P652" s="16" t="str">
        <x:f>IF(A652="","",LOWER(Events!B651&amp;" "&amp;Events!D651&amp;" "&amp;Events!K651))</x:f>
      </x:c>
      <x:c r="Q652" s="16" t="str">
        <x:f>IF(A652="","",LOWER(Events!C651&amp;" "&amp;Events!K651&amp;" "&amp;Events!T651))</x:f>
      </x:c>
      <x:c r="R652" s="16" t="str">
        <x:f>IF(A652="","",IF(ISNUMBER(SEARCH("Occurrence verified",E652)),"Occurrence verified",E652))</x:f>
      </x:c>
      <x:c r="S652" s="79" t="str">
        <x:f>IF(A652="","",Events!X651)</x:f>
      </x:c>
      <x:c r="Z652" s="79" t="str">
        <x:f>IF(A652="","",Events!AD651)</x:f>
      </x:c>
      <x:c r="AA652" s="79" t="str">
        <x:f>IF(A652="","",Events!AE651)</x:f>
      </x:c>
    </x:row>
    <x:row r="653">
      <x:c r="A653" s="16" t="str">
        <x:f>IF(Events!A652="","",Events!A652)</x:f>
      </x:c>
      <x:c r="B653" s="16" t="str">
        <x:f>IF(A653="","",Events!B652)</x:f>
      </x:c>
      <x:c r="C653" s="16" t="str">
        <x:f>IF(A653="","",Events!E652)</x:f>
      </x:c>
      <x:c r="D653" s="16" t="str">
        <x:f>IF(A653="","",Events!J652)</x:f>
      </x:c>
      <x:c r="E653" s="16" t="str">
        <x:f>IF(A653="","",Events!N652)</x:f>
      </x:c>
      <x:c r="F653" s="109" t="str">
        <x:f>IF(OR(A653="",Events!H652=""),"",Events!H652)</x:f>
      </x:c>
      <x:c r="G653" s="109" t="str">
        <x:f>IF(A653="","",IF(Events!I652&lt;&gt;"",Events!I652,IF(Events!S652&lt;&gt;"",Events!S652,"")))</x:f>
      </x:c>
      <x:c r="H653" s="16" t="str">
        <x:f>IF(A653="","",Events!W652)</x:f>
      </x:c>
      <x:c r="I653" s="16" t="str">
        <x:f>IF(A653="","",IF(Events!Y652&lt;&gt;"",Events!Y652,IF(OR(ISNUMBER(SEARCH("education",P653)),ISNUMBER(SEARCH("exam",P653)),ISNUMBER(SEARCH("school",P653))),"Education",IF(OR(ISNUMBER(SEARCH("trade agreement",P653)),ISNUMBER(SEARCH("economic",P653)),ISNUMBER(SEARCH("import",P653))),"Trade &amp; economic policy",IF(OR(ISNUMBER(SEARCH("land acquisition",P653)),ISNUMBER(SEARCH("rehabilitation",P653)),ISNUMBER(SEARCH("displacement",P653)),ISNUMBER(SEARCH("township",P653))),"Land &amp; rehabilitation",IF(OR(ISNUMBER(SEARCH("forest",P653)),ISNUMBER(SEARCH("environment",P653)),ISNUMBER(SEARCH("ecological",P653)),ISNUMBER(SEARCH("biodiversity",P653)),ISNUMBER(SEARCH("green cover",P653))),"Environment",IF(OR(ISNUMBER(SEARCH("irrigation",P653)),ISNUMBER(SEARCH("water",P653)),ISNUMBER(SEARCH("crop",P653)),ISNUMBER(SEARCH("farmer",P653)),ISNUMBER(SEARCH("agriculture",P653))),"Agriculture &amp; water",IF(OR(ISNUMBER(SEARCH("health",P653)),ISNUMBER(SEARCH("hospital",P653)),ISNUMBER(SEARCH("medicine",P653))),"Public health",IF(OR(ISNUMBER(SEARCH("employee",P653)),ISNUMBER(SEARCH("labour",P653)),ISNUMBER(SEARCH("worker",P653)),ISNUMBER(SEARCH("salary",P653))),"Labour &amp; employment",IF(OR(ISNUMBER(SEARCH("rti",P653)),ISNUMBER(SEARCH("transparency",P653)),ISNUMBER(SEARCH("corruption",P653)),ISNUMBER(SEARCH("governance",P653))),"Governance &amp; transparency",IF(OR(ISNUMBER(SEARCH("police",P653)),ISNUMBER(SEARCH("detention",P653)),ISNUMBER(SEARCH("civil rights",P653)),ISNUMBER(SEARCH("justice",P653))),"Civil rights &amp; justice",IF(OR(ISNUMBER(SEARCH("road",P653)),ISNUMBER(SEARCH("utility",P653)),ISNUMBER(SEARCH("infrastructure",P653)),ISNUMBER(SEARCH("public service",P653))),"Infrastructure &amp; public services","Other"))))))))))))</x:f>
      </x:c>
      <x:c r="J653" s="16" t="str">
        <x:f>IF(A653="","",IF(OR(ISNUMBER(SEARCH("fatal",Q653)),ISNUMBER(SEARCH("death",Q653)),ISNUMBER(SEARCH("riot",Q653)),ISNUMBER(SEARCH("curfew",Q653)),ISNUMBER(SEARCH("internet shutdown",Q653))),5,MIN(4,1+IF(H653&gt;=7,1,0)+IF(OR(ISNUMBER(SEARCH("hunger strike",Q653)),ISNUMBER(SEARCH("blockade",Q653)),ISNUMBER(SEARCH("strike",Q653)),ISNUMBER(SEARCH("jal satyagraha",Q653)),ISNUMBER(SEARCH("survey",Q653)),ISNUMBER(SEARCH("human chain",Q653)),ISNUMBER(SEARCH("march",Q653))),1,0)+IF(OR(ISNUMBER(SEARCH("fir",Q653)),ISNUMBER(SEARCH("confrontation",Q653)),ISNUMBER(SEARCH("violence",Q653)),ISNUMBER(SEARCH("detention",Q653)),ISNUMBER(SEARCH("arrest",Q653)),ISNUMBER(SEARCH("demolition",Q653)),ISNUMBER(SEARCH("injury",Q653))),1,0)+IF(OR(D653="Ongoing",D653="Unresolved"),1,0))))</x:f>
      </x:c>
      <x:c r="K653" s="16" t="str">
        <x:f>IF(J653="","",IF(J653=1,"Limited",IF(J653=2,"Local",IF(J653=3,"Significant",IF(J653=4,"High","Critical")))))</x:f>
      </x:c>
      <x:c r="L653" s="16" t="str">
        <x:f>IF(A653="","",Events!U652)</x:f>
      </x:c>
      <x:c r="M653" s="16" t="str">
        <x:f>IF(A653="","",Events!V652)</x:f>
      </x:c>
      <x:c r="N653" s="16" t="str">
        <x:f>IF(A653="","",Events!Q652)</x:f>
      </x:c>
      <x:c r="O653" s="16" t="str">
        <x:f>IF(A653="","",Events!R652)</x:f>
      </x:c>
      <x:c r="P653" s="16" t="str">
        <x:f>IF(A653="","",LOWER(Events!B652&amp;" "&amp;Events!D652&amp;" "&amp;Events!K652))</x:f>
      </x:c>
      <x:c r="Q653" s="16" t="str">
        <x:f>IF(A653="","",LOWER(Events!C652&amp;" "&amp;Events!K652&amp;" "&amp;Events!T652))</x:f>
      </x:c>
      <x:c r="R653" s="16" t="str">
        <x:f>IF(A653="","",IF(ISNUMBER(SEARCH("Occurrence verified",E653)),"Occurrence verified",E653))</x:f>
      </x:c>
      <x:c r="S653" s="79" t="str">
        <x:f>IF(A653="","",Events!X652)</x:f>
      </x:c>
      <x:c r="Z653" s="79" t="str">
        <x:f>IF(A653="","",Events!AD652)</x:f>
      </x:c>
      <x:c r="AA653" s="79" t="str">
        <x:f>IF(A653="","",Events!AE652)</x:f>
      </x:c>
    </x:row>
    <x:row r="654">
      <x:c r="A654" s="16" t="str">
        <x:f>IF(Events!A653="","",Events!A653)</x:f>
      </x:c>
      <x:c r="B654" s="16" t="str">
        <x:f>IF(A654="","",Events!B653)</x:f>
      </x:c>
      <x:c r="C654" s="16" t="str">
        <x:f>IF(A654="","",Events!E653)</x:f>
      </x:c>
      <x:c r="D654" s="16" t="str">
        <x:f>IF(A654="","",Events!J653)</x:f>
      </x:c>
      <x:c r="E654" s="16" t="str">
        <x:f>IF(A654="","",Events!N653)</x:f>
      </x:c>
      <x:c r="F654" s="109" t="str">
        <x:f>IF(OR(A654="",Events!H653=""),"",Events!H653)</x:f>
      </x:c>
      <x:c r="G654" s="109" t="str">
        <x:f>IF(A654="","",IF(Events!I653&lt;&gt;"",Events!I653,IF(Events!S653&lt;&gt;"",Events!S653,"")))</x:f>
      </x:c>
      <x:c r="H654" s="16" t="str">
        <x:f>IF(A654="","",Events!W653)</x:f>
      </x:c>
      <x:c r="I654" s="16" t="str">
        <x:f>IF(A654="","",IF(Events!Y653&lt;&gt;"",Events!Y653,IF(OR(ISNUMBER(SEARCH("education",P654)),ISNUMBER(SEARCH("exam",P654)),ISNUMBER(SEARCH("school",P654))),"Education",IF(OR(ISNUMBER(SEARCH("trade agreement",P654)),ISNUMBER(SEARCH("economic",P654)),ISNUMBER(SEARCH("import",P654))),"Trade &amp; economic policy",IF(OR(ISNUMBER(SEARCH("land acquisition",P654)),ISNUMBER(SEARCH("rehabilitation",P654)),ISNUMBER(SEARCH("displacement",P654)),ISNUMBER(SEARCH("township",P654))),"Land &amp; rehabilitation",IF(OR(ISNUMBER(SEARCH("forest",P654)),ISNUMBER(SEARCH("environment",P654)),ISNUMBER(SEARCH("ecological",P654)),ISNUMBER(SEARCH("biodiversity",P654)),ISNUMBER(SEARCH("green cover",P654))),"Environment",IF(OR(ISNUMBER(SEARCH("irrigation",P654)),ISNUMBER(SEARCH("water",P654)),ISNUMBER(SEARCH("crop",P654)),ISNUMBER(SEARCH("farmer",P654)),ISNUMBER(SEARCH("agriculture",P654))),"Agriculture &amp; water",IF(OR(ISNUMBER(SEARCH("health",P654)),ISNUMBER(SEARCH("hospital",P654)),ISNUMBER(SEARCH("medicine",P654))),"Public health",IF(OR(ISNUMBER(SEARCH("employee",P654)),ISNUMBER(SEARCH("labour",P654)),ISNUMBER(SEARCH("worker",P654)),ISNUMBER(SEARCH("salary",P654))),"Labour &amp; employment",IF(OR(ISNUMBER(SEARCH("rti",P654)),ISNUMBER(SEARCH("transparency",P654)),ISNUMBER(SEARCH("corruption",P654)),ISNUMBER(SEARCH("governance",P654))),"Governance &amp; transparency",IF(OR(ISNUMBER(SEARCH("police",P654)),ISNUMBER(SEARCH("detention",P654)),ISNUMBER(SEARCH("civil rights",P654)),ISNUMBER(SEARCH("justice",P654))),"Civil rights &amp; justice",IF(OR(ISNUMBER(SEARCH("road",P654)),ISNUMBER(SEARCH("utility",P654)),ISNUMBER(SEARCH("infrastructure",P654)),ISNUMBER(SEARCH("public service",P654))),"Infrastructure &amp; public services","Other"))))))))))))</x:f>
      </x:c>
      <x:c r="J654" s="16" t="str">
        <x:f>IF(A654="","",IF(OR(ISNUMBER(SEARCH("fatal",Q654)),ISNUMBER(SEARCH("death",Q654)),ISNUMBER(SEARCH("riot",Q654)),ISNUMBER(SEARCH("curfew",Q654)),ISNUMBER(SEARCH("internet shutdown",Q654))),5,MIN(4,1+IF(H654&gt;=7,1,0)+IF(OR(ISNUMBER(SEARCH("hunger strike",Q654)),ISNUMBER(SEARCH("blockade",Q654)),ISNUMBER(SEARCH("strike",Q654)),ISNUMBER(SEARCH("jal satyagraha",Q654)),ISNUMBER(SEARCH("survey",Q654)),ISNUMBER(SEARCH("human chain",Q654)),ISNUMBER(SEARCH("march",Q654))),1,0)+IF(OR(ISNUMBER(SEARCH("fir",Q654)),ISNUMBER(SEARCH("confrontation",Q654)),ISNUMBER(SEARCH("violence",Q654)),ISNUMBER(SEARCH("detention",Q654)),ISNUMBER(SEARCH("arrest",Q654)),ISNUMBER(SEARCH("demolition",Q654)),ISNUMBER(SEARCH("injury",Q654))),1,0)+IF(OR(D654="Ongoing",D654="Unresolved"),1,0))))</x:f>
      </x:c>
      <x:c r="K654" s="16" t="str">
        <x:f>IF(J654="","",IF(J654=1,"Limited",IF(J654=2,"Local",IF(J654=3,"Significant",IF(J654=4,"High","Critical")))))</x:f>
      </x:c>
      <x:c r="L654" s="16" t="str">
        <x:f>IF(A654="","",Events!U653)</x:f>
      </x:c>
      <x:c r="M654" s="16" t="str">
        <x:f>IF(A654="","",Events!V653)</x:f>
      </x:c>
      <x:c r="N654" s="16" t="str">
        <x:f>IF(A654="","",Events!Q653)</x:f>
      </x:c>
      <x:c r="O654" s="16" t="str">
        <x:f>IF(A654="","",Events!R653)</x:f>
      </x:c>
      <x:c r="P654" s="16" t="str">
        <x:f>IF(A654="","",LOWER(Events!B653&amp;" "&amp;Events!D653&amp;" "&amp;Events!K653))</x:f>
      </x:c>
      <x:c r="Q654" s="16" t="str">
        <x:f>IF(A654="","",LOWER(Events!C653&amp;" "&amp;Events!K653&amp;" "&amp;Events!T653))</x:f>
      </x:c>
      <x:c r="R654" s="16" t="str">
        <x:f>IF(A654="","",IF(ISNUMBER(SEARCH("Occurrence verified",E654)),"Occurrence verified",E654))</x:f>
      </x:c>
      <x:c r="S654" s="79" t="str">
        <x:f>IF(A654="","",Events!X653)</x:f>
      </x:c>
      <x:c r="Z654" s="79" t="str">
        <x:f>IF(A654="","",Events!AD653)</x:f>
      </x:c>
      <x:c r="AA654" s="79" t="str">
        <x:f>IF(A654="","",Events!AE653)</x:f>
      </x:c>
    </x:row>
    <x:row r="655">
      <x:c r="A655" s="16" t="str">
        <x:f>IF(Events!A654="","",Events!A654)</x:f>
      </x:c>
      <x:c r="B655" s="16" t="str">
        <x:f>IF(A655="","",Events!B654)</x:f>
      </x:c>
      <x:c r="C655" s="16" t="str">
        <x:f>IF(A655="","",Events!E654)</x:f>
      </x:c>
      <x:c r="D655" s="16" t="str">
        <x:f>IF(A655="","",Events!J654)</x:f>
      </x:c>
      <x:c r="E655" s="16" t="str">
        <x:f>IF(A655="","",Events!N654)</x:f>
      </x:c>
      <x:c r="F655" s="109" t="str">
        <x:f>IF(OR(A655="",Events!H654=""),"",Events!H654)</x:f>
      </x:c>
      <x:c r="G655" s="109" t="str">
        <x:f>IF(A655="","",IF(Events!I654&lt;&gt;"",Events!I654,IF(Events!S654&lt;&gt;"",Events!S654,"")))</x:f>
      </x:c>
      <x:c r="H655" s="16" t="str">
        <x:f>IF(A655="","",Events!W654)</x:f>
      </x:c>
      <x:c r="I655" s="16" t="str">
        <x:f>IF(A655="","",IF(Events!Y654&lt;&gt;"",Events!Y654,IF(OR(ISNUMBER(SEARCH("education",P655)),ISNUMBER(SEARCH("exam",P655)),ISNUMBER(SEARCH("school",P655))),"Education",IF(OR(ISNUMBER(SEARCH("trade agreement",P655)),ISNUMBER(SEARCH("economic",P655)),ISNUMBER(SEARCH("import",P655))),"Trade &amp; economic policy",IF(OR(ISNUMBER(SEARCH("land acquisition",P655)),ISNUMBER(SEARCH("rehabilitation",P655)),ISNUMBER(SEARCH("displacement",P655)),ISNUMBER(SEARCH("township",P655))),"Land &amp; rehabilitation",IF(OR(ISNUMBER(SEARCH("forest",P655)),ISNUMBER(SEARCH("environment",P655)),ISNUMBER(SEARCH("ecological",P655)),ISNUMBER(SEARCH("biodiversity",P655)),ISNUMBER(SEARCH("green cover",P655))),"Environment",IF(OR(ISNUMBER(SEARCH("irrigation",P655)),ISNUMBER(SEARCH("water",P655)),ISNUMBER(SEARCH("crop",P655)),ISNUMBER(SEARCH("farmer",P655)),ISNUMBER(SEARCH("agriculture",P655))),"Agriculture &amp; water",IF(OR(ISNUMBER(SEARCH("health",P655)),ISNUMBER(SEARCH("hospital",P655)),ISNUMBER(SEARCH("medicine",P655))),"Public health",IF(OR(ISNUMBER(SEARCH("employee",P655)),ISNUMBER(SEARCH("labour",P655)),ISNUMBER(SEARCH("worker",P655)),ISNUMBER(SEARCH("salary",P655))),"Labour &amp; employment",IF(OR(ISNUMBER(SEARCH("rti",P655)),ISNUMBER(SEARCH("transparency",P655)),ISNUMBER(SEARCH("corruption",P655)),ISNUMBER(SEARCH("governance",P655))),"Governance &amp; transparency",IF(OR(ISNUMBER(SEARCH("police",P655)),ISNUMBER(SEARCH("detention",P655)),ISNUMBER(SEARCH("civil rights",P655)),ISNUMBER(SEARCH("justice",P655))),"Civil rights &amp; justice",IF(OR(ISNUMBER(SEARCH("road",P655)),ISNUMBER(SEARCH("utility",P655)),ISNUMBER(SEARCH("infrastructure",P655)),ISNUMBER(SEARCH("public service",P655))),"Infrastructure &amp; public services","Other"))))))))))))</x:f>
      </x:c>
      <x:c r="J655" s="16" t="str">
        <x:f>IF(A655="","",IF(OR(ISNUMBER(SEARCH("fatal",Q655)),ISNUMBER(SEARCH("death",Q655)),ISNUMBER(SEARCH("riot",Q655)),ISNUMBER(SEARCH("curfew",Q655)),ISNUMBER(SEARCH("internet shutdown",Q655))),5,MIN(4,1+IF(H655&gt;=7,1,0)+IF(OR(ISNUMBER(SEARCH("hunger strike",Q655)),ISNUMBER(SEARCH("blockade",Q655)),ISNUMBER(SEARCH("strike",Q655)),ISNUMBER(SEARCH("jal satyagraha",Q655)),ISNUMBER(SEARCH("survey",Q655)),ISNUMBER(SEARCH("human chain",Q655)),ISNUMBER(SEARCH("march",Q655))),1,0)+IF(OR(ISNUMBER(SEARCH("fir",Q655)),ISNUMBER(SEARCH("confrontation",Q655)),ISNUMBER(SEARCH("violence",Q655)),ISNUMBER(SEARCH("detention",Q655)),ISNUMBER(SEARCH("arrest",Q655)),ISNUMBER(SEARCH("demolition",Q655)),ISNUMBER(SEARCH("injury",Q655))),1,0)+IF(OR(D655="Ongoing",D655="Unresolved"),1,0))))</x:f>
      </x:c>
      <x:c r="K655" s="16" t="str">
        <x:f>IF(J655="","",IF(J655=1,"Limited",IF(J655=2,"Local",IF(J655=3,"Significant",IF(J655=4,"High","Critical")))))</x:f>
      </x:c>
      <x:c r="L655" s="16" t="str">
        <x:f>IF(A655="","",Events!U654)</x:f>
      </x:c>
      <x:c r="M655" s="16" t="str">
        <x:f>IF(A655="","",Events!V654)</x:f>
      </x:c>
      <x:c r="N655" s="16" t="str">
        <x:f>IF(A655="","",Events!Q654)</x:f>
      </x:c>
      <x:c r="O655" s="16" t="str">
        <x:f>IF(A655="","",Events!R654)</x:f>
      </x:c>
      <x:c r="P655" s="16" t="str">
        <x:f>IF(A655="","",LOWER(Events!B654&amp;" "&amp;Events!D654&amp;" "&amp;Events!K654))</x:f>
      </x:c>
      <x:c r="Q655" s="16" t="str">
        <x:f>IF(A655="","",LOWER(Events!C654&amp;" "&amp;Events!K654&amp;" "&amp;Events!T654))</x:f>
      </x:c>
      <x:c r="R655" s="16" t="str">
        <x:f>IF(A655="","",IF(ISNUMBER(SEARCH("Occurrence verified",E655)),"Occurrence verified",E655))</x:f>
      </x:c>
      <x:c r="S655" s="79" t="str">
        <x:f>IF(A655="","",Events!X654)</x:f>
      </x:c>
      <x:c r="Z655" s="79" t="str">
        <x:f>IF(A655="","",Events!AD654)</x:f>
      </x:c>
      <x:c r="AA655" s="79" t="str">
        <x:f>IF(A655="","",Events!AE654)</x:f>
      </x:c>
    </x:row>
    <x:row r="656">
      <x:c r="A656" s="16" t="str">
        <x:f>IF(Events!A655="","",Events!A655)</x:f>
      </x:c>
      <x:c r="B656" s="16" t="str">
        <x:f>IF(A656="","",Events!B655)</x:f>
      </x:c>
      <x:c r="C656" s="16" t="str">
        <x:f>IF(A656="","",Events!E655)</x:f>
      </x:c>
      <x:c r="D656" s="16" t="str">
        <x:f>IF(A656="","",Events!J655)</x:f>
      </x:c>
      <x:c r="E656" s="16" t="str">
        <x:f>IF(A656="","",Events!N655)</x:f>
      </x:c>
      <x:c r="F656" s="109" t="str">
        <x:f>IF(OR(A656="",Events!H655=""),"",Events!H655)</x:f>
      </x:c>
      <x:c r="G656" s="109" t="str">
        <x:f>IF(A656="","",IF(Events!I655&lt;&gt;"",Events!I655,IF(Events!S655&lt;&gt;"",Events!S655,"")))</x:f>
      </x:c>
      <x:c r="H656" s="16" t="str">
        <x:f>IF(A656="","",Events!W655)</x:f>
      </x:c>
      <x:c r="I656" s="16" t="str">
        <x:f>IF(A656="","",IF(Events!Y655&lt;&gt;"",Events!Y655,IF(OR(ISNUMBER(SEARCH("education",P656)),ISNUMBER(SEARCH("exam",P656)),ISNUMBER(SEARCH("school",P656))),"Education",IF(OR(ISNUMBER(SEARCH("trade agreement",P656)),ISNUMBER(SEARCH("economic",P656)),ISNUMBER(SEARCH("import",P656))),"Trade &amp; economic policy",IF(OR(ISNUMBER(SEARCH("land acquisition",P656)),ISNUMBER(SEARCH("rehabilitation",P656)),ISNUMBER(SEARCH("displacement",P656)),ISNUMBER(SEARCH("township",P656))),"Land &amp; rehabilitation",IF(OR(ISNUMBER(SEARCH("forest",P656)),ISNUMBER(SEARCH("environment",P656)),ISNUMBER(SEARCH("ecological",P656)),ISNUMBER(SEARCH("biodiversity",P656)),ISNUMBER(SEARCH("green cover",P656))),"Environment",IF(OR(ISNUMBER(SEARCH("irrigation",P656)),ISNUMBER(SEARCH("water",P656)),ISNUMBER(SEARCH("crop",P656)),ISNUMBER(SEARCH("farmer",P656)),ISNUMBER(SEARCH("agriculture",P656))),"Agriculture &amp; water",IF(OR(ISNUMBER(SEARCH("health",P656)),ISNUMBER(SEARCH("hospital",P656)),ISNUMBER(SEARCH("medicine",P656))),"Public health",IF(OR(ISNUMBER(SEARCH("employee",P656)),ISNUMBER(SEARCH("labour",P656)),ISNUMBER(SEARCH("worker",P656)),ISNUMBER(SEARCH("salary",P656))),"Labour &amp; employment",IF(OR(ISNUMBER(SEARCH("rti",P656)),ISNUMBER(SEARCH("transparency",P656)),ISNUMBER(SEARCH("corruption",P656)),ISNUMBER(SEARCH("governance",P656))),"Governance &amp; transparency",IF(OR(ISNUMBER(SEARCH("police",P656)),ISNUMBER(SEARCH("detention",P656)),ISNUMBER(SEARCH("civil rights",P656)),ISNUMBER(SEARCH("justice",P656))),"Civil rights &amp; justice",IF(OR(ISNUMBER(SEARCH("road",P656)),ISNUMBER(SEARCH("utility",P656)),ISNUMBER(SEARCH("infrastructure",P656)),ISNUMBER(SEARCH("public service",P656))),"Infrastructure &amp; public services","Other"))))))))))))</x:f>
      </x:c>
      <x:c r="J656" s="16" t="str">
        <x:f>IF(A656="","",IF(OR(ISNUMBER(SEARCH("fatal",Q656)),ISNUMBER(SEARCH("death",Q656)),ISNUMBER(SEARCH("riot",Q656)),ISNUMBER(SEARCH("curfew",Q656)),ISNUMBER(SEARCH("internet shutdown",Q656))),5,MIN(4,1+IF(H656&gt;=7,1,0)+IF(OR(ISNUMBER(SEARCH("hunger strike",Q656)),ISNUMBER(SEARCH("blockade",Q656)),ISNUMBER(SEARCH("strike",Q656)),ISNUMBER(SEARCH("jal satyagraha",Q656)),ISNUMBER(SEARCH("survey",Q656)),ISNUMBER(SEARCH("human chain",Q656)),ISNUMBER(SEARCH("march",Q656))),1,0)+IF(OR(ISNUMBER(SEARCH("fir",Q656)),ISNUMBER(SEARCH("confrontation",Q656)),ISNUMBER(SEARCH("violence",Q656)),ISNUMBER(SEARCH("detention",Q656)),ISNUMBER(SEARCH("arrest",Q656)),ISNUMBER(SEARCH("demolition",Q656)),ISNUMBER(SEARCH("injury",Q656))),1,0)+IF(OR(D656="Ongoing",D656="Unresolved"),1,0))))</x:f>
      </x:c>
      <x:c r="K656" s="16" t="str">
        <x:f>IF(J656="","",IF(J656=1,"Limited",IF(J656=2,"Local",IF(J656=3,"Significant",IF(J656=4,"High","Critical")))))</x:f>
      </x:c>
      <x:c r="L656" s="16" t="str">
        <x:f>IF(A656="","",Events!U655)</x:f>
      </x:c>
      <x:c r="M656" s="16" t="str">
        <x:f>IF(A656="","",Events!V655)</x:f>
      </x:c>
      <x:c r="N656" s="16" t="str">
        <x:f>IF(A656="","",Events!Q655)</x:f>
      </x:c>
      <x:c r="O656" s="16" t="str">
        <x:f>IF(A656="","",Events!R655)</x:f>
      </x:c>
      <x:c r="P656" s="16" t="str">
        <x:f>IF(A656="","",LOWER(Events!B655&amp;" "&amp;Events!D655&amp;" "&amp;Events!K655))</x:f>
      </x:c>
      <x:c r="Q656" s="16" t="str">
        <x:f>IF(A656="","",LOWER(Events!C655&amp;" "&amp;Events!K655&amp;" "&amp;Events!T655))</x:f>
      </x:c>
      <x:c r="R656" s="16" t="str">
        <x:f>IF(A656="","",IF(ISNUMBER(SEARCH("Occurrence verified",E656)),"Occurrence verified",E656))</x:f>
      </x:c>
      <x:c r="S656" s="79" t="str">
        <x:f>IF(A656="","",Events!X655)</x:f>
      </x:c>
      <x:c r="Z656" s="79" t="str">
        <x:f>IF(A656="","",Events!AD655)</x:f>
      </x:c>
      <x:c r="AA656" s="79" t="str">
        <x:f>IF(A656="","",Events!AE655)</x:f>
      </x:c>
    </x:row>
    <x:row r="657">
      <x:c r="A657" s="16" t="str">
        <x:f>IF(Events!A656="","",Events!A656)</x:f>
      </x:c>
      <x:c r="B657" s="16" t="str">
        <x:f>IF(A657="","",Events!B656)</x:f>
      </x:c>
      <x:c r="C657" s="16" t="str">
        <x:f>IF(A657="","",Events!E656)</x:f>
      </x:c>
      <x:c r="D657" s="16" t="str">
        <x:f>IF(A657="","",Events!J656)</x:f>
      </x:c>
      <x:c r="E657" s="16" t="str">
        <x:f>IF(A657="","",Events!N656)</x:f>
      </x:c>
      <x:c r="F657" s="109" t="str">
        <x:f>IF(OR(A657="",Events!H656=""),"",Events!H656)</x:f>
      </x:c>
      <x:c r="G657" s="109" t="str">
        <x:f>IF(A657="","",IF(Events!I656&lt;&gt;"",Events!I656,IF(Events!S656&lt;&gt;"",Events!S656,"")))</x:f>
      </x:c>
      <x:c r="H657" s="16" t="str">
        <x:f>IF(A657="","",Events!W656)</x:f>
      </x:c>
      <x:c r="I657" s="16" t="str">
        <x:f>IF(A657="","",IF(Events!Y656&lt;&gt;"",Events!Y656,IF(OR(ISNUMBER(SEARCH("education",P657)),ISNUMBER(SEARCH("exam",P657)),ISNUMBER(SEARCH("school",P657))),"Education",IF(OR(ISNUMBER(SEARCH("trade agreement",P657)),ISNUMBER(SEARCH("economic",P657)),ISNUMBER(SEARCH("import",P657))),"Trade &amp; economic policy",IF(OR(ISNUMBER(SEARCH("land acquisition",P657)),ISNUMBER(SEARCH("rehabilitation",P657)),ISNUMBER(SEARCH("displacement",P657)),ISNUMBER(SEARCH("township",P657))),"Land &amp; rehabilitation",IF(OR(ISNUMBER(SEARCH("forest",P657)),ISNUMBER(SEARCH("environment",P657)),ISNUMBER(SEARCH("ecological",P657)),ISNUMBER(SEARCH("biodiversity",P657)),ISNUMBER(SEARCH("green cover",P657))),"Environment",IF(OR(ISNUMBER(SEARCH("irrigation",P657)),ISNUMBER(SEARCH("water",P657)),ISNUMBER(SEARCH("crop",P657)),ISNUMBER(SEARCH("farmer",P657)),ISNUMBER(SEARCH("agriculture",P657))),"Agriculture &amp; water",IF(OR(ISNUMBER(SEARCH("health",P657)),ISNUMBER(SEARCH("hospital",P657)),ISNUMBER(SEARCH("medicine",P657))),"Public health",IF(OR(ISNUMBER(SEARCH("employee",P657)),ISNUMBER(SEARCH("labour",P657)),ISNUMBER(SEARCH("worker",P657)),ISNUMBER(SEARCH("salary",P657))),"Labour &amp; employment",IF(OR(ISNUMBER(SEARCH("rti",P657)),ISNUMBER(SEARCH("transparency",P657)),ISNUMBER(SEARCH("corruption",P657)),ISNUMBER(SEARCH("governance",P657))),"Governance &amp; transparency",IF(OR(ISNUMBER(SEARCH("police",P657)),ISNUMBER(SEARCH("detention",P657)),ISNUMBER(SEARCH("civil rights",P657)),ISNUMBER(SEARCH("justice",P657))),"Civil rights &amp; justice",IF(OR(ISNUMBER(SEARCH("road",P657)),ISNUMBER(SEARCH("utility",P657)),ISNUMBER(SEARCH("infrastructure",P657)),ISNUMBER(SEARCH("public service",P657))),"Infrastructure &amp; public services","Other"))))))))))))</x:f>
      </x:c>
      <x:c r="J657" s="16" t="str">
        <x:f>IF(A657="","",IF(OR(ISNUMBER(SEARCH("fatal",Q657)),ISNUMBER(SEARCH("death",Q657)),ISNUMBER(SEARCH("riot",Q657)),ISNUMBER(SEARCH("curfew",Q657)),ISNUMBER(SEARCH("internet shutdown",Q657))),5,MIN(4,1+IF(H657&gt;=7,1,0)+IF(OR(ISNUMBER(SEARCH("hunger strike",Q657)),ISNUMBER(SEARCH("blockade",Q657)),ISNUMBER(SEARCH("strike",Q657)),ISNUMBER(SEARCH("jal satyagraha",Q657)),ISNUMBER(SEARCH("survey",Q657)),ISNUMBER(SEARCH("human chain",Q657)),ISNUMBER(SEARCH("march",Q657))),1,0)+IF(OR(ISNUMBER(SEARCH("fir",Q657)),ISNUMBER(SEARCH("confrontation",Q657)),ISNUMBER(SEARCH("violence",Q657)),ISNUMBER(SEARCH("detention",Q657)),ISNUMBER(SEARCH("arrest",Q657)),ISNUMBER(SEARCH("demolition",Q657)),ISNUMBER(SEARCH("injury",Q657))),1,0)+IF(OR(D657="Ongoing",D657="Unresolved"),1,0))))</x:f>
      </x:c>
      <x:c r="K657" s="16" t="str">
        <x:f>IF(J657="","",IF(J657=1,"Limited",IF(J657=2,"Local",IF(J657=3,"Significant",IF(J657=4,"High","Critical")))))</x:f>
      </x:c>
      <x:c r="L657" s="16" t="str">
        <x:f>IF(A657="","",Events!U656)</x:f>
      </x:c>
      <x:c r="M657" s="16" t="str">
        <x:f>IF(A657="","",Events!V656)</x:f>
      </x:c>
      <x:c r="N657" s="16" t="str">
        <x:f>IF(A657="","",Events!Q656)</x:f>
      </x:c>
      <x:c r="O657" s="16" t="str">
        <x:f>IF(A657="","",Events!R656)</x:f>
      </x:c>
      <x:c r="P657" s="16" t="str">
        <x:f>IF(A657="","",LOWER(Events!B656&amp;" "&amp;Events!D656&amp;" "&amp;Events!K656))</x:f>
      </x:c>
      <x:c r="Q657" s="16" t="str">
        <x:f>IF(A657="","",LOWER(Events!C656&amp;" "&amp;Events!K656&amp;" "&amp;Events!T656))</x:f>
      </x:c>
      <x:c r="R657" s="16" t="str">
        <x:f>IF(A657="","",IF(ISNUMBER(SEARCH("Occurrence verified",E657)),"Occurrence verified",E657))</x:f>
      </x:c>
      <x:c r="S657" s="79" t="str">
        <x:f>IF(A657="","",Events!X656)</x:f>
      </x:c>
      <x:c r="Z657" s="79" t="str">
        <x:f>IF(A657="","",Events!AD656)</x:f>
      </x:c>
      <x:c r="AA657" s="79" t="str">
        <x:f>IF(A657="","",Events!AE656)</x:f>
      </x:c>
    </x:row>
    <x:row r="658">
      <x:c r="A658" s="16" t="str">
        <x:f>IF(Events!A657="","",Events!A657)</x:f>
      </x:c>
      <x:c r="B658" s="16" t="str">
        <x:f>IF(A658="","",Events!B657)</x:f>
      </x:c>
      <x:c r="C658" s="16" t="str">
        <x:f>IF(A658="","",Events!E657)</x:f>
      </x:c>
      <x:c r="D658" s="16" t="str">
        <x:f>IF(A658="","",Events!J657)</x:f>
      </x:c>
      <x:c r="E658" s="16" t="str">
        <x:f>IF(A658="","",Events!N657)</x:f>
      </x:c>
      <x:c r="F658" s="109" t="str">
        <x:f>IF(OR(A658="",Events!H657=""),"",Events!H657)</x:f>
      </x:c>
      <x:c r="G658" s="109" t="str">
        <x:f>IF(A658="","",IF(Events!I657&lt;&gt;"",Events!I657,IF(Events!S657&lt;&gt;"",Events!S657,"")))</x:f>
      </x:c>
      <x:c r="H658" s="16" t="str">
        <x:f>IF(A658="","",Events!W657)</x:f>
      </x:c>
      <x:c r="I658" s="16" t="str">
        <x:f>IF(A658="","",IF(Events!Y657&lt;&gt;"",Events!Y657,IF(OR(ISNUMBER(SEARCH("education",P658)),ISNUMBER(SEARCH("exam",P658)),ISNUMBER(SEARCH("school",P658))),"Education",IF(OR(ISNUMBER(SEARCH("trade agreement",P658)),ISNUMBER(SEARCH("economic",P658)),ISNUMBER(SEARCH("import",P658))),"Trade &amp; economic policy",IF(OR(ISNUMBER(SEARCH("land acquisition",P658)),ISNUMBER(SEARCH("rehabilitation",P658)),ISNUMBER(SEARCH("displacement",P658)),ISNUMBER(SEARCH("township",P658))),"Land &amp; rehabilitation",IF(OR(ISNUMBER(SEARCH("forest",P658)),ISNUMBER(SEARCH("environment",P658)),ISNUMBER(SEARCH("ecological",P658)),ISNUMBER(SEARCH("biodiversity",P658)),ISNUMBER(SEARCH("green cover",P658))),"Environment",IF(OR(ISNUMBER(SEARCH("irrigation",P658)),ISNUMBER(SEARCH("water",P658)),ISNUMBER(SEARCH("crop",P658)),ISNUMBER(SEARCH("farmer",P658)),ISNUMBER(SEARCH("agriculture",P658))),"Agriculture &amp; water",IF(OR(ISNUMBER(SEARCH("health",P658)),ISNUMBER(SEARCH("hospital",P658)),ISNUMBER(SEARCH("medicine",P658))),"Public health",IF(OR(ISNUMBER(SEARCH("employee",P658)),ISNUMBER(SEARCH("labour",P658)),ISNUMBER(SEARCH("worker",P658)),ISNUMBER(SEARCH("salary",P658))),"Labour &amp; employment",IF(OR(ISNUMBER(SEARCH("rti",P658)),ISNUMBER(SEARCH("transparency",P658)),ISNUMBER(SEARCH("corruption",P658)),ISNUMBER(SEARCH("governance",P658))),"Governance &amp; transparency",IF(OR(ISNUMBER(SEARCH("police",P658)),ISNUMBER(SEARCH("detention",P658)),ISNUMBER(SEARCH("civil rights",P658)),ISNUMBER(SEARCH("justice",P658))),"Civil rights &amp; justice",IF(OR(ISNUMBER(SEARCH("road",P658)),ISNUMBER(SEARCH("utility",P658)),ISNUMBER(SEARCH("infrastructure",P658)),ISNUMBER(SEARCH("public service",P658))),"Infrastructure &amp; public services","Other"))))))))))))</x:f>
      </x:c>
      <x:c r="J658" s="16" t="str">
        <x:f>IF(A658="","",IF(OR(ISNUMBER(SEARCH("fatal",Q658)),ISNUMBER(SEARCH("death",Q658)),ISNUMBER(SEARCH("riot",Q658)),ISNUMBER(SEARCH("curfew",Q658)),ISNUMBER(SEARCH("internet shutdown",Q658))),5,MIN(4,1+IF(H658&gt;=7,1,0)+IF(OR(ISNUMBER(SEARCH("hunger strike",Q658)),ISNUMBER(SEARCH("blockade",Q658)),ISNUMBER(SEARCH("strike",Q658)),ISNUMBER(SEARCH("jal satyagraha",Q658)),ISNUMBER(SEARCH("survey",Q658)),ISNUMBER(SEARCH("human chain",Q658)),ISNUMBER(SEARCH("march",Q658))),1,0)+IF(OR(ISNUMBER(SEARCH("fir",Q658)),ISNUMBER(SEARCH("confrontation",Q658)),ISNUMBER(SEARCH("violence",Q658)),ISNUMBER(SEARCH("detention",Q658)),ISNUMBER(SEARCH("arrest",Q658)),ISNUMBER(SEARCH("demolition",Q658)),ISNUMBER(SEARCH("injury",Q658))),1,0)+IF(OR(D658="Ongoing",D658="Unresolved"),1,0))))</x:f>
      </x:c>
      <x:c r="K658" s="16" t="str">
        <x:f>IF(J658="","",IF(J658=1,"Limited",IF(J658=2,"Local",IF(J658=3,"Significant",IF(J658=4,"High","Critical")))))</x:f>
      </x:c>
      <x:c r="L658" s="16" t="str">
        <x:f>IF(A658="","",Events!U657)</x:f>
      </x:c>
      <x:c r="M658" s="16" t="str">
        <x:f>IF(A658="","",Events!V657)</x:f>
      </x:c>
      <x:c r="N658" s="16" t="str">
        <x:f>IF(A658="","",Events!Q657)</x:f>
      </x:c>
      <x:c r="O658" s="16" t="str">
        <x:f>IF(A658="","",Events!R657)</x:f>
      </x:c>
      <x:c r="P658" s="16" t="str">
        <x:f>IF(A658="","",LOWER(Events!B657&amp;" "&amp;Events!D657&amp;" "&amp;Events!K657))</x:f>
      </x:c>
      <x:c r="Q658" s="16" t="str">
        <x:f>IF(A658="","",LOWER(Events!C657&amp;" "&amp;Events!K657&amp;" "&amp;Events!T657))</x:f>
      </x:c>
      <x:c r="R658" s="16" t="str">
        <x:f>IF(A658="","",IF(ISNUMBER(SEARCH("Occurrence verified",E658)),"Occurrence verified",E658))</x:f>
      </x:c>
      <x:c r="S658" s="79" t="str">
        <x:f>IF(A658="","",Events!X657)</x:f>
      </x:c>
      <x:c r="Z658" s="79" t="str">
        <x:f>IF(A658="","",Events!AD657)</x:f>
      </x:c>
      <x:c r="AA658" s="79" t="str">
        <x:f>IF(A658="","",Events!AE657)</x:f>
      </x:c>
    </x:row>
    <x:row r="659">
      <x:c r="A659" s="16" t="str">
        <x:f>IF(Events!A658="","",Events!A658)</x:f>
      </x:c>
      <x:c r="B659" s="16" t="str">
        <x:f>IF(A659="","",Events!B658)</x:f>
      </x:c>
      <x:c r="C659" s="16" t="str">
        <x:f>IF(A659="","",Events!E658)</x:f>
      </x:c>
      <x:c r="D659" s="16" t="str">
        <x:f>IF(A659="","",Events!J658)</x:f>
      </x:c>
      <x:c r="E659" s="16" t="str">
        <x:f>IF(A659="","",Events!N658)</x:f>
      </x:c>
      <x:c r="F659" s="109" t="str">
        <x:f>IF(OR(A659="",Events!H658=""),"",Events!H658)</x:f>
      </x:c>
      <x:c r="G659" s="109" t="str">
        <x:f>IF(A659="","",IF(Events!I658&lt;&gt;"",Events!I658,IF(Events!S658&lt;&gt;"",Events!S658,"")))</x:f>
      </x:c>
      <x:c r="H659" s="16" t="str">
        <x:f>IF(A659="","",Events!W658)</x:f>
      </x:c>
      <x:c r="I659" s="16" t="str">
        <x:f>IF(A659="","",IF(Events!Y658&lt;&gt;"",Events!Y658,IF(OR(ISNUMBER(SEARCH("education",P659)),ISNUMBER(SEARCH("exam",P659)),ISNUMBER(SEARCH("school",P659))),"Education",IF(OR(ISNUMBER(SEARCH("trade agreement",P659)),ISNUMBER(SEARCH("economic",P659)),ISNUMBER(SEARCH("import",P659))),"Trade &amp; economic policy",IF(OR(ISNUMBER(SEARCH("land acquisition",P659)),ISNUMBER(SEARCH("rehabilitation",P659)),ISNUMBER(SEARCH("displacement",P659)),ISNUMBER(SEARCH("township",P659))),"Land &amp; rehabilitation",IF(OR(ISNUMBER(SEARCH("forest",P659)),ISNUMBER(SEARCH("environment",P659)),ISNUMBER(SEARCH("ecological",P659)),ISNUMBER(SEARCH("biodiversity",P659)),ISNUMBER(SEARCH("green cover",P659))),"Environment",IF(OR(ISNUMBER(SEARCH("irrigation",P659)),ISNUMBER(SEARCH("water",P659)),ISNUMBER(SEARCH("crop",P659)),ISNUMBER(SEARCH("farmer",P659)),ISNUMBER(SEARCH("agriculture",P659))),"Agriculture &amp; water",IF(OR(ISNUMBER(SEARCH("health",P659)),ISNUMBER(SEARCH("hospital",P659)),ISNUMBER(SEARCH("medicine",P659))),"Public health",IF(OR(ISNUMBER(SEARCH("employee",P659)),ISNUMBER(SEARCH("labour",P659)),ISNUMBER(SEARCH("worker",P659)),ISNUMBER(SEARCH("salary",P659))),"Labour &amp; employment",IF(OR(ISNUMBER(SEARCH("rti",P659)),ISNUMBER(SEARCH("transparency",P659)),ISNUMBER(SEARCH("corruption",P659)),ISNUMBER(SEARCH("governance",P659))),"Governance &amp; transparency",IF(OR(ISNUMBER(SEARCH("police",P659)),ISNUMBER(SEARCH("detention",P659)),ISNUMBER(SEARCH("civil rights",P659)),ISNUMBER(SEARCH("justice",P659))),"Civil rights &amp; justice",IF(OR(ISNUMBER(SEARCH("road",P659)),ISNUMBER(SEARCH("utility",P659)),ISNUMBER(SEARCH("infrastructure",P659)),ISNUMBER(SEARCH("public service",P659))),"Infrastructure &amp; public services","Other"))))))))))))</x:f>
      </x:c>
      <x:c r="J659" s="16" t="str">
        <x:f>IF(A659="","",IF(OR(ISNUMBER(SEARCH("fatal",Q659)),ISNUMBER(SEARCH("death",Q659)),ISNUMBER(SEARCH("riot",Q659)),ISNUMBER(SEARCH("curfew",Q659)),ISNUMBER(SEARCH("internet shutdown",Q659))),5,MIN(4,1+IF(H659&gt;=7,1,0)+IF(OR(ISNUMBER(SEARCH("hunger strike",Q659)),ISNUMBER(SEARCH("blockade",Q659)),ISNUMBER(SEARCH("strike",Q659)),ISNUMBER(SEARCH("jal satyagraha",Q659)),ISNUMBER(SEARCH("survey",Q659)),ISNUMBER(SEARCH("human chain",Q659)),ISNUMBER(SEARCH("march",Q659))),1,0)+IF(OR(ISNUMBER(SEARCH("fir",Q659)),ISNUMBER(SEARCH("confrontation",Q659)),ISNUMBER(SEARCH("violence",Q659)),ISNUMBER(SEARCH("detention",Q659)),ISNUMBER(SEARCH("arrest",Q659)),ISNUMBER(SEARCH("demolition",Q659)),ISNUMBER(SEARCH("injury",Q659))),1,0)+IF(OR(D659="Ongoing",D659="Unresolved"),1,0))))</x:f>
      </x:c>
      <x:c r="K659" s="16" t="str">
        <x:f>IF(J659="","",IF(J659=1,"Limited",IF(J659=2,"Local",IF(J659=3,"Significant",IF(J659=4,"High","Critical")))))</x:f>
      </x:c>
      <x:c r="L659" s="16" t="str">
        <x:f>IF(A659="","",Events!U658)</x:f>
      </x:c>
      <x:c r="M659" s="16" t="str">
        <x:f>IF(A659="","",Events!V658)</x:f>
      </x:c>
      <x:c r="N659" s="16" t="str">
        <x:f>IF(A659="","",Events!Q658)</x:f>
      </x:c>
      <x:c r="O659" s="16" t="str">
        <x:f>IF(A659="","",Events!R658)</x:f>
      </x:c>
      <x:c r="P659" s="16" t="str">
        <x:f>IF(A659="","",LOWER(Events!B658&amp;" "&amp;Events!D658&amp;" "&amp;Events!K658))</x:f>
      </x:c>
      <x:c r="Q659" s="16" t="str">
        <x:f>IF(A659="","",LOWER(Events!C658&amp;" "&amp;Events!K658&amp;" "&amp;Events!T658))</x:f>
      </x:c>
      <x:c r="R659" s="16" t="str">
        <x:f>IF(A659="","",IF(ISNUMBER(SEARCH("Occurrence verified",E659)),"Occurrence verified",E659))</x:f>
      </x:c>
      <x:c r="S659" s="79" t="str">
        <x:f>IF(A659="","",Events!X658)</x:f>
      </x:c>
      <x:c r="Z659" s="79" t="str">
        <x:f>IF(A659="","",Events!AD658)</x:f>
      </x:c>
      <x:c r="AA659" s="79" t="str">
        <x:f>IF(A659="","",Events!AE658)</x:f>
      </x:c>
    </x:row>
    <x:row r="660">
      <x:c r="A660" s="16" t="str">
        <x:f>IF(Events!A659="","",Events!A659)</x:f>
      </x:c>
      <x:c r="B660" s="16" t="str">
        <x:f>IF(A660="","",Events!B659)</x:f>
      </x:c>
      <x:c r="C660" s="16" t="str">
        <x:f>IF(A660="","",Events!E659)</x:f>
      </x:c>
      <x:c r="D660" s="16" t="str">
        <x:f>IF(A660="","",Events!J659)</x:f>
      </x:c>
      <x:c r="E660" s="16" t="str">
        <x:f>IF(A660="","",Events!N659)</x:f>
      </x:c>
      <x:c r="F660" s="109" t="str">
        <x:f>IF(OR(A660="",Events!H659=""),"",Events!H659)</x:f>
      </x:c>
      <x:c r="G660" s="109" t="str">
        <x:f>IF(A660="","",IF(Events!I659&lt;&gt;"",Events!I659,IF(Events!S659&lt;&gt;"",Events!S659,"")))</x:f>
      </x:c>
      <x:c r="H660" s="16" t="str">
        <x:f>IF(A660="","",Events!W659)</x:f>
      </x:c>
      <x:c r="I660" s="16" t="str">
        <x:f>IF(A660="","",IF(Events!Y659&lt;&gt;"",Events!Y659,IF(OR(ISNUMBER(SEARCH("education",P660)),ISNUMBER(SEARCH("exam",P660)),ISNUMBER(SEARCH("school",P660))),"Education",IF(OR(ISNUMBER(SEARCH("trade agreement",P660)),ISNUMBER(SEARCH("economic",P660)),ISNUMBER(SEARCH("import",P660))),"Trade &amp; economic policy",IF(OR(ISNUMBER(SEARCH("land acquisition",P660)),ISNUMBER(SEARCH("rehabilitation",P660)),ISNUMBER(SEARCH("displacement",P660)),ISNUMBER(SEARCH("township",P660))),"Land &amp; rehabilitation",IF(OR(ISNUMBER(SEARCH("forest",P660)),ISNUMBER(SEARCH("environment",P660)),ISNUMBER(SEARCH("ecological",P660)),ISNUMBER(SEARCH("biodiversity",P660)),ISNUMBER(SEARCH("green cover",P660))),"Environment",IF(OR(ISNUMBER(SEARCH("irrigation",P660)),ISNUMBER(SEARCH("water",P660)),ISNUMBER(SEARCH("crop",P660)),ISNUMBER(SEARCH("farmer",P660)),ISNUMBER(SEARCH("agriculture",P660))),"Agriculture &amp; water",IF(OR(ISNUMBER(SEARCH("health",P660)),ISNUMBER(SEARCH("hospital",P660)),ISNUMBER(SEARCH("medicine",P660))),"Public health",IF(OR(ISNUMBER(SEARCH("employee",P660)),ISNUMBER(SEARCH("labour",P660)),ISNUMBER(SEARCH("worker",P660)),ISNUMBER(SEARCH("salary",P660))),"Labour &amp; employment",IF(OR(ISNUMBER(SEARCH("rti",P660)),ISNUMBER(SEARCH("transparency",P660)),ISNUMBER(SEARCH("corruption",P660)),ISNUMBER(SEARCH("governance",P660))),"Governance &amp; transparency",IF(OR(ISNUMBER(SEARCH("police",P660)),ISNUMBER(SEARCH("detention",P660)),ISNUMBER(SEARCH("civil rights",P660)),ISNUMBER(SEARCH("justice",P660))),"Civil rights &amp; justice",IF(OR(ISNUMBER(SEARCH("road",P660)),ISNUMBER(SEARCH("utility",P660)),ISNUMBER(SEARCH("infrastructure",P660)),ISNUMBER(SEARCH("public service",P660))),"Infrastructure &amp; public services","Other"))))))))))))</x:f>
      </x:c>
      <x:c r="J660" s="16" t="str">
        <x:f>IF(A660="","",IF(OR(ISNUMBER(SEARCH("fatal",Q660)),ISNUMBER(SEARCH("death",Q660)),ISNUMBER(SEARCH("riot",Q660)),ISNUMBER(SEARCH("curfew",Q660)),ISNUMBER(SEARCH("internet shutdown",Q660))),5,MIN(4,1+IF(H660&gt;=7,1,0)+IF(OR(ISNUMBER(SEARCH("hunger strike",Q660)),ISNUMBER(SEARCH("blockade",Q660)),ISNUMBER(SEARCH("strike",Q660)),ISNUMBER(SEARCH("jal satyagraha",Q660)),ISNUMBER(SEARCH("survey",Q660)),ISNUMBER(SEARCH("human chain",Q660)),ISNUMBER(SEARCH("march",Q660))),1,0)+IF(OR(ISNUMBER(SEARCH("fir",Q660)),ISNUMBER(SEARCH("confrontation",Q660)),ISNUMBER(SEARCH("violence",Q660)),ISNUMBER(SEARCH("detention",Q660)),ISNUMBER(SEARCH("arrest",Q660)),ISNUMBER(SEARCH("demolition",Q660)),ISNUMBER(SEARCH("injury",Q660))),1,0)+IF(OR(D660="Ongoing",D660="Unresolved"),1,0))))</x:f>
      </x:c>
      <x:c r="K660" s="16" t="str">
        <x:f>IF(J660="","",IF(J660=1,"Limited",IF(J660=2,"Local",IF(J660=3,"Significant",IF(J660=4,"High","Critical")))))</x:f>
      </x:c>
      <x:c r="L660" s="16" t="str">
        <x:f>IF(A660="","",Events!U659)</x:f>
      </x:c>
      <x:c r="M660" s="16" t="str">
        <x:f>IF(A660="","",Events!V659)</x:f>
      </x:c>
      <x:c r="N660" s="16" t="str">
        <x:f>IF(A660="","",Events!Q659)</x:f>
      </x:c>
      <x:c r="O660" s="16" t="str">
        <x:f>IF(A660="","",Events!R659)</x:f>
      </x:c>
      <x:c r="P660" s="16" t="str">
        <x:f>IF(A660="","",LOWER(Events!B659&amp;" "&amp;Events!D659&amp;" "&amp;Events!K659))</x:f>
      </x:c>
      <x:c r="Q660" s="16" t="str">
        <x:f>IF(A660="","",LOWER(Events!C659&amp;" "&amp;Events!K659&amp;" "&amp;Events!T659))</x:f>
      </x:c>
      <x:c r="R660" s="16" t="str">
        <x:f>IF(A660="","",IF(ISNUMBER(SEARCH("Occurrence verified",E660)),"Occurrence verified",E660))</x:f>
      </x:c>
      <x:c r="S660" s="79" t="str">
        <x:f>IF(A660="","",Events!X659)</x:f>
      </x:c>
      <x:c r="Z660" s="79" t="str">
        <x:f>IF(A660="","",Events!AD659)</x:f>
      </x:c>
      <x:c r="AA660" s="79" t="str">
        <x:f>IF(A660="","",Events!AE659)</x:f>
      </x:c>
    </x:row>
    <x:row r="661">
      <x:c r="A661" s="16" t="str">
        <x:f>IF(Events!A660="","",Events!A660)</x:f>
      </x:c>
      <x:c r="B661" s="16" t="str">
        <x:f>IF(A661="","",Events!B660)</x:f>
      </x:c>
      <x:c r="C661" s="16" t="str">
        <x:f>IF(A661="","",Events!E660)</x:f>
      </x:c>
      <x:c r="D661" s="16" t="str">
        <x:f>IF(A661="","",Events!J660)</x:f>
      </x:c>
      <x:c r="E661" s="16" t="str">
        <x:f>IF(A661="","",Events!N660)</x:f>
      </x:c>
      <x:c r="F661" s="109" t="str">
        <x:f>IF(OR(A661="",Events!H660=""),"",Events!H660)</x:f>
      </x:c>
      <x:c r="G661" s="109" t="str">
        <x:f>IF(A661="","",IF(Events!I660&lt;&gt;"",Events!I660,IF(Events!S660&lt;&gt;"",Events!S660,"")))</x:f>
      </x:c>
      <x:c r="H661" s="16" t="str">
        <x:f>IF(A661="","",Events!W660)</x:f>
      </x:c>
      <x:c r="I661" s="16" t="str">
        <x:f>IF(A661="","",IF(Events!Y660&lt;&gt;"",Events!Y660,IF(OR(ISNUMBER(SEARCH("education",P661)),ISNUMBER(SEARCH("exam",P661)),ISNUMBER(SEARCH("school",P661))),"Education",IF(OR(ISNUMBER(SEARCH("trade agreement",P661)),ISNUMBER(SEARCH("economic",P661)),ISNUMBER(SEARCH("import",P661))),"Trade &amp; economic policy",IF(OR(ISNUMBER(SEARCH("land acquisition",P661)),ISNUMBER(SEARCH("rehabilitation",P661)),ISNUMBER(SEARCH("displacement",P661)),ISNUMBER(SEARCH("township",P661))),"Land &amp; rehabilitation",IF(OR(ISNUMBER(SEARCH("forest",P661)),ISNUMBER(SEARCH("environment",P661)),ISNUMBER(SEARCH("ecological",P661)),ISNUMBER(SEARCH("biodiversity",P661)),ISNUMBER(SEARCH("green cover",P661))),"Environment",IF(OR(ISNUMBER(SEARCH("irrigation",P661)),ISNUMBER(SEARCH("water",P661)),ISNUMBER(SEARCH("crop",P661)),ISNUMBER(SEARCH("farmer",P661)),ISNUMBER(SEARCH("agriculture",P661))),"Agriculture &amp; water",IF(OR(ISNUMBER(SEARCH("health",P661)),ISNUMBER(SEARCH("hospital",P661)),ISNUMBER(SEARCH("medicine",P661))),"Public health",IF(OR(ISNUMBER(SEARCH("employee",P661)),ISNUMBER(SEARCH("labour",P661)),ISNUMBER(SEARCH("worker",P661)),ISNUMBER(SEARCH("salary",P661))),"Labour &amp; employment",IF(OR(ISNUMBER(SEARCH("rti",P661)),ISNUMBER(SEARCH("transparency",P661)),ISNUMBER(SEARCH("corruption",P661)),ISNUMBER(SEARCH("governance",P661))),"Governance &amp; transparency",IF(OR(ISNUMBER(SEARCH("police",P661)),ISNUMBER(SEARCH("detention",P661)),ISNUMBER(SEARCH("civil rights",P661)),ISNUMBER(SEARCH("justice",P661))),"Civil rights &amp; justice",IF(OR(ISNUMBER(SEARCH("road",P661)),ISNUMBER(SEARCH("utility",P661)),ISNUMBER(SEARCH("infrastructure",P661)),ISNUMBER(SEARCH("public service",P661))),"Infrastructure &amp; public services","Other"))))))))))))</x:f>
      </x:c>
      <x:c r="J661" s="16" t="str">
        <x:f>IF(A661="","",IF(OR(ISNUMBER(SEARCH("fatal",Q661)),ISNUMBER(SEARCH("death",Q661)),ISNUMBER(SEARCH("riot",Q661)),ISNUMBER(SEARCH("curfew",Q661)),ISNUMBER(SEARCH("internet shutdown",Q661))),5,MIN(4,1+IF(H661&gt;=7,1,0)+IF(OR(ISNUMBER(SEARCH("hunger strike",Q661)),ISNUMBER(SEARCH("blockade",Q661)),ISNUMBER(SEARCH("strike",Q661)),ISNUMBER(SEARCH("jal satyagraha",Q661)),ISNUMBER(SEARCH("survey",Q661)),ISNUMBER(SEARCH("human chain",Q661)),ISNUMBER(SEARCH("march",Q661))),1,0)+IF(OR(ISNUMBER(SEARCH("fir",Q661)),ISNUMBER(SEARCH("confrontation",Q661)),ISNUMBER(SEARCH("violence",Q661)),ISNUMBER(SEARCH("detention",Q661)),ISNUMBER(SEARCH("arrest",Q661)),ISNUMBER(SEARCH("demolition",Q661)),ISNUMBER(SEARCH("injury",Q661))),1,0)+IF(OR(D661="Ongoing",D661="Unresolved"),1,0))))</x:f>
      </x:c>
      <x:c r="K661" s="16" t="str">
        <x:f>IF(J661="","",IF(J661=1,"Limited",IF(J661=2,"Local",IF(J661=3,"Significant",IF(J661=4,"High","Critical")))))</x:f>
      </x:c>
      <x:c r="L661" s="16" t="str">
        <x:f>IF(A661="","",Events!U660)</x:f>
      </x:c>
      <x:c r="M661" s="16" t="str">
        <x:f>IF(A661="","",Events!V660)</x:f>
      </x:c>
      <x:c r="N661" s="16" t="str">
        <x:f>IF(A661="","",Events!Q660)</x:f>
      </x:c>
      <x:c r="O661" s="16" t="str">
        <x:f>IF(A661="","",Events!R660)</x:f>
      </x:c>
      <x:c r="P661" s="16" t="str">
        <x:f>IF(A661="","",LOWER(Events!B660&amp;" "&amp;Events!D660&amp;" "&amp;Events!K660))</x:f>
      </x:c>
      <x:c r="Q661" s="16" t="str">
        <x:f>IF(A661="","",LOWER(Events!C660&amp;" "&amp;Events!K660&amp;" "&amp;Events!T660))</x:f>
      </x:c>
      <x:c r="R661" s="16" t="str">
        <x:f>IF(A661="","",IF(ISNUMBER(SEARCH("Occurrence verified",E661)),"Occurrence verified",E661))</x:f>
      </x:c>
      <x:c r="S661" s="79" t="str">
        <x:f>IF(A661="","",Events!X660)</x:f>
      </x:c>
      <x:c r="Z661" s="79" t="str">
        <x:f>IF(A661="","",Events!AD660)</x:f>
      </x:c>
      <x:c r="AA661" s="79" t="str">
        <x:f>IF(A661="","",Events!AE660)</x:f>
      </x:c>
    </x:row>
    <x:row r="662">
      <x:c r="A662" s="16" t="str">
        <x:f>IF(Events!A661="","",Events!A661)</x:f>
      </x:c>
      <x:c r="B662" s="16" t="str">
        <x:f>IF(A662="","",Events!B661)</x:f>
      </x:c>
      <x:c r="C662" s="16" t="str">
        <x:f>IF(A662="","",Events!E661)</x:f>
      </x:c>
      <x:c r="D662" s="16" t="str">
        <x:f>IF(A662="","",Events!J661)</x:f>
      </x:c>
      <x:c r="E662" s="16" t="str">
        <x:f>IF(A662="","",Events!N661)</x:f>
      </x:c>
      <x:c r="F662" s="109" t="str">
        <x:f>IF(OR(A662="",Events!H661=""),"",Events!H661)</x:f>
      </x:c>
      <x:c r="G662" s="109" t="str">
        <x:f>IF(A662="","",IF(Events!I661&lt;&gt;"",Events!I661,IF(Events!S661&lt;&gt;"",Events!S661,"")))</x:f>
      </x:c>
      <x:c r="H662" s="16" t="str">
        <x:f>IF(A662="","",Events!W661)</x:f>
      </x:c>
      <x:c r="I662" s="16" t="str">
        <x:f>IF(A662="","",IF(Events!Y661&lt;&gt;"",Events!Y661,IF(OR(ISNUMBER(SEARCH("education",P662)),ISNUMBER(SEARCH("exam",P662)),ISNUMBER(SEARCH("school",P662))),"Education",IF(OR(ISNUMBER(SEARCH("trade agreement",P662)),ISNUMBER(SEARCH("economic",P662)),ISNUMBER(SEARCH("import",P662))),"Trade &amp; economic policy",IF(OR(ISNUMBER(SEARCH("land acquisition",P662)),ISNUMBER(SEARCH("rehabilitation",P662)),ISNUMBER(SEARCH("displacement",P662)),ISNUMBER(SEARCH("township",P662))),"Land &amp; rehabilitation",IF(OR(ISNUMBER(SEARCH("forest",P662)),ISNUMBER(SEARCH("environment",P662)),ISNUMBER(SEARCH("ecological",P662)),ISNUMBER(SEARCH("biodiversity",P662)),ISNUMBER(SEARCH("green cover",P662))),"Environment",IF(OR(ISNUMBER(SEARCH("irrigation",P662)),ISNUMBER(SEARCH("water",P662)),ISNUMBER(SEARCH("crop",P662)),ISNUMBER(SEARCH("farmer",P662)),ISNUMBER(SEARCH("agriculture",P662))),"Agriculture &amp; water",IF(OR(ISNUMBER(SEARCH("health",P662)),ISNUMBER(SEARCH("hospital",P662)),ISNUMBER(SEARCH("medicine",P662))),"Public health",IF(OR(ISNUMBER(SEARCH("employee",P662)),ISNUMBER(SEARCH("labour",P662)),ISNUMBER(SEARCH("worker",P662)),ISNUMBER(SEARCH("salary",P662))),"Labour &amp; employment",IF(OR(ISNUMBER(SEARCH("rti",P662)),ISNUMBER(SEARCH("transparency",P662)),ISNUMBER(SEARCH("corruption",P662)),ISNUMBER(SEARCH("governance",P662))),"Governance &amp; transparency",IF(OR(ISNUMBER(SEARCH("police",P662)),ISNUMBER(SEARCH("detention",P662)),ISNUMBER(SEARCH("civil rights",P662)),ISNUMBER(SEARCH("justice",P662))),"Civil rights &amp; justice",IF(OR(ISNUMBER(SEARCH("road",P662)),ISNUMBER(SEARCH("utility",P662)),ISNUMBER(SEARCH("infrastructure",P662)),ISNUMBER(SEARCH("public service",P662))),"Infrastructure &amp; public services","Other"))))))))))))</x:f>
      </x:c>
      <x:c r="J662" s="16" t="str">
        <x:f>IF(A662="","",IF(OR(ISNUMBER(SEARCH("fatal",Q662)),ISNUMBER(SEARCH("death",Q662)),ISNUMBER(SEARCH("riot",Q662)),ISNUMBER(SEARCH("curfew",Q662)),ISNUMBER(SEARCH("internet shutdown",Q662))),5,MIN(4,1+IF(H662&gt;=7,1,0)+IF(OR(ISNUMBER(SEARCH("hunger strike",Q662)),ISNUMBER(SEARCH("blockade",Q662)),ISNUMBER(SEARCH("strike",Q662)),ISNUMBER(SEARCH("jal satyagraha",Q662)),ISNUMBER(SEARCH("survey",Q662)),ISNUMBER(SEARCH("human chain",Q662)),ISNUMBER(SEARCH("march",Q662))),1,0)+IF(OR(ISNUMBER(SEARCH("fir",Q662)),ISNUMBER(SEARCH("confrontation",Q662)),ISNUMBER(SEARCH("violence",Q662)),ISNUMBER(SEARCH("detention",Q662)),ISNUMBER(SEARCH("arrest",Q662)),ISNUMBER(SEARCH("demolition",Q662)),ISNUMBER(SEARCH("injury",Q662))),1,0)+IF(OR(D662="Ongoing",D662="Unresolved"),1,0))))</x:f>
      </x:c>
      <x:c r="K662" s="16" t="str">
        <x:f>IF(J662="","",IF(J662=1,"Limited",IF(J662=2,"Local",IF(J662=3,"Significant",IF(J662=4,"High","Critical")))))</x:f>
      </x:c>
      <x:c r="L662" s="16" t="str">
        <x:f>IF(A662="","",Events!U661)</x:f>
      </x:c>
      <x:c r="M662" s="16" t="str">
        <x:f>IF(A662="","",Events!V661)</x:f>
      </x:c>
      <x:c r="N662" s="16" t="str">
        <x:f>IF(A662="","",Events!Q661)</x:f>
      </x:c>
      <x:c r="O662" s="16" t="str">
        <x:f>IF(A662="","",Events!R661)</x:f>
      </x:c>
      <x:c r="P662" s="16" t="str">
        <x:f>IF(A662="","",LOWER(Events!B661&amp;" "&amp;Events!D661&amp;" "&amp;Events!K661))</x:f>
      </x:c>
      <x:c r="Q662" s="16" t="str">
        <x:f>IF(A662="","",LOWER(Events!C661&amp;" "&amp;Events!K661&amp;" "&amp;Events!T661))</x:f>
      </x:c>
      <x:c r="R662" s="16" t="str">
        <x:f>IF(A662="","",IF(ISNUMBER(SEARCH("Occurrence verified",E662)),"Occurrence verified",E662))</x:f>
      </x:c>
      <x:c r="S662" s="79" t="str">
        <x:f>IF(A662="","",Events!X661)</x:f>
      </x:c>
      <x:c r="Z662" s="79" t="str">
        <x:f>IF(A662="","",Events!AD661)</x:f>
      </x:c>
      <x:c r="AA662" s="79" t="str">
        <x:f>IF(A662="","",Events!AE661)</x:f>
      </x:c>
    </x:row>
    <x:row r="663">
      <x:c r="A663" s="16" t="str">
        <x:f>IF(Events!A662="","",Events!A662)</x:f>
      </x:c>
      <x:c r="B663" s="16" t="str">
        <x:f>IF(A663="","",Events!B662)</x:f>
      </x:c>
      <x:c r="C663" s="16" t="str">
        <x:f>IF(A663="","",Events!E662)</x:f>
      </x:c>
      <x:c r="D663" s="16" t="str">
        <x:f>IF(A663="","",Events!J662)</x:f>
      </x:c>
      <x:c r="E663" s="16" t="str">
        <x:f>IF(A663="","",Events!N662)</x:f>
      </x:c>
      <x:c r="F663" s="109" t="str">
        <x:f>IF(OR(A663="",Events!H662=""),"",Events!H662)</x:f>
      </x:c>
      <x:c r="G663" s="109" t="str">
        <x:f>IF(A663="","",IF(Events!I662&lt;&gt;"",Events!I662,IF(Events!S662&lt;&gt;"",Events!S662,"")))</x:f>
      </x:c>
      <x:c r="H663" s="16" t="str">
        <x:f>IF(A663="","",Events!W662)</x:f>
      </x:c>
      <x:c r="I663" s="16" t="str">
        <x:f>IF(A663="","",IF(Events!Y662&lt;&gt;"",Events!Y662,IF(OR(ISNUMBER(SEARCH("education",P663)),ISNUMBER(SEARCH("exam",P663)),ISNUMBER(SEARCH("school",P663))),"Education",IF(OR(ISNUMBER(SEARCH("trade agreement",P663)),ISNUMBER(SEARCH("economic",P663)),ISNUMBER(SEARCH("import",P663))),"Trade &amp; economic policy",IF(OR(ISNUMBER(SEARCH("land acquisition",P663)),ISNUMBER(SEARCH("rehabilitation",P663)),ISNUMBER(SEARCH("displacement",P663)),ISNUMBER(SEARCH("township",P663))),"Land &amp; rehabilitation",IF(OR(ISNUMBER(SEARCH("forest",P663)),ISNUMBER(SEARCH("environment",P663)),ISNUMBER(SEARCH("ecological",P663)),ISNUMBER(SEARCH("biodiversity",P663)),ISNUMBER(SEARCH("green cover",P663))),"Environment",IF(OR(ISNUMBER(SEARCH("irrigation",P663)),ISNUMBER(SEARCH("water",P663)),ISNUMBER(SEARCH("crop",P663)),ISNUMBER(SEARCH("farmer",P663)),ISNUMBER(SEARCH("agriculture",P663))),"Agriculture &amp; water",IF(OR(ISNUMBER(SEARCH("health",P663)),ISNUMBER(SEARCH("hospital",P663)),ISNUMBER(SEARCH("medicine",P663))),"Public health",IF(OR(ISNUMBER(SEARCH("employee",P663)),ISNUMBER(SEARCH("labour",P663)),ISNUMBER(SEARCH("worker",P663)),ISNUMBER(SEARCH("salary",P663))),"Labour &amp; employment",IF(OR(ISNUMBER(SEARCH("rti",P663)),ISNUMBER(SEARCH("transparency",P663)),ISNUMBER(SEARCH("corruption",P663)),ISNUMBER(SEARCH("governance",P663))),"Governance &amp; transparency",IF(OR(ISNUMBER(SEARCH("police",P663)),ISNUMBER(SEARCH("detention",P663)),ISNUMBER(SEARCH("civil rights",P663)),ISNUMBER(SEARCH("justice",P663))),"Civil rights &amp; justice",IF(OR(ISNUMBER(SEARCH("road",P663)),ISNUMBER(SEARCH("utility",P663)),ISNUMBER(SEARCH("infrastructure",P663)),ISNUMBER(SEARCH("public service",P663))),"Infrastructure &amp; public services","Other"))))))))))))</x:f>
      </x:c>
      <x:c r="J663" s="16" t="str">
        <x:f>IF(A663="","",IF(OR(ISNUMBER(SEARCH("fatal",Q663)),ISNUMBER(SEARCH("death",Q663)),ISNUMBER(SEARCH("riot",Q663)),ISNUMBER(SEARCH("curfew",Q663)),ISNUMBER(SEARCH("internet shutdown",Q663))),5,MIN(4,1+IF(H663&gt;=7,1,0)+IF(OR(ISNUMBER(SEARCH("hunger strike",Q663)),ISNUMBER(SEARCH("blockade",Q663)),ISNUMBER(SEARCH("strike",Q663)),ISNUMBER(SEARCH("jal satyagraha",Q663)),ISNUMBER(SEARCH("survey",Q663)),ISNUMBER(SEARCH("human chain",Q663)),ISNUMBER(SEARCH("march",Q663))),1,0)+IF(OR(ISNUMBER(SEARCH("fir",Q663)),ISNUMBER(SEARCH("confrontation",Q663)),ISNUMBER(SEARCH("violence",Q663)),ISNUMBER(SEARCH("detention",Q663)),ISNUMBER(SEARCH("arrest",Q663)),ISNUMBER(SEARCH("demolition",Q663)),ISNUMBER(SEARCH("injury",Q663))),1,0)+IF(OR(D663="Ongoing",D663="Unresolved"),1,0))))</x:f>
      </x:c>
      <x:c r="K663" s="16" t="str">
        <x:f>IF(J663="","",IF(J663=1,"Limited",IF(J663=2,"Local",IF(J663=3,"Significant",IF(J663=4,"High","Critical")))))</x:f>
      </x:c>
      <x:c r="L663" s="16" t="str">
        <x:f>IF(A663="","",Events!U662)</x:f>
      </x:c>
      <x:c r="M663" s="16" t="str">
        <x:f>IF(A663="","",Events!V662)</x:f>
      </x:c>
      <x:c r="N663" s="16" t="str">
        <x:f>IF(A663="","",Events!Q662)</x:f>
      </x:c>
      <x:c r="O663" s="16" t="str">
        <x:f>IF(A663="","",Events!R662)</x:f>
      </x:c>
      <x:c r="P663" s="16" t="str">
        <x:f>IF(A663="","",LOWER(Events!B662&amp;" "&amp;Events!D662&amp;" "&amp;Events!K662))</x:f>
      </x:c>
      <x:c r="Q663" s="16" t="str">
        <x:f>IF(A663="","",LOWER(Events!C662&amp;" "&amp;Events!K662&amp;" "&amp;Events!T662))</x:f>
      </x:c>
      <x:c r="R663" s="16" t="str">
        <x:f>IF(A663="","",IF(ISNUMBER(SEARCH("Occurrence verified",E663)),"Occurrence verified",E663))</x:f>
      </x:c>
      <x:c r="S663" s="79" t="str">
        <x:f>IF(A663="","",Events!X662)</x:f>
      </x:c>
      <x:c r="Z663" s="79" t="str">
        <x:f>IF(A663="","",Events!AD662)</x:f>
      </x:c>
      <x:c r="AA663" s="79" t="str">
        <x:f>IF(A663="","",Events!AE662)</x:f>
      </x:c>
    </x:row>
    <x:row r="664">
      <x:c r="A664" s="16" t="str">
        <x:f>IF(Events!A663="","",Events!A663)</x:f>
      </x:c>
      <x:c r="B664" s="16" t="str">
        <x:f>IF(A664="","",Events!B663)</x:f>
      </x:c>
      <x:c r="C664" s="16" t="str">
        <x:f>IF(A664="","",Events!E663)</x:f>
      </x:c>
      <x:c r="D664" s="16" t="str">
        <x:f>IF(A664="","",Events!J663)</x:f>
      </x:c>
      <x:c r="E664" s="16" t="str">
        <x:f>IF(A664="","",Events!N663)</x:f>
      </x:c>
      <x:c r="F664" s="109" t="str">
        <x:f>IF(OR(A664="",Events!H663=""),"",Events!H663)</x:f>
      </x:c>
      <x:c r="G664" s="109" t="str">
        <x:f>IF(A664="","",IF(Events!I663&lt;&gt;"",Events!I663,IF(Events!S663&lt;&gt;"",Events!S663,"")))</x:f>
      </x:c>
      <x:c r="H664" s="16" t="str">
        <x:f>IF(A664="","",Events!W663)</x:f>
      </x:c>
      <x:c r="I664" s="16" t="str">
        <x:f>IF(A664="","",IF(Events!Y663&lt;&gt;"",Events!Y663,IF(OR(ISNUMBER(SEARCH("education",P664)),ISNUMBER(SEARCH("exam",P664)),ISNUMBER(SEARCH("school",P664))),"Education",IF(OR(ISNUMBER(SEARCH("trade agreement",P664)),ISNUMBER(SEARCH("economic",P664)),ISNUMBER(SEARCH("import",P664))),"Trade &amp; economic policy",IF(OR(ISNUMBER(SEARCH("land acquisition",P664)),ISNUMBER(SEARCH("rehabilitation",P664)),ISNUMBER(SEARCH("displacement",P664)),ISNUMBER(SEARCH("township",P664))),"Land &amp; rehabilitation",IF(OR(ISNUMBER(SEARCH("forest",P664)),ISNUMBER(SEARCH("environment",P664)),ISNUMBER(SEARCH("ecological",P664)),ISNUMBER(SEARCH("biodiversity",P664)),ISNUMBER(SEARCH("green cover",P664))),"Environment",IF(OR(ISNUMBER(SEARCH("irrigation",P664)),ISNUMBER(SEARCH("water",P664)),ISNUMBER(SEARCH("crop",P664)),ISNUMBER(SEARCH("farmer",P664)),ISNUMBER(SEARCH("agriculture",P664))),"Agriculture &amp; water",IF(OR(ISNUMBER(SEARCH("health",P664)),ISNUMBER(SEARCH("hospital",P664)),ISNUMBER(SEARCH("medicine",P664))),"Public health",IF(OR(ISNUMBER(SEARCH("employee",P664)),ISNUMBER(SEARCH("labour",P664)),ISNUMBER(SEARCH("worker",P664)),ISNUMBER(SEARCH("salary",P664))),"Labour &amp; employment",IF(OR(ISNUMBER(SEARCH("rti",P664)),ISNUMBER(SEARCH("transparency",P664)),ISNUMBER(SEARCH("corruption",P664)),ISNUMBER(SEARCH("governance",P664))),"Governance &amp; transparency",IF(OR(ISNUMBER(SEARCH("police",P664)),ISNUMBER(SEARCH("detention",P664)),ISNUMBER(SEARCH("civil rights",P664)),ISNUMBER(SEARCH("justice",P664))),"Civil rights &amp; justice",IF(OR(ISNUMBER(SEARCH("road",P664)),ISNUMBER(SEARCH("utility",P664)),ISNUMBER(SEARCH("infrastructure",P664)),ISNUMBER(SEARCH("public service",P664))),"Infrastructure &amp; public services","Other"))))))))))))</x:f>
      </x:c>
      <x:c r="J664" s="16" t="str">
        <x:f>IF(A664="","",IF(OR(ISNUMBER(SEARCH("fatal",Q664)),ISNUMBER(SEARCH("death",Q664)),ISNUMBER(SEARCH("riot",Q664)),ISNUMBER(SEARCH("curfew",Q664)),ISNUMBER(SEARCH("internet shutdown",Q664))),5,MIN(4,1+IF(H664&gt;=7,1,0)+IF(OR(ISNUMBER(SEARCH("hunger strike",Q664)),ISNUMBER(SEARCH("blockade",Q664)),ISNUMBER(SEARCH("strike",Q664)),ISNUMBER(SEARCH("jal satyagraha",Q664)),ISNUMBER(SEARCH("survey",Q664)),ISNUMBER(SEARCH("human chain",Q664)),ISNUMBER(SEARCH("march",Q664))),1,0)+IF(OR(ISNUMBER(SEARCH("fir",Q664)),ISNUMBER(SEARCH("confrontation",Q664)),ISNUMBER(SEARCH("violence",Q664)),ISNUMBER(SEARCH("detention",Q664)),ISNUMBER(SEARCH("arrest",Q664)),ISNUMBER(SEARCH("demolition",Q664)),ISNUMBER(SEARCH("injury",Q664))),1,0)+IF(OR(D664="Ongoing",D664="Unresolved"),1,0))))</x:f>
      </x:c>
      <x:c r="K664" s="16" t="str">
        <x:f>IF(J664="","",IF(J664=1,"Limited",IF(J664=2,"Local",IF(J664=3,"Significant",IF(J664=4,"High","Critical")))))</x:f>
      </x:c>
      <x:c r="L664" s="16" t="str">
        <x:f>IF(A664="","",Events!U663)</x:f>
      </x:c>
      <x:c r="M664" s="16" t="str">
        <x:f>IF(A664="","",Events!V663)</x:f>
      </x:c>
      <x:c r="N664" s="16" t="str">
        <x:f>IF(A664="","",Events!Q663)</x:f>
      </x:c>
      <x:c r="O664" s="16" t="str">
        <x:f>IF(A664="","",Events!R663)</x:f>
      </x:c>
      <x:c r="P664" s="16" t="str">
        <x:f>IF(A664="","",LOWER(Events!B663&amp;" "&amp;Events!D663&amp;" "&amp;Events!K663))</x:f>
      </x:c>
      <x:c r="Q664" s="16" t="str">
        <x:f>IF(A664="","",LOWER(Events!C663&amp;" "&amp;Events!K663&amp;" "&amp;Events!T663))</x:f>
      </x:c>
      <x:c r="R664" s="16" t="str">
        <x:f>IF(A664="","",IF(ISNUMBER(SEARCH("Occurrence verified",E664)),"Occurrence verified",E664))</x:f>
      </x:c>
      <x:c r="S664" s="79" t="str">
        <x:f>IF(A664="","",Events!X663)</x:f>
      </x:c>
      <x:c r="Z664" s="79" t="str">
        <x:f>IF(A664="","",Events!AD663)</x:f>
      </x:c>
      <x:c r="AA664" s="79" t="str">
        <x:f>IF(A664="","",Events!AE663)</x:f>
      </x:c>
    </x:row>
    <x:row r="665">
      <x:c r="A665" s="16" t="str">
        <x:f>IF(Events!A664="","",Events!A664)</x:f>
      </x:c>
      <x:c r="B665" s="16" t="str">
        <x:f>IF(A665="","",Events!B664)</x:f>
      </x:c>
      <x:c r="C665" s="16" t="str">
        <x:f>IF(A665="","",Events!E664)</x:f>
      </x:c>
      <x:c r="D665" s="16" t="str">
        <x:f>IF(A665="","",Events!J664)</x:f>
      </x:c>
      <x:c r="E665" s="16" t="str">
        <x:f>IF(A665="","",Events!N664)</x:f>
      </x:c>
      <x:c r="F665" s="109" t="str">
        <x:f>IF(OR(A665="",Events!H664=""),"",Events!H664)</x:f>
      </x:c>
      <x:c r="G665" s="109" t="str">
        <x:f>IF(A665="","",IF(Events!I664&lt;&gt;"",Events!I664,IF(Events!S664&lt;&gt;"",Events!S664,"")))</x:f>
      </x:c>
      <x:c r="H665" s="16" t="str">
        <x:f>IF(A665="","",Events!W664)</x:f>
      </x:c>
      <x:c r="I665" s="16" t="str">
        <x:f>IF(A665="","",IF(Events!Y664&lt;&gt;"",Events!Y664,IF(OR(ISNUMBER(SEARCH("education",P665)),ISNUMBER(SEARCH("exam",P665)),ISNUMBER(SEARCH("school",P665))),"Education",IF(OR(ISNUMBER(SEARCH("trade agreement",P665)),ISNUMBER(SEARCH("economic",P665)),ISNUMBER(SEARCH("import",P665))),"Trade &amp; economic policy",IF(OR(ISNUMBER(SEARCH("land acquisition",P665)),ISNUMBER(SEARCH("rehabilitation",P665)),ISNUMBER(SEARCH("displacement",P665)),ISNUMBER(SEARCH("township",P665))),"Land &amp; rehabilitation",IF(OR(ISNUMBER(SEARCH("forest",P665)),ISNUMBER(SEARCH("environment",P665)),ISNUMBER(SEARCH("ecological",P665)),ISNUMBER(SEARCH("biodiversity",P665)),ISNUMBER(SEARCH("green cover",P665))),"Environment",IF(OR(ISNUMBER(SEARCH("irrigation",P665)),ISNUMBER(SEARCH("water",P665)),ISNUMBER(SEARCH("crop",P665)),ISNUMBER(SEARCH("farmer",P665)),ISNUMBER(SEARCH("agriculture",P665))),"Agriculture &amp; water",IF(OR(ISNUMBER(SEARCH("health",P665)),ISNUMBER(SEARCH("hospital",P665)),ISNUMBER(SEARCH("medicine",P665))),"Public health",IF(OR(ISNUMBER(SEARCH("employee",P665)),ISNUMBER(SEARCH("labour",P665)),ISNUMBER(SEARCH("worker",P665)),ISNUMBER(SEARCH("salary",P665))),"Labour &amp; employment",IF(OR(ISNUMBER(SEARCH("rti",P665)),ISNUMBER(SEARCH("transparency",P665)),ISNUMBER(SEARCH("corruption",P665)),ISNUMBER(SEARCH("governance",P665))),"Governance &amp; transparency",IF(OR(ISNUMBER(SEARCH("police",P665)),ISNUMBER(SEARCH("detention",P665)),ISNUMBER(SEARCH("civil rights",P665)),ISNUMBER(SEARCH("justice",P665))),"Civil rights &amp; justice",IF(OR(ISNUMBER(SEARCH("road",P665)),ISNUMBER(SEARCH("utility",P665)),ISNUMBER(SEARCH("infrastructure",P665)),ISNUMBER(SEARCH("public service",P665))),"Infrastructure &amp; public services","Other"))))))))))))</x:f>
      </x:c>
      <x:c r="J665" s="16" t="str">
        <x:f>IF(A665="","",IF(OR(ISNUMBER(SEARCH("fatal",Q665)),ISNUMBER(SEARCH("death",Q665)),ISNUMBER(SEARCH("riot",Q665)),ISNUMBER(SEARCH("curfew",Q665)),ISNUMBER(SEARCH("internet shutdown",Q665))),5,MIN(4,1+IF(H665&gt;=7,1,0)+IF(OR(ISNUMBER(SEARCH("hunger strike",Q665)),ISNUMBER(SEARCH("blockade",Q665)),ISNUMBER(SEARCH("strike",Q665)),ISNUMBER(SEARCH("jal satyagraha",Q665)),ISNUMBER(SEARCH("survey",Q665)),ISNUMBER(SEARCH("human chain",Q665)),ISNUMBER(SEARCH("march",Q665))),1,0)+IF(OR(ISNUMBER(SEARCH("fir",Q665)),ISNUMBER(SEARCH("confrontation",Q665)),ISNUMBER(SEARCH("violence",Q665)),ISNUMBER(SEARCH("detention",Q665)),ISNUMBER(SEARCH("arrest",Q665)),ISNUMBER(SEARCH("demolition",Q665)),ISNUMBER(SEARCH("injury",Q665))),1,0)+IF(OR(D665="Ongoing",D665="Unresolved"),1,0))))</x:f>
      </x:c>
      <x:c r="K665" s="16" t="str">
        <x:f>IF(J665="","",IF(J665=1,"Limited",IF(J665=2,"Local",IF(J665=3,"Significant",IF(J665=4,"High","Critical")))))</x:f>
      </x:c>
      <x:c r="L665" s="16" t="str">
        <x:f>IF(A665="","",Events!U664)</x:f>
      </x:c>
      <x:c r="M665" s="16" t="str">
        <x:f>IF(A665="","",Events!V664)</x:f>
      </x:c>
      <x:c r="N665" s="16" t="str">
        <x:f>IF(A665="","",Events!Q664)</x:f>
      </x:c>
      <x:c r="O665" s="16" t="str">
        <x:f>IF(A665="","",Events!R664)</x:f>
      </x:c>
      <x:c r="P665" s="16" t="str">
        <x:f>IF(A665="","",LOWER(Events!B664&amp;" "&amp;Events!D664&amp;" "&amp;Events!K664))</x:f>
      </x:c>
      <x:c r="Q665" s="16" t="str">
        <x:f>IF(A665="","",LOWER(Events!C664&amp;" "&amp;Events!K664&amp;" "&amp;Events!T664))</x:f>
      </x:c>
      <x:c r="R665" s="16" t="str">
        <x:f>IF(A665="","",IF(ISNUMBER(SEARCH("Occurrence verified",E665)),"Occurrence verified",E665))</x:f>
      </x:c>
      <x:c r="S665" s="79" t="str">
        <x:f>IF(A665="","",Events!X664)</x:f>
      </x:c>
      <x:c r="Z665" s="79" t="str">
        <x:f>IF(A665="","",Events!AD664)</x:f>
      </x:c>
      <x:c r="AA665" s="79" t="str">
        <x:f>IF(A665="","",Events!AE664)</x:f>
      </x:c>
    </x:row>
    <x:row r="666">
      <x:c r="A666" s="16" t="str">
        <x:f>IF(Events!A665="","",Events!A665)</x:f>
      </x:c>
      <x:c r="B666" s="16" t="str">
        <x:f>IF(A666="","",Events!B665)</x:f>
      </x:c>
      <x:c r="C666" s="16" t="str">
        <x:f>IF(A666="","",Events!E665)</x:f>
      </x:c>
      <x:c r="D666" s="16" t="str">
        <x:f>IF(A666="","",Events!J665)</x:f>
      </x:c>
      <x:c r="E666" s="16" t="str">
        <x:f>IF(A666="","",Events!N665)</x:f>
      </x:c>
      <x:c r="F666" s="109" t="str">
        <x:f>IF(OR(A666="",Events!H665=""),"",Events!H665)</x:f>
      </x:c>
      <x:c r="G666" s="109" t="str">
        <x:f>IF(A666="","",IF(Events!I665&lt;&gt;"",Events!I665,IF(Events!S665&lt;&gt;"",Events!S665,"")))</x:f>
      </x:c>
      <x:c r="H666" s="16" t="str">
        <x:f>IF(A666="","",Events!W665)</x:f>
      </x:c>
      <x:c r="I666" s="16" t="str">
        <x:f>IF(A666="","",IF(Events!Y665&lt;&gt;"",Events!Y665,IF(OR(ISNUMBER(SEARCH("education",P666)),ISNUMBER(SEARCH("exam",P666)),ISNUMBER(SEARCH("school",P666))),"Education",IF(OR(ISNUMBER(SEARCH("trade agreement",P666)),ISNUMBER(SEARCH("economic",P666)),ISNUMBER(SEARCH("import",P666))),"Trade &amp; economic policy",IF(OR(ISNUMBER(SEARCH("land acquisition",P666)),ISNUMBER(SEARCH("rehabilitation",P666)),ISNUMBER(SEARCH("displacement",P666)),ISNUMBER(SEARCH("township",P666))),"Land &amp; rehabilitation",IF(OR(ISNUMBER(SEARCH("forest",P666)),ISNUMBER(SEARCH("environment",P666)),ISNUMBER(SEARCH("ecological",P666)),ISNUMBER(SEARCH("biodiversity",P666)),ISNUMBER(SEARCH("green cover",P666))),"Environment",IF(OR(ISNUMBER(SEARCH("irrigation",P666)),ISNUMBER(SEARCH("water",P666)),ISNUMBER(SEARCH("crop",P666)),ISNUMBER(SEARCH("farmer",P666)),ISNUMBER(SEARCH("agriculture",P666))),"Agriculture &amp; water",IF(OR(ISNUMBER(SEARCH("health",P666)),ISNUMBER(SEARCH("hospital",P666)),ISNUMBER(SEARCH("medicine",P666))),"Public health",IF(OR(ISNUMBER(SEARCH("employee",P666)),ISNUMBER(SEARCH("labour",P666)),ISNUMBER(SEARCH("worker",P666)),ISNUMBER(SEARCH("salary",P666))),"Labour &amp; employment",IF(OR(ISNUMBER(SEARCH("rti",P666)),ISNUMBER(SEARCH("transparency",P666)),ISNUMBER(SEARCH("corruption",P666)),ISNUMBER(SEARCH("governance",P666))),"Governance &amp; transparency",IF(OR(ISNUMBER(SEARCH("police",P666)),ISNUMBER(SEARCH("detention",P666)),ISNUMBER(SEARCH("civil rights",P666)),ISNUMBER(SEARCH("justice",P666))),"Civil rights &amp; justice",IF(OR(ISNUMBER(SEARCH("road",P666)),ISNUMBER(SEARCH("utility",P666)),ISNUMBER(SEARCH("infrastructure",P666)),ISNUMBER(SEARCH("public service",P666))),"Infrastructure &amp; public services","Other"))))))))))))</x:f>
      </x:c>
      <x:c r="J666" s="16" t="str">
        <x:f>IF(A666="","",IF(OR(ISNUMBER(SEARCH("fatal",Q666)),ISNUMBER(SEARCH("death",Q666)),ISNUMBER(SEARCH("riot",Q666)),ISNUMBER(SEARCH("curfew",Q666)),ISNUMBER(SEARCH("internet shutdown",Q666))),5,MIN(4,1+IF(H666&gt;=7,1,0)+IF(OR(ISNUMBER(SEARCH("hunger strike",Q666)),ISNUMBER(SEARCH("blockade",Q666)),ISNUMBER(SEARCH("strike",Q666)),ISNUMBER(SEARCH("jal satyagraha",Q666)),ISNUMBER(SEARCH("survey",Q666)),ISNUMBER(SEARCH("human chain",Q666)),ISNUMBER(SEARCH("march",Q666))),1,0)+IF(OR(ISNUMBER(SEARCH("fir",Q666)),ISNUMBER(SEARCH("confrontation",Q666)),ISNUMBER(SEARCH("violence",Q666)),ISNUMBER(SEARCH("detention",Q666)),ISNUMBER(SEARCH("arrest",Q666)),ISNUMBER(SEARCH("demolition",Q666)),ISNUMBER(SEARCH("injury",Q666))),1,0)+IF(OR(D666="Ongoing",D666="Unresolved"),1,0))))</x:f>
      </x:c>
      <x:c r="K666" s="16" t="str">
        <x:f>IF(J666="","",IF(J666=1,"Limited",IF(J666=2,"Local",IF(J666=3,"Significant",IF(J666=4,"High","Critical")))))</x:f>
      </x:c>
      <x:c r="L666" s="16" t="str">
        <x:f>IF(A666="","",Events!U665)</x:f>
      </x:c>
      <x:c r="M666" s="16" t="str">
        <x:f>IF(A666="","",Events!V665)</x:f>
      </x:c>
      <x:c r="N666" s="16" t="str">
        <x:f>IF(A666="","",Events!Q665)</x:f>
      </x:c>
      <x:c r="O666" s="16" t="str">
        <x:f>IF(A666="","",Events!R665)</x:f>
      </x:c>
      <x:c r="P666" s="16" t="str">
        <x:f>IF(A666="","",LOWER(Events!B665&amp;" "&amp;Events!D665&amp;" "&amp;Events!K665))</x:f>
      </x:c>
      <x:c r="Q666" s="16" t="str">
        <x:f>IF(A666="","",LOWER(Events!C665&amp;" "&amp;Events!K665&amp;" "&amp;Events!T665))</x:f>
      </x:c>
      <x:c r="R666" s="16" t="str">
        <x:f>IF(A666="","",IF(ISNUMBER(SEARCH("Occurrence verified",E666)),"Occurrence verified",E666))</x:f>
      </x:c>
      <x:c r="S666" s="79" t="str">
        <x:f>IF(A666="","",Events!X665)</x:f>
      </x:c>
      <x:c r="Z666" s="79" t="str">
        <x:f>IF(A666="","",Events!AD665)</x:f>
      </x:c>
      <x:c r="AA666" s="79" t="str">
        <x:f>IF(A666="","",Events!AE665)</x:f>
      </x:c>
    </x:row>
    <x:row r="667">
      <x:c r="A667" s="16" t="str">
        <x:f>IF(Events!A666="","",Events!A666)</x:f>
      </x:c>
      <x:c r="B667" s="16" t="str">
        <x:f>IF(A667="","",Events!B666)</x:f>
      </x:c>
      <x:c r="C667" s="16" t="str">
        <x:f>IF(A667="","",Events!E666)</x:f>
      </x:c>
      <x:c r="D667" s="16" t="str">
        <x:f>IF(A667="","",Events!J666)</x:f>
      </x:c>
      <x:c r="E667" s="16" t="str">
        <x:f>IF(A667="","",Events!N666)</x:f>
      </x:c>
      <x:c r="F667" s="109" t="str">
        <x:f>IF(OR(A667="",Events!H666=""),"",Events!H666)</x:f>
      </x:c>
      <x:c r="G667" s="109" t="str">
        <x:f>IF(A667="","",IF(Events!I666&lt;&gt;"",Events!I666,IF(Events!S666&lt;&gt;"",Events!S666,"")))</x:f>
      </x:c>
      <x:c r="H667" s="16" t="str">
        <x:f>IF(A667="","",Events!W666)</x:f>
      </x:c>
      <x:c r="I667" s="16" t="str">
        <x:f>IF(A667="","",IF(Events!Y666&lt;&gt;"",Events!Y666,IF(OR(ISNUMBER(SEARCH("education",P667)),ISNUMBER(SEARCH("exam",P667)),ISNUMBER(SEARCH("school",P667))),"Education",IF(OR(ISNUMBER(SEARCH("trade agreement",P667)),ISNUMBER(SEARCH("economic",P667)),ISNUMBER(SEARCH("import",P667))),"Trade &amp; economic policy",IF(OR(ISNUMBER(SEARCH("land acquisition",P667)),ISNUMBER(SEARCH("rehabilitation",P667)),ISNUMBER(SEARCH("displacement",P667)),ISNUMBER(SEARCH("township",P667))),"Land &amp; rehabilitation",IF(OR(ISNUMBER(SEARCH("forest",P667)),ISNUMBER(SEARCH("environment",P667)),ISNUMBER(SEARCH("ecological",P667)),ISNUMBER(SEARCH("biodiversity",P667)),ISNUMBER(SEARCH("green cover",P667))),"Environment",IF(OR(ISNUMBER(SEARCH("irrigation",P667)),ISNUMBER(SEARCH("water",P667)),ISNUMBER(SEARCH("crop",P667)),ISNUMBER(SEARCH("farmer",P667)),ISNUMBER(SEARCH("agriculture",P667))),"Agriculture &amp; water",IF(OR(ISNUMBER(SEARCH("health",P667)),ISNUMBER(SEARCH("hospital",P667)),ISNUMBER(SEARCH("medicine",P667))),"Public health",IF(OR(ISNUMBER(SEARCH("employee",P667)),ISNUMBER(SEARCH("labour",P667)),ISNUMBER(SEARCH("worker",P667)),ISNUMBER(SEARCH("salary",P667))),"Labour &amp; employment",IF(OR(ISNUMBER(SEARCH("rti",P667)),ISNUMBER(SEARCH("transparency",P667)),ISNUMBER(SEARCH("corruption",P667)),ISNUMBER(SEARCH("governance",P667))),"Governance &amp; transparency",IF(OR(ISNUMBER(SEARCH("police",P667)),ISNUMBER(SEARCH("detention",P667)),ISNUMBER(SEARCH("civil rights",P667)),ISNUMBER(SEARCH("justice",P667))),"Civil rights &amp; justice",IF(OR(ISNUMBER(SEARCH("road",P667)),ISNUMBER(SEARCH("utility",P667)),ISNUMBER(SEARCH("infrastructure",P667)),ISNUMBER(SEARCH("public service",P667))),"Infrastructure &amp; public services","Other"))))))))))))</x:f>
      </x:c>
      <x:c r="J667" s="16" t="str">
        <x:f>IF(A667="","",IF(OR(ISNUMBER(SEARCH("fatal",Q667)),ISNUMBER(SEARCH("death",Q667)),ISNUMBER(SEARCH("riot",Q667)),ISNUMBER(SEARCH("curfew",Q667)),ISNUMBER(SEARCH("internet shutdown",Q667))),5,MIN(4,1+IF(H667&gt;=7,1,0)+IF(OR(ISNUMBER(SEARCH("hunger strike",Q667)),ISNUMBER(SEARCH("blockade",Q667)),ISNUMBER(SEARCH("strike",Q667)),ISNUMBER(SEARCH("jal satyagraha",Q667)),ISNUMBER(SEARCH("survey",Q667)),ISNUMBER(SEARCH("human chain",Q667)),ISNUMBER(SEARCH("march",Q667))),1,0)+IF(OR(ISNUMBER(SEARCH("fir",Q667)),ISNUMBER(SEARCH("confrontation",Q667)),ISNUMBER(SEARCH("violence",Q667)),ISNUMBER(SEARCH("detention",Q667)),ISNUMBER(SEARCH("arrest",Q667)),ISNUMBER(SEARCH("demolition",Q667)),ISNUMBER(SEARCH("injury",Q667))),1,0)+IF(OR(D667="Ongoing",D667="Unresolved"),1,0))))</x:f>
      </x:c>
      <x:c r="K667" s="16" t="str">
        <x:f>IF(J667="","",IF(J667=1,"Limited",IF(J667=2,"Local",IF(J667=3,"Significant",IF(J667=4,"High","Critical")))))</x:f>
      </x:c>
      <x:c r="L667" s="16" t="str">
        <x:f>IF(A667="","",Events!U666)</x:f>
      </x:c>
      <x:c r="M667" s="16" t="str">
        <x:f>IF(A667="","",Events!V666)</x:f>
      </x:c>
      <x:c r="N667" s="16" t="str">
        <x:f>IF(A667="","",Events!Q666)</x:f>
      </x:c>
      <x:c r="O667" s="16" t="str">
        <x:f>IF(A667="","",Events!R666)</x:f>
      </x:c>
      <x:c r="P667" s="16" t="str">
        <x:f>IF(A667="","",LOWER(Events!B666&amp;" "&amp;Events!D666&amp;" "&amp;Events!K666))</x:f>
      </x:c>
      <x:c r="Q667" s="16" t="str">
        <x:f>IF(A667="","",LOWER(Events!C666&amp;" "&amp;Events!K666&amp;" "&amp;Events!T666))</x:f>
      </x:c>
      <x:c r="R667" s="16" t="str">
        <x:f>IF(A667="","",IF(ISNUMBER(SEARCH("Occurrence verified",E667)),"Occurrence verified",E667))</x:f>
      </x:c>
      <x:c r="S667" s="79" t="str">
        <x:f>IF(A667="","",Events!X666)</x:f>
      </x:c>
      <x:c r="Z667" s="79" t="str">
        <x:f>IF(A667="","",Events!AD666)</x:f>
      </x:c>
      <x:c r="AA667" s="79" t="str">
        <x:f>IF(A667="","",Events!AE666)</x:f>
      </x:c>
    </x:row>
    <x:row r="668">
      <x:c r="A668" s="16" t="str">
        <x:f>IF(Events!A667="","",Events!A667)</x:f>
      </x:c>
      <x:c r="B668" s="16" t="str">
        <x:f>IF(A668="","",Events!B667)</x:f>
      </x:c>
      <x:c r="C668" s="16" t="str">
        <x:f>IF(A668="","",Events!E667)</x:f>
      </x:c>
      <x:c r="D668" s="16" t="str">
        <x:f>IF(A668="","",Events!J667)</x:f>
      </x:c>
      <x:c r="E668" s="16" t="str">
        <x:f>IF(A668="","",Events!N667)</x:f>
      </x:c>
      <x:c r="F668" s="109" t="str">
        <x:f>IF(OR(A668="",Events!H667=""),"",Events!H667)</x:f>
      </x:c>
      <x:c r="G668" s="109" t="str">
        <x:f>IF(A668="","",IF(Events!I667&lt;&gt;"",Events!I667,IF(Events!S667&lt;&gt;"",Events!S667,"")))</x:f>
      </x:c>
      <x:c r="H668" s="16" t="str">
        <x:f>IF(A668="","",Events!W667)</x:f>
      </x:c>
      <x:c r="I668" s="16" t="str">
        <x:f>IF(A668="","",IF(Events!Y667&lt;&gt;"",Events!Y667,IF(OR(ISNUMBER(SEARCH("education",P668)),ISNUMBER(SEARCH("exam",P668)),ISNUMBER(SEARCH("school",P668))),"Education",IF(OR(ISNUMBER(SEARCH("trade agreement",P668)),ISNUMBER(SEARCH("economic",P668)),ISNUMBER(SEARCH("import",P668))),"Trade &amp; economic policy",IF(OR(ISNUMBER(SEARCH("land acquisition",P668)),ISNUMBER(SEARCH("rehabilitation",P668)),ISNUMBER(SEARCH("displacement",P668)),ISNUMBER(SEARCH("township",P668))),"Land &amp; rehabilitation",IF(OR(ISNUMBER(SEARCH("forest",P668)),ISNUMBER(SEARCH("environment",P668)),ISNUMBER(SEARCH("ecological",P668)),ISNUMBER(SEARCH("biodiversity",P668)),ISNUMBER(SEARCH("green cover",P668))),"Environment",IF(OR(ISNUMBER(SEARCH("irrigation",P668)),ISNUMBER(SEARCH("water",P668)),ISNUMBER(SEARCH("crop",P668)),ISNUMBER(SEARCH("farmer",P668)),ISNUMBER(SEARCH("agriculture",P668))),"Agriculture &amp; water",IF(OR(ISNUMBER(SEARCH("health",P668)),ISNUMBER(SEARCH("hospital",P668)),ISNUMBER(SEARCH("medicine",P668))),"Public health",IF(OR(ISNUMBER(SEARCH("employee",P668)),ISNUMBER(SEARCH("labour",P668)),ISNUMBER(SEARCH("worker",P668)),ISNUMBER(SEARCH("salary",P668))),"Labour &amp; employment",IF(OR(ISNUMBER(SEARCH("rti",P668)),ISNUMBER(SEARCH("transparency",P668)),ISNUMBER(SEARCH("corruption",P668)),ISNUMBER(SEARCH("governance",P668))),"Governance &amp; transparency",IF(OR(ISNUMBER(SEARCH("police",P668)),ISNUMBER(SEARCH("detention",P668)),ISNUMBER(SEARCH("civil rights",P668)),ISNUMBER(SEARCH("justice",P668))),"Civil rights &amp; justice",IF(OR(ISNUMBER(SEARCH("road",P668)),ISNUMBER(SEARCH("utility",P668)),ISNUMBER(SEARCH("infrastructure",P668)),ISNUMBER(SEARCH("public service",P668))),"Infrastructure &amp; public services","Other"))))))))))))</x:f>
      </x:c>
      <x:c r="J668" s="16" t="str">
        <x:f>IF(A668="","",IF(OR(ISNUMBER(SEARCH("fatal",Q668)),ISNUMBER(SEARCH("death",Q668)),ISNUMBER(SEARCH("riot",Q668)),ISNUMBER(SEARCH("curfew",Q668)),ISNUMBER(SEARCH("internet shutdown",Q668))),5,MIN(4,1+IF(H668&gt;=7,1,0)+IF(OR(ISNUMBER(SEARCH("hunger strike",Q668)),ISNUMBER(SEARCH("blockade",Q668)),ISNUMBER(SEARCH("strike",Q668)),ISNUMBER(SEARCH("jal satyagraha",Q668)),ISNUMBER(SEARCH("survey",Q668)),ISNUMBER(SEARCH("human chain",Q668)),ISNUMBER(SEARCH("march",Q668))),1,0)+IF(OR(ISNUMBER(SEARCH("fir",Q668)),ISNUMBER(SEARCH("confrontation",Q668)),ISNUMBER(SEARCH("violence",Q668)),ISNUMBER(SEARCH("detention",Q668)),ISNUMBER(SEARCH("arrest",Q668)),ISNUMBER(SEARCH("demolition",Q668)),ISNUMBER(SEARCH("injury",Q668))),1,0)+IF(OR(D668="Ongoing",D668="Unresolved"),1,0))))</x:f>
      </x:c>
      <x:c r="K668" s="16" t="str">
        <x:f>IF(J668="","",IF(J668=1,"Limited",IF(J668=2,"Local",IF(J668=3,"Significant",IF(J668=4,"High","Critical")))))</x:f>
      </x:c>
      <x:c r="L668" s="16" t="str">
        <x:f>IF(A668="","",Events!U667)</x:f>
      </x:c>
      <x:c r="M668" s="16" t="str">
        <x:f>IF(A668="","",Events!V667)</x:f>
      </x:c>
      <x:c r="N668" s="16" t="str">
        <x:f>IF(A668="","",Events!Q667)</x:f>
      </x:c>
      <x:c r="O668" s="16" t="str">
        <x:f>IF(A668="","",Events!R667)</x:f>
      </x:c>
      <x:c r="P668" s="16" t="str">
        <x:f>IF(A668="","",LOWER(Events!B667&amp;" "&amp;Events!D667&amp;" "&amp;Events!K667))</x:f>
      </x:c>
      <x:c r="Q668" s="16" t="str">
        <x:f>IF(A668="","",LOWER(Events!C667&amp;" "&amp;Events!K667&amp;" "&amp;Events!T667))</x:f>
      </x:c>
      <x:c r="R668" s="16" t="str">
        <x:f>IF(A668="","",IF(ISNUMBER(SEARCH("Occurrence verified",E668)),"Occurrence verified",E668))</x:f>
      </x:c>
      <x:c r="S668" s="79" t="str">
        <x:f>IF(A668="","",Events!X667)</x:f>
      </x:c>
      <x:c r="Z668" s="79" t="str">
        <x:f>IF(A668="","",Events!AD667)</x:f>
      </x:c>
      <x:c r="AA668" s="79" t="str">
        <x:f>IF(A668="","",Events!AE667)</x:f>
      </x:c>
    </x:row>
    <x:row r="669">
      <x:c r="A669" s="16" t="str">
        <x:f>IF(Events!A668="","",Events!A668)</x:f>
      </x:c>
      <x:c r="B669" s="16" t="str">
        <x:f>IF(A669="","",Events!B668)</x:f>
      </x:c>
      <x:c r="C669" s="16" t="str">
        <x:f>IF(A669="","",Events!E668)</x:f>
      </x:c>
      <x:c r="D669" s="16" t="str">
        <x:f>IF(A669="","",Events!J668)</x:f>
      </x:c>
      <x:c r="E669" s="16" t="str">
        <x:f>IF(A669="","",Events!N668)</x:f>
      </x:c>
      <x:c r="F669" s="109" t="str">
        <x:f>IF(OR(A669="",Events!H668=""),"",Events!H668)</x:f>
      </x:c>
      <x:c r="G669" s="109" t="str">
        <x:f>IF(A669="","",IF(Events!I668&lt;&gt;"",Events!I668,IF(Events!S668&lt;&gt;"",Events!S668,"")))</x:f>
      </x:c>
      <x:c r="H669" s="16" t="str">
        <x:f>IF(A669="","",Events!W668)</x:f>
      </x:c>
      <x:c r="I669" s="16" t="str">
        <x:f>IF(A669="","",IF(Events!Y668&lt;&gt;"",Events!Y668,IF(OR(ISNUMBER(SEARCH("education",P669)),ISNUMBER(SEARCH("exam",P669)),ISNUMBER(SEARCH("school",P669))),"Education",IF(OR(ISNUMBER(SEARCH("trade agreement",P669)),ISNUMBER(SEARCH("economic",P669)),ISNUMBER(SEARCH("import",P669))),"Trade &amp; economic policy",IF(OR(ISNUMBER(SEARCH("land acquisition",P669)),ISNUMBER(SEARCH("rehabilitation",P669)),ISNUMBER(SEARCH("displacement",P669)),ISNUMBER(SEARCH("township",P669))),"Land &amp; rehabilitation",IF(OR(ISNUMBER(SEARCH("forest",P669)),ISNUMBER(SEARCH("environment",P669)),ISNUMBER(SEARCH("ecological",P669)),ISNUMBER(SEARCH("biodiversity",P669)),ISNUMBER(SEARCH("green cover",P669))),"Environment",IF(OR(ISNUMBER(SEARCH("irrigation",P669)),ISNUMBER(SEARCH("water",P669)),ISNUMBER(SEARCH("crop",P669)),ISNUMBER(SEARCH("farmer",P669)),ISNUMBER(SEARCH("agriculture",P669))),"Agriculture &amp; water",IF(OR(ISNUMBER(SEARCH("health",P669)),ISNUMBER(SEARCH("hospital",P669)),ISNUMBER(SEARCH("medicine",P669))),"Public health",IF(OR(ISNUMBER(SEARCH("employee",P669)),ISNUMBER(SEARCH("labour",P669)),ISNUMBER(SEARCH("worker",P669)),ISNUMBER(SEARCH("salary",P669))),"Labour &amp; employment",IF(OR(ISNUMBER(SEARCH("rti",P669)),ISNUMBER(SEARCH("transparency",P669)),ISNUMBER(SEARCH("corruption",P669)),ISNUMBER(SEARCH("governance",P669))),"Governance &amp; transparency",IF(OR(ISNUMBER(SEARCH("police",P669)),ISNUMBER(SEARCH("detention",P669)),ISNUMBER(SEARCH("civil rights",P669)),ISNUMBER(SEARCH("justice",P669))),"Civil rights &amp; justice",IF(OR(ISNUMBER(SEARCH("road",P669)),ISNUMBER(SEARCH("utility",P669)),ISNUMBER(SEARCH("infrastructure",P669)),ISNUMBER(SEARCH("public service",P669))),"Infrastructure &amp; public services","Other"))))))))))))</x:f>
      </x:c>
      <x:c r="J669" s="16" t="str">
        <x:f>IF(A669="","",IF(OR(ISNUMBER(SEARCH("fatal",Q669)),ISNUMBER(SEARCH("death",Q669)),ISNUMBER(SEARCH("riot",Q669)),ISNUMBER(SEARCH("curfew",Q669)),ISNUMBER(SEARCH("internet shutdown",Q669))),5,MIN(4,1+IF(H669&gt;=7,1,0)+IF(OR(ISNUMBER(SEARCH("hunger strike",Q669)),ISNUMBER(SEARCH("blockade",Q669)),ISNUMBER(SEARCH("strike",Q669)),ISNUMBER(SEARCH("jal satyagraha",Q669)),ISNUMBER(SEARCH("survey",Q669)),ISNUMBER(SEARCH("human chain",Q669)),ISNUMBER(SEARCH("march",Q669))),1,0)+IF(OR(ISNUMBER(SEARCH("fir",Q669)),ISNUMBER(SEARCH("confrontation",Q669)),ISNUMBER(SEARCH("violence",Q669)),ISNUMBER(SEARCH("detention",Q669)),ISNUMBER(SEARCH("arrest",Q669)),ISNUMBER(SEARCH("demolition",Q669)),ISNUMBER(SEARCH("injury",Q669))),1,0)+IF(OR(D669="Ongoing",D669="Unresolved"),1,0))))</x:f>
      </x:c>
      <x:c r="K669" s="16" t="str">
        <x:f>IF(J669="","",IF(J669=1,"Limited",IF(J669=2,"Local",IF(J669=3,"Significant",IF(J669=4,"High","Critical")))))</x:f>
      </x:c>
      <x:c r="L669" s="16" t="str">
        <x:f>IF(A669="","",Events!U668)</x:f>
      </x:c>
      <x:c r="M669" s="16" t="str">
        <x:f>IF(A669="","",Events!V668)</x:f>
      </x:c>
      <x:c r="N669" s="16" t="str">
        <x:f>IF(A669="","",Events!Q668)</x:f>
      </x:c>
      <x:c r="O669" s="16" t="str">
        <x:f>IF(A669="","",Events!R668)</x:f>
      </x:c>
      <x:c r="P669" s="16" t="str">
        <x:f>IF(A669="","",LOWER(Events!B668&amp;" "&amp;Events!D668&amp;" "&amp;Events!K668))</x:f>
      </x:c>
      <x:c r="Q669" s="16" t="str">
        <x:f>IF(A669="","",LOWER(Events!C668&amp;" "&amp;Events!K668&amp;" "&amp;Events!T668))</x:f>
      </x:c>
      <x:c r="R669" s="16" t="str">
        <x:f>IF(A669="","",IF(ISNUMBER(SEARCH("Occurrence verified",E669)),"Occurrence verified",E669))</x:f>
      </x:c>
      <x:c r="S669" s="79" t="str">
        <x:f>IF(A669="","",Events!X668)</x:f>
      </x:c>
      <x:c r="Z669" s="79" t="str">
        <x:f>IF(A669="","",Events!AD668)</x:f>
      </x:c>
      <x:c r="AA669" s="79" t="str">
        <x:f>IF(A669="","",Events!AE668)</x:f>
      </x:c>
    </x:row>
    <x:row r="670">
      <x:c r="A670" s="16" t="str">
        <x:f>IF(Events!A669="","",Events!A669)</x:f>
      </x:c>
      <x:c r="B670" s="16" t="str">
        <x:f>IF(A670="","",Events!B669)</x:f>
      </x:c>
      <x:c r="C670" s="16" t="str">
        <x:f>IF(A670="","",Events!E669)</x:f>
      </x:c>
      <x:c r="D670" s="16" t="str">
        <x:f>IF(A670="","",Events!J669)</x:f>
      </x:c>
      <x:c r="E670" s="16" t="str">
        <x:f>IF(A670="","",Events!N669)</x:f>
      </x:c>
      <x:c r="F670" s="109" t="str">
        <x:f>IF(OR(A670="",Events!H669=""),"",Events!H669)</x:f>
      </x:c>
      <x:c r="G670" s="109" t="str">
        <x:f>IF(A670="","",IF(Events!I669&lt;&gt;"",Events!I669,IF(Events!S669&lt;&gt;"",Events!S669,"")))</x:f>
      </x:c>
      <x:c r="H670" s="16" t="str">
        <x:f>IF(A670="","",Events!W669)</x:f>
      </x:c>
      <x:c r="I670" s="16" t="str">
        <x:f>IF(A670="","",IF(Events!Y669&lt;&gt;"",Events!Y669,IF(OR(ISNUMBER(SEARCH("education",P670)),ISNUMBER(SEARCH("exam",P670)),ISNUMBER(SEARCH("school",P670))),"Education",IF(OR(ISNUMBER(SEARCH("trade agreement",P670)),ISNUMBER(SEARCH("economic",P670)),ISNUMBER(SEARCH("import",P670))),"Trade &amp; economic policy",IF(OR(ISNUMBER(SEARCH("land acquisition",P670)),ISNUMBER(SEARCH("rehabilitation",P670)),ISNUMBER(SEARCH("displacement",P670)),ISNUMBER(SEARCH("township",P670))),"Land &amp; rehabilitation",IF(OR(ISNUMBER(SEARCH("forest",P670)),ISNUMBER(SEARCH("environment",P670)),ISNUMBER(SEARCH("ecological",P670)),ISNUMBER(SEARCH("biodiversity",P670)),ISNUMBER(SEARCH("green cover",P670))),"Environment",IF(OR(ISNUMBER(SEARCH("irrigation",P670)),ISNUMBER(SEARCH("water",P670)),ISNUMBER(SEARCH("crop",P670)),ISNUMBER(SEARCH("farmer",P670)),ISNUMBER(SEARCH("agriculture",P670))),"Agriculture &amp; water",IF(OR(ISNUMBER(SEARCH("health",P670)),ISNUMBER(SEARCH("hospital",P670)),ISNUMBER(SEARCH("medicine",P670))),"Public health",IF(OR(ISNUMBER(SEARCH("employee",P670)),ISNUMBER(SEARCH("labour",P670)),ISNUMBER(SEARCH("worker",P670)),ISNUMBER(SEARCH("salary",P670))),"Labour &amp; employment",IF(OR(ISNUMBER(SEARCH("rti",P670)),ISNUMBER(SEARCH("transparency",P670)),ISNUMBER(SEARCH("corruption",P670)),ISNUMBER(SEARCH("governance",P670))),"Governance &amp; transparency",IF(OR(ISNUMBER(SEARCH("police",P670)),ISNUMBER(SEARCH("detention",P670)),ISNUMBER(SEARCH("civil rights",P670)),ISNUMBER(SEARCH("justice",P670))),"Civil rights &amp; justice",IF(OR(ISNUMBER(SEARCH("road",P670)),ISNUMBER(SEARCH("utility",P670)),ISNUMBER(SEARCH("infrastructure",P670)),ISNUMBER(SEARCH("public service",P670))),"Infrastructure &amp; public services","Other"))))))))))))</x:f>
      </x:c>
      <x:c r="J670" s="16" t="str">
        <x:f>IF(A670="","",IF(OR(ISNUMBER(SEARCH("fatal",Q670)),ISNUMBER(SEARCH("death",Q670)),ISNUMBER(SEARCH("riot",Q670)),ISNUMBER(SEARCH("curfew",Q670)),ISNUMBER(SEARCH("internet shutdown",Q670))),5,MIN(4,1+IF(H670&gt;=7,1,0)+IF(OR(ISNUMBER(SEARCH("hunger strike",Q670)),ISNUMBER(SEARCH("blockade",Q670)),ISNUMBER(SEARCH("strike",Q670)),ISNUMBER(SEARCH("jal satyagraha",Q670)),ISNUMBER(SEARCH("survey",Q670)),ISNUMBER(SEARCH("human chain",Q670)),ISNUMBER(SEARCH("march",Q670))),1,0)+IF(OR(ISNUMBER(SEARCH("fir",Q670)),ISNUMBER(SEARCH("confrontation",Q670)),ISNUMBER(SEARCH("violence",Q670)),ISNUMBER(SEARCH("detention",Q670)),ISNUMBER(SEARCH("arrest",Q670)),ISNUMBER(SEARCH("demolition",Q670)),ISNUMBER(SEARCH("injury",Q670))),1,0)+IF(OR(D670="Ongoing",D670="Unresolved"),1,0))))</x:f>
      </x:c>
      <x:c r="K670" s="16" t="str">
        <x:f>IF(J670="","",IF(J670=1,"Limited",IF(J670=2,"Local",IF(J670=3,"Significant",IF(J670=4,"High","Critical")))))</x:f>
      </x:c>
      <x:c r="L670" s="16" t="str">
        <x:f>IF(A670="","",Events!U669)</x:f>
      </x:c>
      <x:c r="M670" s="16" t="str">
        <x:f>IF(A670="","",Events!V669)</x:f>
      </x:c>
      <x:c r="N670" s="16" t="str">
        <x:f>IF(A670="","",Events!Q669)</x:f>
      </x:c>
      <x:c r="O670" s="16" t="str">
        <x:f>IF(A670="","",Events!R669)</x:f>
      </x:c>
      <x:c r="P670" s="16" t="str">
        <x:f>IF(A670="","",LOWER(Events!B669&amp;" "&amp;Events!D669&amp;" "&amp;Events!K669))</x:f>
      </x:c>
      <x:c r="Q670" s="16" t="str">
        <x:f>IF(A670="","",LOWER(Events!C669&amp;" "&amp;Events!K669&amp;" "&amp;Events!T669))</x:f>
      </x:c>
      <x:c r="R670" s="16" t="str">
        <x:f>IF(A670="","",IF(ISNUMBER(SEARCH("Occurrence verified",E670)),"Occurrence verified",E670))</x:f>
      </x:c>
      <x:c r="S670" s="79" t="str">
        <x:f>IF(A670="","",Events!X669)</x:f>
      </x:c>
      <x:c r="Z670" s="79" t="str">
        <x:f>IF(A670="","",Events!AD669)</x:f>
      </x:c>
      <x:c r="AA670" s="79" t="str">
        <x:f>IF(A670="","",Events!AE669)</x:f>
      </x:c>
    </x:row>
    <x:row r="671">
      <x:c r="A671" s="16" t="str">
        <x:f>IF(Events!A670="","",Events!A670)</x:f>
      </x:c>
      <x:c r="B671" s="16" t="str">
        <x:f>IF(A671="","",Events!B670)</x:f>
      </x:c>
      <x:c r="C671" s="16" t="str">
        <x:f>IF(A671="","",Events!E670)</x:f>
      </x:c>
      <x:c r="D671" s="16" t="str">
        <x:f>IF(A671="","",Events!J670)</x:f>
      </x:c>
      <x:c r="E671" s="16" t="str">
        <x:f>IF(A671="","",Events!N670)</x:f>
      </x:c>
      <x:c r="F671" s="109" t="str">
        <x:f>IF(OR(A671="",Events!H670=""),"",Events!H670)</x:f>
      </x:c>
      <x:c r="G671" s="109" t="str">
        <x:f>IF(A671="","",IF(Events!I670&lt;&gt;"",Events!I670,IF(Events!S670&lt;&gt;"",Events!S670,"")))</x:f>
      </x:c>
      <x:c r="H671" s="16" t="str">
        <x:f>IF(A671="","",Events!W670)</x:f>
      </x:c>
      <x:c r="I671" s="16" t="str">
        <x:f>IF(A671="","",IF(Events!Y670&lt;&gt;"",Events!Y670,IF(OR(ISNUMBER(SEARCH("education",P671)),ISNUMBER(SEARCH("exam",P671)),ISNUMBER(SEARCH("school",P671))),"Education",IF(OR(ISNUMBER(SEARCH("trade agreement",P671)),ISNUMBER(SEARCH("economic",P671)),ISNUMBER(SEARCH("import",P671))),"Trade &amp; economic policy",IF(OR(ISNUMBER(SEARCH("land acquisition",P671)),ISNUMBER(SEARCH("rehabilitation",P671)),ISNUMBER(SEARCH("displacement",P671)),ISNUMBER(SEARCH("township",P671))),"Land &amp; rehabilitation",IF(OR(ISNUMBER(SEARCH("forest",P671)),ISNUMBER(SEARCH("environment",P671)),ISNUMBER(SEARCH("ecological",P671)),ISNUMBER(SEARCH("biodiversity",P671)),ISNUMBER(SEARCH("green cover",P671))),"Environment",IF(OR(ISNUMBER(SEARCH("irrigation",P671)),ISNUMBER(SEARCH("water",P671)),ISNUMBER(SEARCH("crop",P671)),ISNUMBER(SEARCH("farmer",P671)),ISNUMBER(SEARCH("agriculture",P671))),"Agriculture &amp; water",IF(OR(ISNUMBER(SEARCH("health",P671)),ISNUMBER(SEARCH("hospital",P671)),ISNUMBER(SEARCH("medicine",P671))),"Public health",IF(OR(ISNUMBER(SEARCH("employee",P671)),ISNUMBER(SEARCH("labour",P671)),ISNUMBER(SEARCH("worker",P671)),ISNUMBER(SEARCH("salary",P671))),"Labour &amp; employment",IF(OR(ISNUMBER(SEARCH("rti",P671)),ISNUMBER(SEARCH("transparency",P671)),ISNUMBER(SEARCH("corruption",P671)),ISNUMBER(SEARCH("governance",P671))),"Governance &amp; transparency",IF(OR(ISNUMBER(SEARCH("police",P671)),ISNUMBER(SEARCH("detention",P671)),ISNUMBER(SEARCH("civil rights",P671)),ISNUMBER(SEARCH("justice",P671))),"Civil rights &amp; justice",IF(OR(ISNUMBER(SEARCH("road",P671)),ISNUMBER(SEARCH("utility",P671)),ISNUMBER(SEARCH("infrastructure",P671)),ISNUMBER(SEARCH("public service",P671))),"Infrastructure &amp; public services","Other"))))))))))))</x:f>
      </x:c>
      <x:c r="J671" s="16" t="str">
        <x:f>IF(A671="","",IF(OR(ISNUMBER(SEARCH("fatal",Q671)),ISNUMBER(SEARCH("death",Q671)),ISNUMBER(SEARCH("riot",Q671)),ISNUMBER(SEARCH("curfew",Q671)),ISNUMBER(SEARCH("internet shutdown",Q671))),5,MIN(4,1+IF(H671&gt;=7,1,0)+IF(OR(ISNUMBER(SEARCH("hunger strike",Q671)),ISNUMBER(SEARCH("blockade",Q671)),ISNUMBER(SEARCH("strike",Q671)),ISNUMBER(SEARCH("jal satyagraha",Q671)),ISNUMBER(SEARCH("survey",Q671)),ISNUMBER(SEARCH("human chain",Q671)),ISNUMBER(SEARCH("march",Q671))),1,0)+IF(OR(ISNUMBER(SEARCH("fir",Q671)),ISNUMBER(SEARCH("confrontation",Q671)),ISNUMBER(SEARCH("violence",Q671)),ISNUMBER(SEARCH("detention",Q671)),ISNUMBER(SEARCH("arrest",Q671)),ISNUMBER(SEARCH("demolition",Q671)),ISNUMBER(SEARCH("injury",Q671))),1,0)+IF(OR(D671="Ongoing",D671="Unresolved"),1,0))))</x:f>
      </x:c>
      <x:c r="K671" s="16" t="str">
        <x:f>IF(J671="","",IF(J671=1,"Limited",IF(J671=2,"Local",IF(J671=3,"Significant",IF(J671=4,"High","Critical")))))</x:f>
      </x:c>
      <x:c r="L671" s="16" t="str">
        <x:f>IF(A671="","",Events!U670)</x:f>
      </x:c>
      <x:c r="M671" s="16" t="str">
        <x:f>IF(A671="","",Events!V670)</x:f>
      </x:c>
      <x:c r="N671" s="16" t="str">
        <x:f>IF(A671="","",Events!Q670)</x:f>
      </x:c>
      <x:c r="O671" s="16" t="str">
        <x:f>IF(A671="","",Events!R670)</x:f>
      </x:c>
      <x:c r="P671" s="16" t="str">
        <x:f>IF(A671="","",LOWER(Events!B670&amp;" "&amp;Events!D670&amp;" "&amp;Events!K670))</x:f>
      </x:c>
      <x:c r="Q671" s="16" t="str">
        <x:f>IF(A671="","",LOWER(Events!C670&amp;" "&amp;Events!K670&amp;" "&amp;Events!T670))</x:f>
      </x:c>
      <x:c r="R671" s="16" t="str">
        <x:f>IF(A671="","",IF(ISNUMBER(SEARCH("Occurrence verified",E671)),"Occurrence verified",E671))</x:f>
      </x:c>
      <x:c r="S671" s="79" t="str">
        <x:f>IF(A671="","",Events!X670)</x:f>
      </x:c>
      <x:c r="Z671" s="79" t="str">
        <x:f>IF(A671="","",Events!AD670)</x:f>
      </x:c>
      <x:c r="AA671" s="79" t="str">
        <x:f>IF(A671="","",Events!AE670)</x:f>
      </x:c>
    </x:row>
    <x:row r="672">
      <x:c r="A672" s="16" t="str">
        <x:f>IF(Events!A671="","",Events!A671)</x:f>
      </x:c>
      <x:c r="B672" s="16" t="str">
        <x:f>IF(A672="","",Events!B671)</x:f>
      </x:c>
      <x:c r="C672" s="16" t="str">
        <x:f>IF(A672="","",Events!E671)</x:f>
      </x:c>
      <x:c r="D672" s="16" t="str">
        <x:f>IF(A672="","",Events!J671)</x:f>
      </x:c>
      <x:c r="E672" s="16" t="str">
        <x:f>IF(A672="","",Events!N671)</x:f>
      </x:c>
      <x:c r="F672" s="109" t="str">
        <x:f>IF(OR(A672="",Events!H671=""),"",Events!H671)</x:f>
      </x:c>
      <x:c r="G672" s="109" t="str">
        <x:f>IF(A672="","",IF(Events!I671&lt;&gt;"",Events!I671,IF(Events!S671&lt;&gt;"",Events!S671,"")))</x:f>
      </x:c>
      <x:c r="H672" s="16" t="str">
        <x:f>IF(A672="","",Events!W671)</x:f>
      </x:c>
      <x:c r="I672" s="16" t="str">
        <x:f>IF(A672="","",IF(Events!Y671&lt;&gt;"",Events!Y671,IF(OR(ISNUMBER(SEARCH("education",P672)),ISNUMBER(SEARCH("exam",P672)),ISNUMBER(SEARCH("school",P672))),"Education",IF(OR(ISNUMBER(SEARCH("trade agreement",P672)),ISNUMBER(SEARCH("economic",P672)),ISNUMBER(SEARCH("import",P672))),"Trade &amp; economic policy",IF(OR(ISNUMBER(SEARCH("land acquisition",P672)),ISNUMBER(SEARCH("rehabilitation",P672)),ISNUMBER(SEARCH("displacement",P672)),ISNUMBER(SEARCH("township",P672))),"Land &amp; rehabilitation",IF(OR(ISNUMBER(SEARCH("forest",P672)),ISNUMBER(SEARCH("environment",P672)),ISNUMBER(SEARCH("ecological",P672)),ISNUMBER(SEARCH("biodiversity",P672)),ISNUMBER(SEARCH("green cover",P672))),"Environment",IF(OR(ISNUMBER(SEARCH("irrigation",P672)),ISNUMBER(SEARCH("water",P672)),ISNUMBER(SEARCH("crop",P672)),ISNUMBER(SEARCH("farmer",P672)),ISNUMBER(SEARCH("agriculture",P672))),"Agriculture &amp; water",IF(OR(ISNUMBER(SEARCH("health",P672)),ISNUMBER(SEARCH("hospital",P672)),ISNUMBER(SEARCH("medicine",P672))),"Public health",IF(OR(ISNUMBER(SEARCH("employee",P672)),ISNUMBER(SEARCH("labour",P672)),ISNUMBER(SEARCH("worker",P672)),ISNUMBER(SEARCH("salary",P672))),"Labour &amp; employment",IF(OR(ISNUMBER(SEARCH("rti",P672)),ISNUMBER(SEARCH("transparency",P672)),ISNUMBER(SEARCH("corruption",P672)),ISNUMBER(SEARCH("governance",P672))),"Governance &amp; transparency",IF(OR(ISNUMBER(SEARCH("police",P672)),ISNUMBER(SEARCH("detention",P672)),ISNUMBER(SEARCH("civil rights",P672)),ISNUMBER(SEARCH("justice",P672))),"Civil rights &amp; justice",IF(OR(ISNUMBER(SEARCH("road",P672)),ISNUMBER(SEARCH("utility",P672)),ISNUMBER(SEARCH("infrastructure",P672)),ISNUMBER(SEARCH("public service",P672))),"Infrastructure &amp; public services","Other"))))))))))))</x:f>
      </x:c>
      <x:c r="J672" s="16" t="str">
        <x:f>IF(A672="","",IF(OR(ISNUMBER(SEARCH("fatal",Q672)),ISNUMBER(SEARCH("death",Q672)),ISNUMBER(SEARCH("riot",Q672)),ISNUMBER(SEARCH("curfew",Q672)),ISNUMBER(SEARCH("internet shutdown",Q672))),5,MIN(4,1+IF(H672&gt;=7,1,0)+IF(OR(ISNUMBER(SEARCH("hunger strike",Q672)),ISNUMBER(SEARCH("blockade",Q672)),ISNUMBER(SEARCH("strike",Q672)),ISNUMBER(SEARCH("jal satyagraha",Q672)),ISNUMBER(SEARCH("survey",Q672)),ISNUMBER(SEARCH("human chain",Q672)),ISNUMBER(SEARCH("march",Q672))),1,0)+IF(OR(ISNUMBER(SEARCH("fir",Q672)),ISNUMBER(SEARCH("confrontation",Q672)),ISNUMBER(SEARCH("violence",Q672)),ISNUMBER(SEARCH("detention",Q672)),ISNUMBER(SEARCH("arrest",Q672)),ISNUMBER(SEARCH("demolition",Q672)),ISNUMBER(SEARCH("injury",Q672))),1,0)+IF(OR(D672="Ongoing",D672="Unresolved"),1,0))))</x:f>
      </x:c>
      <x:c r="K672" s="16" t="str">
        <x:f>IF(J672="","",IF(J672=1,"Limited",IF(J672=2,"Local",IF(J672=3,"Significant",IF(J672=4,"High","Critical")))))</x:f>
      </x:c>
      <x:c r="L672" s="16" t="str">
        <x:f>IF(A672="","",Events!U671)</x:f>
      </x:c>
      <x:c r="M672" s="16" t="str">
        <x:f>IF(A672="","",Events!V671)</x:f>
      </x:c>
      <x:c r="N672" s="16" t="str">
        <x:f>IF(A672="","",Events!Q671)</x:f>
      </x:c>
      <x:c r="O672" s="16" t="str">
        <x:f>IF(A672="","",Events!R671)</x:f>
      </x:c>
      <x:c r="P672" s="16" t="str">
        <x:f>IF(A672="","",LOWER(Events!B671&amp;" "&amp;Events!D671&amp;" "&amp;Events!K671))</x:f>
      </x:c>
      <x:c r="Q672" s="16" t="str">
        <x:f>IF(A672="","",LOWER(Events!C671&amp;" "&amp;Events!K671&amp;" "&amp;Events!T671))</x:f>
      </x:c>
      <x:c r="R672" s="16" t="str">
        <x:f>IF(A672="","",IF(ISNUMBER(SEARCH("Occurrence verified",E672)),"Occurrence verified",E672))</x:f>
      </x:c>
      <x:c r="S672" s="79" t="str">
        <x:f>IF(A672="","",Events!X671)</x:f>
      </x:c>
      <x:c r="Z672" s="79" t="str">
        <x:f>IF(A672="","",Events!AD671)</x:f>
      </x:c>
      <x:c r="AA672" s="79" t="str">
        <x:f>IF(A672="","",Events!AE671)</x:f>
      </x:c>
    </x:row>
    <x:row r="673">
      <x:c r="A673" s="16" t="str">
        <x:f>IF(Events!A672="","",Events!A672)</x:f>
      </x:c>
      <x:c r="B673" s="16" t="str">
        <x:f>IF(A673="","",Events!B672)</x:f>
      </x:c>
      <x:c r="C673" s="16" t="str">
        <x:f>IF(A673="","",Events!E672)</x:f>
      </x:c>
      <x:c r="D673" s="16" t="str">
        <x:f>IF(A673="","",Events!J672)</x:f>
      </x:c>
      <x:c r="E673" s="16" t="str">
        <x:f>IF(A673="","",Events!N672)</x:f>
      </x:c>
      <x:c r="F673" s="109" t="str">
        <x:f>IF(OR(A673="",Events!H672=""),"",Events!H672)</x:f>
      </x:c>
      <x:c r="G673" s="109" t="str">
        <x:f>IF(A673="","",IF(Events!I672&lt;&gt;"",Events!I672,IF(Events!S672&lt;&gt;"",Events!S672,"")))</x:f>
      </x:c>
      <x:c r="H673" s="16" t="str">
        <x:f>IF(A673="","",Events!W672)</x:f>
      </x:c>
      <x:c r="I673" s="16" t="str">
        <x:f>IF(A673="","",IF(Events!Y672&lt;&gt;"",Events!Y672,IF(OR(ISNUMBER(SEARCH("education",P673)),ISNUMBER(SEARCH("exam",P673)),ISNUMBER(SEARCH("school",P673))),"Education",IF(OR(ISNUMBER(SEARCH("trade agreement",P673)),ISNUMBER(SEARCH("economic",P673)),ISNUMBER(SEARCH("import",P673))),"Trade &amp; economic policy",IF(OR(ISNUMBER(SEARCH("land acquisition",P673)),ISNUMBER(SEARCH("rehabilitation",P673)),ISNUMBER(SEARCH("displacement",P673)),ISNUMBER(SEARCH("township",P673))),"Land &amp; rehabilitation",IF(OR(ISNUMBER(SEARCH("forest",P673)),ISNUMBER(SEARCH("environment",P673)),ISNUMBER(SEARCH("ecological",P673)),ISNUMBER(SEARCH("biodiversity",P673)),ISNUMBER(SEARCH("green cover",P673))),"Environment",IF(OR(ISNUMBER(SEARCH("irrigation",P673)),ISNUMBER(SEARCH("water",P673)),ISNUMBER(SEARCH("crop",P673)),ISNUMBER(SEARCH("farmer",P673)),ISNUMBER(SEARCH("agriculture",P673))),"Agriculture &amp; water",IF(OR(ISNUMBER(SEARCH("health",P673)),ISNUMBER(SEARCH("hospital",P673)),ISNUMBER(SEARCH("medicine",P673))),"Public health",IF(OR(ISNUMBER(SEARCH("employee",P673)),ISNUMBER(SEARCH("labour",P673)),ISNUMBER(SEARCH("worker",P673)),ISNUMBER(SEARCH("salary",P673))),"Labour &amp; employment",IF(OR(ISNUMBER(SEARCH("rti",P673)),ISNUMBER(SEARCH("transparency",P673)),ISNUMBER(SEARCH("corruption",P673)),ISNUMBER(SEARCH("governance",P673))),"Governance &amp; transparency",IF(OR(ISNUMBER(SEARCH("police",P673)),ISNUMBER(SEARCH("detention",P673)),ISNUMBER(SEARCH("civil rights",P673)),ISNUMBER(SEARCH("justice",P673))),"Civil rights &amp; justice",IF(OR(ISNUMBER(SEARCH("road",P673)),ISNUMBER(SEARCH("utility",P673)),ISNUMBER(SEARCH("infrastructure",P673)),ISNUMBER(SEARCH("public service",P673))),"Infrastructure &amp; public services","Other"))))))))))))</x:f>
      </x:c>
      <x:c r="J673" s="16" t="str">
        <x:f>IF(A673="","",IF(OR(ISNUMBER(SEARCH("fatal",Q673)),ISNUMBER(SEARCH("death",Q673)),ISNUMBER(SEARCH("riot",Q673)),ISNUMBER(SEARCH("curfew",Q673)),ISNUMBER(SEARCH("internet shutdown",Q673))),5,MIN(4,1+IF(H673&gt;=7,1,0)+IF(OR(ISNUMBER(SEARCH("hunger strike",Q673)),ISNUMBER(SEARCH("blockade",Q673)),ISNUMBER(SEARCH("strike",Q673)),ISNUMBER(SEARCH("jal satyagraha",Q673)),ISNUMBER(SEARCH("survey",Q673)),ISNUMBER(SEARCH("human chain",Q673)),ISNUMBER(SEARCH("march",Q673))),1,0)+IF(OR(ISNUMBER(SEARCH("fir",Q673)),ISNUMBER(SEARCH("confrontation",Q673)),ISNUMBER(SEARCH("violence",Q673)),ISNUMBER(SEARCH("detention",Q673)),ISNUMBER(SEARCH("arrest",Q673)),ISNUMBER(SEARCH("demolition",Q673)),ISNUMBER(SEARCH("injury",Q673))),1,0)+IF(OR(D673="Ongoing",D673="Unresolved"),1,0))))</x:f>
      </x:c>
      <x:c r="K673" s="16" t="str">
        <x:f>IF(J673="","",IF(J673=1,"Limited",IF(J673=2,"Local",IF(J673=3,"Significant",IF(J673=4,"High","Critical")))))</x:f>
      </x:c>
      <x:c r="L673" s="16" t="str">
        <x:f>IF(A673="","",Events!U672)</x:f>
      </x:c>
      <x:c r="M673" s="16" t="str">
        <x:f>IF(A673="","",Events!V672)</x:f>
      </x:c>
      <x:c r="N673" s="16" t="str">
        <x:f>IF(A673="","",Events!Q672)</x:f>
      </x:c>
      <x:c r="O673" s="16" t="str">
        <x:f>IF(A673="","",Events!R672)</x:f>
      </x:c>
      <x:c r="P673" s="16" t="str">
        <x:f>IF(A673="","",LOWER(Events!B672&amp;" "&amp;Events!D672&amp;" "&amp;Events!K672))</x:f>
      </x:c>
      <x:c r="Q673" s="16" t="str">
        <x:f>IF(A673="","",LOWER(Events!C672&amp;" "&amp;Events!K672&amp;" "&amp;Events!T672))</x:f>
      </x:c>
      <x:c r="R673" s="16" t="str">
        <x:f>IF(A673="","",IF(ISNUMBER(SEARCH("Occurrence verified",E673)),"Occurrence verified",E673))</x:f>
      </x:c>
      <x:c r="S673" s="79" t="str">
        <x:f>IF(A673="","",Events!X672)</x:f>
      </x:c>
      <x:c r="Z673" s="79" t="str">
        <x:f>IF(A673="","",Events!AD672)</x:f>
      </x:c>
      <x:c r="AA673" s="79" t="str">
        <x:f>IF(A673="","",Events!AE672)</x:f>
      </x:c>
    </x:row>
    <x:row r="674">
      <x:c r="A674" s="16" t="str">
        <x:f>IF(Events!A673="","",Events!A673)</x:f>
      </x:c>
      <x:c r="B674" s="16" t="str">
        <x:f>IF(A674="","",Events!B673)</x:f>
      </x:c>
      <x:c r="C674" s="16" t="str">
        <x:f>IF(A674="","",Events!E673)</x:f>
      </x:c>
      <x:c r="D674" s="16" t="str">
        <x:f>IF(A674="","",Events!J673)</x:f>
      </x:c>
      <x:c r="E674" s="16" t="str">
        <x:f>IF(A674="","",Events!N673)</x:f>
      </x:c>
      <x:c r="F674" s="109" t="str">
        <x:f>IF(OR(A674="",Events!H673=""),"",Events!H673)</x:f>
      </x:c>
      <x:c r="G674" s="109" t="str">
        <x:f>IF(A674="","",IF(Events!I673&lt;&gt;"",Events!I673,IF(Events!S673&lt;&gt;"",Events!S673,"")))</x:f>
      </x:c>
      <x:c r="H674" s="16" t="str">
        <x:f>IF(A674="","",Events!W673)</x:f>
      </x:c>
      <x:c r="I674" s="16" t="str">
        <x:f>IF(A674="","",IF(Events!Y673&lt;&gt;"",Events!Y673,IF(OR(ISNUMBER(SEARCH("education",P674)),ISNUMBER(SEARCH("exam",P674)),ISNUMBER(SEARCH("school",P674))),"Education",IF(OR(ISNUMBER(SEARCH("trade agreement",P674)),ISNUMBER(SEARCH("economic",P674)),ISNUMBER(SEARCH("import",P674))),"Trade &amp; economic policy",IF(OR(ISNUMBER(SEARCH("land acquisition",P674)),ISNUMBER(SEARCH("rehabilitation",P674)),ISNUMBER(SEARCH("displacement",P674)),ISNUMBER(SEARCH("township",P674))),"Land &amp; rehabilitation",IF(OR(ISNUMBER(SEARCH("forest",P674)),ISNUMBER(SEARCH("environment",P674)),ISNUMBER(SEARCH("ecological",P674)),ISNUMBER(SEARCH("biodiversity",P674)),ISNUMBER(SEARCH("green cover",P674))),"Environment",IF(OR(ISNUMBER(SEARCH("irrigation",P674)),ISNUMBER(SEARCH("water",P674)),ISNUMBER(SEARCH("crop",P674)),ISNUMBER(SEARCH("farmer",P674)),ISNUMBER(SEARCH("agriculture",P674))),"Agriculture &amp; water",IF(OR(ISNUMBER(SEARCH("health",P674)),ISNUMBER(SEARCH("hospital",P674)),ISNUMBER(SEARCH("medicine",P674))),"Public health",IF(OR(ISNUMBER(SEARCH("employee",P674)),ISNUMBER(SEARCH("labour",P674)),ISNUMBER(SEARCH("worker",P674)),ISNUMBER(SEARCH("salary",P674))),"Labour &amp; employment",IF(OR(ISNUMBER(SEARCH("rti",P674)),ISNUMBER(SEARCH("transparency",P674)),ISNUMBER(SEARCH("corruption",P674)),ISNUMBER(SEARCH("governance",P674))),"Governance &amp; transparency",IF(OR(ISNUMBER(SEARCH("police",P674)),ISNUMBER(SEARCH("detention",P674)),ISNUMBER(SEARCH("civil rights",P674)),ISNUMBER(SEARCH("justice",P674))),"Civil rights &amp; justice",IF(OR(ISNUMBER(SEARCH("road",P674)),ISNUMBER(SEARCH("utility",P674)),ISNUMBER(SEARCH("infrastructure",P674)),ISNUMBER(SEARCH("public service",P674))),"Infrastructure &amp; public services","Other"))))))))))))</x:f>
      </x:c>
      <x:c r="J674" s="16" t="str">
        <x:f>IF(A674="","",IF(OR(ISNUMBER(SEARCH("fatal",Q674)),ISNUMBER(SEARCH("death",Q674)),ISNUMBER(SEARCH("riot",Q674)),ISNUMBER(SEARCH("curfew",Q674)),ISNUMBER(SEARCH("internet shutdown",Q674))),5,MIN(4,1+IF(H674&gt;=7,1,0)+IF(OR(ISNUMBER(SEARCH("hunger strike",Q674)),ISNUMBER(SEARCH("blockade",Q674)),ISNUMBER(SEARCH("strike",Q674)),ISNUMBER(SEARCH("jal satyagraha",Q674)),ISNUMBER(SEARCH("survey",Q674)),ISNUMBER(SEARCH("human chain",Q674)),ISNUMBER(SEARCH("march",Q674))),1,0)+IF(OR(ISNUMBER(SEARCH("fir",Q674)),ISNUMBER(SEARCH("confrontation",Q674)),ISNUMBER(SEARCH("violence",Q674)),ISNUMBER(SEARCH("detention",Q674)),ISNUMBER(SEARCH("arrest",Q674)),ISNUMBER(SEARCH("demolition",Q674)),ISNUMBER(SEARCH("injury",Q674))),1,0)+IF(OR(D674="Ongoing",D674="Unresolved"),1,0))))</x:f>
      </x:c>
      <x:c r="K674" s="16" t="str">
        <x:f>IF(J674="","",IF(J674=1,"Limited",IF(J674=2,"Local",IF(J674=3,"Significant",IF(J674=4,"High","Critical")))))</x:f>
      </x:c>
      <x:c r="L674" s="16" t="str">
        <x:f>IF(A674="","",Events!U673)</x:f>
      </x:c>
      <x:c r="M674" s="16" t="str">
        <x:f>IF(A674="","",Events!V673)</x:f>
      </x:c>
      <x:c r="N674" s="16" t="str">
        <x:f>IF(A674="","",Events!Q673)</x:f>
      </x:c>
      <x:c r="O674" s="16" t="str">
        <x:f>IF(A674="","",Events!R673)</x:f>
      </x:c>
      <x:c r="P674" s="16" t="str">
        <x:f>IF(A674="","",LOWER(Events!B673&amp;" "&amp;Events!D673&amp;" "&amp;Events!K673))</x:f>
      </x:c>
      <x:c r="Q674" s="16" t="str">
        <x:f>IF(A674="","",LOWER(Events!C673&amp;" "&amp;Events!K673&amp;" "&amp;Events!T673))</x:f>
      </x:c>
      <x:c r="R674" s="16" t="str">
        <x:f>IF(A674="","",IF(ISNUMBER(SEARCH("Occurrence verified",E674)),"Occurrence verified",E674))</x:f>
      </x:c>
      <x:c r="S674" s="79" t="str">
        <x:f>IF(A674="","",Events!X673)</x:f>
      </x:c>
      <x:c r="Z674" s="79" t="str">
        <x:f>IF(A674="","",Events!AD673)</x:f>
      </x:c>
      <x:c r="AA674" s="79" t="str">
        <x:f>IF(A674="","",Events!AE673)</x:f>
      </x:c>
    </x:row>
    <x:row r="675">
      <x:c r="A675" s="16" t="str">
        <x:f>IF(Events!A674="","",Events!A674)</x:f>
      </x:c>
      <x:c r="B675" s="16" t="str">
        <x:f>IF(A675="","",Events!B674)</x:f>
      </x:c>
      <x:c r="C675" s="16" t="str">
        <x:f>IF(A675="","",Events!E674)</x:f>
      </x:c>
      <x:c r="D675" s="16" t="str">
        <x:f>IF(A675="","",Events!J674)</x:f>
      </x:c>
      <x:c r="E675" s="16" t="str">
        <x:f>IF(A675="","",Events!N674)</x:f>
      </x:c>
      <x:c r="F675" s="109" t="str">
        <x:f>IF(OR(A675="",Events!H674=""),"",Events!H674)</x:f>
      </x:c>
      <x:c r="G675" s="109" t="str">
        <x:f>IF(A675="","",IF(Events!I674&lt;&gt;"",Events!I674,IF(Events!S674&lt;&gt;"",Events!S674,"")))</x:f>
      </x:c>
      <x:c r="H675" s="16" t="str">
        <x:f>IF(A675="","",Events!W674)</x:f>
      </x:c>
      <x:c r="I675" s="16" t="str">
        <x:f>IF(A675="","",IF(Events!Y674&lt;&gt;"",Events!Y674,IF(OR(ISNUMBER(SEARCH("education",P675)),ISNUMBER(SEARCH("exam",P675)),ISNUMBER(SEARCH("school",P675))),"Education",IF(OR(ISNUMBER(SEARCH("trade agreement",P675)),ISNUMBER(SEARCH("economic",P675)),ISNUMBER(SEARCH("import",P675))),"Trade &amp; economic policy",IF(OR(ISNUMBER(SEARCH("land acquisition",P675)),ISNUMBER(SEARCH("rehabilitation",P675)),ISNUMBER(SEARCH("displacement",P675)),ISNUMBER(SEARCH("township",P675))),"Land &amp; rehabilitation",IF(OR(ISNUMBER(SEARCH("forest",P675)),ISNUMBER(SEARCH("environment",P675)),ISNUMBER(SEARCH("ecological",P675)),ISNUMBER(SEARCH("biodiversity",P675)),ISNUMBER(SEARCH("green cover",P675))),"Environment",IF(OR(ISNUMBER(SEARCH("irrigation",P675)),ISNUMBER(SEARCH("water",P675)),ISNUMBER(SEARCH("crop",P675)),ISNUMBER(SEARCH("farmer",P675)),ISNUMBER(SEARCH("agriculture",P675))),"Agriculture &amp; water",IF(OR(ISNUMBER(SEARCH("health",P675)),ISNUMBER(SEARCH("hospital",P675)),ISNUMBER(SEARCH("medicine",P675))),"Public health",IF(OR(ISNUMBER(SEARCH("employee",P675)),ISNUMBER(SEARCH("labour",P675)),ISNUMBER(SEARCH("worker",P675)),ISNUMBER(SEARCH("salary",P675))),"Labour &amp; employment",IF(OR(ISNUMBER(SEARCH("rti",P675)),ISNUMBER(SEARCH("transparency",P675)),ISNUMBER(SEARCH("corruption",P675)),ISNUMBER(SEARCH("governance",P675))),"Governance &amp; transparency",IF(OR(ISNUMBER(SEARCH("police",P675)),ISNUMBER(SEARCH("detention",P675)),ISNUMBER(SEARCH("civil rights",P675)),ISNUMBER(SEARCH("justice",P675))),"Civil rights &amp; justice",IF(OR(ISNUMBER(SEARCH("road",P675)),ISNUMBER(SEARCH("utility",P675)),ISNUMBER(SEARCH("infrastructure",P675)),ISNUMBER(SEARCH("public service",P675))),"Infrastructure &amp; public services","Other"))))))))))))</x:f>
      </x:c>
      <x:c r="J675" s="16" t="str">
        <x:f>IF(A675="","",IF(OR(ISNUMBER(SEARCH("fatal",Q675)),ISNUMBER(SEARCH("death",Q675)),ISNUMBER(SEARCH("riot",Q675)),ISNUMBER(SEARCH("curfew",Q675)),ISNUMBER(SEARCH("internet shutdown",Q675))),5,MIN(4,1+IF(H675&gt;=7,1,0)+IF(OR(ISNUMBER(SEARCH("hunger strike",Q675)),ISNUMBER(SEARCH("blockade",Q675)),ISNUMBER(SEARCH("strike",Q675)),ISNUMBER(SEARCH("jal satyagraha",Q675)),ISNUMBER(SEARCH("survey",Q675)),ISNUMBER(SEARCH("human chain",Q675)),ISNUMBER(SEARCH("march",Q675))),1,0)+IF(OR(ISNUMBER(SEARCH("fir",Q675)),ISNUMBER(SEARCH("confrontation",Q675)),ISNUMBER(SEARCH("violence",Q675)),ISNUMBER(SEARCH("detention",Q675)),ISNUMBER(SEARCH("arrest",Q675)),ISNUMBER(SEARCH("demolition",Q675)),ISNUMBER(SEARCH("injury",Q675))),1,0)+IF(OR(D675="Ongoing",D675="Unresolved"),1,0))))</x:f>
      </x:c>
      <x:c r="K675" s="16" t="str">
        <x:f>IF(J675="","",IF(J675=1,"Limited",IF(J675=2,"Local",IF(J675=3,"Significant",IF(J675=4,"High","Critical")))))</x:f>
      </x:c>
      <x:c r="L675" s="16" t="str">
        <x:f>IF(A675="","",Events!U674)</x:f>
      </x:c>
      <x:c r="M675" s="16" t="str">
        <x:f>IF(A675="","",Events!V674)</x:f>
      </x:c>
      <x:c r="N675" s="16" t="str">
        <x:f>IF(A675="","",Events!Q674)</x:f>
      </x:c>
      <x:c r="O675" s="16" t="str">
        <x:f>IF(A675="","",Events!R674)</x:f>
      </x:c>
      <x:c r="P675" s="16" t="str">
        <x:f>IF(A675="","",LOWER(Events!B674&amp;" "&amp;Events!D674&amp;" "&amp;Events!K674))</x:f>
      </x:c>
      <x:c r="Q675" s="16" t="str">
        <x:f>IF(A675="","",LOWER(Events!C674&amp;" "&amp;Events!K674&amp;" "&amp;Events!T674))</x:f>
      </x:c>
      <x:c r="R675" s="16" t="str">
        <x:f>IF(A675="","",IF(ISNUMBER(SEARCH("Occurrence verified",E675)),"Occurrence verified",E675))</x:f>
      </x:c>
      <x:c r="S675" s="79" t="str">
        <x:f>IF(A675="","",Events!X674)</x:f>
      </x:c>
      <x:c r="Z675" s="79" t="str">
        <x:f>IF(A675="","",Events!AD674)</x:f>
      </x:c>
      <x:c r="AA675" s="79" t="str">
        <x:f>IF(A675="","",Events!AE674)</x:f>
      </x:c>
    </x:row>
    <x:row r="676">
      <x:c r="A676" s="16" t="str">
        <x:f>IF(Events!A675="","",Events!A675)</x:f>
      </x:c>
      <x:c r="B676" s="16" t="str">
        <x:f>IF(A676="","",Events!B675)</x:f>
      </x:c>
      <x:c r="C676" s="16" t="str">
        <x:f>IF(A676="","",Events!E675)</x:f>
      </x:c>
      <x:c r="D676" s="16" t="str">
        <x:f>IF(A676="","",Events!J675)</x:f>
      </x:c>
      <x:c r="E676" s="16" t="str">
        <x:f>IF(A676="","",Events!N675)</x:f>
      </x:c>
      <x:c r="F676" s="109" t="str">
        <x:f>IF(OR(A676="",Events!H675=""),"",Events!H675)</x:f>
      </x:c>
      <x:c r="G676" s="109" t="str">
        <x:f>IF(A676="","",IF(Events!I675&lt;&gt;"",Events!I675,IF(Events!S675&lt;&gt;"",Events!S675,"")))</x:f>
      </x:c>
      <x:c r="H676" s="16" t="str">
        <x:f>IF(A676="","",Events!W675)</x:f>
      </x:c>
      <x:c r="I676" s="16" t="str">
        <x:f>IF(A676="","",IF(Events!Y675&lt;&gt;"",Events!Y675,IF(OR(ISNUMBER(SEARCH("education",P676)),ISNUMBER(SEARCH("exam",P676)),ISNUMBER(SEARCH("school",P676))),"Education",IF(OR(ISNUMBER(SEARCH("trade agreement",P676)),ISNUMBER(SEARCH("economic",P676)),ISNUMBER(SEARCH("import",P676))),"Trade &amp; economic policy",IF(OR(ISNUMBER(SEARCH("land acquisition",P676)),ISNUMBER(SEARCH("rehabilitation",P676)),ISNUMBER(SEARCH("displacement",P676)),ISNUMBER(SEARCH("township",P676))),"Land &amp; rehabilitation",IF(OR(ISNUMBER(SEARCH("forest",P676)),ISNUMBER(SEARCH("environment",P676)),ISNUMBER(SEARCH("ecological",P676)),ISNUMBER(SEARCH("biodiversity",P676)),ISNUMBER(SEARCH("green cover",P676))),"Environment",IF(OR(ISNUMBER(SEARCH("irrigation",P676)),ISNUMBER(SEARCH("water",P676)),ISNUMBER(SEARCH("crop",P676)),ISNUMBER(SEARCH("farmer",P676)),ISNUMBER(SEARCH("agriculture",P676))),"Agriculture &amp; water",IF(OR(ISNUMBER(SEARCH("health",P676)),ISNUMBER(SEARCH("hospital",P676)),ISNUMBER(SEARCH("medicine",P676))),"Public health",IF(OR(ISNUMBER(SEARCH("employee",P676)),ISNUMBER(SEARCH("labour",P676)),ISNUMBER(SEARCH("worker",P676)),ISNUMBER(SEARCH("salary",P676))),"Labour &amp; employment",IF(OR(ISNUMBER(SEARCH("rti",P676)),ISNUMBER(SEARCH("transparency",P676)),ISNUMBER(SEARCH("corruption",P676)),ISNUMBER(SEARCH("governance",P676))),"Governance &amp; transparency",IF(OR(ISNUMBER(SEARCH("police",P676)),ISNUMBER(SEARCH("detention",P676)),ISNUMBER(SEARCH("civil rights",P676)),ISNUMBER(SEARCH("justice",P676))),"Civil rights &amp; justice",IF(OR(ISNUMBER(SEARCH("road",P676)),ISNUMBER(SEARCH("utility",P676)),ISNUMBER(SEARCH("infrastructure",P676)),ISNUMBER(SEARCH("public service",P676))),"Infrastructure &amp; public services","Other"))))))))))))</x:f>
      </x:c>
      <x:c r="J676" s="16" t="str">
        <x:f>IF(A676="","",IF(OR(ISNUMBER(SEARCH("fatal",Q676)),ISNUMBER(SEARCH("death",Q676)),ISNUMBER(SEARCH("riot",Q676)),ISNUMBER(SEARCH("curfew",Q676)),ISNUMBER(SEARCH("internet shutdown",Q676))),5,MIN(4,1+IF(H676&gt;=7,1,0)+IF(OR(ISNUMBER(SEARCH("hunger strike",Q676)),ISNUMBER(SEARCH("blockade",Q676)),ISNUMBER(SEARCH("strike",Q676)),ISNUMBER(SEARCH("jal satyagraha",Q676)),ISNUMBER(SEARCH("survey",Q676)),ISNUMBER(SEARCH("human chain",Q676)),ISNUMBER(SEARCH("march",Q676))),1,0)+IF(OR(ISNUMBER(SEARCH("fir",Q676)),ISNUMBER(SEARCH("confrontation",Q676)),ISNUMBER(SEARCH("violence",Q676)),ISNUMBER(SEARCH("detention",Q676)),ISNUMBER(SEARCH("arrest",Q676)),ISNUMBER(SEARCH("demolition",Q676)),ISNUMBER(SEARCH("injury",Q676))),1,0)+IF(OR(D676="Ongoing",D676="Unresolved"),1,0))))</x:f>
      </x:c>
      <x:c r="K676" s="16" t="str">
        <x:f>IF(J676="","",IF(J676=1,"Limited",IF(J676=2,"Local",IF(J676=3,"Significant",IF(J676=4,"High","Critical")))))</x:f>
      </x:c>
      <x:c r="L676" s="16" t="str">
        <x:f>IF(A676="","",Events!U675)</x:f>
      </x:c>
      <x:c r="M676" s="16" t="str">
        <x:f>IF(A676="","",Events!V675)</x:f>
      </x:c>
      <x:c r="N676" s="16" t="str">
        <x:f>IF(A676="","",Events!Q675)</x:f>
      </x:c>
      <x:c r="O676" s="16" t="str">
        <x:f>IF(A676="","",Events!R675)</x:f>
      </x:c>
      <x:c r="P676" s="16" t="str">
        <x:f>IF(A676="","",LOWER(Events!B675&amp;" "&amp;Events!D675&amp;" "&amp;Events!K675))</x:f>
      </x:c>
      <x:c r="Q676" s="16" t="str">
        <x:f>IF(A676="","",LOWER(Events!C675&amp;" "&amp;Events!K675&amp;" "&amp;Events!T675))</x:f>
      </x:c>
      <x:c r="R676" s="16" t="str">
        <x:f>IF(A676="","",IF(ISNUMBER(SEARCH("Occurrence verified",E676)),"Occurrence verified",E676))</x:f>
      </x:c>
      <x:c r="S676" s="79" t="str">
        <x:f>IF(A676="","",Events!X675)</x:f>
      </x:c>
      <x:c r="Z676" s="79" t="str">
        <x:f>IF(A676="","",Events!AD675)</x:f>
      </x:c>
      <x:c r="AA676" s="79" t="str">
        <x:f>IF(A676="","",Events!AE675)</x:f>
      </x:c>
    </x:row>
    <x:row r="677">
      <x:c r="A677" s="16" t="str">
        <x:f>IF(Events!A676="","",Events!A676)</x:f>
      </x:c>
      <x:c r="B677" s="16" t="str">
        <x:f>IF(A677="","",Events!B676)</x:f>
      </x:c>
      <x:c r="C677" s="16" t="str">
        <x:f>IF(A677="","",Events!E676)</x:f>
      </x:c>
      <x:c r="D677" s="16" t="str">
        <x:f>IF(A677="","",Events!J676)</x:f>
      </x:c>
      <x:c r="E677" s="16" t="str">
        <x:f>IF(A677="","",Events!N676)</x:f>
      </x:c>
      <x:c r="F677" s="109" t="str">
        <x:f>IF(OR(A677="",Events!H676=""),"",Events!H676)</x:f>
      </x:c>
      <x:c r="G677" s="109" t="str">
        <x:f>IF(A677="","",IF(Events!I676&lt;&gt;"",Events!I676,IF(Events!S676&lt;&gt;"",Events!S676,"")))</x:f>
      </x:c>
      <x:c r="H677" s="16" t="str">
        <x:f>IF(A677="","",Events!W676)</x:f>
      </x:c>
      <x:c r="I677" s="16" t="str">
        <x:f>IF(A677="","",IF(Events!Y676&lt;&gt;"",Events!Y676,IF(OR(ISNUMBER(SEARCH("education",P677)),ISNUMBER(SEARCH("exam",P677)),ISNUMBER(SEARCH("school",P677))),"Education",IF(OR(ISNUMBER(SEARCH("trade agreement",P677)),ISNUMBER(SEARCH("economic",P677)),ISNUMBER(SEARCH("import",P677))),"Trade &amp; economic policy",IF(OR(ISNUMBER(SEARCH("land acquisition",P677)),ISNUMBER(SEARCH("rehabilitation",P677)),ISNUMBER(SEARCH("displacement",P677)),ISNUMBER(SEARCH("township",P677))),"Land &amp; rehabilitation",IF(OR(ISNUMBER(SEARCH("forest",P677)),ISNUMBER(SEARCH("environment",P677)),ISNUMBER(SEARCH("ecological",P677)),ISNUMBER(SEARCH("biodiversity",P677)),ISNUMBER(SEARCH("green cover",P677))),"Environment",IF(OR(ISNUMBER(SEARCH("irrigation",P677)),ISNUMBER(SEARCH("water",P677)),ISNUMBER(SEARCH("crop",P677)),ISNUMBER(SEARCH("farmer",P677)),ISNUMBER(SEARCH("agriculture",P677))),"Agriculture &amp; water",IF(OR(ISNUMBER(SEARCH("health",P677)),ISNUMBER(SEARCH("hospital",P677)),ISNUMBER(SEARCH("medicine",P677))),"Public health",IF(OR(ISNUMBER(SEARCH("employee",P677)),ISNUMBER(SEARCH("labour",P677)),ISNUMBER(SEARCH("worker",P677)),ISNUMBER(SEARCH("salary",P677))),"Labour &amp; employment",IF(OR(ISNUMBER(SEARCH("rti",P677)),ISNUMBER(SEARCH("transparency",P677)),ISNUMBER(SEARCH("corruption",P677)),ISNUMBER(SEARCH("governance",P677))),"Governance &amp; transparency",IF(OR(ISNUMBER(SEARCH("police",P677)),ISNUMBER(SEARCH("detention",P677)),ISNUMBER(SEARCH("civil rights",P677)),ISNUMBER(SEARCH("justice",P677))),"Civil rights &amp; justice",IF(OR(ISNUMBER(SEARCH("road",P677)),ISNUMBER(SEARCH("utility",P677)),ISNUMBER(SEARCH("infrastructure",P677)),ISNUMBER(SEARCH("public service",P677))),"Infrastructure &amp; public services","Other"))))))))))))</x:f>
      </x:c>
      <x:c r="J677" s="16" t="str">
        <x:f>IF(A677="","",IF(OR(ISNUMBER(SEARCH("fatal",Q677)),ISNUMBER(SEARCH("death",Q677)),ISNUMBER(SEARCH("riot",Q677)),ISNUMBER(SEARCH("curfew",Q677)),ISNUMBER(SEARCH("internet shutdown",Q677))),5,MIN(4,1+IF(H677&gt;=7,1,0)+IF(OR(ISNUMBER(SEARCH("hunger strike",Q677)),ISNUMBER(SEARCH("blockade",Q677)),ISNUMBER(SEARCH("strike",Q677)),ISNUMBER(SEARCH("jal satyagraha",Q677)),ISNUMBER(SEARCH("survey",Q677)),ISNUMBER(SEARCH("human chain",Q677)),ISNUMBER(SEARCH("march",Q677))),1,0)+IF(OR(ISNUMBER(SEARCH("fir",Q677)),ISNUMBER(SEARCH("confrontation",Q677)),ISNUMBER(SEARCH("violence",Q677)),ISNUMBER(SEARCH("detention",Q677)),ISNUMBER(SEARCH("arrest",Q677)),ISNUMBER(SEARCH("demolition",Q677)),ISNUMBER(SEARCH("injury",Q677))),1,0)+IF(OR(D677="Ongoing",D677="Unresolved"),1,0))))</x:f>
      </x:c>
      <x:c r="K677" s="16" t="str">
        <x:f>IF(J677="","",IF(J677=1,"Limited",IF(J677=2,"Local",IF(J677=3,"Significant",IF(J677=4,"High","Critical")))))</x:f>
      </x:c>
      <x:c r="L677" s="16" t="str">
        <x:f>IF(A677="","",Events!U676)</x:f>
      </x:c>
      <x:c r="M677" s="16" t="str">
        <x:f>IF(A677="","",Events!V676)</x:f>
      </x:c>
      <x:c r="N677" s="16" t="str">
        <x:f>IF(A677="","",Events!Q676)</x:f>
      </x:c>
      <x:c r="O677" s="16" t="str">
        <x:f>IF(A677="","",Events!R676)</x:f>
      </x:c>
      <x:c r="P677" s="16" t="str">
        <x:f>IF(A677="","",LOWER(Events!B676&amp;" "&amp;Events!D676&amp;" "&amp;Events!K676))</x:f>
      </x:c>
      <x:c r="Q677" s="16" t="str">
        <x:f>IF(A677="","",LOWER(Events!C676&amp;" "&amp;Events!K676&amp;" "&amp;Events!T676))</x:f>
      </x:c>
      <x:c r="R677" s="16" t="str">
        <x:f>IF(A677="","",IF(ISNUMBER(SEARCH("Occurrence verified",E677)),"Occurrence verified",E677))</x:f>
      </x:c>
      <x:c r="S677" s="79" t="str">
        <x:f>IF(A677="","",Events!X676)</x:f>
      </x:c>
      <x:c r="Z677" s="79" t="str">
        <x:f>IF(A677="","",Events!AD676)</x:f>
      </x:c>
      <x:c r="AA677" s="79" t="str">
        <x:f>IF(A677="","",Events!AE676)</x:f>
      </x:c>
    </x:row>
    <x:row r="678">
      <x:c r="A678" s="16" t="str">
        <x:f>IF(Events!A677="","",Events!A677)</x:f>
      </x:c>
      <x:c r="B678" s="16" t="str">
        <x:f>IF(A678="","",Events!B677)</x:f>
      </x:c>
      <x:c r="C678" s="16" t="str">
        <x:f>IF(A678="","",Events!E677)</x:f>
      </x:c>
      <x:c r="D678" s="16" t="str">
        <x:f>IF(A678="","",Events!J677)</x:f>
      </x:c>
      <x:c r="E678" s="16" t="str">
        <x:f>IF(A678="","",Events!N677)</x:f>
      </x:c>
      <x:c r="F678" s="109" t="str">
        <x:f>IF(OR(A678="",Events!H677=""),"",Events!H677)</x:f>
      </x:c>
      <x:c r="G678" s="109" t="str">
        <x:f>IF(A678="","",IF(Events!I677&lt;&gt;"",Events!I677,IF(Events!S677&lt;&gt;"",Events!S677,"")))</x:f>
      </x:c>
      <x:c r="H678" s="16" t="str">
        <x:f>IF(A678="","",Events!W677)</x:f>
      </x:c>
      <x:c r="I678" s="16" t="str">
        <x:f>IF(A678="","",IF(Events!Y677&lt;&gt;"",Events!Y677,IF(OR(ISNUMBER(SEARCH("education",P678)),ISNUMBER(SEARCH("exam",P678)),ISNUMBER(SEARCH("school",P678))),"Education",IF(OR(ISNUMBER(SEARCH("trade agreement",P678)),ISNUMBER(SEARCH("economic",P678)),ISNUMBER(SEARCH("import",P678))),"Trade &amp; economic policy",IF(OR(ISNUMBER(SEARCH("land acquisition",P678)),ISNUMBER(SEARCH("rehabilitation",P678)),ISNUMBER(SEARCH("displacement",P678)),ISNUMBER(SEARCH("township",P678))),"Land &amp; rehabilitation",IF(OR(ISNUMBER(SEARCH("forest",P678)),ISNUMBER(SEARCH("environment",P678)),ISNUMBER(SEARCH("ecological",P678)),ISNUMBER(SEARCH("biodiversity",P678)),ISNUMBER(SEARCH("green cover",P678))),"Environment",IF(OR(ISNUMBER(SEARCH("irrigation",P678)),ISNUMBER(SEARCH("water",P678)),ISNUMBER(SEARCH("crop",P678)),ISNUMBER(SEARCH("farmer",P678)),ISNUMBER(SEARCH("agriculture",P678))),"Agriculture &amp; water",IF(OR(ISNUMBER(SEARCH("health",P678)),ISNUMBER(SEARCH("hospital",P678)),ISNUMBER(SEARCH("medicine",P678))),"Public health",IF(OR(ISNUMBER(SEARCH("employee",P678)),ISNUMBER(SEARCH("labour",P678)),ISNUMBER(SEARCH("worker",P678)),ISNUMBER(SEARCH("salary",P678))),"Labour &amp; employment",IF(OR(ISNUMBER(SEARCH("rti",P678)),ISNUMBER(SEARCH("transparency",P678)),ISNUMBER(SEARCH("corruption",P678)),ISNUMBER(SEARCH("governance",P678))),"Governance &amp; transparency",IF(OR(ISNUMBER(SEARCH("police",P678)),ISNUMBER(SEARCH("detention",P678)),ISNUMBER(SEARCH("civil rights",P678)),ISNUMBER(SEARCH("justice",P678))),"Civil rights &amp; justice",IF(OR(ISNUMBER(SEARCH("road",P678)),ISNUMBER(SEARCH("utility",P678)),ISNUMBER(SEARCH("infrastructure",P678)),ISNUMBER(SEARCH("public service",P678))),"Infrastructure &amp; public services","Other"))))))))))))</x:f>
      </x:c>
      <x:c r="J678" s="16" t="str">
        <x:f>IF(A678="","",IF(OR(ISNUMBER(SEARCH("fatal",Q678)),ISNUMBER(SEARCH("death",Q678)),ISNUMBER(SEARCH("riot",Q678)),ISNUMBER(SEARCH("curfew",Q678)),ISNUMBER(SEARCH("internet shutdown",Q678))),5,MIN(4,1+IF(H678&gt;=7,1,0)+IF(OR(ISNUMBER(SEARCH("hunger strike",Q678)),ISNUMBER(SEARCH("blockade",Q678)),ISNUMBER(SEARCH("strike",Q678)),ISNUMBER(SEARCH("jal satyagraha",Q678)),ISNUMBER(SEARCH("survey",Q678)),ISNUMBER(SEARCH("human chain",Q678)),ISNUMBER(SEARCH("march",Q678))),1,0)+IF(OR(ISNUMBER(SEARCH("fir",Q678)),ISNUMBER(SEARCH("confrontation",Q678)),ISNUMBER(SEARCH("violence",Q678)),ISNUMBER(SEARCH("detention",Q678)),ISNUMBER(SEARCH("arrest",Q678)),ISNUMBER(SEARCH("demolition",Q678)),ISNUMBER(SEARCH("injury",Q678))),1,0)+IF(OR(D678="Ongoing",D678="Unresolved"),1,0))))</x:f>
      </x:c>
      <x:c r="K678" s="16" t="str">
        <x:f>IF(J678="","",IF(J678=1,"Limited",IF(J678=2,"Local",IF(J678=3,"Significant",IF(J678=4,"High","Critical")))))</x:f>
      </x:c>
      <x:c r="L678" s="16" t="str">
        <x:f>IF(A678="","",Events!U677)</x:f>
      </x:c>
      <x:c r="M678" s="16" t="str">
        <x:f>IF(A678="","",Events!V677)</x:f>
      </x:c>
      <x:c r="N678" s="16" t="str">
        <x:f>IF(A678="","",Events!Q677)</x:f>
      </x:c>
      <x:c r="O678" s="16" t="str">
        <x:f>IF(A678="","",Events!R677)</x:f>
      </x:c>
      <x:c r="P678" s="16" t="str">
        <x:f>IF(A678="","",LOWER(Events!B677&amp;" "&amp;Events!D677&amp;" "&amp;Events!K677))</x:f>
      </x:c>
      <x:c r="Q678" s="16" t="str">
        <x:f>IF(A678="","",LOWER(Events!C677&amp;" "&amp;Events!K677&amp;" "&amp;Events!T677))</x:f>
      </x:c>
      <x:c r="R678" s="16" t="str">
        <x:f>IF(A678="","",IF(ISNUMBER(SEARCH("Occurrence verified",E678)),"Occurrence verified",E678))</x:f>
      </x:c>
      <x:c r="S678" s="79" t="str">
        <x:f>IF(A678="","",Events!X677)</x:f>
      </x:c>
      <x:c r="Z678" s="79" t="str">
        <x:f>IF(A678="","",Events!AD677)</x:f>
      </x:c>
      <x:c r="AA678" s="79" t="str">
        <x:f>IF(A678="","",Events!AE677)</x:f>
      </x:c>
    </x:row>
    <x:row r="679">
      <x:c r="A679" s="16" t="str">
        <x:f>IF(Events!A678="","",Events!A678)</x:f>
      </x:c>
      <x:c r="B679" s="16" t="str">
        <x:f>IF(A679="","",Events!B678)</x:f>
      </x:c>
      <x:c r="C679" s="16" t="str">
        <x:f>IF(A679="","",Events!E678)</x:f>
      </x:c>
      <x:c r="D679" s="16" t="str">
        <x:f>IF(A679="","",Events!J678)</x:f>
      </x:c>
      <x:c r="E679" s="16" t="str">
        <x:f>IF(A679="","",Events!N678)</x:f>
      </x:c>
      <x:c r="F679" s="109" t="str">
        <x:f>IF(OR(A679="",Events!H678=""),"",Events!H678)</x:f>
      </x:c>
      <x:c r="G679" s="109" t="str">
        <x:f>IF(A679="","",IF(Events!I678&lt;&gt;"",Events!I678,IF(Events!S678&lt;&gt;"",Events!S678,"")))</x:f>
      </x:c>
      <x:c r="H679" s="16" t="str">
        <x:f>IF(A679="","",Events!W678)</x:f>
      </x:c>
      <x:c r="I679" s="16" t="str">
        <x:f>IF(A679="","",IF(Events!Y678&lt;&gt;"",Events!Y678,IF(OR(ISNUMBER(SEARCH("education",P679)),ISNUMBER(SEARCH("exam",P679)),ISNUMBER(SEARCH("school",P679))),"Education",IF(OR(ISNUMBER(SEARCH("trade agreement",P679)),ISNUMBER(SEARCH("economic",P679)),ISNUMBER(SEARCH("import",P679))),"Trade &amp; economic policy",IF(OR(ISNUMBER(SEARCH("land acquisition",P679)),ISNUMBER(SEARCH("rehabilitation",P679)),ISNUMBER(SEARCH("displacement",P679)),ISNUMBER(SEARCH("township",P679))),"Land &amp; rehabilitation",IF(OR(ISNUMBER(SEARCH("forest",P679)),ISNUMBER(SEARCH("environment",P679)),ISNUMBER(SEARCH("ecological",P679)),ISNUMBER(SEARCH("biodiversity",P679)),ISNUMBER(SEARCH("green cover",P679))),"Environment",IF(OR(ISNUMBER(SEARCH("irrigation",P679)),ISNUMBER(SEARCH("water",P679)),ISNUMBER(SEARCH("crop",P679)),ISNUMBER(SEARCH("farmer",P679)),ISNUMBER(SEARCH("agriculture",P679))),"Agriculture &amp; water",IF(OR(ISNUMBER(SEARCH("health",P679)),ISNUMBER(SEARCH("hospital",P679)),ISNUMBER(SEARCH("medicine",P679))),"Public health",IF(OR(ISNUMBER(SEARCH("employee",P679)),ISNUMBER(SEARCH("labour",P679)),ISNUMBER(SEARCH("worker",P679)),ISNUMBER(SEARCH("salary",P679))),"Labour &amp; employment",IF(OR(ISNUMBER(SEARCH("rti",P679)),ISNUMBER(SEARCH("transparency",P679)),ISNUMBER(SEARCH("corruption",P679)),ISNUMBER(SEARCH("governance",P679))),"Governance &amp; transparency",IF(OR(ISNUMBER(SEARCH("police",P679)),ISNUMBER(SEARCH("detention",P679)),ISNUMBER(SEARCH("civil rights",P679)),ISNUMBER(SEARCH("justice",P679))),"Civil rights &amp; justice",IF(OR(ISNUMBER(SEARCH("road",P679)),ISNUMBER(SEARCH("utility",P679)),ISNUMBER(SEARCH("infrastructure",P679)),ISNUMBER(SEARCH("public service",P679))),"Infrastructure &amp; public services","Other"))))))))))))</x:f>
      </x:c>
      <x:c r="J679" s="16" t="str">
        <x:f>IF(A679="","",IF(OR(ISNUMBER(SEARCH("fatal",Q679)),ISNUMBER(SEARCH("death",Q679)),ISNUMBER(SEARCH("riot",Q679)),ISNUMBER(SEARCH("curfew",Q679)),ISNUMBER(SEARCH("internet shutdown",Q679))),5,MIN(4,1+IF(H679&gt;=7,1,0)+IF(OR(ISNUMBER(SEARCH("hunger strike",Q679)),ISNUMBER(SEARCH("blockade",Q679)),ISNUMBER(SEARCH("strike",Q679)),ISNUMBER(SEARCH("jal satyagraha",Q679)),ISNUMBER(SEARCH("survey",Q679)),ISNUMBER(SEARCH("human chain",Q679)),ISNUMBER(SEARCH("march",Q679))),1,0)+IF(OR(ISNUMBER(SEARCH("fir",Q679)),ISNUMBER(SEARCH("confrontation",Q679)),ISNUMBER(SEARCH("violence",Q679)),ISNUMBER(SEARCH("detention",Q679)),ISNUMBER(SEARCH("arrest",Q679)),ISNUMBER(SEARCH("demolition",Q679)),ISNUMBER(SEARCH("injury",Q679))),1,0)+IF(OR(D679="Ongoing",D679="Unresolved"),1,0))))</x:f>
      </x:c>
      <x:c r="K679" s="16" t="str">
        <x:f>IF(J679="","",IF(J679=1,"Limited",IF(J679=2,"Local",IF(J679=3,"Significant",IF(J679=4,"High","Critical")))))</x:f>
      </x:c>
      <x:c r="L679" s="16" t="str">
        <x:f>IF(A679="","",Events!U678)</x:f>
      </x:c>
      <x:c r="M679" s="16" t="str">
        <x:f>IF(A679="","",Events!V678)</x:f>
      </x:c>
      <x:c r="N679" s="16" t="str">
        <x:f>IF(A679="","",Events!Q678)</x:f>
      </x:c>
      <x:c r="O679" s="16" t="str">
        <x:f>IF(A679="","",Events!R678)</x:f>
      </x:c>
      <x:c r="P679" s="16" t="str">
        <x:f>IF(A679="","",LOWER(Events!B678&amp;" "&amp;Events!D678&amp;" "&amp;Events!K678))</x:f>
      </x:c>
      <x:c r="Q679" s="16" t="str">
        <x:f>IF(A679="","",LOWER(Events!C678&amp;" "&amp;Events!K678&amp;" "&amp;Events!T678))</x:f>
      </x:c>
      <x:c r="R679" s="16" t="str">
        <x:f>IF(A679="","",IF(ISNUMBER(SEARCH("Occurrence verified",E679)),"Occurrence verified",E679))</x:f>
      </x:c>
      <x:c r="S679" s="79" t="str">
        <x:f>IF(A679="","",Events!X678)</x:f>
      </x:c>
      <x:c r="Z679" s="79" t="str">
        <x:f>IF(A679="","",Events!AD678)</x:f>
      </x:c>
      <x:c r="AA679" s="79" t="str">
        <x:f>IF(A679="","",Events!AE678)</x:f>
      </x:c>
    </x:row>
    <x:row r="680">
      <x:c r="A680" s="16" t="str">
        <x:f>IF(Events!A679="","",Events!A679)</x:f>
      </x:c>
      <x:c r="B680" s="16" t="str">
        <x:f>IF(A680="","",Events!B679)</x:f>
      </x:c>
      <x:c r="C680" s="16" t="str">
        <x:f>IF(A680="","",Events!E679)</x:f>
      </x:c>
      <x:c r="D680" s="16" t="str">
        <x:f>IF(A680="","",Events!J679)</x:f>
      </x:c>
      <x:c r="E680" s="16" t="str">
        <x:f>IF(A680="","",Events!N679)</x:f>
      </x:c>
      <x:c r="F680" s="109" t="str">
        <x:f>IF(OR(A680="",Events!H679=""),"",Events!H679)</x:f>
      </x:c>
      <x:c r="G680" s="109" t="str">
        <x:f>IF(A680="","",IF(Events!I679&lt;&gt;"",Events!I679,IF(Events!S679&lt;&gt;"",Events!S679,"")))</x:f>
      </x:c>
      <x:c r="H680" s="16" t="str">
        <x:f>IF(A680="","",Events!W679)</x:f>
      </x:c>
      <x:c r="I680" s="16" t="str">
        <x:f>IF(A680="","",IF(Events!Y679&lt;&gt;"",Events!Y679,IF(OR(ISNUMBER(SEARCH("education",P680)),ISNUMBER(SEARCH("exam",P680)),ISNUMBER(SEARCH("school",P680))),"Education",IF(OR(ISNUMBER(SEARCH("trade agreement",P680)),ISNUMBER(SEARCH("economic",P680)),ISNUMBER(SEARCH("import",P680))),"Trade &amp; economic policy",IF(OR(ISNUMBER(SEARCH("land acquisition",P680)),ISNUMBER(SEARCH("rehabilitation",P680)),ISNUMBER(SEARCH("displacement",P680)),ISNUMBER(SEARCH("township",P680))),"Land &amp; rehabilitation",IF(OR(ISNUMBER(SEARCH("forest",P680)),ISNUMBER(SEARCH("environment",P680)),ISNUMBER(SEARCH("ecological",P680)),ISNUMBER(SEARCH("biodiversity",P680)),ISNUMBER(SEARCH("green cover",P680))),"Environment",IF(OR(ISNUMBER(SEARCH("irrigation",P680)),ISNUMBER(SEARCH("water",P680)),ISNUMBER(SEARCH("crop",P680)),ISNUMBER(SEARCH("farmer",P680)),ISNUMBER(SEARCH("agriculture",P680))),"Agriculture &amp; water",IF(OR(ISNUMBER(SEARCH("health",P680)),ISNUMBER(SEARCH("hospital",P680)),ISNUMBER(SEARCH("medicine",P680))),"Public health",IF(OR(ISNUMBER(SEARCH("employee",P680)),ISNUMBER(SEARCH("labour",P680)),ISNUMBER(SEARCH("worker",P680)),ISNUMBER(SEARCH("salary",P680))),"Labour &amp; employment",IF(OR(ISNUMBER(SEARCH("rti",P680)),ISNUMBER(SEARCH("transparency",P680)),ISNUMBER(SEARCH("corruption",P680)),ISNUMBER(SEARCH("governance",P680))),"Governance &amp; transparency",IF(OR(ISNUMBER(SEARCH("police",P680)),ISNUMBER(SEARCH("detention",P680)),ISNUMBER(SEARCH("civil rights",P680)),ISNUMBER(SEARCH("justice",P680))),"Civil rights &amp; justice",IF(OR(ISNUMBER(SEARCH("road",P680)),ISNUMBER(SEARCH("utility",P680)),ISNUMBER(SEARCH("infrastructure",P680)),ISNUMBER(SEARCH("public service",P680))),"Infrastructure &amp; public services","Other"))))))))))))</x:f>
      </x:c>
      <x:c r="J680" s="16" t="str">
        <x:f>IF(A680="","",IF(OR(ISNUMBER(SEARCH("fatal",Q680)),ISNUMBER(SEARCH("death",Q680)),ISNUMBER(SEARCH("riot",Q680)),ISNUMBER(SEARCH("curfew",Q680)),ISNUMBER(SEARCH("internet shutdown",Q680))),5,MIN(4,1+IF(H680&gt;=7,1,0)+IF(OR(ISNUMBER(SEARCH("hunger strike",Q680)),ISNUMBER(SEARCH("blockade",Q680)),ISNUMBER(SEARCH("strike",Q680)),ISNUMBER(SEARCH("jal satyagraha",Q680)),ISNUMBER(SEARCH("survey",Q680)),ISNUMBER(SEARCH("human chain",Q680)),ISNUMBER(SEARCH("march",Q680))),1,0)+IF(OR(ISNUMBER(SEARCH("fir",Q680)),ISNUMBER(SEARCH("confrontation",Q680)),ISNUMBER(SEARCH("violence",Q680)),ISNUMBER(SEARCH("detention",Q680)),ISNUMBER(SEARCH("arrest",Q680)),ISNUMBER(SEARCH("demolition",Q680)),ISNUMBER(SEARCH("injury",Q680))),1,0)+IF(OR(D680="Ongoing",D680="Unresolved"),1,0))))</x:f>
      </x:c>
      <x:c r="K680" s="16" t="str">
        <x:f>IF(J680="","",IF(J680=1,"Limited",IF(J680=2,"Local",IF(J680=3,"Significant",IF(J680=4,"High","Critical")))))</x:f>
      </x:c>
      <x:c r="L680" s="16" t="str">
        <x:f>IF(A680="","",Events!U679)</x:f>
      </x:c>
      <x:c r="M680" s="16" t="str">
        <x:f>IF(A680="","",Events!V679)</x:f>
      </x:c>
      <x:c r="N680" s="16" t="str">
        <x:f>IF(A680="","",Events!Q679)</x:f>
      </x:c>
      <x:c r="O680" s="16" t="str">
        <x:f>IF(A680="","",Events!R679)</x:f>
      </x:c>
      <x:c r="P680" s="16" t="str">
        <x:f>IF(A680="","",LOWER(Events!B679&amp;" "&amp;Events!D679&amp;" "&amp;Events!K679))</x:f>
      </x:c>
      <x:c r="Q680" s="16" t="str">
        <x:f>IF(A680="","",LOWER(Events!C679&amp;" "&amp;Events!K679&amp;" "&amp;Events!T679))</x:f>
      </x:c>
      <x:c r="R680" s="16" t="str">
        <x:f>IF(A680="","",IF(ISNUMBER(SEARCH("Occurrence verified",E680)),"Occurrence verified",E680))</x:f>
      </x:c>
      <x:c r="S680" s="79" t="str">
        <x:f>IF(A680="","",Events!X679)</x:f>
      </x:c>
      <x:c r="Z680" s="79" t="str">
        <x:f>IF(A680="","",Events!AD679)</x:f>
      </x:c>
      <x:c r="AA680" s="79" t="str">
        <x:f>IF(A680="","",Events!AE679)</x:f>
      </x:c>
    </x:row>
    <x:row r="681">
      <x:c r="A681" s="16" t="str">
        <x:f>IF(Events!A680="","",Events!A680)</x:f>
      </x:c>
      <x:c r="B681" s="16" t="str">
        <x:f>IF(A681="","",Events!B680)</x:f>
      </x:c>
      <x:c r="C681" s="16" t="str">
        <x:f>IF(A681="","",Events!E680)</x:f>
      </x:c>
      <x:c r="D681" s="16" t="str">
        <x:f>IF(A681="","",Events!J680)</x:f>
      </x:c>
      <x:c r="E681" s="16" t="str">
        <x:f>IF(A681="","",Events!N680)</x:f>
      </x:c>
      <x:c r="F681" s="109" t="str">
        <x:f>IF(OR(A681="",Events!H680=""),"",Events!H680)</x:f>
      </x:c>
      <x:c r="G681" s="109" t="str">
        <x:f>IF(A681="","",IF(Events!I680&lt;&gt;"",Events!I680,IF(Events!S680&lt;&gt;"",Events!S680,"")))</x:f>
      </x:c>
      <x:c r="H681" s="16" t="str">
        <x:f>IF(A681="","",Events!W680)</x:f>
      </x:c>
      <x:c r="I681" s="16" t="str">
        <x:f>IF(A681="","",IF(Events!Y680&lt;&gt;"",Events!Y680,IF(OR(ISNUMBER(SEARCH("education",P681)),ISNUMBER(SEARCH("exam",P681)),ISNUMBER(SEARCH("school",P681))),"Education",IF(OR(ISNUMBER(SEARCH("trade agreement",P681)),ISNUMBER(SEARCH("economic",P681)),ISNUMBER(SEARCH("import",P681))),"Trade &amp; economic policy",IF(OR(ISNUMBER(SEARCH("land acquisition",P681)),ISNUMBER(SEARCH("rehabilitation",P681)),ISNUMBER(SEARCH("displacement",P681)),ISNUMBER(SEARCH("township",P681))),"Land &amp; rehabilitation",IF(OR(ISNUMBER(SEARCH("forest",P681)),ISNUMBER(SEARCH("environment",P681)),ISNUMBER(SEARCH("ecological",P681)),ISNUMBER(SEARCH("biodiversity",P681)),ISNUMBER(SEARCH("green cover",P681))),"Environment",IF(OR(ISNUMBER(SEARCH("irrigation",P681)),ISNUMBER(SEARCH("water",P681)),ISNUMBER(SEARCH("crop",P681)),ISNUMBER(SEARCH("farmer",P681)),ISNUMBER(SEARCH("agriculture",P681))),"Agriculture &amp; water",IF(OR(ISNUMBER(SEARCH("health",P681)),ISNUMBER(SEARCH("hospital",P681)),ISNUMBER(SEARCH("medicine",P681))),"Public health",IF(OR(ISNUMBER(SEARCH("employee",P681)),ISNUMBER(SEARCH("labour",P681)),ISNUMBER(SEARCH("worker",P681)),ISNUMBER(SEARCH("salary",P681))),"Labour &amp; employment",IF(OR(ISNUMBER(SEARCH("rti",P681)),ISNUMBER(SEARCH("transparency",P681)),ISNUMBER(SEARCH("corruption",P681)),ISNUMBER(SEARCH("governance",P681))),"Governance &amp; transparency",IF(OR(ISNUMBER(SEARCH("police",P681)),ISNUMBER(SEARCH("detention",P681)),ISNUMBER(SEARCH("civil rights",P681)),ISNUMBER(SEARCH("justice",P681))),"Civil rights &amp; justice",IF(OR(ISNUMBER(SEARCH("road",P681)),ISNUMBER(SEARCH("utility",P681)),ISNUMBER(SEARCH("infrastructure",P681)),ISNUMBER(SEARCH("public service",P681))),"Infrastructure &amp; public services","Other"))))))))))))</x:f>
      </x:c>
      <x:c r="J681" s="16" t="str">
        <x:f>IF(A681="","",IF(OR(ISNUMBER(SEARCH("fatal",Q681)),ISNUMBER(SEARCH("death",Q681)),ISNUMBER(SEARCH("riot",Q681)),ISNUMBER(SEARCH("curfew",Q681)),ISNUMBER(SEARCH("internet shutdown",Q681))),5,MIN(4,1+IF(H681&gt;=7,1,0)+IF(OR(ISNUMBER(SEARCH("hunger strike",Q681)),ISNUMBER(SEARCH("blockade",Q681)),ISNUMBER(SEARCH("strike",Q681)),ISNUMBER(SEARCH("jal satyagraha",Q681)),ISNUMBER(SEARCH("survey",Q681)),ISNUMBER(SEARCH("human chain",Q681)),ISNUMBER(SEARCH("march",Q681))),1,0)+IF(OR(ISNUMBER(SEARCH("fir",Q681)),ISNUMBER(SEARCH("confrontation",Q681)),ISNUMBER(SEARCH("violence",Q681)),ISNUMBER(SEARCH("detention",Q681)),ISNUMBER(SEARCH("arrest",Q681)),ISNUMBER(SEARCH("demolition",Q681)),ISNUMBER(SEARCH("injury",Q681))),1,0)+IF(OR(D681="Ongoing",D681="Unresolved"),1,0))))</x:f>
      </x:c>
      <x:c r="K681" s="16" t="str">
        <x:f>IF(J681="","",IF(J681=1,"Limited",IF(J681=2,"Local",IF(J681=3,"Significant",IF(J681=4,"High","Critical")))))</x:f>
      </x:c>
      <x:c r="L681" s="16" t="str">
        <x:f>IF(A681="","",Events!U680)</x:f>
      </x:c>
      <x:c r="M681" s="16" t="str">
        <x:f>IF(A681="","",Events!V680)</x:f>
      </x:c>
      <x:c r="N681" s="16" t="str">
        <x:f>IF(A681="","",Events!Q680)</x:f>
      </x:c>
      <x:c r="O681" s="16" t="str">
        <x:f>IF(A681="","",Events!R680)</x:f>
      </x:c>
      <x:c r="P681" s="16" t="str">
        <x:f>IF(A681="","",LOWER(Events!B680&amp;" "&amp;Events!D680&amp;" "&amp;Events!K680))</x:f>
      </x:c>
      <x:c r="Q681" s="16" t="str">
        <x:f>IF(A681="","",LOWER(Events!C680&amp;" "&amp;Events!K680&amp;" "&amp;Events!T680))</x:f>
      </x:c>
      <x:c r="R681" s="16" t="str">
        <x:f>IF(A681="","",IF(ISNUMBER(SEARCH("Occurrence verified",E681)),"Occurrence verified",E681))</x:f>
      </x:c>
      <x:c r="S681" s="79" t="str">
        <x:f>IF(A681="","",Events!X680)</x:f>
      </x:c>
      <x:c r="Z681" s="79" t="str">
        <x:f>IF(A681="","",Events!AD680)</x:f>
      </x:c>
      <x:c r="AA681" s="79" t="str">
        <x:f>IF(A681="","",Events!AE680)</x:f>
      </x:c>
    </x:row>
    <x:row r="682">
      <x:c r="A682" s="16" t="str">
        <x:f>IF(Events!A681="","",Events!A681)</x:f>
      </x:c>
      <x:c r="B682" s="16" t="str">
        <x:f>IF(A682="","",Events!B681)</x:f>
      </x:c>
      <x:c r="C682" s="16" t="str">
        <x:f>IF(A682="","",Events!E681)</x:f>
      </x:c>
      <x:c r="D682" s="16" t="str">
        <x:f>IF(A682="","",Events!J681)</x:f>
      </x:c>
      <x:c r="E682" s="16" t="str">
        <x:f>IF(A682="","",Events!N681)</x:f>
      </x:c>
      <x:c r="F682" s="109" t="str">
        <x:f>IF(OR(A682="",Events!H681=""),"",Events!H681)</x:f>
      </x:c>
      <x:c r="G682" s="109" t="str">
        <x:f>IF(A682="","",IF(Events!I681&lt;&gt;"",Events!I681,IF(Events!S681&lt;&gt;"",Events!S681,"")))</x:f>
      </x:c>
      <x:c r="H682" s="16" t="str">
        <x:f>IF(A682="","",Events!W681)</x:f>
      </x:c>
      <x:c r="I682" s="16" t="str">
        <x:f>IF(A682="","",IF(Events!Y681&lt;&gt;"",Events!Y681,IF(OR(ISNUMBER(SEARCH("education",P682)),ISNUMBER(SEARCH("exam",P682)),ISNUMBER(SEARCH("school",P682))),"Education",IF(OR(ISNUMBER(SEARCH("trade agreement",P682)),ISNUMBER(SEARCH("economic",P682)),ISNUMBER(SEARCH("import",P682))),"Trade &amp; economic policy",IF(OR(ISNUMBER(SEARCH("land acquisition",P682)),ISNUMBER(SEARCH("rehabilitation",P682)),ISNUMBER(SEARCH("displacement",P682)),ISNUMBER(SEARCH("township",P682))),"Land &amp; rehabilitation",IF(OR(ISNUMBER(SEARCH("forest",P682)),ISNUMBER(SEARCH("environment",P682)),ISNUMBER(SEARCH("ecological",P682)),ISNUMBER(SEARCH("biodiversity",P682)),ISNUMBER(SEARCH("green cover",P682))),"Environment",IF(OR(ISNUMBER(SEARCH("irrigation",P682)),ISNUMBER(SEARCH("water",P682)),ISNUMBER(SEARCH("crop",P682)),ISNUMBER(SEARCH("farmer",P682)),ISNUMBER(SEARCH("agriculture",P682))),"Agriculture &amp; water",IF(OR(ISNUMBER(SEARCH("health",P682)),ISNUMBER(SEARCH("hospital",P682)),ISNUMBER(SEARCH("medicine",P682))),"Public health",IF(OR(ISNUMBER(SEARCH("employee",P682)),ISNUMBER(SEARCH("labour",P682)),ISNUMBER(SEARCH("worker",P682)),ISNUMBER(SEARCH("salary",P682))),"Labour &amp; employment",IF(OR(ISNUMBER(SEARCH("rti",P682)),ISNUMBER(SEARCH("transparency",P682)),ISNUMBER(SEARCH("corruption",P682)),ISNUMBER(SEARCH("governance",P682))),"Governance &amp; transparency",IF(OR(ISNUMBER(SEARCH("police",P682)),ISNUMBER(SEARCH("detention",P682)),ISNUMBER(SEARCH("civil rights",P682)),ISNUMBER(SEARCH("justice",P682))),"Civil rights &amp; justice",IF(OR(ISNUMBER(SEARCH("road",P682)),ISNUMBER(SEARCH("utility",P682)),ISNUMBER(SEARCH("infrastructure",P682)),ISNUMBER(SEARCH("public service",P682))),"Infrastructure &amp; public services","Other"))))))))))))</x:f>
      </x:c>
      <x:c r="J682" s="16" t="str">
        <x:f>IF(A682="","",IF(OR(ISNUMBER(SEARCH("fatal",Q682)),ISNUMBER(SEARCH("death",Q682)),ISNUMBER(SEARCH("riot",Q682)),ISNUMBER(SEARCH("curfew",Q682)),ISNUMBER(SEARCH("internet shutdown",Q682))),5,MIN(4,1+IF(H682&gt;=7,1,0)+IF(OR(ISNUMBER(SEARCH("hunger strike",Q682)),ISNUMBER(SEARCH("blockade",Q682)),ISNUMBER(SEARCH("strike",Q682)),ISNUMBER(SEARCH("jal satyagraha",Q682)),ISNUMBER(SEARCH("survey",Q682)),ISNUMBER(SEARCH("human chain",Q682)),ISNUMBER(SEARCH("march",Q682))),1,0)+IF(OR(ISNUMBER(SEARCH("fir",Q682)),ISNUMBER(SEARCH("confrontation",Q682)),ISNUMBER(SEARCH("violence",Q682)),ISNUMBER(SEARCH("detention",Q682)),ISNUMBER(SEARCH("arrest",Q682)),ISNUMBER(SEARCH("demolition",Q682)),ISNUMBER(SEARCH("injury",Q682))),1,0)+IF(OR(D682="Ongoing",D682="Unresolved"),1,0))))</x:f>
      </x:c>
      <x:c r="K682" s="16" t="str">
        <x:f>IF(J682="","",IF(J682=1,"Limited",IF(J682=2,"Local",IF(J682=3,"Significant",IF(J682=4,"High","Critical")))))</x:f>
      </x:c>
      <x:c r="L682" s="16" t="str">
        <x:f>IF(A682="","",Events!U681)</x:f>
      </x:c>
      <x:c r="M682" s="16" t="str">
        <x:f>IF(A682="","",Events!V681)</x:f>
      </x:c>
      <x:c r="N682" s="16" t="str">
        <x:f>IF(A682="","",Events!Q681)</x:f>
      </x:c>
      <x:c r="O682" s="16" t="str">
        <x:f>IF(A682="","",Events!R681)</x:f>
      </x:c>
      <x:c r="P682" s="16" t="str">
        <x:f>IF(A682="","",LOWER(Events!B681&amp;" "&amp;Events!D681&amp;" "&amp;Events!K681))</x:f>
      </x:c>
      <x:c r="Q682" s="16" t="str">
        <x:f>IF(A682="","",LOWER(Events!C681&amp;" "&amp;Events!K681&amp;" "&amp;Events!T681))</x:f>
      </x:c>
      <x:c r="R682" s="16" t="str">
        <x:f>IF(A682="","",IF(ISNUMBER(SEARCH("Occurrence verified",E682)),"Occurrence verified",E682))</x:f>
      </x:c>
      <x:c r="S682" s="79" t="str">
        <x:f>IF(A682="","",Events!X681)</x:f>
      </x:c>
      <x:c r="Z682" s="79" t="str">
        <x:f>IF(A682="","",Events!AD681)</x:f>
      </x:c>
      <x:c r="AA682" s="79" t="str">
        <x:f>IF(A682="","",Events!AE681)</x:f>
      </x:c>
    </x:row>
    <x:row r="683">
      <x:c r="A683" s="16" t="str">
        <x:f>IF(Events!A682="","",Events!A682)</x:f>
      </x:c>
      <x:c r="B683" s="16" t="str">
        <x:f>IF(A683="","",Events!B682)</x:f>
      </x:c>
      <x:c r="C683" s="16" t="str">
        <x:f>IF(A683="","",Events!E682)</x:f>
      </x:c>
      <x:c r="D683" s="16" t="str">
        <x:f>IF(A683="","",Events!J682)</x:f>
      </x:c>
      <x:c r="E683" s="16" t="str">
        <x:f>IF(A683="","",Events!N682)</x:f>
      </x:c>
      <x:c r="F683" s="109" t="str">
        <x:f>IF(OR(A683="",Events!H682=""),"",Events!H682)</x:f>
      </x:c>
      <x:c r="G683" s="109" t="str">
        <x:f>IF(A683="","",IF(Events!I682&lt;&gt;"",Events!I682,IF(Events!S682&lt;&gt;"",Events!S682,"")))</x:f>
      </x:c>
      <x:c r="H683" s="16" t="str">
        <x:f>IF(A683="","",Events!W682)</x:f>
      </x:c>
      <x:c r="I683" s="16" t="str">
        <x:f>IF(A683="","",IF(Events!Y682&lt;&gt;"",Events!Y682,IF(OR(ISNUMBER(SEARCH("education",P683)),ISNUMBER(SEARCH("exam",P683)),ISNUMBER(SEARCH("school",P683))),"Education",IF(OR(ISNUMBER(SEARCH("trade agreement",P683)),ISNUMBER(SEARCH("economic",P683)),ISNUMBER(SEARCH("import",P683))),"Trade &amp; economic policy",IF(OR(ISNUMBER(SEARCH("land acquisition",P683)),ISNUMBER(SEARCH("rehabilitation",P683)),ISNUMBER(SEARCH("displacement",P683)),ISNUMBER(SEARCH("township",P683))),"Land &amp; rehabilitation",IF(OR(ISNUMBER(SEARCH("forest",P683)),ISNUMBER(SEARCH("environment",P683)),ISNUMBER(SEARCH("ecological",P683)),ISNUMBER(SEARCH("biodiversity",P683)),ISNUMBER(SEARCH("green cover",P683))),"Environment",IF(OR(ISNUMBER(SEARCH("irrigation",P683)),ISNUMBER(SEARCH("water",P683)),ISNUMBER(SEARCH("crop",P683)),ISNUMBER(SEARCH("farmer",P683)),ISNUMBER(SEARCH("agriculture",P683))),"Agriculture &amp; water",IF(OR(ISNUMBER(SEARCH("health",P683)),ISNUMBER(SEARCH("hospital",P683)),ISNUMBER(SEARCH("medicine",P683))),"Public health",IF(OR(ISNUMBER(SEARCH("employee",P683)),ISNUMBER(SEARCH("labour",P683)),ISNUMBER(SEARCH("worker",P683)),ISNUMBER(SEARCH("salary",P683))),"Labour &amp; employment",IF(OR(ISNUMBER(SEARCH("rti",P683)),ISNUMBER(SEARCH("transparency",P683)),ISNUMBER(SEARCH("corruption",P683)),ISNUMBER(SEARCH("governance",P683))),"Governance &amp; transparency",IF(OR(ISNUMBER(SEARCH("police",P683)),ISNUMBER(SEARCH("detention",P683)),ISNUMBER(SEARCH("civil rights",P683)),ISNUMBER(SEARCH("justice",P683))),"Civil rights &amp; justice",IF(OR(ISNUMBER(SEARCH("road",P683)),ISNUMBER(SEARCH("utility",P683)),ISNUMBER(SEARCH("infrastructure",P683)),ISNUMBER(SEARCH("public service",P683))),"Infrastructure &amp; public services","Other"))))))))))))</x:f>
      </x:c>
      <x:c r="J683" s="16" t="str">
        <x:f>IF(A683="","",IF(OR(ISNUMBER(SEARCH("fatal",Q683)),ISNUMBER(SEARCH("death",Q683)),ISNUMBER(SEARCH("riot",Q683)),ISNUMBER(SEARCH("curfew",Q683)),ISNUMBER(SEARCH("internet shutdown",Q683))),5,MIN(4,1+IF(H683&gt;=7,1,0)+IF(OR(ISNUMBER(SEARCH("hunger strike",Q683)),ISNUMBER(SEARCH("blockade",Q683)),ISNUMBER(SEARCH("strike",Q683)),ISNUMBER(SEARCH("jal satyagraha",Q683)),ISNUMBER(SEARCH("survey",Q683)),ISNUMBER(SEARCH("human chain",Q683)),ISNUMBER(SEARCH("march",Q683))),1,0)+IF(OR(ISNUMBER(SEARCH("fir",Q683)),ISNUMBER(SEARCH("confrontation",Q683)),ISNUMBER(SEARCH("violence",Q683)),ISNUMBER(SEARCH("detention",Q683)),ISNUMBER(SEARCH("arrest",Q683)),ISNUMBER(SEARCH("demolition",Q683)),ISNUMBER(SEARCH("injury",Q683))),1,0)+IF(OR(D683="Ongoing",D683="Unresolved"),1,0))))</x:f>
      </x:c>
      <x:c r="K683" s="16" t="str">
        <x:f>IF(J683="","",IF(J683=1,"Limited",IF(J683=2,"Local",IF(J683=3,"Significant",IF(J683=4,"High","Critical")))))</x:f>
      </x:c>
      <x:c r="L683" s="16" t="str">
        <x:f>IF(A683="","",Events!U682)</x:f>
      </x:c>
      <x:c r="M683" s="16" t="str">
        <x:f>IF(A683="","",Events!V682)</x:f>
      </x:c>
      <x:c r="N683" s="16" t="str">
        <x:f>IF(A683="","",Events!Q682)</x:f>
      </x:c>
      <x:c r="O683" s="16" t="str">
        <x:f>IF(A683="","",Events!R682)</x:f>
      </x:c>
      <x:c r="P683" s="16" t="str">
        <x:f>IF(A683="","",LOWER(Events!B682&amp;" "&amp;Events!D682&amp;" "&amp;Events!K682))</x:f>
      </x:c>
      <x:c r="Q683" s="16" t="str">
        <x:f>IF(A683="","",LOWER(Events!C682&amp;" "&amp;Events!K682&amp;" "&amp;Events!T682))</x:f>
      </x:c>
      <x:c r="R683" s="16" t="str">
        <x:f>IF(A683="","",IF(ISNUMBER(SEARCH("Occurrence verified",E683)),"Occurrence verified",E683))</x:f>
      </x:c>
      <x:c r="S683" s="79" t="str">
        <x:f>IF(A683="","",Events!X682)</x:f>
      </x:c>
      <x:c r="Z683" s="79" t="str">
        <x:f>IF(A683="","",Events!AD682)</x:f>
      </x:c>
      <x:c r="AA683" s="79" t="str">
        <x:f>IF(A683="","",Events!AE682)</x:f>
      </x:c>
    </x:row>
    <x:row r="684">
      <x:c r="A684" s="16" t="str">
        <x:f>IF(Events!A683="","",Events!A683)</x:f>
      </x:c>
      <x:c r="B684" s="16" t="str">
        <x:f>IF(A684="","",Events!B683)</x:f>
      </x:c>
      <x:c r="C684" s="16" t="str">
        <x:f>IF(A684="","",Events!E683)</x:f>
      </x:c>
      <x:c r="D684" s="16" t="str">
        <x:f>IF(A684="","",Events!J683)</x:f>
      </x:c>
      <x:c r="E684" s="16" t="str">
        <x:f>IF(A684="","",Events!N683)</x:f>
      </x:c>
      <x:c r="F684" s="109" t="str">
        <x:f>IF(OR(A684="",Events!H683=""),"",Events!H683)</x:f>
      </x:c>
      <x:c r="G684" s="109" t="str">
        <x:f>IF(A684="","",IF(Events!I683&lt;&gt;"",Events!I683,IF(Events!S683&lt;&gt;"",Events!S683,"")))</x:f>
      </x:c>
      <x:c r="H684" s="16" t="str">
        <x:f>IF(A684="","",Events!W683)</x:f>
      </x:c>
      <x:c r="I684" s="16" t="str">
        <x:f>IF(A684="","",IF(Events!Y683&lt;&gt;"",Events!Y683,IF(OR(ISNUMBER(SEARCH("education",P684)),ISNUMBER(SEARCH("exam",P684)),ISNUMBER(SEARCH("school",P684))),"Education",IF(OR(ISNUMBER(SEARCH("trade agreement",P684)),ISNUMBER(SEARCH("economic",P684)),ISNUMBER(SEARCH("import",P684))),"Trade &amp; economic policy",IF(OR(ISNUMBER(SEARCH("land acquisition",P684)),ISNUMBER(SEARCH("rehabilitation",P684)),ISNUMBER(SEARCH("displacement",P684)),ISNUMBER(SEARCH("township",P684))),"Land &amp; rehabilitation",IF(OR(ISNUMBER(SEARCH("forest",P684)),ISNUMBER(SEARCH("environment",P684)),ISNUMBER(SEARCH("ecological",P684)),ISNUMBER(SEARCH("biodiversity",P684)),ISNUMBER(SEARCH("green cover",P684))),"Environment",IF(OR(ISNUMBER(SEARCH("irrigation",P684)),ISNUMBER(SEARCH("water",P684)),ISNUMBER(SEARCH("crop",P684)),ISNUMBER(SEARCH("farmer",P684)),ISNUMBER(SEARCH("agriculture",P684))),"Agriculture &amp; water",IF(OR(ISNUMBER(SEARCH("health",P684)),ISNUMBER(SEARCH("hospital",P684)),ISNUMBER(SEARCH("medicine",P684))),"Public health",IF(OR(ISNUMBER(SEARCH("employee",P684)),ISNUMBER(SEARCH("labour",P684)),ISNUMBER(SEARCH("worker",P684)),ISNUMBER(SEARCH("salary",P684))),"Labour &amp; employment",IF(OR(ISNUMBER(SEARCH("rti",P684)),ISNUMBER(SEARCH("transparency",P684)),ISNUMBER(SEARCH("corruption",P684)),ISNUMBER(SEARCH("governance",P684))),"Governance &amp; transparency",IF(OR(ISNUMBER(SEARCH("police",P684)),ISNUMBER(SEARCH("detention",P684)),ISNUMBER(SEARCH("civil rights",P684)),ISNUMBER(SEARCH("justice",P684))),"Civil rights &amp; justice",IF(OR(ISNUMBER(SEARCH("road",P684)),ISNUMBER(SEARCH("utility",P684)),ISNUMBER(SEARCH("infrastructure",P684)),ISNUMBER(SEARCH("public service",P684))),"Infrastructure &amp; public services","Other"))))))))))))</x:f>
      </x:c>
      <x:c r="J684" s="16" t="str">
        <x:f>IF(A684="","",IF(OR(ISNUMBER(SEARCH("fatal",Q684)),ISNUMBER(SEARCH("death",Q684)),ISNUMBER(SEARCH("riot",Q684)),ISNUMBER(SEARCH("curfew",Q684)),ISNUMBER(SEARCH("internet shutdown",Q684))),5,MIN(4,1+IF(H684&gt;=7,1,0)+IF(OR(ISNUMBER(SEARCH("hunger strike",Q684)),ISNUMBER(SEARCH("blockade",Q684)),ISNUMBER(SEARCH("strike",Q684)),ISNUMBER(SEARCH("jal satyagraha",Q684)),ISNUMBER(SEARCH("survey",Q684)),ISNUMBER(SEARCH("human chain",Q684)),ISNUMBER(SEARCH("march",Q684))),1,0)+IF(OR(ISNUMBER(SEARCH("fir",Q684)),ISNUMBER(SEARCH("confrontation",Q684)),ISNUMBER(SEARCH("violence",Q684)),ISNUMBER(SEARCH("detention",Q684)),ISNUMBER(SEARCH("arrest",Q684)),ISNUMBER(SEARCH("demolition",Q684)),ISNUMBER(SEARCH("injury",Q684))),1,0)+IF(OR(D684="Ongoing",D684="Unresolved"),1,0))))</x:f>
      </x:c>
      <x:c r="K684" s="16" t="str">
        <x:f>IF(J684="","",IF(J684=1,"Limited",IF(J684=2,"Local",IF(J684=3,"Significant",IF(J684=4,"High","Critical")))))</x:f>
      </x:c>
      <x:c r="L684" s="16" t="str">
        <x:f>IF(A684="","",Events!U683)</x:f>
      </x:c>
      <x:c r="M684" s="16" t="str">
        <x:f>IF(A684="","",Events!V683)</x:f>
      </x:c>
      <x:c r="N684" s="16" t="str">
        <x:f>IF(A684="","",Events!Q683)</x:f>
      </x:c>
      <x:c r="O684" s="16" t="str">
        <x:f>IF(A684="","",Events!R683)</x:f>
      </x:c>
      <x:c r="P684" s="16" t="str">
        <x:f>IF(A684="","",LOWER(Events!B683&amp;" "&amp;Events!D683&amp;" "&amp;Events!K683))</x:f>
      </x:c>
      <x:c r="Q684" s="16" t="str">
        <x:f>IF(A684="","",LOWER(Events!C683&amp;" "&amp;Events!K683&amp;" "&amp;Events!T683))</x:f>
      </x:c>
      <x:c r="R684" s="16" t="str">
        <x:f>IF(A684="","",IF(ISNUMBER(SEARCH("Occurrence verified",E684)),"Occurrence verified",E684))</x:f>
      </x:c>
      <x:c r="S684" s="79" t="str">
        <x:f>IF(A684="","",Events!X683)</x:f>
      </x:c>
      <x:c r="Z684" s="79" t="str">
        <x:f>IF(A684="","",Events!AD683)</x:f>
      </x:c>
      <x:c r="AA684" s="79" t="str">
        <x:f>IF(A684="","",Events!AE683)</x:f>
      </x:c>
    </x:row>
    <x:row r="685">
      <x:c r="A685" s="16" t="str">
        <x:f>IF(Events!A684="","",Events!A684)</x:f>
      </x:c>
      <x:c r="B685" s="16" t="str">
        <x:f>IF(A685="","",Events!B684)</x:f>
      </x:c>
      <x:c r="C685" s="16" t="str">
        <x:f>IF(A685="","",Events!E684)</x:f>
      </x:c>
      <x:c r="D685" s="16" t="str">
        <x:f>IF(A685="","",Events!J684)</x:f>
      </x:c>
      <x:c r="E685" s="16" t="str">
        <x:f>IF(A685="","",Events!N684)</x:f>
      </x:c>
      <x:c r="F685" s="109" t="str">
        <x:f>IF(OR(A685="",Events!H684=""),"",Events!H684)</x:f>
      </x:c>
      <x:c r="G685" s="109" t="str">
        <x:f>IF(A685="","",IF(Events!I684&lt;&gt;"",Events!I684,IF(Events!S684&lt;&gt;"",Events!S684,"")))</x:f>
      </x:c>
      <x:c r="H685" s="16" t="str">
        <x:f>IF(A685="","",Events!W684)</x:f>
      </x:c>
      <x:c r="I685" s="16" t="str">
        <x:f>IF(A685="","",IF(Events!Y684&lt;&gt;"",Events!Y684,IF(OR(ISNUMBER(SEARCH("education",P685)),ISNUMBER(SEARCH("exam",P685)),ISNUMBER(SEARCH("school",P685))),"Education",IF(OR(ISNUMBER(SEARCH("trade agreement",P685)),ISNUMBER(SEARCH("economic",P685)),ISNUMBER(SEARCH("import",P685))),"Trade &amp; economic policy",IF(OR(ISNUMBER(SEARCH("land acquisition",P685)),ISNUMBER(SEARCH("rehabilitation",P685)),ISNUMBER(SEARCH("displacement",P685)),ISNUMBER(SEARCH("township",P685))),"Land &amp; rehabilitation",IF(OR(ISNUMBER(SEARCH("forest",P685)),ISNUMBER(SEARCH("environment",P685)),ISNUMBER(SEARCH("ecological",P685)),ISNUMBER(SEARCH("biodiversity",P685)),ISNUMBER(SEARCH("green cover",P685))),"Environment",IF(OR(ISNUMBER(SEARCH("irrigation",P685)),ISNUMBER(SEARCH("water",P685)),ISNUMBER(SEARCH("crop",P685)),ISNUMBER(SEARCH("farmer",P685)),ISNUMBER(SEARCH("agriculture",P685))),"Agriculture &amp; water",IF(OR(ISNUMBER(SEARCH("health",P685)),ISNUMBER(SEARCH("hospital",P685)),ISNUMBER(SEARCH("medicine",P685))),"Public health",IF(OR(ISNUMBER(SEARCH("employee",P685)),ISNUMBER(SEARCH("labour",P685)),ISNUMBER(SEARCH("worker",P685)),ISNUMBER(SEARCH("salary",P685))),"Labour &amp; employment",IF(OR(ISNUMBER(SEARCH("rti",P685)),ISNUMBER(SEARCH("transparency",P685)),ISNUMBER(SEARCH("corruption",P685)),ISNUMBER(SEARCH("governance",P685))),"Governance &amp; transparency",IF(OR(ISNUMBER(SEARCH("police",P685)),ISNUMBER(SEARCH("detention",P685)),ISNUMBER(SEARCH("civil rights",P685)),ISNUMBER(SEARCH("justice",P685))),"Civil rights &amp; justice",IF(OR(ISNUMBER(SEARCH("road",P685)),ISNUMBER(SEARCH("utility",P685)),ISNUMBER(SEARCH("infrastructure",P685)),ISNUMBER(SEARCH("public service",P685))),"Infrastructure &amp; public services","Other"))))))))))))</x:f>
      </x:c>
      <x:c r="J685" s="16" t="str">
        <x:f>IF(A685="","",IF(OR(ISNUMBER(SEARCH("fatal",Q685)),ISNUMBER(SEARCH("death",Q685)),ISNUMBER(SEARCH("riot",Q685)),ISNUMBER(SEARCH("curfew",Q685)),ISNUMBER(SEARCH("internet shutdown",Q685))),5,MIN(4,1+IF(H685&gt;=7,1,0)+IF(OR(ISNUMBER(SEARCH("hunger strike",Q685)),ISNUMBER(SEARCH("blockade",Q685)),ISNUMBER(SEARCH("strike",Q685)),ISNUMBER(SEARCH("jal satyagraha",Q685)),ISNUMBER(SEARCH("survey",Q685)),ISNUMBER(SEARCH("human chain",Q685)),ISNUMBER(SEARCH("march",Q685))),1,0)+IF(OR(ISNUMBER(SEARCH("fir",Q685)),ISNUMBER(SEARCH("confrontation",Q685)),ISNUMBER(SEARCH("violence",Q685)),ISNUMBER(SEARCH("detention",Q685)),ISNUMBER(SEARCH("arrest",Q685)),ISNUMBER(SEARCH("demolition",Q685)),ISNUMBER(SEARCH("injury",Q685))),1,0)+IF(OR(D685="Ongoing",D685="Unresolved"),1,0))))</x:f>
      </x:c>
      <x:c r="K685" s="16" t="str">
        <x:f>IF(J685="","",IF(J685=1,"Limited",IF(J685=2,"Local",IF(J685=3,"Significant",IF(J685=4,"High","Critical")))))</x:f>
      </x:c>
      <x:c r="L685" s="16" t="str">
        <x:f>IF(A685="","",Events!U684)</x:f>
      </x:c>
      <x:c r="M685" s="16" t="str">
        <x:f>IF(A685="","",Events!V684)</x:f>
      </x:c>
      <x:c r="N685" s="16" t="str">
        <x:f>IF(A685="","",Events!Q684)</x:f>
      </x:c>
      <x:c r="O685" s="16" t="str">
        <x:f>IF(A685="","",Events!R684)</x:f>
      </x:c>
      <x:c r="P685" s="16" t="str">
        <x:f>IF(A685="","",LOWER(Events!B684&amp;" "&amp;Events!D684&amp;" "&amp;Events!K684))</x:f>
      </x:c>
      <x:c r="Q685" s="16" t="str">
        <x:f>IF(A685="","",LOWER(Events!C684&amp;" "&amp;Events!K684&amp;" "&amp;Events!T684))</x:f>
      </x:c>
      <x:c r="R685" s="16" t="str">
        <x:f>IF(A685="","",IF(ISNUMBER(SEARCH("Occurrence verified",E685)),"Occurrence verified",E685))</x:f>
      </x:c>
      <x:c r="S685" s="79" t="str">
        <x:f>IF(A685="","",Events!X684)</x:f>
      </x:c>
      <x:c r="Z685" s="79" t="str">
        <x:f>IF(A685="","",Events!AD684)</x:f>
      </x:c>
      <x:c r="AA685" s="79" t="str">
        <x:f>IF(A685="","",Events!AE684)</x:f>
      </x:c>
    </x:row>
    <x:row r="686">
      <x:c r="A686" s="16" t="str">
        <x:f>IF(Events!A685="","",Events!A685)</x:f>
      </x:c>
      <x:c r="B686" s="16" t="str">
        <x:f>IF(A686="","",Events!B685)</x:f>
      </x:c>
      <x:c r="C686" s="16" t="str">
        <x:f>IF(A686="","",Events!E685)</x:f>
      </x:c>
      <x:c r="D686" s="16" t="str">
        <x:f>IF(A686="","",Events!J685)</x:f>
      </x:c>
      <x:c r="E686" s="16" t="str">
        <x:f>IF(A686="","",Events!N685)</x:f>
      </x:c>
      <x:c r="F686" s="109" t="str">
        <x:f>IF(OR(A686="",Events!H685=""),"",Events!H685)</x:f>
      </x:c>
      <x:c r="G686" s="109" t="str">
        <x:f>IF(A686="","",IF(Events!I685&lt;&gt;"",Events!I685,IF(Events!S685&lt;&gt;"",Events!S685,"")))</x:f>
      </x:c>
      <x:c r="H686" s="16" t="str">
        <x:f>IF(A686="","",Events!W685)</x:f>
      </x:c>
      <x:c r="I686" s="16" t="str">
        <x:f>IF(A686="","",IF(Events!Y685&lt;&gt;"",Events!Y685,IF(OR(ISNUMBER(SEARCH("education",P686)),ISNUMBER(SEARCH("exam",P686)),ISNUMBER(SEARCH("school",P686))),"Education",IF(OR(ISNUMBER(SEARCH("trade agreement",P686)),ISNUMBER(SEARCH("economic",P686)),ISNUMBER(SEARCH("import",P686))),"Trade &amp; economic policy",IF(OR(ISNUMBER(SEARCH("land acquisition",P686)),ISNUMBER(SEARCH("rehabilitation",P686)),ISNUMBER(SEARCH("displacement",P686)),ISNUMBER(SEARCH("township",P686))),"Land &amp; rehabilitation",IF(OR(ISNUMBER(SEARCH("forest",P686)),ISNUMBER(SEARCH("environment",P686)),ISNUMBER(SEARCH("ecological",P686)),ISNUMBER(SEARCH("biodiversity",P686)),ISNUMBER(SEARCH("green cover",P686))),"Environment",IF(OR(ISNUMBER(SEARCH("irrigation",P686)),ISNUMBER(SEARCH("water",P686)),ISNUMBER(SEARCH("crop",P686)),ISNUMBER(SEARCH("farmer",P686)),ISNUMBER(SEARCH("agriculture",P686))),"Agriculture &amp; water",IF(OR(ISNUMBER(SEARCH("health",P686)),ISNUMBER(SEARCH("hospital",P686)),ISNUMBER(SEARCH("medicine",P686))),"Public health",IF(OR(ISNUMBER(SEARCH("employee",P686)),ISNUMBER(SEARCH("labour",P686)),ISNUMBER(SEARCH("worker",P686)),ISNUMBER(SEARCH("salary",P686))),"Labour &amp; employment",IF(OR(ISNUMBER(SEARCH("rti",P686)),ISNUMBER(SEARCH("transparency",P686)),ISNUMBER(SEARCH("corruption",P686)),ISNUMBER(SEARCH("governance",P686))),"Governance &amp; transparency",IF(OR(ISNUMBER(SEARCH("police",P686)),ISNUMBER(SEARCH("detention",P686)),ISNUMBER(SEARCH("civil rights",P686)),ISNUMBER(SEARCH("justice",P686))),"Civil rights &amp; justice",IF(OR(ISNUMBER(SEARCH("road",P686)),ISNUMBER(SEARCH("utility",P686)),ISNUMBER(SEARCH("infrastructure",P686)),ISNUMBER(SEARCH("public service",P686))),"Infrastructure &amp; public services","Other"))))))))))))</x:f>
      </x:c>
      <x:c r="J686" s="16" t="str">
        <x:f>IF(A686="","",IF(OR(ISNUMBER(SEARCH("fatal",Q686)),ISNUMBER(SEARCH("death",Q686)),ISNUMBER(SEARCH("riot",Q686)),ISNUMBER(SEARCH("curfew",Q686)),ISNUMBER(SEARCH("internet shutdown",Q686))),5,MIN(4,1+IF(H686&gt;=7,1,0)+IF(OR(ISNUMBER(SEARCH("hunger strike",Q686)),ISNUMBER(SEARCH("blockade",Q686)),ISNUMBER(SEARCH("strike",Q686)),ISNUMBER(SEARCH("jal satyagraha",Q686)),ISNUMBER(SEARCH("survey",Q686)),ISNUMBER(SEARCH("human chain",Q686)),ISNUMBER(SEARCH("march",Q686))),1,0)+IF(OR(ISNUMBER(SEARCH("fir",Q686)),ISNUMBER(SEARCH("confrontation",Q686)),ISNUMBER(SEARCH("violence",Q686)),ISNUMBER(SEARCH("detention",Q686)),ISNUMBER(SEARCH("arrest",Q686)),ISNUMBER(SEARCH("demolition",Q686)),ISNUMBER(SEARCH("injury",Q686))),1,0)+IF(OR(D686="Ongoing",D686="Unresolved"),1,0))))</x:f>
      </x:c>
      <x:c r="K686" s="16" t="str">
        <x:f>IF(J686="","",IF(J686=1,"Limited",IF(J686=2,"Local",IF(J686=3,"Significant",IF(J686=4,"High","Critical")))))</x:f>
      </x:c>
      <x:c r="L686" s="16" t="str">
        <x:f>IF(A686="","",Events!U685)</x:f>
      </x:c>
      <x:c r="M686" s="16" t="str">
        <x:f>IF(A686="","",Events!V685)</x:f>
      </x:c>
      <x:c r="N686" s="16" t="str">
        <x:f>IF(A686="","",Events!Q685)</x:f>
      </x:c>
      <x:c r="O686" s="16" t="str">
        <x:f>IF(A686="","",Events!R685)</x:f>
      </x:c>
      <x:c r="P686" s="16" t="str">
        <x:f>IF(A686="","",LOWER(Events!B685&amp;" "&amp;Events!D685&amp;" "&amp;Events!K685))</x:f>
      </x:c>
      <x:c r="Q686" s="16" t="str">
        <x:f>IF(A686="","",LOWER(Events!C685&amp;" "&amp;Events!K685&amp;" "&amp;Events!T685))</x:f>
      </x:c>
      <x:c r="R686" s="16" t="str">
        <x:f>IF(A686="","",IF(ISNUMBER(SEARCH("Occurrence verified",E686)),"Occurrence verified",E686))</x:f>
      </x:c>
      <x:c r="S686" s="79" t="str">
        <x:f>IF(A686="","",Events!X685)</x:f>
      </x:c>
      <x:c r="Z686" s="79" t="str">
        <x:f>IF(A686="","",Events!AD685)</x:f>
      </x:c>
      <x:c r="AA686" s="79" t="str">
        <x:f>IF(A686="","",Events!AE685)</x:f>
      </x:c>
    </x:row>
    <x:row r="687">
      <x:c r="A687" s="16" t="str">
        <x:f>IF(Events!A686="","",Events!A686)</x:f>
      </x:c>
      <x:c r="B687" s="16" t="str">
        <x:f>IF(A687="","",Events!B686)</x:f>
      </x:c>
      <x:c r="C687" s="16" t="str">
        <x:f>IF(A687="","",Events!E686)</x:f>
      </x:c>
      <x:c r="D687" s="16" t="str">
        <x:f>IF(A687="","",Events!J686)</x:f>
      </x:c>
      <x:c r="E687" s="16" t="str">
        <x:f>IF(A687="","",Events!N686)</x:f>
      </x:c>
      <x:c r="F687" s="109" t="str">
        <x:f>IF(OR(A687="",Events!H686=""),"",Events!H686)</x:f>
      </x:c>
      <x:c r="G687" s="109" t="str">
        <x:f>IF(A687="","",IF(Events!I686&lt;&gt;"",Events!I686,IF(Events!S686&lt;&gt;"",Events!S686,"")))</x:f>
      </x:c>
      <x:c r="H687" s="16" t="str">
        <x:f>IF(A687="","",Events!W686)</x:f>
      </x:c>
      <x:c r="I687" s="16" t="str">
        <x:f>IF(A687="","",IF(Events!Y686&lt;&gt;"",Events!Y686,IF(OR(ISNUMBER(SEARCH("education",P687)),ISNUMBER(SEARCH("exam",P687)),ISNUMBER(SEARCH("school",P687))),"Education",IF(OR(ISNUMBER(SEARCH("trade agreement",P687)),ISNUMBER(SEARCH("economic",P687)),ISNUMBER(SEARCH("import",P687))),"Trade &amp; economic policy",IF(OR(ISNUMBER(SEARCH("land acquisition",P687)),ISNUMBER(SEARCH("rehabilitation",P687)),ISNUMBER(SEARCH("displacement",P687)),ISNUMBER(SEARCH("township",P687))),"Land &amp; rehabilitation",IF(OR(ISNUMBER(SEARCH("forest",P687)),ISNUMBER(SEARCH("environment",P687)),ISNUMBER(SEARCH("ecological",P687)),ISNUMBER(SEARCH("biodiversity",P687)),ISNUMBER(SEARCH("green cover",P687))),"Environment",IF(OR(ISNUMBER(SEARCH("irrigation",P687)),ISNUMBER(SEARCH("water",P687)),ISNUMBER(SEARCH("crop",P687)),ISNUMBER(SEARCH("farmer",P687)),ISNUMBER(SEARCH("agriculture",P687))),"Agriculture &amp; water",IF(OR(ISNUMBER(SEARCH("health",P687)),ISNUMBER(SEARCH("hospital",P687)),ISNUMBER(SEARCH("medicine",P687))),"Public health",IF(OR(ISNUMBER(SEARCH("employee",P687)),ISNUMBER(SEARCH("labour",P687)),ISNUMBER(SEARCH("worker",P687)),ISNUMBER(SEARCH("salary",P687))),"Labour &amp; employment",IF(OR(ISNUMBER(SEARCH("rti",P687)),ISNUMBER(SEARCH("transparency",P687)),ISNUMBER(SEARCH("corruption",P687)),ISNUMBER(SEARCH("governance",P687))),"Governance &amp; transparency",IF(OR(ISNUMBER(SEARCH("police",P687)),ISNUMBER(SEARCH("detention",P687)),ISNUMBER(SEARCH("civil rights",P687)),ISNUMBER(SEARCH("justice",P687))),"Civil rights &amp; justice",IF(OR(ISNUMBER(SEARCH("road",P687)),ISNUMBER(SEARCH("utility",P687)),ISNUMBER(SEARCH("infrastructure",P687)),ISNUMBER(SEARCH("public service",P687))),"Infrastructure &amp; public services","Other"))))))))))))</x:f>
      </x:c>
      <x:c r="J687" s="16" t="str">
        <x:f>IF(A687="","",IF(OR(ISNUMBER(SEARCH("fatal",Q687)),ISNUMBER(SEARCH("death",Q687)),ISNUMBER(SEARCH("riot",Q687)),ISNUMBER(SEARCH("curfew",Q687)),ISNUMBER(SEARCH("internet shutdown",Q687))),5,MIN(4,1+IF(H687&gt;=7,1,0)+IF(OR(ISNUMBER(SEARCH("hunger strike",Q687)),ISNUMBER(SEARCH("blockade",Q687)),ISNUMBER(SEARCH("strike",Q687)),ISNUMBER(SEARCH("jal satyagraha",Q687)),ISNUMBER(SEARCH("survey",Q687)),ISNUMBER(SEARCH("human chain",Q687)),ISNUMBER(SEARCH("march",Q687))),1,0)+IF(OR(ISNUMBER(SEARCH("fir",Q687)),ISNUMBER(SEARCH("confrontation",Q687)),ISNUMBER(SEARCH("violence",Q687)),ISNUMBER(SEARCH("detention",Q687)),ISNUMBER(SEARCH("arrest",Q687)),ISNUMBER(SEARCH("demolition",Q687)),ISNUMBER(SEARCH("injury",Q687))),1,0)+IF(OR(D687="Ongoing",D687="Unresolved"),1,0))))</x:f>
      </x:c>
      <x:c r="K687" s="16" t="str">
        <x:f>IF(J687="","",IF(J687=1,"Limited",IF(J687=2,"Local",IF(J687=3,"Significant",IF(J687=4,"High","Critical")))))</x:f>
      </x:c>
      <x:c r="L687" s="16" t="str">
        <x:f>IF(A687="","",Events!U686)</x:f>
      </x:c>
      <x:c r="M687" s="16" t="str">
        <x:f>IF(A687="","",Events!V686)</x:f>
      </x:c>
      <x:c r="N687" s="16" t="str">
        <x:f>IF(A687="","",Events!Q686)</x:f>
      </x:c>
      <x:c r="O687" s="16" t="str">
        <x:f>IF(A687="","",Events!R686)</x:f>
      </x:c>
      <x:c r="P687" s="16" t="str">
        <x:f>IF(A687="","",LOWER(Events!B686&amp;" "&amp;Events!D686&amp;" "&amp;Events!K686))</x:f>
      </x:c>
      <x:c r="Q687" s="16" t="str">
        <x:f>IF(A687="","",LOWER(Events!C686&amp;" "&amp;Events!K686&amp;" "&amp;Events!T686))</x:f>
      </x:c>
      <x:c r="R687" s="16" t="str">
        <x:f>IF(A687="","",IF(ISNUMBER(SEARCH("Occurrence verified",E687)),"Occurrence verified",E687))</x:f>
      </x:c>
      <x:c r="S687" s="79" t="str">
        <x:f>IF(A687="","",Events!X686)</x:f>
      </x:c>
      <x:c r="Z687" s="79" t="str">
        <x:f>IF(A687="","",Events!AD686)</x:f>
      </x:c>
      <x:c r="AA687" s="79" t="str">
        <x:f>IF(A687="","",Events!AE686)</x:f>
      </x:c>
    </x:row>
    <x:row r="688">
      <x:c r="A688" s="16" t="str">
        <x:f>IF(Events!A687="","",Events!A687)</x:f>
      </x:c>
      <x:c r="B688" s="16" t="str">
        <x:f>IF(A688="","",Events!B687)</x:f>
      </x:c>
      <x:c r="C688" s="16" t="str">
        <x:f>IF(A688="","",Events!E687)</x:f>
      </x:c>
      <x:c r="D688" s="16" t="str">
        <x:f>IF(A688="","",Events!J687)</x:f>
      </x:c>
      <x:c r="E688" s="16" t="str">
        <x:f>IF(A688="","",Events!N687)</x:f>
      </x:c>
      <x:c r="F688" s="109" t="str">
        <x:f>IF(OR(A688="",Events!H687=""),"",Events!H687)</x:f>
      </x:c>
      <x:c r="G688" s="109" t="str">
        <x:f>IF(A688="","",IF(Events!I687&lt;&gt;"",Events!I687,IF(Events!S687&lt;&gt;"",Events!S687,"")))</x:f>
      </x:c>
      <x:c r="H688" s="16" t="str">
        <x:f>IF(A688="","",Events!W687)</x:f>
      </x:c>
      <x:c r="I688" s="16" t="str">
        <x:f>IF(A688="","",IF(Events!Y687&lt;&gt;"",Events!Y687,IF(OR(ISNUMBER(SEARCH("education",P688)),ISNUMBER(SEARCH("exam",P688)),ISNUMBER(SEARCH("school",P688))),"Education",IF(OR(ISNUMBER(SEARCH("trade agreement",P688)),ISNUMBER(SEARCH("economic",P688)),ISNUMBER(SEARCH("import",P688))),"Trade &amp; economic policy",IF(OR(ISNUMBER(SEARCH("land acquisition",P688)),ISNUMBER(SEARCH("rehabilitation",P688)),ISNUMBER(SEARCH("displacement",P688)),ISNUMBER(SEARCH("township",P688))),"Land &amp; rehabilitation",IF(OR(ISNUMBER(SEARCH("forest",P688)),ISNUMBER(SEARCH("environment",P688)),ISNUMBER(SEARCH("ecological",P688)),ISNUMBER(SEARCH("biodiversity",P688)),ISNUMBER(SEARCH("green cover",P688))),"Environment",IF(OR(ISNUMBER(SEARCH("irrigation",P688)),ISNUMBER(SEARCH("water",P688)),ISNUMBER(SEARCH("crop",P688)),ISNUMBER(SEARCH("farmer",P688)),ISNUMBER(SEARCH("agriculture",P688))),"Agriculture &amp; water",IF(OR(ISNUMBER(SEARCH("health",P688)),ISNUMBER(SEARCH("hospital",P688)),ISNUMBER(SEARCH("medicine",P688))),"Public health",IF(OR(ISNUMBER(SEARCH("employee",P688)),ISNUMBER(SEARCH("labour",P688)),ISNUMBER(SEARCH("worker",P688)),ISNUMBER(SEARCH("salary",P688))),"Labour &amp; employment",IF(OR(ISNUMBER(SEARCH("rti",P688)),ISNUMBER(SEARCH("transparency",P688)),ISNUMBER(SEARCH("corruption",P688)),ISNUMBER(SEARCH("governance",P688))),"Governance &amp; transparency",IF(OR(ISNUMBER(SEARCH("police",P688)),ISNUMBER(SEARCH("detention",P688)),ISNUMBER(SEARCH("civil rights",P688)),ISNUMBER(SEARCH("justice",P688))),"Civil rights &amp; justice",IF(OR(ISNUMBER(SEARCH("road",P688)),ISNUMBER(SEARCH("utility",P688)),ISNUMBER(SEARCH("infrastructure",P688)),ISNUMBER(SEARCH("public service",P688))),"Infrastructure &amp; public services","Other"))))))))))))</x:f>
      </x:c>
      <x:c r="J688" s="16" t="str">
        <x:f>IF(A688="","",IF(OR(ISNUMBER(SEARCH("fatal",Q688)),ISNUMBER(SEARCH("death",Q688)),ISNUMBER(SEARCH("riot",Q688)),ISNUMBER(SEARCH("curfew",Q688)),ISNUMBER(SEARCH("internet shutdown",Q688))),5,MIN(4,1+IF(H688&gt;=7,1,0)+IF(OR(ISNUMBER(SEARCH("hunger strike",Q688)),ISNUMBER(SEARCH("blockade",Q688)),ISNUMBER(SEARCH("strike",Q688)),ISNUMBER(SEARCH("jal satyagraha",Q688)),ISNUMBER(SEARCH("survey",Q688)),ISNUMBER(SEARCH("human chain",Q688)),ISNUMBER(SEARCH("march",Q688))),1,0)+IF(OR(ISNUMBER(SEARCH("fir",Q688)),ISNUMBER(SEARCH("confrontation",Q688)),ISNUMBER(SEARCH("violence",Q688)),ISNUMBER(SEARCH("detention",Q688)),ISNUMBER(SEARCH("arrest",Q688)),ISNUMBER(SEARCH("demolition",Q688)),ISNUMBER(SEARCH("injury",Q688))),1,0)+IF(OR(D688="Ongoing",D688="Unresolved"),1,0))))</x:f>
      </x:c>
      <x:c r="K688" s="16" t="str">
        <x:f>IF(J688="","",IF(J688=1,"Limited",IF(J688=2,"Local",IF(J688=3,"Significant",IF(J688=4,"High","Critical")))))</x:f>
      </x:c>
      <x:c r="L688" s="16" t="str">
        <x:f>IF(A688="","",Events!U687)</x:f>
      </x:c>
      <x:c r="M688" s="16" t="str">
        <x:f>IF(A688="","",Events!V687)</x:f>
      </x:c>
      <x:c r="N688" s="16" t="str">
        <x:f>IF(A688="","",Events!Q687)</x:f>
      </x:c>
      <x:c r="O688" s="16" t="str">
        <x:f>IF(A688="","",Events!R687)</x:f>
      </x:c>
      <x:c r="P688" s="16" t="str">
        <x:f>IF(A688="","",LOWER(Events!B687&amp;" "&amp;Events!D687&amp;" "&amp;Events!K687))</x:f>
      </x:c>
      <x:c r="Q688" s="16" t="str">
        <x:f>IF(A688="","",LOWER(Events!C687&amp;" "&amp;Events!K687&amp;" "&amp;Events!T687))</x:f>
      </x:c>
      <x:c r="R688" s="16" t="str">
        <x:f>IF(A688="","",IF(ISNUMBER(SEARCH("Occurrence verified",E688)),"Occurrence verified",E688))</x:f>
      </x:c>
      <x:c r="S688" s="79" t="str">
        <x:f>IF(A688="","",Events!X687)</x:f>
      </x:c>
      <x:c r="Z688" s="79" t="str">
        <x:f>IF(A688="","",Events!AD687)</x:f>
      </x:c>
      <x:c r="AA688" s="79" t="str">
        <x:f>IF(A688="","",Events!AE687)</x:f>
      </x:c>
    </x:row>
    <x:row r="689">
      <x:c r="A689" s="16" t="str">
        <x:f>IF(Events!A688="","",Events!A688)</x:f>
      </x:c>
      <x:c r="B689" s="16" t="str">
        <x:f>IF(A689="","",Events!B688)</x:f>
      </x:c>
      <x:c r="C689" s="16" t="str">
        <x:f>IF(A689="","",Events!E688)</x:f>
      </x:c>
      <x:c r="D689" s="16" t="str">
        <x:f>IF(A689="","",Events!J688)</x:f>
      </x:c>
      <x:c r="E689" s="16" t="str">
        <x:f>IF(A689="","",Events!N688)</x:f>
      </x:c>
      <x:c r="F689" s="109" t="str">
        <x:f>IF(OR(A689="",Events!H688=""),"",Events!H688)</x:f>
      </x:c>
      <x:c r="G689" s="109" t="str">
        <x:f>IF(A689="","",IF(Events!I688&lt;&gt;"",Events!I688,IF(Events!S688&lt;&gt;"",Events!S688,"")))</x:f>
      </x:c>
      <x:c r="H689" s="16" t="str">
        <x:f>IF(A689="","",Events!W688)</x:f>
      </x:c>
      <x:c r="I689" s="16" t="str">
        <x:f>IF(A689="","",IF(Events!Y688&lt;&gt;"",Events!Y688,IF(OR(ISNUMBER(SEARCH("education",P689)),ISNUMBER(SEARCH("exam",P689)),ISNUMBER(SEARCH("school",P689))),"Education",IF(OR(ISNUMBER(SEARCH("trade agreement",P689)),ISNUMBER(SEARCH("economic",P689)),ISNUMBER(SEARCH("import",P689))),"Trade &amp; economic policy",IF(OR(ISNUMBER(SEARCH("land acquisition",P689)),ISNUMBER(SEARCH("rehabilitation",P689)),ISNUMBER(SEARCH("displacement",P689)),ISNUMBER(SEARCH("township",P689))),"Land &amp; rehabilitation",IF(OR(ISNUMBER(SEARCH("forest",P689)),ISNUMBER(SEARCH("environment",P689)),ISNUMBER(SEARCH("ecological",P689)),ISNUMBER(SEARCH("biodiversity",P689)),ISNUMBER(SEARCH("green cover",P689))),"Environment",IF(OR(ISNUMBER(SEARCH("irrigation",P689)),ISNUMBER(SEARCH("water",P689)),ISNUMBER(SEARCH("crop",P689)),ISNUMBER(SEARCH("farmer",P689)),ISNUMBER(SEARCH("agriculture",P689))),"Agriculture &amp; water",IF(OR(ISNUMBER(SEARCH("health",P689)),ISNUMBER(SEARCH("hospital",P689)),ISNUMBER(SEARCH("medicine",P689))),"Public health",IF(OR(ISNUMBER(SEARCH("employee",P689)),ISNUMBER(SEARCH("labour",P689)),ISNUMBER(SEARCH("worker",P689)),ISNUMBER(SEARCH("salary",P689))),"Labour &amp; employment",IF(OR(ISNUMBER(SEARCH("rti",P689)),ISNUMBER(SEARCH("transparency",P689)),ISNUMBER(SEARCH("corruption",P689)),ISNUMBER(SEARCH("governance",P689))),"Governance &amp; transparency",IF(OR(ISNUMBER(SEARCH("police",P689)),ISNUMBER(SEARCH("detention",P689)),ISNUMBER(SEARCH("civil rights",P689)),ISNUMBER(SEARCH("justice",P689))),"Civil rights &amp; justice",IF(OR(ISNUMBER(SEARCH("road",P689)),ISNUMBER(SEARCH("utility",P689)),ISNUMBER(SEARCH("infrastructure",P689)),ISNUMBER(SEARCH("public service",P689))),"Infrastructure &amp; public services","Other"))))))))))))</x:f>
      </x:c>
      <x:c r="J689" s="16" t="str">
        <x:f>IF(A689="","",IF(OR(ISNUMBER(SEARCH("fatal",Q689)),ISNUMBER(SEARCH("death",Q689)),ISNUMBER(SEARCH("riot",Q689)),ISNUMBER(SEARCH("curfew",Q689)),ISNUMBER(SEARCH("internet shutdown",Q689))),5,MIN(4,1+IF(H689&gt;=7,1,0)+IF(OR(ISNUMBER(SEARCH("hunger strike",Q689)),ISNUMBER(SEARCH("blockade",Q689)),ISNUMBER(SEARCH("strike",Q689)),ISNUMBER(SEARCH("jal satyagraha",Q689)),ISNUMBER(SEARCH("survey",Q689)),ISNUMBER(SEARCH("human chain",Q689)),ISNUMBER(SEARCH("march",Q689))),1,0)+IF(OR(ISNUMBER(SEARCH("fir",Q689)),ISNUMBER(SEARCH("confrontation",Q689)),ISNUMBER(SEARCH("violence",Q689)),ISNUMBER(SEARCH("detention",Q689)),ISNUMBER(SEARCH("arrest",Q689)),ISNUMBER(SEARCH("demolition",Q689)),ISNUMBER(SEARCH("injury",Q689))),1,0)+IF(OR(D689="Ongoing",D689="Unresolved"),1,0))))</x:f>
      </x:c>
      <x:c r="K689" s="16" t="str">
        <x:f>IF(J689="","",IF(J689=1,"Limited",IF(J689=2,"Local",IF(J689=3,"Significant",IF(J689=4,"High","Critical")))))</x:f>
      </x:c>
      <x:c r="L689" s="16" t="str">
        <x:f>IF(A689="","",Events!U688)</x:f>
      </x:c>
      <x:c r="M689" s="16" t="str">
        <x:f>IF(A689="","",Events!V688)</x:f>
      </x:c>
      <x:c r="N689" s="16" t="str">
        <x:f>IF(A689="","",Events!Q688)</x:f>
      </x:c>
      <x:c r="O689" s="16" t="str">
        <x:f>IF(A689="","",Events!R688)</x:f>
      </x:c>
      <x:c r="P689" s="16" t="str">
        <x:f>IF(A689="","",LOWER(Events!B688&amp;" "&amp;Events!D688&amp;" "&amp;Events!K688))</x:f>
      </x:c>
      <x:c r="Q689" s="16" t="str">
        <x:f>IF(A689="","",LOWER(Events!C688&amp;" "&amp;Events!K688&amp;" "&amp;Events!T688))</x:f>
      </x:c>
      <x:c r="R689" s="16" t="str">
        <x:f>IF(A689="","",IF(ISNUMBER(SEARCH("Occurrence verified",E689)),"Occurrence verified",E689))</x:f>
      </x:c>
      <x:c r="S689" s="79" t="str">
        <x:f>IF(A689="","",Events!X688)</x:f>
      </x:c>
      <x:c r="Z689" s="79" t="str">
        <x:f>IF(A689="","",Events!AD688)</x:f>
      </x:c>
      <x:c r="AA689" s="79" t="str">
        <x:f>IF(A689="","",Events!AE688)</x:f>
      </x:c>
    </x:row>
    <x:row r="690">
      <x:c r="A690" s="16" t="str">
        <x:f>IF(Events!A689="","",Events!A689)</x:f>
      </x:c>
      <x:c r="B690" s="16" t="str">
        <x:f>IF(A690="","",Events!B689)</x:f>
      </x:c>
      <x:c r="C690" s="16" t="str">
        <x:f>IF(A690="","",Events!E689)</x:f>
      </x:c>
      <x:c r="D690" s="16" t="str">
        <x:f>IF(A690="","",Events!J689)</x:f>
      </x:c>
      <x:c r="E690" s="16" t="str">
        <x:f>IF(A690="","",Events!N689)</x:f>
      </x:c>
      <x:c r="F690" s="109" t="str">
        <x:f>IF(OR(A690="",Events!H689=""),"",Events!H689)</x:f>
      </x:c>
      <x:c r="G690" s="109" t="str">
        <x:f>IF(A690="","",IF(Events!I689&lt;&gt;"",Events!I689,IF(Events!S689&lt;&gt;"",Events!S689,"")))</x:f>
      </x:c>
      <x:c r="H690" s="16" t="str">
        <x:f>IF(A690="","",Events!W689)</x:f>
      </x:c>
      <x:c r="I690" s="16" t="str">
        <x:f>IF(A690="","",IF(Events!Y689&lt;&gt;"",Events!Y689,IF(OR(ISNUMBER(SEARCH("education",P690)),ISNUMBER(SEARCH("exam",P690)),ISNUMBER(SEARCH("school",P690))),"Education",IF(OR(ISNUMBER(SEARCH("trade agreement",P690)),ISNUMBER(SEARCH("economic",P690)),ISNUMBER(SEARCH("import",P690))),"Trade &amp; economic policy",IF(OR(ISNUMBER(SEARCH("land acquisition",P690)),ISNUMBER(SEARCH("rehabilitation",P690)),ISNUMBER(SEARCH("displacement",P690)),ISNUMBER(SEARCH("township",P690))),"Land &amp; rehabilitation",IF(OR(ISNUMBER(SEARCH("forest",P690)),ISNUMBER(SEARCH("environment",P690)),ISNUMBER(SEARCH("ecological",P690)),ISNUMBER(SEARCH("biodiversity",P690)),ISNUMBER(SEARCH("green cover",P690))),"Environment",IF(OR(ISNUMBER(SEARCH("irrigation",P690)),ISNUMBER(SEARCH("water",P690)),ISNUMBER(SEARCH("crop",P690)),ISNUMBER(SEARCH("farmer",P690)),ISNUMBER(SEARCH("agriculture",P690))),"Agriculture &amp; water",IF(OR(ISNUMBER(SEARCH("health",P690)),ISNUMBER(SEARCH("hospital",P690)),ISNUMBER(SEARCH("medicine",P690))),"Public health",IF(OR(ISNUMBER(SEARCH("employee",P690)),ISNUMBER(SEARCH("labour",P690)),ISNUMBER(SEARCH("worker",P690)),ISNUMBER(SEARCH("salary",P690))),"Labour &amp; employment",IF(OR(ISNUMBER(SEARCH("rti",P690)),ISNUMBER(SEARCH("transparency",P690)),ISNUMBER(SEARCH("corruption",P690)),ISNUMBER(SEARCH("governance",P690))),"Governance &amp; transparency",IF(OR(ISNUMBER(SEARCH("police",P690)),ISNUMBER(SEARCH("detention",P690)),ISNUMBER(SEARCH("civil rights",P690)),ISNUMBER(SEARCH("justice",P690))),"Civil rights &amp; justice",IF(OR(ISNUMBER(SEARCH("road",P690)),ISNUMBER(SEARCH("utility",P690)),ISNUMBER(SEARCH("infrastructure",P690)),ISNUMBER(SEARCH("public service",P690))),"Infrastructure &amp; public services","Other"))))))))))))</x:f>
      </x:c>
      <x:c r="J690" s="16" t="str">
        <x:f>IF(A690="","",IF(OR(ISNUMBER(SEARCH("fatal",Q690)),ISNUMBER(SEARCH("death",Q690)),ISNUMBER(SEARCH("riot",Q690)),ISNUMBER(SEARCH("curfew",Q690)),ISNUMBER(SEARCH("internet shutdown",Q690))),5,MIN(4,1+IF(H690&gt;=7,1,0)+IF(OR(ISNUMBER(SEARCH("hunger strike",Q690)),ISNUMBER(SEARCH("blockade",Q690)),ISNUMBER(SEARCH("strike",Q690)),ISNUMBER(SEARCH("jal satyagraha",Q690)),ISNUMBER(SEARCH("survey",Q690)),ISNUMBER(SEARCH("human chain",Q690)),ISNUMBER(SEARCH("march",Q690))),1,0)+IF(OR(ISNUMBER(SEARCH("fir",Q690)),ISNUMBER(SEARCH("confrontation",Q690)),ISNUMBER(SEARCH("violence",Q690)),ISNUMBER(SEARCH("detention",Q690)),ISNUMBER(SEARCH("arrest",Q690)),ISNUMBER(SEARCH("demolition",Q690)),ISNUMBER(SEARCH("injury",Q690))),1,0)+IF(OR(D690="Ongoing",D690="Unresolved"),1,0))))</x:f>
      </x:c>
      <x:c r="K690" s="16" t="str">
        <x:f>IF(J690="","",IF(J690=1,"Limited",IF(J690=2,"Local",IF(J690=3,"Significant",IF(J690=4,"High","Critical")))))</x:f>
      </x:c>
      <x:c r="L690" s="16" t="str">
        <x:f>IF(A690="","",Events!U689)</x:f>
      </x:c>
      <x:c r="M690" s="16" t="str">
        <x:f>IF(A690="","",Events!V689)</x:f>
      </x:c>
      <x:c r="N690" s="16" t="str">
        <x:f>IF(A690="","",Events!Q689)</x:f>
      </x:c>
      <x:c r="O690" s="16" t="str">
        <x:f>IF(A690="","",Events!R689)</x:f>
      </x:c>
      <x:c r="P690" s="16" t="str">
        <x:f>IF(A690="","",LOWER(Events!B689&amp;" "&amp;Events!D689&amp;" "&amp;Events!K689))</x:f>
      </x:c>
      <x:c r="Q690" s="16" t="str">
        <x:f>IF(A690="","",LOWER(Events!C689&amp;" "&amp;Events!K689&amp;" "&amp;Events!T689))</x:f>
      </x:c>
      <x:c r="R690" s="16" t="str">
        <x:f>IF(A690="","",IF(ISNUMBER(SEARCH("Occurrence verified",E690)),"Occurrence verified",E690))</x:f>
      </x:c>
      <x:c r="S690" s="79" t="str">
        <x:f>IF(A690="","",Events!X689)</x:f>
      </x:c>
      <x:c r="Z690" s="79" t="str">
        <x:f>IF(A690="","",Events!AD689)</x:f>
      </x:c>
      <x:c r="AA690" s="79" t="str">
        <x:f>IF(A690="","",Events!AE689)</x:f>
      </x:c>
    </x:row>
    <x:row r="691">
      <x:c r="A691" s="16" t="str">
        <x:f>IF(Events!A690="","",Events!A690)</x:f>
      </x:c>
      <x:c r="B691" s="16" t="str">
        <x:f>IF(A691="","",Events!B690)</x:f>
      </x:c>
      <x:c r="C691" s="16" t="str">
        <x:f>IF(A691="","",Events!E690)</x:f>
      </x:c>
      <x:c r="D691" s="16" t="str">
        <x:f>IF(A691="","",Events!J690)</x:f>
      </x:c>
      <x:c r="E691" s="16" t="str">
        <x:f>IF(A691="","",Events!N690)</x:f>
      </x:c>
      <x:c r="F691" s="109" t="str">
        <x:f>IF(OR(A691="",Events!H690=""),"",Events!H690)</x:f>
      </x:c>
      <x:c r="G691" s="109" t="str">
        <x:f>IF(A691="","",IF(Events!I690&lt;&gt;"",Events!I690,IF(Events!S690&lt;&gt;"",Events!S690,"")))</x:f>
      </x:c>
      <x:c r="H691" s="16" t="str">
        <x:f>IF(A691="","",Events!W690)</x:f>
      </x:c>
      <x:c r="I691" s="16" t="str">
        <x:f>IF(A691="","",IF(Events!Y690&lt;&gt;"",Events!Y690,IF(OR(ISNUMBER(SEARCH("education",P691)),ISNUMBER(SEARCH("exam",P691)),ISNUMBER(SEARCH("school",P691))),"Education",IF(OR(ISNUMBER(SEARCH("trade agreement",P691)),ISNUMBER(SEARCH("economic",P691)),ISNUMBER(SEARCH("import",P691))),"Trade &amp; economic policy",IF(OR(ISNUMBER(SEARCH("land acquisition",P691)),ISNUMBER(SEARCH("rehabilitation",P691)),ISNUMBER(SEARCH("displacement",P691)),ISNUMBER(SEARCH("township",P691))),"Land &amp; rehabilitation",IF(OR(ISNUMBER(SEARCH("forest",P691)),ISNUMBER(SEARCH("environment",P691)),ISNUMBER(SEARCH("ecological",P691)),ISNUMBER(SEARCH("biodiversity",P691)),ISNUMBER(SEARCH("green cover",P691))),"Environment",IF(OR(ISNUMBER(SEARCH("irrigation",P691)),ISNUMBER(SEARCH("water",P691)),ISNUMBER(SEARCH("crop",P691)),ISNUMBER(SEARCH("farmer",P691)),ISNUMBER(SEARCH("agriculture",P691))),"Agriculture &amp; water",IF(OR(ISNUMBER(SEARCH("health",P691)),ISNUMBER(SEARCH("hospital",P691)),ISNUMBER(SEARCH("medicine",P691))),"Public health",IF(OR(ISNUMBER(SEARCH("employee",P691)),ISNUMBER(SEARCH("labour",P691)),ISNUMBER(SEARCH("worker",P691)),ISNUMBER(SEARCH("salary",P691))),"Labour &amp; employment",IF(OR(ISNUMBER(SEARCH("rti",P691)),ISNUMBER(SEARCH("transparency",P691)),ISNUMBER(SEARCH("corruption",P691)),ISNUMBER(SEARCH("governance",P691))),"Governance &amp; transparency",IF(OR(ISNUMBER(SEARCH("police",P691)),ISNUMBER(SEARCH("detention",P691)),ISNUMBER(SEARCH("civil rights",P691)),ISNUMBER(SEARCH("justice",P691))),"Civil rights &amp; justice",IF(OR(ISNUMBER(SEARCH("road",P691)),ISNUMBER(SEARCH("utility",P691)),ISNUMBER(SEARCH("infrastructure",P691)),ISNUMBER(SEARCH("public service",P691))),"Infrastructure &amp; public services","Other"))))))))))))</x:f>
      </x:c>
      <x:c r="J691" s="16" t="str">
        <x:f>IF(A691="","",IF(OR(ISNUMBER(SEARCH("fatal",Q691)),ISNUMBER(SEARCH("death",Q691)),ISNUMBER(SEARCH("riot",Q691)),ISNUMBER(SEARCH("curfew",Q691)),ISNUMBER(SEARCH("internet shutdown",Q691))),5,MIN(4,1+IF(H691&gt;=7,1,0)+IF(OR(ISNUMBER(SEARCH("hunger strike",Q691)),ISNUMBER(SEARCH("blockade",Q691)),ISNUMBER(SEARCH("strike",Q691)),ISNUMBER(SEARCH("jal satyagraha",Q691)),ISNUMBER(SEARCH("survey",Q691)),ISNUMBER(SEARCH("human chain",Q691)),ISNUMBER(SEARCH("march",Q691))),1,0)+IF(OR(ISNUMBER(SEARCH("fir",Q691)),ISNUMBER(SEARCH("confrontation",Q691)),ISNUMBER(SEARCH("violence",Q691)),ISNUMBER(SEARCH("detention",Q691)),ISNUMBER(SEARCH("arrest",Q691)),ISNUMBER(SEARCH("demolition",Q691)),ISNUMBER(SEARCH("injury",Q691))),1,0)+IF(OR(D691="Ongoing",D691="Unresolved"),1,0))))</x:f>
      </x:c>
      <x:c r="K691" s="16" t="str">
        <x:f>IF(J691="","",IF(J691=1,"Limited",IF(J691=2,"Local",IF(J691=3,"Significant",IF(J691=4,"High","Critical")))))</x:f>
      </x:c>
      <x:c r="L691" s="16" t="str">
        <x:f>IF(A691="","",Events!U690)</x:f>
      </x:c>
      <x:c r="M691" s="16" t="str">
        <x:f>IF(A691="","",Events!V690)</x:f>
      </x:c>
      <x:c r="N691" s="16" t="str">
        <x:f>IF(A691="","",Events!Q690)</x:f>
      </x:c>
      <x:c r="O691" s="16" t="str">
        <x:f>IF(A691="","",Events!R690)</x:f>
      </x:c>
      <x:c r="P691" s="16" t="str">
        <x:f>IF(A691="","",LOWER(Events!B690&amp;" "&amp;Events!D690&amp;" "&amp;Events!K690))</x:f>
      </x:c>
      <x:c r="Q691" s="16" t="str">
        <x:f>IF(A691="","",LOWER(Events!C690&amp;" "&amp;Events!K690&amp;" "&amp;Events!T690))</x:f>
      </x:c>
      <x:c r="R691" s="16" t="str">
        <x:f>IF(A691="","",IF(ISNUMBER(SEARCH("Occurrence verified",E691)),"Occurrence verified",E691))</x:f>
      </x:c>
      <x:c r="S691" s="79" t="str">
        <x:f>IF(A691="","",Events!X690)</x:f>
      </x:c>
      <x:c r="Z691" s="79" t="str">
        <x:f>IF(A691="","",Events!AD690)</x:f>
      </x:c>
      <x:c r="AA691" s="79" t="str">
        <x:f>IF(A691="","",Events!AE690)</x:f>
      </x:c>
    </x:row>
    <x:row r="692">
      <x:c r="A692" s="16" t="str">
        <x:f>IF(Events!A691="","",Events!A691)</x:f>
      </x:c>
      <x:c r="B692" s="16" t="str">
        <x:f>IF(A692="","",Events!B691)</x:f>
      </x:c>
      <x:c r="C692" s="16" t="str">
        <x:f>IF(A692="","",Events!E691)</x:f>
      </x:c>
      <x:c r="D692" s="16" t="str">
        <x:f>IF(A692="","",Events!J691)</x:f>
      </x:c>
      <x:c r="E692" s="16" t="str">
        <x:f>IF(A692="","",Events!N691)</x:f>
      </x:c>
      <x:c r="F692" s="109" t="str">
        <x:f>IF(OR(A692="",Events!H691=""),"",Events!H691)</x:f>
      </x:c>
      <x:c r="G692" s="109" t="str">
        <x:f>IF(A692="","",IF(Events!I691&lt;&gt;"",Events!I691,IF(Events!S691&lt;&gt;"",Events!S691,"")))</x:f>
      </x:c>
      <x:c r="H692" s="16" t="str">
        <x:f>IF(A692="","",Events!W691)</x:f>
      </x:c>
      <x:c r="I692" s="16" t="str">
        <x:f>IF(A692="","",IF(Events!Y691&lt;&gt;"",Events!Y691,IF(OR(ISNUMBER(SEARCH("education",P692)),ISNUMBER(SEARCH("exam",P692)),ISNUMBER(SEARCH("school",P692))),"Education",IF(OR(ISNUMBER(SEARCH("trade agreement",P692)),ISNUMBER(SEARCH("economic",P692)),ISNUMBER(SEARCH("import",P692))),"Trade &amp; economic policy",IF(OR(ISNUMBER(SEARCH("land acquisition",P692)),ISNUMBER(SEARCH("rehabilitation",P692)),ISNUMBER(SEARCH("displacement",P692)),ISNUMBER(SEARCH("township",P692))),"Land &amp; rehabilitation",IF(OR(ISNUMBER(SEARCH("forest",P692)),ISNUMBER(SEARCH("environment",P692)),ISNUMBER(SEARCH("ecological",P692)),ISNUMBER(SEARCH("biodiversity",P692)),ISNUMBER(SEARCH("green cover",P692))),"Environment",IF(OR(ISNUMBER(SEARCH("irrigation",P692)),ISNUMBER(SEARCH("water",P692)),ISNUMBER(SEARCH("crop",P692)),ISNUMBER(SEARCH("farmer",P692)),ISNUMBER(SEARCH("agriculture",P692))),"Agriculture &amp; water",IF(OR(ISNUMBER(SEARCH("health",P692)),ISNUMBER(SEARCH("hospital",P692)),ISNUMBER(SEARCH("medicine",P692))),"Public health",IF(OR(ISNUMBER(SEARCH("employee",P692)),ISNUMBER(SEARCH("labour",P692)),ISNUMBER(SEARCH("worker",P692)),ISNUMBER(SEARCH("salary",P692))),"Labour &amp; employment",IF(OR(ISNUMBER(SEARCH("rti",P692)),ISNUMBER(SEARCH("transparency",P692)),ISNUMBER(SEARCH("corruption",P692)),ISNUMBER(SEARCH("governance",P692))),"Governance &amp; transparency",IF(OR(ISNUMBER(SEARCH("police",P692)),ISNUMBER(SEARCH("detention",P692)),ISNUMBER(SEARCH("civil rights",P692)),ISNUMBER(SEARCH("justice",P692))),"Civil rights &amp; justice",IF(OR(ISNUMBER(SEARCH("road",P692)),ISNUMBER(SEARCH("utility",P692)),ISNUMBER(SEARCH("infrastructure",P692)),ISNUMBER(SEARCH("public service",P692))),"Infrastructure &amp; public services","Other"))))))))))))</x:f>
      </x:c>
      <x:c r="J692" s="16" t="str">
        <x:f>IF(A692="","",IF(OR(ISNUMBER(SEARCH("fatal",Q692)),ISNUMBER(SEARCH("death",Q692)),ISNUMBER(SEARCH("riot",Q692)),ISNUMBER(SEARCH("curfew",Q692)),ISNUMBER(SEARCH("internet shutdown",Q692))),5,MIN(4,1+IF(H692&gt;=7,1,0)+IF(OR(ISNUMBER(SEARCH("hunger strike",Q692)),ISNUMBER(SEARCH("blockade",Q692)),ISNUMBER(SEARCH("strike",Q692)),ISNUMBER(SEARCH("jal satyagraha",Q692)),ISNUMBER(SEARCH("survey",Q692)),ISNUMBER(SEARCH("human chain",Q692)),ISNUMBER(SEARCH("march",Q692))),1,0)+IF(OR(ISNUMBER(SEARCH("fir",Q692)),ISNUMBER(SEARCH("confrontation",Q692)),ISNUMBER(SEARCH("violence",Q692)),ISNUMBER(SEARCH("detention",Q692)),ISNUMBER(SEARCH("arrest",Q692)),ISNUMBER(SEARCH("demolition",Q692)),ISNUMBER(SEARCH("injury",Q692))),1,0)+IF(OR(D692="Ongoing",D692="Unresolved"),1,0))))</x:f>
      </x:c>
      <x:c r="K692" s="16" t="str">
        <x:f>IF(J692="","",IF(J692=1,"Limited",IF(J692=2,"Local",IF(J692=3,"Significant",IF(J692=4,"High","Critical")))))</x:f>
      </x:c>
      <x:c r="L692" s="16" t="str">
        <x:f>IF(A692="","",Events!U691)</x:f>
      </x:c>
      <x:c r="M692" s="16" t="str">
        <x:f>IF(A692="","",Events!V691)</x:f>
      </x:c>
      <x:c r="N692" s="16" t="str">
        <x:f>IF(A692="","",Events!Q691)</x:f>
      </x:c>
      <x:c r="O692" s="16" t="str">
        <x:f>IF(A692="","",Events!R691)</x:f>
      </x:c>
      <x:c r="P692" s="16" t="str">
        <x:f>IF(A692="","",LOWER(Events!B691&amp;" "&amp;Events!D691&amp;" "&amp;Events!K691))</x:f>
      </x:c>
      <x:c r="Q692" s="16" t="str">
        <x:f>IF(A692="","",LOWER(Events!C691&amp;" "&amp;Events!K691&amp;" "&amp;Events!T691))</x:f>
      </x:c>
      <x:c r="R692" s="16" t="str">
        <x:f>IF(A692="","",IF(ISNUMBER(SEARCH("Occurrence verified",E692)),"Occurrence verified",E692))</x:f>
      </x:c>
      <x:c r="S692" s="79" t="str">
        <x:f>IF(A692="","",Events!X691)</x:f>
      </x:c>
      <x:c r="Z692" s="79" t="str">
        <x:f>IF(A692="","",Events!AD691)</x:f>
      </x:c>
      <x:c r="AA692" s="79" t="str">
        <x:f>IF(A692="","",Events!AE691)</x:f>
      </x:c>
    </x:row>
    <x:row r="693">
      <x:c r="A693" s="16" t="str">
        <x:f>IF(Events!A692="","",Events!A692)</x:f>
      </x:c>
      <x:c r="B693" s="16" t="str">
        <x:f>IF(A693="","",Events!B692)</x:f>
      </x:c>
      <x:c r="C693" s="16" t="str">
        <x:f>IF(A693="","",Events!E692)</x:f>
      </x:c>
      <x:c r="D693" s="16" t="str">
        <x:f>IF(A693="","",Events!J692)</x:f>
      </x:c>
      <x:c r="E693" s="16" t="str">
        <x:f>IF(A693="","",Events!N692)</x:f>
      </x:c>
      <x:c r="F693" s="109" t="str">
        <x:f>IF(OR(A693="",Events!H692=""),"",Events!H692)</x:f>
      </x:c>
      <x:c r="G693" s="109" t="str">
        <x:f>IF(A693="","",IF(Events!I692&lt;&gt;"",Events!I692,IF(Events!S692&lt;&gt;"",Events!S692,"")))</x:f>
      </x:c>
      <x:c r="H693" s="16" t="str">
        <x:f>IF(A693="","",Events!W692)</x:f>
      </x:c>
      <x:c r="I693" s="16" t="str">
        <x:f>IF(A693="","",IF(Events!Y692&lt;&gt;"",Events!Y692,IF(OR(ISNUMBER(SEARCH("education",P693)),ISNUMBER(SEARCH("exam",P693)),ISNUMBER(SEARCH("school",P693))),"Education",IF(OR(ISNUMBER(SEARCH("trade agreement",P693)),ISNUMBER(SEARCH("economic",P693)),ISNUMBER(SEARCH("import",P693))),"Trade &amp; economic policy",IF(OR(ISNUMBER(SEARCH("land acquisition",P693)),ISNUMBER(SEARCH("rehabilitation",P693)),ISNUMBER(SEARCH("displacement",P693)),ISNUMBER(SEARCH("township",P693))),"Land &amp; rehabilitation",IF(OR(ISNUMBER(SEARCH("forest",P693)),ISNUMBER(SEARCH("environment",P693)),ISNUMBER(SEARCH("ecological",P693)),ISNUMBER(SEARCH("biodiversity",P693)),ISNUMBER(SEARCH("green cover",P693))),"Environment",IF(OR(ISNUMBER(SEARCH("irrigation",P693)),ISNUMBER(SEARCH("water",P693)),ISNUMBER(SEARCH("crop",P693)),ISNUMBER(SEARCH("farmer",P693)),ISNUMBER(SEARCH("agriculture",P693))),"Agriculture &amp; water",IF(OR(ISNUMBER(SEARCH("health",P693)),ISNUMBER(SEARCH("hospital",P693)),ISNUMBER(SEARCH("medicine",P693))),"Public health",IF(OR(ISNUMBER(SEARCH("employee",P693)),ISNUMBER(SEARCH("labour",P693)),ISNUMBER(SEARCH("worker",P693)),ISNUMBER(SEARCH("salary",P693))),"Labour &amp; employment",IF(OR(ISNUMBER(SEARCH("rti",P693)),ISNUMBER(SEARCH("transparency",P693)),ISNUMBER(SEARCH("corruption",P693)),ISNUMBER(SEARCH("governance",P693))),"Governance &amp; transparency",IF(OR(ISNUMBER(SEARCH("police",P693)),ISNUMBER(SEARCH("detention",P693)),ISNUMBER(SEARCH("civil rights",P693)),ISNUMBER(SEARCH("justice",P693))),"Civil rights &amp; justice",IF(OR(ISNUMBER(SEARCH("road",P693)),ISNUMBER(SEARCH("utility",P693)),ISNUMBER(SEARCH("infrastructure",P693)),ISNUMBER(SEARCH("public service",P693))),"Infrastructure &amp; public services","Other"))))))))))))</x:f>
      </x:c>
      <x:c r="J693" s="16" t="str">
        <x:f>IF(A693="","",IF(OR(ISNUMBER(SEARCH("fatal",Q693)),ISNUMBER(SEARCH("death",Q693)),ISNUMBER(SEARCH("riot",Q693)),ISNUMBER(SEARCH("curfew",Q693)),ISNUMBER(SEARCH("internet shutdown",Q693))),5,MIN(4,1+IF(H693&gt;=7,1,0)+IF(OR(ISNUMBER(SEARCH("hunger strike",Q693)),ISNUMBER(SEARCH("blockade",Q693)),ISNUMBER(SEARCH("strike",Q693)),ISNUMBER(SEARCH("jal satyagraha",Q693)),ISNUMBER(SEARCH("survey",Q693)),ISNUMBER(SEARCH("human chain",Q693)),ISNUMBER(SEARCH("march",Q693))),1,0)+IF(OR(ISNUMBER(SEARCH("fir",Q693)),ISNUMBER(SEARCH("confrontation",Q693)),ISNUMBER(SEARCH("violence",Q693)),ISNUMBER(SEARCH("detention",Q693)),ISNUMBER(SEARCH("arrest",Q693)),ISNUMBER(SEARCH("demolition",Q693)),ISNUMBER(SEARCH("injury",Q693))),1,0)+IF(OR(D693="Ongoing",D693="Unresolved"),1,0))))</x:f>
      </x:c>
      <x:c r="K693" s="16" t="str">
        <x:f>IF(J693="","",IF(J693=1,"Limited",IF(J693=2,"Local",IF(J693=3,"Significant",IF(J693=4,"High","Critical")))))</x:f>
      </x:c>
      <x:c r="L693" s="16" t="str">
        <x:f>IF(A693="","",Events!U692)</x:f>
      </x:c>
      <x:c r="M693" s="16" t="str">
        <x:f>IF(A693="","",Events!V692)</x:f>
      </x:c>
      <x:c r="N693" s="16" t="str">
        <x:f>IF(A693="","",Events!Q692)</x:f>
      </x:c>
      <x:c r="O693" s="16" t="str">
        <x:f>IF(A693="","",Events!R692)</x:f>
      </x:c>
      <x:c r="P693" s="16" t="str">
        <x:f>IF(A693="","",LOWER(Events!B692&amp;" "&amp;Events!D692&amp;" "&amp;Events!K692))</x:f>
      </x:c>
      <x:c r="Q693" s="16" t="str">
        <x:f>IF(A693="","",LOWER(Events!C692&amp;" "&amp;Events!K692&amp;" "&amp;Events!T692))</x:f>
      </x:c>
      <x:c r="R693" s="16" t="str">
        <x:f>IF(A693="","",IF(ISNUMBER(SEARCH("Occurrence verified",E693)),"Occurrence verified",E693))</x:f>
      </x:c>
      <x:c r="S693" s="79" t="str">
        <x:f>IF(A693="","",Events!X692)</x:f>
      </x:c>
      <x:c r="Z693" s="79" t="str">
        <x:f>IF(A693="","",Events!AD692)</x:f>
      </x:c>
      <x:c r="AA693" s="79" t="str">
        <x:f>IF(A693="","",Events!AE692)</x:f>
      </x:c>
    </x:row>
    <x:row r="694">
      <x:c r="A694" s="16" t="str">
        <x:f>IF(Events!A693="","",Events!A693)</x:f>
      </x:c>
      <x:c r="B694" s="16" t="str">
        <x:f>IF(A694="","",Events!B693)</x:f>
      </x:c>
      <x:c r="C694" s="16" t="str">
        <x:f>IF(A694="","",Events!E693)</x:f>
      </x:c>
      <x:c r="D694" s="16" t="str">
        <x:f>IF(A694="","",Events!J693)</x:f>
      </x:c>
      <x:c r="E694" s="16" t="str">
        <x:f>IF(A694="","",Events!N693)</x:f>
      </x:c>
      <x:c r="F694" s="109" t="str">
        <x:f>IF(OR(A694="",Events!H693=""),"",Events!H693)</x:f>
      </x:c>
      <x:c r="G694" s="109" t="str">
        <x:f>IF(A694="","",IF(Events!I693&lt;&gt;"",Events!I693,IF(Events!S693&lt;&gt;"",Events!S693,"")))</x:f>
      </x:c>
      <x:c r="H694" s="16" t="str">
        <x:f>IF(A694="","",Events!W693)</x:f>
      </x:c>
      <x:c r="I694" s="16" t="str">
        <x:f>IF(A694="","",IF(Events!Y693&lt;&gt;"",Events!Y693,IF(OR(ISNUMBER(SEARCH("education",P694)),ISNUMBER(SEARCH("exam",P694)),ISNUMBER(SEARCH("school",P694))),"Education",IF(OR(ISNUMBER(SEARCH("trade agreement",P694)),ISNUMBER(SEARCH("economic",P694)),ISNUMBER(SEARCH("import",P694))),"Trade &amp; economic policy",IF(OR(ISNUMBER(SEARCH("land acquisition",P694)),ISNUMBER(SEARCH("rehabilitation",P694)),ISNUMBER(SEARCH("displacement",P694)),ISNUMBER(SEARCH("township",P694))),"Land &amp; rehabilitation",IF(OR(ISNUMBER(SEARCH("forest",P694)),ISNUMBER(SEARCH("environment",P694)),ISNUMBER(SEARCH("ecological",P694)),ISNUMBER(SEARCH("biodiversity",P694)),ISNUMBER(SEARCH("green cover",P694))),"Environment",IF(OR(ISNUMBER(SEARCH("irrigation",P694)),ISNUMBER(SEARCH("water",P694)),ISNUMBER(SEARCH("crop",P694)),ISNUMBER(SEARCH("farmer",P694)),ISNUMBER(SEARCH("agriculture",P694))),"Agriculture &amp; water",IF(OR(ISNUMBER(SEARCH("health",P694)),ISNUMBER(SEARCH("hospital",P694)),ISNUMBER(SEARCH("medicine",P694))),"Public health",IF(OR(ISNUMBER(SEARCH("employee",P694)),ISNUMBER(SEARCH("labour",P694)),ISNUMBER(SEARCH("worker",P694)),ISNUMBER(SEARCH("salary",P694))),"Labour &amp; employment",IF(OR(ISNUMBER(SEARCH("rti",P694)),ISNUMBER(SEARCH("transparency",P694)),ISNUMBER(SEARCH("corruption",P694)),ISNUMBER(SEARCH("governance",P694))),"Governance &amp; transparency",IF(OR(ISNUMBER(SEARCH("police",P694)),ISNUMBER(SEARCH("detention",P694)),ISNUMBER(SEARCH("civil rights",P694)),ISNUMBER(SEARCH("justice",P694))),"Civil rights &amp; justice",IF(OR(ISNUMBER(SEARCH("road",P694)),ISNUMBER(SEARCH("utility",P694)),ISNUMBER(SEARCH("infrastructure",P694)),ISNUMBER(SEARCH("public service",P694))),"Infrastructure &amp; public services","Other"))))))))))))</x:f>
      </x:c>
      <x:c r="J694" s="16" t="str">
        <x:f>IF(A694="","",IF(OR(ISNUMBER(SEARCH("fatal",Q694)),ISNUMBER(SEARCH("death",Q694)),ISNUMBER(SEARCH("riot",Q694)),ISNUMBER(SEARCH("curfew",Q694)),ISNUMBER(SEARCH("internet shutdown",Q694))),5,MIN(4,1+IF(H694&gt;=7,1,0)+IF(OR(ISNUMBER(SEARCH("hunger strike",Q694)),ISNUMBER(SEARCH("blockade",Q694)),ISNUMBER(SEARCH("strike",Q694)),ISNUMBER(SEARCH("jal satyagraha",Q694)),ISNUMBER(SEARCH("survey",Q694)),ISNUMBER(SEARCH("human chain",Q694)),ISNUMBER(SEARCH("march",Q694))),1,0)+IF(OR(ISNUMBER(SEARCH("fir",Q694)),ISNUMBER(SEARCH("confrontation",Q694)),ISNUMBER(SEARCH("violence",Q694)),ISNUMBER(SEARCH("detention",Q694)),ISNUMBER(SEARCH("arrest",Q694)),ISNUMBER(SEARCH("demolition",Q694)),ISNUMBER(SEARCH("injury",Q694))),1,0)+IF(OR(D694="Ongoing",D694="Unresolved"),1,0))))</x:f>
      </x:c>
      <x:c r="K694" s="16" t="str">
        <x:f>IF(J694="","",IF(J694=1,"Limited",IF(J694=2,"Local",IF(J694=3,"Significant",IF(J694=4,"High","Critical")))))</x:f>
      </x:c>
      <x:c r="L694" s="16" t="str">
        <x:f>IF(A694="","",Events!U693)</x:f>
      </x:c>
      <x:c r="M694" s="16" t="str">
        <x:f>IF(A694="","",Events!V693)</x:f>
      </x:c>
      <x:c r="N694" s="16" t="str">
        <x:f>IF(A694="","",Events!Q693)</x:f>
      </x:c>
      <x:c r="O694" s="16" t="str">
        <x:f>IF(A694="","",Events!R693)</x:f>
      </x:c>
      <x:c r="P694" s="16" t="str">
        <x:f>IF(A694="","",LOWER(Events!B693&amp;" "&amp;Events!D693&amp;" "&amp;Events!K693))</x:f>
      </x:c>
      <x:c r="Q694" s="16" t="str">
        <x:f>IF(A694="","",LOWER(Events!C693&amp;" "&amp;Events!K693&amp;" "&amp;Events!T693))</x:f>
      </x:c>
      <x:c r="R694" s="16" t="str">
        <x:f>IF(A694="","",IF(ISNUMBER(SEARCH("Occurrence verified",E694)),"Occurrence verified",E694))</x:f>
      </x:c>
      <x:c r="S694" s="79" t="str">
        <x:f>IF(A694="","",Events!X693)</x:f>
      </x:c>
      <x:c r="Z694" s="79" t="str">
        <x:f>IF(A694="","",Events!AD693)</x:f>
      </x:c>
      <x:c r="AA694" s="79" t="str">
        <x:f>IF(A694="","",Events!AE693)</x:f>
      </x:c>
    </x:row>
    <x:row r="695">
      <x:c r="A695" s="16" t="str">
        <x:f>IF(Events!A694="","",Events!A694)</x:f>
      </x:c>
      <x:c r="B695" s="16" t="str">
        <x:f>IF(A695="","",Events!B694)</x:f>
      </x:c>
      <x:c r="C695" s="16" t="str">
        <x:f>IF(A695="","",Events!E694)</x:f>
      </x:c>
      <x:c r="D695" s="16" t="str">
        <x:f>IF(A695="","",Events!J694)</x:f>
      </x:c>
      <x:c r="E695" s="16" t="str">
        <x:f>IF(A695="","",Events!N694)</x:f>
      </x:c>
      <x:c r="F695" s="109" t="str">
        <x:f>IF(OR(A695="",Events!H694=""),"",Events!H694)</x:f>
      </x:c>
      <x:c r="G695" s="109" t="str">
        <x:f>IF(A695="","",IF(Events!I694&lt;&gt;"",Events!I694,IF(Events!S694&lt;&gt;"",Events!S694,"")))</x:f>
      </x:c>
      <x:c r="H695" s="16" t="str">
        <x:f>IF(A695="","",Events!W694)</x:f>
      </x:c>
      <x:c r="I695" s="16" t="str">
        <x:f>IF(A695="","",IF(Events!Y694&lt;&gt;"",Events!Y694,IF(OR(ISNUMBER(SEARCH("education",P695)),ISNUMBER(SEARCH("exam",P695)),ISNUMBER(SEARCH("school",P695))),"Education",IF(OR(ISNUMBER(SEARCH("trade agreement",P695)),ISNUMBER(SEARCH("economic",P695)),ISNUMBER(SEARCH("import",P695))),"Trade &amp; economic policy",IF(OR(ISNUMBER(SEARCH("land acquisition",P695)),ISNUMBER(SEARCH("rehabilitation",P695)),ISNUMBER(SEARCH("displacement",P695)),ISNUMBER(SEARCH("township",P695))),"Land &amp; rehabilitation",IF(OR(ISNUMBER(SEARCH("forest",P695)),ISNUMBER(SEARCH("environment",P695)),ISNUMBER(SEARCH("ecological",P695)),ISNUMBER(SEARCH("biodiversity",P695)),ISNUMBER(SEARCH("green cover",P695))),"Environment",IF(OR(ISNUMBER(SEARCH("irrigation",P695)),ISNUMBER(SEARCH("water",P695)),ISNUMBER(SEARCH("crop",P695)),ISNUMBER(SEARCH("farmer",P695)),ISNUMBER(SEARCH("agriculture",P695))),"Agriculture &amp; water",IF(OR(ISNUMBER(SEARCH("health",P695)),ISNUMBER(SEARCH("hospital",P695)),ISNUMBER(SEARCH("medicine",P695))),"Public health",IF(OR(ISNUMBER(SEARCH("employee",P695)),ISNUMBER(SEARCH("labour",P695)),ISNUMBER(SEARCH("worker",P695)),ISNUMBER(SEARCH("salary",P695))),"Labour &amp; employment",IF(OR(ISNUMBER(SEARCH("rti",P695)),ISNUMBER(SEARCH("transparency",P695)),ISNUMBER(SEARCH("corruption",P695)),ISNUMBER(SEARCH("governance",P695))),"Governance &amp; transparency",IF(OR(ISNUMBER(SEARCH("police",P695)),ISNUMBER(SEARCH("detention",P695)),ISNUMBER(SEARCH("civil rights",P695)),ISNUMBER(SEARCH("justice",P695))),"Civil rights &amp; justice",IF(OR(ISNUMBER(SEARCH("road",P695)),ISNUMBER(SEARCH("utility",P695)),ISNUMBER(SEARCH("infrastructure",P695)),ISNUMBER(SEARCH("public service",P695))),"Infrastructure &amp; public services","Other"))))))))))))</x:f>
      </x:c>
      <x:c r="J695" s="16" t="str">
        <x:f>IF(A695="","",IF(OR(ISNUMBER(SEARCH("fatal",Q695)),ISNUMBER(SEARCH("death",Q695)),ISNUMBER(SEARCH("riot",Q695)),ISNUMBER(SEARCH("curfew",Q695)),ISNUMBER(SEARCH("internet shutdown",Q695))),5,MIN(4,1+IF(H695&gt;=7,1,0)+IF(OR(ISNUMBER(SEARCH("hunger strike",Q695)),ISNUMBER(SEARCH("blockade",Q695)),ISNUMBER(SEARCH("strike",Q695)),ISNUMBER(SEARCH("jal satyagraha",Q695)),ISNUMBER(SEARCH("survey",Q695)),ISNUMBER(SEARCH("human chain",Q695)),ISNUMBER(SEARCH("march",Q695))),1,0)+IF(OR(ISNUMBER(SEARCH("fir",Q695)),ISNUMBER(SEARCH("confrontation",Q695)),ISNUMBER(SEARCH("violence",Q695)),ISNUMBER(SEARCH("detention",Q695)),ISNUMBER(SEARCH("arrest",Q695)),ISNUMBER(SEARCH("demolition",Q695)),ISNUMBER(SEARCH("injury",Q695))),1,0)+IF(OR(D695="Ongoing",D695="Unresolved"),1,0))))</x:f>
      </x:c>
      <x:c r="K695" s="16" t="str">
        <x:f>IF(J695="","",IF(J695=1,"Limited",IF(J695=2,"Local",IF(J695=3,"Significant",IF(J695=4,"High","Critical")))))</x:f>
      </x:c>
      <x:c r="L695" s="16" t="str">
        <x:f>IF(A695="","",Events!U694)</x:f>
      </x:c>
      <x:c r="M695" s="16" t="str">
        <x:f>IF(A695="","",Events!V694)</x:f>
      </x:c>
      <x:c r="N695" s="16" t="str">
        <x:f>IF(A695="","",Events!Q694)</x:f>
      </x:c>
      <x:c r="O695" s="16" t="str">
        <x:f>IF(A695="","",Events!R694)</x:f>
      </x:c>
      <x:c r="P695" s="16" t="str">
        <x:f>IF(A695="","",LOWER(Events!B694&amp;" "&amp;Events!D694&amp;" "&amp;Events!K694))</x:f>
      </x:c>
      <x:c r="Q695" s="16" t="str">
        <x:f>IF(A695="","",LOWER(Events!C694&amp;" "&amp;Events!K694&amp;" "&amp;Events!T694))</x:f>
      </x:c>
      <x:c r="R695" s="16" t="str">
        <x:f>IF(A695="","",IF(ISNUMBER(SEARCH("Occurrence verified",E695)),"Occurrence verified",E695))</x:f>
      </x:c>
      <x:c r="S695" s="79" t="str">
        <x:f>IF(A695="","",Events!X694)</x:f>
      </x:c>
      <x:c r="Z695" s="79" t="str">
        <x:f>IF(A695="","",Events!AD694)</x:f>
      </x:c>
      <x:c r="AA695" s="79" t="str">
        <x:f>IF(A695="","",Events!AE694)</x:f>
      </x:c>
    </x:row>
    <x:row r="696">
      <x:c r="A696" s="16" t="str">
        <x:f>IF(Events!A695="","",Events!A695)</x:f>
      </x:c>
      <x:c r="B696" s="16" t="str">
        <x:f>IF(A696="","",Events!B695)</x:f>
      </x:c>
      <x:c r="C696" s="16" t="str">
        <x:f>IF(A696="","",Events!E695)</x:f>
      </x:c>
      <x:c r="D696" s="16" t="str">
        <x:f>IF(A696="","",Events!J695)</x:f>
      </x:c>
      <x:c r="E696" s="16" t="str">
        <x:f>IF(A696="","",Events!N695)</x:f>
      </x:c>
      <x:c r="F696" s="109" t="str">
        <x:f>IF(OR(A696="",Events!H695=""),"",Events!H695)</x:f>
      </x:c>
      <x:c r="G696" s="109" t="str">
        <x:f>IF(A696="","",IF(Events!I695&lt;&gt;"",Events!I695,IF(Events!S695&lt;&gt;"",Events!S695,"")))</x:f>
      </x:c>
      <x:c r="H696" s="16" t="str">
        <x:f>IF(A696="","",Events!W695)</x:f>
      </x:c>
      <x:c r="I696" s="16" t="str">
        <x:f>IF(A696="","",IF(Events!Y695&lt;&gt;"",Events!Y695,IF(OR(ISNUMBER(SEARCH("education",P696)),ISNUMBER(SEARCH("exam",P696)),ISNUMBER(SEARCH("school",P696))),"Education",IF(OR(ISNUMBER(SEARCH("trade agreement",P696)),ISNUMBER(SEARCH("economic",P696)),ISNUMBER(SEARCH("import",P696))),"Trade &amp; economic policy",IF(OR(ISNUMBER(SEARCH("land acquisition",P696)),ISNUMBER(SEARCH("rehabilitation",P696)),ISNUMBER(SEARCH("displacement",P696)),ISNUMBER(SEARCH("township",P696))),"Land &amp; rehabilitation",IF(OR(ISNUMBER(SEARCH("forest",P696)),ISNUMBER(SEARCH("environment",P696)),ISNUMBER(SEARCH("ecological",P696)),ISNUMBER(SEARCH("biodiversity",P696)),ISNUMBER(SEARCH("green cover",P696))),"Environment",IF(OR(ISNUMBER(SEARCH("irrigation",P696)),ISNUMBER(SEARCH("water",P696)),ISNUMBER(SEARCH("crop",P696)),ISNUMBER(SEARCH("farmer",P696)),ISNUMBER(SEARCH("agriculture",P696))),"Agriculture &amp; water",IF(OR(ISNUMBER(SEARCH("health",P696)),ISNUMBER(SEARCH("hospital",P696)),ISNUMBER(SEARCH("medicine",P696))),"Public health",IF(OR(ISNUMBER(SEARCH("employee",P696)),ISNUMBER(SEARCH("labour",P696)),ISNUMBER(SEARCH("worker",P696)),ISNUMBER(SEARCH("salary",P696))),"Labour &amp; employment",IF(OR(ISNUMBER(SEARCH("rti",P696)),ISNUMBER(SEARCH("transparency",P696)),ISNUMBER(SEARCH("corruption",P696)),ISNUMBER(SEARCH("governance",P696))),"Governance &amp; transparency",IF(OR(ISNUMBER(SEARCH("police",P696)),ISNUMBER(SEARCH("detention",P696)),ISNUMBER(SEARCH("civil rights",P696)),ISNUMBER(SEARCH("justice",P696))),"Civil rights &amp; justice",IF(OR(ISNUMBER(SEARCH("road",P696)),ISNUMBER(SEARCH("utility",P696)),ISNUMBER(SEARCH("infrastructure",P696)),ISNUMBER(SEARCH("public service",P696))),"Infrastructure &amp; public services","Other"))))))))))))</x:f>
      </x:c>
      <x:c r="J696" s="16" t="str">
        <x:f>IF(A696="","",IF(OR(ISNUMBER(SEARCH("fatal",Q696)),ISNUMBER(SEARCH("death",Q696)),ISNUMBER(SEARCH("riot",Q696)),ISNUMBER(SEARCH("curfew",Q696)),ISNUMBER(SEARCH("internet shutdown",Q696))),5,MIN(4,1+IF(H696&gt;=7,1,0)+IF(OR(ISNUMBER(SEARCH("hunger strike",Q696)),ISNUMBER(SEARCH("blockade",Q696)),ISNUMBER(SEARCH("strike",Q696)),ISNUMBER(SEARCH("jal satyagraha",Q696)),ISNUMBER(SEARCH("survey",Q696)),ISNUMBER(SEARCH("human chain",Q696)),ISNUMBER(SEARCH("march",Q696))),1,0)+IF(OR(ISNUMBER(SEARCH("fir",Q696)),ISNUMBER(SEARCH("confrontation",Q696)),ISNUMBER(SEARCH("violence",Q696)),ISNUMBER(SEARCH("detention",Q696)),ISNUMBER(SEARCH("arrest",Q696)),ISNUMBER(SEARCH("demolition",Q696)),ISNUMBER(SEARCH("injury",Q696))),1,0)+IF(OR(D696="Ongoing",D696="Unresolved"),1,0))))</x:f>
      </x:c>
      <x:c r="K696" s="16" t="str">
        <x:f>IF(J696="","",IF(J696=1,"Limited",IF(J696=2,"Local",IF(J696=3,"Significant",IF(J696=4,"High","Critical")))))</x:f>
      </x:c>
      <x:c r="L696" s="16" t="str">
        <x:f>IF(A696="","",Events!U695)</x:f>
      </x:c>
      <x:c r="M696" s="16" t="str">
        <x:f>IF(A696="","",Events!V695)</x:f>
      </x:c>
      <x:c r="N696" s="16" t="str">
        <x:f>IF(A696="","",Events!Q695)</x:f>
      </x:c>
      <x:c r="O696" s="16" t="str">
        <x:f>IF(A696="","",Events!R695)</x:f>
      </x:c>
      <x:c r="P696" s="16" t="str">
        <x:f>IF(A696="","",LOWER(Events!B695&amp;" "&amp;Events!D695&amp;" "&amp;Events!K695))</x:f>
      </x:c>
      <x:c r="Q696" s="16" t="str">
        <x:f>IF(A696="","",LOWER(Events!C695&amp;" "&amp;Events!K695&amp;" "&amp;Events!T695))</x:f>
      </x:c>
      <x:c r="R696" s="16" t="str">
        <x:f>IF(A696="","",IF(ISNUMBER(SEARCH("Occurrence verified",E696)),"Occurrence verified",E696))</x:f>
      </x:c>
      <x:c r="S696" s="79" t="str">
        <x:f>IF(A696="","",Events!X695)</x:f>
      </x:c>
      <x:c r="Z696" s="79" t="str">
        <x:f>IF(A696="","",Events!AD695)</x:f>
      </x:c>
      <x:c r="AA696" s="79" t="str">
        <x:f>IF(A696="","",Events!AE695)</x:f>
      </x:c>
    </x:row>
    <x:row r="697">
      <x:c r="A697" s="16" t="str">
        <x:f>IF(Events!A696="","",Events!A696)</x:f>
      </x:c>
      <x:c r="B697" s="16" t="str">
        <x:f>IF(A697="","",Events!B696)</x:f>
      </x:c>
      <x:c r="C697" s="16" t="str">
        <x:f>IF(A697="","",Events!E696)</x:f>
      </x:c>
      <x:c r="D697" s="16" t="str">
        <x:f>IF(A697="","",Events!J696)</x:f>
      </x:c>
      <x:c r="E697" s="16" t="str">
        <x:f>IF(A697="","",Events!N696)</x:f>
      </x:c>
      <x:c r="F697" s="109" t="str">
        <x:f>IF(OR(A697="",Events!H696=""),"",Events!H696)</x:f>
      </x:c>
      <x:c r="G697" s="109" t="str">
        <x:f>IF(A697="","",IF(Events!I696&lt;&gt;"",Events!I696,IF(Events!S696&lt;&gt;"",Events!S696,"")))</x:f>
      </x:c>
      <x:c r="H697" s="16" t="str">
        <x:f>IF(A697="","",Events!W696)</x:f>
      </x:c>
      <x:c r="I697" s="16" t="str">
        <x:f>IF(A697="","",IF(Events!Y696&lt;&gt;"",Events!Y696,IF(OR(ISNUMBER(SEARCH("education",P697)),ISNUMBER(SEARCH("exam",P697)),ISNUMBER(SEARCH("school",P697))),"Education",IF(OR(ISNUMBER(SEARCH("trade agreement",P697)),ISNUMBER(SEARCH("economic",P697)),ISNUMBER(SEARCH("import",P697))),"Trade &amp; economic policy",IF(OR(ISNUMBER(SEARCH("land acquisition",P697)),ISNUMBER(SEARCH("rehabilitation",P697)),ISNUMBER(SEARCH("displacement",P697)),ISNUMBER(SEARCH("township",P697))),"Land &amp; rehabilitation",IF(OR(ISNUMBER(SEARCH("forest",P697)),ISNUMBER(SEARCH("environment",P697)),ISNUMBER(SEARCH("ecological",P697)),ISNUMBER(SEARCH("biodiversity",P697)),ISNUMBER(SEARCH("green cover",P697))),"Environment",IF(OR(ISNUMBER(SEARCH("irrigation",P697)),ISNUMBER(SEARCH("water",P697)),ISNUMBER(SEARCH("crop",P697)),ISNUMBER(SEARCH("farmer",P697)),ISNUMBER(SEARCH("agriculture",P697))),"Agriculture &amp; water",IF(OR(ISNUMBER(SEARCH("health",P697)),ISNUMBER(SEARCH("hospital",P697)),ISNUMBER(SEARCH("medicine",P697))),"Public health",IF(OR(ISNUMBER(SEARCH("employee",P697)),ISNUMBER(SEARCH("labour",P697)),ISNUMBER(SEARCH("worker",P697)),ISNUMBER(SEARCH("salary",P697))),"Labour &amp; employment",IF(OR(ISNUMBER(SEARCH("rti",P697)),ISNUMBER(SEARCH("transparency",P697)),ISNUMBER(SEARCH("corruption",P697)),ISNUMBER(SEARCH("governance",P697))),"Governance &amp; transparency",IF(OR(ISNUMBER(SEARCH("police",P697)),ISNUMBER(SEARCH("detention",P697)),ISNUMBER(SEARCH("civil rights",P697)),ISNUMBER(SEARCH("justice",P697))),"Civil rights &amp; justice",IF(OR(ISNUMBER(SEARCH("road",P697)),ISNUMBER(SEARCH("utility",P697)),ISNUMBER(SEARCH("infrastructure",P697)),ISNUMBER(SEARCH("public service",P697))),"Infrastructure &amp; public services","Other"))))))))))))</x:f>
      </x:c>
      <x:c r="J697" s="16" t="str">
        <x:f>IF(A697="","",IF(OR(ISNUMBER(SEARCH("fatal",Q697)),ISNUMBER(SEARCH("death",Q697)),ISNUMBER(SEARCH("riot",Q697)),ISNUMBER(SEARCH("curfew",Q697)),ISNUMBER(SEARCH("internet shutdown",Q697))),5,MIN(4,1+IF(H697&gt;=7,1,0)+IF(OR(ISNUMBER(SEARCH("hunger strike",Q697)),ISNUMBER(SEARCH("blockade",Q697)),ISNUMBER(SEARCH("strike",Q697)),ISNUMBER(SEARCH("jal satyagraha",Q697)),ISNUMBER(SEARCH("survey",Q697)),ISNUMBER(SEARCH("human chain",Q697)),ISNUMBER(SEARCH("march",Q697))),1,0)+IF(OR(ISNUMBER(SEARCH("fir",Q697)),ISNUMBER(SEARCH("confrontation",Q697)),ISNUMBER(SEARCH("violence",Q697)),ISNUMBER(SEARCH("detention",Q697)),ISNUMBER(SEARCH("arrest",Q697)),ISNUMBER(SEARCH("demolition",Q697)),ISNUMBER(SEARCH("injury",Q697))),1,0)+IF(OR(D697="Ongoing",D697="Unresolved"),1,0))))</x:f>
      </x:c>
      <x:c r="K697" s="16" t="str">
        <x:f>IF(J697="","",IF(J697=1,"Limited",IF(J697=2,"Local",IF(J697=3,"Significant",IF(J697=4,"High","Critical")))))</x:f>
      </x:c>
      <x:c r="L697" s="16" t="str">
        <x:f>IF(A697="","",Events!U696)</x:f>
      </x:c>
      <x:c r="M697" s="16" t="str">
        <x:f>IF(A697="","",Events!V696)</x:f>
      </x:c>
      <x:c r="N697" s="16" t="str">
        <x:f>IF(A697="","",Events!Q696)</x:f>
      </x:c>
      <x:c r="O697" s="16" t="str">
        <x:f>IF(A697="","",Events!R696)</x:f>
      </x:c>
      <x:c r="P697" s="16" t="str">
        <x:f>IF(A697="","",LOWER(Events!B696&amp;" "&amp;Events!D696&amp;" "&amp;Events!K696))</x:f>
      </x:c>
      <x:c r="Q697" s="16" t="str">
        <x:f>IF(A697="","",LOWER(Events!C696&amp;" "&amp;Events!K696&amp;" "&amp;Events!T696))</x:f>
      </x:c>
      <x:c r="R697" s="16" t="str">
        <x:f>IF(A697="","",IF(ISNUMBER(SEARCH("Occurrence verified",E697)),"Occurrence verified",E697))</x:f>
      </x:c>
      <x:c r="S697" s="79" t="str">
        <x:f>IF(A697="","",Events!X696)</x:f>
      </x:c>
      <x:c r="Z697" s="79" t="str">
        <x:f>IF(A697="","",Events!AD696)</x:f>
      </x:c>
      <x:c r="AA697" s="79" t="str">
        <x:f>IF(A697="","",Events!AE696)</x:f>
      </x:c>
    </x:row>
    <x:row r="698">
      <x:c r="A698" s="16" t="str">
        <x:f>IF(Events!A697="","",Events!A697)</x:f>
      </x:c>
      <x:c r="B698" s="16" t="str">
        <x:f>IF(A698="","",Events!B697)</x:f>
      </x:c>
      <x:c r="C698" s="16" t="str">
        <x:f>IF(A698="","",Events!E697)</x:f>
      </x:c>
      <x:c r="D698" s="16" t="str">
        <x:f>IF(A698="","",Events!J697)</x:f>
      </x:c>
      <x:c r="E698" s="16" t="str">
        <x:f>IF(A698="","",Events!N697)</x:f>
      </x:c>
      <x:c r="F698" s="109" t="str">
        <x:f>IF(OR(A698="",Events!H697=""),"",Events!H697)</x:f>
      </x:c>
      <x:c r="G698" s="109" t="str">
        <x:f>IF(A698="","",IF(Events!I697&lt;&gt;"",Events!I697,IF(Events!S697&lt;&gt;"",Events!S697,"")))</x:f>
      </x:c>
      <x:c r="H698" s="16" t="str">
        <x:f>IF(A698="","",Events!W697)</x:f>
      </x:c>
      <x:c r="I698" s="16" t="str">
        <x:f>IF(A698="","",IF(Events!Y697&lt;&gt;"",Events!Y697,IF(OR(ISNUMBER(SEARCH("education",P698)),ISNUMBER(SEARCH("exam",P698)),ISNUMBER(SEARCH("school",P698))),"Education",IF(OR(ISNUMBER(SEARCH("trade agreement",P698)),ISNUMBER(SEARCH("economic",P698)),ISNUMBER(SEARCH("import",P698))),"Trade &amp; economic policy",IF(OR(ISNUMBER(SEARCH("land acquisition",P698)),ISNUMBER(SEARCH("rehabilitation",P698)),ISNUMBER(SEARCH("displacement",P698)),ISNUMBER(SEARCH("township",P698))),"Land &amp; rehabilitation",IF(OR(ISNUMBER(SEARCH("forest",P698)),ISNUMBER(SEARCH("environment",P698)),ISNUMBER(SEARCH("ecological",P698)),ISNUMBER(SEARCH("biodiversity",P698)),ISNUMBER(SEARCH("green cover",P698))),"Environment",IF(OR(ISNUMBER(SEARCH("irrigation",P698)),ISNUMBER(SEARCH("water",P698)),ISNUMBER(SEARCH("crop",P698)),ISNUMBER(SEARCH("farmer",P698)),ISNUMBER(SEARCH("agriculture",P698))),"Agriculture &amp; water",IF(OR(ISNUMBER(SEARCH("health",P698)),ISNUMBER(SEARCH("hospital",P698)),ISNUMBER(SEARCH("medicine",P698))),"Public health",IF(OR(ISNUMBER(SEARCH("employee",P698)),ISNUMBER(SEARCH("labour",P698)),ISNUMBER(SEARCH("worker",P698)),ISNUMBER(SEARCH("salary",P698))),"Labour &amp; employment",IF(OR(ISNUMBER(SEARCH("rti",P698)),ISNUMBER(SEARCH("transparency",P698)),ISNUMBER(SEARCH("corruption",P698)),ISNUMBER(SEARCH("governance",P698))),"Governance &amp; transparency",IF(OR(ISNUMBER(SEARCH("police",P698)),ISNUMBER(SEARCH("detention",P698)),ISNUMBER(SEARCH("civil rights",P698)),ISNUMBER(SEARCH("justice",P698))),"Civil rights &amp; justice",IF(OR(ISNUMBER(SEARCH("road",P698)),ISNUMBER(SEARCH("utility",P698)),ISNUMBER(SEARCH("infrastructure",P698)),ISNUMBER(SEARCH("public service",P698))),"Infrastructure &amp; public services","Other"))))))))))))</x:f>
      </x:c>
      <x:c r="J698" s="16" t="str">
        <x:f>IF(A698="","",IF(OR(ISNUMBER(SEARCH("fatal",Q698)),ISNUMBER(SEARCH("death",Q698)),ISNUMBER(SEARCH("riot",Q698)),ISNUMBER(SEARCH("curfew",Q698)),ISNUMBER(SEARCH("internet shutdown",Q698))),5,MIN(4,1+IF(H698&gt;=7,1,0)+IF(OR(ISNUMBER(SEARCH("hunger strike",Q698)),ISNUMBER(SEARCH("blockade",Q698)),ISNUMBER(SEARCH("strike",Q698)),ISNUMBER(SEARCH("jal satyagraha",Q698)),ISNUMBER(SEARCH("survey",Q698)),ISNUMBER(SEARCH("human chain",Q698)),ISNUMBER(SEARCH("march",Q698))),1,0)+IF(OR(ISNUMBER(SEARCH("fir",Q698)),ISNUMBER(SEARCH("confrontation",Q698)),ISNUMBER(SEARCH("violence",Q698)),ISNUMBER(SEARCH("detention",Q698)),ISNUMBER(SEARCH("arrest",Q698)),ISNUMBER(SEARCH("demolition",Q698)),ISNUMBER(SEARCH("injury",Q698))),1,0)+IF(OR(D698="Ongoing",D698="Unresolved"),1,0))))</x:f>
      </x:c>
      <x:c r="K698" s="16" t="str">
        <x:f>IF(J698="","",IF(J698=1,"Limited",IF(J698=2,"Local",IF(J698=3,"Significant",IF(J698=4,"High","Critical")))))</x:f>
      </x:c>
      <x:c r="L698" s="16" t="str">
        <x:f>IF(A698="","",Events!U697)</x:f>
      </x:c>
      <x:c r="M698" s="16" t="str">
        <x:f>IF(A698="","",Events!V697)</x:f>
      </x:c>
      <x:c r="N698" s="16" t="str">
        <x:f>IF(A698="","",Events!Q697)</x:f>
      </x:c>
      <x:c r="O698" s="16" t="str">
        <x:f>IF(A698="","",Events!R697)</x:f>
      </x:c>
      <x:c r="P698" s="16" t="str">
        <x:f>IF(A698="","",LOWER(Events!B697&amp;" "&amp;Events!D697&amp;" "&amp;Events!K697))</x:f>
      </x:c>
      <x:c r="Q698" s="16" t="str">
        <x:f>IF(A698="","",LOWER(Events!C697&amp;" "&amp;Events!K697&amp;" "&amp;Events!T697))</x:f>
      </x:c>
      <x:c r="R698" s="16" t="str">
        <x:f>IF(A698="","",IF(ISNUMBER(SEARCH("Occurrence verified",E698)),"Occurrence verified",E698))</x:f>
      </x:c>
      <x:c r="S698" s="79" t="str">
        <x:f>IF(A698="","",Events!X697)</x:f>
      </x:c>
      <x:c r="Z698" s="79" t="str">
        <x:f>IF(A698="","",Events!AD697)</x:f>
      </x:c>
      <x:c r="AA698" s="79" t="str">
        <x:f>IF(A698="","",Events!AE697)</x:f>
      </x:c>
    </x:row>
    <x:row r="699">
      <x:c r="A699" s="16" t="str">
        <x:f>IF(Events!A698="","",Events!A698)</x:f>
      </x:c>
      <x:c r="B699" s="16" t="str">
        <x:f>IF(A699="","",Events!B698)</x:f>
      </x:c>
      <x:c r="C699" s="16" t="str">
        <x:f>IF(A699="","",Events!E698)</x:f>
      </x:c>
      <x:c r="D699" s="16" t="str">
        <x:f>IF(A699="","",Events!J698)</x:f>
      </x:c>
      <x:c r="E699" s="16" t="str">
        <x:f>IF(A699="","",Events!N698)</x:f>
      </x:c>
      <x:c r="F699" s="109" t="str">
        <x:f>IF(OR(A699="",Events!H698=""),"",Events!H698)</x:f>
      </x:c>
      <x:c r="G699" s="109" t="str">
        <x:f>IF(A699="","",IF(Events!I698&lt;&gt;"",Events!I698,IF(Events!S698&lt;&gt;"",Events!S698,"")))</x:f>
      </x:c>
      <x:c r="H699" s="16" t="str">
        <x:f>IF(A699="","",Events!W698)</x:f>
      </x:c>
      <x:c r="I699" s="16" t="str">
        <x:f>IF(A699="","",IF(Events!Y698&lt;&gt;"",Events!Y698,IF(OR(ISNUMBER(SEARCH("education",P699)),ISNUMBER(SEARCH("exam",P699)),ISNUMBER(SEARCH("school",P699))),"Education",IF(OR(ISNUMBER(SEARCH("trade agreement",P699)),ISNUMBER(SEARCH("economic",P699)),ISNUMBER(SEARCH("import",P699))),"Trade &amp; economic policy",IF(OR(ISNUMBER(SEARCH("land acquisition",P699)),ISNUMBER(SEARCH("rehabilitation",P699)),ISNUMBER(SEARCH("displacement",P699)),ISNUMBER(SEARCH("township",P699))),"Land &amp; rehabilitation",IF(OR(ISNUMBER(SEARCH("forest",P699)),ISNUMBER(SEARCH("environment",P699)),ISNUMBER(SEARCH("ecological",P699)),ISNUMBER(SEARCH("biodiversity",P699)),ISNUMBER(SEARCH("green cover",P699))),"Environment",IF(OR(ISNUMBER(SEARCH("irrigation",P699)),ISNUMBER(SEARCH("water",P699)),ISNUMBER(SEARCH("crop",P699)),ISNUMBER(SEARCH("farmer",P699)),ISNUMBER(SEARCH("agriculture",P699))),"Agriculture &amp; water",IF(OR(ISNUMBER(SEARCH("health",P699)),ISNUMBER(SEARCH("hospital",P699)),ISNUMBER(SEARCH("medicine",P699))),"Public health",IF(OR(ISNUMBER(SEARCH("employee",P699)),ISNUMBER(SEARCH("labour",P699)),ISNUMBER(SEARCH("worker",P699)),ISNUMBER(SEARCH("salary",P699))),"Labour &amp; employment",IF(OR(ISNUMBER(SEARCH("rti",P699)),ISNUMBER(SEARCH("transparency",P699)),ISNUMBER(SEARCH("corruption",P699)),ISNUMBER(SEARCH("governance",P699))),"Governance &amp; transparency",IF(OR(ISNUMBER(SEARCH("police",P699)),ISNUMBER(SEARCH("detention",P699)),ISNUMBER(SEARCH("civil rights",P699)),ISNUMBER(SEARCH("justice",P699))),"Civil rights &amp; justice",IF(OR(ISNUMBER(SEARCH("road",P699)),ISNUMBER(SEARCH("utility",P699)),ISNUMBER(SEARCH("infrastructure",P699)),ISNUMBER(SEARCH("public service",P699))),"Infrastructure &amp; public services","Other"))))))))))))</x:f>
      </x:c>
      <x:c r="J699" s="16" t="str">
        <x:f>IF(A699="","",IF(OR(ISNUMBER(SEARCH("fatal",Q699)),ISNUMBER(SEARCH("death",Q699)),ISNUMBER(SEARCH("riot",Q699)),ISNUMBER(SEARCH("curfew",Q699)),ISNUMBER(SEARCH("internet shutdown",Q699))),5,MIN(4,1+IF(H699&gt;=7,1,0)+IF(OR(ISNUMBER(SEARCH("hunger strike",Q699)),ISNUMBER(SEARCH("blockade",Q699)),ISNUMBER(SEARCH("strike",Q699)),ISNUMBER(SEARCH("jal satyagraha",Q699)),ISNUMBER(SEARCH("survey",Q699)),ISNUMBER(SEARCH("human chain",Q699)),ISNUMBER(SEARCH("march",Q699))),1,0)+IF(OR(ISNUMBER(SEARCH("fir",Q699)),ISNUMBER(SEARCH("confrontation",Q699)),ISNUMBER(SEARCH("violence",Q699)),ISNUMBER(SEARCH("detention",Q699)),ISNUMBER(SEARCH("arrest",Q699)),ISNUMBER(SEARCH("demolition",Q699)),ISNUMBER(SEARCH("injury",Q699))),1,0)+IF(OR(D699="Ongoing",D699="Unresolved"),1,0))))</x:f>
      </x:c>
      <x:c r="K699" s="16" t="str">
        <x:f>IF(J699="","",IF(J699=1,"Limited",IF(J699=2,"Local",IF(J699=3,"Significant",IF(J699=4,"High","Critical")))))</x:f>
      </x:c>
      <x:c r="L699" s="16" t="str">
        <x:f>IF(A699="","",Events!U698)</x:f>
      </x:c>
      <x:c r="M699" s="16" t="str">
        <x:f>IF(A699="","",Events!V698)</x:f>
      </x:c>
      <x:c r="N699" s="16" t="str">
        <x:f>IF(A699="","",Events!Q698)</x:f>
      </x:c>
      <x:c r="O699" s="16" t="str">
        <x:f>IF(A699="","",Events!R698)</x:f>
      </x:c>
      <x:c r="P699" s="16" t="str">
        <x:f>IF(A699="","",LOWER(Events!B698&amp;" "&amp;Events!D698&amp;" "&amp;Events!K698))</x:f>
      </x:c>
      <x:c r="Q699" s="16" t="str">
        <x:f>IF(A699="","",LOWER(Events!C698&amp;" "&amp;Events!K698&amp;" "&amp;Events!T698))</x:f>
      </x:c>
      <x:c r="R699" s="16" t="str">
        <x:f>IF(A699="","",IF(ISNUMBER(SEARCH("Occurrence verified",E699)),"Occurrence verified",E699))</x:f>
      </x:c>
      <x:c r="S699" s="79" t="str">
        <x:f>IF(A699="","",Events!X698)</x:f>
      </x:c>
      <x:c r="Z699" s="79" t="str">
        <x:f>IF(A699="","",Events!AD698)</x:f>
      </x:c>
      <x:c r="AA699" s="79" t="str">
        <x:f>IF(A699="","",Events!AE698)</x:f>
      </x:c>
    </x:row>
    <x:row r="700">
      <x:c r="A700" s="16" t="str">
        <x:f>IF(Events!A699="","",Events!A699)</x:f>
      </x:c>
      <x:c r="B700" s="16" t="str">
        <x:f>IF(A700="","",Events!B699)</x:f>
      </x:c>
      <x:c r="C700" s="16" t="str">
        <x:f>IF(A700="","",Events!E699)</x:f>
      </x:c>
      <x:c r="D700" s="16" t="str">
        <x:f>IF(A700="","",Events!J699)</x:f>
      </x:c>
      <x:c r="E700" s="16" t="str">
        <x:f>IF(A700="","",Events!N699)</x:f>
      </x:c>
      <x:c r="F700" s="109" t="str">
        <x:f>IF(OR(A700="",Events!H699=""),"",Events!H699)</x:f>
      </x:c>
      <x:c r="G700" s="109" t="str">
        <x:f>IF(A700="","",IF(Events!I699&lt;&gt;"",Events!I699,IF(Events!S699&lt;&gt;"",Events!S699,"")))</x:f>
      </x:c>
      <x:c r="H700" s="16" t="str">
        <x:f>IF(A700="","",Events!W699)</x:f>
      </x:c>
      <x:c r="I700" s="16" t="str">
        <x:f>IF(A700="","",IF(Events!Y699&lt;&gt;"",Events!Y699,IF(OR(ISNUMBER(SEARCH("education",P700)),ISNUMBER(SEARCH("exam",P700)),ISNUMBER(SEARCH("school",P700))),"Education",IF(OR(ISNUMBER(SEARCH("trade agreement",P700)),ISNUMBER(SEARCH("economic",P700)),ISNUMBER(SEARCH("import",P700))),"Trade &amp; economic policy",IF(OR(ISNUMBER(SEARCH("land acquisition",P700)),ISNUMBER(SEARCH("rehabilitation",P700)),ISNUMBER(SEARCH("displacement",P700)),ISNUMBER(SEARCH("township",P700))),"Land &amp; rehabilitation",IF(OR(ISNUMBER(SEARCH("forest",P700)),ISNUMBER(SEARCH("environment",P700)),ISNUMBER(SEARCH("ecological",P700)),ISNUMBER(SEARCH("biodiversity",P700)),ISNUMBER(SEARCH("green cover",P700))),"Environment",IF(OR(ISNUMBER(SEARCH("irrigation",P700)),ISNUMBER(SEARCH("water",P700)),ISNUMBER(SEARCH("crop",P700)),ISNUMBER(SEARCH("farmer",P700)),ISNUMBER(SEARCH("agriculture",P700))),"Agriculture &amp; water",IF(OR(ISNUMBER(SEARCH("health",P700)),ISNUMBER(SEARCH("hospital",P700)),ISNUMBER(SEARCH("medicine",P700))),"Public health",IF(OR(ISNUMBER(SEARCH("employee",P700)),ISNUMBER(SEARCH("labour",P700)),ISNUMBER(SEARCH("worker",P700)),ISNUMBER(SEARCH("salary",P700))),"Labour &amp; employment",IF(OR(ISNUMBER(SEARCH("rti",P700)),ISNUMBER(SEARCH("transparency",P700)),ISNUMBER(SEARCH("corruption",P700)),ISNUMBER(SEARCH("governance",P700))),"Governance &amp; transparency",IF(OR(ISNUMBER(SEARCH("police",P700)),ISNUMBER(SEARCH("detention",P700)),ISNUMBER(SEARCH("civil rights",P700)),ISNUMBER(SEARCH("justice",P700))),"Civil rights &amp; justice",IF(OR(ISNUMBER(SEARCH("road",P700)),ISNUMBER(SEARCH("utility",P700)),ISNUMBER(SEARCH("infrastructure",P700)),ISNUMBER(SEARCH("public service",P700))),"Infrastructure &amp; public services","Other"))))))))))))</x:f>
      </x:c>
      <x:c r="J700" s="16" t="str">
        <x:f>IF(A700="","",IF(OR(ISNUMBER(SEARCH("fatal",Q700)),ISNUMBER(SEARCH("death",Q700)),ISNUMBER(SEARCH("riot",Q700)),ISNUMBER(SEARCH("curfew",Q700)),ISNUMBER(SEARCH("internet shutdown",Q700))),5,MIN(4,1+IF(H700&gt;=7,1,0)+IF(OR(ISNUMBER(SEARCH("hunger strike",Q700)),ISNUMBER(SEARCH("blockade",Q700)),ISNUMBER(SEARCH("strike",Q700)),ISNUMBER(SEARCH("jal satyagraha",Q700)),ISNUMBER(SEARCH("survey",Q700)),ISNUMBER(SEARCH("human chain",Q700)),ISNUMBER(SEARCH("march",Q700))),1,0)+IF(OR(ISNUMBER(SEARCH("fir",Q700)),ISNUMBER(SEARCH("confrontation",Q700)),ISNUMBER(SEARCH("violence",Q700)),ISNUMBER(SEARCH("detention",Q700)),ISNUMBER(SEARCH("arrest",Q700)),ISNUMBER(SEARCH("demolition",Q700)),ISNUMBER(SEARCH("injury",Q700))),1,0)+IF(OR(D700="Ongoing",D700="Unresolved"),1,0))))</x:f>
      </x:c>
      <x:c r="K700" s="16" t="str">
        <x:f>IF(J700="","",IF(J700=1,"Limited",IF(J700=2,"Local",IF(J700=3,"Significant",IF(J700=4,"High","Critical")))))</x:f>
      </x:c>
      <x:c r="L700" s="16" t="str">
        <x:f>IF(A700="","",Events!U699)</x:f>
      </x:c>
      <x:c r="M700" s="16" t="str">
        <x:f>IF(A700="","",Events!V699)</x:f>
      </x:c>
      <x:c r="N700" s="16" t="str">
        <x:f>IF(A700="","",Events!Q699)</x:f>
      </x:c>
      <x:c r="O700" s="16" t="str">
        <x:f>IF(A700="","",Events!R699)</x:f>
      </x:c>
      <x:c r="P700" s="16" t="str">
        <x:f>IF(A700="","",LOWER(Events!B699&amp;" "&amp;Events!D699&amp;" "&amp;Events!K699))</x:f>
      </x:c>
      <x:c r="Q700" s="16" t="str">
        <x:f>IF(A700="","",LOWER(Events!C699&amp;" "&amp;Events!K699&amp;" "&amp;Events!T699))</x:f>
      </x:c>
      <x:c r="R700" s="16" t="str">
        <x:f>IF(A700="","",IF(ISNUMBER(SEARCH("Occurrence verified",E700)),"Occurrence verified",E700))</x:f>
      </x:c>
      <x:c r="S700" s="79" t="str">
        <x:f>IF(A700="","",Events!X699)</x:f>
      </x:c>
      <x:c r="Z700" s="79" t="str">
        <x:f>IF(A700="","",Events!AD699)</x:f>
      </x:c>
      <x:c r="AA700" s="79" t="str">
        <x:f>IF(A700="","",Events!AE699)</x:f>
      </x:c>
    </x:row>
    <x:row r="701">
      <x:c r="A701" s="16" t="str">
        <x:f>IF(Events!A700="","",Events!A700)</x:f>
      </x:c>
      <x:c r="B701" s="16" t="str">
        <x:f>IF(A701="","",Events!B700)</x:f>
      </x:c>
      <x:c r="C701" s="16" t="str">
        <x:f>IF(A701="","",Events!E700)</x:f>
      </x:c>
      <x:c r="D701" s="16" t="str">
        <x:f>IF(A701="","",Events!J700)</x:f>
      </x:c>
      <x:c r="E701" s="16" t="str">
        <x:f>IF(A701="","",Events!N700)</x:f>
      </x:c>
      <x:c r="F701" s="109" t="str">
        <x:f>IF(OR(A701="",Events!H700=""),"",Events!H700)</x:f>
      </x:c>
      <x:c r="G701" s="109" t="str">
        <x:f>IF(A701="","",IF(Events!I700&lt;&gt;"",Events!I700,IF(Events!S700&lt;&gt;"",Events!S700,"")))</x:f>
      </x:c>
      <x:c r="H701" s="16" t="str">
        <x:f>IF(A701="","",Events!W700)</x:f>
      </x:c>
      <x:c r="I701" s="16" t="str">
        <x:f>IF(A701="","",IF(Events!Y700&lt;&gt;"",Events!Y700,IF(OR(ISNUMBER(SEARCH("education",P701)),ISNUMBER(SEARCH("exam",P701)),ISNUMBER(SEARCH("school",P701))),"Education",IF(OR(ISNUMBER(SEARCH("trade agreement",P701)),ISNUMBER(SEARCH("economic",P701)),ISNUMBER(SEARCH("import",P701))),"Trade &amp; economic policy",IF(OR(ISNUMBER(SEARCH("land acquisition",P701)),ISNUMBER(SEARCH("rehabilitation",P701)),ISNUMBER(SEARCH("displacement",P701)),ISNUMBER(SEARCH("township",P701))),"Land &amp; rehabilitation",IF(OR(ISNUMBER(SEARCH("forest",P701)),ISNUMBER(SEARCH("environment",P701)),ISNUMBER(SEARCH("ecological",P701)),ISNUMBER(SEARCH("biodiversity",P701)),ISNUMBER(SEARCH("green cover",P701))),"Environment",IF(OR(ISNUMBER(SEARCH("irrigation",P701)),ISNUMBER(SEARCH("water",P701)),ISNUMBER(SEARCH("crop",P701)),ISNUMBER(SEARCH("farmer",P701)),ISNUMBER(SEARCH("agriculture",P701))),"Agriculture &amp; water",IF(OR(ISNUMBER(SEARCH("health",P701)),ISNUMBER(SEARCH("hospital",P701)),ISNUMBER(SEARCH("medicine",P701))),"Public health",IF(OR(ISNUMBER(SEARCH("employee",P701)),ISNUMBER(SEARCH("labour",P701)),ISNUMBER(SEARCH("worker",P701)),ISNUMBER(SEARCH("salary",P701))),"Labour &amp; employment",IF(OR(ISNUMBER(SEARCH("rti",P701)),ISNUMBER(SEARCH("transparency",P701)),ISNUMBER(SEARCH("corruption",P701)),ISNUMBER(SEARCH("governance",P701))),"Governance &amp; transparency",IF(OR(ISNUMBER(SEARCH("police",P701)),ISNUMBER(SEARCH("detention",P701)),ISNUMBER(SEARCH("civil rights",P701)),ISNUMBER(SEARCH("justice",P701))),"Civil rights &amp; justice",IF(OR(ISNUMBER(SEARCH("road",P701)),ISNUMBER(SEARCH("utility",P701)),ISNUMBER(SEARCH("infrastructure",P701)),ISNUMBER(SEARCH("public service",P701))),"Infrastructure &amp; public services","Other"))))))))))))</x:f>
      </x:c>
      <x:c r="J701" s="16" t="str">
        <x:f>IF(A701="","",IF(OR(ISNUMBER(SEARCH("fatal",Q701)),ISNUMBER(SEARCH("death",Q701)),ISNUMBER(SEARCH("riot",Q701)),ISNUMBER(SEARCH("curfew",Q701)),ISNUMBER(SEARCH("internet shutdown",Q701))),5,MIN(4,1+IF(H701&gt;=7,1,0)+IF(OR(ISNUMBER(SEARCH("hunger strike",Q701)),ISNUMBER(SEARCH("blockade",Q701)),ISNUMBER(SEARCH("strike",Q701)),ISNUMBER(SEARCH("jal satyagraha",Q701)),ISNUMBER(SEARCH("survey",Q701)),ISNUMBER(SEARCH("human chain",Q701)),ISNUMBER(SEARCH("march",Q701))),1,0)+IF(OR(ISNUMBER(SEARCH("fir",Q701)),ISNUMBER(SEARCH("confrontation",Q701)),ISNUMBER(SEARCH("violence",Q701)),ISNUMBER(SEARCH("detention",Q701)),ISNUMBER(SEARCH("arrest",Q701)),ISNUMBER(SEARCH("demolition",Q701)),ISNUMBER(SEARCH("injury",Q701))),1,0)+IF(OR(D701="Ongoing",D701="Unresolved"),1,0))))</x:f>
      </x:c>
      <x:c r="K701" s="16" t="str">
        <x:f>IF(J701="","",IF(J701=1,"Limited",IF(J701=2,"Local",IF(J701=3,"Significant",IF(J701=4,"High","Critical")))))</x:f>
      </x:c>
      <x:c r="L701" s="16" t="str">
        <x:f>IF(A701="","",Events!U700)</x:f>
      </x:c>
      <x:c r="M701" s="16" t="str">
        <x:f>IF(A701="","",Events!V700)</x:f>
      </x:c>
      <x:c r="N701" s="16" t="str">
        <x:f>IF(A701="","",Events!Q700)</x:f>
      </x:c>
      <x:c r="O701" s="16" t="str">
        <x:f>IF(A701="","",Events!R700)</x:f>
      </x:c>
      <x:c r="P701" s="16" t="str">
        <x:f>IF(A701="","",LOWER(Events!B700&amp;" "&amp;Events!D700&amp;" "&amp;Events!K700))</x:f>
      </x:c>
      <x:c r="Q701" s="16" t="str">
        <x:f>IF(A701="","",LOWER(Events!C700&amp;" "&amp;Events!K700&amp;" "&amp;Events!T700))</x:f>
      </x:c>
      <x:c r="R701" s="16" t="str">
        <x:f>IF(A701="","",IF(ISNUMBER(SEARCH("Occurrence verified",E701)),"Occurrence verified",E701))</x:f>
      </x:c>
      <x:c r="S701" s="79" t="str">
        <x:f>IF(A701="","",Events!X700)</x:f>
      </x:c>
      <x:c r="Z701" s="79" t="str">
        <x:f>IF(A701="","",Events!AD700)</x:f>
      </x:c>
      <x:c r="AA701" s="79" t="str">
        <x:f>IF(A701="","",Events!AE700)</x:f>
      </x:c>
    </x:row>
    <x:row r="702">
      <x:c r="A702" s="16" t="str">
        <x:f>IF(Events!A701="","",Events!A701)</x:f>
      </x:c>
      <x:c r="B702" s="16" t="str">
        <x:f>IF(A702="","",Events!B701)</x:f>
      </x:c>
      <x:c r="C702" s="16" t="str">
        <x:f>IF(A702="","",Events!E701)</x:f>
      </x:c>
      <x:c r="D702" s="16" t="str">
        <x:f>IF(A702="","",Events!J701)</x:f>
      </x:c>
      <x:c r="E702" s="16" t="str">
        <x:f>IF(A702="","",Events!N701)</x:f>
      </x:c>
      <x:c r="F702" s="109" t="str">
        <x:f>IF(OR(A702="",Events!H701=""),"",Events!H701)</x:f>
      </x:c>
      <x:c r="G702" s="109" t="str">
        <x:f>IF(A702="","",IF(Events!I701&lt;&gt;"",Events!I701,IF(Events!S701&lt;&gt;"",Events!S701,"")))</x:f>
      </x:c>
      <x:c r="H702" s="16" t="str">
        <x:f>IF(A702="","",Events!W701)</x:f>
      </x:c>
      <x:c r="I702" s="16" t="str">
        <x:f>IF(A702="","",IF(Events!Y701&lt;&gt;"",Events!Y701,IF(OR(ISNUMBER(SEARCH("education",P702)),ISNUMBER(SEARCH("exam",P702)),ISNUMBER(SEARCH("school",P702))),"Education",IF(OR(ISNUMBER(SEARCH("trade agreement",P702)),ISNUMBER(SEARCH("economic",P702)),ISNUMBER(SEARCH("import",P702))),"Trade &amp; economic policy",IF(OR(ISNUMBER(SEARCH("land acquisition",P702)),ISNUMBER(SEARCH("rehabilitation",P702)),ISNUMBER(SEARCH("displacement",P702)),ISNUMBER(SEARCH("township",P702))),"Land &amp; rehabilitation",IF(OR(ISNUMBER(SEARCH("forest",P702)),ISNUMBER(SEARCH("environment",P702)),ISNUMBER(SEARCH("ecological",P702)),ISNUMBER(SEARCH("biodiversity",P702)),ISNUMBER(SEARCH("green cover",P702))),"Environment",IF(OR(ISNUMBER(SEARCH("irrigation",P702)),ISNUMBER(SEARCH("water",P702)),ISNUMBER(SEARCH("crop",P702)),ISNUMBER(SEARCH("farmer",P702)),ISNUMBER(SEARCH("agriculture",P702))),"Agriculture &amp; water",IF(OR(ISNUMBER(SEARCH("health",P702)),ISNUMBER(SEARCH("hospital",P702)),ISNUMBER(SEARCH("medicine",P702))),"Public health",IF(OR(ISNUMBER(SEARCH("employee",P702)),ISNUMBER(SEARCH("labour",P702)),ISNUMBER(SEARCH("worker",P702)),ISNUMBER(SEARCH("salary",P702))),"Labour &amp; employment",IF(OR(ISNUMBER(SEARCH("rti",P702)),ISNUMBER(SEARCH("transparency",P702)),ISNUMBER(SEARCH("corruption",P702)),ISNUMBER(SEARCH("governance",P702))),"Governance &amp; transparency",IF(OR(ISNUMBER(SEARCH("police",P702)),ISNUMBER(SEARCH("detention",P702)),ISNUMBER(SEARCH("civil rights",P702)),ISNUMBER(SEARCH("justice",P702))),"Civil rights &amp; justice",IF(OR(ISNUMBER(SEARCH("road",P702)),ISNUMBER(SEARCH("utility",P702)),ISNUMBER(SEARCH("infrastructure",P702)),ISNUMBER(SEARCH("public service",P702))),"Infrastructure &amp; public services","Other"))))))))))))</x:f>
      </x:c>
      <x:c r="J702" s="16" t="str">
        <x:f>IF(A702="","",IF(OR(ISNUMBER(SEARCH("fatal",Q702)),ISNUMBER(SEARCH("death",Q702)),ISNUMBER(SEARCH("riot",Q702)),ISNUMBER(SEARCH("curfew",Q702)),ISNUMBER(SEARCH("internet shutdown",Q702))),5,MIN(4,1+IF(H702&gt;=7,1,0)+IF(OR(ISNUMBER(SEARCH("hunger strike",Q702)),ISNUMBER(SEARCH("blockade",Q702)),ISNUMBER(SEARCH("strike",Q702)),ISNUMBER(SEARCH("jal satyagraha",Q702)),ISNUMBER(SEARCH("survey",Q702)),ISNUMBER(SEARCH("human chain",Q702)),ISNUMBER(SEARCH("march",Q702))),1,0)+IF(OR(ISNUMBER(SEARCH("fir",Q702)),ISNUMBER(SEARCH("confrontation",Q702)),ISNUMBER(SEARCH("violence",Q702)),ISNUMBER(SEARCH("detention",Q702)),ISNUMBER(SEARCH("arrest",Q702)),ISNUMBER(SEARCH("demolition",Q702)),ISNUMBER(SEARCH("injury",Q702))),1,0)+IF(OR(D702="Ongoing",D702="Unresolved"),1,0))))</x:f>
      </x:c>
      <x:c r="K702" s="16" t="str">
        <x:f>IF(J702="","",IF(J702=1,"Limited",IF(J702=2,"Local",IF(J702=3,"Significant",IF(J702=4,"High","Critical")))))</x:f>
      </x:c>
      <x:c r="L702" s="16" t="str">
        <x:f>IF(A702="","",Events!U701)</x:f>
      </x:c>
      <x:c r="M702" s="16" t="str">
        <x:f>IF(A702="","",Events!V701)</x:f>
      </x:c>
      <x:c r="N702" s="16" t="str">
        <x:f>IF(A702="","",Events!Q701)</x:f>
      </x:c>
      <x:c r="O702" s="16" t="str">
        <x:f>IF(A702="","",Events!R701)</x:f>
      </x:c>
      <x:c r="P702" s="16" t="str">
        <x:f>IF(A702="","",LOWER(Events!B701&amp;" "&amp;Events!D701&amp;" "&amp;Events!K701))</x:f>
      </x:c>
      <x:c r="Q702" s="16" t="str">
        <x:f>IF(A702="","",LOWER(Events!C701&amp;" "&amp;Events!K701&amp;" "&amp;Events!T701))</x:f>
      </x:c>
      <x:c r="R702" s="16" t="str">
        <x:f>IF(A702="","",IF(ISNUMBER(SEARCH("Occurrence verified",E702)),"Occurrence verified",E702))</x:f>
      </x:c>
      <x:c r="S702" s="79" t="str">
        <x:f>IF(A702="","",Events!X701)</x:f>
      </x:c>
      <x:c r="Z702" s="79" t="str">
        <x:f>IF(A702="","",Events!AD701)</x:f>
      </x:c>
      <x:c r="AA702" s="79" t="str">
        <x:f>IF(A702="","",Events!AE701)</x:f>
      </x:c>
    </x:row>
    <x:row r="703">
      <x:c r="A703" s="16" t="str">
        <x:f>IF(Events!A702="","",Events!A702)</x:f>
      </x:c>
      <x:c r="B703" s="16" t="str">
        <x:f>IF(A703="","",Events!B702)</x:f>
      </x:c>
      <x:c r="C703" s="16" t="str">
        <x:f>IF(A703="","",Events!E702)</x:f>
      </x:c>
      <x:c r="D703" s="16" t="str">
        <x:f>IF(A703="","",Events!J702)</x:f>
      </x:c>
      <x:c r="E703" s="16" t="str">
        <x:f>IF(A703="","",Events!N702)</x:f>
      </x:c>
      <x:c r="F703" s="109" t="str">
        <x:f>IF(OR(A703="",Events!H702=""),"",Events!H702)</x:f>
      </x:c>
      <x:c r="G703" s="109" t="str">
        <x:f>IF(A703="","",IF(Events!I702&lt;&gt;"",Events!I702,IF(Events!S702&lt;&gt;"",Events!S702,"")))</x:f>
      </x:c>
      <x:c r="H703" s="16" t="str">
        <x:f>IF(A703="","",Events!W702)</x:f>
      </x:c>
      <x:c r="I703" s="16" t="str">
        <x:f>IF(A703="","",IF(Events!Y702&lt;&gt;"",Events!Y702,IF(OR(ISNUMBER(SEARCH("education",P703)),ISNUMBER(SEARCH("exam",P703)),ISNUMBER(SEARCH("school",P703))),"Education",IF(OR(ISNUMBER(SEARCH("trade agreement",P703)),ISNUMBER(SEARCH("economic",P703)),ISNUMBER(SEARCH("import",P703))),"Trade &amp; economic policy",IF(OR(ISNUMBER(SEARCH("land acquisition",P703)),ISNUMBER(SEARCH("rehabilitation",P703)),ISNUMBER(SEARCH("displacement",P703)),ISNUMBER(SEARCH("township",P703))),"Land &amp; rehabilitation",IF(OR(ISNUMBER(SEARCH("forest",P703)),ISNUMBER(SEARCH("environment",P703)),ISNUMBER(SEARCH("ecological",P703)),ISNUMBER(SEARCH("biodiversity",P703)),ISNUMBER(SEARCH("green cover",P703))),"Environment",IF(OR(ISNUMBER(SEARCH("irrigation",P703)),ISNUMBER(SEARCH("water",P703)),ISNUMBER(SEARCH("crop",P703)),ISNUMBER(SEARCH("farmer",P703)),ISNUMBER(SEARCH("agriculture",P703))),"Agriculture &amp; water",IF(OR(ISNUMBER(SEARCH("health",P703)),ISNUMBER(SEARCH("hospital",P703)),ISNUMBER(SEARCH("medicine",P703))),"Public health",IF(OR(ISNUMBER(SEARCH("employee",P703)),ISNUMBER(SEARCH("labour",P703)),ISNUMBER(SEARCH("worker",P703)),ISNUMBER(SEARCH("salary",P703))),"Labour &amp; employment",IF(OR(ISNUMBER(SEARCH("rti",P703)),ISNUMBER(SEARCH("transparency",P703)),ISNUMBER(SEARCH("corruption",P703)),ISNUMBER(SEARCH("governance",P703))),"Governance &amp; transparency",IF(OR(ISNUMBER(SEARCH("police",P703)),ISNUMBER(SEARCH("detention",P703)),ISNUMBER(SEARCH("civil rights",P703)),ISNUMBER(SEARCH("justice",P703))),"Civil rights &amp; justice",IF(OR(ISNUMBER(SEARCH("road",P703)),ISNUMBER(SEARCH("utility",P703)),ISNUMBER(SEARCH("infrastructure",P703)),ISNUMBER(SEARCH("public service",P703))),"Infrastructure &amp; public services","Other"))))))))))))</x:f>
      </x:c>
      <x:c r="J703" s="16" t="str">
        <x:f>IF(A703="","",IF(OR(ISNUMBER(SEARCH("fatal",Q703)),ISNUMBER(SEARCH("death",Q703)),ISNUMBER(SEARCH("riot",Q703)),ISNUMBER(SEARCH("curfew",Q703)),ISNUMBER(SEARCH("internet shutdown",Q703))),5,MIN(4,1+IF(H703&gt;=7,1,0)+IF(OR(ISNUMBER(SEARCH("hunger strike",Q703)),ISNUMBER(SEARCH("blockade",Q703)),ISNUMBER(SEARCH("strike",Q703)),ISNUMBER(SEARCH("jal satyagraha",Q703)),ISNUMBER(SEARCH("survey",Q703)),ISNUMBER(SEARCH("human chain",Q703)),ISNUMBER(SEARCH("march",Q703))),1,0)+IF(OR(ISNUMBER(SEARCH("fir",Q703)),ISNUMBER(SEARCH("confrontation",Q703)),ISNUMBER(SEARCH("violence",Q703)),ISNUMBER(SEARCH("detention",Q703)),ISNUMBER(SEARCH("arrest",Q703)),ISNUMBER(SEARCH("demolition",Q703)),ISNUMBER(SEARCH("injury",Q703))),1,0)+IF(OR(D703="Ongoing",D703="Unresolved"),1,0))))</x:f>
      </x:c>
      <x:c r="K703" s="16" t="str">
        <x:f>IF(J703="","",IF(J703=1,"Limited",IF(J703=2,"Local",IF(J703=3,"Significant",IF(J703=4,"High","Critical")))))</x:f>
      </x:c>
      <x:c r="L703" s="16" t="str">
        <x:f>IF(A703="","",Events!U702)</x:f>
      </x:c>
      <x:c r="M703" s="16" t="str">
        <x:f>IF(A703="","",Events!V702)</x:f>
      </x:c>
      <x:c r="N703" s="16" t="str">
        <x:f>IF(A703="","",Events!Q702)</x:f>
      </x:c>
      <x:c r="O703" s="16" t="str">
        <x:f>IF(A703="","",Events!R702)</x:f>
      </x:c>
      <x:c r="P703" s="16" t="str">
        <x:f>IF(A703="","",LOWER(Events!B702&amp;" "&amp;Events!D702&amp;" "&amp;Events!K702))</x:f>
      </x:c>
      <x:c r="Q703" s="16" t="str">
        <x:f>IF(A703="","",LOWER(Events!C702&amp;" "&amp;Events!K702&amp;" "&amp;Events!T702))</x:f>
      </x:c>
      <x:c r="R703" s="16" t="str">
        <x:f>IF(A703="","",IF(ISNUMBER(SEARCH("Occurrence verified",E703)),"Occurrence verified",E703))</x:f>
      </x:c>
      <x:c r="S703" s="79" t="str">
        <x:f>IF(A703="","",Events!X702)</x:f>
      </x:c>
      <x:c r="Z703" s="79" t="str">
        <x:f>IF(A703="","",Events!AD702)</x:f>
      </x:c>
      <x:c r="AA703" s="79" t="str">
        <x:f>IF(A703="","",Events!AE702)</x:f>
      </x:c>
    </x:row>
    <x:row r="704">
      <x:c r="A704" s="16" t="str">
        <x:f>IF(Events!A703="","",Events!A703)</x:f>
      </x:c>
      <x:c r="B704" s="16" t="str">
        <x:f>IF(A704="","",Events!B703)</x:f>
      </x:c>
      <x:c r="C704" s="16" t="str">
        <x:f>IF(A704="","",Events!E703)</x:f>
      </x:c>
      <x:c r="D704" s="16" t="str">
        <x:f>IF(A704="","",Events!J703)</x:f>
      </x:c>
      <x:c r="E704" s="16" t="str">
        <x:f>IF(A704="","",Events!N703)</x:f>
      </x:c>
      <x:c r="F704" s="109" t="str">
        <x:f>IF(OR(A704="",Events!H703=""),"",Events!H703)</x:f>
      </x:c>
      <x:c r="G704" s="109" t="str">
        <x:f>IF(A704="","",IF(Events!I703&lt;&gt;"",Events!I703,IF(Events!S703&lt;&gt;"",Events!S703,"")))</x:f>
      </x:c>
      <x:c r="H704" s="16" t="str">
        <x:f>IF(A704="","",Events!W703)</x:f>
      </x:c>
      <x:c r="I704" s="16" t="str">
        <x:f>IF(A704="","",IF(Events!Y703&lt;&gt;"",Events!Y703,IF(OR(ISNUMBER(SEARCH("education",P704)),ISNUMBER(SEARCH("exam",P704)),ISNUMBER(SEARCH("school",P704))),"Education",IF(OR(ISNUMBER(SEARCH("trade agreement",P704)),ISNUMBER(SEARCH("economic",P704)),ISNUMBER(SEARCH("import",P704))),"Trade &amp; economic policy",IF(OR(ISNUMBER(SEARCH("land acquisition",P704)),ISNUMBER(SEARCH("rehabilitation",P704)),ISNUMBER(SEARCH("displacement",P704)),ISNUMBER(SEARCH("township",P704))),"Land &amp; rehabilitation",IF(OR(ISNUMBER(SEARCH("forest",P704)),ISNUMBER(SEARCH("environment",P704)),ISNUMBER(SEARCH("ecological",P704)),ISNUMBER(SEARCH("biodiversity",P704)),ISNUMBER(SEARCH("green cover",P704))),"Environment",IF(OR(ISNUMBER(SEARCH("irrigation",P704)),ISNUMBER(SEARCH("water",P704)),ISNUMBER(SEARCH("crop",P704)),ISNUMBER(SEARCH("farmer",P704)),ISNUMBER(SEARCH("agriculture",P704))),"Agriculture &amp; water",IF(OR(ISNUMBER(SEARCH("health",P704)),ISNUMBER(SEARCH("hospital",P704)),ISNUMBER(SEARCH("medicine",P704))),"Public health",IF(OR(ISNUMBER(SEARCH("employee",P704)),ISNUMBER(SEARCH("labour",P704)),ISNUMBER(SEARCH("worker",P704)),ISNUMBER(SEARCH("salary",P704))),"Labour &amp; employment",IF(OR(ISNUMBER(SEARCH("rti",P704)),ISNUMBER(SEARCH("transparency",P704)),ISNUMBER(SEARCH("corruption",P704)),ISNUMBER(SEARCH("governance",P704))),"Governance &amp; transparency",IF(OR(ISNUMBER(SEARCH("police",P704)),ISNUMBER(SEARCH("detention",P704)),ISNUMBER(SEARCH("civil rights",P704)),ISNUMBER(SEARCH("justice",P704))),"Civil rights &amp; justice",IF(OR(ISNUMBER(SEARCH("road",P704)),ISNUMBER(SEARCH("utility",P704)),ISNUMBER(SEARCH("infrastructure",P704)),ISNUMBER(SEARCH("public service",P704))),"Infrastructure &amp; public services","Other"))))))))))))</x:f>
      </x:c>
      <x:c r="J704" s="16" t="str">
        <x:f>IF(A704="","",IF(OR(ISNUMBER(SEARCH("fatal",Q704)),ISNUMBER(SEARCH("death",Q704)),ISNUMBER(SEARCH("riot",Q704)),ISNUMBER(SEARCH("curfew",Q704)),ISNUMBER(SEARCH("internet shutdown",Q704))),5,MIN(4,1+IF(H704&gt;=7,1,0)+IF(OR(ISNUMBER(SEARCH("hunger strike",Q704)),ISNUMBER(SEARCH("blockade",Q704)),ISNUMBER(SEARCH("strike",Q704)),ISNUMBER(SEARCH("jal satyagraha",Q704)),ISNUMBER(SEARCH("survey",Q704)),ISNUMBER(SEARCH("human chain",Q704)),ISNUMBER(SEARCH("march",Q704))),1,0)+IF(OR(ISNUMBER(SEARCH("fir",Q704)),ISNUMBER(SEARCH("confrontation",Q704)),ISNUMBER(SEARCH("violence",Q704)),ISNUMBER(SEARCH("detention",Q704)),ISNUMBER(SEARCH("arrest",Q704)),ISNUMBER(SEARCH("demolition",Q704)),ISNUMBER(SEARCH("injury",Q704))),1,0)+IF(OR(D704="Ongoing",D704="Unresolved"),1,0))))</x:f>
      </x:c>
      <x:c r="K704" s="16" t="str">
        <x:f>IF(J704="","",IF(J704=1,"Limited",IF(J704=2,"Local",IF(J704=3,"Significant",IF(J704=4,"High","Critical")))))</x:f>
      </x:c>
      <x:c r="L704" s="16" t="str">
        <x:f>IF(A704="","",Events!U703)</x:f>
      </x:c>
      <x:c r="M704" s="16" t="str">
        <x:f>IF(A704="","",Events!V703)</x:f>
      </x:c>
      <x:c r="N704" s="16" t="str">
        <x:f>IF(A704="","",Events!Q703)</x:f>
      </x:c>
      <x:c r="O704" s="16" t="str">
        <x:f>IF(A704="","",Events!R703)</x:f>
      </x:c>
      <x:c r="P704" s="16" t="str">
        <x:f>IF(A704="","",LOWER(Events!B703&amp;" "&amp;Events!D703&amp;" "&amp;Events!K703))</x:f>
      </x:c>
      <x:c r="Q704" s="16" t="str">
        <x:f>IF(A704="","",LOWER(Events!C703&amp;" "&amp;Events!K703&amp;" "&amp;Events!T703))</x:f>
      </x:c>
      <x:c r="R704" s="16" t="str">
        <x:f>IF(A704="","",IF(ISNUMBER(SEARCH("Occurrence verified",E704)),"Occurrence verified",E704))</x:f>
      </x:c>
      <x:c r="S704" s="79" t="str">
        <x:f>IF(A704="","",Events!X703)</x:f>
      </x:c>
      <x:c r="Z704" s="79" t="str">
        <x:f>IF(A704="","",Events!AD703)</x:f>
      </x:c>
      <x:c r="AA704" s="79" t="str">
        <x:f>IF(A704="","",Events!AE703)</x:f>
      </x:c>
    </x:row>
    <x:row r="705">
      <x:c r="A705" s="16" t="str">
        <x:f>IF(Events!A704="","",Events!A704)</x:f>
      </x:c>
      <x:c r="B705" s="16" t="str">
        <x:f>IF(A705="","",Events!B704)</x:f>
      </x:c>
      <x:c r="C705" s="16" t="str">
        <x:f>IF(A705="","",Events!E704)</x:f>
      </x:c>
      <x:c r="D705" s="16" t="str">
        <x:f>IF(A705="","",Events!J704)</x:f>
      </x:c>
      <x:c r="E705" s="16" t="str">
        <x:f>IF(A705="","",Events!N704)</x:f>
      </x:c>
      <x:c r="F705" s="109" t="str">
        <x:f>IF(OR(A705="",Events!H704=""),"",Events!H704)</x:f>
      </x:c>
      <x:c r="G705" s="109" t="str">
        <x:f>IF(A705="","",IF(Events!I704&lt;&gt;"",Events!I704,IF(Events!S704&lt;&gt;"",Events!S704,"")))</x:f>
      </x:c>
      <x:c r="H705" s="16" t="str">
        <x:f>IF(A705="","",Events!W704)</x:f>
      </x:c>
      <x:c r="I705" s="16" t="str">
        <x:f>IF(A705="","",IF(Events!Y704&lt;&gt;"",Events!Y704,IF(OR(ISNUMBER(SEARCH("education",P705)),ISNUMBER(SEARCH("exam",P705)),ISNUMBER(SEARCH("school",P705))),"Education",IF(OR(ISNUMBER(SEARCH("trade agreement",P705)),ISNUMBER(SEARCH("economic",P705)),ISNUMBER(SEARCH("import",P705))),"Trade &amp; economic policy",IF(OR(ISNUMBER(SEARCH("land acquisition",P705)),ISNUMBER(SEARCH("rehabilitation",P705)),ISNUMBER(SEARCH("displacement",P705)),ISNUMBER(SEARCH("township",P705))),"Land &amp; rehabilitation",IF(OR(ISNUMBER(SEARCH("forest",P705)),ISNUMBER(SEARCH("environment",P705)),ISNUMBER(SEARCH("ecological",P705)),ISNUMBER(SEARCH("biodiversity",P705)),ISNUMBER(SEARCH("green cover",P705))),"Environment",IF(OR(ISNUMBER(SEARCH("irrigation",P705)),ISNUMBER(SEARCH("water",P705)),ISNUMBER(SEARCH("crop",P705)),ISNUMBER(SEARCH("farmer",P705)),ISNUMBER(SEARCH("agriculture",P705))),"Agriculture &amp; water",IF(OR(ISNUMBER(SEARCH("health",P705)),ISNUMBER(SEARCH("hospital",P705)),ISNUMBER(SEARCH("medicine",P705))),"Public health",IF(OR(ISNUMBER(SEARCH("employee",P705)),ISNUMBER(SEARCH("labour",P705)),ISNUMBER(SEARCH("worker",P705)),ISNUMBER(SEARCH("salary",P705))),"Labour &amp; employment",IF(OR(ISNUMBER(SEARCH("rti",P705)),ISNUMBER(SEARCH("transparency",P705)),ISNUMBER(SEARCH("corruption",P705)),ISNUMBER(SEARCH("governance",P705))),"Governance &amp; transparency",IF(OR(ISNUMBER(SEARCH("police",P705)),ISNUMBER(SEARCH("detention",P705)),ISNUMBER(SEARCH("civil rights",P705)),ISNUMBER(SEARCH("justice",P705))),"Civil rights &amp; justice",IF(OR(ISNUMBER(SEARCH("road",P705)),ISNUMBER(SEARCH("utility",P705)),ISNUMBER(SEARCH("infrastructure",P705)),ISNUMBER(SEARCH("public service",P705))),"Infrastructure &amp; public services","Other"))))))))))))</x:f>
      </x:c>
      <x:c r="J705" s="16" t="str">
        <x:f>IF(A705="","",IF(OR(ISNUMBER(SEARCH("fatal",Q705)),ISNUMBER(SEARCH("death",Q705)),ISNUMBER(SEARCH("riot",Q705)),ISNUMBER(SEARCH("curfew",Q705)),ISNUMBER(SEARCH("internet shutdown",Q705))),5,MIN(4,1+IF(H705&gt;=7,1,0)+IF(OR(ISNUMBER(SEARCH("hunger strike",Q705)),ISNUMBER(SEARCH("blockade",Q705)),ISNUMBER(SEARCH("strike",Q705)),ISNUMBER(SEARCH("jal satyagraha",Q705)),ISNUMBER(SEARCH("survey",Q705)),ISNUMBER(SEARCH("human chain",Q705)),ISNUMBER(SEARCH("march",Q705))),1,0)+IF(OR(ISNUMBER(SEARCH("fir",Q705)),ISNUMBER(SEARCH("confrontation",Q705)),ISNUMBER(SEARCH("violence",Q705)),ISNUMBER(SEARCH("detention",Q705)),ISNUMBER(SEARCH("arrest",Q705)),ISNUMBER(SEARCH("demolition",Q705)),ISNUMBER(SEARCH("injury",Q705))),1,0)+IF(OR(D705="Ongoing",D705="Unresolved"),1,0))))</x:f>
      </x:c>
      <x:c r="K705" s="16" t="str">
        <x:f>IF(J705="","",IF(J705=1,"Limited",IF(J705=2,"Local",IF(J705=3,"Significant",IF(J705=4,"High","Critical")))))</x:f>
      </x:c>
      <x:c r="L705" s="16" t="str">
        <x:f>IF(A705="","",Events!U704)</x:f>
      </x:c>
      <x:c r="M705" s="16" t="str">
        <x:f>IF(A705="","",Events!V704)</x:f>
      </x:c>
      <x:c r="N705" s="16" t="str">
        <x:f>IF(A705="","",Events!Q704)</x:f>
      </x:c>
      <x:c r="O705" s="16" t="str">
        <x:f>IF(A705="","",Events!R704)</x:f>
      </x:c>
      <x:c r="P705" s="16" t="str">
        <x:f>IF(A705="","",LOWER(Events!B704&amp;" "&amp;Events!D704&amp;" "&amp;Events!K704))</x:f>
      </x:c>
      <x:c r="Q705" s="16" t="str">
        <x:f>IF(A705="","",LOWER(Events!C704&amp;" "&amp;Events!K704&amp;" "&amp;Events!T704))</x:f>
      </x:c>
      <x:c r="R705" s="16" t="str">
        <x:f>IF(A705="","",IF(ISNUMBER(SEARCH("Occurrence verified",E705)),"Occurrence verified",E705))</x:f>
      </x:c>
      <x:c r="S705" s="79" t="str">
        <x:f>IF(A705="","",Events!X704)</x:f>
      </x:c>
      <x:c r="Z705" s="79" t="str">
        <x:f>IF(A705="","",Events!AD704)</x:f>
      </x:c>
      <x:c r="AA705" s="79" t="str">
        <x:f>IF(A705="","",Events!AE704)</x:f>
      </x:c>
    </x:row>
    <x:row r="706">
      <x:c r="A706" s="16" t="str">
        <x:f>IF(Events!A705="","",Events!A705)</x:f>
      </x:c>
      <x:c r="B706" s="16" t="str">
        <x:f>IF(A706="","",Events!B705)</x:f>
      </x:c>
      <x:c r="C706" s="16" t="str">
        <x:f>IF(A706="","",Events!E705)</x:f>
      </x:c>
      <x:c r="D706" s="16" t="str">
        <x:f>IF(A706="","",Events!J705)</x:f>
      </x:c>
      <x:c r="E706" s="16" t="str">
        <x:f>IF(A706="","",Events!N705)</x:f>
      </x:c>
      <x:c r="F706" s="109" t="str">
        <x:f>IF(OR(A706="",Events!H705=""),"",Events!H705)</x:f>
      </x:c>
      <x:c r="G706" s="109" t="str">
        <x:f>IF(A706="","",IF(Events!I705&lt;&gt;"",Events!I705,IF(Events!S705&lt;&gt;"",Events!S705,"")))</x:f>
      </x:c>
      <x:c r="H706" s="16" t="str">
        <x:f>IF(A706="","",Events!W705)</x:f>
      </x:c>
      <x:c r="I706" s="16" t="str">
        <x:f>IF(A706="","",IF(Events!Y705&lt;&gt;"",Events!Y705,IF(OR(ISNUMBER(SEARCH("education",P706)),ISNUMBER(SEARCH("exam",P706)),ISNUMBER(SEARCH("school",P706))),"Education",IF(OR(ISNUMBER(SEARCH("trade agreement",P706)),ISNUMBER(SEARCH("economic",P706)),ISNUMBER(SEARCH("import",P706))),"Trade &amp; economic policy",IF(OR(ISNUMBER(SEARCH("land acquisition",P706)),ISNUMBER(SEARCH("rehabilitation",P706)),ISNUMBER(SEARCH("displacement",P706)),ISNUMBER(SEARCH("township",P706))),"Land &amp; rehabilitation",IF(OR(ISNUMBER(SEARCH("forest",P706)),ISNUMBER(SEARCH("environment",P706)),ISNUMBER(SEARCH("ecological",P706)),ISNUMBER(SEARCH("biodiversity",P706)),ISNUMBER(SEARCH("green cover",P706))),"Environment",IF(OR(ISNUMBER(SEARCH("irrigation",P706)),ISNUMBER(SEARCH("water",P706)),ISNUMBER(SEARCH("crop",P706)),ISNUMBER(SEARCH("farmer",P706)),ISNUMBER(SEARCH("agriculture",P706))),"Agriculture &amp; water",IF(OR(ISNUMBER(SEARCH("health",P706)),ISNUMBER(SEARCH("hospital",P706)),ISNUMBER(SEARCH("medicine",P706))),"Public health",IF(OR(ISNUMBER(SEARCH("employee",P706)),ISNUMBER(SEARCH("labour",P706)),ISNUMBER(SEARCH("worker",P706)),ISNUMBER(SEARCH("salary",P706))),"Labour &amp; employment",IF(OR(ISNUMBER(SEARCH("rti",P706)),ISNUMBER(SEARCH("transparency",P706)),ISNUMBER(SEARCH("corruption",P706)),ISNUMBER(SEARCH("governance",P706))),"Governance &amp; transparency",IF(OR(ISNUMBER(SEARCH("police",P706)),ISNUMBER(SEARCH("detention",P706)),ISNUMBER(SEARCH("civil rights",P706)),ISNUMBER(SEARCH("justice",P706))),"Civil rights &amp; justice",IF(OR(ISNUMBER(SEARCH("road",P706)),ISNUMBER(SEARCH("utility",P706)),ISNUMBER(SEARCH("infrastructure",P706)),ISNUMBER(SEARCH("public service",P706))),"Infrastructure &amp; public services","Other"))))))))))))</x:f>
      </x:c>
      <x:c r="J706" s="16" t="str">
        <x:f>IF(A706="","",IF(OR(ISNUMBER(SEARCH("fatal",Q706)),ISNUMBER(SEARCH("death",Q706)),ISNUMBER(SEARCH("riot",Q706)),ISNUMBER(SEARCH("curfew",Q706)),ISNUMBER(SEARCH("internet shutdown",Q706))),5,MIN(4,1+IF(H706&gt;=7,1,0)+IF(OR(ISNUMBER(SEARCH("hunger strike",Q706)),ISNUMBER(SEARCH("blockade",Q706)),ISNUMBER(SEARCH("strike",Q706)),ISNUMBER(SEARCH("jal satyagraha",Q706)),ISNUMBER(SEARCH("survey",Q706)),ISNUMBER(SEARCH("human chain",Q706)),ISNUMBER(SEARCH("march",Q706))),1,0)+IF(OR(ISNUMBER(SEARCH("fir",Q706)),ISNUMBER(SEARCH("confrontation",Q706)),ISNUMBER(SEARCH("violence",Q706)),ISNUMBER(SEARCH("detention",Q706)),ISNUMBER(SEARCH("arrest",Q706)),ISNUMBER(SEARCH("demolition",Q706)),ISNUMBER(SEARCH("injury",Q706))),1,0)+IF(OR(D706="Ongoing",D706="Unresolved"),1,0))))</x:f>
      </x:c>
      <x:c r="K706" s="16" t="str">
        <x:f>IF(J706="","",IF(J706=1,"Limited",IF(J706=2,"Local",IF(J706=3,"Significant",IF(J706=4,"High","Critical")))))</x:f>
      </x:c>
      <x:c r="L706" s="16" t="str">
        <x:f>IF(A706="","",Events!U705)</x:f>
      </x:c>
      <x:c r="M706" s="16" t="str">
        <x:f>IF(A706="","",Events!V705)</x:f>
      </x:c>
      <x:c r="N706" s="16" t="str">
        <x:f>IF(A706="","",Events!Q705)</x:f>
      </x:c>
      <x:c r="O706" s="16" t="str">
        <x:f>IF(A706="","",Events!R705)</x:f>
      </x:c>
      <x:c r="P706" s="16" t="str">
        <x:f>IF(A706="","",LOWER(Events!B705&amp;" "&amp;Events!D705&amp;" "&amp;Events!K705))</x:f>
      </x:c>
      <x:c r="Q706" s="16" t="str">
        <x:f>IF(A706="","",LOWER(Events!C705&amp;" "&amp;Events!K705&amp;" "&amp;Events!T705))</x:f>
      </x:c>
      <x:c r="R706" s="16" t="str">
        <x:f>IF(A706="","",IF(ISNUMBER(SEARCH("Occurrence verified",E706)),"Occurrence verified",E706))</x:f>
      </x:c>
      <x:c r="S706" s="79" t="str">
        <x:f>IF(A706="","",Events!X705)</x:f>
      </x:c>
      <x:c r="Z706" s="79" t="str">
        <x:f>IF(A706="","",Events!AD705)</x:f>
      </x:c>
      <x:c r="AA706" s="79" t="str">
        <x:f>IF(A706="","",Events!AE705)</x:f>
      </x:c>
    </x:row>
    <x:row r="707">
      <x:c r="A707" s="16" t="str">
        <x:f>IF(Events!A706="","",Events!A706)</x:f>
      </x:c>
      <x:c r="B707" s="16" t="str">
        <x:f>IF(A707="","",Events!B706)</x:f>
      </x:c>
      <x:c r="C707" s="16" t="str">
        <x:f>IF(A707="","",Events!E706)</x:f>
      </x:c>
      <x:c r="D707" s="16" t="str">
        <x:f>IF(A707="","",Events!J706)</x:f>
      </x:c>
      <x:c r="E707" s="16" t="str">
        <x:f>IF(A707="","",Events!N706)</x:f>
      </x:c>
      <x:c r="F707" s="109" t="str">
        <x:f>IF(OR(A707="",Events!H706=""),"",Events!H706)</x:f>
      </x:c>
      <x:c r="G707" s="109" t="str">
        <x:f>IF(A707="","",IF(Events!I706&lt;&gt;"",Events!I706,IF(Events!S706&lt;&gt;"",Events!S706,"")))</x:f>
      </x:c>
      <x:c r="H707" s="16" t="str">
        <x:f>IF(A707="","",Events!W706)</x:f>
      </x:c>
      <x:c r="I707" s="16" t="str">
        <x:f>IF(A707="","",IF(Events!Y706&lt;&gt;"",Events!Y706,IF(OR(ISNUMBER(SEARCH("education",P707)),ISNUMBER(SEARCH("exam",P707)),ISNUMBER(SEARCH("school",P707))),"Education",IF(OR(ISNUMBER(SEARCH("trade agreement",P707)),ISNUMBER(SEARCH("economic",P707)),ISNUMBER(SEARCH("import",P707))),"Trade &amp; economic policy",IF(OR(ISNUMBER(SEARCH("land acquisition",P707)),ISNUMBER(SEARCH("rehabilitation",P707)),ISNUMBER(SEARCH("displacement",P707)),ISNUMBER(SEARCH("township",P707))),"Land &amp; rehabilitation",IF(OR(ISNUMBER(SEARCH("forest",P707)),ISNUMBER(SEARCH("environment",P707)),ISNUMBER(SEARCH("ecological",P707)),ISNUMBER(SEARCH("biodiversity",P707)),ISNUMBER(SEARCH("green cover",P707))),"Environment",IF(OR(ISNUMBER(SEARCH("irrigation",P707)),ISNUMBER(SEARCH("water",P707)),ISNUMBER(SEARCH("crop",P707)),ISNUMBER(SEARCH("farmer",P707)),ISNUMBER(SEARCH("agriculture",P707))),"Agriculture &amp; water",IF(OR(ISNUMBER(SEARCH("health",P707)),ISNUMBER(SEARCH("hospital",P707)),ISNUMBER(SEARCH("medicine",P707))),"Public health",IF(OR(ISNUMBER(SEARCH("employee",P707)),ISNUMBER(SEARCH("labour",P707)),ISNUMBER(SEARCH("worker",P707)),ISNUMBER(SEARCH("salary",P707))),"Labour &amp; employment",IF(OR(ISNUMBER(SEARCH("rti",P707)),ISNUMBER(SEARCH("transparency",P707)),ISNUMBER(SEARCH("corruption",P707)),ISNUMBER(SEARCH("governance",P707))),"Governance &amp; transparency",IF(OR(ISNUMBER(SEARCH("police",P707)),ISNUMBER(SEARCH("detention",P707)),ISNUMBER(SEARCH("civil rights",P707)),ISNUMBER(SEARCH("justice",P707))),"Civil rights &amp; justice",IF(OR(ISNUMBER(SEARCH("road",P707)),ISNUMBER(SEARCH("utility",P707)),ISNUMBER(SEARCH("infrastructure",P707)),ISNUMBER(SEARCH("public service",P707))),"Infrastructure &amp; public services","Other"))))))))))))</x:f>
      </x:c>
      <x:c r="J707" s="16" t="str">
        <x:f>IF(A707="","",IF(OR(ISNUMBER(SEARCH("fatal",Q707)),ISNUMBER(SEARCH("death",Q707)),ISNUMBER(SEARCH("riot",Q707)),ISNUMBER(SEARCH("curfew",Q707)),ISNUMBER(SEARCH("internet shutdown",Q707))),5,MIN(4,1+IF(H707&gt;=7,1,0)+IF(OR(ISNUMBER(SEARCH("hunger strike",Q707)),ISNUMBER(SEARCH("blockade",Q707)),ISNUMBER(SEARCH("strike",Q707)),ISNUMBER(SEARCH("jal satyagraha",Q707)),ISNUMBER(SEARCH("survey",Q707)),ISNUMBER(SEARCH("human chain",Q707)),ISNUMBER(SEARCH("march",Q707))),1,0)+IF(OR(ISNUMBER(SEARCH("fir",Q707)),ISNUMBER(SEARCH("confrontation",Q707)),ISNUMBER(SEARCH("violence",Q707)),ISNUMBER(SEARCH("detention",Q707)),ISNUMBER(SEARCH("arrest",Q707)),ISNUMBER(SEARCH("demolition",Q707)),ISNUMBER(SEARCH("injury",Q707))),1,0)+IF(OR(D707="Ongoing",D707="Unresolved"),1,0))))</x:f>
      </x:c>
      <x:c r="K707" s="16" t="str">
        <x:f>IF(J707="","",IF(J707=1,"Limited",IF(J707=2,"Local",IF(J707=3,"Significant",IF(J707=4,"High","Critical")))))</x:f>
      </x:c>
      <x:c r="L707" s="16" t="str">
        <x:f>IF(A707="","",Events!U706)</x:f>
      </x:c>
      <x:c r="M707" s="16" t="str">
        <x:f>IF(A707="","",Events!V706)</x:f>
      </x:c>
      <x:c r="N707" s="16" t="str">
        <x:f>IF(A707="","",Events!Q706)</x:f>
      </x:c>
      <x:c r="O707" s="16" t="str">
        <x:f>IF(A707="","",Events!R706)</x:f>
      </x:c>
      <x:c r="P707" s="16" t="str">
        <x:f>IF(A707="","",LOWER(Events!B706&amp;" "&amp;Events!D706&amp;" "&amp;Events!K706))</x:f>
      </x:c>
      <x:c r="Q707" s="16" t="str">
        <x:f>IF(A707="","",LOWER(Events!C706&amp;" "&amp;Events!K706&amp;" "&amp;Events!T706))</x:f>
      </x:c>
      <x:c r="R707" s="16" t="str">
        <x:f>IF(A707="","",IF(ISNUMBER(SEARCH("Occurrence verified",E707)),"Occurrence verified",E707))</x:f>
      </x:c>
      <x:c r="S707" s="79" t="str">
        <x:f>IF(A707="","",Events!X706)</x:f>
      </x:c>
      <x:c r="Z707" s="79" t="str">
        <x:f>IF(A707="","",Events!AD706)</x:f>
      </x:c>
      <x:c r="AA707" s="79" t="str">
        <x:f>IF(A707="","",Events!AE706)</x:f>
      </x:c>
    </x:row>
    <x:row r="708">
      <x:c r="A708" s="16" t="str">
        <x:f>IF(Events!A707="","",Events!A707)</x:f>
      </x:c>
      <x:c r="B708" s="16" t="str">
        <x:f>IF(A708="","",Events!B707)</x:f>
      </x:c>
      <x:c r="C708" s="16" t="str">
        <x:f>IF(A708="","",Events!E707)</x:f>
      </x:c>
      <x:c r="D708" s="16" t="str">
        <x:f>IF(A708="","",Events!J707)</x:f>
      </x:c>
      <x:c r="E708" s="16" t="str">
        <x:f>IF(A708="","",Events!N707)</x:f>
      </x:c>
      <x:c r="F708" s="109" t="str">
        <x:f>IF(OR(A708="",Events!H707=""),"",Events!H707)</x:f>
      </x:c>
      <x:c r="G708" s="109" t="str">
        <x:f>IF(A708="","",IF(Events!I707&lt;&gt;"",Events!I707,IF(Events!S707&lt;&gt;"",Events!S707,"")))</x:f>
      </x:c>
      <x:c r="H708" s="16" t="str">
        <x:f>IF(A708="","",Events!W707)</x:f>
      </x:c>
      <x:c r="I708" s="16" t="str">
        <x:f>IF(A708="","",IF(Events!Y707&lt;&gt;"",Events!Y707,IF(OR(ISNUMBER(SEARCH("education",P708)),ISNUMBER(SEARCH("exam",P708)),ISNUMBER(SEARCH("school",P708))),"Education",IF(OR(ISNUMBER(SEARCH("trade agreement",P708)),ISNUMBER(SEARCH("economic",P708)),ISNUMBER(SEARCH("import",P708))),"Trade &amp; economic policy",IF(OR(ISNUMBER(SEARCH("land acquisition",P708)),ISNUMBER(SEARCH("rehabilitation",P708)),ISNUMBER(SEARCH("displacement",P708)),ISNUMBER(SEARCH("township",P708))),"Land &amp; rehabilitation",IF(OR(ISNUMBER(SEARCH("forest",P708)),ISNUMBER(SEARCH("environment",P708)),ISNUMBER(SEARCH("ecological",P708)),ISNUMBER(SEARCH("biodiversity",P708)),ISNUMBER(SEARCH("green cover",P708))),"Environment",IF(OR(ISNUMBER(SEARCH("irrigation",P708)),ISNUMBER(SEARCH("water",P708)),ISNUMBER(SEARCH("crop",P708)),ISNUMBER(SEARCH("farmer",P708)),ISNUMBER(SEARCH("agriculture",P708))),"Agriculture &amp; water",IF(OR(ISNUMBER(SEARCH("health",P708)),ISNUMBER(SEARCH("hospital",P708)),ISNUMBER(SEARCH("medicine",P708))),"Public health",IF(OR(ISNUMBER(SEARCH("employee",P708)),ISNUMBER(SEARCH("labour",P708)),ISNUMBER(SEARCH("worker",P708)),ISNUMBER(SEARCH("salary",P708))),"Labour &amp; employment",IF(OR(ISNUMBER(SEARCH("rti",P708)),ISNUMBER(SEARCH("transparency",P708)),ISNUMBER(SEARCH("corruption",P708)),ISNUMBER(SEARCH("governance",P708))),"Governance &amp; transparency",IF(OR(ISNUMBER(SEARCH("police",P708)),ISNUMBER(SEARCH("detention",P708)),ISNUMBER(SEARCH("civil rights",P708)),ISNUMBER(SEARCH("justice",P708))),"Civil rights &amp; justice",IF(OR(ISNUMBER(SEARCH("road",P708)),ISNUMBER(SEARCH("utility",P708)),ISNUMBER(SEARCH("infrastructure",P708)),ISNUMBER(SEARCH("public service",P708))),"Infrastructure &amp; public services","Other"))))))))))))</x:f>
      </x:c>
      <x:c r="J708" s="16" t="str">
        <x:f>IF(A708="","",IF(OR(ISNUMBER(SEARCH("fatal",Q708)),ISNUMBER(SEARCH("death",Q708)),ISNUMBER(SEARCH("riot",Q708)),ISNUMBER(SEARCH("curfew",Q708)),ISNUMBER(SEARCH("internet shutdown",Q708))),5,MIN(4,1+IF(H708&gt;=7,1,0)+IF(OR(ISNUMBER(SEARCH("hunger strike",Q708)),ISNUMBER(SEARCH("blockade",Q708)),ISNUMBER(SEARCH("strike",Q708)),ISNUMBER(SEARCH("jal satyagraha",Q708)),ISNUMBER(SEARCH("survey",Q708)),ISNUMBER(SEARCH("human chain",Q708)),ISNUMBER(SEARCH("march",Q708))),1,0)+IF(OR(ISNUMBER(SEARCH("fir",Q708)),ISNUMBER(SEARCH("confrontation",Q708)),ISNUMBER(SEARCH("violence",Q708)),ISNUMBER(SEARCH("detention",Q708)),ISNUMBER(SEARCH("arrest",Q708)),ISNUMBER(SEARCH("demolition",Q708)),ISNUMBER(SEARCH("injury",Q708))),1,0)+IF(OR(D708="Ongoing",D708="Unresolved"),1,0))))</x:f>
      </x:c>
      <x:c r="K708" s="16" t="str">
        <x:f>IF(J708="","",IF(J708=1,"Limited",IF(J708=2,"Local",IF(J708=3,"Significant",IF(J708=4,"High","Critical")))))</x:f>
      </x:c>
      <x:c r="L708" s="16" t="str">
        <x:f>IF(A708="","",Events!U707)</x:f>
      </x:c>
      <x:c r="M708" s="16" t="str">
        <x:f>IF(A708="","",Events!V707)</x:f>
      </x:c>
      <x:c r="N708" s="16" t="str">
        <x:f>IF(A708="","",Events!Q707)</x:f>
      </x:c>
      <x:c r="O708" s="16" t="str">
        <x:f>IF(A708="","",Events!R707)</x:f>
      </x:c>
      <x:c r="P708" s="16" t="str">
        <x:f>IF(A708="","",LOWER(Events!B707&amp;" "&amp;Events!D707&amp;" "&amp;Events!K707))</x:f>
      </x:c>
      <x:c r="Q708" s="16" t="str">
        <x:f>IF(A708="","",LOWER(Events!C707&amp;" "&amp;Events!K707&amp;" "&amp;Events!T707))</x:f>
      </x:c>
      <x:c r="R708" s="16" t="str">
        <x:f>IF(A708="","",IF(ISNUMBER(SEARCH("Occurrence verified",E708)),"Occurrence verified",E708))</x:f>
      </x:c>
      <x:c r="S708" s="79" t="str">
        <x:f>IF(A708="","",Events!X707)</x:f>
      </x:c>
      <x:c r="Z708" s="79" t="str">
        <x:f>IF(A708="","",Events!AD707)</x:f>
      </x:c>
      <x:c r="AA708" s="79" t="str">
        <x:f>IF(A708="","",Events!AE707)</x:f>
      </x:c>
    </x:row>
    <x:row r="709">
      <x:c r="A709" s="16" t="str">
        <x:f>IF(Events!A708="","",Events!A708)</x:f>
      </x:c>
      <x:c r="B709" s="16" t="str">
        <x:f>IF(A709="","",Events!B708)</x:f>
      </x:c>
      <x:c r="C709" s="16" t="str">
        <x:f>IF(A709="","",Events!E708)</x:f>
      </x:c>
      <x:c r="D709" s="16" t="str">
        <x:f>IF(A709="","",Events!J708)</x:f>
      </x:c>
      <x:c r="E709" s="16" t="str">
        <x:f>IF(A709="","",Events!N708)</x:f>
      </x:c>
      <x:c r="F709" s="109" t="str">
        <x:f>IF(OR(A709="",Events!H708=""),"",Events!H708)</x:f>
      </x:c>
      <x:c r="G709" s="109" t="str">
        <x:f>IF(A709="","",IF(Events!I708&lt;&gt;"",Events!I708,IF(Events!S708&lt;&gt;"",Events!S708,"")))</x:f>
      </x:c>
      <x:c r="H709" s="16" t="str">
        <x:f>IF(A709="","",Events!W708)</x:f>
      </x:c>
      <x:c r="I709" s="16" t="str">
        <x:f>IF(A709="","",IF(Events!Y708&lt;&gt;"",Events!Y708,IF(OR(ISNUMBER(SEARCH("education",P709)),ISNUMBER(SEARCH("exam",P709)),ISNUMBER(SEARCH("school",P709))),"Education",IF(OR(ISNUMBER(SEARCH("trade agreement",P709)),ISNUMBER(SEARCH("economic",P709)),ISNUMBER(SEARCH("import",P709))),"Trade &amp; economic policy",IF(OR(ISNUMBER(SEARCH("land acquisition",P709)),ISNUMBER(SEARCH("rehabilitation",P709)),ISNUMBER(SEARCH("displacement",P709)),ISNUMBER(SEARCH("township",P709))),"Land &amp; rehabilitation",IF(OR(ISNUMBER(SEARCH("forest",P709)),ISNUMBER(SEARCH("environment",P709)),ISNUMBER(SEARCH("ecological",P709)),ISNUMBER(SEARCH("biodiversity",P709)),ISNUMBER(SEARCH("green cover",P709))),"Environment",IF(OR(ISNUMBER(SEARCH("irrigation",P709)),ISNUMBER(SEARCH("water",P709)),ISNUMBER(SEARCH("crop",P709)),ISNUMBER(SEARCH("farmer",P709)),ISNUMBER(SEARCH("agriculture",P709))),"Agriculture &amp; water",IF(OR(ISNUMBER(SEARCH("health",P709)),ISNUMBER(SEARCH("hospital",P709)),ISNUMBER(SEARCH("medicine",P709))),"Public health",IF(OR(ISNUMBER(SEARCH("employee",P709)),ISNUMBER(SEARCH("labour",P709)),ISNUMBER(SEARCH("worker",P709)),ISNUMBER(SEARCH("salary",P709))),"Labour &amp; employment",IF(OR(ISNUMBER(SEARCH("rti",P709)),ISNUMBER(SEARCH("transparency",P709)),ISNUMBER(SEARCH("corruption",P709)),ISNUMBER(SEARCH("governance",P709))),"Governance &amp; transparency",IF(OR(ISNUMBER(SEARCH("police",P709)),ISNUMBER(SEARCH("detention",P709)),ISNUMBER(SEARCH("civil rights",P709)),ISNUMBER(SEARCH("justice",P709))),"Civil rights &amp; justice",IF(OR(ISNUMBER(SEARCH("road",P709)),ISNUMBER(SEARCH("utility",P709)),ISNUMBER(SEARCH("infrastructure",P709)),ISNUMBER(SEARCH("public service",P709))),"Infrastructure &amp; public services","Other"))))))))))))</x:f>
      </x:c>
      <x:c r="J709" s="16" t="str">
        <x:f>IF(A709="","",IF(OR(ISNUMBER(SEARCH("fatal",Q709)),ISNUMBER(SEARCH("death",Q709)),ISNUMBER(SEARCH("riot",Q709)),ISNUMBER(SEARCH("curfew",Q709)),ISNUMBER(SEARCH("internet shutdown",Q709))),5,MIN(4,1+IF(H709&gt;=7,1,0)+IF(OR(ISNUMBER(SEARCH("hunger strike",Q709)),ISNUMBER(SEARCH("blockade",Q709)),ISNUMBER(SEARCH("strike",Q709)),ISNUMBER(SEARCH("jal satyagraha",Q709)),ISNUMBER(SEARCH("survey",Q709)),ISNUMBER(SEARCH("human chain",Q709)),ISNUMBER(SEARCH("march",Q709))),1,0)+IF(OR(ISNUMBER(SEARCH("fir",Q709)),ISNUMBER(SEARCH("confrontation",Q709)),ISNUMBER(SEARCH("violence",Q709)),ISNUMBER(SEARCH("detention",Q709)),ISNUMBER(SEARCH("arrest",Q709)),ISNUMBER(SEARCH("demolition",Q709)),ISNUMBER(SEARCH("injury",Q709))),1,0)+IF(OR(D709="Ongoing",D709="Unresolved"),1,0))))</x:f>
      </x:c>
      <x:c r="K709" s="16" t="str">
        <x:f>IF(J709="","",IF(J709=1,"Limited",IF(J709=2,"Local",IF(J709=3,"Significant",IF(J709=4,"High","Critical")))))</x:f>
      </x:c>
      <x:c r="L709" s="16" t="str">
        <x:f>IF(A709="","",Events!U708)</x:f>
      </x:c>
      <x:c r="M709" s="16" t="str">
        <x:f>IF(A709="","",Events!V708)</x:f>
      </x:c>
      <x:c r="N709" s="16" t="str">
        <x:f>IF(A709="","",Events!Q708)</x:f>
      </x:c>
      <x:c r="O709" s="16" t="str">
        <x:f>IF(A709="","",Events!R708)</x:f>
      </x:c>
      <x:c r="P709" s="16" t="str">
        <x:f>IF(A709="","",LOWER(Events!B708&amp;" "&amp;Events!D708&amp;" "&amp;Events!K708))</x:f>
      </x:c>
      <x:c r="Q709" s="16" t="str">
        <x:f>IF(A709="","",LOWER(Events!C708&amp;" "&amp;Events!K708&amp;" "&amp;Events!T708))</x:f>
      </x:c>
      <x:c r="R709" s="16" t="str">
        <x:f>IF(A709="","",IF(ISNUMBER(SEARCH("Occurrence verified",E709)),"Occurrence verified",E709))</x:f>
      </x:c>
      <x:c r="S709" s="79" t="str">
        <x:f>IF(A709="","",Events!X708)</x:f>
      </x:c>
      <x:c r="Z709" s="79" t="str">
        <x:f>IF(A709="","",Events!AD708)</x:f>
      </x:c>
      <x:c r="AA709" s="79" t="str">
        <x:f>IF(A709="","",Events!AE708)</x:f>
      </x:c>
    </x:row>
    <x:row r="710">
      <x:c r="A710" s="16" t="str">
        <x:f>IF(Events!A709="","",Events!A709)</x:f>
      </x:c>
      <x:c r="B710" s="16" t="str">
        <x:f>IF(A710="","",Events!B709)</x:f>
      </x:c>
      <x:c r="C710" s="16" t="str">
        <x:f>IF(A710="","",Events!E709)</x:f>
      </x:c>
      <x:c r="D710" s="16" t="str">
        <x:f>IF(A710="","",Events!J709)</x:f>
      </x:c>
      <x:c r="E710" s="16" t="str">
        <x:f>IF(A710="","",Events!N709)</x:f>
      </x:c>
      <x:c r="F710" s="109" t="str">
        <x:f>IF(OR(A710="",Events!H709=""),"",Events!H709)</x:f>
      </x:c>
      <x:c r="G710" s="109" t="str">
        <x:f>IF(A710="","",IF(Events!I709&lt;&gt;"",Events!I709,IF(Events!S709&lt;&gt;"",Events!S709,"")))</x:f>
      </x:c>
      <x:c r="H710" s="16" t="str">
        <x:f>IF(A710="","",Events!W709)</x:f>
      </x:c>
      <x:c r="I710" s="16" t="str">
        <x:f>IF(A710="","",IF(Events!Y709&lt;&gt;"",Events!Y709,IF(OR(ISNUMBER(SEARCH("education",P710)),ISNUMBER(SEARCH("exam",P710)),ISNUMBER(SEARCH("school",P710))),"Education",IF(OR(ISNUMBER(SEARCH("trade agreement",P710)),ISNUMBER(SEARCH("economic",P710)),ISNUMBER(SEARCH("import",P710))),"Trade &amp; economic policy",IF(OR(ISNUMBER(SEARCH("land acquisition",P710)),ISNUMBER(SEARCH("rehabilitation",P710)),ISNUMBER(SEARCH("displacement",P710)),ISNUMBER(SEARCH("township",P710))),"Land &amp; rehabilitation",IF(OR(ISNUMBER(SEARCH("forest",P710)),ISNUMBER(SEARCH("environment",P710)),ISNUMBER(SEARCH("ecological",P710)),ISNUMBER(SEARCH("biodiversity",P710)),ISNUMBER(SEARCH("green cover",P710))),"Environment",IF(OR(ISNUMBER(SEARCH("irrigation",P710)),ISNUMBER(SEARCH("water",P710)),ISNUMBER(SEARCH("crop",P710)),ISNUMBER(SEARCH("farmer",P710)),ISNUMBER(SEARCH("agriculture",P710))),"Agriculture &amp; water",IF(OR(ISNUMBER(SEARCH("health",P710)),ISNUMBER(SEARCH("hospital",P710)),ISNUMBER(SEARCH("medicine",P710))),"Public health",IF(OR(ISNUMBER(SEARCH("employee",P710)),ISNUMBER(SEARCH("labour",P710)),ISNUMBER(SEARCH("worker",P710)),ISNUMBER(SEARCH("salary",P710))),"Labour &amp; employment",IF(OR(ISNUMBER(SEARCH("rti",P710)),ISNUMBER(SEARCH("transparency",P710)),ISNUMBER(SEARCH("corruption",P710)),ISNUMBER(SEARCH("governance",P710))),"Governance &amp; transparency",IF(OR(ISNUMBER(SEARCH("police",P710)),ISNUMBER(SEARCH("detention",P710)),ISNUMBER(SEARCH("civil rights",P710)),ISNUMBER(SEARCH("justice",P710))),"Civil rights &amp; justice",IF(OR(ISNUMBER(SEARCH("road",P710)),ISNUMBER(SEARCH("utility",P710)),ISNUMBER(SEARCH("infrastructure",P710)),ISNUMBER(SEARCH("public service",P710))),"Infrastructure &amp; public services","Other"))))))))))))</x:f>
      </x:c>
      <x:c r="J710" s="16" t="str">
        <x:f>IF(A710="","",IF(OR(ISNUMBER(SEARCH("fatal",Q710)),ISNUMBER(SEARCH("death",Q710)),ISNUMBER(SEARCH("riot",Q710)),ISNUMBER(SEARCH("curfew",Q710)),ISNUMBER(SEARCH("internet shutdown",Q710))),5,MIN(4,1+IF(H710&gt;=7,1,0)+IF(OR(ISNUMBER(SEARCH("hunger strike",Q710)),ISNUMBER(SEARCH("blockade",Q710)),ISNUMBER(SEARCH("strike",Q710)),ISNUMBER(SEARCH("jal satyagraha",Q710)),ISNUMBER(SEARCH("survey",Q710)),ISNUMBER(SEARCH("human chain",Q710)),ISNUMBER(SEARCH("march",Q710))),1,0)+IF(OR(ISNUMBER(SEARCH("fir",Q710)),ISNUMBER(SEARCH("confrontation",Q710)),ISNUMBER(SEARCH("violence",Q710)),ISNUMBER(SEARCH("detention",Q710)),ISNUMBER(SEARCH("arrest",Q710)),ISNUMBER(SEARCH("demolition",Q710)),ISNUMBER(SEARCH("injury",Q710))),1,0)+IF(OR(D710="Ongoing",D710="Unresolved"),1,0))))</x:f>
      </x:c>
      <x:c r="K710" s="16" t="str">
        <x:f>IF(J710="","",IF(J710=1,"Limited",IF(J710=2,"Local",IF(J710=3,"Significant",IF(J710=4,"High","Critical")))))</x:f>
      </x:c>
      <x:c r="L710" s="16" t="str">
        <x:f>IF(A710="","",Events!U709)</x:f>
      </x:c>
      <x:c r="M710" s="16" t="str">
        <x:f>IF(A710="","",Events!V709)</x:f>
      </x:c>
      <x:c r="N710" s="16" t="str">
        <x:f>IF(A710="","",Events!Q709)</x:f>
      </x:c>
      <x:c r="O710" s="16" t="str">
        <x:f>IF(A710="","",Events!R709)</x:f>
      </x:c>
      <x:c r="P710" s="16" t="str">
        <x:f>IF(A710="","",LOWER(Events!B709&amp;" "&amp;Events!D709&amp;" "&amp;Events!K709))</x:f>
      </x:c>
      <x:c r="Q710" s="16" t="str">
        <x:f>IF(A710="","",LOWER(Events!C709&amp;" "&amp;Events!K709&amp;" "&amp;Events!T709))</x:f>
      </x:c>
      <x:c r="R710" s="16" t="str">
        <x:f>IF(A710="","",IF(ISNUMBER(SEARCH("Occurrence verified",E710)),"Occurrence verified",E710))</x:f>
      </x:c>
      <x:c r="S710" s="79" t="str">
        <x:f>IF(A710="","",Events!X709)</x:f>
      </x:c>
      <x:c r="Z710" s="79" t="str">
        <x:f>IF(A710="","",Events!AD709)</x:f>
      </x:c>
      <x:c r="AA710" s="79" t="str">
        <x:f>IF(A710="","",Events!AE709)</x:f>
      </x:c>
    </x:row>
    <x:row r="711">
      <x:c r="A711" s="16" t="str">
        <x:f>IF(Events!A710="","",Events!A710)</x:f>
      </x:c>
      <x:c r="B711" s="16" t="str">
        <x:f>IF(A711="","",Events!B710)</x:f>
      </x:c>
      <x:c r="C711" s="16" t="str">
        <x:f>IF(A711="","",Events!E710)</x:f>
      </x:c>
      <x:c r="D711" s="16" t="str">
        <x:f>IF(A711="","",Events!J710)</x:f>
      </x:c>
      <x:c r="E711" s="16" t="str">
        <x:f>IF(A711="","",Events!N710)</x:f>
      </x:c>
      <x:c r="F711" s="109" t="str">
        <x:f>IF(OR(A711="",Events!H710=""),"",Events!H710)</x:f>
      </x:c>
      <x:c r="G711" s="109" t="str">
        <x:f>IF(A711="","",IF(Events!I710&lt;&gt;"",Events!I710,IF(Events!S710&lt;&gt;"",Events!S710,"")))</x:f>
      </x:c>
      <x:c r="H711" s="16" t="str">
        <x:f>IF(A711="","",Events!W710)</x:f>
      </x:c>
      <x:c r="I711" s="16" t="str">
        <x:f>IF(A711="","",IF(Events!Y710&lt;&gt;"",Events!Y710,IF(OR(ISNUMBER(SEARCH("education",P711)),ISNUMBER(SEARCH("exam",P711)),ISNUMBER(SEARCH("school",P711))),"Education",IF(OR(ISNUMBER(SEARCH("trade agreement",P711)),ISNUMBER(SEARCH("economic",P711)),ISNUMBER(SEARCH("import",P711))),"Trade &amp; economic policy",IF(OR(ISNUMBER(SEARCH("land acquisition",P711)),ISNUMBER(SEARCH("rehabilitation",P711)),ISNUMBER(SEARCH("displacement",P711)),ISNUMBER(SEARCH("township",P711))),"Land &amp; rehabilitation",IF(OR(ISNUMBER(SEARCH("forest",P711)),ISNUMBER(SEARCH("environment",P711)),ISNUMBER(SEARCH("ecological",P711)),ISNUMBER(SEARCH("biodiversity",P711)),ISNUMBER(SEARCH("green cover",P711))),"Environment",IF(OR(ISNUMBER(SEARCH("irrigation",P711)),ISNUMBER(SEARCH("water",P711)),ISNUMBER(SEARCH("crop",P711)),ISNUMBER(SEARCH("farmer",P711)),ISNUMBER(SEARCH("agriculture",P711))),"Agriculture &amp; water",IF(OR(ISNUMBER(SEARCH("health",P711)),ISNUMBER(SEARCH("hospital",P711)),ISNUMBER(SEARCH("medicine",P711))),"Public health",IF(OR(ISNUMBER(SEARCH("employee",P711)),ISNUMBER(SEARCH("labour",P711)),ISNUMBER(SEARCH("worker",P711)),ISNUMBER(SEARCH("salary",P711))),"Labour &amp; employment",IF(OR(ISNUMBER(SEARCH("rti",P711)),ISNUMBER(SEARCH("transparency",P711)),ISNUMBER(SEARCH("corruption",P711)),ISNUMBER(SEARCH("governance",P711))),"Governance &amp; transparency",IF(OR(ISNUMBER(SEARCH("police",P711)),ISNUMBER(SEARCH("detention",P711)),ISNUMBER(SEARCH("civil rights",P711)),ISNUMBER(SEARCH("justice",P711))),"Civil rights &amp; justice",IF(OR(ISNUMBER(SEARCH("road",P711)),ISNUMBER(SEARCH("utility",P711)),ISNUMBER(SEARCH("infrastructure",P711)),ISNUMBER(SEARCH("public service",P711))),"Infrastructure &amp; public services","Other"))))))))))))</x:f>
      </x:c>
      <x:c r="J711" s="16" t="str">
        <x:f>IF(A711="","",IF(OR(ISNUMBER(SEARCH("fatal",Q711)),ISNUMBER(SEARCH("death",Q711)),ISNUMBER(SEARCH("riot",Q711)),ISNUMBER(SEARCH("curfew",Q711)),ISNUMBER(SEARCH("internet shutdown",Q711))),5,MIN(4,1+IF(H711&gt;=7,1,0)+IF(OR(ISNUMBER(SEARCH("hunger strike",Q711)),ISNUMBER(SEARCH("blockade",Q711)),ISNUMBER(SEARCH("strike",Q711)),ISNUMBER(SEARCH("jal satyagraha",Q711)),ISNUMBER(SEARCH("survey",Q711)),ISNUMBER(SEARCH("human chain",Q711)),ISNUMBER(SEARCH("march",Q711))),1,0)+IF(OR(ISNUMBER(SEARCH("fir",Q711)),ISNUMBER(SEARCH("confrontation",Q711)),ISNUMBER(SEARCH("violence",Q711)),ISNUMBER(SEARCH("detention",Q711)),ISNUMBER(SEARCH("arrest",Q711)),ISNUMBER(SEARCH("demolition",Q711)),ISNUMBER(SEARCH("injury",Q711))),1,0)+IF(OR(D711="Ongoing",D711="Unresolved"),1,0))))</x:f>
      </x:c>
      <x:c r="K711" s="16" t="str">
        <x:f>IF(J711="","",IF(J711=1,"Limited",IF(J711=2,"Local",IF(J711=3,"Significant",IF(J711=4,"High","Critical")))))</x:f>
      </x:c>
      <x:c r="L711" s="16" t="str">
        <x:f>IF(A711="","",Events!U710)</x:f>
      </x:c>
      <x:c r="M711" s="16" t="str">
        <x:f>IF(A711="","",Events!V710)</x:f>
      </x:c>
      <x:c r="N711" s="16" t="str">
        <x:f>IF(A711="","",Events!Q710)</x:f>
      </x:c>
      <x:c r="O711" s="16" t="str">
        <x:f>IF(A711="","",Events!R710)</x:f>
      </x:c>
      <x:c r="P711" s="16" t="str">
        <x:f>IF(A711="","",LOWER(Events!B710&amp;" "&amp;Events!D710&amp;" "&amp;Events!K710))</x:f>
      </x:c>
      <x:c r="Q711" s="16" t="str">
        <x:f>IF(A711="","",LOWER(Events!C710&amp;" "&amp;Events!K710&amp;" "&amp;Events!T710))</x:f>
      </x:c>
      <x:c r="R711" s="16" t="str">
        <x:f>IF(A711="","",IF(ISNUMBER(SEARCH("Occurrence verified",E711)),"Occurrence verified",E711))</x:f>
      </x:c>
      <x:c r="S711" s="79" t="str">
        <x:f>IF(A711="","",Events!X710)</x:f>
      </x:c>
      <x:c r="Z711" s="79" t="str">
        <x:f>IF(A711="","",Events!AD710)</x:f>
      </x:c>
      <x:c r="AA711" s="79" t="str">
        <x:f>IF(A711="","",Events!AE710)</x:f>
      </x:c>
    </x:row>
    <x:row r="712">
      <x:c r="A712" s="16" t="str">
        <x:f>IF(Events!A711="","",Events!A711)</x:f>
      </x:c>
      <x:c r="B712" s="16" t="str">
        <x:f>IF(A712="","",Events!B711)</x:f>
      </x:c>
      <x:c r="C712" s="16" t="str">
        <x:f>IF(A712="","",Events!E711)</x:f>
      </x:c>
      <x:c r="D712" s="16" t="str">
        <x:f>IF(A712="","",Events!J711)</x:f>
      </x:c>
      <x:c r="E712" s="16" t="str">
        <x:f>IF(A712="","",Events!N711)</x:f>
      </x:c>
      <x:c r="F712" s="109" t="str">
        <x:f>IF(OR(A712="",Events!H711=""),"",Events!H711)</x:f>
      </x:c>
      <x:c r="G712" s="109" t="str">
        <x:f>IF(A712="","",IF(Events!I711&lt;&gt;"",Events!I711,IF(Events!S711&lt;&gt;"",Events!S711,"")))</x:f>
      </x:c>
      <x:c r="H712" s="16" t="str">
        <x:f>IF(A712="","",Events!W711)</x:f>
      </x:c>
      <x:c r="I712" s="16" t="str">
        <x:f>IF(A712="","",IF(Events!Y711&lt;&gt;"",Events!Y711,IF(OR(ISNUMBER(SEARCH("education",P712)),ISNUMBER(SEARCH("exam",P712)),ISNUMBER(SEARCH("school",P712))),"Education",IF(OR(ISNUMBER(SEARCH("trade agreement",P712)),ISNUMBER(SEARCH("economic",P712)),ISNUMBER(SEARCH("import",P712))),"Trade &amp; economic policy",IF(OR(ISNUMBER(SEARCH("land acquisition",P712)),ISNUMBER(SEARCH("rehabilitation",P712)),ISNUMBER(SEARCH("displacement",P712)),ISNUMBER(SEARCH("township",P712))),"Land &amp; rehabilitation",IF(OR(ISNUMBER(SEARCH("forest",P712)),ISNUMBER(SEARCH("environment",P712)),ISNUMBER(SEARCH("ecological",P712)),ISNUMBER(SEARCH("biodiversity",P712)),ISNUMBER(SEARCH("green cover",P712))),"Environment",IF(OR(ISNUMBER(SEARCH("irrigation",P712)),ISNUMBER(SEARCH("water",P712)),ISNUMBER(SEARCH("crop",P712)),ISNUMBER(SEARCH("farmer",P712)),ISNUMBER(SEARCH("agriculture",P712))),"Agriculture &amp; water",IF(OR(ISNUMBER(SEARCH("health",P712)),ISNUMBER(SEARCH("hospital",P712)),ISNUMBER(SEARCH("medicine",P712))),"Public health",IF(OR(ISNUMBER(SEARCH("employee",P712)),ISNUMBER(SEARCH("labour",P712)),ISNUMBER(SEARCH("worker",P712)),ISNUMBER(SEARCH("salary",P712))),"Labour &amp; employment",IF(OR(ISNUMBER(SEARCH("rti",P712)),ISNUMBER(SEARCH("transparency",P712)),ISNUMBER(SEARCH("corruption",P712)),ISNUMBER(SEARCH("governance",P712))),"Governance &amp; transparency",IF(OR(ISNUMBER(SEARCH("police",P712)),ISNUMBER(SEARCH("detention",P712)),ISNUMBER(SEARCH("civil rights",P712)),ISNUMBER(SEARCH("justice",P712))),"Civil rights &amp; justice",IF(OR(ISNUMBER(SEARCH("road",P712)),ISNUMBER(SEARCH("utility",P712)),ISNUMBER(SEARCH("infrastructure",P712)),ISNUMBER(SEARCH("public service",P712))),"Infrastructure &amp; public services","Other"))))))))))))</x:f>
      </x:c>
      <x:c r="J712" s="16" t="str">
        <x:f>IF(A712="","",IF(OR(ISNUMBER(SEARCH("fatal",Q712)),ISNUMBER(SEARCH("death",Q712)),ISNUMBER(SEARCH("riot",Q712)),ISNUMBER(SEARCH("curfew",Q712)),ISNUMBER(SEARCH("internet shutdown",Q712))),5,MIN(4,1+IF(H712&gt;=7,1,0)+IF(OR(ISNUMBER(SEARCH("hunger strike",Q712)),ISNUMBER(SEARCH("blockade",Q712)),ISNUMBER(SEARCH("strike",Q712)),ISNUMBER(SEARCH("jal satyagraha",Q712)),ISNUMBER(SEARCH("survey",Q712)),ISNUMBER(SEARCH("human chain",Q712)),ISNUMBER(SEARCH("march",Q712))),1,0)+IF(OR(ISNUMBER(SEARCH("fir",Q712)),ISNUMBER(SEARCH("confrontation",Q712)),ISNUMBER(SEARCH("violence",Q712)),ISNUMBER(SEARCH("detention",Q712)),ISNUMBER(SEARCH("arrest",Q712)),ISNUMBER(SEARCH("demolition",Q712)),ISNUMBER(SEARCH("injury",Q712))),1,0)+IF(OR(D712="Ongoing",D712="Unresolved"),1,0))))</x:f>
      </x:c>
      <x:c r="K712" s="16" t="str">
        <x:f>IF(J712="","",IF(J712=1,"Limited",IF(J712=2,"Local",IF(J712=3,"Significant",IF(J712=4,"High","Critical")))))</x:f>
      </x:c>
      <x:c r="L712" s="16" t="str">
        <x:f>IF(A712="","",Events!U711)</x:f>
      </x:c>
      <x:c r="M712" s="16" t="str">
        <x:f>IF(A712="","",Events!V711)</x:f>
      </x:c>
      <x:c r="N712" s="16" t="str">
        <x:f>IF(A712="","",Events!Q711)</x:f>
      </x:c>
      <x:c r="O712" s="16" t="str">
        <x:f>IF(A712="","",Events!R711)</x:f>
      </x:c>
      <x:c r="P712" s="16" t="str">
        <x:f>IF(A712="","",LOWER(Events!B711&amp;" "&amp;Events!D711&amp;" "&amp;Events!K711))</x:f>
      </x:c>
      <x:c r="Q712" s="16" t="str">
        <x:f>IF(A712="","",LOWER(Events!C711&amp;" "&amp;Events!K711&amp;" "&amp;Events!T711))</x:f>
      </x:c>
      <x:c r="R712" s="16" t="str">
        <x:f>IF(A712="","",IF(ISNUMBER(SEARCH("Occurrence verified",E712)),"Occurrence verified",E712))</x:f>
      </x:c>
      <x:c r="S712" s="79" t="str">
        <x:f>IF(A712="","",Events!X711)</x:f>
      </x:c>
      <x:c r="Z712" s="79" t="str">
        <x:f>IF(A712="","",Events!AD711)</x:f>
      </x:c>
      <x:c r="AA712" s="79" t="str">
        <x:f>IF(A712="","",Events!AE711)</x:f>
      </x:c>
    </x:row>
    <x:row r="713">
      <x:c r="A713" s="16" t="str">
        <x:f>IF(Events!A712="","",Events!A712)</x:f>
      </x:c>
      <x:c r="B713" s="16" t="str">
        <x:f>IF(A713="","",Events!B712)</x:f>
      </x:c>
      <x:c r="C713" s="16" t="str">
        <x:f>IF(A713="","",Events!E712)</x:f>
      </x:c>
      <x:c r="D713" s="16" t="str">
        <x:f>IF(A713="","",Events!J712)</x:f>
      </x:c>
      <x:c r="E713" s="16" t="str">
        <x:f>IF(A713="","",Events!N712)</x:f>
      </x:c>
      <x:c r="F713" s="109" t="str">
        <x:f>IF(OR(A713="",Events!H712=""),"",Events!H712)</x:f>
      </x:c>
      <x:c r="G713" s="109" t="str">
        <x:f>IF(A713="","",IF(Events!I712&lt;&gt;"",Events!I712,IF(Events!S712&lt;&gt;"",Events!S712,"")))</x:f>
      </x:c>
      <x:c r="H713" s="16" t="str">
        <x:f>IF(A713="","",Events!W712)</x:f>
      </x:c>
      <x:c r="I713" s="16" t="str">
        <x:f>IF(A713="","",IF(Events!Y712&lt;&gt;"",Events!Y712,IF(OR(ISNUMBER(SEARCH("education",P713)),ISNUMBER(SEARCH("exam",P713)),ISNUMBER(SEARCH("school",P713))),"Education",IF(OR(ISNUMBER(SEARCH("trade agreement",P713)),ISNUMBER(SEARCH("economic",P713)),ISNUMBER(SEARCH("import",P713))),"Trade &amp; economic policy",IF(OR(ISNUMBER(SEARCH("land acquisition",P713)),ISNUMBER(SEARCH("rehabilitation",P713)),ISNUMBER(SEARCH("displacement",P713)),ISNUMBER(SEARCH("township",P713))),"Land &amp; rehabilitation",IF(OR(ISNUMBER(SEARCH("forest",P713)),ISNUMBER(SEARCH("environment",P713)),ISNUMBER(SEARCH("ecological",P713)),ISNUMBER(SEARCH("biodiversity",P713)),ISNUMBER(SEARCH("green cover",P713))),"Environment",IF(OR(ISNUMBER(SEARCH("irrigation",P713)),ISNUMBER(SEARCH("water",P713)),ISNUMBER(SEARCH("crop",P713)),ISNUMBER(SEARCH("farmer",P713)),ISNUMBER(SEARCH("agriculture",P713))),"Agriculture &amp; water",IF(OR(ISNUMBER(SEARCH("health",P713)),ISNUMBER(SEARCH("hospital",P713)),ISNUMBER(SEARCH("medicine",P713))),"Public health",IF(OR(ISNUMBER(SEARCH("employee",P713)),ISNUMBER(SEARCH("labour",P713)),ISNUMBER(SEARCH("worker",P713)),ISNUMBER(SEARCH("salary",P713))),"Labour &amp; employment",IF(OR(ISNUMBER(SEARCH("rti",P713)),ISNUMBER(SEARCH("transparency",P713)),ISNUMBER(SEARCH("corruption",P713)),ISNUMBER(SEARCH("governance",P713))),"Governance &amp; transparency",IF(OR(ISNUMBER(SEARCH("police",P713)),ISNUMBER(SEARCH("detention",P713)),ISNUMBER(SEARCH("civil rights",P713)),ISNUMBER(SEARCH("justice",P713))),"Civil rights &amp; justice",IF(OR(ISNUMBER(SEARCH("road",P713)),ISNUMBER(SEARCH("utility",P713)),ISNUMBER(SEARCH("infrastructure",P713)),ISNUMBER(SEARCH("public service",P713))),"Infrastructure &amp; public services","Other"))))))))))))</x:f>
      </x:c>
      <x:c r="J713" s="16" t="str">
        <x:f>IF(A713="","",IF(OR(ISNUMBER(SEARCH("fatal",Q713)),ISNUMBER(SEARCH("death",Q713)),ISNUMBER(SEARCH("riot",Q713)),ISNUMBER(SEARCH("curfew",Q713)),ISNUMBER(SEARCH("internet shutdown",Q713))),5,MIN(4,1+IF(H713&gt;=7,1,0)+IF(OR(ISNUMBER(SEARCH("hunger strike",Q713)),ISNUMBER(SEARCH("blockade",Q713)),ISNUMBER(SEARCH("strike",Q713)),ISNUMBER(SEARCH("jal satyagraha",Q713)),ISNUMBER(SEARCH("survey",Q713)),ISNUMBER(SEARCH("human chain",Q713)),ISNUMBER(SEARCH("march",Q713))),1,0)+IF(OR(ISNUMBER(SEARCH("fir",Q713)),ISNUMBER(SEARCH("confrontation",Q713)),ISNUMBER(SEARCH("violence",Q713)),ISNUMBER(SEARCH("detention",Q713)),ISNUMBER(SEARCH("arrest",Q713)),ISNUMBER(SEARCH("demolition",Q713)),ISNUMBER(SEARCH("injury",Q713))),1,0)+IF(OR(D713="Ongoing",D713="Unresolved"),1,0))))</x:f>
      </x:c>
      <x:c r="K713" s="16" t="str">
        <x:f>IF(J713="","",IF(J713=1,"Limited",IF(J713=2,"Local",IF(J713=3,"Significant",IF(J713=4,"High","Critical")))))</x:f>
      </x:c>
      <x:c r="L713" s="16" t="str">
        <x:f>IF(A713="","",Events!U712)</x:f>
      </x:c>
      <x:c r="M713" s="16" t="str">
        <x:f>IF(A713="","",Events!V712)</x:f>
      </x:c>
      <x:c r="N713" s="16" t="str">
        <x:f>IF(A713="","",Events!Q712)</x:f>
      </x:c>
      <x:c r="O713" s="16" t="str">
        <x:f>IF(A713="","",Events!R712)</x:f>
      </x:c>
      <x:c r="P713" s="16" t="str">
        <x:f>IF(A713="","",LOWER(Events!B712&amp;" "&amp;Events!D712&amp;" "&amp;Events!K712))</x:f>
      </x:c>
      <x:c r="Q713" s="16" t="str">
        <x:f>IF(A713="","",LOWER(Events!C712&amp;" "&amp;Events!K712&amp;" "&amp;Events!T712))</x:f>
      </x:c>
      <x:c r="R713" s="16" t="str">
        <x:f>IF(A713="","",IF(ISNUMBER(SEARCH("Occurrence verified",E713)),"Occurrence verified",E713))</x:f>
      </x:c>
      <x:c r="S713" s="79" t="str">
        <x:f>IF(A713="","",Events!X712)</x:f>
      </x:c>
      <x:c r="Z713" s="79" t="str">
        <x:f>IF(A713="","",Events!AD712)</x:f>
      </x:c>
      <x:c r="AA713" s="79" t="str">
        <x:f>IF(A713="","",Events!AE712)</x:f>
      </x:c>
    </x:row>
    <x:row r="714">
      <x:c r="A714" s="16" t="str">
        <x:f>IF(Events!A713="","",Events!A713)</x:f>
      </x:c>
      <x:c r="B714" s="16" t="str">
        <x:f>IF(A714="","",Events!B713)</x:f>
      </x:c>
      <x:c r="C714" s="16" t="str">
        <x:f>IF(A714="","",Events!E713)</x:f>
      </x:c>
      <x:c r="D714" s="16" t="str">
        <x:f>IF(A714="","",Events!J713)</x:f>
      </x:c>
      <x:c r="E714" s="16" t="str">
        <x:f>IF(A714="","",Events!N713)</x:f>
      </x:c>
      <x:c r="F714" s="109" t="str">
        <x:f>IF(OR(A714="",Events!H713=""),"",Events!H713)</x:f>
      </x:c>
      <x:c r="G714" s="109" t="str">
        <x:f>IF(A714="","",IF(Events!I713&lt;&gt;"",Events!I713,IF(Events!S713&lt;&gt;"",Events!S713,"")))</x:f>
      </x:c>
      <x:c r="H714" s="16" t="str">
        <x:f>IF(A714="","",Events!W713)</x:f>
      </x:c>
      <x:c r="I714" s="16" t="str">
        <x:f>IF(A714="","",IF(Events!Y713&lt;&gt;"",Events!Y713,IF(OR(ISNUMBER(SEARCH("education",P714)),ISNUMBER(SEARCH("exam",P714)),ISNUMBER(SEARCH("school",P714))),"Education",IF(OR(ISNUMBER(SEARCH("trade agreement",P714)),ISNUMBER(SEARCH("economic",P714)),ISNUMBER(SEARCH("import",P714))),"Trade &amp; economic policy",IF(OR(ISNUMBER(SEARCH("land acquisition",P714)),ISNUMBER(SEARCH("rehabilitation",P714)),ISNUMBER(SEARCH("displacement",P714)),ISNUMBER(SEARCH("township",P714))),"Land &amp; rehabilitation",IF(OR(ISNUMBER(SEARCH("forest",P714)),ISNUMBER(SEARCH("environment",P714)),ISNUMBER(SEARCH("ecological",P714)),ISNUMBER(SEARCH("biodiversity",P714)),ISNUMBER(SEARCH("green cover",P714))),"Environment",IF(OR(ISNUMBER(SEARCH("irrigation",P714)),ISNUMBER(SEARCH("water",P714)),ISNUMBER(SEARCH("crop",P714)),ISNUMBER(SEARCH("farmer",P714)),ISNUMBER(SEARCH("agriculture",P714))),"Agriculture &amp; water",IF(OR(ISNUMBER(SEARCH("health",P714)),ISNUMBER(SEARCH("hospital",P714)),ISNUMBER(SEARCH("medicine",P714))),"Public health",IF(OR(ISNUMBER(SEARCH("employee",P714)),ISNUMBER(SEARCH("labour",P714)),ISNUMBER(SEARCH("worker",P714)),ISNUMBER(SEARCH("salary",P714))),"Labour &amp; employment",IF(OR(ISNUMBER(SEARCH("rti",P714)),ISNUMBER(SEARCH("transparency",P714)),ISNUMBER(SEARCH("corruption",P714)),ISNUMBER(SEARCH("governance",P714))),"Governance &amp; transparency",IF(OR(ISNUMBER(SEARCH("police",P714)),ISNUMBER(SEARCH("detention",P714)),ISNUMBER(SEARCH("civil rights",P714)),ISNUMBER(SEARCH("justice",P714))),"Civil rights &amp; justice",IF(OR(ISNUMBER(SEARCH("road",P714)),ISNUMBER(SEARCH("utility",P714)),ISNUMBER(SEARCH("infrastructure",P714)),ISNUMBER(SEARCH("public service",P714))),"Infrastructure &amp; public services","Other"))))))))))))</x:f>
      </x:c>
      <x:c r="J714" s="16" t="str">
        <x:f>IF(A714="","",IF(OR(ISNUMBER(SEARCH("fatal",Q714)),ISNUMBER(SEARCH("death",Q714)),ISNUMBER(SEARCH("riot",Q714)),ISNUMBER(SEARCH("curfew",Q714)),ISNUMBER(SEARCH("internet shutdown",Q714))),5,MIN(4,1+IF(H714&gt;=7,1,0)+IF(OR(ISNUMBER(SEARCH("hunger strike",Q714)),ISNUMBER(SEARCH("blockade",Q714)),ISNUMBER(SEARCH("strike",Q714)),ISNUMBER(SEARCH("jal satyagraha",Q714)),ISNUMBER(SEARCH("survey",Q714)),ISNUMBER(SEARCH("human chain",Q714)),ISNUMBER(SEARCH("march",Q714))),1,0)+IF(OR(ISNUMBER(SEARCH("fir",Q714)),ISNUMBER(SEARCH("confrontation",Q714)),ISNUMBER(SEARCH("violence",Q714)),ISNUMBER(SEARCH("detention",Q714)),ISNUMBER(SEARCH("arrest",Q714)),ISNUMBER(SEARCH("demolition",Q714)),ISNUMBER(SEARCH("injury",Q714))),1,0)+IF(OR(D714="Ongoing",D714="Unresolved"),1,0))))</x:f>
      </x:c>
      <x:c r="K714" s="16" t="str">
        <x:f>IF(J714="","",IF(J714=1,"Limited",IF(J714=2,"Local",IF(J714=3,"Significant",IF(J714=4,"High","Critical")))))</x:f>
      </x:c>
      <x:c r="L714" s="16" t="str">
        <x:f>IF(A714="","",Events!U713)</x:f>
      </x:c>
      <x:c r="M714" s="16" t="str">
        <x:f>IF(A714="","",Events!V713)</x:f>
      </x:c>
      <x:c r="N714" s="16" t="str">
        <x:f>IF(A714="","",Events!Q713)</x:f>
      </x:c>
      <x:c r="O714" s="16" t="str">
        <x:f>IF(A714="","",Events!R713)</x:f>
      </x:c>
      <x:c r="P714" s="16" t="str">
        <x:f>IF(A714="","",LOWER(Events!B713&amp;" "&amp;Events!D713&amp;" "&amp;Events!K713))</x:f>
      </x:c>
      <x:c r="Q714" s="16" t="str">
        <x:f>IF(A714="","",LOWER(Events!C713&amp;" "&amp;Events!K713&amp;" "&amp;Events!T713))</x:f>
      </x:c>
      <x:c r="R714" s="16" t="str">
        <x:f>IF(A714="","",IF(ISNUMBER(SEARCH("Occurrence verified",E714)),"Occurrence verified",E714))</x:f>
      </x:c>
      <x:c r="S714" s="79" t="str">
        <x:f>IF(A714="","",Events!X713)</x:f>
      </x:c>
      <x:c r="Z714" s="79" t="str">
        <x:f>IF(A714="","",Events!AD713)</x:f>
      </x:c>
      <x:c r="AA714" s="79" t="str">
        <x:f>IF(A714="","",Events!AE713)</x:f>
      </x:c>
    </x:row>
    <x:row r="715">
      <x:c r="A715" s="16" t="str">
        <x:f>IF(Events!A714="","",Events!A714)</x:f>
      </x:c>
      <x:c r="B715" s="16" t="str">
        <x:f>IF(A715="","",Events!B714)</x:f>
      </x:c>
      <x:c r="C715" s="16" t="str">
        <x:f>IF(A715="","",Events!E714)</x:f>
      </x:c>
      <x:c r="D715" s="16" t="str">
        <x:f>IF(A715="","",Events!J714)</x:f>
      </x:c>
      <x:c r="E715" s="16" t="str">
        <x:f>IF(A715="","",Events!N714)</x:f>
      </x:c>
      <x:c r="F715" s="109" t="str">
        <x:f>IF(OR(A715="",Events!H714=""),"",Events!H714)</x:f>
      </x:c>
      <x:c r="G715" s="109" t="str">
        <x:f>IF(A715="","",IF(Events!I714&lt;&gt;"",Events!I714,IF(Events!S714&lt;&gt;"",Events!S714,"")))</x:f>
      </x:c>
      <x:c r="H715" s="16" t="str">
        <x:f>IF(A715="","",Events!W714)</x:f>
      </x:c>
      <x:c r="I715" s="16" t="str">
        <x:f>IF(A715="","",IF(Events!Y714&lt;&gt;"",Events!Y714,IF(OR(ISNUMBER(SEARCH("education",P715)),ISNUMBER(SEARCH("exam",P715)),ISNUMBER(SEARCH("school",P715))),"Education",IF(OR(ISNUMBER(SEARCH("trade agreement",P715)),ISNUMBER(SEARCH("economic",P715)),ISNUMBER(SEARCH("import",P715))),"Trade &amp; economic policy",IF(OR(ISNUMBER(SEARCH("land acquisition",P715)),ISNUMBER(SEARCH("rehabilitation",P715)),ISNUMBER(SEARCH("displacement",P715)),ISNUMBER(SEARCH("township",P715))),"Land &amp; rehabilitation",IF(OR(ISNUMBER(SEARCH("forest",P715)),ISNUMBER(SEARCH("environment",P715)),ISNUMBER(SEARCH("ecological",P715)),ISNUMBER(SEARCH("biodiversity",P715)),ISNUMBER(SEARCH("green cover",P715))),"Environment",IF(OR(ISNUMBER(SEARCH("irrigation",P715)),ISNUMBER(SEARCH("water",P715)),ISNUMBER(SEARCH("crop",P715)),ISNUMBER(SEARCH("farmer",P715)),ISNUMBER(SEARCH("agriculture",P715))),"Agriculture &amp; water",IF(OR(ISNUMBER(SEARCH("health",P715)),ISNUMBER(SEARCH("hospital",P715)),ISNUMBER(SEARCH("medicine",P715))),"Public health",IF(OR(ISNUMBER(SEARCH("employee",P715)),ISNUMBER(SEARCH("labour",P715)),ISNUMBER(SEARCH("worker",P715)),ISNUMBER(SEARCH("salary",P715))),"Labour &amp; employment",IF(OR(ISNUMBER(SEARCH("rti",P715)),ISNUMBER(SEARCH("transparency",P715)),ISNUMBER(SEARCH("corruption",P715)),ISNUMBER(SEARCH("governance",P715))),"Governance &amp; transparency",IF(OR(ISNUMBER(SEARCH("police",P715)),ISNUMBER(SEARCH("detention",P715)),ISNUMBER(SEARCH("civil rights",P715)),ISNUMBER(SEARCH("justice",P715))),"Civil rights &amp; justice",IF(OR(ISNUMBER(SEARCH("road",P715)),ISNUMBER(SEARCH("utility",P715)),ISNUMBER(SEARCH("infrastructure",P715)),ISNUMBER(SEARCH("public service",P715))),"Infrastructure &amp; public services","Other"))))))))))))</x:f>
      </x:c>
      <x:c r="J715" s="16" t="str">
        <x:f>IF(A715="","",IF(OR(ISNUMBER(SEARCH("fatal",Q715)),ISNUMBER(SEARCH("death",Q715)),ISNUMBER(SEARCH("riot",Q715)),ISNUMBER(SEARCH("curfew",Q715)),ISNUMBER(SEARCH("internet shutdown",Q715))),5,MIN(4,1+IF(H715&gt;=7,1,0)+IF(OR(ISNUMBER(SEARCH("hunger strike",Q715)),ISNUMBER(SEARCH("blockade",Q715)),ISNUMBER(SEARCH("strike",Q715)),ISNUMBER(SEARCH("jal satyagraha",Q715)),ISNUMBER(SEARCH("survey",Q715)),ISNUMBER(SEARCH("human chain",Q715)),ISNUMBER(SEARCH("march",Q715))),1,0)+IF(OR(ISNUMBER(SEARCH("fir",Q715)),ISNUMBER(SEARCH("confrontation",Q715)),ISNUMBER(SEARCH("violence",Q715)),ISNUMBER(SEARCH("detention",Q715)),ISNUMBER(SEARCH("arrest",Q715)),ISNUMBER(SEARCH("demolition",Q715)),ISNUMBER(SEARCH("injury",Q715))),1,0)+IF(OR(D715="Ongoing",D715="Unresolved"),1,0))))</x:f>
      </x:c>
      <x:c r="K715" s="16" t="str">
        <x:f>IF(J715="","",IF(J715=1,"Limited",IF(J715=2,"Local",IF(J715=3,"Significant",IF(J715=4,"High","Critical")))))</x:f>
      </x:c>
      <x:c r="L715" s="16" t="str">
        <x:f>IF(A715="","",Events!U714)</x:f>
      </x:c>
      <x:c r="M715" s="16" t="str">
        <x:f>IF(A715="","",Events!V714)</x:f>
      </x:c>
      <x:c r="N715" s="16" t="str">
        <x:f>IF(A715="","",Events!Q714)</x:f>
      </x:c>
      <x:c r="O715" s="16" t="str">
        <x:f>IF(A715="","",Events!R714)</x:f>
      </x:c>
      <x:c r="P715" s="16" t="str">
        <x:f>IF(A715="","",LOWER(Events!B714&amp;" "&amp;Events!D714&amp;" "&amp;Events!K714))</x:f>
      </x:c>
      <x:c r="Q715" s="16" t="str">
        <x:f>IF(A715="","",LOWER(Events!C714&amp;" "&amp;Events!K714&amp;" "&amp;Events!T714))</x:f>
      </x:c>
      <x:c r="R715" s="16" t="str">
        <x:f>IF(A715="","",IF(ISNUMBER(SEARCH("Occurrence verified",E715)),"Occurrence verified",E715))</x:f>
      </x:c>
      <x:c r="S715" s="79" t="str">
        <x:f>IF(A715="","",Events!X714)</x:f>
      </x:c>
      <x:c r="Z715" s="79" t="str">
        <x:f>IF(A715="","",Events!AD714)</x:f>
      </x:c>
      <x:c r="AA715" s="79" t="str">
        <x:f>IF(A715="","",Events!AE714)</x:f>
      </x:c>
    </x:row>
    <x:row r="716">
      <x:c r="A716" s="16" t="str">
        <x:f>IF(Events!A715="","",Events!A715)</x:f>
      </x:c>
      <x:c r="B716" s="16" t="str">
        <x:f>IF(A716="","",Events!B715)</x:f>
      </x:c>
      <x:c r="C716" s="16" t="str">
        <x:f>IF(A716="","",Events!E715)</x:f>
      </x:c>
      <x:c r="D716" s="16" t="str">
        <x:f>IF(A716="","",Events!J715)</x:f>
      </x:c>
      <x:c r="E716" s="16" t="str">
        <x:f>IF(A716="","",Events!N715)</x:f>
      </x:c>
      <x:c r="F716" s="109" t="str">
        <x:f>IF(OR(A716="",Events!H715=""),"",Events!H715)</x:f>
      </x:c>
      <x:c r="G716" s="109" t="str">
        <x:f>IF(A716="","",IF(Events!I715&lt;&gt;"",Events!I715,IF(Events!S715&lt;&gt;"",Events!S715,"")))</x:f>
      </x:c>
      <x:c r="H716" s="16" t="str">
        <x:f>IF(A716="","",Events!W715)</x:f>
      </x:c>
      <x:c r="I716" s="16" t="str">
        <x:f>IF(A716="","",IF(Events!Y715&lt;&gt;"",Events!Y715,IF(OR(ISNUMBER(SEARCH("education",P716)),ISNUMBER(SEARCH("exam",P716)),ISNUMBER(SEARCH("school",P716))),"Education",IF(OR(ISNUMBER(SEARCH("trade agreement",P716)),ISNUMBER(SEARCH("economic",P716)),ISNUMBER(SEARCH("import",P716))),"Trade &amp; economic policy",IF(OR(ISNUMBER(SEARCH("land acquisition",P716)),ISNUMBER(SEARCH("rehabilitation",P716)),ISNUMBER(SEARCH("displacement",P716)),ISNUMBER(SEARCH("township",P716))),"Land &amp; rehabilitation",IF(OR(ISNUMBER(SEARCH("forest",P716)),ISNUMBER(SEARCH("environment",P716)),ISNUMBER(SEARCH("ecological",P716)),ISNUMBER(SEARCH("biodiversity",P716)),ISNUMBER(SEARCH("green cover",P716))),"Environment",IF(OR(ISNUMBER(SEARCH("irrigation",P716)),ISNUMBER(SEARCH("water",P716)),ISNUMBER(SEARCH("crop",P716)),ISNUMBER(SEARCH("farmer",P716)),ISNUMBER(SEARCH("agriculture",P716))),"Agriculture &amp; water",IF(OR(ISNUMBER(SEARCH("health",P716)),ISNUMBER(SEARCH("hospital",P716)),ISNUMBER(SEARCH("medicine",P716))),"Public health",IF(OR(ISNUMBER(SEARCH("employee",P716)),ISNUMBER(SEARCH("labour",P716)),ISNUMBER(SEARCH("worker",P716)),ISNUMBER(SEARCH("salary",P716))),"Labour &amp; employment",IF(OR(ISNUMBER(SEARCH("rti",P716)),ISNUMBER(SEARCH("transparency",P716)),ISNUMBER(SEARCH("corruption",P716)),ISNUMBER(SEARCH("governance",P716))),"Governance &amp; transparency",IF(OR(ISNUMBER(SEARCH("police",P716)),ISNUMBER(SEARCH("detention",P716)),ISNUMBER(SEARCH("civil rights",P716)),ISNUMBER(SEARCH("justice",P716))),"Civil rights &amp; justice",IF(OR(ISNUMBER(SEARCH("road",P716)),ISNUMBER(SEARCH("utility",P716)),ISNUMBER(SEARCH("infrastructure",P716)),ISNUMBER(SEARCH("public service",P716))),"Infrastructure &amp; public services","Other"))))))))))))</x:f>
      </x:c>
      <x:c r="J716" s="16" t="str">
        <x:f>IF(A716="","",IF(OR(ISNUMBER(SEARCH("fatal",Q716)),ISNUMBER(SEARCH("death",Q716)),ISNUMBER(SEARCH("riot",Q716)),ISNUMBER(SEARCH("curfew",Q716)),ISNUMBER(SEARCH("internet shutdown",Q716))),5,MIN(4,1+IF(H716&gt;=7,1,0)+IF(OR(ISNUMBER(SEARCH("hunger strike",Q716)),ISNUMBER(SEARCH("blockade",Q716)),ISNUMBER(SEARCH("strike",Q716)),ISNUMBER(SEARCH("jal satyagraha",Q716)),ISNUMBER(SEARCH("survey",Q716)),ISNUMBER(SEARCH("human chain",Q716)),ISNUMBER(SEARCH("march",Q716))),1,0)+IF(OR(ISNUMBER(SEARCH("fir",Q716)),ISNUMBER(SEARCH("confrontation",Q716)),ISNUMBER(SEARCH("violence",Q716)),ISNUMBER(SEARCH("detention",Q716)),ISNUMBER(SEARCH("arrest",Q716)),ISNUMBER(SEARCH("demolition",Q716)),ISNUMBER(SEARCH("injury",Q716))),1,0)+IF(OR(D716="Ongoing",D716="Unresolved"),1,0))))</x:f>
      </x:c>
      <x:c r="K716" s="16" t="str">
        <x:f>IF(J716="","",IF(J716=1,"Limited",IF(J716=2,"Local",IF(J716=3,"Significant",IF(J716=4,"High","Critical")))))</x:f>
      </x:c>
      <x:c r="L716" s="16" t="str">
        <x:f>IF(A716="","",Events!U715)</x:f>
      </x:c>
      <x:c r="M716" s="16" t="str">
        <x:f>IF(A716="","",Events!V715)</x:f>
      </x:c>
      <x:c r="N716" s="16" t="str">
        <x:f>IF(A716="","",Events!Q715)</x:f>
      </x:c>
      <x:c r="O716" s="16" t="str">
        <x:f>IF(A716="","",Events!R715)</x:f>
      </x:c>
      <x:c r="P716" s="16" t="str">
        <x:f>IF(A716="","",LOWER(Events!B715&amp;" "&amp;Events!D715&amp;" "&amp;Events!K715))</x:f>
      </x:c>
      <x:c r="Q716" s="16" t="str">
        <x:f>IF(A716="","",LOWER(Events!C715&amp;" "&amp;Events!K715&amp;" "&amp;Events!T715))</x:f>
      </x:c>
      <x:c r="R716" s="16" t="str">
        <x:f>IF(A716="","",IF(ISNUMBER(SEARCH("Occurrence verified",E716)),"Occurrence verified",E716))</x:f>
      </x:c>
      <x:c r="S716" s="79" t="str">
        <x:f>IF(A716="","",Events!X715)</x:f>
      </x:c>
      <x:c r="Z716" s="79" t="str">
        <x:f>IF(A716="","",Events!AD715)</x:f>
      </x:c>
      <x:c r="AA716" s="79" t="str">
        <x:f>IF(A716="","",Events!AE715)</x:f>
      </x:c>
    </x:row>
    <x:row r="717">
      <x:c r="A717" s="16" t="str">
        <x:f>IF(Events!A716="","",Events!A716)</x:f>
      </x:c>
      <x:c r="B717" s="16" t="str">
        <x:f>IF(A717="","",Events!B716)</x:f>
      </x:c>
      <x:c r="C717" s="16" t="str">
        <x:f>IF(A717="","",Events!E716)</x:f>
      </x:c>
      <x:c r="D717" s="16" t="str">
        <x:f>IF(A717="","",Events!J716)</x:f>
      </x:c>
      <x:c r="E717" s="16" t="str">
        <x:f>IF(A717="","",Events!N716)</x:f>
      </x:c>
      <x:c r="F717" s="109" t="str">
        <x:f>IF(OR(A717="",Events!H716=""),"",Events!H716)</x:f>
      </x:c>
      <x:c r="G717" s="109" t="str">
        <x:f>IF(A717="","",IF(Events!I716&lt;&gt;"",Events!I716,IF(Events!S716&lt;&gt;"",Events!S716,"")))</x:f>
      </x:c>
      <x:c r="H717" s="16" t="str">
        <x:f>IF(A717="","",Events!W716)</x:f>
      </x:c>
      <x:c r="I717" s="16" t="str">
        <x:f>IF(A717="","",IF(Events!Y716&lt;&gt;"",Events!Y716,IF(OR(ISNUMBER(SEARCH("education",P717)),ISNUMBER(SEARCH("exam",P717)),ISNUMBER(SEARCH("school",P717))),"Education",IF(OR(ISNUMBER(SEARCH("trade agreement",P717)),ISNUMBER(SEARCH("economic",P717)),ISNUMBER(SEARCH("import",P717))),"Trade &amp; economic policy",IF(OR(ISNUMBER(SEARCH("land acquisition",P717)),ISNUMBER(SEARCH("rehabilitation",P717)),ISNUMBER(SEARCH("displacement",P717)),ISNUMBER(SEARCH("township",P717))),"Land &amp; rehabilitation",IF(OR(ISNUMBER(SEARCH("forest",P717)),ISNUMBER(SEARCH("environment",P717)),ISNUMBER(SEARCH("ecological",P717)),ISNUMBER(SEARCH("biodiversity",P717)),ISNUMBER(SEARCH("green cover",P717))),"Environment",IF(OR(ISNUMBER(SEARCH("irrigation",P717)),ISNUMBER(SEARCH("water",P717)),ISNUMBER(SEARCH("crop",P717)),ISNUMBER(SEARCH("farmer",P717)),ISNUMBER(SEARCH("agriculture",P717))),"Agriculture &amp; water",IF(OR(ISNUMBER(SEARCH("health",P717)),ISNUMBER(SEARCH("hospital",P717)),ISNUMBER(SEARCH("medicine",P717))),"Public health",IF(OR(ISNUMBER(SEARCH("employee",P717)),ISNUMBER(SEARCH("labour",P717)),ISNUMBER(SEARCH("worker",P717)),ISNUMBER(SEARCH("salary",P717))),"Labour &amp; employment",IF(OR(ISNUMBER(SEARCH("rti",P717)),ISNUMBER(SEARCH("transparency",P717)),ISNUMBER(SEARCH("corruption",P717)),ISNUMBER(SEARCH("governance",P717))),"Governance &amp; transparency",IF(OR(ISNUMBER(SEARCH("police",P717)),ISNUMBER(SEARCH("detention",P717)),ISNUMBER(SEARCH("civil rights",P717)),ISNUMBER(SEARCH("justice",P717))),"Civil rights &amp; justice",IF(OR(ISNUMBER(SEARCH("road",P717)),ISNUMBER(SEARCH("utility",P717)),ISNUMBER(SEARCH("infrastructure",P717)),ISNUMBER(SEARCH("public service",P717))),"Infrastructure &amp; public services","Other"))))))))))))</x:f>
      </x:c>
      <x:c r="J717" s="16" t="str">
        <x:f>IF(A717="","",IF(OR(ISNUMBER(SEARCH("fatal",Q717)),ISNUMBER(SEARCH("death",Q717)),ISNUMBER(SEARCH("riot",Q717)),ISNUMBER(SEARCH("curfew",Q717)),ISNUMBER(SEARCH("internet shutdown",Q717))),5,MIN(4,1+IF(H717&gt;=7,1,0)+IF(OR(ISNUMBER(SEARCH("hunger strike",Q717)),ISNUMBER(SEARCH("blockade",Q717)),ISNUMBER(SEARCH("strike",Q717)),ISNUMBER(SEARCH("jal satyagraha",Q717)),ISNUMBER(SEARCH("survey",Q717)),ISNUMBER(SEARCH("human chain",Q717)),ISNUMBER(SEARCH("march",Q717))),1,0)+IF(OR(ISNUMBER(SEARCH("fir",Q717)),ISNUMBER(SEARCH("confrontation",Q717)),ISNUMBER(SEARCH("violence",Q717)),ISNUMBER(SEARCH("detention",Q717)),ISNUMBER(SEARCH("arrest",Q717)),ISNUMBER(SEARCH("demolition",Q717)),ISNUMBER(SEARCH("injury",Q717))),1,0)+IF(OR(D717="Ongoing",D717="Unresolved"),1,0))))</x:f>
      </x:c>
      <x:c r="K717" s="16" t="str">
        <x:f>IF(J717="","",IF(J717=1,"Limited",IF(J717=2,"Local",IF(J717=3,"Significant",IF(J717=4,"High","Critical")))))</x:f>
      </x:c>
      <x:c r="L717" s="16" t="str">
        <x:f>IF(A717="","",Events!U716)</x:f>
      </x:c>
      <x:c r="M717" s="16" t="str">
        <x:f>IF(A717="","",Events!V716)</x:f>
      </x:c>
      <x:c r="N717" s="16" t="str">
        <x:f>IF(A717="","",Events!Q716)</x:f>
      </x:c>
      <x:c r="O717" s="16" t="str">
        <x:f>IF(A717="","",Events!R716)</x:f>
      </x:c>
      <x:c r="P717" s="16" t="str">
        <x:f>IF(A717="","",LOWER(Events!B716&amp;" "&amp;Events!D716&amp;" "&amp;Events!K716))</x:f>
      </x:c>
      <x:c r="Q717" s="16" t="str">
        <x:f>IF(A717="","",LOWER(Events!C716&amp;" "&amp;Events!K716&amp;" "&amp;Events!T716))</x:f>
      </x:c>
      <x:c r="R717" s="16" t="str">
        <x:f>IF(A717="","",IF(ISNUMBER(SEARCH("Occurrence verified",E717)),"Occurrence verified",E717))</x:f>
      </x:c>
      <x:c r="S717" s="79" t="str">
        <x:f>IF(A717="","",Events!X716)</x:f>
      </x:c>
      <x:c r="Z717" s="79" t="str">
        <x:f>IF(A717="","",Events!AD716)</x:f>
      </x:c>
      <x:c r="AA717" s="79" t="str">
        <x:f>IF(A717="","",Events!AE716)</x:f>
      </x:c>
    </x:row>
    <x:row r="718">
      <x:c r="A718" s="16" t="str">
        <x:f>IF(Events!A717="","",Events!A717)</x:f>
      </x:c>
      <x:c r="B718" s="16" t="str">
        <x:f>IF(A718="","",Events!B717)</x:f>
      </x:c>
      <x:c r="C718" s="16" t="str">
        <x:f>IF(A718="","",Events!E717)</x:f>
      </x:c>
      <x:c r="D718" s="16" t="str">
        <x:f>IF(A718="","",Events!J717)</x:f>
      </x:c>
      <x:c r="E718" s="16" t="str">
        <x:f>IF(A718="","",Events!N717)</x:f>
      </x:c>
      <x:c r="F718" s="109" t="str">
        <x:f>IF(OR(A718="",Events!H717=""),"",Events!H717)</x:f>
      </x:c>
      <x:c r="G718" s="109" t="str">
        <x:f>IF(A718="","",IF(Events!I717&lt;&gt;"",Events!I717,IF(Events!S717&lt;&gt;"",Events!S717,"")))</x:f>
      </x:c>
      <x:c r="H718" s="16" t="str">
        <x:f>IF(A718="","",Events!W717)</x:f>
      </x:c>
      <x:c r="I718" s="16" t="str">
        <x:f>IF(A718="","",IF(Events!Y717&lt;&gt;"",Events!Y717,IF(OR(ISNUMBER(SEARCH("education",P718)),ISNUMBER(SEARCH("exam",P718)),ISNUMBER(SEARCH("school",P718))),"Education",IF(OR(ISNUMBER(SEARCH("trade agreement",P718)),ISNUMBER(SEARCH("economic",P718)),ISNUMBER(SEARCH("import",P718))),"Trade &amp; economic policy",IF(OR(ISNUMBER(SEARCH("land acquisition",P718)),ISNUMBER(SEARCH("rehabilitation",P718)),ISNUMBER(SEARCH("displacement",P718)),ISNUMBER(SEARCH("township",P718))),"Land &amp; rehabilitation",IF(OR(ISNUMBER(SEARCH("forest",P718)),ISNUMBER(SEARCH("environment",P718)),ISNUMBER(SEARCH("ecological",P718)),ISNUMBER(SEARCH("biodiversity",P718)),ISNUMBER(SEARCH("green cover",P718))),"Environment",IF(OR(ISNUMBER(SEARCH("irrigation",P718)),ISNUMBER(SEARCH("water",P718)),ISNUMBER(SEARCH("crop",P718)),ISNUMBER(SEARCH("farmer",P718)),ISNUMBER(SEARCH("agriculture",P718))),"Agriculture &amp; water",IF(OR(ISNUMBER(SEARCH("health",P718)),ISNUMBER(SEARCH("hospital",P718)),ISNUMBER(SEARCH("medicine",P718))),"Public health",IF(OR(ISNUMBER(SEARCH("employee",P718)),ISNUMBER(SEARCH("labour",P718)),ISNUMBER(SEARCH("worker",P718)),ISNUMBER(SEARCH("salary",P718))),"Labour &amp; employment",IF(OR(ISNUMBER(SEARCH("rti",P718)),ISNUMBER(SEARCH("transparency",P718)),ISNUMBER(SEARCH("corruption",P718)),ISNUMBER(SEARCH("governance",P718))),"Governance &amp; transparency",IF(OR(ISNUMBER(SEARCH("police",P718)),ISNUMBER(SEARCH("detention",P718)),ISNUMBER(SEARCH("civil rights",P718)),ISNUMBER(SEARCH("justice",P718))),"Civil rights &amp; justice",IF(OR(ISNUMBER(SEARCH("road",P718)),ISNUMBER(SEARCH("utility",P718)),ISNUMBER(SEARCH("infrastructure",P718)),ISNUMBER(SEARCH("public service",P718))),"Infrastructure &amp; public services","Other"))))))))))))</x:f>
      </x:c>
      <x:c r="J718" s="16" t="str">
        <x:f>IF(A718="","",IF(OR(ISNUMBER(SEARCH("fatal",Q718)),ISNUMBER(SEARCH("death",Q718)),ISNUMBER(SEARCH("riot",Q718)),ISNUMBER(SEARCH("curfew",Q718)),ISNUMBER(SEARCH("internet shutdown",Q718))),5,MIN(4,1+IF(H718&gt;=7,1,0)+IF(OR(ISNUMBER(SEARCH("hunger strike",Q718)),ISNUMBER(SEARCH("blockade",Q718)),ISNUMBER(SEARCH("strike",Q718)),ISNUMBER(SEARCH("jal satyagraha",Q718)),ISNUMBER(SEARCH("survey",Q718)),ISNUMBER(SEARCH("human chain",Q718)),ISNUMBER(SEARCH("march",Q718))),1,0)+IF(OR(ISNUMBER(SEARCH("fir",Q718)),ISNUMBER(SEARCH("confrontation",Q718)),ISNUMBER(SEARCH("violence",Q718)),ISNUMBER(SEARCH("detention",Q718)),ISNUMBER(SEARCH("arrest",Q718)),ISNUMBER(SEARCH("demolition",Q718)),ISNUMBER(SEARCH("injury",Q718))),1,0)+IF(OR(D718="Ongoing",D718="Unresolved"),1,0))))</x:f>
      </x:c>
      <x:c r="K718" s="16" t="str">
        <x:f>IF(J718="","",IF(J718=1,"Limited",IF(J718=2,"Local",IF(J718=3,"Significant",IF(J718=4,"High","Critical")))))</x:f>
      </x:c>
      <x:c r="L718" s="16" t="str">
        <x:f>IF(A718="","",Events!U717)</x:f>
      </x:c>
      <x:c r="M718" s="16" t="str">
        <x:f>IF(A718="","",Events!V717)</x:f>
      </x:c>
      <x:c r="N718" s="16" t="str">
        <x:f>IF(A718="","",Events!Q717)</x:f>
      </x:c>
      <x:c r="O718" s="16" t="str">
        <x:f>IF(A718="","",Events!R717)</x:f>
      </x:c>
      <x:c r="P718" s="16" t="str">
        <x:f>IF(A718="","",LOWER(Events!B717&amp;" "&amp;Events!D717&amp;" "&amp;Events!K717))</x:f>
      </x:c>
      <x:c r="Q718" s="16" t="str">
        <x:f>IF(A718="","",LOWER(Events!C717&amp;" "&amp;Events!K717&amp;" "&amp;Events!T717))</x:f>
      </x:c>
      <x:c r="R718" s="16" t="str">
        <x:f>IF(A718="","",IF(ISNUMBER(SEARCH("Occurrence verified",E718)),"Occurrence verified",E718))</x:f>
      </x:c>
      <x:c r="S718" s="79" t="str">
        <x:f>IF(A718="","",Events!X717)</x:f>
      </x:c>
      <x:c r="Z718" s="79" t="str">
        <x:f>IF(A718="","",Events!AD717)</x:f>
      </x:c>
      <x:c r="AA718" s="79" t="str">
        <x:f>IF(A718="","",Events!AE717)</x:f>
      </x:c>
    </x:row>
    <x:row r="719">
      <x:c r="A719" s="16" t="str">
        <x:f>IF(Events!A718="","",Events!A718)</x:f>
      </x:c>
      <x:c r="B719" s="16" t="str">
        <x:f>IF(A719="","",Events!B718)</x:f>
      </x:c>
      <x:c r="C719" s="16" t="str">
        <x:f>IF(A719="","",Events!E718)</x:f>
      </x:c>
      <x:c r="D719" s="16" t="str">
        <x:f>IF(A719="","",Events!J718)</x:f>
      </x:c>
      <x:c r="E719" s="16" t="str">
        <x:f>IF(A719="","",Events!N718)</x:f>
      </x:c>
      <x:c r="F719" s="109" t="str">
        <x:f>IF(OR(A719="",Events!H718=""),"",Events!H718)</x:f>
      </x:c>
      <x:c r="G719" s="109" t="str">
        <x:f>IF(A719="","",IF(Events!I718&lt;&gt;"",Events!I718,IF(Events!S718&lt;&gt;"",Events!S718,"")))</x:f>
      </x:c>
      <x:c r="H719" s="16" t="str">
        <x:f>IF(A719="","",Events!W718)</x:f>
      </x:c>
      <x:c r="I719" s="16" t="str">
        <x:f>IF(A719="","",IF(Events!Y718&lt;&gt;"",Events!Y718,IF(OR(ISNUMBER(SEARCH("education",P719)),ISNUMBER(SEARCH("exam",P719)),ISNUMBER(SEARCH("school",P719))),"Education",IF(OR(ISNUMBER(SEARCH("trade agreement",P719)),ISNUMBER(SEARCH("economic",P719)),ISNUMBER(SEARCH("import",P719))),"Trade &amp; economic policy",IF(OR(ISNUMBER(SEARCH("land acquisition",P719)),ISNUMBER(SEARCH("rehabilitation",P719)),ISNUMBER(SEARCH("displacement",P719)),ISNUMBER(SEARCH("township",P719))),"Land &amp; rehabilitation",IF(OR(ISNUMBER(SEARCH("forest",P719)),ISNUMBER(SEARCH("environment",P719)),ISNUMBER(SEARCH("ecological",P719)),ISNUMBER(SEARCH("biodiversity",P719)),ISNUMBER(SEARCH("green cover",P719))),"Environment",IF(OR(ISNUMBER(SEARCH("irrigation",P719)),ISNUMBER(SEARCH("water",P719)),ISNUMBER(SEARCH("crop",P719)),ISNUMBER(SEARCH("farmer",P719)),ISNUMBER(SEARCH("agriculture",P719))),"Agriculture &amp; water",IF(OR(ISNUMBER(SEARCH("health",P719)),ISNUMBER(SEARCH("hospital",P719)),ISNUMBER(SEARCH("medicine",P719))),"Public health",IF(OR(ISNUMBER(SEARCH("employee",P719)),ISNUMBER(SEARCH("labour",P719)),ISNUMBER(SEARCH("worker",P719)),ISNUMBER(SEARCH("salary",P719))),"Labour &amp; employment",IF(OR(ISNUMBER(SEARCH("rti",P719)),ISNUMBER(SEARCH("transparency",P719)),ISNUMBER(SEARCH("corruption",P719)),ISNUMBER(SEARCH("governance",P719))),"Governance &amp; transparency",IF(OR(ISNUMBER(SEARCH("police",P719)),ISNUMBER(SEARCH("detention",P719)),ISNUMBER(SEARCH("civil rights",P719)),ISNUMBER(SEARCH("justice",P719))),"Civil rights &amp; justice",IF(OR(ISNUMBER(SEARCH("road",P719)),ISNUMBER(SEARCH("utility",P719)),ISNUMBER(SEARCH("infrastructure",P719)),ISNUMBER(SEARCH("public service",P719))),"Infrastructure &amp; public services","Other"))))))))))))</x:f>
      </x:c>
      <x:c r="J719" s="16" t="str">
        <x:f>IF(A719="","",IF(OR(ISNUMBER(SEARCH("fatal",Q719)),ISNUMBER(SEARCH("death",Q719)),ISNUMBER(SEARCH("riot",Q719)),ISNUMBER(SEARCH("curfew",Q719)),ISNUMBER(SEARCH("internet shutdown",Q719))),5,MIN(4,1+IF(H719&gt;=7,1,0)+IF(OR(ISNUMBER(SEARCH("hunger strike",Q719)),ISNUMBER(SEARCH("blockade",Q719)),ISNUMBER(SEARCH("strike",Q719)),ISNUMBER(SEARCH("jal satyagraha",Q719)),ISNUMBER(SEARCH("survey",Q719)),ISNUMBER(SEARCH("human chain",Q719)),ISNUMBER(SEARCH("march",Q719))),1,0)+IF(OR(ISNUMBER(SEARCH("fir",Q719)),ISNUMBER(SEARCH("confrontation",Q719)),ISNUMBER(SEARCH("violence",Q719)),ISNUMBER(SEARCH("detention",Q719)),ISNUMBER(SEARCH("arrest",Q719)),ISNUMBER(SEARCH("demolition",Q719)),ISNUMBER(SEARCH("injury",Q719))),1,0)+IF(OR(D719="Ongoing",D719="Unresolved"),1,0))))</x:f>
      </x:c>
      <x:c r="K719" s="16" t="str">
        <x:f>IF(J719="","",IF(J719=1,"Limited",IF(J719=2,"Local",IF(J719=3,"Significant",IF(J719=4,"High","Critical")))))</x:f>
      </x:c>
      <x:c r="L719" s="16" t="str">
        <x:f>IF(A719="","",Events!U718)</x:f>
      </x:c>
      <x:c r="M719" s="16" t="str">
        <x:f>IF(A719="","",Events!V718)</x:f>
      </x:c>
      <x:c r="N719" s="16" t="str">
        <x:f>IF(A719="","",Events!Q718)</x:f>
      </x:c>
      <x:c r="O719" s="16" t="str">
        <x:f>IF(A719="","",Events!R718)</x:f>
      </x:c>
      <x:c r="P719" s="16" t="str">
        <x:f>IF(A719="","",LOWER(Events!B718&amp;" "&amp;Events!D718&amp;" "&amp;Events!K718))</x:f>
      </x:c>
      <x:c r="Q719" s="16" t="str">
        <x:f>IF(A719="","",LOWER(Events!C718&amp;" "&amp;Events!K718&amp;" "&amp;Events!T718))</x:f>
      </x:c>
      <x:c r="R719" s="16" t="str">
        <x:f>IF(A719="","",IF(ISNUMBER(SEARCH("Occurrence verified",E719)),"Occurrence verified",E719))</x:f>
      </x:c>
      <x:c r="S719" s="79" t="str">
        <x:f>IF(A719="","",Events!X718)</x:f>
      </x:c>
      <x:c r="Z719" s="79" t="str">
        <x:f>IF(A719="","",Events!AD718)</x:f>
      </x:c>
      <x:c r="AA719" s="79" t="str">
        <x:f>IF(A719="","",Events!AE718)</x:f>
      </x:c>
    </x:row>
    <x:row r="720">
      <x:c r="A720" s="16" t="str">
        <x:f>IF(Events!A719="","",Events!A719)</x:f>
      </x:c>
      <x:c r="B720" s="16" t="str">
        <x:f>IF(A720="","",Events!B719)</x:f>
      </x:c>
      <x:c r="C720" s="16" t="str">
        <x:f>IF(A720="","",Events!E719)</x:f>
      </x:c>
      <x:c r="D720" s="16" t="str">
        <x:f>IF(A720="","",Events!J719)</x:f>
      </x:c>
      <x:c r="E720" s="16" t="str">
        <x:f>IF(A720="","",Events!N719)</x:f>
      </x:c>
      <x:c r="F720" s="109" t="str">
        <x:f>IF(OR(A720="",Events!H719=""),"",Events!H719)</x:f>
      </x:c>
      <x:c r="G720" s="109" t="str">
        <x:f>IF(A720="","",IF(Events!I719&lt;&gt;"",Events!I719,IF(Events!S719&lt;&gt;"",Events!S719,"")))</x:f>
      </x:c>
      <x:c r="H720" s="16" t="str">
        <x:f>IF(A720="","",Events!W719)</x:f>
      </x:c>
      <x:c r="I720" s="16" t="str">
        <x:f>IF(A720="","",IF(Events!Y719&lt;&gt;"",Events!Y719,IF(OR(ISNUMBER(SEARCH("education",P720)),ISNUMBER(SEARCH("exam",P720)),ISNUMBER(SEARCH("school",P720))),"Education",IF(OR(ISNUMBER(SEARCH("trade agreement",P720)),ISNUMBER(SEARCH("economic",P720)),ISNUMBER(SEARCH("import",P720))),"Trade &amp; economic policy",IF(OR(ISNUMBER(SEARCH("land acquisition",P720)),ISNUMBER(SEARCH("rehabilitation",P720)),ISNUMBER(SEARCH("displacement",P720)),ISNUMBER(SEARCH("township",P720))),"Land &amp; rehabilitation",IF(OR(ISNUMBER(SEARCH("forest",P720)),ISNUMBER(SEARCH("environment",P720)),ISNUMBER(SEARCH("ecological",P720)),ISNUMBER(SEARCH("biodiversity",P720)),ISNUMBER(SEARCH("green cover",P720))),"Environment",IF(OR(ISNUMBER(SEARCH("irrigation",P720)),ISNUMBER(SEARCH("water",P720)),ISNUMBER(SEARCH("crop",P720)),ISNUMBER(SEARCH("farmer",P720)),ISNUMBER(SEARCH("agriculture",P720))),"Agriculture &amp; water",IF(OR(ISNUMBER(SEARCH("health",P720)),ISNUMBER(SEARCH("hospital",P720)),ISNUMBER(SEARCH("medicine",P720))),"Public health",IF(OR(ISNUMBER(SEARCH("employee",P720)),ISNUMBER(SEARCH("labour",P720)),ISNUMBER(SEARCH("worker",P720)),ISNUMBER(SEARCH("salary",P720))),"Labour &amp; employment",IF(OR(ISNUMBER(SEARCH("rti",P720)),ISNUMBER(SEARCH("transparency",P720)),ISNUMBER(SEARCH("corruption",P720)),ISNUMBER(SEARCH("governance",P720))),"Governance &amp; transparency",IF(OR(ISNUMBER(SEARCH("police",P720)),ISNUMBER(SEARCH("detention",P720)),ISNUMBER(SEARCH("civil rights",P720)),ISNUMBER(SEARCH("justice",P720))),"Civil rights &amp; justice",IF(OR(ISNUMBER(SEARCH("road",P720)),ISNUMBER(SEARCH("utility",P720)),ISNUMBER(SEARCH("infrastructure",P720)),ISNUMBER(SEARCH("public service",P720))),"Infrastructure &amp; public services","Other"))))))))))))</x:f>
      </x:c>
      <x:c r="J720" s="16" t="str">
        <x:f>IF(A720="","",IF(OR(ISNUMBER(SEARCH("fatal",Q720)),ISNUMBER(SEARCH("death",Q720)),ISNUMBER(SEARCH("riot",Q720)),ISNUMBER(SEARCH("curfew",Q720)),ISNUMBER(SEARCH("internet shutdown",Q720))),5,MIN(4,1+IF(H720&gt;=7,1,0)+IF(OR(ISNUMBER(SEARCH("hunger strike",Q720)),ISNUMBER(SEARCH("blockade",Q720)),ISNUMBER(SEARCH("strike",Q720)),ISNUMBER(SEARCH("jal satyagraha",Q720)),ISNUMBER(SEARCH("survey",Q720)),ISNUMBER(SEARCH("human chain",Q720)),ISNUMBER(SEARCH("march",Q720))),1,0)+IF(OR(ISNUMBER(SEARCH("fir",Q720)),ISNUMBER(SEARCH("confrontation",Q720)),ISNUMBER(SEARCH("violence",Q720)),ISNUMBER(SEARCH("detention",Q720)),ISNUMBER(SEARCH("arrest",Q720)),ISNUMBER(SEARCH("demolition",Q720)),ISNUMBER(SEARCH("injury",Q720))),1,0)+IF(OR(D720="Ongoing",D720="Unresolved"),1,0))))</x:f>
      </x:c>
      <x:c r="K720" s="16" t="str">
        <x:f>IF(J720="","",IF(J720=1,"Limited",IF(J720=2,"Local",IF(J720=3,"Significant",IF(J720=4,"High","Critical")))))</x:f>
      </x:c>
      <x:c r="L720" s="16" t="str">
        <x:f>IF(A720="","",Events!U719)</x:f>
      </x:c>
      <x:c r="M720" s="16" t="str">
        <x:f>IF(A720="","",Events!V719)</x:f>
      </x:c>
      <x:c r="N720" s="16" t="str">
        <x:f>IF(A720="","",Events!Q719)</x:f>
      </x:c>
      <x:c r="O720" s="16" t="str">
        <x:f>IF(A720="","",Events!R719)</x:f>
      </x:c>
      <x:c r="P720" s="16" t="str">
        <x:f>IF(A720="","",LOWER(Events!B719&amp;" "&amp;Events!D719&amp;" "&amp;Events!K719))</x:f>
      </x:c>
      <x:c r="Q720" s="16" t="str">
        <x:f>IF(A720="","",LOWER(Events!C719&amp;" "&amp;Events!K719&amp;" "&amp;Events!T719))</x:f>
      </x:c>
      <x:c r="R720" s="16" t="str">
        <x:f>IF(A720="","",IF(ISNUMBER(SEARCH("Occurrence verified",E720)),"Occurrence verified",E720))</x:f>
      </x:c>
      <x:c r="S720" s="79" t="str">
        <x:f>IF(A720="","",Events!X719)</x:f>
      </x:c>
      <x:c r="Z720" s="79" t="str">
        <x:f>IF(A720="","",Events!AD719)</x:f>
      </x:c>
      <x:c r="AA720" s="79" t="str">
        <x:f>IF(A720="","",Events!AE719)</x:f>
      </x:c>
    </x:row>
    <x:row r="721">
      <x:c r="A721" s="16" t="str">
        <x:f>IF(Events!A720="","",Events!A720)</x:f>
      </x:c>
      <x:c r="B721" s="16" t="str">
        <x:f>IF(A721="","",Events!B720)</x:f>
      </x:c>
      <x:c r="C721" s="16" t="str">
        <x:f>IF(A721="","",Events!E720)</x:f>
      </x:c>
      <x:c r="D721" s="16" t="str">
        <x:f>IF(A721="","",Events!J720)</x:f>
      </x:c>
      <x:c r="E721" s="16" t="str">
        <x:f>IF(A721="","",Events!N720)</x:f>
      </x:c>
      <x:c r="F721" s="109" t="str">
        <x:f>IF(OR(A721="",Events!H720=""),"",Events!H720)</x:f>
      </x:c>
      <x:c r="G721" s="109" t="str">
        <x:f>IF(A721="","",IF(Events!I720&lt;&gt;"",Events!I720,IF(Events!S720&lt;&gt;"",Events!S720,"")))</x:f>
      </x:c>
      <x:c r="H721" s="16" t="str">
        <x:f>IF(A721="","",Events!W720)</x:f>
      </x:c>
      <x:c r="I721" s="16" t="str">
        <x:f>IF(A721="","",IF(Events!Y720&lt;&gt;"",Events!Y720,IF(OR(ISNUMBER(SEARCH("education",P721)),ISNUMBER(SEARCH("exam",P721)),ISNUMBER(SEARCH("school",P721))),"Education",IF(OR(ISNUMBER(SEARCH("trade agreement",P721)),ISNUMBER(SEARCH("economic",P721)),ISNUMBER(SEARCH("import",P721))),"Trade &amp; economic policy",IF(OR(ISNUMBER(SEARCH("land acquisition",P721)),ISNUMBER(SEARCH("rehabilitation",P721)),ISNUMBER(SEARCH("displacement",P721)),ISNUMBER(SEARCH("township",P721))),"Land &amp; rehabilitation",IF(OR(ISNUMBER(SEARCH("forest",P721)),ISNUMBER(SEARCH("environment",P721)),ISNUMBER(SEARCH("ecological",P721)),ISNUMBER(SEARCH("biodiversity",P721)),ISNUMBER(SEARCH("green cover",P721))),"Environment",IF(OR(ISNUMBER(SEARCH("irrigation",P721)),ISNUMBER(SEARCH("water",P721)),ISNUMBER(SEARCH("crop",P721)),ISNUMBER(SEARCH("farmer",P721)),ISNUMBER(SEARCH("agriculture",P721))),"Agriculture &amp; water",IF(OR(ISNUMBER(SEARCH("health",P721)),ISNUMBER(SEARCH("hospital",P721)),ISNUMBER(SEARCH("medicine",P721))),"Public health",IF(OR(ISNUMBER(SEARCH("employee",P721)),ISNUMBER(SEARCH("labour",P721)),ISNUMBER(SEARCH("worker",P721)),ISNUMBER(SEARCH("salary",P721))),"Labour &amp; employment",IF(OR(ISNUMBER(SEARCH("rti",P721)),ISNUMBER(SEARCH("transparency",P721)),ISNUMBER(SEARCH("corruption",P721)),ISNUMBER(SEARCH("governance",P721))),"Governance &amp; transparency",IF(OR(ISNUMBER(SEARCH("police",P721)),ISNUMBER(SEARCH("detention",P721)),ISNUMBER(SEARCH("civil rights",P721)),ISNUMBER(SEARCH("justice",P721))),"Civil rights &amp; justice",IF(OR(ISNUMBER(SEARCH("road",P721)),ISNUMBER(SEARCH("utility",P721)),ISNUMBER(SEARCH("infrastructure",P721)),ISNUMBER(SEARCH("public service",P721))),"Infrastructure &amp; public services","Other"))))))))))))</x:f>
      </x:c>
      <x:c r="J721" s="16" t="str">
        <x:f>IF(A721="","",IF(OR(ISNUMBER(SEARCH("fatal",Q721)),ISNUMBER(SEARCH("death",Q721)),ISNUMBER(SEARCH("riot",Q721)),ISNUMBER(SEARCH("curfew",Q721)),ISNUMBER(SEARCH("internet shutdown",Q721))),5,MIN(4,1+IF(H721&gt;=7,1,0)+IF(OR(ISNUMBER(SEARCH("hunger strike",Q721)),ISNUMBER(SEARCH("blockade",Q721)),ISNUMBER(SEARCH("strike",Q721)),ISNUMBER(SEARCH("jal satyagraha",Q721)),ISNUMBER(SEARCH("survey",Q721)),ISNUMBER(SEARCH("human chain",Q721)),ISNUMBER(SEARCH("march",Q721))),1,0)+IF(OR(ISNUMBER(SEARCH("fir",Q721)),ISNUMBER(SEARCH("confrontation",Q721)),ISNUMBER(SEARCH("violence",Q721)),ISNUMBER(SEARCH("detention",Q721)),ISNUMBER(SEARCH("arrest",Q721)),ISNUMBER(SEARCH("demolition",Q721)),ISNUMBER(SEARCH("injury",Q721))),1,0)+IF(OR(D721="Ongoing",D721="Unresolved"),1,0))))</x:f>
      </x:c>
      <x:c r="K721" s="16" t="str">
        <x:f>IF(J721="","",IF(J721=1,"Limited",IF(J721=2,"Local",IF(J721=3,"Significant",IF(J721=4,"High","Critical")))))</x:f>
      </x:c>
      <x:c r="L721" s="16" t="str">
        <x:f>IF(A721="","",Events!U720)</x:f>
      </x:c>
      <x:c r="M721" s="16" t="str">
        <x:f>IF(A721="","",Events!V720)</x:f>
      </x:c>
      <x:c r="N721" s="16" t="str">
        <x:f>IF(A721="","",Events!Q720)</x:f>
      </x:c>
      <x:c r="O721" s="16" t="str">
        <x:f>IF(A721="","",Events!R720)</x:f>
      </x:c>
      <x:c r="P721" s="16" t="str">
        <x:f>IF(A721="","",LOWER(Events!B720&amp;" "&amp;Events!D720&amp;" "&amp;Events!K720))</x:f>
      </x:c>
      <x:c r="Q721" s="16" t="str">
        <x:f>IF(A721="","",LOWER(Events!C720&amp;" "&amp;Events!K720&amp;" "&amp;Events!T720))</x:f>
      </x:c>
      <x:c r="R721" s="16" t="str">
        <x:f>IF(A721="","",IF(ISNUMBER(SEARCH("Occurrence verified",E721)),"Occurrence verified",E721))</x:f>
      </x:c>
      <x:c r="S721" s="79" t="str">
        <x:f>IF(A721="","",Events!X720)</x:f>
      </x:c>
      <x:c r="Z721" s="79" t="str">
        <x:f>IF(A721="","",Events!AD720)</x:f>
      </x:c>
      <x:c r="AA721" s="79" t="str">
        <x:f>IF(A721="","",Events!AE720)</x:f>
      </x:c>
    </x:row>
    <x:row r="722">
      <x:c r="A722" s="16" t="str">
        <x:f>IF(Events!A721="","",Events!A721)</x:f>
      </x:c>
      <x:c r="B722" s="16" t="str">
        <x:f>IF(A722="","",Events!B721)</x:f>
      </x:c>
      <x:c r="C722" s="16" t="str">
        <x:f>IF(A722="","",Events!E721)</x:f>
      </x:c>
      <x:c r="D722" s="16" t="str">
        <x:f>IF(A722="","",Events!J721)</x:f>
      </x:c>
      <x:c r="E722" s="16" t="str">
        <x:f>IF(A722="","",Events!N721)</x:f>
      </x:c>
      <x:c r="F722" s="109" t="str">
        <x:f>IF(OR(A722="",Events!H721=""),"",Events!H721)</x:f>
      </x:c>
      <x:c r="G722" s="109" t="str">
        <x:f>IF(A722="","",IF(Events!I721&lt;&gt;"",Events!I721,IF(Events!S721&lt;&gt;"",Events!S721,"")))</x:f>
      </x:c>
      <x:c r="H722" s="16" t="str">
        <x:f>IF(A722="","",Events!W721)</x:f>
      </x:c>
      <x:c r="I722" s="16" t="str">
        <x:f>IF(A722="","",IF(Events!Y721&lt;&gt;"",Events!Y721,IF(OR(ISNUMBER(SEARCH("education",P722)),ISNUMBER(SEARCH("exam",P722)),ISNUMBER(SEARCH("school",P722))),"Education",IF(OR(ISNUMBER(SEARCH("trade agreement",P722)),ISNUMBER(SEARCH("economic",P722)),ISNUMBER(SEARCH("import",P722))),"Trade &amp; economic policy",IF(OR(ISNUMBER(SEARCH("land acquisition",P722)),ISNUMBER(SEARCH("rehabilitation",P722)),ISNUMBER(SEARCH("displacement",P722)),ISNUMBER(SEARCH("township",P722))),"Land &amp; rehabilitation",IF(OR(ISNUMBER(SEARCH("forest",P722)),ISNUMBER(SEARCH("environment",P722)),ISNUMBER(SEARCH("ecological",P722)),ISNUMBER(SEARCH("biodiversity",P722)),ISNUMBER(SEARCH("green cover",P722))),"Environment",IF(OR(ISNUMBER(SEARCH("irrigation",P722)),ISNUMBER(SEARCH("water",P722)),ISNUMBER(SEARCH("crop",P722)),ISNUMBER(SEARCH("farmer",P722)),ISNUMBER(SEARCH("agriculture",P722))),"Agriculture &amp; water",IF(OR(ISNUMBER(SEARCH("health",P722)),ISNUMBER(SEARCH("hospital",P722)),ISNUMBER(SEARCH("medicine",P722))),"Public health",IF(OR(ISNUMBER(SEARCH("employee",P722)),ISNUMBER(SEARCH("labour",P722)),ISNUMBER(SEARCH("worker",P722)),ISNUMBER(SEARCH("salary",P722))),"Labour &amp; employment",IF(OR(ISNUMBER(SEARCH("rti",P722)),ISNUMBER(SEARCH("transparency",P722)),ISNUMBER(SEARCH("corruption",P722)),ISNUMBER(SEARCH("governance",P722))),"Governance &amp; transparency",IF(OR(ISNUMBER(SEARCH("police",P722)),ISNUMBER(SEARCH("detention",P722)),ISNUMBER(SEARCH("civil rights",P722)),ISNUMBER(SEARCH("justice",P722))),"Civil rights &amp; justice",IF(OR(ISNUMBER(SEARCH("road",P722)),ISNUMBER(SEARCH("utility",P722)),ISNUMBER(SEARCH("infrastructure",P722)),ISNUMBER(SEARCH("public service",P722))),"Infrastructure &amp; public services","Other"))))))))))))</x:f>
      </x:c>
      <x:c r="J722" s="16" t="str">
        <x:f>IF(A722="","",IF(OR(ISNUMBER(SEARCH("fatal",Q722)),ISNUMBER(SEARCH("death",Q722)),ISNUMBER(SEARCH("riot",Q722)),ISNUMBER(SEARCH("curfew",Q722)),ISNUMBER(SEARCH("internet shutdown",Q722))),5,MIN(4,1+IF(H722&gt;=7,1,0)+IF(OR(ISNUMBER(SEARCH("hunger strike",Q722)),ISNUMBER(SEARCH("blockade",Q722)),ISNUMBER(SEARCH("strike",Q722)),ISNUMBER(SEARCH("jal satyagraha",Q722)),ISNUMBER(SEARCH("survey",Q722)),ISNUMBER(SEARCH("human chain",Q722)),ISNUMBER(SEARCH("march",Q722))),1,0)+IF(OR(ISNUMBER(SEARCH("fir",Q722)),ISNUMBER(SEARCH("confrontation",Q722)),ISNUMBER(SEARCH("violence",Q722)),ISNUMBER(SEARCH("detention",Q722)),ISNUMBER(SEARCH("arrest",Q722)),ISNUMBER(SEARCH("demolition",Q722)),ISNUMBER(SEARCH("injury",Q722))),1,0)+IF(OR(D722="Ongoing",D722="Unresolved"),1,0))))</x:f>
      </x:c>
      <x:c r="K722" s="16" t="str">
        <x:f>IF(J722="","",IF(J722=1,"Limited",IF(J722=2,"Local",IF(J722=3,"Significant",IF(J722=4,"High","Critical")))))</x:f>
      </x:c>
      <x:c r="L722" s="16" t="str">
        <x:f>IF(A722="","",Events!U721)</x:f>
      </x:c>
      <x:c r="M722" s="16" t="str">
        <x:f>IF(A722="","",Events!V721)</x:f>
      </x:c>
      <x:c r="N722" s="16" t="str">
        <x:f>IF(A722="","",Events!Q721)</x:f>
      </x:c>
      <x:c r="O722" s="16" t="str">
        <x:f>IF(A722="","",Events!R721)</x:f>
      </x:c>
      <x:c r="P722" s="16" t="str">
        <x:f>IF(A722="","",LOWER(Events!B721&amp;" "&amp;Events!D721&amp;" "&amp;Events!K721))</x:f>
      </x:c>
      <x:c r="Q722" s="16" t="str">
        <x:f>IF(A722="","",LOWER(Events!C721&amp;" "&amp;Events!K721&amp;" "&amp;Events!T721))</x:f>
      </x:c>
      <x:c r="R722" s="16" t="str">
        <x:f>IF(A722="","",IF(ISNUMBER(SEARCH("Occurrence verified",E722)),"Occurrence verified",E722))</x:f>
      </x:c>
      <x:c r="S722" s="79" t="str">
        <x:f>IF(A722="","",Events!X721)</x:f>
      </x:c>
      <x:c r="Z722" s="79" t="str">
        <x:f>IF(A722="","",Events!AD721)</x:f>
      </x:c>
      <x:c r="AA722" s="79" t="str">
        <x:f>IF(A722="","",Events!AE721)</x:f>
      </x:c>
    </x:row>
    <x:row r="723">
      <x:c r="A723" s="16" t="str">
        <x:f>IF(Events!A722="","",Events!A722)</x:f>
      </x:c>
      <x:c r="B723" s="16" t="str">
        <x:f>IF(A723="","",Events!B722)</x:f>
      </x:c>
      <x:c r="C723" s="16" t="str">
        <x:f>IF(A723="","",Events!E722)</x:f>
      </x:c>
      <x:c r="D723" s="16" t="str">
        <x:f>IF(A723="","",Events!J722)</x:f>
      </x:c>
      <x:c r="E723" s="16" t="str">
        <x:f>IF(A723="","",Events!N722)</x:f>
      </x:c>
      <x:c r="F723" s="109" t="str">
        <x:f>IF(OR(A723="",Events!H722=""),"",Events!H722)</x:f>
      </x:c>
      <x:c r="G723" s="109" t="str">
        <x:f>IF(A723="","",IF(Events!I722&lt;&gt;"",Events!I722,IF(Events!S722&lt;&gt;"",Events!S722,"")))</x:f>
      </x:c>
      <x:c r="H723" s="16" t="str">
        <x:f>IF(A723="","",Events!W722)</x:f>
      </x:c>
      <x:c r="I723" s="16" t="str">
        <x:f>IF(A723="","",IF(Events!Y722&lt;&gt;"",Events!Y722,IF(OR(ISNUMBER(SEARCH("education",P723)),ISNUMBER(SEARCH("exam",P723)),ISNUMBER(SEARCH("school",P723))),"Education",IF(OR(ISNUMBER(SEARCH("trade agreement",P723)),ISNUMBER(SEARCH("economic",P723)),ISNUMBER(SEARCH("import",P723))),"Trade &amp; economic policy",IF(OR(ISNUMBER(SEARCH("land acquisition",P723)),ISNUMBER(SEARCH("rehabilitation",P723)),ISNUMBER(SEARCH("displacement",P723)),ISNUMBER(SEARCH("township",P723))),"Land &amp; rehabilitation",IF(OR(ISNUMBER(SEARCH("forest",P723)),ISNUMBER(SEARCH("environment",P723)),ISNUMBER(SEARCH("ecological",P723)),ISNUMBER(SEARCH("biodiversity",P723)),ISNUMBER(SEARCH("green cover",P723))),"Environment",IF(OR(ISNUMBER(SEARCH("irrigation",P723)),ISNUMBER(SEARCH("water",P723)),ISNUMBER(SEARCH("crop",P723)),ISNUMBER(SEARCH("farmer",P723)),ISNUMBER(SEARCH("agriculture",P723))),"Agriculture &amp; water",IF(OR(ISNUMBER(SEARCH("health",P723)),ISNUMBER(SEARCH("hospital",P723)),ISNUMBER(SEARCH("medicine",P723))),"Public health",IF(OR(ISNUMBER(SEARCH("employee",P723)),ISNUMBER(SEARCH("labour",P723)),ISNUMBER(SEARCH("worker",P723)),ISNUMBER(SEARCH("salary",P723))),"Labour &amp; employment",IF(OR(ISNUMBER(SEARCH("rti",P723)),ISNUMBER(SEARCH("transparency",P723)),ISNUMBER(SEARCH("corruption",P723)),ISNUMBER(SEARCH("governance",P723))),"Governance &amp; transparency",IF(OR(ISNUMBER(SEARCH("police",P723)),ISNUMBER(SEARCH("detention",P723)),ISNUMBER(SEARCH("civil rights",P723)),ISNUMBER(SEARCH("justice",P723))),"Civil rights &amp; justice",IF(OR(ISNUMBER(SEARCH("road",P723)),ISNUMBER(SEARCH("utility",P723)),ISNUMBER(SEARCH("infrastructure",P723)),ISNUMBER(SEARCH("public service",P723))),"Infrastructure &amp; public services","Other"))))))))))))</x:f>
      </x:c>
      <x:c r="J723" s="16" t="str">
        <x:f>IF(A723="","",IF(OR(ISNUMBER(SEARCH("fatal",Q723)),ISNUMBER(SEARCH("death",Q723)),ISNUMBER(SEARCH("riot",Q723)),ISNUMBER(SEARCH("curfew",Q723)),ISNUMBER(SEARCH("internet shutdown",Q723))),5,MIN(4,1+IF(H723&gt;=7,1,0)+IF(OR(ISNUMBER(SEARCH("hunger strike",Q723)),ISNUMBER(SEARCH("blockade",Q723)),ISNUMBER(SEARCH("strike",Q723)),ISNUMBER(SEARCH("jal satyagraha",Q723)),ISNUMBER(SEARCH("survey",Q723)),ISNUMBER(SEARCH("human chain",Q723)),ISNUMBER(SEARCH("march",Q723))),1,0)+IF(OR(ISNUMBER(SEARCH("fir",Q723)),ISNUMBER(SEARCH("confrontation",Q723)),ISNUMBER(SEARCH("violence",Q723)),ISNUMBER(SEARCH("detention",Q723)),ISNUMBER(SEARCH("arrest",Q723)),ISNUMBER(SEARCH("demolition",Q723)),ISNUMBER(SEARCH("injury",Q723))),1,0)+IF(OR(D723="Ongoing",D723="Unresolved"),1,0))))</x:f>
      </x:c>
      <x:c r="K723" s="16" t="str">
        <x:f>IF(J723="","",IF(J723=1,"Limited",IF(J723=2,"Local",IF(J723=3,"Significant",IF(J723=4,"High","Critical")))))</x:f>
      </x:c>
      <x:c r="L723" s="16" t="str">
        <x:f>IF(A723="","",Events!U722)</x:f>
      </x:c>
      <x:c r="M723" s="16" t="str">
        <x:f>IF(A723="","",Events!V722)</x:f>
      </x:c>
      <x:c r="N723" s="16" t="str">
        <x:f>IF(A723="","",Events!Q722)</x:f>
      </x:c>
      <x:c r="O723" s="16" t="str">
        <x:f>IF(A723="","",Events!R722)</x:f>
      </x:c>
      <x:c r="P723" s="16" t="str">
        <x:f>IF(A723="","",LOWER(Events!B722&amp;" "&amp;Events!D722&amp;" "&amp;Events!K722))</x:f>
      </x:c>
      <x:c r="Q723" s="16" t="str">
        <x:f>IF(A723="","",LOWER(Events!C722&amp;" "&amp;Events!K722&amp;" "&amp;Events!T722))</x:f>
      </x:c>
      <x:c r="R723" s="16" t="str">
        <x:f>IF(A723="","",IF(ISNUMBER(SEARCH("Occurrence verified",E723)),"Occurrence verified",E723))</x:f>
      </x:c>
      <x:c r="S723" s="79" t="str">
        <x:f>IF(A723="","",Events!X722)</x:f>
      </x:c>
      <x:c r="Z723" s="79" t="str">
        <x:f>IF(A723="","",Events!AD722)</x:f>
      </x:c>
      <x:c r="AA723" s="79" t="str">
        <x:f>IF(A723="","",Events!AE722)</x:f>
      </x:c>
    </x:row>
    <x:row r="724">
      <x:c r="A724" s="16" t="str">
        <x:f>IF(Events!A723="","",Events!A723)</x:f>
      </x:c>
      <x:c r="B724" s="16" t="str">
        <x:f>IF(A724="","",Events!B723)</x:f>
      </x:c>
      <x:c r="C724" s="16" t="str">
        <x:f>IF(A724="","",Events!E723)</x:f>
      </x:c>
      <x:c r="D724" s="16" t="str">
        <x:f>IF(A724="","",Events!J723)</x:f>
      </x:c>
      <x:c r="E724" s="16" t="str">
        <x:f>IF(A724="","",Events!N723)</x:f>
      </x:c>
      <x:c r="F724" s="109" t="str">
        <x:f>IF(OR(A724="",Events!H723=""),"",Events!H723)</x:f>
      </x:c>
      <x:c r="G724" s="109" t="str">
        <x:f>IF(A724="","",IF(Events!I723&lt;&gt;"",Events!I723,IF(Events!S723&lt;&gt;"",Events!S723,"")))</x:f>
      </x:c>
      <x:c r="H724" s="16" t="str">
        <x:f>IF(A724="","",Events!W723)</x:f>
      </x:c>
      <x:c r="I724" s="16" t="str">
        <x:f>IF(A724="","",IF(Events!Y723&lt;&gt;"",Events!Y723,IF(OR(ISNUMBER(SEARCH("education",P724)),ISNUMBER(SEARCH("exam",P724)),ISNUMBER(SEARCH("school",P724))),"Education",IF(OR(ISNUMBER(SEARCH("trade agreement",P724)),ISNUMBER(SEARCH("economic",P724)),ISNUMBER(SEARCH("import",P724))),"Trade &amp; economic policy",IF(OR(ISNUMBER(SEARCH("land acquisition",P724)),ISNUMBER(SEARCH("rehabilitation",P724)),ISNUMBER(SEARCH("displacement",P724)),ISNUMBER(SEARCH("township",P724))),"Land &amp; rehabilitation",IF(OR(ISNUMBER(SEARCH("forest",P724)),ISNUMBER(SEARCH("environment",P724)),ISNUMBER(SEARCH("ecological",P724)),ISNUMBER(SEARCH("biodiversity",P724)),ISNUMBER(SEARCH("green cover",P724))),"Environment",IF(OR(ISNUMBER(SEARCH("irrigation",P724)),ISNUMBER(SEARCH("water",P724)),ISNUMBER(SEARCH("crop",P724)),ISNUMBER(SEARCH("farmer",P724)),ISNUMBER(SEARCH("agriculture",P724))),"Agriculture &amp; water",IF(OR(ISNUMBER(SEARCH("health",P724)),ISNUMBER(SEARCH("hospital",P724)),ISNUMBER(SEARCH("medicine",P724))),"Public health",IF(OR(ISNUMBER(SEARCH("employee",P724)),ISNUMBER(SEARCH("labour",P724)),ISNUMBER(SEARCH("worker",P724)),ISNUMBER(SEARCH("salary",P724))),"Labour &amp; employment",IF(OR(ISNUMBER(SEARCH("rti",P724)),ISNUMBER(SEARCH("transparency",P724)),ISNUMBER(SEARCH("corruption",P724)),ISNUMBER(SEARCH("governance",P724))),"Governance &amp; transparency",IF(OR(ISNUMBER(SEARCH("police",P724)),ISNUMBER(SEARCH("detention",P724)),ISNUMBER(SEARCH("civil rights",P724)),ISNUMBER(SEARCH("justice",P724))),"Civil rights &amp; justice",IF(OR(ISNUMBER(SEARCH("road",P724)),ISNUMBER(SEARCH("utility",P724)),ISNUMBER(SEARCH("infrastructure",P724)),ISNUMBER(SEARCH("public service",P724))),"Infrastructure &amp; public services","Other"))))))))))))</x:f>
      </x:c>
      <x:c r="J724" s="16" t="str">
        <x:f>IF(A724="","",IF(OR(ISNUMBER(SEARCH("fatal",Q724)),ISNUMBER(SEARCH("death",Q724)),ISNUMBER(SEARCH("riot",Q724)),ISNUMBER(SEARCH("curfew",Q724)),ISNUMBER(SEARCH("internet shutdown",Q724))),5,MIN(4,1+IF(H724&gt;=7,1,0)+IF(OR(ISNUMBER(SEARCH("hunger strike",Q724)),ISNUMBER(SEARCH("blockade",Q724)),ISNUMBER(SEARCH("strike",Q724)),ISNUMBER(SEARCH("jal satyagraha",Q724)),ISNUMBER(SEARCH("survey",Q724)),ISNUMBER(SEARCH("human chain",Q724)),ISNUMBER(SEARCH("march",Q724))),1,0)+IF(OR(ISNUMBER(SEARCH("fir",Q724)),ISNUMBER(SEARCH("confrontation",Q724)),ISNUMBER(SEARCH("violence",Q724)),ISNUMBER(SEARCH("detention",Q724)),ISNUMBER(SEARCH("arrest",Q724)),ISNUMBER(SEARCH("demolition",Q724)),ISNUMBER(SEARCH("injury",Q724))),1,0)+IF(OR(D724="Ongoing",D724="Unresolved"),1,0))))</x:f>
      </x:c>
      <x:c r="K724" s="16" t="str">
        <x:f>IF(J724="","",IF(J724=1,"Limited",IF(J724=2,"Local",IF(J724=3,"Significant",IF(J724=4,"High","Critical")))))</x:f>
      </x:c>
      <x:c r="L724" s="16" t="str">
        <x:f>IF(A724="","",Events!U723)</x:f>
      </x:c>
      <x:c r="M724" s="16" t="str">
        <x:f>IF(A724="","",Events!V723)</x:f>
      </x:c>
      <x:c r="N724" s="16" t="str">
        <x:f>IF(A724="","",Events!Q723)</x:f>
      </x:c>
      <x:c r="O724" s="16" t="str">
        <x:f>IF(A724="","",Events!R723)</x:f>
      </x:c>
      <x:c r="P724" s="16" t="str">
        <x:f>IF(A724="","",LOWER(Events!B723&amp;" "&amp;Events!D723&amp;" "&amp;Events!K723))</x:f>
      </x:c>
      <x:c r="Q724" s="16" t="str">
        <x:f>IF(A724="","",LOWER(Events!C723&amp;" "&amp;Events!K723&amp;" "&amp;Events!T723))</x:f>
      </x:c>
      <x:c r="R724" s="16" t="str">
        <x:f>IF(A724="","",IF(ISNUMBER(SEARCH("Occurrence verified",E724)),"Occurrence verified",E724))</x:f>
      </x:c>
      <x:c r="S724" s="79" t="str">
        <x:f>IF(A724="","",Events!X723)</x:f>
      </x:c>
      <x:c r="Z724" s="79" t="str">
        <x:f>IF(A724="","",Events!AD723)</x:f>
      </x:c>
      <x:c r="AA724" s="79" t="str">
        <x:f>IF(A724="","",Events!AE723)</x:f>
      </x:c>
    </x:row>
    <x:row r="725">
      <x:c r="A725" s="16" t="str">
        <x:f>IF(Events!A724="","",Events!A724)</x:f>
      </x:c>
      <x:c r="B725" s="16" t="str">
        <x:f>IF(A725="","",Events!B724)</x:f>
      </x:c>
      <x:c r="C725" s="16" t="str">
        <x:f>IF(A725="","",Events!E724)</x:f>
      </x:c>
      <x:c r="D725" s="16" t="str">
        <x:f>IF(A725="","",Events!J724)</x:f>
      </x:c>
      <x:c r="E725" s="16" t="str">
        <x:f>IF(A725="","",Events!N724)</x:f>
      </x:c>
      <x:c r="F725" s="109" t="str">
        <x:f>IF(OR(A725="",Events!H724=""),"",Events!H724)</x:f>
      </x:c>
      <x:c r="G725" s="109" t="str">
        <x:f>IF(A725="","",IF(Events!I724&lt;&gt;"",Events!I724,IF(Events!S724&lt;&gt;"",Events!S724,"")))</x:f>
      </x:c>
      <x:c r="H725" s="16" t="str">
        <x:f>IF(A725="","",Events!W724)</x:f>
      </x:c>
      <x:c r="I725" s="16" t="str">
        <x:f>IF(A725="","",IF(Events!Y724&lt;&gt;"",Events!Y724,IF(OR(ISNUMBER(SEARCH("education",P725)),ISNUMBER(SEARCH("exam",P725)),ISNUMBER(SEARCH("school",P725))),"Education",IF(OR(ISNUMBER(SEARCH("trade agreement",P725)),ISNUMBER(SEARCH("economic",P725)),ISNUMBER(SEARCH("import",P725))),"Trade &amp; economic policy",IF(OR(ISNUMBER(SEARCH("land acquisition",P725)),ISNUMBER(SEARCH("rehabilitation",P725)),ISNUMBER(SEARCH("displacement",P725)),ISNUMBER(SEARCH("township",P725))),"Land &amp; rehabilitation",IF(OR(ISNUMBER(SEARCH("forest",P725)),ISNUMBER(SEARCH("environment",P725)),ISNUMBER(SEARCH("ecological",P725)),ISNUMBER(SEARCH("biodiversity",P725)),ISNUMBER(SEARCH("green cover",P725))),"Environment",IF(OR(ISNUMBER(SEARCH("irrigation",P725)),ISNUMBER(SEARCH("water",P725)),ISNUMBER(SEARCH("crop",P725)),ISNUMBER(SEARCH("farmer",P725)),ISNUMBER(SEARCH("agriculture",P725))),"Agriculture &amp; water",IF(OR(ISNUMBER(SEARCH("health",P725)),ISNUMBER(SEARCH("hospital",P725)),ISNUMBER(SEARCH("medicine",P725))),"Public health",IF(OR(ISNUMBER(SEARCH("employee",P725)),ISNUMBER(SEARCH("labour",P725)),ISNUMBER(SEARCH("worker",P725)),ISNUMBER(SEARCH("salary",P725))),"Labour &amp; employment",IF(OR(ISNUMBER(SEARCH("rti",P725)),ISNUMBER(SEARCH("transparency",P725)),ISNUMBER(SEARCH("corruption",P725)),ISNUMBER(SEARCH("governance",P725))),"Governance &amp; transparency",IF(OR(ISNUMBER(SEARCH("police",P725)),ISNUMBER(SEARCH("detention",P725)),ISNUMBER(SEARCH("civil rights",P725)),ISNUMBER(SEARCH("justice",P725))),"Civil rights &amp; justice",IF(OR(ISNUMBER(SEARCH("road",P725)),ISNUMBER(SEARCH("utility",P725)),ISNUMBER(SEARCH("infrastructure",P725)),ISNUMBER(SEARCH("public service",P725))),"Infrastructure &amp; public services","Other"))))))))))))</x:f>
      </x:c>
      <x:c r="J725" s="16" t="str">
        <x:f>IF(A725="","",IF(OR(ISNUMBER(SEARCH("fatal",Q725)),ISNUMBER(SEARCH("death",Q725)),ISNUMBER(SEARCH("riot",Q725)),ISNUMBER(SEARCH("curfew",Q725)),ISNUMBER(SEARCH("internet shutdown",Q725))),5,MIN(4,1+IF(H725&gt;=7,1,0)+IF(OR(ISNUMBER(SEARCH("hunger strike",Q725)),ISNUMBER(SEARCH("blockade",Q725)),ISNUMBER(SEARCH("strike",Q725)),ISNUMBER(SEARCH("jal satyagraha",Q725)),ISNUMBER(SEARCH("survey",Q725)),ISNUMBER(SEARCH("human chain",Q725)),ISNUMBER(SEARCH("march",Q725))),1,0)+IF(OR(ISNUMBER(SEARCH("fir",Q725)),ISNUMBER(SEARCH("confrontation",Q725)),ISNUMBER(SEARCH("violence",Q725)),ISNUMBER(SEARCH("detention",Q725)),ISNUMBER(SEARCH("arrest",Q725)),ISNUMBER(SEARCH("demolition",Q725)),ISNUMBER(SEARCH("injury",Q725))),1,0)+IF(OR(D725="Ongoing",D725="Unresolved"),1,0))))</x:f>
      </x:c>
      <x:c r="K725" s="16" t="str">
        <x:f>IF(J725="","",IF(J725=1,"Limited",IF(J725=2,"Local",IF(J725=3,"Significant",IF(J725=4,"High","Critical")))))</x:f>
      </x:c>
      <x:c r="L725" s="16" t="str">
        <x:f>IF(A725="","",Events!U724)</x:f>
      </x:c>
      <x:c r="M725" s="16" t="str">
        <x:f>IF(A725="","",Events!V724)</x:f>
      </x:c>
      <x:c r="N725" s="16" t="str">
        <x:f>IF(A725="","",Events!Q724)</x:f>
      </x:c>
      <x:c r="O725" s="16" t="str">
        <x:f>IF(A725="","",Events!R724)</x:f>
      </x:c>
      <x:c r="P725" s="16" t="str">
        <x:f>IF(A725="","",LOWER(Events!B724&amp;" "&amp;Events!D724&amp;" "&amp;Events!K724))</x:f>
      </x:c>
      <x:c r="Q725" s="16" t="str">
        <x:f>IF(A725="","",LOWER(Events!C724&amp;" "&amp;Events!K724&amp;" "&amp;Events!T724))</x:f>
      </x:c>
      <x:c r="R725" s="16" t="str">
        <x:f>IF(A725="","",IF(ISNUMBER(SEARCH("Occurrence verified",E725)),"Occurrence verified",E725))</x:f>
      </x:c>
      <x:c r="S725" s="79" t="str">
        <x:f>IF(A725="","",Events!X724)</x:f>
      </x:c>
      <x:c r="Z725" s="79" t="str">
        <x:f>IF(A725="","",Events!AD724)</x:f>
      </x:c>
      <x:c r="AA725" s="79" t="str">
        <x:f>IF(A725="","",Events!AE724)</x:f>
      </x:c>
    </x:row>
    <x:row r="726">
      <x:c r="A726" s="16" t="str">
        <x:f>IF(Events!A725="","",Events!A725)</x:f>
      </x:c>
      <x:c r="B726" s="16" t="str">
        <x:f>IF(A726="","",Events!B725)</x:f>
      </x:c>
      <x:c r="C726" s="16" t="str">
        <x:f>IF(A726="","",Events!E725)</x:f>
      </x:c>
      <x:c r="D726" s="16" t="str">
        <x:f>IF(A726="","",Events!J725)</x:f>
      </x:c>
      <x:c r="E726" s="16" t="str">
        <x:f>IF(A726="","",Events!N725)</x:f>
      </x:c>
      <x:c r="F726" s="109" t="str">
        <x:f>IF(OR(A726="",Events!H725=""),"",Events!H725)</x:f>
      </x:c>
      <x:c r="G726" s="109" t="str">
        <x:f>IF(A726="","",IF(Events!I725&lt;&gt;"",Events!I725,IF(Events!S725&lt;&gt;"",Events!S725,"")))</x:f>
      </x:c>
      <x:c r="H726" s="16" t="str">
        <x:f>IF(A726="","",Events!W725)</x:f>
      </x:c>
      <x:c r="I726" s="16" t="str">
        <x:f>IF(A726="","",IF(Events!Y725&lt;&gt;"",Events!Y725,IF(OR(ISNUMBER(SEARCH("education",P726)),ISNUMBER(SEARCH("exam",P726)),ISNUMBER(SEARCH("school",P726))),"Education",IF(OR(ISNUMBER(SEARCH("trade agreement",P726)),ISNUMBER(SEARCH("economic",P726)),ISNUMBER(SEARCH("import",P726))),"Trade &amp; economic policy",IF(OR(ISNUMBER(SEARCH("land acquisition",P726)),ISNUMBER(SEARCH("rehabilitation",P726)),ISNUMBER(SEARCH("displacement",P726)),ISNUMBER(SEARCH("township",P726))),"Land &amp; rehabilitation",IF(OR(ISNUMBER(SEARCH("forest",P726)),ISNUMBER(SEARCH("environment",P726)),ISNUMBER(SEARCH("ecological",P726)),ISNUMBER(SEARCH("biodiversity",P726)),ISNUMBER(SEARCH("green cover",P726))),"Environment",IF(OR(ISNUMBER(SEARCH("irrigation",P726)),ISNUMBER(SEARCH("water",P726)),ISNUMBER(SEARCH("crop",P726)),ISNUMBER(SEARCH("farmer",P726)),ISNUMBER(SEARCH("agriculture",P726))),"Agriculture &amp; water",IF(OR(ISNUMBER(SEARCH("health",P726)),ISNUMBER(SEARCH("hospital",P726)),ISNUMBER(SEARCH("medicine",P726))),"Public health",IF(OR(ISNUMBER(SEARCH("employee",P726)),ISNUMBER(SEARCH("labour",P726)),ISNUMBER(SEARCH("worker",P726)),ISNUMBER(SEARCH("salary",P726))),"Labour &amp; employment",IF(OR(ISNUMBER(SEARCH("rti",P726)),ISNUMBER(SEARCH("transparency",P726)),ISNUMBER(SEARCH("corruption",P726)),ISNUMBER(SEARCH("governance",P726))),"Governance &amp; transparency",IF(OR(ISNUMBER(SEARCH("police",P726)),ISNUMBER(SEARCH("detention",P726)),ISNUMBER(SEARCH("civil rights",P726)),ISNUMBER(SEARCH("justice",P726))),"Civil rights &amp; justice",IF(OR(ISNUMBER(SEARCH("road",P726)),ISNUMBER(SEARCH("utility",P726)),ISNUMBER(SEARCH("infrastructure",P726)),ISNUMBER(SEARCH("public service",P726))),"Infrastructure &amp; public services","Other"))))))))))))</x:f>
      </x:c>
      <x:c r="J726" s="16" t="str">
        <x:f>IF(A726="","",IF(OR(ISNUMBER(SEARCH("fatal",Q726)),ISNUMBER(SEARCH("death",Q726)),ISNUMBER(SEARCH("riot",Q726)),ISNUMBER(SEARCH("curfew",Q726)),ISNUMBER(SEARCH("internet shutdown",Q726))),5,MIN(4,1+IF(H726&gt;=7,1,0)+IF(OR(ISNUMBER(SEARCH("hunger strike",Q726)),ISNUMBER(SEARCH("blockade",Q726)),ISNUMBER(SEARCH("strike",Q726)),ISNUMBER(SEARCH("jal satyagraha",Q726)),ISNUMBER(SEARCH("survey",Q726)),ISNUMBER(SEARCH("human chain",Q726)),ISNUMBER(SEARCH("march",Q726))),1,0)+IF(OR(ISNUMBER(SEARCH("fir",Q726)),ISNUMBER(SEARCH("confrontation",Q726)),ISNUMBER(SEARCH("violence",Q726)),ISNUMBER(SEARCH("detention",Q726)),ISNUMBER(SEARCH("arrest",Q726)),ISNUMBER(SEARCH("demolition",Q726)),ISNUMBER(SEARCH("injury",Q726))),1,0)+IF(OR(D726="Ongoing",D726="Unresolved"),1,0))))</x:f>
      </x:c>
      <x:c r="K726" s="16" t="str">
        <x:f>IF(J726="","",IF(J726=1,"Limited",IF(J726=2,"Local",IF(J726=3,"Significant",IF(J726=4,"High","Critical")))))</x:f>
      </x:c>
      <x:c r="L726" s="16" t="str">
        <x:f>IF(A726="","",Events!U725)</x:f>
      </x:c>
      <x:c r="M726" s="16" t="str">
        <x:f>IF(A726="","",Events!V725)</x:f>
      </x:c>
      <x:c r="N726" s="16" t="str">
        <x:f>IF(A726="","",Events!Q725)</x:f>
      </x:c>
      <x:c r="O726" s="16" t="str">
        <x:f>IF(A726="","",Events!R725)</x:f>
      </x:c>
      <x:c r="P726" s="16" t="str">
        <x:f>IF(A726="","",LOWER(Events!B725&amp;" "&amp;Events!D725&amp;" "&amp;Events!K725))</x:f>
      </x:c>
      <x:c r="Q726" s="16" t="str">
        <x:f>IF(A726="","",LOWER(Events!C725&amp;" "&amp;Events!K725&amp;" "&amp;Events!T725))</x:f>
      </x:c>
      <x:c r="R726" s="16" t="str">
        <x:f>IF(A726="","",IF(ISNUMBER(SEARCH("Occurrence verified",E726)),"Occurrence verified",E726))</x:f>
      </x:c>
      <x:c r="S726" s="79" t="str">
        <x:f>IF(A726="","",Events!X725)</x:f>
      </x:c>
      <x:c r="Z726" s="79" t="str">
        <x:f>IF(A726="","",Events!AD725)</x:f>
      </x:c>
      <x:c r="AA726" s="79" t="str">
        <x:f>IF(A726="","",Events!AE725)</x:f>
      </x:c>
    </x:row>
    <x:row r="727">
      <x:c r="A727" s="16" t="str">
        <x:f>IF(Events!A726="","",Events!A726)</x:f>
      </x:c>
      <x:c r="B727" s="16" t="str">
        <x:f>IF(A727="","",Events!B726)</x:f>
      </x:c>
      <x:c r="C727" s="16" t="str">
        <x:f>IF(A727="","",Events!E726)</x:f>
      </x:c>
      <x:c r="D727" s="16" t="str">
        <x:f>IF(A727="","",Events!J726)</x:f>
      </x:c>
      <x:c r="E727" s="16" t="str">
        <x:f>IF(A727="","",Events!N726)</x:f>
      </x:c>
      <x:c r="F727" s="109" t="str">
        <x:f>IF(OR(A727="",Events!H726=""),"",Events!H726)</x:f>
      </x:c>
      <x:c r="G727" s="109" t="str">
        <x:f>IF(A727="","",IF(Events!I726&lt;&gt;"",Events!I726,IF(Events!S726&lt;&gt;"",Events!S726,"")))</x:f>
      </x:c>
      <x:c r="H727" s="16" t="str">
        <x:f>IF(A727="","",Events!W726)</x:f>
      </x:c>
      <x:c r="I727" s="16" t="str">
        <x:f>IF(A727="","",IF(Events!Y726&lt;&gt;"",Events!Y726,IF(OR(ISNUMBER(SEARCH("education",P727)),ISNUMBER(SEARCH("exam",P727)),ISNUMBER(SEARCH("school",P727))),"Education",IF(OR(ISNUMBER(SEARCH("trade agreement",P727)),ISNUMBER(SEARCH("economic",P727)),ISNUMBER(SEARCH("import",P727))),"Trade &amp; economic policy",IF(OR(ISNUMBER(SEARCH("land acquisition",P727)),ISNUMBER(SEARCH("rehabilitation",P727)),ISNUMBER(SEARCH("displacement",P727)),ISNUMBER(SEARCH("township",P727))),"Land &amp; rehabilitation",IF(OR(ISNUMBER(SEARCH("forest",P727)),ISNUMBER(SEARCH("environment",P727)),ISNUMBER(SEARCH("ecological",P727)),ISNUMBER(SEARCH("biodiversity",P727)),ISNUMBER(SEARCH("green cover",P727))),"Environment",IF(OR(ISNUMBER(SEARCH("irrigation",P727)),ISNUMBER(SEARCH("water",P727)),ISNUMBER(SEARCH("crop",P727)),ISNUMBER(SEARCH("farmer",P727)),ISNUMBER(SEARCH("agriculture",P727))),"Agriculture &amp; water",IF(OR(ISNUMBER(SEARCH("health",P727)),ISNUMBER(SEARCH("hospital",P727)),ISNUMBER(SEARCH("medicine",P727))),"Public health",IF(OR(ISNUMBER(SEARCH("employee",P727)),ISNUMBER(SEARCH("labour",P727)),ISNUMBER(SEARCH("worker",P727)),ISNUMBER(SEARCH("salary",P727))),"Labour &amp; employment",IF(OR(ISNUMBER(SEARCH("rti",P727)),ISNUMBER(SEARCH("transparency",P727)),ISNUMBER(SEARCH("corruption",P727)),ISNUMBER(SEARCH("governance",P727))),"Governance &amp; transparency",IF(OR(ISNUMBER(SEARCH("police",P727)),ISNUMBER(SEARCH("detention",P727)),ISNUMBER(SEARCH("civil rights",P727)),ISNUMBER(SEARCH("justice",P727))),"Civil rights &amp; justice",IF(OR(ISNUMBER(SEARCH("road",P727)),ISNUMBER(SEARCH("utility",P727)),ISNUMBER(SEARCH("infrastructure",P727)),ISNUMBER(SEARCH("public service",P727))),"Infrastructure &amp; public services","Other"))))))))))))</x:f>
      </x:c>
      <x:c r="J727" s="16" t="str">
        <x:f>IF(A727="","",IF(OR(ISNUMBER(SEARCH("fatal",Q727)),ISNUMBER(SEARCH("death",Q727)),ISNUMBER(SEARCH("riot",Q727)),ISNUMBER(SEARCH("curfew",Q727)),ISNUMBER(SEARCH("internet shutdown",Q727))),5,MIN(4,1+IF(H727&gt;=7,1,0)+IF(OR(ISNUMBER(SEARCH("hunger strike",Q727)),ISNUMBER(SEARCH("blockade",Q727)),ISNUMBER(SEARCH("strike",Q727)),ISNUMBER(SEARCH("jal satyagraha",Q727)),ISNUMBER(SEARCH("survey",Q727)),ISNUMBER(SEARCH("human chain",Q727)),ISNUMBER(SEARCH("march",Q727))),1,0)+IF(OR(ISNUMBER(SEARCH("fir",Q727)),ISNUMBER(SEARCH("confrontation",Q727)),ISNUMBER(SEARCH("violence",Q727)),ISNUMBER(SEARCH("detention",Q727)),ISNUMBER(SEARCH("arrest",Q727)),ISNUMBER(SEARCH("demolition",Q727)),ISNUMBER(SEARCH("injury",Q727))),1,0)+IF(OR(D727="Ongoing",D727="Unresolved"),1,0))))</x:f>
      </x:c>
      <x:c r="K727" s="16" t="str">
        <x:f>IF(J727="","",IF(J727=1,"Limited",IF(J727=2,"Local",IF(J727=3,"Significant",IF(J727=4,"High","Critical")))))</x:f>
      </x:c>
      <x:c r="L727" s="16" t="str">
        <x:f>IF(A727="","",Events!U726)</x:f>
      </x:c>
      <x:c r="M727" s="16" t="str">
        <x:f>IF(A727="","",Events!V726)</x:f>
      </x:c>
      <x:c r="N727" s="16" t="str">
        <x:f>IF(A727="","",Events!Q726)</x:f>
      </x:c>
      <x:c r="O727" s="16" t="str">
        <x:f>IF(A727="","",Events!R726)</x:f>
      </x:c>
      <x:c r="P727" s="16" t="str">
        <x:f>IF(A727="","",LOWER(Events!B726&amp;" "&amp;Events!D726&amp;" "&amp;Events!K726))</x:f>
      </x:c>
      <x:c r="Q727" s="16" t="str">
        <x:f>IF(A727="","",LOWER(Events!C726&amp;" "&amp;Events!K726&amp;" "&amp;Events!T726))</x:f>
      </x:c>
      <x:c r="R727" s="16" t="str">
        <x:f>IF(A727="","",IF(ISNUMBER(SEARCH("Occurrence verified",E727)),"Occurrence verified",E727))</x:f>
      </x:c>
      <x:c r="S727" s="79" t="str">
        <x:f>IF(A727="","",Events!X726)</x:f>
      </x:c>
      <x:c r="Z727" s="79" t="str">
        <x:f>IF(A727="","",Events!AD726)</x:f>
      </x:c>
      <x:c r="AA727" s="79" t="str">
        <x:f>IF(A727="","",Events!AE726)</x:f>
      </x:c>
    </x:row>
    <x:row r="728">
      <x:c r="A728" s="16" t="str">
        <x:f>IF(Events!A727="","",Events!A727)</x:f>
      </x:c>
      <x:c r="B728" s="16" t="str">
        <x:f>IF(A728="","",Events!B727)</x:f>
      </x:c>
      <x:c r="C728" s="16" t="str">
        <x:f>IF(A728="","",Events!E727)</x:f>
      </x:c>
      <x:c r="D728" s="16" t="str">
        <x:f>IF(A728="","",Events!J727)</x:f>
      </x:c>
      <x:c r="E728" s="16" t="str">
        <x:f>IF(A728="","",Events!N727)</x:f>
      </x:c>
      <x:c r="F728" s="109" t="str">
        <x:f>IF(OR(A728="",Events!H727=""),"",Events!H727)</x:f>
      </x:c>
      <x:c r="G728" s="109" t="str">
        <x:f>IF(A728="","",IF(Events!I727&lt;&gt;"",Events!I727,IF(Events!S727&lt;&gt;"",Events!S727,"")))</x:f>
      </x:c>
      <x:c r="H728" s="16" t="str">
        <x:f>IF(A728="","",Events!W727)</x:f>
      </x:c>
      <x:c r="I728" s="16" t="str">
        <x:f>IF(A728="","",IF(Events!Y727&lt;&gt;"",Events!Y727,IF(OR(ISNUMBER(SEARCH("education",P728)),ISNUMBER(SEARCH("exam",P728)),ISNUMBER(SEARCH("school",P728))),"Education",IF(OR(ISNUMBER(SEARCH("trade agreement",P728)),ISNUMBER(SEARCH("economic",P728)),ISNUMBER(SEARCH("import",P728))),"Trade &amp; economic policy",IF(OR(ISNUMBER(SEARCH("land acquisition",P728)),ISNUMBER(SEARCH("rehabilitation",P728)),ISNUMBER(SEARCH("displacement",P728)),ISNUMBER(SEARCH("township",P728))),"Land &amp; rehabilitation",IF(OR(ISNUMBER(SEARCH("forest",P728)),ISNUMBER(SEARCH("environment",P728)),ISNUMBER(SEARCH("ecological",P728)),ISNUMBER(SEARCH("biodiversity",P728)),ISNUMBER(SEARCH("green cover",P728))),"Environment",IF(OR(ISNUMBER(SEARCH("irrigation",P728)),ISNUMBER(SEARCH("water",P728)),ISNUMBER(SEARCH("crop",P728)),ISNUMBER(SEARCH("farmer",P728)),ISNUMBER(SEARCH("agriculture",P728))),"Agriculture &amp; water",IF(OR(ISNUMBER(SEARCH("health",P728)),ISNUMBER(SEARCH("hospital",P728)),ISNUMBER(SEARCH("medicine",P728))),"Public health",IF(OR(ISNUMBER(SEARCH("employee",P728)),ISNUMBER(SEARCH("labour",P728)),ISNUMBER(SEARCH("worker",P728)),ISNUMBER(SEARCH("salary",P728))),"Labour &amp; employment",IF(OR(ISNUMBER(SEARCH("rti",P728)),ISNUMBER(SEARCH("transparency",P728)),ISNUMBER(SEARCH("corruption",P728)),ISNUMBER(SEARCH("governance",P728))),"Governance &amp; transparency",IF(OR(ISNUMBER(SEARCH("police",P728)),ISNUMBER(SEARCH("detention",P728)),ISNUMBER(SEARCH("civil rights",P728)),ISNUMBER(SEARCH("justice",P728))),"Civil rights &amp; justice",IF(OR(ISNUMBER(SEARCH("road",P728)),ISNUMBER(SEARCH("utility",P728)),ISNUMBER(SEARCH("infrastructure",P728)),ISNUMBER(SEARCH("public service",P728))),"Infrastructure &amp; public services","Other"))))))))))))</x:f>
      </x:c>
      <x:c r="J728" s="16" t="str">
        <x:f>IF(A728="","",IF(OR(ISNUMBER(SEARCH("fatal",Q728)),ISNUMBER(SEARCH("death",Q728)),ISNUMBER(SEARCH("riot",Q728)),ISNUMBER(SEARCH("curfew",Q728)),ISNUMBER(SEARCH("internet shutdown",Q728))),5,MIN(4,1+IF(H728&gt;=7,1,0)+IF(OR(ISNUMBER(SEARCH("hunger strike",Q728)),ISNUMBER(SEARCH("blockade",Q728)),ISNUMBER(SEARCH("strike",Q728)),ISNUMBER(SEARCH("jal satyagraha",Q728)),ISNUMBER(SEARCH("survey",Q728)),ISNUMBER(SEARCH("human chain",Q728)),ISNUMBER(SEARCH("march",Q728))),1,0)+IF(OR(ISNUMBER(SEARCH("fir",Q728)),ISNUMBER(SEARCH("confrontation",Q728)),ISNUMBER(SEARCH("violence",Q728)),ISNUMBER(SEARCH("detention",Q728)),ISNUMBER(SEARCH("arrest",Q728)),ISNUMBER(SEARCH("demolition",Q728)),ISNUMBER(SEARCH("injury",Q728))),1,0)+IF(OR(D728="Ongoing",D728="Unresolved"),1,0))))</x:f>
      </x:c>
      <x:c r="K728" s="16" t="str">
        <x:f>IF(J728="","",IF(J728=1,"Limited",IF(J728=2,"Local",IF(J728=3,"Significant",IF(J728=4,"High","Critical")))))</x:f>
      </x:c>
      <x:c r="L728" s="16" t="str">
        <x:f>IF(A728="","",Events!U727)</x:f>
      </x:c>
      <x:c r="M728" s="16" t="str">
        <x:f>IF(A728="","",Events!V727)</x:f>
      </x:c>
      <x:c r="N728" s="16" t="str">
        <x:f>IF(A728="","",Events!Q727)</x:f>
      </x:c>
      <x:c r="O728" s="16" t="str">
        <x:f>IF(A728="","",Events!R727)</x:f>
      </x:c>
      <x:c r="P728" s="16" t="str">
        <x:f>IF(A728="","",LOWER(Events!B727&amp;" "&amp;Events!D727&amp;" "&amp;Events!K727))</x:f>
      </x:c>
      <x:c r="Q728" s="16" t="str">
        <x:f>IF(A728="","",LOWER(Events!C727&amp;" "&amp;Events!K727&amp;" "&amp;Events!T727))</x:f>
      </x:c>
      <x:c r="R728" s="16" t="str">
        <x:f>IF(A728="","",IF(ISNUMBER(SEARCH("Occurrence verified",E728)),"Occurrence verified",E728))</x:f>
      </x:c>
      <x:c r="S728" s="79" t="str">
        <x:f>IF(A728="","",Events!X727)</x:f>
      </x:c>
      <x:c r="Z728" s="79" t="str">
        <x:f>IF(A728="","",Events!AD727)</x:f>
      </x:c>
      <x:c r="AA728" s="79" t="str">
        <x:f>IF(A728="","",Events!AE727)</x:f>
      </x:c>
    </x:row>
    <x:row r="729">
      <x:c r="A729" s="16" t="str">
        <x:f>IF(Events!A728="","",Events!A728)</x:f>
      </x:c>
      <x:c r="B729" s="16" t="str">
        <x:f>IF(A729="","",Events!B728)</x:f>
      </x:c>
      <x:c r="C729" s="16" t="str">
        <x:f>IF(A729="","",Events!E728)</x:f>
      </x:c>
      <x:c r="D729" s="16" t="str">
        <x:f>IF(A729="","",Events!J728)</x:f>
      </x:c>
      <x:c r="E729" s="16" t="str">
        <x:f>IF(A729="","",Events!N728)</x:f>
      </x:c>
      <x:c r="F729" s="109" t="str">
        <x:f>IF(OR(A729="",Events!H728=""),"",Events!H728)</x:f>
      </x:c>
      <x:c r="G729" s="109" t="str">
        <x:f>IF(A729="","",IF(Events!I728&lt;&gt;"",Events!I728,IF(Events!S728&lt;&gt;"",Events!S728,"")))</x:f>
      </x:c>
      <x:c r="H729" s="16" t="str">
        <x:f>IF(A729="","",Events!W728)</x:f>
      </x:c>
      <x:c r="I729" s="16" t="str">
        <x:f>IF(A729="","",IF(Events!Y728&lt;&gt;"",Events!Y728,IF(OR(ISNUMBER(SEARCH("education",P729)),ISNUMBER(SEARCH("exam",P729)),ISNUMBER(SEARCH("school",P729))),"Education",IF(OR(ISNUMBER(SEARCH("trade agreement",P729)),ISNUMBER(SEARCH("economic",P729)),ISNUMBER(SEARCH("import",P729))),"Trade &amp; economic policy",IF(OR(ISNUMBER(SEARCH("land acquisition",P729)),ISNUMBER(SEARCH("rehabilitation",P729)),ISNUMBER(SEARCH("displacement",P729)),ISNUMBER(SEARCH("township",P729))),"Land &amp; rehabilitation",IF(OR(ISNUMBER(SEARCH("forest",P729)),ISNUMBER(SEARCH("environment",P729)),ISNUMBER(SEARCH("ecological",P729)),ISNUMBER(SEARCH("biodiversity",P729)),ISNUMBER(SEARCH("green cover",P729))),"Environment",IF(OR(ISNUMBER(SEARCH("irrigation",P729)),ISNUMBER(SEARCH("water",P729)),ISNUMBER(SEARCH("crop",P729)),ISNUMBER(SEARCH("farmer",P729)),ISNUMBER(SEARCH("agriculture",P729))),"Agriculture &amp; water",IF(OR(ISNUMBER(SEARCH("health",P729)),ISNUMBER(SEARCH("hospital",P729)),ISNUMBER(SEARCH("medicine",P729))),"Public health",IF(OR(ISNUMBER(SEARCH("employee",P729)),ISNUMBER(SEARCH("labour",P729)),ISNUMBER(SEARCH("worker",P729)),ISNUMBER(SEARCH("salary",P729))),"Labour &amp; employment",IF(OR(ISNUMBER(SEARCH("rti",P729)),ISNUMBER(SEARCH("transparency",P729)),ISNUMBER(SEARCH("corruption",P729)),ISNUMBER(SEARCH("governance",P729))),"Governance &amp; transparency",IF(OR(ISNUMBER(SEARCH("police",P729)),ISNUMBER(SEARCH("detention",P729)),ISNUMBER(SEARCH("civil rights",P729)),ISNUMBER(SEARCH("justice",P729))),"Civil rights &amp; justice",IF(OR(ISNUMBER(SEARCH("road",P729)),ISNUMBER(SEARCH("utility",P729)),ISNUMBER(SEARCH("infrastructure",P729)),ISNUMBER(SEARCH("public service",P729))),"Infrastructure &amp; public services","Other"))))))))))))</x:f>
      </x:c>
      <x:c r="J729" s="16" t="str">
        <x:f>IF(A729="","",IF(OR(ISNUMBER(SEARCH("fatal",Q729)),ISNUMBER(SEARCH("death",Q729)),ISNUMBER(SEARCH("riot",Q729)),ISNUMBER(SEARCH("curfew",Q729)),ISNUMBER(SEARCH("internet shutdown",Q729))),5,MIN(4,1+IF(H729&gt;=7,1,0)+IF(OR(ISNUMBER(SEARCH("hunger strike",Q729)),ISNUMBER(SEARCH("blockade",Q729)),ISNUMBER(SEARCH("strike",Q729)),ISNUMBER(SEARCH("jal satyagraha",Q729)),ISNUMBER(SEARCH("survey",Q729)),ISNUMBER(SEARCH("human chain",Q729)),ISNUMBER(SEARCH("march",Q729))),1,0)+IF(OR(ISNUMBER(SEARCH("fir",Q729)),ISNUMBER(SEARCH("confrontation",Q729)),ISNUMBER(SEARCH("violence",Q729)),ISNUMBER(SEARCH("detention",Q729)),ISNUMBER(SEARCH("arrest",Q729)),ISNUMBER(SEARCH("demolition",Q729)),ISNUMBER(SEARCH("injury",Q729))),1,0)+IF(OR(D729="Ongoing",D729="Unresolved"),1,0))))</x:f>
      </x:c>
      <x:c r="K729" s="16" t="str">
        <x:f>IF(J729="","",IF(J729=1,"Limited",IF(J729=2,"Local",IF(J729=3,"Significant",IF(J729=4,"High","Critical")))))</x:f>
      </x:c>
      <x:c r="L729" s="16" t="str">
        <x:f>IF(A729="","",Events!U728)</x:f>
      </x:c>
      <x:c r="M729" s="16" t="str">
        <x:f>IF(A729="","",Events!V728)</x:f>
      </x:c>
      <x:c r="N729" s="16" t="str">
        <x:f>IF(A729="","",Events!Q728)</x:f>
      </x:c>
      <x:c r="O729" s="16" t="str">
        <x:f>IF(A729="","",Events!R728)</x:f>
      </x:c>
      <x:c r="P729" s="16" t="str">
        <x:f>IF(A729="","",LOWER(Events!B728&amp;" "&amp;Events!D728&amp;" "&amp;Events!K728))</x:f>
      </x:c>
      <x:c r="Q729" s="16" t="str">
        <x:f>IF(A729="","",LOWER(Events!C728&amp;" "&amp;Events!K728&amp;" "&amp;Events!T728))</x:f>
      </x:c>
      <x:c r="R729" s="16" t="str">
        <x:f>IF(A729="","",IF(ISNUMBER(SEARCH("Occurrence verified",E729)),"Occurrence verified",E729))</x:f>
      </x:c>
      <x:c r="S729" s="79" t="str">
        <x:f>IF(A729="","",Events!X728)</x:f>
      </x:c>
      <x:c r="Z729" s="79" t="str">
        <x:f>IF(A729="","",Events!AD728)</x:f>
      </x:c>
      <x:c r="AA729" s="79" t="str">
        <x:f>IF(A729="","",Events!AE728)</x:f>
      </x:c>
    </x:row>
    <x:row r="730">
      <x:c r="A730" s="16" t="str">
        <x:f>IF(Events!A729="","",Events!A729)</x:f>
      </x:c>
      <x:c r="B730" s="16" t="str">
        <x:f>IF(A730="","",Events!B729)</x:f>
      </x:c>
      <x:c r="C730" s="16" t="str">
        <x:f>IF(A730="","",Events!E729)</x:f>
      </x:c>
      <x:c r="D730" s="16" t="str">
        <x:f>IF(A730="","",Events!J729)</x:f>
      </x:c>
      <x:c r="E730" s="16" t="str">
        <x:f>IF(A730="","",Events!N729)</x:f>
      </x:c>
      <x:c r="F730" s="109" t="str">
        <x:f>IF(OR(A730="",Events!H729=""),"",Events!H729)</x:f>
      </x:c>
      <x:c r="G730" s="109" t="str">
        <x:f>IF(A730="","",IF(Events!I729&lt;&gt;"",Events!I729,IF(Events!S729&lt;&gt;"",Events!S729,"")))</x:f>
      </x:c>
      <x:c r="H730" s="16" t="str">
        <x:f>IF(A730="","",Events!W729)</x:f>
      </x:c>
      <x:c r="I730" s="16" t="str">
        <x:f>IF(A730="","",IF(Events!Y729&lt;&gt;"",Events!Y729,IF(OR(ISNUMBER(SEARCH("education",P730)),ISNUMBER(SEARCH("exam",P730)),ISNUMBER(SEARCH("school",P730))),"Education",IF(OR(ISNUMBER(SEARCH("trade agreement",P730)),ISNUMBER(SEARCH("economic",P730)),ISNUMBER(SEARCH("import",P730))),"Trade &amp; economic policy",IF(OR(ISNUMBER(SEARCH("land acquisition",P730)),ISNUMBER(SEARCH("rehabilitation",P730)),ISNUMBER(SEARCH("displacement",P730)),ISNUMBER(SEARCH("township",P730))),"Land &amp; rehabilitation",IF(OR(ISNUMBER(SEARCH("forest",P730)),ISNUMBER(SEARCH("environment",P730)),ISNUMBER(SEARCH("ecological",P730)),ISNUMBER(SEARCH("biodiversity",P730)),ISNUMBER(SEARCH("green cover",P730))),"Environment",IF(OR(ISNUMBER(SEARCH("irrigation",P730)),ISNUMBER(SEARCH("water",P730)),ISNUMBER(SEARCH("crop",P730)),ISNUMBER(SEARCH("farmer",P730)),ISNUMBER(SEARCH("agriculture",P730))),"Agriculture &amp; water",IF(OR(ISNUMBER(SEARCH("health",P730)),ISNUMBER(SEARCH("hospital",P730)),ISNUMBER(SEARCH("medicine",P730))),"Public health",IF(OR(ISNUMBER(SEARCH("employee",P730)),ISNUMBER(SEARCH("labour",P730)),ISNUMBER(SEARCH("worker",P730)),ISNUMBER(SEARCH("salary",P730))),"Labour &amp; employment",IF(OR(ISNUMBER(SEARCH("rti",P730)),ISNUMBER(SEARCH("transparency",P730)),ISNUMBER(SEARCH("corruption",P730)),ISNUMBER(SEARCH("governance",P730))),"Governance &amp; transparency",IF(OR(ISNUMBER(SEARCH("police",P730)),ISNUMBER(SEARCH("detention",P730)),ISNUMBER(SEARCH("civil rights",P730)),ISNUMBER(SEARCH("justice",P730))),"Civil rights &amp; justice",IF(OR(ISNUMBER(SEARCH("road",P730)),ISNUMBER(SEARCH("utility",P730)),ISNUMBER(SEARCH("infrastructure",P730)),ISNUMBER(SEARCH("public service",P730))),"Infrastructure &amp; public services","Other"))))))))))))</x:f>
      </x:c>
      <x:c r="J730" s="16" t="str">
        <x:f>IF(A730="","",IF(OR(ISNUMBER(SEARCH("fatal",Q730)),ISNUMBER(SEARCH("death",Q730)),ISNUMBER(SEARCH("riot",Q730)),ISNUMBER(SEARCH("curfew",Q730)),ISNUMBER(SEARCH("internet shutdown",Q730))),5,MIN(4,1+IF(H730&gt;=7,1,0)+IF(OR(ISNUMBER(SEARCH("hunger strike",Q730)),ISNUMBER(SEARCH("blockade",Q730)),ISNUMBER(SEARCH("strike",Q730)),ISNUMBER(SEARCH("jal satyagraha",Q730)),ISNUMBER(SEARCH("survey",Q730)),ISNUMBER(SEARCH("human chain",Q730)),ISNUMBER(SEARCH("march",Q730))),1,0)+IF(OR(ISNUMBER(SEARCH("fir",Q730)),ISNUMBER(SEARCH("confrontation",Q730)),ISNUMBER(SEARCH("violence",Q730)),ISNUMBER(SEARCH("detention",Q730)),ISNUMBER(SEARCH("arrest",Q730)),ISNUMBER(SEARCH("demolition",Q730)),ISNUMBER(SEARCH("injury",Q730))),1,0)+IF(OR(D730="Ongoing",D730="Unresolved"),1,0))))</x:f>
      </x:c>
      <x:c r="K730" s="16" t="str">
        <x:f>IF(J730="","",IF(J730=1,"Limited",IF(J730=2,"Local",IF(J730=3,"Significant",IF(J730=4,"High","Critical")))))</x:f>
      </x:c>
      <x:c r="L730" s="16" t="str">
        <x:f>IF(A730="","",Events!U729)</x:f>
      </x:c>
      <x:c r="M730" s="16" t="str">
        <x:f>IF(A730="","",Events!V729)</x:f>
      </x:c>
      <x:c r="N730" s="16" t="str">
        <x:f>IF(A730="","",Events!Q729)</x:f>
      </x:c>
      <x:c r="O730" s="16" t="str">
        <x:f>IF(A730="","",Events!R729)</x:f>
      </x:c>
      <x:c r="P730" s="16" t="str">
        <x:f>IF(A730="","",LOWER(Events!B729&amp;" "&amp;Events!D729&amp;" "&amp;Events!K729))</x:f>
      </x:c>
      <x:c r="Q730" s="16" t="str">
        <x:f>IF(A730="","",LOWER(Events!C729&amp;" "&amp;Events!K729&amp;" "&amp;Events!T729))</x:f>
      </x:c>
      <x:c r="R730" s="16" t="str">
        <x:f>IF(A730="","",IF(ISNUMBER(SEARCH("Occurrence verified",E730)),"Occurrence verified",E730))</x:f>
      </x:c>
      <x:c r="S730" s="79" t="str">
        <x:f>IF(A730="","",Events!X729)</x:f>
      </x:c>
      <x:c r="Z730" s="79" t="str">
        <x:f>IF(A730="","",Events!AD729)</x:f>
      </x:c>
      <x:c r="AA730" s="79" t="str">
        <x:f>IF(A730="","",Events!AE729)</x:f>
      </x:c>
    </x:row>
    <x:row r="731">
      <x:c r="A731" s="16" t="str">
        <x:f>IF(Events!A730="","",Events!A730)</x:f>
      </x:c>
      <x:c r="B731" s="16" t="str">
        <x:f>IF(A731="","",Events!B730)</x:f>
      </x:c>
      <x:c r="C731" s="16" t="str">
        <x:f>IF(A731="","",Events!E730)</x:f>
      </x:c>
      <x:c r="D731" s="16" t="str">
        <x:f>IF(A731="","",Events!J730)</x:f>
      </x:c>
      <x:c r="E731" s="16" t="str">
        <x:f>IF(A731="","",Events!N730)</x:f>
      </x:c>
      <x:c r="F731" s="109" t="str">
        <x:f>IF(OR(A731="",Events!H730=""),"",Events!H730)</x:f>
      </x:c>
      <x:c r="G731" s="109" t="str">
        <x:f>IF(A731="","",IF(Events!I730&lt;&gt;"",Events!I730,IF(Events!S730&lt;&gt;"",Events!S730,"")))</x:f>
      </x:c>
      <x:c r="H731" s="16" t="str">
        <x:f>IF(A731="","",Events!W730)</x:f>
      </x:c>
      <x:c r="I731" s="16" t="str">
        <x:f>IF(A731="","",IF(Events!Y730&lt;&gt;"",Events!Y730,IF(OR(ISNUMBER(SEARCH("education",P731)),ISNUMBER(SEARCH("exam",P731)),ISNUMBER(SEARCH("school",P731))),"Education",IF(OR(ISNUMBER(SEARCH("trade agreement",P731)),ISNUMBER(SEARCH("economic",P731)),ISNUMBER(SEARCH("import",P731))),"Trade &amp; economic policy",IF(OR(ISNUMBER(SEARCH("land acquisition",P731)),ISNUMBER(SEARCH("rehabilitation",P731)),ISNUMBER(SEARCH("displacement",P731)),ISNUMBER(SEARCH("township",P731))),"Land &amp; rehabilitation",IF(OR(ISNUMBER(SEARCH("forest",P731)),ISNUMBER(SEARCH("environment",P731)),ISNUMBER(SEARCH("ecological",P731)),ISNUMBER(SEARCH("biodiversity",P731)),ISNUMBER(SEARCH("green cover",P731))),"Environment",IF(OR(ISNUMBER(SEARCH("irrigation",P731)),ISNUMBER(SEARCH("water",P731)),ISNUMBER(SEARCH("crop",P731)),ISNUMBER(SEARCH("farmer",P731)),ISNUMBER(SEARCH("agriculture",P731))),"Agriculture &amp; water",IF(OR(ISNUMBER(SEARCH("health",P731)),ISNUMBER(SEARCH("hospital",P731)),ISNUMBER(SEARCH("medicine",P731))),"Public health",IF(OR(ISNUMBER(SEARCH("employee",P731)),ISNUMBER(SEARCH("labour",P731)),ISNUMBER(SEARCH("worker",P731)),ISNUMBER(SEARCH("salary",P731))),"Labour &amp; employment",IF(OR(ISNUMBER(SEARCH("rti",P731)),ISNUMBER(SEARCH("transparency",P731)),ISNUMBER(SEARCH("corruption",P731)),ISNUMBER(SEARCH("governance",P731))),"Governance &amp; transparency",IF(OR(ISNUMBER(SEARCH("police",P731)),ISNUMBER(SEARCH("detention",P731)),ISNUMBER(SEARCH("civil rights",P731)),ISNUMBER(SEARCH("justice",P731))),"Civil rights &amp; justice",IF(OR(ISNUMBER(SEARCH("road",P731)),ISNUMBER(SEARCH("utility",P731)),ISNUMBER(SEARCH("infrastructure",P731)),ISNUMBER(SEARCH("public service",P731))),"Infrastructure &amp; public services","Other"))))))))))))</x:f>
      </x:c>
      <x:c r="J731" s="16" t="str">
        <x:f>IF(A731="","",IF(OR(ISNUMBER(SEARCH("fatal",Q731)),ISNUMBER(SEARCH("death",Q731)),ISNUMBER(SEARCH("riot",Q731)),ISNUMBER(SEARCH("curfew",Q731)),ISNUMBER(SEARCH("internet shutdown",Q731))),5,MIN(4,1+IF(H731&gt;=7,1,0)+IF(OR(ISNUMBER(SEARCH("hunger strike",Q731)),ISNUMBER(SEARCH("blockade",Q731)),ISNUMBER(SEARCH("strike",Q731)),ISNUMBER(SEARCH("jal satyagraha",Q731)),ISNUMBER(SEARCH("survey",Q731)),ISNUMBER(SEARCH("human chain",Q731)),ISNUMBER(SEARCH("march",Q731))),1,0)+IF(OR(ISNUMBER(SEARCH("fir",Q731)),ISNUMBER(SEARCH("confrontation",Q731)),ISNUMBER(SEARCH("violence",Q731)),ISNUMBER(SEARCH("detention",Q731)),ISNUMBER(SEARCH("arrest",Q731)),ISNUMBER(SEARCH("demolition",Q731)),ISNUMBER(SEARCH("injury",Q731))),1,0)+IF(OR(D731="Ongoing",D731="Unresolved"),1,0))))</x:f>
      </x:c>
      <x:c r="K731" s="16" t="str">
        <x:f>IF(J731="","",IF(J731=1,"Limited",IF(J731=2,"Local",IF(J731=3,"Significant",IF(J731=4,"High","Critical")))))</x:f>
      </x:c>
      <x:c r="L731" s="16" t="str">
        <x:f>IF(A731="","",Events!U730)</x:f>
      </x:c>
      <x:c r="M731" s="16" t="str">
        <x:f>IF(A731="","",Events!V730)</x:f>
      </x:c>
      <x:c r="N731" s="16" t="str">
        <x:f>IF(A731="","",Events!Q730)</x:f>
      </x:c>
      <x:c r="O731" s="16" t="str">
        <x:f>IF(A731="","",Events!R730)</x:f>
      </x:c>
      <x:c r="P731" s="16" t="str">
        <x:f>IF(A731="","",LOWER(Events!B730&amp;" "&amp;Events!D730&amp;" "&amp;Events!K730))</x:f>
      </x:c>
      <x:c r="Q731" s="16" t="str">
        <x:f>IF(A731="","",LOWER(Events!C730&amp;" "&amp;Events!K730&amp;" "&amp;Events!T730))</x:f>
      </x:c>
      <x:c r="R731" s="16" t="str">
        <x:f>IF(A731="","",IF(ISNUMBER(SEARCH("Occurrence verified",E731)),"Occurrence verified",E731))</x:f>
      </x:c>
      <x:c r="S731" s="79" t="str">
        <x:f>IF(A731="","",Events!X730)</x:f>
      </x:c>
      <x:c r="Z731" s="79" t="str">
        <x:f>IF(A731="","",Events!AD730)</x:f>
      </x:c>
      <x:c r="AA731" s="79" t="str">
        <x:f>IF(A731="","",Events!AE730)</x:f>
      </x:c>
    </x:row>
    <x:row r="732">
      <x:c r="A732" s="16" t="str">
        <x:f>IF(Events!A731="","",Events!A731)</x:f>
      </x:c>
      <x:c r="B732" s="16" t="str">
        <x:f>IF(A732="","",Events!B731)</x:f>
      </x:c>
      <x:c r="C732" s="16" t="str">
        <x:f>IF(A732="","",Events!E731)</x:f>
      </x:c>
      <x:c r="D732" s="16" t="str">
        <x:f>IF(A732="","",Events!J731)</x:f>
      </x:c>
      <x:c r="E732" s="16" t="str">
        <x:f>IF(A732="","",Events!N731)</x:f>
      </x:c>
      <x:c r="F732" s="109" t="str">
        <x:f>IF(OR(A732="",Events!H731=""),"",Events!H731)</x:f>
      </x:c>
      <x:c r="G732" s="109" t="str">
        <x:f>IF(A732="","",IF(Events!I731&lt;&gt;"",Events!I731,IF(Events!S731&lt;&gt;"",Events!S731,"")))</x:f>
      </x:c>
      <x:c r="H732" s="16" t="str">
        <x:f>IF(A732="","",Events!W731)</x:f>
      </x:c>
      <x:c r="I732" s="16" t="str">
        <x:f>IF(A732="","",IF(Events!Y731&lt;&gt;"",Events!Y731,IF(OR(ISNUMBER(SEARCH("education",P732)),ISNUMBER(SEARCH("exam",P732)),ISNUMBER(SEARCH("school",P732))),"Education",IF(OR(ISNUMBER(SEARCH("trade agreement",P732)),ISNUMBER(SEARCH("economic",P732)),ISNUMBER(SEARCH("import",P732))),"Trade &amp; economic policy",IF(OR(ISNUMBER(SEARCH("land acquisition",P732)),ISNUMBER(SEARCH("rehabilitation",P732)),ISNUMBER(SEARCH("displacement",P732)),ISNUMBER(SEARCH("township",P732))),"Land &amp; rehabilitation",IF(OR(ISNUMBER(SEARCH("forest",P732)),ISNUMBER(SEARCH("environment",P732)),ISNUMBER(SEARCH("ecological",P732)),ISNUMBER(SEARCH("biodiversity",P732)),ISNUMBER(SEARCH("green cover",P732))),"Environment",IF(OR(ISNUMBER(SEARCH("irrigation",P732)),ISNUMBER(SEARCH("water",P732)),ISNUMBER(SEARCH("crop",P732)),ISNUMBER(SEARCH("farmer",P732)),ISNUMBER(SEARCH("agriculture",P732))),"Agriculture &amp; water",IF(OR(ISNUMBER(SEARCH("health",P732)),ISNUMBER(SEARCH("hospital",P732)),ISNUMBER(SEARCH("medicine",P732))),"Public health",IF(OR(ISNUMBER(SEARCH("employee",P732)),ISNUMBER(SEARCH("labour",P732)),ISNUMBER(SEARCH("worker",P732)),ISNUMBER(SEARCH("salary",P732))),"Labour &amp; employment",IF(OR(ISNUMBER(SEARCH("rti",P732)),ISNUMBER(SEARCH("transparency",P732)),ISNUMBER(SEARCH("corruption",P732)),ISNUMBER(SEARCH("governance",P732))),"Governance &amp; transparency",IF(OR(ISNUMBER(SEARCH("police",P732)),ISNUMBER(SEARCH("detention",P732)),ISNUMBER(SEARCH("civil rights",P732)),ISNUMBER(SEARCH("justice",P732))),"Civil rights &amp; justice",IF(OR(ISNUMBER(SEARCH("road",P732)),ISNUMBER(SEARCH("utility",P732)),ISNUMBER(SEARCH("infrastructure",P732)),ISNUMBER(SEARCH("public service",P732))),"Infrastructure &amp; public services","Other"))))))))))))</x:f>
      </x:c>
      <x:c r="J732" s="16" t="str">
        <x:f>IF(A732="","",IF(OR(ISNUMBER(SEARCH("fatal",Q732)),ISNUMBER(SEARCH("death",Q732)),ISNUMBER(SEARCH("riot",Q732)),ISNUMBER(SEARCH("curfew",Q732)),ISNUMBER(SEARCH("internet shutdown",Q732))),5,MIN(4,1+IF(H732&gt;=7,1,0)+IF(OR(ISNUMBER(SEARCH("hunger strike",Q732)),ISNUMBER(SEARCH("blockade",Q732)),ISNUMBER(SEARCH("strike",Q732)),ISNUMBER(SEARCH("jal satyagraha",Q732)),ISNUMBER(SEARCH("survey",Q732)),ISNUMBER(SEARCH("human chain",Q732)),ISNUMBER(SEARCH("march",Q732))),1,0)+IF(OR(ISNUMBER(SEARCH("fir",Q732)),ISNUMBER(SEARCH("confrontation",Q732)),ISNUMBER(SEARCH("violence",Q732)),ISNUMBER(SEARCH("detention",Q732)),ISNUMBER(SEARCH("arrest",Q732)),ISNUMBER(SEARCH("demolition",Q732)),ISNUMBER(SEARCH("injury",Q732))),1,0)+IF(OR(D732="Ongoing",D732="Unresolved"),1,0))))</x:f>
      </x:c>
      <x:c r="K732" s="16" t="str">
        <x:f>IF(J732="","",IF(J732=1,"Limited",IF(J732=2,"Local",IF(J732=3,"Significant",IF(J732=4,"High","Critical")))))</x:f>
      </x:c>
      <x:c r="L732" s="16" t="str">
        <x:f>IF(A732="","",Events!U731)</x:f>
      </x:c>
      <x:c r="M732" s="16" t="str">
        <x:f>IF(A732="","",Events!V731)</x:f>
      </x:c>
      <x:c r="N732" s="16" t="str">
        <x:f>IF(A732="","",Events!Q731)</x:f>
      </x:c>
      <x:c r="O732" s="16" t="str">
        <x:f>IF(A732="","",Events!R731)</x:f>
      </x:c>
      <x:c r="P732" s="16" t="str">
        <x:f>IF(A732="","",LOWER(Events!B731&amp;" "&amp;Events!D731&amp;" "&amp;Events!K731))</x:f>
      </x:c>
      <x:c r="Q732" s="16" t="str">
        <x:f>IF(A732="","",LOWER(Events!C731&amp;" "&amp;Events!K731&amp;" "&amp;Events!T731))</x:f>
      </x:c>
      <x:c r="R732" s="16" t="str">
        <x:f>IF(A732="","",IF(ISNUMBER(SEARCH("Occurrence verified",E732)),"Occurrence verified",E732))</x:f>
      </x:c>
      <x:c r="S732" s="79" t="str">
        <x:f>IF(A732="","",Events!X731)</x:f>
      </x:c>
      <x:c r="Z732" s="79" t="str">
        <x:f>IF(A732="","",Events!AD731)</x:f>
      </x:c>
      <x:c r="AA732" s="79" t="str">
        <x:f>IF(A732="","",Events!AE731)</x:f>
      </x:c>
    </x:row>
    <x:row r="733">
      <x:c r="A733" s="16" t="str">
        <x:f>IF(Events!A732="","",Events!A732)</x:f>
      </x:c>
      <x:c r="B733" s="16" t="str">
        <x:f>IF(A733="","",Events!B732)</x:f>
      </x:c>
      <x:c r="C733" s="16" t="str">
        <x:f>IF(A733="","",Events!E732)</x:f>
      </x:c>
      <x:c r="D733" s="16" t="str">
        <x:f>IF(A733="","",Events!J732)</x:f>
      </x:c>
      <x:c r="E733" s="16" t="str">
        <x:f>IF(A733="","",Events!N732)</x:f>
      </x:c>
      <x:c r="F733" s="109" t="str">
        <x:f>IF(OR(A733="",Events!H732=""),"",Events!H732)</x:f>
      </x:c>
      <x:c r="G733" s="109" t="str">
        <x:f>IF(A733="","",IF(Events!I732&lt;&gt;"",Events!I732,IF(Events!S732&lt;&gt;"",Events!S732,"")))</x:f>
      </x:c>
      <x:c r="H733" s="16" t="str">
        <x:f>IF(A733="","",Events!W732)</x:f>
      </x:c>
      <x:c r="I733" s="16" t="str">
        <x:f>IF(A733="","",IF(Events!Y732&lt;&gt;"",Events!Y732,IF(OR(ISNUMBER(SEARCH("education",P733)),ISNUMBER(SEARCH("exam",P733)),ISNUMBER(SEARCH("school",P733))),"Education",IF(OR(ISNUMBER(SEARCH("trade agreement",P733)),ISNUMBER(SEARCH("economic",P733)),ISNUMBER(SEARCH("import",P733))),"Trade &amp; economic policy",IF(OR(ISNUMBER(SEARCH("land acquisition",P733)),ISNUMBER(SEARCH("rehabilitation",P733)),ISNUMBER(SEARCH("displacement",P733)),ISNUMBER(SEARCH("township",P733))),"Land &amp; rehabilitation",IF(OR(ISNUMBER(SEARCH("forest",P733)),ISNUMBER(SEARCH("environment",P733)),ISNUMBER(SEARCH("ecological",P733)),ISNUMBER(SEARCH("biodiversity",P733)),ISNUMBER(SEARCH("green cover",P733))),"Environment",IF(OR(ISNUMBER(SEARCH("irrigation",P733)),ISNUMBER(SEARCH("water",P733)),ISNUMBER(SEARCH("crop",P733)),ISNUMBER(SEARCH("farmer",P733)),ISNUMBER(SEARCH("agriculture",P733))),"Agriculture &amp; water",IF(OR(ISNUMBER(SEARCH("health",P733)),ISNUMBER(SEARCH("hospital",P733)),ISNUMBER(SEARCH("medicine",P733))),"Public health",IF(OR(ISNUMBER(SEARCH("employee",P733)),ISNUMBER(SEARCH("labour",P733)),ISNUMBER(SEARCH("worker",P733)),ISNUMBER(SEARCH("salary",P733))),"Labour &amp; employment",IF(OR(ISNUMBER(SEARCH("rti",P733)),ISNUMBER(SEARCH("transparency",P733)),ISNUMBER(SEARCH("corruption",P733)),ISNUMBER(SEARCH("governance",P733))),"Governance &amp; transparency",IF(OR(ISNUMBER(SEARCH("police",P733)),ISNUMBER(SEARCH("detention",P733)),ISNUMBER(SEARCH("civil rights",P733)),ISNUMBER(SEARCH("justice",P733))),"Civil rights &amp; justice",IF(OR(ISNUMBER(SEARCH("road",P733)),ISNUMBER(SEARCH("utility",P733)),ISNUMBER(SEARCH("infrastructure",P733)),ISNUMBER(SEARCH("public service",P733))),"Infrastructure &amp; public services","Other"))))))))))))</x:f>
      </x:c>
      <x:c r="J733" s="16" t="str">
        <x:f>IF(A733="","",IF(OR(ISNUMBER(SEARCH("fatal",Q733)),ISNUMBER(SEARCH("death",Q733)),ISNUMBER(SEARCH("riot",Q733)),ISNUMBER(SEARCH("curfew",Q733)),ISNUMBER(SEARCH("internet shutdown",Q733))),5,MIN(4,1+IF(H733&gt;=7,1,0)+IF(OR(ISNUMBER(SEARCH("hunger strike",Q733)),ISNUMBER(SEARCH("blockade",Q733)),ISNUMBER(SEARCH("strike",Q733)),ISNUMBER(SEARCH("jal satyagraha",Q733)),ISNUMBER(SEARCH("survey",Q733)),ISNUMBER(SEARCH("human chain",Q733)),ISNUMBER(SEARCH("march",Q733))),1,0)+IF(OR(ISNUMBER(SEARCH("fir",Q733)),ISNUMBER(SEARCH("confrontation",Q733)),ISNUMBER(SEARCH("violence",Q733)),ISNUMBER(SEARCH("detention",Q733)),ISNUMBER(SEARCH("arrest",Q733)),ISNUMBER(SEARCH("demolition",Q733)),ISNUMBER(SEARCH("injury",Q733))),1,0)+IF(OR(D733="Ongoing",D733="Unresolved"),1,0))))</x:f>
      </x:c>
      <x:c r="K733" s="16" t="str">
        <x:f>IF(J733="","",IF(J733=1,"Limited",IF(J733=2,"Local",IF(J733=3,"Significant",IF(J733=4,"High","Critical")))))</x:f>
      </x:c>
      <x:c r="L733" s="16" t="str">
        <x:f>IF(A733="","",Events!U732)</x:f>
      </x:c>
      <x:c r="M733" s="16" t="str">
        <x:f>IF(A733="","",Events!V732)</x:f>
      </x:c>
      <x:c r="N733" s="16" t="str">
        <x:f>IF(A733="","",Events!Q732)</x:f>
      </x:c>
      <x:c r="O733" s="16" t="str">
        <x:f>IF(A733="","",Events!R732)</x:f>
      </x:c>
      <x:c r="P733" s="16" t="str">
        <x:f>IF(A733="","",LOWER(Events!B732&amp;" "&amp;Events!D732&amp;" "&amp;Events!K732))</x:f>
      </x:c>
      <x:c r="Q733" s="16" t="str">
        <x:f>IF(A733="","",LOWER(Events!C732&amp;" "&amp;Events!K732&amp;" "&amp;Events!T732))</x:f>
      </x:c>
      <x:c r="R733" s="16" t="str">
        <x:f>IF(A733="","",IF(ISNUMBER(SEARCH("Occurrence verified",E733)),"Occurrence verified",E733))</x:f>
      </x:c>
      <x:c r="S733" s="79" t="str">
        <x:f>IF(A733="","",Events!X732)</x:f>
      </x:c>
      <x:c r="Z733" s="79" t="str">
        <x:f>IF(A733="","",Events!AD732)</x:f>
      </x:c>
      <x:c r="AA733" s="79" t="str">
        <x:f>IF(A733="","",Events!AE732)</x:f>
      </x:c>
    </x:row>
    <x:row r="734">
      <x:c r="A734" s="16" t="str">
        <x:f>IF(Events!A733="","",Events!A733)</x:f>
      </x:c>
      <x:c r="B734" s="16" t="str">
        <x:f>IF(A734="","",Events!B733)</x:f>
      </x:c>
      <x:c r="C734" s="16" t="str">
        <x:f>IF(A734="","",Events!E733)</x:f>
      </x:c>
      <x:c r="D734" s="16" t="str">
        <x:f>IF(A734="","",Events!J733)</x:f>
      </x:c>
      <x:c r="E734" s="16" t="str">
        <x:f>IF(A734="","",Events!N733)</x:f>
      </x:c>
      <x:c r="F734" s="109" t="str">
        <x:f>IF(OR(A734="",Events!H733=""),"",Events!H733)</x:f>
      </x:c>
      <x:c r="G734" s="109" t="str">
        <x:f>IF(A734="","",IF(Events!I733&lt;&gt;"",Events!I733,IF(Events!S733&lt;&gt;"",Events!S733,"")))</x:f>
      </x:c>
      <x:c r="H734" s="16" t="str">
        <x:f>IF(A734="","",Events!W733)</x:f>
      </x:c>
      <x:c r="I734" s="16" t="str">
        <x:f>IF(A734="","",IF(Events!Y733&lt;&gt;"",Events!Y733,IF(OR(ISNUMBER(SEARCH("education",P734)),ISNUMBER(SEARCH("exam",P734)),ISNUMBER(SEARCH("school",P734))),"Education",IF(OR(ISNUMBER(SEARCH("trade agreement",P734)),ISNUMBER(SEARCH("economic",P734)),ISNUMBER(SEARCH("import",P734))),"Trade &amp; economic policy",IF(OR(ISNUMBER(SEARCH("land acquisition",P734)),ISNUMBER(SEARCH("rehabilitation",P734)),ISNUMBER(SEARCH("displacement",P734)),ISNUMBER(SEARCH("township",P734))),"Land &amp; rehabilitation",IF(OR(ISNUMBER(SEARCH("forest",P734)),ISNUMBER(SEARCH("environment",P734)),ISNUMBER(SEARCH("ecological",P734)),ISNUMBER(SEARCH("biodiversity",P734)),ISNUMBER(SEARCH("green cover",P734))),"Environment",IF(OR(ISNUMBER(SEARCH("irrigation",P734)),ISNUMBER(SEARCH("water",P734)),ISNUMBER(SEARCH("crop",P734)),ISNUMBER(SEARCH("farmer",P734)),ISNUMBER(SEARCH("agriculture",P734))),"Agriculture &amp; water",IF(OR(ISNUMBER(SEARCH("health",P734)),ISNUMBER(SEARCH("hospital",P734)),ISNUMBER(SEARCH("medicine",P734))),"Public health",IF(OR(ISNUMBER(SEARCH("employee",P734)),ISNUMBER(SEARCH("labour",P734)),ISNUMBER(SEARCH("worker",P734)),ISNUMBER(SEARCH("salary",P734))),"Labour &amp; employment",IF(OR(ISNUMBER(SEARCH("rti",P734)),ISNUMBER(SEARCH("transparency",P734)),ISNUMBER(SEARCH("corruption",P734)),ISNUMBER(SEARCH("governance",P734))),"Governance &amp; transparency",IF(OR(ISNUMBER(SEARCH("police",P734)),ISNUMBER(SEARCH("detention",P734)),ISNUMBER(SEARCH("civil rights",P734)),ISNUMBER(SEARCH("justice",P734))),"Civil rights &amp; justice",IF(OR(ISNUMBER(SEARCH("road",P734)),ISNUMBER(SEARCH("utility",P734)),ISNUMBER(SEARCH("infrastructure",P734)),ISNUMBER(SEARCH("public service",P734))),"Infrastructure &amp; public services","Other"))))))))))))</x:f>
      </x:c>
      <x:c r="J734" s="16" t="str">
        <x:f>IF(A734="","",IF(OR(ISNUMBER(SEARCH("fatal",Q734)),ISNUMBER(SEARCH("death",Q734)),ISNUMBER(SEARCH("riot",Q734)),ISNUMBER(SEARCH("curfew",Q734)),ISNUMBER(SEARCH("internet shutdown",Q734))),5,MIN(4,1+IF(H734&gt;=7,1,0)+IF(OR(ISNUMBER(SEARCH("hunger strike",Q734)),ISNUMBER(SEARCH("blockade",Q734)),ISNUMBER(SEARCH("strike",Q734)),ISNUMBER(SEARCH("jal satyagraha",Q734)),ISNUMBER(SEARCH("survey",Q734)),ISNUMBER(SEARCH("human chain",Q734)),ISNUMBER(SEARCH("march",Q734))),1,0)+IF(OR(ISNUMBER(SEARCH("fir",Q734)),ISNUMBER(SEARCH("confrontation",Q734)),ISNUMBER(SEARCH("violence",Q734)),ISNUMBER(SEARCH("detention",Q734)),ISNUMBER(SEARCH("arrest",Q734)),ISNUMBER(SEARCH("demolition",Q734)),ISNUMBER(SEARCH("injury",Q734))),1,0)+IF(OR(D734="Ongoing",D734="Unresolved"),1,0))))</x:f>
      </x:c>
      <x:c r="K734" s="16" t="str">
        <x:f>IF(J734="","",IF(J734=1,"Limited",IF(J734=2,"Local",IF(J734=3,"Significant",IF(J734=4,"High","Critical")))))</x:f>
      </x:c>
      <x:c r="L734" s="16" t="str">
        <x:f>IF(A734="","",Events!U733)</x:f>
      </x:c>
      <x:c r="M734" s="16" t="str">
        <x:f>IF(A734="","",Events!V733)</x:f>
      </x:c>
      <x:c r="N734" s="16" t="str">
        <x:f>IF(A734="","",Events!Q733)</x:f>
      </x:c>
      <x:c r="O734" s="16" t="str">
        <x:f>IF(A734="","",Events!R733)</x:f>
      </x:c>
      <x:c r="P734" s="16" t="str">
        <x:f>IF(A734="","",LOWER(Events!B733&amp;" "&amp;Events!D733&amp;" "&amp;Events!K733))</x:f>
      </x:c>
      <x:c r="Q734" s="16" t="str">
        <x:f>IF(A734="","",LOWER(Events!C733&amp;" "&amp;Events!K733&amp;" "&amp;Events!T733))</x:f>
      </x:c>
      <x:c r="R734" s="16" t="str">
        <x:f>IF(A734="","",IF(ISNUMBER(SEARCH("Occurrence verified",E734)),"Occurrence verified",E734))</x:f>
      </x:c>
      <x:c r="S734" s="79" t="str">
        <x:f>IF(A734="","",Events!X733)</x:f>
      </x:c>
      <x:c r="Z734" s="79" t="str">
        <x:f>IF(A734="","",Events!AD733)</x:f>
      </x:c>
      <x:c r="AA734" s="79" t="str">
        <x:f>IF(A734="","",Events!AE733)</x:f>
      </x:c>
    </x:row>
    <x:row r="735">
      <x:c r="A735" s="16" t="str">
        <x:f>IF(Events!A734="","",Events!A734)</x:f>
      </x:c>
      <x:c r="B735" s="16" t="str">
        <x:f>IF(A735="","",Events!B734)</x:f>
      </x:c>
      <x:c r="C735" s="16" t="str">
        <x:f>IF(A735="","",Events!E734)</x:f>
      </x:c>
      <x:c r="D735" s="16" t="str">
        <x:f>IF(A735="","",Events!J734)</x:f>
      </x:c>
      <x:c r="E735" s="16" t="str">
        <x:f>IF(A735="","",Events!N734)</x:f>
      </x:c>
      <x:c r="F735" s="109" t="str">
        <x:f>IF(OR(A735="",Events!H734=""),"",Events!H734)</x:f>
      </x:c>
      <x:c r="G735" s="109" t="str">
        <x:f>IF(A735="","",IF(Events!I734&lt;&gt;"",Events!I734,IF(Events!S734&lt;&gt;"",Events!S734,"")))</x:f>
      </x:c>
      <x:c r="H735" s="16" t="str">
        <x:f>IF(A735="","",Events!W734)</x:f>
      </x:c>
      <x:c r="I735" s="16" t="str">
        <x:f>IF(A735="","",IF(Events!Y734&lt;&gt;"",Events!Y734,IF(OR(ISNUMBER(SEARCH("education",P735)),ISNUMBER(SEARCH("exam",P735)),ISNUMBER(SEARCH("school",P735))),"Education",IF(OR(ISNUMBER(SEARCH("trade agreement",P735)),ISNUMBER(SEARCH("economic",P735)),ISNUMBER(SEARCH("import",P735))),"Trade &amp; economic policy",IF(OR(ISNUMBER(SEARCH("land acquisition",P735)),ISNUMBER(SEARCH("rehabilitation",P735)),ISNUMBER(SEARCH("displacement",P735)),ISNUMBER(SEARCH("township",P735))),"Land &amp; rehabilitation",IF(OR(ISNUMBER(SEARCH("forest",P735)),ISNUMBER(SEARCH("environment",P735)),ISNUMBER(SEARCH("ecological",P735)),ISNUMBER(SEARCH("biodiversity",P735)),ISNUMBER(SEARCH("green cover",P735))),"Environment",IF(OR(ISNUMBER(SEARCH("irrigation",P735)),ISNUMBER(SEARCH("water",P735)),ISNUMBER(SEARCH("crop",P735)),ISNUMBER(SEARCH("farmer",P735)),ISNUMBER(SEARCH("agriculture",P735))),"Agriculture &amp; water",IF(OR(ISNUMBER(SEARCH("health",P735)),ISNUMBER(SEARCH("hospital",P735)),ISNUMBER(SEARCH("medicine",P735))),"Public health",IF(OR(ISNUMBER(SEARCH("employee",P735)),ISNUMBER(SEARCH("labour",P735)),ISNUMBER(SEARCH("worker",P735)),ISNUMBER(SEARCH("salary",P735))),"Labour &amp; employment",IF(OR(ISNUMBER(SEARCH("rti",P735)),ISNUMBER(SEARCH("transparency",P735)),ISNUMBER(SEARCH("corruption",P735)),ISNUMBER(SEARCH("governance",P735))),"Governance &amp; transparency",IF(OR(ISNUMBER(SEARCH("police",P735)),ISNUMBER(SEARCH("detention",P735)),ISNUMBER(SEARCH("civil rights",P735)),ISNUMBER(SEARCH("justice",P735))),"Civil rights &amp; justice",IF(OR(ISNUMBER(SEARCH("road",P735)),ISNUMBER(SEARCH("utility",P735)),ISNUMBER(SEARCH("infrastructure",P735)),ISNUMBER(SEARCH("public service",P735))),"Infrastructure &amp; public services","Other"))))))))))))</x:f>
      </x:c>
      <x:c r="J735" s="16" t="str">
        <x:f>IF(A735="","",IF(OR(ISNUMBER(SEARCH("fatal",Q735)),ISNUMBER(SEARCH("death",Q735)),ISNUMBER(SEARCH("riot",Q735)),ISNUMBER(SEARCH("curfew",Q735)),ISNUMBER(SEARCH("internet shutdown",Q735))),5,MIN(4,1+IF(H735&gt;=7,1,0)+IF(OR(ISNUMBER(SEARCH("hunger strike",Q735)),ISNUMBER(SEARCH("blockade",Q735)),ISNUMBER(SEARCH("strike",Q735)),ISNUMBER(SEARCH("jal satyagraha",Q735)),ISNUMBER(SEARCH("survey",Q735)),ISNUMBER(SEARCH("human chain",Q735)),ISNUMBER(SEARCH("march",Q735))),1,0)+IF(OR(ISNUMBER(SEARCH("fir",Q735)),ISNUMBER(SEARCH("confrontation",Q735)),ISNUMBER(SEARCH("violence",Q735)),ISNUMBER(SEARCH("detention",Q735)),ISNUMBER(SEARCH("arrest",Q735)),ISNUMBER(SEARCH("demolition",Q735)),ISNUMBER(SEARCH("injury",Q735))),1,0)+IF(OR(D735="Ongoing",D735="Unresolved"),1,0))))</x:f>
      </x:c>
      <x:c r="K735" s="16" t="str">
        <x:f>IF(J735="","",IF(J735=1,"Limited",IF(J735=2,"Local",IF(J735=3,"Significant",IF(J735=4,"High","Critical")))))</x:f>
      </x:c>
      <x:c r="L735" s="16" t="str">
        <x:f>IF(A735="","",Events!U734)</x:f>
      </x:c>
      <x:c r="M735" s="16" t="str">
        <x:f>IF(A735="","",Events!V734)</x:f>
      </x:c>
      <x:c r="N735" s="16" t="str">
        <x:f>IF(A735="","",Events!Q734)</x:f>
      </x:c>
      <x:c r="O735" s="16" t="str">
        <x:f>IF(A735="","",Events!R734)</x:f>
      </x:c>
      <x:c r="P735" s="16" t="str">
        <x:f>IF(A735="","",LOWER(Events!B734&amp;" "&amp;Events!D734&amp;" "&amp;Events!K734))</x:f>
      </x:c>
      <x:c r="Q735" s="16" t="str">
        <x:f>IF(A735="","",LOWER(Events!C734&amp;" "&amp;Events!K734&amp;" "&amp;Events!T734))</x:f>
      </x:c>
      <x:c r="R735" s="16" t="str">
        <x:f>IF(A735="","",IF(ISNUMBER(SEARCH("Occurrence verified",E735)),"Occurrence verified",E735))</x:f>
      </x:c>
      <x:c r="S735" s="79" t="str">
        <x:f>IF(A735="","",Events!X734)</x:f>
      </x:c>
      <x:c r="Z735" s="79" t="str">
        <x:f>IF(A735="","",Events!AD734)</x:f>
      </x:c>
      <x:c r="AA735" s="79" t="str">
        <x:f>IF(A735="","",Events!AE734)</x:f>
      </x:c>
    </x:row>
    <x:row r="736">
      <x:c r="A736" s="16" t="str">
        <x:f>IF(Events!A735="","",Events!A735)</x:f>
      </x:c>
      <x:c r="B736" s="16" t="str">
        <x:f>IF(A736="","",Events!B735)</x:f>
      </x:c>
      <x:c r="C736" s="16" t="str">
        <x:f>IF(A736="","",Events!E735)</x:f>
      </x:c>
      <x:c r="D736" s="16" t="str">
        <x:f>IF(A736="","",Events!J735)</x:f>
      </x:c>
      <x:c r="E736" s="16" t="str">
        <x:f>IF(A736="","",Events!N735)</x:f>
      </x:c>
      <x:c r="F736" s="109" t="str">
        <x:f>IF(OR(A736="",Events!H735=""),"",Events!H735)</x:f>
      </x:c>
      <x:c r="G736" s="109" t="str">
        <x:f>IF(A736="","",IF(Events!I735&lt;&gt;"",Events!I735,IF(Events!S735&lt;&gt;"",Events!S735,"")))</x:f>
      </x:c>
      <x:c r="H736" s="16" t="str">
        <x:f>IF(A736="","",Events!W735)</x:f>
      </x:c>
      <x:c r="I736" s="16" t="str">
        <x:f>IF(A736="","",IF(Events!Y735&lt;&gt;"",Events!Y735,IF(OR(ISNUMBER(SEARCH("education",P736)),ISNUMBER(SEARCH("exam",P736)),ISNUMBER(SEARCH("school",P736))),"Education",IF(OR(ISNUMBER(SEARCH("trade agreement",P736)),ISNUMBER(SEARCH("economic",P736)),ISNUMBER(SEARCH("import",P736))),"Trade &amp; economic policy",IF(OR(ISNUMBER(SEARCH("land acquisition",P736)),ISNUMBER(SEARCH("rehabilitation",P736)),ISNUMBER(SEARCH("displacement",P736)),ISNUMBER(SEARCH("township",P736))),"Land &amp; rehabilitation",IF(OR(ISNUMBER(SEARCH("forest",P736)),ISNUMBER(SEARCH("environment",P736)),ISNUMBER(SEARCH("ecological",P736)),ISNUMBER(SEARCH("biodiversity",P736)),ISNUMBER(SEARCH("green cover",P736))),"Environment",IF(OR(ISNUMBER(SEARCH("irrigation",P736)),ISNUMBER(SEARCH("water",P736)),ISNUMBER(SEARCH("crop",P736)),ISNUMBER(SEARCH("farmer",P736)),ISNUMBER(SEARCH("agriculture",P736))),"Agriculture &amp; water",IF(OR(ISNUMBER(SEARCH("health",P736)),ISNUMBER(SEARCH("hospital",P736)),ISNUMBER(SEARCH("medicine",P736))),"Public health",IF(OR(ISNUMBER(SEARCH("employee",P736)),ISNUMBER(SEARCH("labour",P736)),ISNUMBER(SEARCH("worker",P736)),ISNUMBER(SEARCH("salary",P736))),"Labour &amp; employment",IF(OR(ISNUMBER(SEARCH("rti",P736)),ISNUMBER(SEARCH("transparency",P736)),ISNUMBER(SEARCH("corruption",P736)),ISNUMBER(SEARCH("governance",P736))),"Governance &amp; transparency",IF(OR(ISNUMBER(SEARCH("police",P736)),ISNUMBER(SEARCH("detention",P736)),ISNUMBER(SEARCH("civil rights",P736)),ISNUMBER(SEARCH("justice",P736))),"Civil rights &amp; justice",IF(OR(ISNUMBER(SEARCH("road",P736)),ISNUMBER(SEARCH("utility",P736)),ISNUMBER(SEARCH("infrastructure",P736)),ISNUMBER(SEARCH("public service",P736))),"Infrastructure &amp; public services","Other"))))))))))))</x:f>
      </x:c>
      <x:c r="J736" s="16" t="str">
        <x:f>IF(A736="","",IF(OR(ISNUMBER(SEARCH("fatal",Q736)),ISNUMBER(SEARCH("death",Q736)),ISNUMBER(SEARCH("riot",Q736)),ISNUMBER(SEARCH("curfew",Q736)),ISNUMBER(SEARCH("internet shutdown",Q736))),5,MIN(4,1+IF(H736&gt;=7,1,0)+IF(OR(ISNUMBER(SEARCH("hunger strike",Q736)),ISNUMBER(SEARCH("blockade",Q736)),ISNUMBER(SEARCH("strike",Q736)),ISNUMBER(SEARCH("jal satyagraha",Q736)),ISNUMBER(SEARCH("survey",Q736)),ISNUMBER(SEARCH("human chain",Q736)),ISNUMBER(SEARCH("march",Q736))),1,0)+IF(OR(ISNUMBER(SEARCH("fir",Q736)),ISNUMBER(SEARCH("confrontation",Q736)),ISNUMBER(SEARCH("violence",Q736)),ISNUMBER(SEARCH("detention",Q736)),ISNUMBER(SEARCH("arrest",Q736)),ISNUMBER(SEARCH("demolition",Q736)),ISNUMBER(SEARCH("injury",Q736))),1,0)+IF(OR(D736="Ongoing",D736="Unresolved"),1,0))))</x:f>
      </x:c>
      <x:c r="K736" s="16" t="str">
        <x:f>IF(J736="","",IF(J736=1,"Limited",IF(J736=2,"Local",IF(J736=3,"Significant",IF(J736=4,"High","Critical")))))</x:f>
      </x:c>
      <x:c r="L736" s="16" t="str">
        <x:f>IF(A736="","",Events!U735)</x:f>
      </x:c>
      <x:c r="M736" s="16" t="str">
        <x:f>IF(A736="","",Events!V735)</x:f>
      </x:c>
      <x:c r="N736" s="16" t="str">
        <x:f>IF(A736="","",Events!Q735)</x:f>
      </x:c>
      <x:c r="O736" s="16" t="str">
        <x:f>IF(A736="","",Events!R735)</x:f>
      </x:c>
      <x:c r="P736" s="16" t="str">
        <x:f>IF(A736="","",LOWER(Events!B735&amp;" "&amp;Events!D735&amp;" "&amp;Events!K735))</x:f>
      </x:c>
      <x:c r="Q736" s="16" t="str">
        <x:f>IF(A736="","",LOWER(Events!C735&amp;" "&amp;Events!K735&amp;" "&amp;Events!T735))</x:f>
      </x:c>
      <x:c r="R736" s="16" t="str">
        <x:f>IF(A736="","",IF(ISNUMBER(SEARCH("Occurrence verified",E736)),"Occurrence verified",E736))</x:f>
      </x:c>
      <x:c r="S736" s="79" t="str">
        <x:f>IF(A736="","",Events!X735)</x:f>
      </x:c>
      <x:c r="Z736" s="79" t="str">
        <x:f>IF(A736="","",Events!AD735)</x:f>
      </x:c>
      <x:c r="AA736" s="79" t="str">
        <x:f>IF(A736="","",Events!AE735)</x:f>
      </x:c>
    </x:row>
    <x:row r="737">
      <x:c r="A737" s="16" t="str">
        <x:f>IF(Events!A736="","",Events!A736)</x:f>
      </x:c>
      <x:c r="B737" s="16" t="str">
        <x:f>IF(A737="","",Events!B736)</x:f>
      </x:c>
      <x:c r="C737" s="16" t="str">
        <x:f>IF(A737="","",Events!E736)</x:f>
      </x:c>
      <x:c r="D737" s="16" t="str">
        <x:f>IF(A737="","",Events!J736)</x:f>
      </x:c>
      <x:c r="E737" s="16" t="str">
        <x:f>IF(A737="","",Events!N736)</x:f>
      </x:c>
      <x:c r="F737" s="109" t="str">
        <x:f>IF(OR(A737="",Events!H736=""),"",Events!H736)</x:f>
      </x:c>
      <x:c r="G737" s="109" t="str">
        <x:f>IF(A737="","",IF(Events!I736&lt;&gt;"",Events!I736,IF(Events!S736&lt;&gt;"",Events!S736,"")))</x:f>
      </x:c>
      <x:c r="H737" s="16" t="str">
        <x:f>IF(A737="","",Events!W736)</x:f>
      </x:c>
      <x:c r="I737" s="16" t="str">
        <x:f>IF(A737="","",IF(Events!Y736&lt;&gt;"",Events!Y736,IF(OR(ISNUMBER(SEARCH("education",P737)),ISNUMBER(SEARCH("exam",P737)),ISNUMBER(SEARCH("school",P737))),"Education",IF(OR(ISNUMBER(SEARCH("trade agreement",P737)),ISNUMBER(SEARCH("economic",P737)),ISNUMBER(SEARCH("import",P737))),"Trade &amp; economic policy",IF(OR(ISNUMBER(SEARCH("land acquisition",P737)),ISNUMBER(SEARCH("rehabilitation",P737)),ISNUMBER(SEARCH("displacement",P737)),ISNUMBER(SEARCH("township",P737))),"Land &amp; rehabilitation",IF(OR(ISNUMBER(SEARCH("forest",P737)),ISNUMBER(SEARCH("environment",P737)),ISNUMBER(SEARCH("ecological",P737)),ISNUMBER(SEARCH("biodiversity",P737)),ISNUMBER(SEARCH("green cover",P737))),"Environment",IF(OR(ISNUMBER(SEARCH("irrigation",P737)),ISNUMBER(SEARCH("water",P737)),ISNUMBER(SEARCH("crop",P737)),ISNUMBER(SEARCH("farmer",P737)),ISNUMBER(SEARCH("agriculture",P737))),"Agriculture &amp; water",IF(OR(ISNUMBER(SEARCH("health",P737)),ISNUMBER(SEARCH("hospital",P737)),ISNUMBER(SEARCH("medicine",P737))),"Public health",IF(OR(ISNUMBER(SEARCH("employee",P737)),ISNUMBER(SEARCH("labour",P737)),ISNUMBER(SEARCH("worker",P737)),ISNUMBER(SEARCH("salary",P737))),"Labour &amp; employment",IF(OR(ISNUMBER(SEARCH("rti",P737)),ISNUMBER(SEARCH("transparency",P737)),ISNUMBER(SEARCH("corruption",P737)),ISNUMBER(SEARCH("governance",P737))),"Governance &amp; transparency",IF(OR(ISNUMBER(SEARCH("police",P737)),ISNUMBER(SEARCH("detention",P737)),ISNUMBER(SEARCH("civil rights",P737)),ISNUMBER(SEARCH("justice",P737))),"Civil rights &amp; justice",IF(OR(ISNUMBER(SEARCH("road",P737)),ISNUMBER(SEARCH("utility",P737)),ISNUMBER(SEARCH("infrastructure",P737)),ISNUMBER(SEARCH("public service",P737))),"Infrastructure &amp; public services","Other"))))))))))))</x:f>
      </x:c>
      <x:c r="J737" s="16" t="str">
        <x:f>IF(A737="","",IF(OR(ISNUMBER(SEARCH("fatal",Q737)),ISNUMBER(SEARCH("death",Q737)),ISNUMBER(SEARCH("riot",Q737)),ISNUMBER(SEARCH("curfew",Q737)),ISNUMBER(SEARCH("internet shutdown",Q737))),5,MIN(4,1+IF(H737&gt;=7,1,0)+IF(OR(ISNUMBER(SEARCH("hunger strike",Q737)),ISNUMBER(SEARCH("blockade",Q737)),ISNUMBER(SEARCH("strike",Q737)),ISNUMBER(SEARCH("jal satyagraha",Q737)),ISNUMBER(SEARCH("survey",Q737)),ISNUMBER(SEARCH("human chain",Q737)),ISNUMBER(SEARCH("march",Q737))),1,0)+IF(OR(ISNUMBER(SEARCH("fir",Q737)),ISNUMBER(SEARCH("confrontation",Q737)),ISNUMBER(SEARCH("violence",Q737)),ISNUMBER(SEARCH("detention",Q737)),ISNUMBER(SEARCH("arrest",Q737)),ISNUMBER(SEARCH("demolition",Q737)),ISNUMBER(SEARCH("injury",Q737))),1,0)+IF(OR(D737="Ongoing",D737="Unresolved"),1,0))))</x:f>
      </x:c>
      <x:c r="K737" s="16" t="str">
        <x:f>IF(J737="","",IF(J737=1,"Limited",IF(J737=2,"Local",IF(J737=3,"Significant",IF(J737=4,"High","Critical")))))</x:f>
      </x:c>
      <x:c r="L737" s="16" t="str">
        <x:f>IF(A737="","",Events!U736)</x:f>
      </x:c>
      <x:c r="M737" s="16" t="str">
        <x:f>IF(A737="","",Events!V736)</x:f>
      </x:c>
      <x:c r="N737" s="16" t="str">
        <x:f>IF(A737="","",Events!Q736)</x:f>
      </x:c>
      <x:c r="O737" s="16" t="str">
        <x:f>IF(A737="","",Events!R736)</x:f>
      </x:c>
      <x:c r="P737" s="16" t="str">
        <x:f>IF(A737="","",LOWER(Events!B736&amp;" "&amp;Events!D736&amp;" "&amp;Events!K736))</x:f>
      </x:c>
      <x:c r="Q737" s="16" t="str">
        <x:f>IF(A737="","",LOWER(Events!C736&amp;" "&amp;Events!K736&amp;" "&amp;Events!T736))</x:f>
      </x:c>
      <x:c r="R737" s="16" t="str">
        <x:f>IF(A737="","",IF(ISNUMBER(SEARCH("Occurrence verified",E737)),"Occurrence verified",E737))</x:f>
      </x:c>
      <x:c r="S737" s="79" t="str">
        <x:f>IF(A737="","",Events!X736)</x:f>
      </x:c>
      <x:c r="Z737" s="79" t="str">
        <x:f>IF(A737="","",Events!AD736)</x:f>
      </x:c>
      <x:c r="AA737" s="79" t="str">
        <x:f>IF(A737="","",Events!AE736)</x:f>
      </x:c>
    </x:row>
    <x:row r="738">
      <x:c r="A738" s="16" t="str">
        <x:f>IF(Events!A737="","",Events!A737)</x:f>
      </x:c>
      <x:c r="B738" s="16" t="str">
        <x:f>IF(A738="","",Events!B737)</x:f>
      </x:c>
      <x:c r="C738" s="16" t="str">
        <x:f>IF(A738="","",Events!E737)</x:f>
      </x:c>
      <x:c r="D738" s="16" t="str">
        <x:f>IF(A738="","",Events!J737)</x:f>
      </x:c>
      <x:c r="E738" s="16" t="str">
        <x:f>IF(A738="","",Events!N737)</x:f>
      </x:c>
      <x:c r="F738" s="109" t="str">
        <x:f>IF(OR(A738="",Events!H737=""),"",Events!H737)</x:f>
      </x:c>
      <x:c r="G738" s="109" t="str">
        <x:f>IF(A738="","",IF(Events!I737&lt;&gt;"",Events!I737,IF(Events!S737&lt;&gt;"",Events!S737,"")))</x:f>
      </x:c>
      <x:c r="H738" s="16" t="str">
        <x:f>IF(A738="","",Events!W737)</x:f>
      </x:c>
      <x:c r="I738" s="16" t="str">
        <x:f>IF(A738="","",IF(Events!Y737&lt;&gt;"",Events!Y737,IF(OR(ISNUMBER(SEARCH("education",P738)),ISNUMBER(SEARCH("exam",P738)),ISNUMBER(SEARCH("school",P738))),"Education",IF(OR(ISNUMBER(SEARCH("trade agreement",P738)),ISNUMBER(SEARCH("economic",P738)),ISNUMBER(SEARCH("import",P738))),"Trade &amp; economic policy",IF(OR(ISNUMBER(SEARCH("land acquisition",P738)),ISNUMBER(SEARCH("rehabilitation",P738)),ISNUMBER(SEARCH("displacement",P738)),ISNUMBER(SEARCH("township",P738))),"Land &amp; rehabilitation",IF(OR(ISNUMBER(SEARCH("forest",P738)),ISNUMBER(SEARCH("environment",P738)),ISNUMBER(SEARCH("ecological",P738)),ISNUMBER(SEARCH("biodiversity",P738)),ISNUMBER(SEARCH("green cover",P738))),"Environment",IF(OR(ISNUMBER(SEARCH("irrigation",P738)),ISNUMBER(SEARCH("water",P738)),ISNUMBER(SEARCH("crop",P738)),ISNUMBER(SEARCH("farmer",P738)),ISNUMBER(SEARCH("agriculture",P738))),"Agriculture &amp; water",IF(OR(ISNUMBER(SEARCH("health",P738)),ISNUMBER(SEARCH("hospital",P738)),ISNUMBER(SEARCH("medicine",P738))),"Public health",IF(OR(ISNUMBER(SEARCH("employee",P738)),ISNUMBER(SEARCH("labour",P738)),ISNUMBER(SEARCH("worker",P738)),ISNUMBER(SEARCH("salary",P738))),"Labour &amp; employment",IF(OR(ISNUMBER(SEARCH("rti",P738)),ISNUMBER(SEARCH("transparency",P738)),ISNUMBER(SEARCH("corruption",P738)),ISNUMBER(SEARCH("governance",P738))),"Governance &amp; transparency",IF(OR(ISNUMBER(SEARCH("police",P738)),ISNUMBER(SEARCH("detention",P738)),ISNUMBER(SEARCH("civil rights",P738)),ISNUMBER(SEARCH("justice",P738))),"Civil rights &amp; justice",IF(OR(ISNUMBER(SEARCH("road",P738)),ISNUMBER(SEARCH("utility",P738)),ISNUMBER(SEARCH("infrastructure",P738)),ISNUMBER(SEARCH("public service",P738))),"Infrastructure &amp; public services","Other"))))))))))))</x:f>
      </x:c>
      <x:c r="J738" s="16" t="str">
        <x:f>IF(A738="","",IF(OR(ISNUMBER(SEARCH("fatal",Q738)),ISNUMBER(SEARCH("death",Q738)),ISNUMBER(SEARCH("riot",Q738)),ISNUMBER(SEARCH("curfew",Q738)),ISNUMBER(SEARCH("internet shutdown",Q738))),5,MIN(4,1+IF(H738&gt;=7,1,0)+IF(OR(ISNUMBER(SEARCH("hunger strike",Q738)),ISNUMBER(SEARCH("blockade",Q738)),ISNUMBER(SEARCH("strike",Q738)),ISNUMBER(SEARCH("jal satyagraha",Q738)),ISNUMBER(SEARCH("survey",Q738)),ISNUMBER(SEARCH("human chain",Q738)),ISNUMBER(SEARCH("march",Q738))),1,0)+IF(OR(ISNUMBER(SEARCH("fir",Q738)),ISNUMBER(SEARCH("confrontation",Q738)),ISNUMBER(SEARCH("violence",Q738)),ISNUMBER(SEARCH("detention",Q738)),ISNUMBER(SEARCH("arrest",Q738)),ISNUMBER(SEARCH("demolition",Q738)),ISNUMBER(SEARCH("injury",Q738))),1,0)+IF(OR(D738="Ongoing",D738="Unresolved"),1,0))))</x:f>
      </x:c>
      <x:c r="K738" s="16" t="str">
        <x:f>IF(J738="","",IF(J738=1,"Limited",IF(J738=2,"Local",IF(J738=3,"Significant",IF(J738=4,"High","Critical")))))</x:f>
      </x:c>
      <x:c r="L738" s="16" t="str">
        <x:f>IF(A738="","",Events!U737)</x:f>
      </x:c>
      <x:c r="M738" s="16" t="str">
        <x:f>IF(A738="","",Events!V737)</x:f>
      </x:c>
      <x:c r="N738" s="16" t="str">
        <x:f>IF(A738="","",Events!Q737)</x:f>
      </x:c>
      <x:c r="O738" s="16" t="str">
        <x:f>IF(A738="","",Events!R737)</x:f>
      </x:c>
      <x:c r="P738" s="16" t="str">
        <x:f>IF(A738="","",LOWER(Events!B737&amp;" "&amp;Events!D737&amp;" "&amp;Events!K737))</x:f>
      </x:c>
      <x:c r="Q738" s="16" t="str">
        <x:f>IF(A738="","",LOWER(Events!C737&amp;" "&amp;Events!K737&amp;" "&amp;Events!T737))</x:f>
      </x:c>
      <x:c r="R738" s="16" t="str">
        <x:f>IF(A738="","",IF(ISNUMBER(SEARCH("Occurrence verified",E738)),"Occurrence verified",E738))</x:f>
      </x:c>
      <x:c r="S738" s="79" t="str">
        <x:f>IF(A738="","",Events!X737)</x:f>
      </x:c>
      <x:c r="Z738" s="79" t="str">
        <x:f>IF(A738="","",Events!AD737)</x:f>
      </x:c>
      <x:c r="AA738" s="79" t="str">
        <x:f>IF(A738="","",Events!AE737)</x:f>
      </x:c>
    </x:row>
    <x:row r="739">
      <x:c r="A739" s="16" t="str">
        <x:f>IF(Events!A738="","",Events!A738)</x:f>
      </x:c>
      <x:c r="B739" s="16" t="str">
        <x:f>IF(A739="","",Events!B738)</x:f>
      </x:c>
      <x:c r="C739" s="16" t="str">
        <x:f>IF(A739="","",Events!E738)</x:f>
      </x:c>
      <x:c r="D739" s="16" t="str">
        <x:f>IF(A739="","",Events!J738)</x:f>
      </x:c>
      <x:c r="E739" s="16" t="str">
        <x:f>IF(A739="","",Events!N738)</x:f>
      </x:c>
      <x:c r="F739" s="109" t="str">
        <x:f>IF(OR(A739="",Events!H738=""),"",Events!H738)</x:f>
      </x:c>
      <x:c r="G739" s="109" t="str">
        <x:f>IF(A739="","",IF(Events!I738&lt;&gt;"",Events!I738,IF(Events!S738&lt;&gt;"",Events!S738,"")))</x:f>
      </x:c>
      <x:c r="H739" s="16" t="str">
        <x:f>IF(A739="","",Events!W738)</x:f>
      </x:c>
      <x:c r="I739" s="16" t="str">
        <x:f>IF(A739="","",IF(Events!Y738&lt;&gt;"",Events!Y738,IF(OR(ISNUMBER(SEARCH("education",P739)),ISNUMBER(SEARCH("exam",P739)),ISNUMBER(SEARCH("school",P739))),"Education",IF(OR(ISNUMBER(SEARCH("trade agreement",P739)),ISNUMBER(SEARCH("economic",P739)),ISNUMBER(SEARCH("import",P739))),"Trade &amp; economic policy",IF(OR(ISNUMBER(SEARCH("land acquisition",P739)),ISNUMBER(SEARCH("rehabilitation",P739)),ISNUMBER(SEARCH("displacement",P739)),ISNUMBER(SEARCH("township",P739))),"Land &amp; rehabilitation",IF(OR(ISNUMBER(SEARCH("forest",P739)),ISNUMBER(SEARCH("environment",P739)),ISNUMBER(SEARCH("ecological",P739)),ISNUMBER(SEARCH("biodiversity",P739)),ISNUMBER(SEARCH("green cover",P739))),"Environment",IF(OR(ISNUMBER(SEARCH("irrigation",P739)),ISNUMBER(SEARCH("water",P739)),ISNUMBER(SEARCH("crop",P739)),ISNUMBER(SEARCH("farmer",P739)),ISNUMBER(SEARCH("agriculture",P739))),"Agriculture &amp; water",IF(OR(ISNUMBER(SEARCH("health",P739)),ISNUMBER(SEARCH("hospital",P739)),ISNUMBER(SEARCH("medicine",P739))),"Public health",IF(OR(ISNUMBER(SEARCH("employee",P739)),ISNUMBER(SEARCH("labour",P739)),ISNUMBER(SEARCH("worker",P739)),ISNUMBER(SEARCH("salary",P739))),"Labour &amp; employment",IF(OR(ISNUMBER(SEARCH("rti",P739)),ISNUMBER(SEARCH("transparency",P739)),ISNUMBER(SEARCH("corruption",P739)),ISNUMBER(SEARCH("governance",P739))),"Governance &amp; transparency",IF(OR(ISNUMBER(SEARCH("police",P739)),ISNUMBER(SEARCH("detention",P739)),ISNUMBER(SEARCH("civil rights",P739)),ISNUMBER(SEARCH("justice",P739))),"Civil rights &amp; justice",IF(OR(ISNUMBER(SEARCH("road",P739)),ISNUMBER(SEARCH("utility",P739)),ISNUMBER(SEARCH("infrastructure",P739)),ISNUMBER(SEARCH("public service",P739))),"Infrastructure &amp; public services","Other"))))))))))))</x:f>
      </x:c>
      <x:c r="J739" s="16" t="str">
        <x:f>IF(A739="","",IF(OR(ISNUMBER(SEARCH("fatal",Q739)),ISNUMBER(SEARCH("death",Q739)),ISNUMBER(SEARCH("riot",Q739)),ISNUMBER(SEARCH("curfew",Q739)),ISNUMBER(SEARCH("internet shutdown",Q739))),5,MIN(4,1+IF(H739&gt;=7,1,0)+IF(OR(ISNUMBER(SEARCH("hunger strike",Q739)),ISNUMBER(SEARCH("blockade",Q739)),ISNUMBER(SEARCH("strike",Q739)),ISNUMBER(SEARCH("jal satyagraha",Q739)),ISNUMBER(SEARCH("survey",Q739)),ISNUMBER(SEARCH("human chain",Q739)),ISNUMBER(SEARCH("march",Q739))),1,0)+IF(OR(ISNUMBER(SEARCH("fir",Q739)),ISNUMBER(SEARCH("confrontation",Q739)),ISNUMBER(SEARCH("violence",Q739)),ISNUMBER(SEARCH("detention",Q739)),ISNUMBER(SEARCH("arrest",Q739)),ISNUMBER(SEARCH("demolition",Q739)),ISNUMBER(SEARCH("injury",Q739))),1,0)+IF(OR(D739="Ongoing",D739="Unresolved"),1,0))))</x:f>
      </x:c>
      <x:c r="K739" s="16" t="str">
        <x:f>IF(J739="","",IF(J739=1,"Limited",IF(J739=2,"Local",IF(J739=3,"Significant",IF(J739=4,"High","Critical")))))</x:f>
      </x:c>
      <x:c r="L739" s="16" t="str">
        <x:f>IF(A739="","",Events!U738)</x:f>
      </x:c>
      <x:c r="M739" s="16" t="str">
        <x:f>IF(A739="","",Events!V738)</x:f>
      </x:c>
      <x:c r="N739" s="16" t="str">
        <x:f>IF(A739="","",Events!Q738)</x:f>
      </x:c>
      <x:c r="O739" s="16" t="str">
        <x:f>IF(A739="","",Events!R738)</x:f>
      </x:c>
      <x:c r="P739" s="16" t="str">
        <x:f>IF(A739="","",LOWER(Events!B738&amp;" "&amp;Events!D738&amp;" "&amp;Events!K738))</x:f>
      </x:c>
      <x:c r="Q739" s="16" t="str">
        <x:f>IF(A739="","",LOWER(Events!C738&amp;" "&amp;Events!K738&amp;" "&amp;Events!T738))</x:f>
      </x:c>
      <x:c r="R739" s="16" t="str">
        <x:f>IF(A739="","",IF(ISNUMBER(SEARCH("Occurrence verified",E739)),"Occurrence verified",E739))</x:f>
      </x:c>
      <x:c r="S739" s="79" t="str">
        <x:f>IF(A739="","",Events!X738)</x:f>
      </x:c>
      <x:c r="Z739" s="79" t="str">
        <x:f>IF(A739="","",Events!AD738)</x:f>
      </x:c>
      <x:c r="AA739" s="79" t="str">
        <x:f>IF(A739="","",Events!AE738)</x:f>
      </x:c>
    </x:row>
    <x:row r="740">
      <x:c r="A740" s="16" t="str">
        <x:f>IF(Events!A739="","",Events!A739)</x:f>
      </x:c>
      <x:c r="B740" s="16" t="str">
        <x:f>IF(A740="","",Events!B739)</x:f>
      </x:c>
      <x:c r="C740" s="16" t="str">
        <x:f>IF(A740="","",Events!E739)</x:f>
      </x:c>
      <x:c r="D740" s="16" t="str">
        <x:f>IF(A740="","",Events!J739)</x:f>
      </x:c>
      <x:c r="E740" s="16" t="str">
        <x:f>IF(A740="","",Events!N739)</x:f>
      </x:c>
      <x:c r="F740" s="109" t="str">
        <x:f>IF(OR(A740="",Events!H739=""),"",Events!H739)</x:f>
      </x:c>
      <x:c r="G740" s="109" t="str">
        <x:f>IF(A740="","",IF(Events!I739&lt;&gt;"",Events!I739,IF(Events!S739&lt;&gt;"",Events!S739,"")))</x:f>
      </x:c>
      <x:c r="H740" s="16" t="str">
        <x:f>IF(A740="","",Events!W739)</x:f>
      </x:c>
      <x:c r="I740" s="16" t="str">
        <x:f>IF(A740="","",IF(Events!Y739&lt;&gt;"",Events!Y739,IF(OR(ISNUMBER(SEARCH("education",P740)),ISNUMBER(SEARCH("exam",P740)),ISNUMBER(SEARCH("school",P740))),"Education",IF(OR(ISNUMBER(SEARCH("trade agreement",P740)),ISNUMBER(SEARCH("economic",P740)),ISNUMBER(SEARCH("import",P740))),"Trade &amp; economic policy",IF(OR(ISNUMBER(SEARCH("land acquisition",P740)),ISNUMBER(SEARCH("rehabilitation",P740)),ISNUMBER(SEARCH("displacement",P740)),ISNUMBER(SEARCH("township",P740))),"Land &amp; rehabilitation",IF(OR(ISNUMBER(SEARCH("forest",P740)),ISNUMBER(SEARCH("environment",P740)),ISNUMBER(SEARCH("ecological",P740)),ISNUMBER(SEARCH("biodiversity",P740)),ISNUMBER(SEARCH("green cover",P740))),"Environment",IF(OR(ISNUMBER(SEARCH("irrigation",P740)),ISNUMBER(SEARCH("water",P740)),ISNUMBER(SEARCH("crop",P740)),ISNUMBER(SEARCH("farmer",P740)),ISNUMBER(SEARCH("agriculture",P740))),"Agriculture &amp; water",IF(OR(ISNUMBER(SEARCH("health",P740)),ISNUMBER(SEARCH("hospital",P740)),ISNUMBER(SEARCH("medicine",P740))),"Public health",IF(OR(ISNUMBER(SEARCH("employee",P740)),ISNUMBER(SEARCH("labour",P740)),ISNUMBER(SEARCH("worker",P740)),ISNUMBER(SEARCH("salary",P740))),"Labour &amp; employment",IF(OR(ISNUMBER(SEARCH("rti",P740)),ISNUMBER(SEARCH("transparency",P740)),ISNUMBER(SEARCH("corruption",P740)),ISNUMBER(SEARCH("governance",P740))),"Governance &amp; transparency",IF(OR(ISNUMBER(SEARCH("police",P740)),ISNUMBER(SEARCH("detention",P740)),ISNUMBER(SEARCH("civil rights",P740)),ISNUMBER(SEARCH("justice",P740))),"Civil rights &amp; justice",IF(OR(ISNUMBER(SEARCH("road",P740)),ISNUMBER(SEARCH("utility",P740)),ISNUMBER(SEARCH("infrastructure",P740)),ISNUMBER(SEARCH("public service",P740))),"Infrastructure &amp; public services","Other"))))))))))))</x:f>
      </x:c>
      <x:c r="J740" s="16" t="str">
        <x:f>IF(A740="","",IF(OR(ISNUMBER(SEARCH("fatal",Q740)),ISNUMBER(SEARCH("death",Q740)),ISNUMBER(SEARCH("riot",Q740)),ISNUMBER(SEARCH("curfew",Q740)),ISNUMBER(SEARCH("internet shutdown",Q740))),5,MIN(4,1+IF(H740&gt;=7,1,0)+IF(OR(ISNUMBER(SEARCH("hunger strike",Q740)),ISNUMBER(SEARCH("blockade",Q740)),ISNUMBER(SEARCH("strike",Q740)),ISNUMBER(SEARCH("jal satyagraha",Q740)),ISNUMBER(SEARCH("survey",Q740)),ISNUMBER(SEARCH("human chain",Q740)),ISNUMBER(SEARCH("march",Q740))),1,0)+IF(OR(ISNUMBER(SEARCH("fir",Q740)),ISNUMBER(SEARCH("confrontation",Q740)),ISNUMBER(SEARCH("violence",Q740)),ISNUMBER(SEARCH("detention",Q740)),ISNUMBER(SEARCH("arrest",Q740)),ISNUMBER(SEARCH("demolition",Q740)),ISNUMBER(SEARCH("injury",Q740))),1,0)+IF(OR(D740="Ongoing",D740="Unresolved"),1,0))))</x:f>
      </x:c>
      <x:c r="K740" s="16" t="str">
        <x:f>IF(J740="","",IF(J740=1,"Limited",IF(J740=2,"Local",IF(J740=3,"Significant",IF(J740=4,"High","Critical")))))</x:f>
      </x:c>
      <x:c r="L740" s="16" t="str">
        <x:f>IF(A740="","",Events!U739)</x:f>
      </x:c>
      <x:c r="M740" s="16" t="str">
        <x:f>IF(A740="","",Events!V739)</x:f>
      </x:c>
      <x:c r="N740" s="16" t="str">
        <x:f>IF(A740="","",Events!Q739)</x:f>
      </x:c>
      <x:c r="O740" s="16" t="str">
        <x:f>IF(A740="","",Events!R739)</x:f>
      </x:c>
      <x:c r="P740" s="16" t="str">
        <x:f>IF(A740="","",LOWER(Events!B739&amp;" "&amp;Events!D739&amp;" "&amp;Events!K739))</x:f>
      </x:c>
      <x:c r="Q740" s="16" t="str">
        <x:f>IF(A740="","",LOWER(Events!C739&amp;" "&amp;Events!K739&amp;" "&amp;Events!T739))</x:f>
      </x:c>
      <x:c r="R740" s="16" t="str">
        <x:f>IF(A740="","",IF(ISNUMBER(SEARCH("Occurrence verified",E740)),"Occurrence verified",E740))</x:f>
      </x:c>
      <x:c r="S740" s="79" t="str">
        <x:f>IF(A740="","",Events!X739)</x:f>
      </x:c>
      <x:c r="Z740" s="79" t="str">
        <x:f>IF(A740="","",Events!AD739)</x:f>
      </x:c>
      <x:c r="AA740" s="79" t="str">
        <x:f>IF(A740="","",Events!AE739)</x:f>
      </x:c>
    </x:row>
    <x:row r="741">
      <x:c r="A741" s="16" t="str">
        <x:f>IF(Events!A740="","",Events!A740)</x:f>
      </x:c>
      <x:c r="B741" s="16" t="str">
        <x:f>IF(A741="","",Events!B740)</x:f>
      </x:c>
      <x:c r="C741" s="16" t="str">
        <x:f>IF(A741="","",Events!E740)</x:f>
      </x:c>
      <x:c r="D741" s="16" t="str">
        <x:f>IF(A741="","",Events!J740)</x:f>
      </x:c>
      <x:c r="E741" s="16" t="str">
        <x:f>IF(A741="","",Events!N740)</x:f>
      </x:c>
      <x:c r="F741" s="109" t="str">
        <x:f>IF(OR(A741="",Events!H740=""),"",Events!H740)</x:f>
      </x:c>
      <x:c r="G741" s="109" t="str">
        <x:f>IF(A741="","",IF(Events!I740&lt;&gt;"",Events!I740,IF(Events!S740&lt;&gt;"",Events!S740,"")))</x:f>
      </x:c>
      <x:c r="H741" s="16" t="str">
        <x:f>IF(A741="","",Events!W740)</x:f>
      </x:c>
      <x:c r="I741" s="16" t="str">
        <x:f>IF(A741="","",IF(Events!Y740&lt;&gt;"",Events!Y740,IF(OR(ISNUMBER(SEARCH("education",P741)),ISNUMBER(SEARCH("exam",P741)),ISNUMBER(SEARCH("school",P741))),"Education",IF(OR(ISNUMBER(SEARCH("trade agreement",P741)),ISNUMBER(SEARCH("economic",P741)),ISNUMBER(SEARCH("import",P741))),"Trade &amp; economic policy",IF(OR(ISNUMBER(SEARCH("land acquisition",P741)),ISNUMBER(SEARCH("rehabilitation",P741)),ISNUMBER(SEARCH("displacement",P741)),ISNUMBER(SEARCH("township",P741))),"Land &amp; rehabilitation",IF(OR(ISNUMBER(SEARCH("forest",P741)),ISNUMBER(SEARCH("environment",P741)),ISNUMBER(SEARCH("ecological",P741)),ISNUMBER(SEARCH("biodiversity",P741)),ISNUMBER(SEARCH("green cover",P741))),"Environment",IF(OR(ISNUMBER(SEARCH("irrigation",P741)),ISNUMBER(SEARCH("water",P741)),ISNUMBER(SEARCH("crop",P741)),ISNUMBER(SEARCH("farmer",P741)),ISNUMBER(SEARCH("agriculture",P741))),"Agriculture &amp; water",IF(OR(ISNUMBER(SEARCH("health",P741)),ISNUMBER(SEARCH("hospital",P741)),ISNUMBER(SEARCH("medicine",P741))),"Public health",IF(OR(ISNUMBER(SEARCH("employee",P741)),ISNUMBER(SEARCH("labour",P741)),ISNUMBER(SEARCH("worker",P741)),ISNUMBER(SEARCH("salary",P741))),"Labour &amp; employment",IF(OR(ISNUMBER(SEARCH("rti",P741)),ISNUMBER(SEARCH("transparency",P741)),ISNUMBER(SEARCH("corruption",P741)),ISNUMBER(SEARCH("governance",P741))),"Governance &amp; transparency",IF(OR(ISNUMBER(SEARCH("police",P741)),ISNUMBER(SEARCH("detention",P741)),ISNUMBER(SEARCH("civil rights",P741)),ISNUMBER(SEARCH("justice",P741))),"Civil rights &amp; justice",IF(OR(ISNUMBER(SEARCH("road",P741)),ISNUMBER(SEARCH("utility",P741)),ISNUMBER(SEARCH("infrastructure",P741)),ISNUMBER(SEARCH("public service",P741))),"Infrastructure &amp; public services","Other"))))))))))))</x:f>
      </x:c>
      <x:c r="J741" s="16" t="str">
        <x:f>IF(A741="","",IF(OR(ISNUMBER(SEARCH("fatal",Q741)),ISNUMBER(SEARCH("death",Q741)),ISNUMBER(SEARCH("riot",Q741)),ISNUMBER(SEARCH("curfew",Q741)),ISNUMBER(SEARCH("internet shutdown",Q741))),5,MIN(4,1+IF(H741&gt;=7,1,0)+IF(OR(ISNUMBER(SEARCH("hunger strike",Q741)),ISNUMBER(SEARCH("blockade",Q741)),ISNUMBER(SEARCH("strike",Q741)),ISNUMBER(SEARCH("jal satyagraha",Q741)),ISNUMBER(SEARCH("survey",Q741)),ISNUMBER(SEARCH("human chain",Q741)),ISNUMBER(SEARCH("march",Q741))),1,0)+IF(OR(ISNUMBER(SEARCH("fir",Q741)),ISNUMBER(SEARCH("confrontation",Q741)),ISNUMBER(SEARCH("violence",Q741)),ISNUMBER(SEARCH("detention",Q741)),ISNUMBER(SEARCH("arrest",Q741)),ISNUMBER(SEARCH("demolition",Q741)),ISNUMBER(SEARCH("injury",Q741))),1,0)+IF(OR(D741="Ongoing",D741="Unresolved"),1,0))))</x:f>
      </x:c>
      <x:c r="K741" s="16" t="str">
        <x:f>IF(J741="","",IF(J741=1,"Limited",IF(J741=2,"Local",IF(J741=3,"Significant",IF(J741=4,"High","Critical")))))</x:f>
      </x:c>
      <x:c r="L741" s="16" t="str">
        <x:f>IF(A741="","",Events!U740)</x:f>
      </x:c>
      <x:c r="M741" s="16" t="str">
        <x:f>IF(A741="","",Events!V740)</x:f>
      </x:c>
      <x:c r="N741" s="16" t="str">
        <x:f>IF(A741="","",Events!Q740)</x:f>
      </x:c>
      <x:c r="O741" s="16" t="str">
        <x:f>IF(A741="","",Events!R740)</x:f>
      </x:c>
      <x:c r="P741" s="16" t="str">
        <x:f>IF(A741="","",LOWER(Events!B740&amp;" "&amp;Events!D740&amp;" "&amp;Events!K740))</x:f>
      </x:c>
      <x:c r="Q741" s="16" t="str">
        <x:f>IF(A741="","",LOWER(Events!C740&amp;" "&amp;Events!K740&amp;" "&amp;Events!T740))</x:f>
      </x:c>
      <x:c r="R741" s="16" t="str">
        <x:f>IF(A741="","",IF(ISNUMBER(SEARCH("Occurrence verified",E741)),"Occurrence verified",E741))</x:f>
      </x:c>
      <x:c r="S741" s="79" t="str">
        <x:f>IF(A741="","",Events!X740)</x:f>
      </x:c>
      <x:c r="Z741" s="79" t="str">
        <x:f>IF(A741="","",Events!AD740)</x:f>
      </x:c>
      <x:c r="AA741" s="79" t="str">
        <x:f>IF(A741="","",Events!AE740)</x:f>
      </x:c>
    </x:row>
    <x:row r="742">
      <x:c r="A742" s="16" t="str">
        <x:f>IF(Events!A741="","",Events!A741)</x:f>
      </x:c>
      <x:c r="B742" s="16" t="str">
        <x:f>IF(A742="","",Events!B741)</x:f>
      </x:c>
      <x:c r="C742" s="16" t="str">
        <x:f>IF(A742="","",Events!E741)</x:f>
      </x:c>
      <x:c r="D742" s="16" t="str">
        <x:f>IF(A742="","",Events!J741)</x:f>
      </x:c>
      <x:c r="E742" s="16" t="str">
        <x:f>IF(A742="","",Events!N741)</x:f>
      </x:c>
      <x:c r="F742" s="109" t="str">
        <x:f>IF(OR(A742="",Events!H741=""),"",Events!H741)</x:f>
      </x:c>
      <x:c r="G742" s="109" t="str">
        <x:f>IF(A742="","",IF(Events!I741&lt;&gt;"",Events!I741,IF(Events!S741&lt;&gt;"",Events!S741,"")))</x:f>
      </x:c>
      <x:c r="H742" s="16" t="str">
        <x:f>IF(A742="","",Events!W741)</x:f>
      </x:c>
      <x:c r="I742" s="16" t="str">
        <x:f>IF(A742="","",IF(Events!Y741&lt;&gt;"",Events!Y741,IF(OR(ISNUMBER(SEARCH("education",P742)),ISNUMBER(SEARCH("exam",P742)),ISNUMBER(SEARCH("school",P742))),"Education",IF(OR(ISNUMBER(SEARCH("trade agreement",P742)),ISNUMBER(SEARCH("economic",P742)),ISNUMBER(SEARCH("import",P742))),"Trade &amp; economic policy",IF(OR(ISNUMBER(SEARCH("land acquisition",P742)),ISNUMBER(SEARCH("rehabilitation",P742)),ISNUMBER(SEARCH("displacement",P742)),ISNUMBER(SEARCH("township",P742))),"Land &amp; rehabilitation",IF(OR(ISNUMBER(SEARCH("forest",P742)),ISNUMBER(SEARCH("environment",P742)),ISNUMBER(SEARCH("ecological",P742)),ISNUMBER(SEARCH("biodiversity",P742)),ISNUMBER(SEARCH("green cover",P742))),"Environment",IF(OR(ISNUMBER(SEARCH("irrigation",P742)),ISNUMBER(SEARCH("water",P742)),ISNUMBER(SEARCH("crop",P742)),ISNUMBER(SEARCH("farmer",P742)),ISNUMBER(SEARCH("agriculture",P742))),"Agriculture &amp; water",IF(OR(ISNUMBER(SEARCH("health",P742)),ISNUMBER(SEARCH("hospital",P742)),ISNUMBER(SEARCH("medicine",P742))),"Public health",IF(OR(ISNUMBER(SEARCH("employee",P742)),ISNUMBER(SEARCH("labour",P742)),ISNUMBER(SEARCH("worker",P742)),ISNUMBER(SEARCH("salary",P742))),"Labour &amp; employment",IF(OR(ISNUMBER(SEARCH("rti",P742)),ISNUMBER(SEARCH("transparency",P742)),ISNUMBER(SEARCH("corruption",P742)),ISNUMBER(SEARCH("governance",P742))),"Governance &amp; transparency",IF(OR(ISNUMBER(SEARCH("police",P742)),ISNUMBER(SEARCH("detention",P742)),ISNUMBER(SEARCH("civil rights",P742)),ISNUMBER(SEARCH("justice",P742))),"Civil rights &amp; justice",IF(OR(ISNUMBER(SEARCH("road",P742)),ISNUMBER(SEARCH("utility",P742)),ISNUMBER(SEARCH("infrastructure",P742)),ISNUMBER(SEARCH("public service",P742))),"Infrastructure &amp; public services","Other"))))))))))))</x:f>
      </x:c>
      <x:c r="J742" s="16" t="str">
        <x:f>IF(A742="","",IF(OR(ISNUMBER(SEARCH("fatal",Q742)),ISNUMBER(SEARCH("death",Q742)),ISNUMBER(SEARCH("riot",Q742)),ISNUMBER(SEARCH("curfew",Q742)),ISNUMBER(SEARCH("internet shutdown",Q742))),5,MIN(4,1+IF(H742&gt;=7,1,0)+IF(OR(ISNUMBER(SEARCH("hunger strike",Q742)),ISNUMBER(SEARCH("blockade",Q742)),ISNUMBER(SEARCH("strike",Q742)),ISNUMBER(SEARCH("jal satyagraha",Q742)),ISNUMBER(SEARCH("survey",Q742)),ISNUMBER(SEARCH("human chain",Q742)),ISNUMBER(SEARCH("march",Q742))),1,0)+IF(OR(ISNUMBER(SEARCH("fir",Q742)),ISNUMBER(SEARCH("confrontation",Q742)),ISNUMBER(SEARCH("violence",Q742)),ISNUMBER(SEARCH("detention",Q742)),ISNUMBER(SEARCH("arrest",Q742)),ISNUMBER(SEARCH("demolition",Q742)),ISNUMBER(SEARCH("injury",Q742))),1,0)+IF(OR(D742="Ongoing",D742="Unresolved"),1,0))))</x:f>
      </x:c>
      <x:c r="K742" s="16" t="str">
        <x:f>IF(J742="","",IF(J742=1,"Limited",IF(J742=2,"Local",IF(J742=3,"Significant",IF(J742=4,"High","Critical")))))</x:f>
      </x:c>
      <x:c r="L742" s="16" t="str">
        <x:f>IF(A742="","",Events!U741)</x:f>
      </x:c>
      <x:c r="M742" s="16" t="str">
        <x:f>IF(A742="","",Events!V741)</x:f>
      </x:c>
      <x:c r="N742" s="16" t="str">
        <x:f>IF(A742="","",Events!Q741)</x:f>
      </x:c>
      <x:c r="O742" s="16" t="str">
        <x:f>IF(A742="","",Events!R741)</x:f>
      </x:c>
      <x:c r="P742" s="16" t="str">
        <x:f>IF(A742="","",LOWER(Events!B741&amp;" "&amp;Events!D741&amp;" "&amp;Events!K741))</x:f>
      </x:c>
      <x:c r="Q742" s="16" t="str">
        <x:f>IF(A742="","",LOWER(Events!C741&amp;" "&amp;Events!K741&amp;" "&amp;Events!T741))</x:f>
      </x:c>
      <x:c r="R742" s="16" t="str">
        <x:f>IF(A742="","",IF(ISNUMBER(SEARCH("Occurrence verified",E742)),"Occurrence verified",E742))</x:f>
      </x:c>
      <x:c r="S742" s="79" t="str">
        <x:f>IF(A742="","",Events!X741)</x:f>
      </x:c>
      <x:c r="Z742" s="79" t="str">
        <x:f>IF(A742="","",Events!AD741)</x:f>
      </x:c>
      <x:c r="AA742" s="79" t="str">
        <x:f>IF(A742="","",Events!AE741)</x:f>
      </x:c>
    </x:row>
    <x:row r="743">
      <x:c r="A743" s="16" t="str">
        <x:f>IF(Events!A742="","",Events!A742)</x:f>
      </x:c>
      <x:c r="B743" s="16" t="str">
        <x:f>IF(A743="","",Events!B742)</x:f>
      </x:c>
      <x:c r="C743" s="16" t="str">
        <x:f>IF(A743="","",Events!E742)</x:f>
      </x:c>
      <x:c r="D743" s="16" t="str">
        <x:f>IF(A743="","",Events!J742)</x:f>
      </x:c>
      <x:c r="E743" s="16" t="str">
        <x:f>IF(A743="","",Events!N742)</x:f>
      </x:c>
      <x:c r="F743" s="109" t="str">
        <x:f>IF(OR(A743="",Events!H742=""),"",Events!H742)</x:f>
      </x:c>
      <x:c r="G743" s="109" t="str">
        <x:f>IF(A743="","",IF(Events!I742&lt;&gt;"",Events!I742,IF(Events!S742&lt;&gt;"",Events!S742,"")))</x:f>
      </x:c>
      <x:c r="H743" s="16" t="str">
        <x:f>IF(A743="","",Events!W742)</x:f>
      </x:c>
      <x:c r="I743" s="16" t="str">
        <x:f>IF(A743="","",IF(Events!Y742&lt;&gt;"",Events!Y742,IF(OR(ISNUMBER(SEARCH("education",P743)),ISNUMBER(SEARCH("exam",P743)),ISNUMBER(SEARCH("school",P743))),"Education",IF(OR(ISNUMBER(SEARCH("trade agreement",P743)),ISNUMBER(SEARCH("economic",P743)),ISNUMBER(SEARCH("import",P743))),"Trade &amp; economic policy",IF(OR(ISNUMBER(SEARCH("land acquisition",P743)),ISNUMBER(SEARCH("rehabilitation",P743)),ISNUMBER(SEARCH("displacement",P743)),ISNUMBER(SEARCH("township",P743))),"Land &amp; rehabilitation",IF(OR(ISNUMBER(SEARCH("forest",P743)),ISNUMBER(SEARCH("environment",P743)),ISNUMBER(SEARCH("ecological",P743)),ISNUMBER(SEARCH("biodiversity",P743)),ISNUMBER(SEARCH("green cover",P743))),"Environment",IF(OR(ISNUMBER(SEARCH("irrigation",P743)),ISNUMBER(SEARCH("water",P743)),ISNUMBER(SEARCH("crop",P743)),ISNUMBER(SEARCH("farmer",P743)),ISNUMBER(SEARCH("agriculture",P743))),"Agriculture &amp; water",IF(OR(ISNUMBER(SEARCH("health",P743)),ISNUMBER(SEARCH("hospital",P743)),ISNUMBER(SEARCH("medicine",P743))),"Public health",IF(OR(ISNUMBER(SEARCH("employee",P743)),ISNUMBER(SEARCH("labour",P743)),ISNUMBER(SEARCH("worker",P743)),ISNUMBER(SEARCH("salary",P743))),"Labour &amp; employment",IF(OR(ISNUMBER(SEARCH("rti",P743)),ISNUMBER(SEARCH("transparency",P743)),ISNUMBER(SEARCH("corruption",P743)),ISNUMBER(SEARCH("governance",P743))),"Governance &amp; transparency",IF(OR(ISNUMBER(SEARCH("police",P743)),ISNUMBER(SEARCH("detention",P743)),ISNUMBER(SEARCH("civil rights",P743)),ISNUMBER(SEARCH("justice",P743))),"Civil rights &amp; justice",IF(OR(ISNUMBER(SEARCH("road",P743)),ISNUMBER(SEARCH("utility",P743)),ISNUMBER(SEARCH("infrastructure",P743)),ISNUMBER(SEARCH("public service",P743))),"Infrastructure &amp; public services","Other"))))))))))))</x:f>
      </x:c>
      <x:c r="J743" s="16" t="str">
        <x:f>IF(A743="","",IF(OR(ISNUMBER(SEARCH("fatal",Q743)),ISNUMBER(SEARCH("death",Q743)),ISNUMBER(SEARCH("riot",Q743)),ISNUMBER(SEARCH("curfew",Q743)),ISNUMBER(SEARCH("internet shutdown",Q743))),5,MIN(4,1+IF(H743&gt;=7,1,0)+IF(OR(ISNUMBER(SEARCH("hunger strike",Q743)),ISNUMBER(SEARCH("blockade",Q743)),ISNUMBER(SEARCH("strike",Q743)),ISNUMBER(SEARCH("jal satyagraha",Q743)),ISNUMBER(SEARCH("survey",Q743)),ISNUMBER(SEARCH("human chain",Q743)),ISNUMBER(SEARCH("march",Q743))),1,0)+IF(OR(ISNUMBER(SEARCH("fir",Q743)),ISNUMBER(SEARCH("confrontation",Q743)),ISNUMBER(SEARCH("violence",Q743)),ISNUMBER(SEARCH("detention",Q743)),ISNUMBER(SEARCH("arrest",Q743)),ISNUMBER(SEARCH("demolition",Q743)),ISNUMBER(SEARCH("injury",Q743))),1,0)+IF(OR(D743="Ongoing",D743="Unresolved"),1,0))))</x:f>
      </x:c>
      <x:c r="K743" s="16" t="str">
        <x:f>IF(J743="","",IF(J743=1,"Limited",IF(J743=2,"Local",IF(J743=3,"Significant",IF(J743=4,"High","Critical")))))</x:f>
      </x:c>
      <x:c r="L743" s="16" t="str">
        <x:f>IF(A743="","",Events!U742)</x:f>
      </x:c>
      <x:c r="M743" s="16" t="str">
        <x:f>IF(A743="","",Events!V742)</x:f>
      </x:c>
      <x:c r="N743" s="16" t="str">
        <x:f>IF(A743="","",Events!Q742)</x:f>
      </x:c>
      <x:c r="O743" s="16" t="str">
        <x:f>IF(A743="","",Events!R742)</x:f>
      </x:c>
      <x:c r="P743" s="16" t="str">
        <x:f>IF(A743="","",LOWER(Events!B742&amp;" "&amp;Events!D742&amp;" "&amp;Events!K742))</x:f>
      </x:c>
      <x:c r="Q743" s="16" t="str">
        <x:f>IF(A743="","",LOWER(Events!C742&amp;" "&amp;Events!K742&amp;" "&amp;Events!T742))</x:f>
      </x:c>
      <x:c r="R743" s="16" t="str">
        <x:f>IF(A743="","",IF(ISNUMBER(SEARCH("Occurrence verified",E743)),"Occurrence verified",E743))</x:f>
      </x:c>
      <x:c r="S743" s="79" t="str">
        <x:f>IF(A743="","",Events!X742)</x:f>
      </x:c>
      <x:c r="Z743" s="79" t="str">
        <x:f>IF(A743="","",Events!AD742)</x:f>
      </x:c>
      <x:c r="AA743" s="79" t="str">
        <x:f>IF(A743="","",Events!AE742)</x:f>
      </x:c>
    </x:row>
    <x:row r="744">
      <x:c r="A744" s="16" t="str">
        <x:f>IF(Events!A743="","",Events!A743)</x:f>
      </x:c>
      <x:c r="B744" s="16" t="str">
        <x:f>IF(A744="","",Events!B743)</x:f>
      </x:c>
      <x:c r="C744" s="16" t="str">
        <x:f>IF(A744="","",Events!E743)</x:f>
      </x:c>
      <x:c r="D744" s="16" t="str">
        <x:f>IF(A744="","",Events!J743)</x:f>
      </x:c>
      <x:c r="E744" s="16" t="str">
        <x:f>IF(A744="","",Events!N743)</x:f>
      </x:c>
      <x:c r="F744" s="109" t="str">
        <x:f>IF(OR(A744="",Events!H743=""),"",Events!H743)</x:f>
      </x:c>
      <x:c r="G744" s="109" t="str">
        <x:f>IF(A744="","",IF(Events!I743&lt;&gt;"",Events!I743,IF(Events!S743&lt;&gt;"",Events!S743,"")))</x:f>
      </x:c>
      <x:c r="H744" s="16" t="str">
        <x:f>IF(A744="","",Events!W743)</x:f>
      </x:c>
      <x:c r="I744" s="16" t="str">
        <x:f>IF(A744="","",IF(Events!Y743&lt;&gt;"",Events!Y743,IF(OR(ISNUMBER(SEARCH("education",P744)),ISNUMBER(SEARCH("exam",P744)),ISNUMBER(SEARCH("school",P744))),"Education",IF(OR(ISNUMBER(SEARCH("trade agreement",P744)),ISNUMBER(SEARCH("economic",P744)),ISNUMBER(SEARCH("import",P744))),"Trade &amp; economic policy",IF(OR(ISNUMBER(SEARCH("land acquisition",P744)),ISNUMBER(SEARCH("rehabilitation",P744)),ISNUMBER(SEARCH("displacement",P744)),ISNUMBER(SEARCH("township",P744))),"Land &amp; rehabilitation",IF(OR(ISNUMBER(SEARCH("forest",P744)),ISNUMBER(SEARCH("environment",P744)),ISNUMBER(SEARCH("ecological",P744)),ISNUMBER(SEARCH("biodiversity",P744)),ISNUMBER(SEARCH("green cover",P744))),"Environment",IF(OR(ISNUMBER(SEARCH("irrigation",P744)),ISNUMBER(SEARCH("water",P744)),ISNUMBER(SEARCH("crop",P744)),ISNUMBER(SEARCH("farmer",P744)),ISNUMBER(SEARCH("agriculture",P744))),"Agriculture &amp; water",IF(OR(ISNUMBER(SEARCH("health",P744)),ISNUMBER(SEARCH("hospital",P744)),ISNUMBER(SEARCH("medicine",P744))),"Public health",IF(OR(ISNUMBER(SEARCH("employee",P744)),ISNUMBER(SEARCH("labour",P744)),ISNUMBER(SEARCH("worker",P744)),ISNUMBER(SEARCH("salary",P744))),"Labour &amp; employment",IF(OR(ISNUMBER(SEARCH("rti",P744)),ISNUMBER(SEARCH("transparency",P744)),ISNUMBER(SEARCH("corruption",P744)),ISNUMBER(SEARCH("governance",P744))),"Governance &amp; transparency",IF(OR(ISNUMBER(SEARCH("police",P744)),ISNUMBER(SEARCH("detention",P744)),ISNUMBER(SEARCH("civil rights",P744)),ISNUMBER(SEARCH("justice",P744))),"Civil rights &amp; justice",IF(OR(ISNUMBER(SEARCH("road",P744)),ISNUMBER(SEARCH("utility",P744)),ISNUMBER(SEARCH("infrastructure",P744)),ISNUMBER(SEARCH("public service",P744))),"Infrastructure &amp; public services","Other"))))))))))))</x:f>
      </x:c>
      <x:c r="J744" s="16" t="str">
        <x:f>IF(A744="","",IF(OR(ISNUMBER(SEARCH("fatal",Q744)),ISNUMBER(SEARCH("death",Q744)),ISNUMBER(SEARCH("riot",Q744)),ISNUMBER(SEARCH("curfew",Q744)),ISNUMBER(SEARCH("internet shutdown",Q744))),5,MIN(4,1+IF(H744&gt;=7,1,0)+IF(OR(ISNUMBER(SEARCH("hunger strike",Q744)),ISNUMBER(SEARCH("blockade",Q744)),ISNUMBER(SEARCH("strike",Q744)),ISNUMBER(SEARCH("jal satyagraha",Q744)),ISNUMBER(SEARCH("survey",Q744)),ISNUMBER(SEARCH("human chain",Q744)),ISNUMBER(SEARCH("march",Q744))),1,0)+IF(OR(ISNUMBER(SEARCH("fir",Q744)),ISNUMBER(SEARCH("confrontation",Q744)),ISNUMBER(SEARCH("violence",Q744)),ISNUMBER(SEARCH("detention",Q744)),ISNUMBER(SEARCH("arrest",Q744)),ISNUMBER(SEARCH("demolition",Q744)),ISNUMBER(SEARCH("injury",Q744))),1,0)+IF(OR(D744="Ongoing",D744="Unresolved"),1,0))))</x:f>
      </x:c>
      <x:c r="K744" s="16" t="str">
        <x:f>IF(J744="","",IF(J744=1,"Limited",IF(J744=2,"Local",IF(J744=3,"Significant",IF(J744=4,"High","Critical")))))</x:f>
      </x:c>
      <x:c r="L744" s="16" t="str">
        <x:f>IF(A744="","",Events!U743)</x:f>
      </x:c>
      <x:c r="M744" s="16" t="str">
        <x:f>IF(A744="","",Events!V743)</x:f>
      </x:c>
      <x:c r="N744" s="16" t="str">
        <x:f>IF(A744="","",Events!Q743)</x:f>
      </x:c>
      <x:c r="O744" s="16" t="str">
        <x:f>IF(A744="","",Events!R743)</x:f>
      </x:c>
      <x:c r="P744" s="16" t="str">
        <x:f>IF(A744="","",LOWER(Events!B743&amp;" "&amp;Events!D743&amp;" "&amp;Events!K743))</x:f>
      </x:c>
      <x:c r="Q744" s="16" t="str">
        <x:f>IF(A744="","",LOWER(Events!C743&amp;" "&amp;Events!K743&amp;" "&amp;Events!T743))</x:f>
      </x:c>
      <x:c r="R744" s="16" t="str">
        <x:f>IF(A744="","",IF(ISNUMBER(SEARCH("Occurrence verified",E744)),"Occurrence verified",E744))</x:f>
      </x:c>
      <x:c r="S744" s="79" t="str">
        <x:f>IF(A744="","",Events!X743)</x:f>
      </x:c>
      <x:c r="Z744" s="79" t="str">
        <x:f>IF(A744="","",Events!AD743)</x:f>
      </x:c>
      <x:c r="AA744" s="79" t="str">
        <x:f>IF(A744="","",Events!AE743)</x:f>
      </x:c>
    </x:row>
    <x:row r="745">
      <x:c r="A745" s="16" t="str">
        <x:f>IF(Events!A744="","",Events!A744)</x:f>
      </x:c>
      <x:c r="B745" s="16" t="str">
        <x:f>IF(A745="","",Events!B744)</x:f>
      </x:c>
      <x:c r="C745" s="16" t="str">
        <x:f>IF(A745="","",Events!E744)</x:f>
      </x:c>
      <x:c r="D745" s="16" t="str">
        <x:f>IF(A745="","",Events!J744)</x:f>
      </x:c>
      <x:c r="E745" s="16" t="str">
        <x:f>IF(A745="","",Events!N744)</x:f>
      </x:c>
      <x:c r="F745" s="109" t="str">
        <x:f>IF(OR(A745="",Events!H744=""),"",Events!H744)</x:f>
      </x:c>
      <x:c r="G745" s="109" t="str">
        <x:f>IF(A745="","",IF(Events!I744&lt;&gt;"",Events!I744,IF(Events!S744&lt;&gt;"",Events!S744,"")))</x:f>
      </x:c>
      <x:c r="H745" s="16" t="str">
        <x:f>IF(A745="","",Events!W744)</x:f>
      </x:c>
      <x:c r="I745" s="16" t="str">
        <x:f>IF(A745="","",IF(Events!Y744&lt;&gt;"",Events!Y744,IF(OR(ISNUMBER(SEARCH("education",P745)),ISNUMBER(SEARCH("exam",P745)),ISNUMBER(SEARCH("school",P745))),"Education",IF(OR(ISNUMBER(SEARCH("trade agreement",P745)),ISNUMBER(SEARCH("economic",P745)),ISNUMBER(SEARCH("import",P745))),"Trade &amp; economic policy",IF(OR(ISNUMBER(SEARCH("land acquisition",P745)),ISNUMBER(SEARCH("rehabilitation",P745)),ISNUMBER(SEARCH("displacement",P745)),ISNUMBER(SEARCH("township",P745))),"Land &amp; rehabilitation",IF(OR(ISNUMBER(SEARCH("forest",P745)),ISNUMBER(SEARCH("environment",P745)),ISNUMBER(SEARCH("ecological",P745)),ISNUMBER(SEARCH("biodiversity",P745)),ISNUMBER(SEARCH("green cover",P745))),"Environment",IF(OR(ISNUMBER(SEARCH("irrigation",P745)),ISNUMBER(SEARCH("water",P745)),ISNUMBER(SEARCH("crop",P745)),ISNUMBER(SEARCH("farmer",P745)),ISNUMBER(SEARCH("agriculture",P745))),"Agriculture &amp; water",IF(OR(ISNUMBER(SEARCH("health",P745)),ISNUMBER(SEARCH("hospital",P745)),ISNUMBER(SEARCH("medicine",P745))),"Public health",IF(OR(ISNUMBER(SEARCH("employee",P745)),ISNUMBER(SEARCH("labour",P745)),ISNUMBER(SEARCH("worker",P745)),ISNUMBER(SEARCH("salary",P745))),"Labour &amp; employment",IF(OR(ISNUMBER(SEARCH("rti",P745)),ISNUMBER(SEARCH("transparency",P745)),ISNUMBER(SEARCH("corruption",P745)),ISNUMBER(SEARCH("governance",P745))),"Governance &amp; transparency",IF(OR(ISNUMBER(SEARCH("police",P745)),ISNUMBER(SEARCH("detention",P745)),ISNUMBER(SEARCH("civil rights",P745)),ISNUMBER(SEARCH("justice",P745))),"Civil rights &amp; justice",IF(OR(ISNUMBER(SEARCH("road",P745)),ISNUMBER(SEARCH("utility",P745)),ISNUMBER(SEARCH("infrastructure",P745)),ISNUMBER(SEARCH("public service",P745))),"Infrastructure &amp; public services","Other"))))))))))))</x:f>
      </x:c>
      <x:c r="J745" s="16" t="str">
        <x:f>IF(A745="","",IF(OR(ISNUMBER(SEARCH("fatal",Q745)),ISNUMBER(SEARCH("death",Q745)),ISNUMBER(SEARCH("riot",Q745)),ISNUMBER(SEARCH("curfew",Q745)),ISNUMBER(SEARCH("internet shutdown",Q745))),5,MIN(4,1+IF(H745&gt;=7,1,0)+IF(OR(ISNUMBER(SEARCH("hunger strike",Q745)),ISNUMBER(SEARCH("blockade",Q745)),ISNUMBER(SEARCH("strike",Q745)),ISNUMBER(SEARCH("jal satyagraha",Q745)),ISNUMBER(SEARCH("survey",Q745)),ISNUMBER(SEARCH("human chain",Q745)),ISNUMBER(SEARCH("march",Q745))),1,0)+IF(OR(ISNUMBER(SEARCH("fir",Q745)),ISNUMBER(SEARCH("confrontation",Q745)),ISNUMBER(SEARCH("violence",Q745)),ISNUMBER(SEARCH("detention",Q745)),ISNUMBER(SEARCH("arrest",Q745)),ISNUMBER(SEARCH("demolition",Q745)),ISNUMBER(SEARCH("injury",Q745))),1,0)+IF(OR(D745="Ongoing",D745="Unresolved"),1,0))))</x:f>
      </x:c>
      <x:c r="K745" s="16" t="str">
        <x:f>IF(J745="","",IF(J745=1,"Limited",IF(J745=2,"Local",IF(J745=3,"Significant",IF(J745=4,"High","Critical")))))</x:f>
      </x:c>
      <x:c r="L745" s="16" t="str">
        <x:f>IF(A745="","",Events!U744)</x:f>
      </x:c>
      <x:c r="M745" s="16" t="str">
        <x:f>IF(A745="","",Events!V744)</x:f>
      </x:c>
      <x:c r="N745" s="16" t="str">
        <x:f>IF(A745="","",Events!Q744)</x:f>
      </x:c>
      <x:c r="O745" s="16" t="str">
        <x:f>IF(A745="","",Events!R744)</x:f>
      </x:c>
      <x:c r="P745" s="16" t="str">
        <x:f>IF(A745="","",LOWER(Events!B744&amp;" "&amp;Events!D744&amp;" "&amp;Events!K744))</x:f>
      </x:c>
      <x:c r="Q745" s="16" t="str">
        <x:f>IF(A745="","",LOWER(Events!C744&amp;" "&amp;Events!K744&amp;" "&amp;Events!T744))</x:f>
      </x:c>
      <x:c r="R745" s="16" t="str">
        <x:f>IF(A745="","",IF(ISNUMBER(SEARCH("Occurrence verified",E745)),"Occurrence verified",E745))</x:f>
      </x:c>
      <x:c r="S745" s="79" t="str">
        <x:f>IF(A745="","",Events!X744)</x:f>
      </x:c>
      <x:c r="Z745" s="79" t="str">
        <x:f>IF(A745="","",Events!AD744)</x:f>
      </x:c>
      <x:c r="AA745" s="79" t="str">
        <x:f>IF(A745="","",Events!AE744)</x:f>
      </x:c>
    </x:row>
    <x:row r="746">
      <x:c r="A746" s="16" t="str">
        <x:f>IF(Events!A745="","",Events!A745)</x:f>
      </x:c>
      <x:c r="B746" s="16" t="str">
        <x:f>IF(A746="","",Events!B745)</x:f>
      </x:c>
      <x:c r="C746" s="16" t="str">
        <x:f>IF(A746="","",Events!E745)</x:f>
      </x:c>
      <x:c r="D746" s="16" t="str">
        <x:f>IF(A746="","",Events!J745)</x:f>
      </x:c>
      <x:c r="E746" s="16" t="str">
        <x:f>IF(A746="","",Events!N745)</x:f>
      </x:c>
      <x:c r="F746" s="109" t="str">
        <x:f>IF(OR(A746="",Events!H745=""),"",Events!H745)</x:f>
      </x:c>
      <x:c r="G746" s="109" t="str">
        <x:f>IF(A746="","",IF(Events!I745&lt;&gt;"",Events!I745,IF(Events!S745&lt;&gt;"",Events!S745,"")))</x:f>
      </x:c>
      <x:c r="H746" s="16" t="str">
        <x:f>IF(A746="","",Events!W745)</x:f>
      </x:c>
      <x:c r="I746" s="16" t="str">
        <x:f>IF(A746="","",IF(Events!Y745&lt;&gt;"",Events!Y745,IF(OR(ISNUMBER(SEARCH("education",P746)),ISNUMBER(SEARCH("exam",P746)),ISNUMBER(SEARCH("school",P746))),"Education",IF(OR(ISNUMBER(SEARCH("trade agreement",P746)),ISNUMBER(SEARCH("economic",P746)),ISNUMBER(SEARCH("import",P746))),"Trade &amp; economic policy",IF(OR(ISNUMBER(SEARCH("land acquisition",P746)),ISNUMBER(SEARCH("rehabilitation",P746)),ISNUMBER(SEARCH("displacement",P746)),ISNUMBER(SEARCH("township",P746))),"Land &amp; rehabilitation",IF(OR(ISNUMBER(SEARCH("forest",P746)),ISNUMBER(SEARCH("environment",P746)),ISNUMBER(SEARCH("ecological",P746)),ISNUMBER(SEARCH("biodiversity",P746)),ISNUMBER(SEARCH("green cover",P746))),"Environment",IF(OR(ISNUMBER(SEARCH("irrigation",P746)),ISNUMBER(SEARCH("water",P746)),ISNUMBER(SEARCH("crop",P746)),ISNUMBER(SEARCH("farmer",P746)),ISNUMBER(SEARCH("agriculture",P746))),"Agriculture &amp; water",IF(OR(ISNUMBER(SEARCH("health",P746)),ISNUMBER(SEARCH("hospital",P746)),ISNUMBER(SEARCH("medicine",P746))),"Public health",IF(OR(ISNUMBER(SEARCH("employee",P746)),ISNUMBER(SEARCH("labour",P746)),ISNUMBER(SEARCH("worker",P746)),ISNUMBER(SEARCH("salary",P746))),"Labour &amp; employment",IF(OR(ISNUMBER(SEARCH("rti",P746)),ISNUMBER(SEARCH("transparency",P746)),ISNUMBER(SEARCH("corruption",P746)),ISNUMBER(SEARCH("governance",P746))),"Governance &amp; transparency",IF(OR(ISNUMBER(SEARCH("police",P746)),ISNUMBER(SEARCH("detention",P746)),ISNUMBER(SEARCH("civil rights",P746)),ISNUMBER(SEARCH("justice",P746))),"Civil rights &amp; justice",IF(OR(ISNUMBER(SEARCH("road",P746)),ISNUMBER(SEARCH("utility",P746)),ISNUMBER(SEARCH("infrastructure",P746)),ISNUMBER(SEARCH("public service",P746))),"Infrastructure &amp; public services","Other"))))))))))))</x:f>
      </x:c>
      <x:c r="J746" s="16" t="str">
        <x:f>IF(A746="","",IF(OR(ISNUMBER(SEARCH("fatal",Q746)),ISNUMBER(SEARCH("death",Q746)),ISNUMBER(SEARCH("riot",Q746)),ISNUMBER(SEARCH("curfew",Q746)),ISNUMBER(SEARCH("internet shutdown",Q746))),5,MIN(4,1+IF(H746&gt;=7,1,0)+IF(OR(ISNUMBER(SEARCH("hunger strike",Q746)),ISNUMBER(SEARCH("blockade",Q746)),ISNUMBER(SEARCH("strike",Q746)),ISNUMBER(SEARCH("jal satyagraha",Q746)),ISNUMBER(SEARCH("survey",Q746)),ISNUMBER(SEARCH("human chain",Q746)),ISNUMBER(SEARCH("march",Q746))),1,0)+IF(OR(ISNUMBER(SEARCH("fir",Q746)),ISNUMBER(SEARCH("confrontation",Q746)),ISNUMBER(SEARCH("violence",Q746)),ISNUMBER(SEARCH("detention",Q746)),ISNUMBER(SEARCH("arrest",Q746)),ISNUMBER(SEARCH("demolition",Q746)),ISNUMBER(SEARCH("injury",Q746))),1,0)+IF(OR(D746="Ongoing",D746="Unresolved"),1,0))))</x:f>
      </x:c>
      <x:c r="K746" s="16" t="str">
        <x:f>IF(J746="","",IF(J746=1,"Limited",IF(J746=2,"Local",IF(J746=3,"Significant",IF(J746=4,"High","Critical")))))</x:f>
      </x:c>
      <x:c r="L746" s="16" t="str">
        <x:f>IF(A746="","",Events!U745)</x:f>
      </x:c>
      <x:c r="M746" s="16" t="str">
        <x:f>IF(A746="","",Events!V745)</x:f>
      </x:c>
      <x:c r="N746" s="16" t="str">
        <x:f>IF(A746="","",Events!Q745)</x:f>
      </x:c>
      <x:c r="O746" s="16" t="str">
        <x:f>IF(A746="","",Events!R745)</x:f>
      </x:c>
      <x:c r="P746" s="16" t="str">
        <x:f>IF(A746="","",LOWER(Events!B745&amp;" "&amp;Events!D745&amp;" "&amp;Events!K745))</x:f>
      </x:c>
      <x:c r="Q746" s="16" t="str">
        <x:f>IF(A746="","",LOWER(Events!C745&amp;" "&amp;Events!K745&amp;" "&amp;Events!T745))</x:f>
      </x:c>
      <x:c r="R746" s="16" t="str">
        <x:f>IF(A746="","",IF(ISNUMBER(SEARCH("Occurrence verified",E746)),"Occurrence verified",E746))</x:f>
      </x:c>
      <x:c r="S746" s="79" t="str">
        <x:f>IF(A746="","",Events!X745)</x:f>
      </x:c>
      <x:c r="Z746" s="79" t="str">
        <x:f>IF(A746="","",Events!AD745)</x:f>
      </x:c>
      <x:c r="AA746" s="79" t="str">
        <x:f>IF(A746="","",Events!AE745)</x:f>
      </x:c>
    </x:row>
    <x:row r="747">
      <x:c r="A747" s="16" t="str">
        <x:f>IF(Events!A746="","",Events!A746)</x:f>
      </x:c>
      <x:c r="B747" s="16" t="str">
        <x:f>IF(A747="","",Events!B746)</x:f>
      </x:c>
      <x:c r="C747" s="16" t="str">
        <x:f>IF(A747="","",Events!E746)</x:f>
      </x:c>
      <x:c r="D747" s="16" t="str">
        <x:f>IF(A747="","",Events!J746)</x:f>
      </x:c>
      <x:c r="E747" s="16" t="str">
        <x:f>IF(A747="","",Events!N746)</x:f>
      </x:c>
      <x:c r="F747" s="109" t="str">
        <x:f>IF(OR(A747="",Events!H746=""),"",Events!H746)</x:f>
      </x:c>
      <x:c r="G747" s="109" t="str">
        <x:f>IF(A747="","",IF(Events!I746&lt;&gt;"",Events!I746,IF(Events!S746&lt;&gt;"",Events!S746,"")))</x:f>
      </x:c>
      <x:c r="H747" s="16" t="str">
        <x:f>IF(A747="","",Events!W746)</x:f>
      </x:c>
      <x:c r="I747" s="16" t="str">
        <x:f>IF(A747="","",IF(Events!Y746&lt;&gt;"",Events!Y746,IF(OR(ISNUMBER(SEARCH("education",P747)),ISNUMBER(SEARCH("exam",P747)),ISNUMBER(SEARCH("school",P747))),"Education",IF(OR(ISNUMBER(SEARCH("trade agreement",P747)),ISNUMBER(SEARCH("economic",P747)),ISNUMBER(SEARCH("import",P747))),"Trade &amp; economic policy",IF(OR(ISNUMBER(SEARCH("land acquisition",P747)),ISNUMBER(SEARCH("rehabilitation",P747)),ISNUMBER(SEARCH("displacement",P747)),ISNUMBER(SEARCH("township",P747))),"Land &amp; rehabilitation",IF(OR(ISNUMBER(SEARCH("forest",P747)),ISNUMBER(SEARCH("environment",P747)),ISNUMBER(SEARCH("ecological",P747)),ISNUMBER(SEARCH("biodiversity",P747)),ISNUMBER(SEARCH("green cover",P747))),"Environment",IF(OR(ISNUMBER(SEARCH("irrigation",P747)),ISNUMBER(SEARCH("water",P747)),ISNUMBER(SEARCH("crop",P747)),ISNUMBER(SEARCH("farmer",P747)),ISNUMBER(SEARCH("agriculture",P747))),"Agriculture &amp; water",IF(OR(ISNUMBER(SEARCH("health",P747)),ISNUMBER(SEARCH("hospital",P747)),ISNUMBER(SEARCH("medicine",P747))),"Public health",IF(OR(ISNUMBER(SEARCH("employee",P747)),ISNUMBER(SEARCH("labour",P747)),ISNUMBER(SEARCH("worker",P747)),ISNUMBER(SEARCH("salary",P747))),"Labour &amp; employment",IF(OR(ISNUMBER(SEARCH("rti",P747)),ISNUMBER(SEARCH("transparency",P747)),ISNUMBER(SEARCH("corruption",P747)),ISNUMBER(SEARCH("governance",P747))),"Governance &amp; transparency",IF(OR(ISNUMBER(SEARCH("police",P747)),ISNUMBER(SEARCH("detention",P747)),ISNUMBER(SEARCH("civil rights",P747)),ISNUMBER(SEARCH("justice",P747))),"Civil rights &amp; justice",IF(OR(ISNUMBER(SEARCH("road",P747)),ISNUMBER(SEARCH("utility",P747)),ISNUMBER(SEARCH("infrastructure",P747)),ISNUMBER(SEARCH("public service",P747))),"Infrastructure &amp; public services","Other"))))))))))))</x:f>
      </x:c>
      <x:c r="J747" s="16" t="str">
        <x:f>IF(A747="","",IF(OR(ISNUMBER(SEARCH("fatal",Q747)),ISNUMBER(SEARCH("death",Q747)),ISNUMBER(SEARCH("riot",Q747)),ISNUMBER(SEARCH("curfew",Q747)),ISNUMBER(SEARCH("internet shutdown",Q747))),5,MIN(4,1+IF(H747&gt;=7,1,0)+IF(OR(ISNUMBER(SEARCH("hunger strike",Q747)),ISNUMBER(SEARCH("blockade",Q747)),ISNUMBER(SEARCH("strike",Q747)),ISNUMBER(SEARCH("jal satyagraha",Q747)),ISNUMBER(SEARCH("survey",Q747)),ISNUMBER(SEARCH("human chain",Q747)),ISNUMBER(SEARCH("march",Q747))),1,0)+IF(OR(ISNUMBER(SEARCH("fir",Q747)),ISNUMBER(SEARCH("confrontation",Q747)),ISNUMBER(SEARCH("violence",Q747)),ISNUMBER(SEARCH("detention",Q747)),ISNUMBER(SEARCH("arrest",Q747)),ISNUMBER(SEARCH("demolition",Q747)),ISNUMBER(SEARCH("injury",Q747))),1,0)+IF(OR(D747="Ongoing",D747="Unresolved"),1,0))))</x:f>
      </x:c>
      <x:c r="K747" s="16" t="str">
        <x:f>IF(J747="","",IF(J747=1,"Limited",IF(J747=2,"Local",IF(J747=3,"Significant",IF(J747=4,"High","Critical")))))</x:f>
      </x:c>
      <x:c r="L747" s="16" t="str">
        <x:f>IF(A747="","",Events!U746)</x:f>
      </x:c>
      <x:c r="M747" s="16" t="str">
        <x:f>IF(A747="","",Events!V746)</x:f>
      </x:c>
      <x:c r="N747" s="16" t="str">
        <x:f>IF(A747="","",Events!Q746)</x:f>
      </x:c>
      <x:c r="O747" s="16" t="str">
        <x:f>IF(A747="","",Events!R746)</x:f>
      </x:c>
      <x:c r="P747" s="16" t="str">
        <x:f>IF(A747="","",LOWER(Events!B746&amp;" "&amp;Events!D746&amp;" "&amp;Events!K746))</x:f>
      </x:c>
      <x:c r="Q747" s="16" t="str">
        <x:f>IF(A747="","",LOWER(Events!C746&amp;" "&amp;Events!K746&amp;" "&amp;Events!T746))</x:f>
      </x:c>
      <x:c r="R747" s="16" t="str">
        <x:f>IF(A747="","",IF(ISNUMBER(SEARCH("Occurrence verified",E747)),"Occurrence verified",E747))</x:f>
      </x:c>
      <x:c r="S747" s="79" t="str">
        <x:f>IF(A747="","",Events!X746)</x:f>
      </x:c>
      <x:c r="Z747" s="79" t="str">
        <x:f>IF(A747="","",Events!AD746)</x:f>
      </x:c>
      <x:c r="AA747" s="79" t="str">
        <x:f>IF(A747="","",Events!AE746)</x:f>
      </x:c>
    </x:row>
    <x:row r="748">
      <x:c r="A748" s="16" t="str">
        <x:f>IF(Events!A747="","",Events!A747)</x:f>
      </x:c>
      <x:c r="B748" s="16" t="str">
        <x:f>IF(A748="","",Events!B747)</x:f>
      </x:c>
      <x:c r="C748" s="16" t="str">
        <x:f>IF(A748="","",Events!E747)</x:f>
      </x:c>
      <x:c r="D748" s="16" t="str">
        <x:f>IF(A748="","",Events!J747)</x:f>
      </x:c>
      <x:c r="E748" s="16" t="str">
        <x:f>IF(A748="","",Events!N747)</x:f>
      </x:c>
      <x:c r="F748" s="109" t="str">
        <x:f>IF(OR(A748="",Events!H747=""),"",Events!H747)</x:f>
      </x:c>
      <x:c r="G748" s="109" t="str">
        <x:f>IF(A748="","",IF(Events!I747&lt;&gt;"",Events!I747,IF(Events!S747&lt;&gt;"",Events!S747,"")))</x:f>
      </x:c>
      <x:c r="H748" s="16" t="str">
        <x:f>IF(A748="","",Events!W747)</x:f>
      </x:c>
      <x:c r="I748" s="16" t="str">
        <x:f>IF(A748="","",IF(Events!Y747&lt;&gt;"",Events!Y747,IF(OR(ISNUMBER(SEARCH("education",P748)),ISNUMBER(SEARCH("exam",P748)),ISNUMBER(SEARCH("school",P748))),"Education",IF(OR(ISNUMBER(SEARCH("trade agreement",P748)),ISNUMBER(SEARCH("economic",P748)),ISNUMBER(SEARCH("import",P748))),"Trade &amp; economic policy",IF(OR(ISNUMBER(SEARCH("land acquisition",P748)),ISNUMBER(SEARCH("rehabilitation",P748)),ISNUMBER(SEARCH("displacement",P748)),ISNUMBER(SEARCH("township",P748))),"Land &amp; rehabilitation",IF(OR(ISNUMBER(SEARCH("forest",P748)),ISNUMBER(SEARCH("environment",P748)),ISNUMBER(SEARCH("ecological",P748)),ISNUMBER(SEARCH("biodiversity",P748)),ISNUMBER(SEARCH("green cover",P748))),"Environment",IF(OR(ISNUMBER(SEARCH("irrigation",P748)),ISNUMBER(SEARCH("water",P748)),ISNUMBER(SEARCH("crop",P748)),ISNUMBER(SEARCH("farmer",P748)),ISNUMBER(SEARCH("agriculture",P748))),"Agriculture &amp; water",IF(OR(ISNUMBER(SEARCH("health",P748)),ISNUMBER(SEARCH("hospital",P748)),ISNUMBER(SEARCH("medicine",P748))),"Public health",IF(OR(ISNUMBER(SEARCH("employee",P748)),ISNUMBER(SEARCH("labour",P748)),ISNUMBER(SEARCH("worker",P748)),ISNUMBER(SEARCH("salary",P748))),"Labour &amp; employment",IF(OR(ISNUMBER(SEARCH("rti",P748)),ISNUMBER(SEARCH("transparency",P748)),ISNUMBER(SEARCH("corruption",P748)),ISNUMBER(SEARCH("governance",P748))),"Governance &amp; transparency",IF(OR(ISNUMBER(SEARCH("police",P748)),ISNUMBER(SEARCH("detention",P748)),ISNUMBER(SEARCH("civil rights",P748)),ISNUMBER(SEARCH("justice",P748))),"Civil rights &amp; justice",IF(OR(ISNUMBER(SEARCH("road",P748)),ISNUMBER(SEARCH("utility",P748)),ISNUMBER(SEARCH("infrastructure",P748)),ISNUMBER(SEARCH("public service",P748))),"Infrastructure &amp; public services","Other"))))))))))))</x:f>
      </x:c>
      <x:c r="J748" s="16" t="str">
        <x:f>IF(A748="","",IF(OR(ISNUMBER(SEARCH("fatal",Q748)),ISNUMBER(SEARCH("death",Q748)),ISNUMBER(SEARCH("riot",Q748)),ISNUMBER(SEARCH("curfew",Q748)),ISNUMBER(SEARCH("internet shutdown",Q748))),5,MIN(4,1+IF(H748&gt;=7,1,0)+IF(OR(ISNUMBER(SEARCH("hunger strike",Q748)),ISNUMBER(SEARCH("blockade",Q748)),ISNUMBER(SEARCH("strike",Q748)),ISNUMBER(SEARCH("jal satyagraha",Q748)),ISNUMBER(SEARCH("survey",Q748)),ISNUMBER(SEARCH("human chain",Q748)),ISNUMBER(SEARCH("march",Q748))),1,0)+IF(OR(ISNUMBER(SEARCH("fir",Q748)),ISNUMBER(SEARCH("confrontation",Q748)),ISNUMBER(SEARCH("violence",Q748)),ISNUMBER(SEARCH("detention",Q748)),ISNUMBER(SEARCH("arrest",Q748)),ISNUMBER(SEARCH("demolition",Q748)),ISNUMBER(SEARCH("injury",Q748))),1,0)+IF(OR(D748="Ongoing",D748="Unresolved"),1,0))))</x:f>
      </x:c>
      <x:c r="K748" s="16" t="str">
        <x:f>IF(J748="","",IF(J748=1,"Limited",IF(J748=2,"Local",IF(J748=3,"Significant",IF(J748=4,"High","Critical")))))</x:f>
      </x:c>
      <x:c r="L748" s="16" t="str">
        <x:f>IF(A748="","",Events!U747)</x:f>
      </x:c>
      <x:c r="M748" s="16" t="str">
        <x:f>IF(A748="","",Events!V747)</x:f>
      </x:c>
      <x:c r="N748" s="16" t="str">
        <x:f>IF(A748="","",Events!Q747)</x:f>
      </x:c>
      <x:c r="O748" s="16" t="str">
        <x:f>IF(A748="","",Events!R747)</x:f>
      </x:c>
      <x:c r="P748" s="16" t="str">
        <x:f>IF(A748="","",LOWER(Events!B747&amp;" "&amp;Events!D747&amp;" "&amp;Events!K747))</x:f>
      </x:c>
      <x:c r="Q748" s="16" t="str">
        <x:f>IF(A748="","",LOWER(Events!C747&amp;" "&amp;Events!K747&amp;" "&amp;Events!T747))</x:f>
      </x:c>
      <x:c r="R748" s="16" t="str">
        <x:f>IF(A748="","",IF(ISNUMBER(SEARCH("Occurrence verified",E748)),"Occurrence verified",E748))</x:f>
      </x:c>
      <x:c r="S748" s="79" t="str">
        <x:f>IF(A748="","",Events!X747)</x:f>
      </x:c>
      <x:c r="Z748" s="79" t="str">
        <x:f>IF(A748="","",Events!AD747)</x:f>
      </x:c>
      <x:c r="AA748" s="79" t="str">
        <x:f>IF(A748="","",Events!AE747)</x:f>
      </x:c>
    </x:row>
    <x:row r="749">
      <x:c r="A749" s="16" t="str">
        <x:f>IF(Events!A748="","",Events!A748)</x:f>
      </x:c>
      <x:c r="B749" s="16" t="str">
        <x:f>IF(A749="","",Events!B748)</x:f>
      </x:c>
      <x:c r="C749" s="16" t="str">
        <x:f>IF(A749="","",Events!E748)</x:f>
      </x:c>
      <x:c r="D749" s="16" t="str">
        <x:f>IF(A749="","",Events!J748)</x:f>
      </x:c>
      <x:c r="E749" s="16" t="str">
        <x:f>IF(A749="","",Events!N748)</x:f>
      </x:c>
      <x:c r="F749" s="109" t="str">
        <x:f>IF(OR(A749="",Events!H748=""),"",Events!H748)</x:f>
      </x:c>
      <x:c r="G749" s="109" t="str">
        <x:f>IF(A749="","",IF(Events!I748&lt;&gt;"",Events!I748,IF(Events!S748&lt;&gt;"",Events!S748,"")))</x:f>
      </x:c>
      <x:c r="H749" s="16" t="str">
        <x:f>IF(A749="","",Events!W748)</x:f>
      </x:c>
      <x:c r="I749" s="16" t="str">
        <x:f>IF(A749="","",IF(Events!Y748&lt;&gt;"",Events!Y748,IF(OR(ISNUMBER(SEARCH("education",P749)),ISNUMBER(SEARCH("exam",P749)),ISNUMBER(SEARCH("school",P749))),"Education",IF(OR(ISNUMBER(SEARCH("trade agreement",P749)),ISNUMBER(SEARCH("economic",P749)),ISNUMBER(SEARCH("import",P749))),"Trade &amp; economic policy",IF(OR(ISNUMBER(SEARCH("land acquisition",P749)),ISNUMBER(SEARCH("rehabilitation",P749)),ISNUMBER(SEARCH("displacement",P749)),ISNUMBER(SEARCH("township",P749))),"Land &amp; rehabilitation",IF(OR(ISNUMBER(SEARCH("forest",P749)),ISNUMBER(SEARCH("environment",P749)),ISNUMBER(SEARCH("ecological",P749)),ISNUMBER(SEARCH("biodiversity",P749)),ISNUMBER(SEARCH("green cover",P749))),"Environment",IF(OR(ISNUMBER(SEARCH("irrigation",P749)),ISNUMBER(SEARCH("water",P749)),ISNUMBER(SEARCH("crop",P749)),ISNUMBER(SEARCH("farmer",P749)),ISNUMBER(SEARCH("agriculture",P749))),"Agriculture &amp; water",IF(OR(ISNUMBER(SEARCH("health",P749)),ISNUMBER(SEARCH("hospital",P749)),ISNUMBER(SEARCH("medicine",P749))),"Public health",IF(OR(ISNUMBER(SEARCH("employee",P749)),ISNUMBER(SEARCH("labour",P749)),ISNUMBER(SEARCH("worker",P749)),ISNUMBER(SEARCH("salary",P749))),"Labour &amp; employment",IF(OR(ISNUMBER(SEARCH("rti",P749)),ISNUMBER(SEARCH("transparency",P749)),ISNUMBER(SEARCH("corruption",P749)),ISNUMBER(SEARCH("governance",P749))),"Governance &amp; transparency",IF(OR(ISNUMBER(SEARCH("police",P749)),ISNUMBER(SEARCH("detention",P749)),ISNUMBER(SEARCH("civil rights",P749)),ISNUMBER(SEARCH("justice",P749))),"Civil rights &amp; justice",IF(OR(ISNUMBER(SEARCH("road",P749)),ISNUMBER(SEARCH("utility",P749)),ISNUMBER(SEARCH("infrastructure",P749)),ISNUMBER(SEARCH("public service",P749))),"Infrastructure &amp; public services","Other"))))))))))))</x:f>
      </x:c>
      <x:c r="J749" s="16" t="str">
        <x:f>IF(A749="","",IF(OR(ISNUMBER(SEARCH("fatal",Q749)),ISNUMBER(SEARCH("death",Q749)),ISNUMBER(SEARCH("riot",Q749)),ISNUMBER(SEARCH("curfew",Q749)),ISNUMBER(SEARCH("internet shutdown",Q749))),5,MIN(4,1+IF(H749&gt;=7,1,0)+IF(OR(ISNUMBER(SEARCH("hunger strike",Q749)),ISNUMBER(SEARCH("blockade",Q749)),ISNUMBER(SEARCH("strike",Q749)),ISNUMBER(SEARCH("jal satyagraha",Q749)),ISNUMBER(SEARCH("survey",Q749)),ISNUMBER(SEARCH("human chain",Q749)),ISNUMBER(SEARCH("march",Q749))),1,0)+IF(OR(ISNUMBER(SEARCH("fir",Q749)),ISNUMBER(SEARCH("confrontation",Q749)),ISNUMBER(SEARCH("violence",Q749)),ISNUMBER(SEARCH("detention",Q749)),ISNUMBER(SEARCH("arrest",Q749)),ISNUMBER(SEARCH("demolition",Q749)),ISNUMBER(SEARCH("injury",Q749))),1,0)+IF(OR(D749="Ongoing",D749="Unresolved"),1,0))))</x:f>
      </x:c>
      <x:c r="K749" s="16" t="str">
        <x:f>IF(J749="","",IF(J749=1,"Limited",IF(J749=2,"Local",IF(J749=3,"Significant",IF(J749=4,"High","Critical")))))</x:f>
      </x:c>
      <x:c r="L749" s="16" t="str">
        <x:f>IF(A749="","",Events!U748)</x:f>
      </x:c>
      <x:c r="M749" s="16" t="str">
        <x:f>IF(A749="","",Events!V748)</x:f>
      </x:c>
      <x:c r="N749" s="16" t="str">
        <x:f>IF(A749="","",Events!Q748)</x:f>
      </x:c>
      <x:c r="O749" s="16" t="str">
        <x:f>IF(A749="","",Events!R748)</x:f>
      </x:c>
      <x:c r="P749" s="16" t="str">
        <x:f>IF(A749="","",LOWER(Events!B748&amp;" "&amp;Events!D748&amp;" "&amp;Events!K748))</x:f>
      </x:c>
      <x:c r="Q749" s="16" t="str">
        <x:f>IF(A749="","",LOWER(Events!C748&amp;" "&amp;Events!K748&amp;" "&amp;Events!T748))</x:f>
      </x:c>
      <x:c r="R749" s="16" t="str">
        <x:f>IF(A749="","",IF(ISNUMBER(SEARCH("Occurrence verified",E749)),"Occurrence verified",E749))</x:f>
      </x:c>
      <x:c r="S749" s="79" t="str">
        <x:f>IF(A749="","",Events!X748)</x:f>
      </x:c>
      <x:c r="Z749" s="79" t="str">
        <x:f>IF(A749="","",Events!AD748)</x:f>
      </x:c>
      <x:c r="AA749" s="79" t="str">
        <x:f>IF(A749="","",Events!AE748)</x:f>
      </x:c>
    </x:row>
    <x:row r="750">
      <x:c r="A750" s="16" t="str">
        <x:f>IF(Events!A749="","",Events!A749)</x:f>
      </x:c>
      <x:c r="B750" s="16" t="str">
        <x:f>IF(A750="","",Events!B749)</x:f>
      </x:c>
      <x:c r="C750" s="16" t="str">
        <x:f>IF(A750="","",Events!E749)</x:f>
      </x:c>
      <x:c r="D750" s="16" t="str">
        <x:f>IF(A750="","",Events!J749)</x:f>
      </x:c>
      <x:c r="E750" s="16" t="str">
        <x:f>IF(A750="","",Events!N749)</x:f>
      </x:c>
      <x:c r="F750" s="109" t="str">
        <x:f>IF(OR(A750="",Events!H749=""),"",Events!H749)</x:f>
      </x:c>
      <x:c r="G750" s="109" t="str">
        <x:f>IF(A750="","",IF(Events!I749&lt;&gt;"",Events!I749,IF(Events!S749&lt;&gt;"",Events!S749,"")))</x:f>
      </x:c>
      <x:c r="H750" s="16" t="str">
        <x:f>IF(A750="","",Events!W749)</x:f>
      </x:c>
      <x:c r="I750" s="16" t="str">
        <x:f>IF(A750="","",IF(Events!Y749&lt;&gt;"",Events!Y749,IF(OR(ISNUMBER(SEARCH("education",P750)),ISNUMBER(SEARCH("exam",P750)),ISNUMBER(SEARCH("school",P750))),"Education",IF(OR(ISNUMBER(SEARCH("trade agreement",P750)),ISNUMBER(SEARCH("economic",P750)),ISNUMBER(SEARCH("import",P750))),"Trade &amp; economic policy",IF(OR(ISNUMBER(SEARCH("land acquisition",P750)),ISNUMBER(SEARCH("rehabilitation",P750)),ISNUMBER(SEARCH("displacement",P750)),ISNUMBER(SEARCH("township",P750))),"Land &amp; rehabilitation",IF(OR(ISNUMBER(SEARCH("forest",P750)),ISNUMBER(SEARCH("environment",P750)),ISNUMBER(SEARCH("ecological",P750)),ISNUMBER(SEARCH("biodiversity",P750)),ISNUMBER(SEARCH("green cover",P750))),"Environment",IF(OR(ISNUMBER(SEARCH("irrigation",P750)),ISNUMBER(SEARCH("water",P750)),ISNUMBER(SEARCH("crop",P750)),ISNUMBER(SEARCH("farmer",P750)),ISNUMBER(SEARCH("agriculture",P750))),"Agriculture &amp; water",IF(OR(ISNUMBER(SEARCH("health",P750)),ISNUMBER(SEARCH("hospital",P750)),ISNUMBER(SEARCH("medicine",P750))),"Public health",IF(OR(ISNUMBER(SEARCH("employee",P750)),ISNUMBER(SEARCH("labour",P750)),ISNUMBER(SEARCH("worker",P750)),ISNUMBER(SEARCH("salary",P750))),"Labour &amp; employment",IF(OR(ISNUMBER(SEARCH("rti",P750)),ISNUMBER(SEARCH("transparency",P750)),ISNUMBER(SEARCH("corruption",P750)),ISNUMBER(SEARCH("governance",P750))),"Governance &amp; transparency",IF(OR(ISNUMBER(SEARCH("police",P750)),ISNUMBER(SEARCH("detention",P750)),ISNUMBER(SEARCH("civil rights",P750)),ISNUMBER(SEARCH("justice",P750))),"Civil rights &amp; justice",IF(OR(ISNUMBER(SEARCH("road",P750)),ISNUMBER(SEARCH("utility",P750)),ISNUMBER(SEARCH("infrastructure",P750)),ISNUMBER(SEARCH("public service",P750))),"Infrastructure &amp; public services","Other"))))))))))))</x:f>
      </x:c>
      <x:c r="J750" s="16" t="str">
        <x:f>IF(A750="","",IF(OR(ISNUMBER(SEARCH("fatal",Q750)),ISNUMBER(SEARCH("death",Q750)),ISNUMBER(SEARCH("riot",Q750)),ISNUMBER(SEARCH("curfew",Q750)),ISNUMBER(SEARCH("internet shutdown",Q750))),5,MIN(4,1+IF(H750&gt;=7,1,0)+IF(OR(ISNUMBER(SEARCH("hunger strike",Q750)),ISNUMBER(SEARCH("blockade",Q750)),ISNUMBER(SEARCH("strike",Q750)),ISNUMBER(SEARCH("jal satyagraha",Q750)),ISNUMBER(SEARCH("survey",Q750)),ISNUMBER(SEARCH("human chain",Q750)),ISNUMBER(SEARCH("march",Q750))),1,0)+IF(OR(ISNUMBER(SEARCH("fir",Q750)),ISNUMBER(SEARCH("confrontation",Q750)),ISNUMBER(SEARCH("violence",Q750)),ISNUMBER(SEARCH("detention",Q750)),ISNUMBER(SEARCH("arrest",Q750)),ISNUMBER(SEARCH("demolition",Q750)),ISNUMBER(SEARCH("injury",Q750))),1,0)+IF(OR(D750="Ongoing",D750="Unresolved"),1,0))))</x:f>
      </x:c>
      <x:c r="K750" s="16" t="str">
        <x:f>IF(J750="","",IF(J750=1,"Limited",IF(J750=2,"Local",IF(J750=3,"Significant",IF(J750=4,"High","Critical")))))</x:f>
      </x:c>
      <x:c r="L750" s="16" t="str">
        <x:f>IF(A750="","",Events!U749)</x:f>
      </x:c>
      <x:c r="M750" s="16" t="str">
        <x:f>IF(A750="","",Events!V749)</x:f>
      </x:c>
      <x:c r="N750" s="16" t="str">
        <x:f>IF(A750="","",Events!Q749)</x:f>
      </x:c>
      <x:c r="O750" s="16" t="str">
        <x:f>IF(A750="","",Events!R749)</x:f>
      </x:c>
      <x:c r="P750" s="16" t="str">
        <x:f>IF(A750="","",LOWER(Events!B749&amp;" "&amp;Events!D749&amp;" "&amp;Events!K749))</x:f>
      </x:c>
      <x:c r="Q750" s="16" t="str">
        <x:f>IF(A750="","",LOWER(Events!C749&amp;" "&amp;Events!K749&amp;" "&amp;Events!T749))</x:f>
      </x:c>
      <x:c r="R750" s="16" t="str">
        <x:f>IF(A750="","",IF(ISNUMBER(SEARCH("Occurrence verified",E750)),"Occurrence verified",E750))</x:f>
      </x:c>
      <x:c r="S750" s="79" t="str">
        <x:f>IF(A750="","",Events!X749)</x:f>
      </x:c>
      <x:c r="Z750" s="79" t="str">
        <x:f>IF(A750="","",Events!AD749)</x:f>
      </x:c>
      <x:c r="AA750" s="79" t="str">
        <x:f>IF(A750="","",Events!AE749)</x:f>
      </x:c>
    </x:row>
    <x:row r="751">
      <x:c r="A751" s="16" t="str">
        <x:f>IF(Events!A750="","",Events!A750)</x:f>
      </x:c>
      <x:c r="B751" s="16" t="str">
        <x:f>IF(A751="","",Events!B750)</x:f>
      </x:c>
      <x:c r="C751" s="16" t="str">
        <x:f>IF(A751="","",Events!E750)</x:f>
      </x:c>
      <x:c r="D751" s="16" t="str">
        <x:f>IF(A751="","",Events!J750)</x:f>
      </x:c>
      <x:c r="E751" s="16" t="str">
        <x:f>IF(A751="","",Events!N750)</x:f>
      </x:c>
      <x:c r="F751" s="109" t="str">
        <x:f>IF(OR(A751="",Events!H750=""),"",Events!H750)</x:f>
      </x:c>
      <x:c r="G751" s="109" t="str">
        <x:f>IF(A751="","",IF(Events!I750&lt;&gt;"",Events!I750,IF(Events!S750&lt;&gt;"",Events!S750,"")))</x:f>
      </x:c>
      <x:c r="H751" s="16" t="str">
        <x:f>IF(A751="","",Events!W750)</x:f>
      </x:c>
      <x:c r="I751" s="16" t="str">
        <x:f>IF(A751="","",IF(Events!Y750&lt;&gt;"",Events!Y750,IF(OR(ISNUMBER(SEARCH("education",P751)),ISNUMBER(SEARCH("exam",P751)),ISNUMBER(SEARCH("school",P751))),"Education",IF(OR(ISNUMBER(SEARCH("trade agreement",P751)),ISNUMBER(SEARCH("economic",P751)),ISNUMBER(SEARCH("import",P751))),"Trade &amp; economic policy",IF(OR(ISNUMBER(SEARCH("land acquisition",P751)),ISNUMBER(SEARCH("rehabilitation",P751)),ISNUMBER(SEARCH("displacement",P751)),ISNUMBER(SEARCH("township",P751))),"Land &amp; rehabilitation",IF(OR(ISNUMBER(SEARCH("forest",P751)),ISNUMBER(SEARCH("environment",P751)),ISNUMBER(SEARCH("ecological",P751)),ISNUMBER(SEARCH("biodiversity",P751)),ISNUMBER(SEARCH("green cover",P751))),"Environment",IF(OR(ISNUMBER(SEARCH("irrigation",P751)),ISNUMBER(SEARCH("water",P751)),ISNUMBER(SEARCH("crop",P751)),ISNUMBER(SEARCH("farmer",P751)),ISNUMBER(SEARCH("agriculture",P751))),"Agriculture &amp; water",IF(OR(ISNUMBER(SEARCH("health",P751)),ISNUMBER(SEARCH("hospital",P751)),ISNUMBER(SEARCH("medicine",P751))),"Public health",IF(OR(ISNUMBER(SEARCH("employee",P751)),ISNUMBER(SEARCH("labour",P751)),ISNUMBER(SEARCH("worker",P751)),ISNUMBER(SEARCH("salary",P751))),"Labour &amp; employment",IF(OR(ISNUMBER(SEARCH("rti",P751)),ISNUMBER(SEARCH("transparency",P751)),ISNUMBER(SEARCH("corruption",P751)),ISNUMBER(SEARCH("governance",P751))),"Governance &amp; transparency",IF(OR(ISNUMBER(SEARCH("police",P751)),ISNUMBER(SEARCH("detention",P751)),ISNUMBER(SEARCH("civil rights",P751)),ISNUMBER(SEARCH("justice",P751))),"Civil rights &amp; justice",IF(OR(ISNUMBER(SEARCH("road",P751)),ISNUMBER(SEARCH("utility",P751)),ISNUMBER(SEARCH("infrastructure",P751)),ISNUMBER(SEARCH("public service",P751))),"Infrastructure &amp; public services","Other"))))))))))))</x:f>
      </x:c>
      <x:c r="J751" s="16" t="str">
        <x:f>IF(A751="","",IF(OR(ISNUMBER(SEARCH("fatal",Q751)),ISNUMBER(SEARCH("death",Q751)),ISNUMBER(SEARCH("riot",Q751)),ISNUMBER(SEARCH("curfew",Q751)),ISNUMBER(SEARCH("internet shutdown",Q751))),5,MIN(4,1+IF(H751&gt;=7,1,0)+IF(OR(ISNUMBER(SEARCH("hunger strike",Q751)),ISNUMBER(SEARCH("blockade",Q751)),ISNUMBER(SEARCH("strike",Q751)),ISNUMBER(SEARCH("jal satyagraha",Q751)),ISNUMBER(SEARCH("survey",Q751)),ISNUMBER(SEARCH("human chain",Q751)),ISNUMBER(SEARCH("march",Q751))),1,0)+IF(OR(ISNUMBER(SEARCH("fir",Q751)),ISNUMBER(SEARCH("confrontation",Q751)),ISNUMBER(SEARCH("violence",Q751)),ISNUMBER(SEARCH("detention",Q751)),ISNUMBER(SEARCH("arrest",Q751)),ISNUMBER(SEARCH("demolition",Q751)),ISNUMBER(SEARCH("injury",Q751))),1,0)+IF(OR(D751="Ongoing",D751="Unresolved"),1,0))))</x:f>
      </x:c>
      <x:c r="K751" s="16" t="str">
        <x:f>IF(J751="","",IF(J751=1,"Limited",IF(J751=2,"Local",IF(J751=3,"Significant",IF(J751=4,"High","Critical")))))</x:f>
      </x:c>
      <x:c r="L751" s="16" t="str">
        <x:f>IF(A751="","",Events!U750)</x:f>
      </x:c>
      <x:c r="M751" s="16" t="str">
        <x:f>IF(A751="","",Events!V750)</x:f>
      </x:c>
      <x:c r="N751" s="16" t="str">
        <x:f>IF(A751="","",Events!Q750)</x:f>
      </x:c>
      <x:c r="O751" s="16" t="str">
        <x:f>IF(A751="","",Events!R750)</x:f>
      </x:c>
      <x:c r="P751" s="16" t="str">
        <x:f>IF(A751="","",LOWER(Events!B750&amp;" "&amp;Events!D750&amp;" "&amp;Events!K750))</x:f>
      </x:c>
      <x:c r="Q751" s="16" t="str">
        <x:f>IF(A751="","",LOWER(Events!C750&amp;" "&amp;Events!K750&amp;" "&amp;Events!T750))</x:f>
      </x:c>
      <x:c r="R751" s="16" t="str">
        <x:f>IF(A751="","",IF(ISNUMBER(SEARCH("Occurrence verified",E751)),"Occurrence verified",E751))</x:f>
      </x:c>
      <x:c r="S751" s="79" t="str">
        <x:f>IF(A751="","",Events!X750)</x:f>
      </x:c>
      <x:c r="Z751" s="79" t="str">
        <x:f>IF(A751="","",Events!AD750)</x:f>
      </x:c>
      <x:c r="AA751" s="79" t="str">
        <x:f>IF(A751="","",Events!AE750)</x:f>
      </x:c>
    </x:row>
    <x:row r="752">
      <x:c r="A752" s="16" t="str">
        <x:f>IF(Events!A751="","",Events!A751)</x:f>
      </x:c>
      <x:c r="B752" s="16" t="str">
        <x:f>IF(A752="","",Events!B751)</x:f>
      </x:c>
      <x:c r="C752" s="16" t="str">
        <x:f>IF(A752="","",Events!E751)</x:f>
      </x:c>
      <x:c r="D752" s="16" t="str">
        <x:f>IF(A752="","",Events!J751)</x:f>
      </x:c>
      <x:c r="E752" s="16" t="str">
        <x:f>IF(A752="","",Events!N751)</x:f>
      </x:c>
      <x:c r="F752" s="109" t="str">
        <x:f>IF(OR(A752="",Events!H751=""),"",Events!H751)</x:f>
      </x:c>
      <x:c r="G752" s="109" t="str">
        <x:f>IF(A752="","",IF(Events!I751&lt;&gt;"",Events!I751,IF(Events!S751&lt;&gt;"",Events!S751,"")))</x:f>
      </x:c>
      <x:c r="H752" s="16" t="str">
        <x:f>IF(A752="","",Events!W751)</x:f>
      </x:c>
      <x:c r="I752" s="16" t="str">
        <x:f>IF(A752="","",IF(Events!Y751&lt;&gt;"",Events!Y751,IF(OR(ISNUMBER(SEARCH("education",P752)),ISNUMBER(SEARCH("exam",P752)),ISNUMBER(SEARCH("school",P752))),"Education",IF(OR(ISNUMBER(SEARCH("trade agreement",P752)),ISNUMBER(SEARCH("economic",P752)),ISNUMBER(SEARCH("import",P752))),"Trade &amp; economic policy",IF(OR(ISNUMBER(SEARCH("land acquisition",P752)),ISNUMBER(SEARCH("rehabilitation",P752)),ISNUMBER(SEARCH("displacement",P752)),ISNUMBER(SEARCH("township",P752))),"Land &amp; rehabilitation",IF(OR(ISNUMBER(SEARCH("forest",P752)),ISNUMBER(SEARCH("environment",P752)),ISNUMBER(SEARCH("ecological",P752)),ISNUMBER(SEARCH("biodiversity",P752)),ISNUMBER(SEARCH("green cover",P752))),"Environment",IF(OR(ISNUMBER(SEARCH("irrigation",P752)),ISNUMBER(SEARCH("water",P752)),ISNUMBER(SEARCH("crop",P752)),ISNUMBER(SEARCH("farmer",P752)),ISNUMBER(SEARCH("agriculture",P752))),"Agriculture &amp; water",IF(OR(ISNUMBER(SEARCH("health",P752)),ISNUMBER(SEARCH("hospital",P752)),ISNUMBER(SEARCH("medicine",P752))),"Public health",IF(OR(ISNUMBER(SEARCH("employee",P752)),ISNUMBER(SEARCH("labour",P752)),ISNUMBER(SEARCH("worker",P752)),ISNUMBER(SEARCH("salary",P752))),"Labour &amp; employment",IF(OR(ISNUMBER(SEARCH("rti",P752)),ISNUMBER(SEARCH("transparency",P752)),ISNUMBER(SEARCH("corruption",P752)),ISNUMBER(SEARCH("governance",P752))),"Governance &amp; transparency",IF(OR(ISNUMBER(SEARCH("police",P752)),ISNUMBER(SEARCH("detention",P752)),ISNUMBER(SEARCH("civil rights",P752)),ISNUMBER(SEARCH("justice",P752))),"Civil rights &amp; justice",IF(OR(ISNUMBER(SEARCH("road",P752)),ISNUMBER(SEARCH("utility",P752)),ISNUMBER(SEARCH("infrastructure",P752)),ISNUMBER(SEARCH("public service",P752))),"Infrastructure &amp; public services","Other"))))))))))))</x:f>
      </x:c>
      <x:c r="J752" s="16" t="str">
        <x:f>IF(A752="","",IF(OR(ISNUMBER(SEARCH("fatal",Q752)),ISNUMBER(SEARCH("death",Q752)),ISNUMBER(SEARCH("riot",Q752)),ISNUMBER(SEARCH("curfew",Q752)),ISNUMBER(SEARCH("internet shutdown",Q752))),5,MIN(4,1+IF(H752&gt;=7,1,0)+IF(OR(ISNUMBER(SEARCH("hunger strike",Q752)),ISNUMBER(SEARCH("blockade",Q752)),ISNUMBER(SEARCH("strike",Q752)),ISNUMBER(SEARCH("jal satyagraha",Q752)),ISNUMBER(SEARCH("survey",Q752)),ISNUMBER(SEARCH("human chain",Q752)),ISNUMBER(SEARCH("march",Q752))),1,0)+IF(OR(ISNUMBER(SEARCH("fir",Q752)),ISNUMBER(SEARCH("confrontation",Q752)),ISNUMBER(SEARCH("violence",Q752)),ISNUMBER(SEARCH("detention",Q752)),ISNUMBER(SEARCH("arrest",Q752)),ISNUMBER(SEARCH("demolition",Q752)),ISNUMBER(SEARCH("injury",Q752))),1,0)+IF(OR(D752="Ongoing",D752="Unresolved"),1,0))))</x:f>
      </x:c>
      <x:c r="K752" s="16" t="str">
        <x:f>IF(J752="","",IF(J752=1,"Limited",IF(J752=2,"Local",IF(J752=3,"Significant",IF(J752=4,"High","Critical")))))</x:f>
      </x:c>
      <x:c r="L752" s="16" t="str">
        <x:f>IF(A752="","",Events!U751)</x:f>
      </x:c>
      <x:c r="M752" s="16" t="str">
        <x:f>IF(A752="","",Events!V751)</x:f>
      </x:c>
      <x:c r="N752" s="16" t="str">
        <x:f>IF(A752="","",Events!Q751)</x:f>
      </x:c>
      <x:c r="O752" s="16" t="str">
        <x:f>IF(A752="","",Events!R751)</x:f>
      </x:c>
      <x:c r="P752" s="16" t="str">
        <x:f>IF(A752="","",LOWER(Events!B751&amp;" "&amp;Events!D751&amp;" "&amp;Events!K751))</x:f>
      </x:c>
      <x:c r="Q752" s="16" t="str">
        <x:f>IF(A752="","",LOWER(Events!C751&amp;" "&amp;Events!K751&amp;" "&amp;Events!T751))</x:f>
      </x:c>
      <x:c r="R752" s="16" t="str">
        <x:f>IF(A752="","",IF(ISNUMBER(SEARCH("Occurrence verified",E752)),"Occurrence verified",E752))</x:f>
      </x:c>
      <x:c r="S752" s="79" t="str">
        <x:f>IF(A752="","",Events!X751)</x:f>
      </x:c>
      <x:c r="Z752" s="79" t="str">
        <x:f>IF(A752="","",Events!AD751)</x:f>
      </x:c>
      <x:c r="AA752" s="79" t="str">
        <x:f>IF(A752="","",Events!AE751)</x:f>
      </x:c>
    </x:row>
    <x:row r="753">
      <x:c r="A753" s="16" t="str">
        <x:f>IF(Events!A752="","",Events!A752)</x:f>
      </x:c>
      <x:c r="B753" s="16" t="str">
        <x:f>IF(A753="","",Events!B752)</x:f>
      </x:c>
      <x:c r="C753" s="16" t="str">
        <x:f>IF(A753="","",Events!E752)</x:f>
      </x:c>
      <x:c r="D753" s="16" t="str">
        <x:f>IF(A753="","",Events!J752)</x:f>
      </x:c>
      <x:c r="E753" s="16" t="str">
        <x:f>IF(A753="","",Events!N752)</x:f>
      </x:c>
      <x:c r="F753" s="109" t="str">
        <x:f>IF(OR(A753="",Events!H752=""),"",Events!H752)</x:f>
      </x:c>
      <x:c r="G753" s="109" t="str">
        <x:f>IF(A753="","",IF(Events!I752&lt;&gt;"",Events!I752,IF(Events!S752&lt;&gt;"",Events!S752,"")))</x:f>
      </x:c>
      <x:c r="H753" s="16" t="str">
        <x:f>IF(A753="","",Events!W752)</x:f>
      </x:c>
      <x:c r="I753" s="16" t="str">
        <x:f>IF(A753="","",IF(Events!Y752&lt;&gt;"",Events!Y752,IF(OR(ISNUMBER(SEARCH("education",P753)),ISNUMBER(SEARCH("exam",P753)),ISNUMBER(SEARCH("school",P753))),"Education",IF(OR(ISNUMBER(SEARCH("trade agreement",P753)),ISNUMBER(SEARCH("economic",P753)),ISNUMBER(SEARCH("import",P753))),"Trade &amp; economic policy",IF(OR(ISNUMBER(SEARCH("land acquisition",P753)),ISNUMBER(SEARCH("rehabilitation",P753)),ISNUMBER(SEARCH("displacement",P753)),ISNUMBER(SEARCH("township",P753))),"Land &amp; rehabilitation",IF(OR(ISNUMBER(SEARCH("forest",P753)),ISNUMBER(SEARCH("environment",P753)),ISNUMBER(SEARCH("ecological",P753)),ISNUMBER(SEARCH("biodiversity",P753)),ISNUMBER(SEARCH("green cover",P753))),"Environment",IF(OR(ISNUMBER(SEARCH("irrigation",P753)),ISNUMBER(SEARCH("water",P753)),ISNUMBER(SEARCH("crop",P753)),ISNUMBER(SEARCH("farmer",P753)),ISNUMBER(SEARCH("agriculture",P753))),"Agriculture &amp; water",IF(OR(ISNUMBER(SEARCH("health",P753)),ISNUMBER(SEARCH("hospital",P753)),ISNUMBER(SEARCH("medicine",P753))),"Public health",IF(OR(ISNUMBER(SEARCH("employee",P753)),ISNUMBER(SEARCH("labour",P753)),ISNUMBER(SEARCH("worker",P753)),ISNUMBER(SEARCH("salary",P753))),"Labour &amp; employment",IF(OR(ISNUMBER(SEARCH("rti",P753)),ISNUMBER(SEARCH("transparency",P753)),ISNUMBER(SEARCH("corruption",P753)),ISNUMBER(SEARCH("governance",P753))),"Governance &amp; transparency",IF(OR(ISNUMBER(SEARCH("police",P753)),ISNUMBER(SEARCH("detention",P753)),ISNUMBER(SEARCH("civil rights",P753)),ISNUMBER(SEARCH("justice",P753))),"Civil rights &amp; justice",IF(OR(ISNUMBER(SEARCH("road",P753)),ISNUMBER(SEARCH("utility",P753)),ISNUMBER(SEARCH("infrastructure",P753)),ISNUMBER(SEARCH("public service",P753))),"Infrastructure &amp; public services","Other"))))))))))))</x:f>
      </x:c>
      <x:c r="J753" s="16" t="str">
        <x:f>IF(A753="","",IF(OR(ISNUMBER(SEARCH("fatal",Q753)),ISNUMBER(SEARCH("death",Q753)),ISNUMBER(SEARCH("riot",Q753)),ISNUMBER(SEARCH("curfew",Q753)),ISNUMBER(SEARCH("internet shutdown",Q753))),5,MIN(4,1+IF(H753&gt;=7,1,0)+IF(OR(ISNUMBER(SEARCH("hunger strike",Q753)),ISNUMBER(SEARCH("blockade",Q753)),ISNUMBER(SEARCH("strike",Q753)),ISNUMBER(SEARCH("jal satyagraha",Q753)),ISNUMBER(SEARCH("survey",Q753)),ISNUMBER(SEARCH("human chain",Q753)),ISNUMBER(SEARCH("march",Q753))),1,0)+IF(OR(ISNUMBER(SEARCH("fir",Q753)),ISNUMBER(SEARCH("confrontation",Q753)),ISNUMBER(SEARCH("violence",Q753)),ISNUMBER(SEARCH("detention",Q753)),ISNUMBER(SEARCH("arrest",Q753)),ISNUMBER(SEARCH("demolition",Q753)),ISNUMBER(SEARCH("injury",Q753))),1,0)+IF(OR(D753="Ongoing",D753="Unresolved"),1,0))))</x:f>
      </x:c>
      <x:c r="K753" s="16" t="str">
        <x:f>IF(J753="","",IF(J753=1,"Limited",IF(J753=2,"Local",IF(J753=3,"Significant",IF(J753=4,"High","Critical")))))</x:f>
      </x:c>
      <x:c r="L753" s="16" t="str">
        <x:f>IF(A753="","",Events!U752)</x:f>
      </x:c>
      <x:c r="M753" s="16" t="str">
        <x:f>IF(A753="","",Events!V752)</x:f>
      </x:c>
      <x:c r="N753" s="16" t="str">
        <x:f>IF(A753="","",Events!Q752)</x:f>
      </x:c>
      <x:c r="O753" s="16" t="str">
        <x:f>IF(A753="","",Events!R752)</x:f>
      </x:c>
      <x:c r="P753" s="16" t="str">
        <x:f>IF(A753="","",LOWER(Events!B752&amp;" "&amp;Events!D752&amp;" "&amp;Events!K752))</x:f>
      </x:c>
      <x:c r="Q753" s="16" t="str">
        <x:f>IF(A753="","",LOWER(Events!C752&amp;" "&amp;Events!K752&amp;" "&amp;Events!T752))</x:f>
      </x:c>
      <x:c r="R753" s="16" t="str">
        <x:f>IF(A753="","",IF(ISNUMBER(SEARCH("Occurrence verified",E753)),"Occurrence verified",E753))</x:f>
      </x:c>
      <x:c r="S753" s="79" t="str">
        <x:f>IF(A753="","",Events!X752)</x:f>
      </x:c>
      <x:c r="Z753" s="79" t="str">
        <x:f>IF(A753="","",Events!AD752)</x:f>
      </x:c>
      <x:c r="AA753" s="79" t="str">
        <x:f>IF(A753="","",Events!AE752)</x:f>
      </x:c>
    </x:row>
    <x:row r="754">
      <x:c r="A754" s="16" t="str">
        <x:f>IF(Events!A753="","",Events!A753)</x:f>
      </x:c>
      <x:c r="B754" s="16" t="str">
        <x:f>IF(A754="","",Events!B753)</x:f>
      </x:c>
      <x:c r="C754" s="16" t="str">
        <x:f>IF(A754="","",Events!E753)</x:f>
      </x:c>
      <x:c r="D754" s="16" t="str">
        <x:f>IF(A754="","",Events!J753)</x:f>
      </x:c>
      <x:c r="E754" s="16" t="str">
        <x:f>IF(A754="","",Events!N753)</x:f>
      </x:c>
      <x:c r="F754" s="109" t="str">
        <x:f>IF(OR(A754="",Events!H753=""),"",Events!H753)</x:f>
      </x:c>
      <x:c r="G754" s="109" t="str">
        <x:f>IF(A754="","",IF(Events!I753&lt;&gt;"",Events!I753,IF(Events!S753&lt;&gt;"",Events!S753,"")))</x:f>
      </x:c>
      <x:c r="H754" s="16" t="str">
        <x:f>IF(A754="","",Events!W753)</x:f>
      </x:c>
      <x:c r="I754" s="16" t="str">
        <x:f>IF(A754="","",IF(Events!Y753&lt;&gt;"",Events!Y753,IF(OR(ISNUMBER(SEARCH("education",P754)),ISNUMBER(SEARCH("exam",P754)),ISNUMBER(SEARCH("school",P754))),"Education",IF(OR(ISNUMBER(SEARCH("trade agreement",P754)),ISNUMBER(SEARCH("economic",P754)),ISNUMBER(SEARCH("import",P754))),"Trade &amp; economic policy",IF(OR(ISNUMBER(SEARCH("land acquisition",P754)),ISNUMBER(SEARCH("rehabilitation",P754)),ISNUMBER(SEARCH("displacement",P754)),ISNUMBER(SEARCH("township",P754))),"Land &amp; rehabilitation",IF(OR(ISNUMBER(SEARCH("forest",P754)),ISNUMBER(SEARCH("environment",P754)),ISNUMBER(SEARCH("ecological",P754)),ISNUMBER(SEARCH("biodiversity",P754)),ISNUMBER(SEARCH("green cover",P754))),"Environment",IF(OR(ISNUMBER(SEARCH("irrigation",P754)),ISNUMBER(SEARCH("water",P754)),ISNUMBER(SEARCH("crop",P754)),ISNUMBER(SEARCH("farmer",P754)),ISNUMBER(SEARCH("agriculture",P754))),"Agriculture &amp; water",IF(OR(ISNUMBER(SEARCH("health",P754)),ISNUMBER(SEARCH("hospital",P754)),ISNUMBER(SEARCH("medicine",P754))),"Public health",IF(OR(ISNUMBER(SEARCH("employee",P754)),ISNUMBER(SEARCH("labour",P754)),ISNUMBER(SEARCH("worker",P754)),ISNUMBER(SEARCH("salary",P754))),"Labour &amp; employment",IF(OR(ISNUMBER(SEARCH("rti",P754)),ISNUMBER(SEARCH("transparency",P754)),ISNUMBER(SEARCH("corruption",P754)),ISNUMBER(SEARCH("governance",P754))),"Governance &amp; transparency",IF(OR(ISNUMBER(SEARCH("police",P754)),ISNUMBER(SEARCH("detention",P754)),ISNUMBER(SEARCH("civil rights",P754)),ISNUMBER(SEARCH("justice",P754))),"Civil rights &amp; justice",IF(OR(ISNUMBER(SEARCH("road",P754)),ISNUMBER(SEARCH("utility",P754)),ISNUMBER(SEARCH("infrastructure",P754)),ISNUMBER(SEARCH("public service",P754))),"Infrastructure &amp; public services","Other"))))))))))))</x:f>
      </x:c>
      <x:c r="J754" s="16" t="str">
        <x:f>IF(A754="","",IF(OR(ISNUMBER(SEARCH("fatal",Q754)),ISNUMBER(SEARCH("death",Q754)),ISNUMBER(SEARCH("riot",Q754)),ISNUMBER(SEARCH("curfew",Q754)),ISNUMBER(SEARCH("internet shutdown",Q754))),5,MIN(4,1+IF(H754&gt;=7,1,0)+IF(OR(ISNUMBER(SEARCH("hunger strike",Q754)),ISNUMBER(SEARCH("blockade",Q754)),ISNUMBER(SEARCH("strike",Q754)),ISNUMBER(SEARCH("jal satyagraha",Q754)),ISNUMBER(SEARCH("survey",Q754)),ISNUMBER(SEARCH("human chain",Q754)),ISNUMBER(SEARCH("march",Q754))),1,0)+IF(OR(ISNUMBER(SEARCH("fir",Q754)),ISNUMBER(SEARCH("confrontation",Q754)),ISNUMBER(SEARCH("violence",Q754)),ISNUMBER(SEARCH("detention",Q754)),ISNUMBER(SEARCH("arrest",Q754)),ISNUMBER(SEARCH("demolition",Q754)),ISNUMBER(SEARCH("injury",Q754))),1,0)+IF(OR(D754="Ongoing",D754="Unresolved"),1,0))))</x:f>
      </x:c>
      <x:c r="K754" s="16" t="str">
        <x:f>IF(J754="","",IF(J754=1,"Limited",IF(J754=2,"Local",IF(J754=3,"Significant",IF(J754=4,"High","Critical")))))</x:f>
      </x:c>
      <x:c r="L754" s="16" t="str">
        <x:f>IF(A754="","",Events!U753)</x:f>
      </x:c>
      <x:c r="M754" s="16" t="str">
        <x:f>IF(A754="","",Events!V753)</x:f>
      </x:c>
      <x:c r="N754" s="16" t="str">
        <x:f>IF(A754="","",Events!Q753)</x:f>
      </x:c>
      <x:c r="O754" s="16" t="str">
        <x:f>IF(A754="","",Events!R753)</x:f>
      </x:c>
      <x:c r="P754" s="16" t="str">
        <x:f>IF(A754="","",LOWER(Events!B753&amp;" "&amp;Events!D753&amp;" "&amp;Events!K753))</x:f>
      </x:c>
      <x:c r="Q754" s="16" t="str">
        <x:f>IF(A754="","",LOWER(Events!C753&amp;" "&amp;Events!K753&amp;" "&amp;Events!T753))</x:f>
      </x:c>
      <x:c r="R754" s="16" t="str">
        <x:f>IF(A754="","",IF(ISNUMBER(SEARCH("Occurrence verified",E754)),"Occurrence verified",E754))</x:f>
      </x:c>
      <x:c r="S754" s="79" t="str">
        <x:f>IF(A754="","",Events!X753)</x:f>
      </x:c>
      <x:c r="Z754" s="79" t="str">
        <x:f>IF(A754="","",Events!AD753)</x:f>
      </x:c>
      <x:c r="AA754" s="79" t="str">
        <x:f>IF(A754="","",Events!AE753)</x:f>
      </x:c>
    </x:row>
    <x:row r="755">
      <x:c r="A755" s="16" t="str">
        <x:f>IF(Events!A754="","",Events!A754)</x:f>
      </x:c>
      <x:c r="B755" s="16" t="str">
        <x:f>IF(A755="","",Events!B754)</x:f>
      </x:c>
      <x:c r="C755" s="16" t="str">
        <x:f>IF(A755="","",Events!E754)</x:f>
      </x:c>
      <x:c r="D755" s="16" t="str">
        <x:f>IF(A755="","",Events!J754)</x:f>
      </x:c>
      <x:c r="E755" s="16" t="str">
        <x:f>IF(A755="","",Events!N754)</x:f>
      </x:c>
      <x:c r="F755" s="109" t="str">
        <x:f>IF(OR(A755="",Events!H754=""),"",Events!H754)</x:f>
      </x:c>
      <x:c r="G755" s="109" t="str">
        <x:f>IF(A755="","",IF(Events!I754&lt;&gt;"",Events!I754,IF(Events!S754&lt;&gt;"",Events!S754,"")))</x:f>
      </x:c>
      <x:c r="H755" s="16" t="str">
        <x:f>IF(A755="","",Events!W754)</x:f>
      </x:c>
      <x:c r="I755" s="16" t="str">
        <x:f>IF(A755="","",IF(Events!Y754&lt;&gt;"",Events!Y754,IF(OR(ISNUMBER(SEARCH("education",P755)),ISNUMBER(SEARCH("exam",P755)),ISNUMBER(SEARCH("school",P755))),"Education",IF(OR(ISNUMBER(SEARCH("trade agreement",P755)),ISNUMBER(SEARCH("economic",P755)),ISNUMBER(SEARCH("import",P755))),"Trade &amp; economic policy",IF(OR(ISNUMBER(SEARCH("land acquisition",P755)),ISNUMBER(SEARCH("rehabilitation",P755)),ISNUMBER(SEARCH("displacement",P755)),ISNUMBER(SEARCH("township",P755))),"Land &amp; rehabilitation",IF(OR(ISNUMBER(SEARCH("forest",P755)),ISNUMBER(SEARCH("environment",P755)),ISNUMBER(SEARCH("ecological",P755)),ISNUMBER(SEARCH("biodiversity",P755)),ISNUMBER(SEARCH("green cover",P755))),"Environment",IF(OR(ISNUMBER(SEARCH("irrigation",P755)),ISNUMBER(SEARCH("water",P755)),ISNUMBER(SEARCH("crop",P755)),ISNUMBER(SEARCH("farmer",P755)),ISNUMBER(SEARCH("agriculture",P755))),"Agriculture &amp; water",IF(OR(ISNUMBER(SEARCH("health",P755)),ISNUMBER(SEARCH("hospital",P755)),ISNUMBER(SEARCH("medicine",P755))),"Public health",IF(OR(ISNUMBER(SEARCH("employee",P755)),ISNUMBER(SEARCH("labour",P755)),ISNUMBER(SEARCH("worker",P755)),ISNUMBER(SEARCH("salary",P755))),"Labour &amp; employment",IF(OR(ISNUMBER(SEARCH("rti",P755)),ISNUMBER(SEARCH("transparency",P755)),ISNUMBER(SEARCH("corruption",P755)),ISNUMBER(SEARCH("governance",P755))),"Governance &amp; transparency",IF(OR(ISNUMBER(SEARCH("police",P755)),ISNUMBER(SEARCH("detention",P755)),ISNUMBER(SEARCH("civil rights",P755)),ISNUMBER(SEARCH("justice",P755))),"Civil rights &amp; justice",IF(OR(ISNUMBER(SEARCH("road",P755)),ISNUMBER(SEARCH("utility",P755)),ISNUMBER(SEARCH("infrastructure",P755)),ISNUMBER(SEARCH("public service",P755))),"Infrastructure &amp; public services","Other"))))))))))))</x:f>
      </x:c>
      <x:c r="J755" s="16" t="str">
        <x:f>IF(A755="","",IF(OR(ISNUMBER(SEARCH("fatal",Q755)),ISNUMBER(SEARCH("death",Q755)),ISNUMBER(SEARCH("riot",Q755)),ISNUMBER(SEARCH("curfew",Q755)),ISNUMBER(SEARCH("internet shutdown",Q755))),5,MIN(4,1+IF(H755&gt;=7,1,0)+IF(OR(ISNUMBER(SEARCH("hunger strike",Q755)),ISNUMBER(SEARCH("blockade",Q755)),ISNUMBER(SEARCH("strike",Q755)),ISNUMBER(SEARCH("jal satyagraha",Q755)),ISNUMBER(SEARCH("survey",Q755)),ISNUMBER(SEARCH("human chain",Q755)),ISNUMBER(SEARCH("march",Q755))),1,0)+IF(OR(ISNUMBER(SEARCH("fir",Q755)),ISNUMBER(SEARCH("confrontation",Q755)),ISNUMBER(SEARCH("violence",Q755)),ISNUMBER(SEARCH("detention",Q755)),ISNUMBER(SEARCH("arrest",Q755)),ISNUMBER(SEARCH("demolition",Q755)),ISNUMBER(SEARCH("injury",Q755))),1,0)+IF(OR(D755="Ongoing",D755="Unresolved"),1,0))))</x:f>
      </x:c>
      <x:c r="K755" s="16" t="str">
        <x:f>IF(J755="","",IF(J755=1,"Limited",IF(J755=2,"Local",IF(J755=3,"Significant",IF(J755=4,"High","Critical")))))</x:f>
      </x:c>
      <x:c r="L755" s="16" t="str">
        <x:f>IF(A755="","",Events!U754)</x:f>
      </x:c>
      <x:c r="M755" s="16" t="str">
        <x:f>IF(A755="","",Events!V754)</x:f>
      </x:c>
      <x:c r="N755" s="16" t="str">
        <x:f>IF(A755="","",Events!Q754)</x:f>
      </x:c>
      <x:c r="O755" s="16" t="str">
        <x:f>IF(A755="","",Events!R754)</x:f>
      </x:c>
      <x:c r="P755" s="16" t="str">
        <x:f>IF(A755="","",LOWER(Events!B754&amp;" "&amp;Events!D754&amp;" "&amp;Events!K754))</x:f>
      </x:c>
      <x:c r="Q755" s="16" t="str">
        <x:f>IF(A755="","",LOWER(Events!C754&amp;" "&amp;Events!K754&amp;" "&amp;Events!T754))</x:f>
      </x:c>
      <x:c r="R755" s="16" t="str">
        <x:f>IF(A755="","",IF(ISNUMBER(SEARCH("Occurrence verified",E755)),"Occurrence verified",E755))</x:f>
      </x:c>
      <x:c r="S755" s="79" t="str">
        <x:f>IF(A755="","",Events!X754)</x:f>
      </x:c>
      <x:c r="Z755" s="79" t="str">
        <x:f>IF(A755="","",Events!AD754)</x:f>
      </x:c>
      <x:c r="AA755" s="79" t="str">
        <x:f>IF(A755="","",Events!AE754)</x:f>
      </x:c>
    </x:row>
    <x:row r="756">
      <x:c r="A756" s="16" t="str">
        <x:f>IF(Events!A755="","",Events!A755)</x:f>
      </x:c>
      <x:c r="B756" s="16" t="str">
        <x:f>IF(A756="","",Events!B755)</x:f>
      </x:c>
      <x:c r="C756" s="16" t="str">
        <x:f>IF(A756="","",Events!E755)</x:f>
      </x:c>
      <x:c r="D756" s="16" t="str">
        <x:f>IF(A756="","",Events!J755)</x:f>
      </x:c>
      <x:c r="E756" s="16" t="str">
        <x:f>IF(A756="","",Events!N755)</x:f>
      </x:c>
      <x:c r="F756" s="109" t="str">
        <x:f>IF(OR(A756="",Events!H755=""),"",Events!H755)</x:f>
      </x:c>
      <x:c r="G756" s="109" t="str">
        <x:f>IF(A756="","",IF(Events!I755&lt;&gt;"",Events!I755,IF(Events!S755&lt;&gt;"",Events!S755,"")))</x:f>
      </x:c>
      <x:c r="H756" s="16" t="str">
        <x:f>IF(A756="","",Events!W755)</x:f>
      </x:c>
      <x:c r="I756" s="16" t="str">
        <x:f>IF(A756="","",IF(Events!Y755&lt;&gt;"",Events!Y755,IF(OR(ISNUMBER(SEARCH("education",P756)),ISNUMBER(SEARCH("exam",P756)),ISNUMBER(SEARCH("school",P756))),"Education",IF(OR(ISNUMBER(SEARCH("trade agreement",P756)),ISNUMBER(SEARCH("economic",P756)),ISNUMBER(SEARCH("import",P756))),"Trade &amp; economic policy",IF(OR(ISNUMBER(SEARCH("land acquisition",P756)),ISNUMBER(SEARCH("rehabilitation",P756)),ISNUMBER(SEARCH("displacement",P756)),ISNUMBER(SEARCH("township",P756))),"Land &amp; rehabilitation",IF(OR(ISNUMBER(SEARCH("forest",P756)),ISNUMBER(SEARCH("environment",P756)),ISNUMBER(SEARCH("ecological",P756)),ISNUMBER(SEARCH("biodiversity",P756)),ISNUMBER(SEARCH("green cover",P756))),"Environment",IF(OR(ISNUMBER(SEARCH("irrigation",P756)),ISNUMBER(SEARCH("water",P756)),ISNUMBER(SEARCH("crop",P756)),ISNUMBER(SEARCH("farmer",P756)),ISNUMBER(SEARCH("agriculture",P756))),"Agriculture &amp; water",IF(OR(ISNUMBER(SEARCH("health",P756)),ISNUMBER(SEARCH("hospital",P756)),ISNUMBER(SEARCH("medicine",P756))),"Public health",IF(OR(ISNUMBER(SEARCH("employee",P756)),ISNUMBER(SEARCH("labour",P756)),ISNUMBER(SEARCH("worker",P756)),ISNUMBER(SEARCH("salary",P756))),"Labour &amp; employment",IF(OR(ISNUMBER(SEARCH("rti",P756)),ISNUMBER(SEARCH("transparency",P756)),ISNUMBER(SEARCH("corruption",P756)),ISNUMBER(SEARCH("governance",P756))),"Governance &amp; transparency",IF(OR(ISNUMBER(SEARCH("police",P756)),ISNUMBER(SEARCH("detention",P756)),ISNUMBER(SEARCH("civil rights",P756)),ISNUMBER(SEARCH("justice",P756))),"Civil rights &amp; justice",IF(OR(ISNUMBER(SEARCH("road",P756)),ISNUMBER(SEARCH("utility",P756)),ISNUMBER(SEARCH("infrastructure",P756)),ISNUMBER(SEARCH("public service",P756))),"Infrastructure &amp; public services","Other"))))))))))))</x:f>
      </x:c>
      <x:c r="J756" s="16" t="str">
        <x:f>IF(A756="","",IF(OR(ISNUMBER(SEARCH("fatal",Q756)),ISNUMBER(SEARCH("death",Q756)),ISNUMBER(SEARCH("riot",Q756)),ISNUMBER(SEARCH("curfew",Q756)),ISNUMBER(SEARCH("internet shutdown",Q756))),5,MIN(4,1+IF(H756&gt;=7,1,0)+IF(OR(ISNUMBER(SEARCH("hunger strike",Q756)),ISNUMBER(SEARCH("blockade",Q756)),ISNUMBER(SEARCH("strike",Q756)),ISNUMBER(SEARCH("jal satyagraha",Q756)),ISNUMBER(SEARCH("survey",Q756)),ISNUMBER(SEARCH("human chain",Q756)),ISNUMBER(SEARCH("march",Q756))),1,0)+IF(OR(ISNUMBER(SEARCH("fir",Q756)),ISNUMBER(SEARCH("confrontation",Q756)),ISNUMBER(SEARCH("violence",Q756)),ISNUMBER(SEARCH("detention",Q756)),ISNUMBER(SEARCH("arrest",Q756)),ISNUMBER(SEARCH("demolition",Q756)),ISNUMBER(SEARCH("injury",Q756))),1,0)+IF(OR(D756="Ongoing",D756="Unresolved"),1,0))))</x:f>
      </x:c>
      <x:c r="K756" s="16" t="str">
        <x:f>IF(J756="","",IF(J756=1,"Limited",IF(J756=2,"Local",IF(J756=3,"Significant",IF(J756=4,"High","Critical")))))</x:f>
      </x:c>
      <x:c r="L756" s="16" t="str">
        <x:f>IF(A756="","",Events!U755)</x:f>
      </x:c>
      <x:c r="M756" s="16" t="str">
        <x:f>IF(A756="","",Events!V755)</x:f>
      </x:c>
      <x:c r="N756" s="16" t="str">
        <x:f>IF(A756="","",Events!Q755)</x:f>
      </x:c>
      <x:c r="O756" s="16" t="str">
        <x:f>IF(A756="","",Events!R755)</x:f>
      </x:c>
      <x:c r="P756" s="16" t="str">
        <x:f>IF(A756="","",LOWER(Events!B755&amp;" "&amp;Events!D755&amp;" "&amp;Events!K755))</x:f>
      </x:c>
      <x:c r="Q756" s="16" t="str">
        <x:f>IF(A756="","",LOWER(Events!C755&amp;" "&amp;Events!K755&amp;" "&amp;Events!T755))</x:f>
      </x:c>
      <x:c r="R756" s="16" t="str">
        <x:f>IF(A756="","",IF(ISNUMBER(SEARCH("Occurrence verified",E756)),"Occurrence verified",E756))</x:f>
      </x:c>
      <x:c r="S756" s="79" t="str">
        <x:f>IF(A756="","",Events!X755)</x:f>
      </x:c>
      <x:c r="Z756" s="79" t="str">
        <x:f>IF(A756="","",Events!AD755)</x:f>
      </x:c>
      <x:c r="AA756" s="79" t="str">
        <x:f>IF(A756="","",Events!AE755)</x:f>
      </x:c>
    </x:row>
    <x:row r="757">
      <x:c r="A757" s="16" t="str">
        <x:f>IF(Events!A756="","",Events!A756)</x:f>
      </x:c>
      <x:c r="B757" s="16" t="str">
        <x:f>IF(A757="","",Events!B756)</x:f>
      </x:c>
      <x:c r="C757" s="16" t="str">
        <x:f>IF(A757="","",Events!E756)</x:f>
      </x:c>
      <x:c r="D757" s="16" t="str">
        <x:f>IF(A757="","",Events!J756)</x:f>
      </x:c>
      <x:c r="E757" s="16" t="str">
        <x:f>IF(A757="","",Events!N756)</x:f>
      </x:c>
      <x:c r="F757" s="109" t="str">
        <x:f>IF(OR(A757="",Events!H756=""),"",Events!H756)</x:f>
      </x:c>
      <x:c r="G757" s="109" t="str">
        <x:f>IF(A757="","",IF(Events!I756&lt;&gt;"",Events!I756,IF(Events!S756&lt;&gt;"",Events!S756,"")))</x:f>
      </x:c>
      <x:c r="H757" s="16" t="str">
        <x:f>IF(A757="","",Events!W756)</x:f>
      </x:c>
      <x:c r="I757" s="16" t="str">
        <x:f>IF(A757="","",IF(Events!Y756&lt;&gt;"",Events!Y756,IF(OR(ISNUMBER(SEARCH("education",P757)),ISNUMBER(SEARCH("exam",P757)),ISNUMBER(SEARCH("school",P757))),"Education",IF(OR(ISNUMBER(SEARCH("trade agreement",P757)),ISNUMBER(SEARCH("economic",P757)),ISNUMBER(SEARCH("import",P757))),"Trade &amp; economic policy",IF(OR(ISNUMBER(SEARCH("land acquisition",P757)),ISNUMBER(SEARCH("rehabilitation",P757)),ISNUMBER(SEARCH("displacement",P757)),ISNUMBER(SEARCH("township",P757))),"Land &amp; rehabilitation",IF(OR(ISNUMBER(SEARCH("forest",P757)),ISNUMBER(SEARCH("environment",P757)),ISNUMBER(SEARCH("ecological",P757)),ISNUMBER(SEARCH("biodiversity",P757)),ISNUMBER(SEARCH("green cover",P757))),"Environment",IF(OR(ISNUMBER(SEARCH("irrigation",P757)),ISNUMBER(SEARCH("water",P757)),ISNUMBER(SEARCH("crop",P757)),ISNUMBER(SEARCH("farmer",P757)),ISNUMBER(SEARCH("agriculture",P757))),"Agriculture &amp; water",IF(OR(ISNUMBER(SEARCH("health",P757)),ISNUMBER(SEARCH("hospital",P757)),ISNUMBER(SEARCH("medicine",P757))),"Public health",IF(OR(ISNUMBER(SEARCH("employee",P757)),ISNUMBER(SEARCH("labour",P757)),ISNUMBER(SEARCH("worker",P757)),ISNUMBER(SEARCH("salary",P757))),"Labour &amp; employment",IF(OR(ISNUMBER(SEARCH("rti",P757)),ISNUMBER(SEARCH("transparency",P757)),ISNUMBER(SEARCH("corruption",P757)),ISNUMBER(SEARCH("governance",P757))),"Governance &amp; transparency",IF(OR(ISNUMBER(SEARCH("police",P757)),ISNUMBER(SEARCH("detention",P757)),ISNUMBER(SEARCH("civil rights",P757)),ISNUMBER(SEARCH("justice",P757))),"Civil rights &amp; justice",IF(OR(ISNUMBER(SEARCH("road",P757)),ISNUMBER(SEARCH("utility",P757)),ISNUMBER(SEARCH("infrastructure",P757)),ISNUMBER(SEARCH("public service",P757))),"Infrastructure &amp; public services","Other"))))))))))))</x:f>
      </x:c>
      <x:c r="J757" s="16" t="str">
        <x:f>IF(A757="","",IF(OR(ISNUMBER(SEARCH("fatal",Q757)),ISNUMBER(SEARCH("death",Q757)),ISNUMBER(SEARCH("riot",Q757)),ISNUMBER(SEARCH("curfew",Q757)),ISNUMBER(SEARCH("internet shutdown",Q757))),5,MIN(4,1+IF(H757&gt;=7,1,0)+IF(OR(ISNUMBER(SEARCH("hunger strike",Q757)),ISNUMBER(SEARCH("blockade",Q757)),ISNUMBER(SEARCH("strike",Q757)),ISNUMBER(SEARCH("jal satyagraha",Q757)),ISNUMBER(SEARCH("survey",Q757)),ISNUMBER(SEARCH("human chain",Q757)),ISNUMBER(SEARCH("march",Q757))),1,0)+IF(OR(ISNUMBER(SEARCH("fir",Q757)),ISNUMBER(SEARCH("confrontation",Q757)),ISNUMBER(SEARCH("violence",Q757)),ISNUMBER(SEARCH("detention",Q757)),ISNUMBER(SEARCH("arrest",Q757)),ISNUMBER(SEARCH("demolition",Q757)),ISNUMBER(SEARCH("injury",Q757))),1,0)+IF(OR(D757="Ongoing",D757="Unresolved"),1,0))))</x:f>
      </x:c>
      <x:c r="K757" s="16" t="str">
        <x:f>IF(J757="","",IF(J757=1,"Limited",IF(J757=2,"Local",IF(J757=3,"Significant",IF(J757=4,"High","Critical")))))</x:f>
      </x:c>
      <x:c r="L757" s="16" t="str">
        <x:f>IF(A757="","",Events!U756)</x:f>
      </x:c>
      <x:c r="M757" s="16" t="str">
        <x:f>IF(A757="","",Events!V756)</x:f>
      </x:c>
      <x:c r="N757" s="16" t="str">
        <x:f>IF(A757="","",Events!Q756)</x:f>
      </x:c>
      <x:c r="O757" s="16" t="str">
        <x:f>IF(A757="","",Events!R756)</x:f>
      </x:c>
      <x:c r="P757" s="16" t="str">
        <x:f>IF(A757="","",LOWER(Events!B756&amp;" "&amp;Events!D756&amp;" "&amp;Events!K756))</x:f>
      </x:c>
      <x:c r="Q757" s="16" t="str">
        <x:f>IF(A757="","",LOWER(Events!C756&amp;" "&amp;Events!K756&amp;" "&amp;Events!T756))</x:f>
      </x:c>
      <x:c r="R757" s="16" t="str">
        <x:f>IF(A757="","",IF(ISNUMBER(SEARCH("Occurrence verified",E757)),"Occurrence verified",E757))</x:f>
      </x:c>
      <x:c r="S757" s="79" t="str">
        <x:f>IF(A757="","",Events!X756)</x:f>
      </x:c>
      <x:c r="Z757" s="79" t="str">
        <x:f>IF(A757="","",Events!AD756)</x:f>
      </x:c>
      <x:c r="AA757" s="79" t="str">
        <x:f>IF(A757="","",Events!AE756)</x:f>
      </x:c>
    </x:row>
    <x:row r="758">
      <x:c r="A758" s="16" t="str">
        <x:f>IF(Events!A757="","",Events!A757)</x:f>
      </x:c>
      <x:c r="B758" s="16" t="str">
        <x:f>IF(A758="","",Events!B757)</x:f>
      </x:c>
      <x:c r="C758" s="16" t="str">
        <x:f>IF(A758="","",Events!E757)</x:f>
      </x:c>
      <x:c r="D758" s="16" t="str">
        <x:f>IF(A758="","",Events!J757)</x:f>
      </x:c>
      <x:c r="E758" s="16" t="str">
        <x:f>IF(A758="","",Events!N757)</x:f>
      </x:c>
      <x:c r="F758" s="109" t="str">
        <x:f>IF(OR(A758="",Events!H757=""),"",Events!H757)</x:f>
      </x:c>
      <x:c r="G758" s="109" t="str">
        <x:f>IF(A758="","",IF(Events!I757&lt;&gt;"",Events!I757,IF(Events!S757&lt;&gt;"",Events!S757,"")))</x:f>
      </x:c>
      <x:c r="H758" s="16" t="str">
        <x:f>IF(A758="","",Events!W757)</x:f>
      </x:c>
      <x:c r="I758" s="16" t="str">
        <x:f>IF(A758="","",IF(Events!Y757&lt;&gt;"",Events!Y757,IF(OR(ISNUMBER(SEARCH("education",P758)),ISNUMBER(SEARCH("exam",P758)),ISNUMBER(SEARCH("school",P758))),"Education",IF(OR(ISNUMBER(SEARCH("trade agreement",P758)),ISNUMBER(SEARCH("economic",P758)),ISNUMBER(SEARCH("import",P758))),"Trade &amp; economic policy",IF(OR(ISNUMBER(SEARCH("land acquisition",P758)),ISNUMBER(SEARCH("rehabilitation",P758)),ISNUMBER(SEARCH("displacement",P758)),ISNUMBER(SEARCH("township",P758))),"Land &amp; rehabilitation",IF(OR(ISNUMBER(SEARCH("forest",P758)),ISNUMBER(SEARCH("environment",P758)),ISNUMBER(SEARCH("ecological",P758)),ISNUMBER(SEARCH("biodiversity",P758)),ISNUMBER(SEARCH("green cover",P758))),"Environment",IF(OR(ISNUMBER(SEARCH("irrigation",P758)),ISNUMBER(SEARCH("water",P758)),ISNUMBER(SEARCH("crop",P758)),ISNUMBER(SEARCH("farmer",P758)),ISNUMBER(SEARCH("agriculture",P758))),"Agriculture &amp; water",IF(OR(ISNUMBER(SEARCH("health",P758)),ISNUMBER(SEARCH("hospital",P758)),ISNUMBER(SEARCH("medicine",P758))),"Public health",IF(OR(ISNUMBER(SEARCH("employee",P758)),ISNUMBER(SEARCH("labour",P758)),ISNUMBER(SEARCH("worker",P758)),ISNUMBER(SEARCH("salary",P758))),"Labour &amp; employment",IF(OR(ISNUMBER(SEARCH("rti",P758)),ISNUMBER(SEARCH("transparency",P758)),ISNUMBER(SEARCH("corruption",P758)),ISNUMBER(SEARCH("governance",P758))),"Governance &amp; transparency",IF(OR(ISNUMBER(SEARCH("police",P758)),ISNUMBER(SEARCH("detention",P758)),ISNUMBER(SEARCH("civil rights",P758)),ISNUMBER(SEARCH("justice",P758))),"Civil rights &amp; justice",IF(OR(ISNUMBER(SEARCH("road",P758)),ISNUMBER(SEARCH("utility",P758)),ISNUMBER(SEARCH("infrastructure",P758)),ISNUMBER(SEARCH("public service",P758))),"Infrastructure &amp; public services","Other"))))))))))))</x:f>
      </x:c>
      <x:c r="J758" s="16" t="str">
        <x:f>IF(A758="","",IF(OR(ISNUMBER(SEARCH("fatal",Q758)),ISNUMBER(SEARCH("death",Q758)),ISNUMBER(SEARCH("riot",Q758)),ISNUMBER(SEARCH("curfew",Q758)),ISNUMBER(SEARCH("internet shutdown",Q758))),5,MIN(4,1+IF(H758&gt;=7,1,0)+IF(OR(ISNUMBER(SEARCH("hunger strike",Q758)),ISNUMBER(SEARCH("blockade",Q758)),ISNUMBER(SEARCH("strike",Q758)),ISNUMBER(SEARCH("jal satyagraha",Q758)),ISNUMBER(SEARCH("survey",Q758)),ISNUMBER(SEARCH("human chain",Q758)),ISNUMBER(SEARCH("march",Q758))),1,0)+IF(OR(ISNUMBER(SEARCH("fir",Q758)),ISNUMBER(SEARCH("confrontation",Q758)),ISNUMBER(SEARCH("violence",Q758)),ISNUMBER(SEARCH("detention",Q758)),ISNUMBER(SEARCH("arrest",Q758)),ISNUMBER(SEARCH("demolition",Q758)),ISNUMBER(SEARCH("injury",Q758))),1,0)+IF(OR(D758="Ongoing",D758="Unresolved"),1,0))))</x:f>
      </x:c>
      <x:c r="K758" s="16" t="str">
        <x:f>IF(J758="","",IF(J758=1,"Limited",IF(J758=2,"Local",IF(J758=3,"Significant",IF(J758=4,"High","Critical")))))</x:f>
      </x:c>
      <x:c r="L758" s="16" t="str">
        <x:f>IF(A758="","",Events!U757)</x:f>
      </x:c>
      <x:c r="M758" s="16" t="str">
        <x:f>IF(A758="","",Events!V757)</x:f>
      </x:c>
      <x:c r="N758" s="16" t="str">
        <x:f>IF(A758="","",Events!Q757)</x:f>
      </x:c>
      <x:c r="O758" s="16" t="str">
        <x:f>IF(A758="","",Events!R757)</x:f>
      </x:c>
      <x:c r="P758" s="16" t="str">
        <x:f>IF(A758="","",LOWER(Events!B757&amp;" "&amp;Events!D757&amp;" "&amp;Events!K757))</x:f>
      </x:c>
      <x:c r="Q758" s="16" t="str">
        <x:f>IF(A758="","",LOWER(Events!C757&amp;" "&amp;Events!K757&amp;" "&amp;Events!T757))</x:f>
      </x:c>
      <x:c r="R758" s="16" t="str">
        <x:f>IF(A758="","",IF(ISNUMBER(SEARCH("Occurrence verified",E758)),"Occurrence verified",E758))</x:f>
      </x:c>
      <x:c r="S758" s="79" t="str">
        <x:f>IF(A758="","",Events!X757)</x:f>
      </x:c>
      <x:c r="Z758" s="79" t="str">
        <x:f>IF(A758="","",Events!AD757)</x:f>
      </x:c>
      <x:c r="AA758" s="79" t="str">
        <x:f>IF(A758="","",Events!AE757)</x:f>
      </x:c>
    </x:row>
    <x:row r="759">
      <x:c r="A759" s="16" t="str">
        <x:f>IF(Events!A758="","",Events!A758)</x:f>
      </x:c>
      <x:c r="B759" s="16" t="str">
        <x:f>IF(A759="","",Events!B758)</x:f>
      </x:c>
      <x:c r="C759" s="16" t="str">
        <x:f>IF(A759="","",Events!E758)</x:f>
      </x:c>
      <x:c r="D759" s="16" t="str">
        <x:f>IF(A759="","",Events!J758)</x:f>
      </x:c>
      <x:c r="E759" s="16" t="str">
        <x:f>IF(A759="","",Events!N758)</x:f>
      </x:c>
      <x:c r="F759" s="109" t="str">
        <x:f>IF(OR(A759="",Events!H758=""),"",Events!H758)</x:f>
      </x:c>
      <x:c r="G759" s="109" t="str">
        <x:f>IF(A759="","",IF(Events!I758&lt;&gt;"",Events!I758,IF(Events!S758&lt;&gt;"",Events!S758,"")))</x:f>
      </x:c>
      <x:c r="H759" s="16" t="str">
        <x:f>IF(A759="","",Events!W758)</x:f>
      </x:c>
      <x:c r="I759" s="16" t="str">
        <x:f>IF(A759="","",IF(Events!Y758&lt;&gt;"",Events!Y758,IF(OR(ISNUMBER(SEARCH("education",P759)),ISNUMBER(SEARCH("exam",P759)),ISNUMBER(SEARCH("school",P759))),"Education",IF(OR(ISNUMBER(SEARCH("trade agreement",P759)),ISNUMBER(SEARCH("economic",P759)),ISNUMBER(SEARCH("import",P759))),"Trade &amp; economic policy",IF(OR(ISNUMBER(SEARCH("land acquisition",P759)),ISNUMBER(SEARCH("rehabilitation",P759)),ISNUMBER(SEARCH("displacement",P759)),ISNUMBER(SEARCH("township",P759))),"Land &amp; rehabilitation",IF(OR(ISNUMBER(SEARCH("forest",P759)),ISNUMBER(SEARCH("environment",P759)),ISNUMBER(SEARCH("ecological",P759)),ISNUMBER(SEARCH("biodiversity",P759)),ISNUMBER(SEARCH("green cover",P759))),"Environment",IF(OR(ISNUMBER(SEARCH("irrigation",P759)),ISNUMBER(SEARCH("water",P759)),ISNUMBER(SEARCH("crop",P759)),ISNUMBER(SEARCH("farmer",P759)),ISNUMBER(SEARCH("agriculture",P759))),"Agriculture &amp; water",IF(OR(ISNUMBER(SEARCH("health",P759)),ISNUMBER(SEARCH("hospital",P759)),ISNUMBER(SEARCH("medicine",P759))),"Public health",IF(OR(ISNUMBER(SEARCH("employee",P759)),ISNUMBER(SEARCH("labour",P759)),ISNUMBER(SEARCH("worker",P759)),ISNUMBER(SEARCH("salary",P759))),"Labour &amp; employment",IF(OR(ISNUMBER(SEARCH("rti",P759)),ISNUMBER(SEARCH("transparency",P759)),ISNUMBER(SEARCH("corruption",P759)),ISNUMBER(SEARCH("governance",P759))),"Governance &amp; transparency",IF(OR(ISNUMBER(SEARCH("police",P759)),ISNUMBER(SEARCH("detention",P759)),ISNUMBER(SEARCH("civil rights",P759)),ISNUMBER(SEARCH("justice",P759))),"Civil rights &amp; justice",IF(OR(ISNUMBER(SEARCH("road",P759)),ISNUMBER(SEARCH("utility",P759)),ISNUMBER(SEARCH("infrastructure",P759)),ISNUMBER(SEARCH("public service",P759))),"Infrastructure &amp; public services","Other"))))))))))))</x:f>
      </x:c>
      <x:c r="J759" s="16" t="str">
        <x:f>IF(A759="","",IF(OR(ISNUMBER(SEARCH("fatal",Q759)),ISNUMBER(SEARCH("death",Q759)),ISNUMBER(SEARCH("riot",Q759)),ISNUMBER(SEARCH("curfew",Q759)),ISNUMBER(SEARCH("internet shutdown",Q759))),5,MIN(4,1+IF(H759&gt;=7,1,0)+IF(OR(ISNUMBER(SEARCH("hunger strike",Q759)),ISNUMBER(SEARCH("blockade",Q759)),ISNUMBER(SEARCH("strike",Q759)),ISNUMBER(SEARCH("jal satyagraha",Q759)),ISNUMBER(SEARCH("survey",Q759)),ISNUMBER(SEARCH("human chain",Q759)),ISNUMBER(SEARCH("march",Q759))),1,0)+IF(OR(ISNUMBER(SEARCH("fir",Q759)),ISNUMBER(SEARCH("confrontation",Q759)),ISNUMBER(SEARCH("violence",Q759)),ISNUMBER(SEARCH("detention",Q759)),ISNUMBER(SEARCH("arrest",Q759)),ISNUMBER(SEARCH("demolition",Q759)),ISNUMBER(SEARCH("injury",Q759))),1,0)+IF(OR(D759="Ongoing",D759="Unresolved"),1,0))))</x:f>
      </x:c>
      <x:c r="K759" s="16" t="str">
        <x:f>IF(J759="","",IF(J759=1,"Limited",IF(J759=2,"Local",IF(J759=3,"Significant",IF(J759=4,"High","Critical")))))</x:f>
      </x:c>
      <x:c r="L759" s="16" t="str">
        <x:f>IF(A759="","",Events!U758)</x:f>
      </x:c>
      <x:c r="M759" s="16" t="str">
        <x:f>IF(A759="","",Events!V758)</x:f>
      </x:c>
      <x:c r="N759" s="16" t="str">
        <x:f>IF(A759="","",Events!Q758)</x:f>
      </x:c>
      <x:c r="O759" s="16" t="str">
        <x:f>IF(A759="","",Events!R758)</x:f>
      </x:c>
      <x:c r="P759" s="16" t="str">
        <x:f>IF(A759="","",LOWER(Events!B758&amp;" "&amp;Events!D758&amp;" "&amp;Events!K758))</x:f>
      </x:c>
      <x:c r="Q759" s="16" t="str">
        <x:f>IF(A759="","",LOWER(Events!C758&amp;" "&amp;Events!K758&amp;" "&amp;Events!T758))</x:f>
      </x:c>
      <x:c r="R759" s="16" t="str">
        <x:f>IF(A759="","",IF(ISNUMBER(SEARCH("Occurrence verified",E759)),"Occurrence verified",E759))</x:f>
      </x:c>
      <x:c r="S759" s="79" t="str">
        <x:f>IF(A759="","",Events!X758)</x:f>
      </x:c>
      <x:c r="Z759" s="79" t="str">
        <x:f>IF(A759="","",Events!AD758)</x:f>
      </x:c>
      <x:c r="AA759" s="79" t="str">
        <x:f>IF(A759="","",Events!AE758)</x:f>
      </x:c>
    </x:row>
    <x:row r="760">
      <x:c r="A760" s="16" t="str">
        <x:f>IF(Events!A759="","",Events!A759)</x:f>
      </x:c>
      <x:c r="B760" s="16" t="str">
        <x:f>IF(A760="","",Events!B759)</x:f>
      </x:c>
      <x:c r="C760" s="16" t="str">
        <x:f>IF(A760="","",Events!E759)</x:f>
      </x:c>
      <x:c r="D760" s="16" t="str">
        <x:f>IF(A760="","",Events!J759)</x:f>
      </x:c>
      <x:c r="E760" s="16" t="str">
        <x:f>IF(A760="","",Events!N759)</x:f>
      </x:c>
      <x:c r="F760" s="109" t="str">
        <x:f>IF(OR(A760="",Events!H759=""),"",Events!H759)</x:f>
      </x:c>
      <x:c r="G760" s="109" t="str">
        <x:f>IF(A760="","",IF(Events!I759&lt;&gt;"",Events!I759,IF(Events!S759&lt;&gt;"",Events!S759,"")))</x:f>
      </x:c>
      <x:c r="H760" s="16" t="str">
        <x:f>IF(A760="","",Events!W759)</x:f>
      </x:c>
      <x:c r="I760" s="16" t="str">
        <x:f>IF(A760="","",IF(Events!Y759&lt;&gt;"",Events!Y759,IF(OR(ISNUMBER(SEARCH("education",P760)),ISNUMBER(SEARCH("exam",P760)),ISNUMBER(SEARCH("school",P760))),"Education",IF(OR(ISNUMBER(SEARCH("trade agreement",P760)),ISNUMBER(SEARCH("economic",P760)),ISNUMBER(SEARCH("import",P760))),"Trade &amp; economic policy",IF(OR(ISNUMBER(SEARCH("land acquisition",P760)),ISNUMBER(SEARCH("rehabilitation",P760)),ISNUMBER(SEARCH("displacement",P760)),ISNUMBER(SEARCH("township",P760))),"Land &amp; rehabilitation",IF(OR(ISNUMBER(SEARCH("forest",P760)),ISNUMBER(SEARCH("environment",P760)),ISNUMBER(SEARCH("ecological",P760)),ISNUMBER(SEARCH("biodiversity",P760)),ISNUMBER(SEARCH("green cover",P760))),"Environment",IF(OR(ISNUMBER(SEARCH("irrigation",P760)),ISNUMBER(SEARCH("water",P760)),ISNUMBER(SEARCH("crop",P760)),ISNUMBER(SEARCH("farmer",P760)),ISNUMBER(SEARCH("agriculture",P760))),"Agriculture &amp; water",IF(OR(ISNUMBER(SEARCH("health",P760)),ISNUMBER(SEARCH("hospital",P760)),ISNUMBER(SEARCH("medicine",P760))),"Public health",IF(OR(ISNUMBER(SEARCH("employee",P760)),ISNUMBER(SEARCH("labour",P760)),ISNUMBER(SEARCH("worker",P760)),ISNUMBER(SEARCH("salary",P760))),"Labour &amp; employment",IF(OR(ISNUMBER(SEARCH("rti",P760)),ISNUMBER(SEARCH("transparency",P760)),ISNUMBER(SEARCH("corruption",P760)),ISNUMBER(SEARCH("governance",P760))),"Governance &amp; transparency",IF(OR(ISNUMBER(SEARCH("police",P760)),ISNUMBER(SEARCH("detention",P760)),ISNUMBER(SEARCH("civil rights",P760)),ISNUMBER(SEARCH("justice",P760))),"Civil rights &amp; justice",IF(OR(ISNUMBER(SEARCH("road",P760)),ISNUMBER(SEARCH("utility",P760)),ISNUMBER(SEARCH("infrastructure",P760)),ISNUMBER(SEARCH("public service",P760))),"Infrastructure &amp; public services","Other"))))))))))))</x:f>
      </x:c>
      <x:c r="J760" s="16" t="str">
        <x:f>IF(A760="","",IF(OR(ISNUMBER(SEARCH("fatal",Q760)),ISNUMBER(SEARCH("death",Q760)),ISNUMBER(SEARCH("riot",Q760)),ISNUMBER(SEARCH("curfew",Q760)),ISNUMBER(SEARCH("internet shutdown",Q760))),5,MIN(4,1+IF(H760&gt;=7,1,0)+IF(OR(ISNUMBER(SEARCH("hunger strike",Q760)),ISNUMBER(SEARCH("blockade",Q760)),ISNUMBER(SEARCH("strike",Q760)),ISNUMBER(SEARCH("jal satyagraha",Q760)),ISNUMBER(SEARCH("survey",Q760)),ISNUMBER(SEARCH("human chain",Q760)),ISNUMBER(SEARCH("march",Q760))),1,0)+IF(OR(ISNUMBER(SEARCH("fir",Q760)),ISNUMBER(SEARCH("confrontation",Q760)),ISNUMBER(SEARCH("violence",Q760)),ISNUMBER(SEARCH("detention",Q760)),ISNUMBER(SEARCH("arrest",Q760)),ISNUMBER(SEARCH("demolition",Q760)),ISNUMBER(SEARCH("injury",Q760))),1,0)+IF(OR(D760="Ongoing",D760="Unresolved"),1,0))))</x:f>
      </x:c>
      <x:c r="K760" s="16" t="str">
        <x:f>IF(J760="","",IF(J760=1,"Limited",IF(J760=2,"Local",IF(J760=3,"Significant",IF(J760=4,"High","Critical")))))</x:f>
      </x:c>
      <x:c r="L760" s="16" t="str">
        <x:f>IF(A760="","",Events!U759)</x:f>
      </x:c>
      <x:c r="M760" s="16" t="str">
        <x:f>IF(A760="","",Events!V759)</x:f>
      </x:c>
      <x:c r="N760" s="16" t="str">
        <x:f>IF(A760="","",Events!Q759)</x:f>
      </x:c>
      <x:c r="O760" s="16" t="str">
        <x:f>IF(A760="","",Events!R759)</x:f>
      </x:c>
      <x:c r="P760" s="16" t="str">
        <x:f>IF(A760="","",LOWER(Events!B759&amp;" "&amp;Events!D759&amp;" "&amp;Events!K759))</x:f>
      </x:c>
      <x:c r="Q760" s="16" t="str">
        <x:f>IF(A760="","",LOWER(Events!C759&amp;" "&amp;Events!K759&amp;" "&amp;Events!T759))</x:f>
      </x:c>
      <x:c r="R760" s="16" t="str">
        <x:f>IF(A760="","",IF(ISNUMBER(SEARCH("Occurrence verified",E760)),"Occurrence verified",E760))</x:f>
      </x:c>
      <x:c r="S760" s="79" t="str">
        <x:f>IF(A760="","",Events!X759)</x:f>
      </x:c>
      <x:c r="Z760" s="79" t="str">
        <x:f>IF(A760="","",Events!AD759)</x:f>
      </x:c>
      <x:c r="AA760" s="79" t="str">
        <x:f>IF(A760="","",Events!AE759)</x:f>
      </x:c>
    </x:row>
    <x:row r="761">
      <x:c r="A761" s="16" t="str">
        <x:f>IF(Events!A760="","",Events!A760)</x:f>
      </x:c>
      <x:c r="B761" s="16" t="str">
        <x:f>IF(A761="","",Events!B760)</x:f>
      </x:c>
      <x:c r="C761" s="16" t="str">
        <x:f>IF(A761="","",Events!E760)</x:f>
      </x:c>
      <x:c r="D761" s="16" t="str">
        <x:f>IF(A761="","",Events!J760)</x:f>
      </x:c>
      <x:c r="E761" s="16" t="str">
        <x:f>IF(A761="","",Events!N760)</x:f>
      </x:c>
      <x:c r="F761" s="109" t="str">
        <x:f>IF(OR(A761="",Events!H760=""),"",Events!H760)</x:f>
      </x:c>
      <x:c r="G761" s="109" t="str">
        <x:f>IF(A761="","",IF(Events!I760&lt;&gt;"",Events!I760,IF(Events!S760&lt;&gt;"",Events!S760,"")))</x:f>
      </x:c>
      <x:c r="H761" s="16" t="str">
        <x:f>IF(A761="","",Events!W760)</x:f>
      </x:c>
      <x:c r="I761" s="16" t="str">
        <x:f>IF(A761="","",IF(Events!Y760&lt;&gt;"",Events!Y760,IF(OR(ISNUMBER(SEARCH("education",P761)),ISNUMBER(SEARCH("exam",P761)),ISNUMBER(SEARCH("school",P761))),"Education",IF(OR(ISNUMBER(SEARCH("trade agreement",P761)),ISNUMBER(SEARCH("economic",P761)),ISNUMBER(SEARCH("import",P761))),"Trade &amp; economic policy",IF(OR(ISNUMBER(SEARCH("land acquisition",P761)),ISNUMBER(SEARCH("rehabilitation",P761)),ISNUMBER(SEARCH("displacement",P761)),ISNUMBER(SEARCH("township",P761))),"Land &amp; rehabilitation",IF(OR(ISNUMBER(SEARCH("forest",P761)),ISNUMBER(SEARCH("environment",P761)),ISNUMBER(SEARCH("ecological",P761)),ISNUMBER(SEARCH("biodiversity",P761)),ISNUMBER(SEARCH("green cover",P761))),"Environment",IF(OR(ISNUMBER(SEARCH("irrigation",P761)),ISNUMBER(SEARCH("water",P761)),ISNUMBER(SEARCH("crop",P761)),ISNUMBER(SEARCH("farmer",P761)),ISNUMBER(SEARCH("agriculture",P761))),"Agriculture &amp; water",IF(OR(ISNUMBER(SEARCH("health",P761)),ISNUMBER(SEARCH("hospital",P761)),ISNUMBER(SEARCH("medicine",P761))),"Public health",IF(OR(ISNUMBER(SEARCH("employee",P761)),ISNUMBER(SEARCH("labour",P761)),ISNUMBER(SEARCH("worker",P761)),ISNUMBER(SEARCH("salary",P761))),"Labour &amp; employment",IF(OR(ISNUMBER(SEARCH("rti",P761)),ISNUMBER(SEARCH("transparency",P761)),ISNUMBER(SEARCH("corruption",P761)),ISNUMBER(SEARCH("governance",P761))),"Governance &amp; transparency",IF(OR(ISNUMBER(SEARCH("police",P761)),ISNUMBER(SEARCH("detention",P761)),ISNUMBER(SEARCH("civil rights",P761)),ISNUMBER(SEARCH("justice",P761))),"Civil rights &amp; justice",IF(OR(ISNUMBER(SEARCH("road",P761)),ISNUMBER(SEARCH("utility",P761)),ISNUMBER(SEARCH("infrastructure",P761)),ISNUMBER(SEARCH("public service",P761))),"Infrastructure &amp; public services","Other"))))))))))))</x:f>
      </x:c>
      <x:c r="J761" s="16" t="str">
        <x:f>IF(A761="","",IF(OR(ISNUMBER(SEARCH("fatal",Q761)),ISNUMBER(SEARCH("death",Q761)),ISNUMBER(SEARCH("riot",Q761)),ISNUMBER(SEARCH("curfew",Q761)),ISNUMBER(SEARCH("internet shutdown",Q761))),5,MIN(4,1+IF(H761&gt;=7,1,0)+IF(OR(ISNUMBER(SEARCH("hunger strike",Q761)),ISNUMBER(SEARCH("blockade",Q761)),ISNUMBER(SEARCH("strike",Q761)),ISNUMBER(SEARCH("jal satyagraha",Q761)),ISNUMBER(SEARCH("survey",Q761)),ISNUMBER(SEARCH("human chain",Q761)),ISNUMBER(SEARCH("march",Q761))),1,0)+IF(OR(ISNUMBER(SEARCH("fir",Q761)),ISNUMBER(SEARCH("confrontation",Q761)),ISNUMBER(SEARCH("violence",Q761)),ISNUMBER(SEARCH("detention",Q761)),ISNUMBER(SEARCH("arrest",Q761)),ISNUMBER(SEARCH("demolition",Q761)),ISNUMBER(SEARCH("injury",Q761))),1,0)+IF(OR(D761="Ongoing",D761="Unresolved"),1,0))))</x:f>
      </x:c>
      <x:c r="K761" s="16" t="str">
        <x:f>IF(J761="","",IF(J761=1,"Limited",IF(J761=2,"Local",IF(J761=3,"Significant",IF(J761=4,"High","Critical")))))</x:f>
      </x:c>
      <x:c r="L761" s="16" t="str">
        <x:f>IF(A761="","",Events!U760)</x:f>
      </x:c>
      <x:c r="M761" s="16" t="str">
        <x:f>IF(A761="","",Events!V760)</x:f>
      </x:c>
      <x:c r="N761" s="16" t="str">
        <x:f>IF(A761="","",Events!Q760)</x:f>
      </x:c>
      <x:c r="O761" s="16" t="str">
        <x:f>IF(A761="","",Events!R760)</x:f>
      </x:c>
      <x:c r="P761" s="16" t="str">
        <x:f>IF(A761="","",LOWER(Events!B760&amp;" "&amp;Events!D760&amp;" "&amp;Events!K760))</x:f>
      </x:c>
      <x:c r="Q761" s="16" t="str">
        <x:f>IF(A761="","",LOWER(Events!C760&amp;" "&amp;Events!K760&amp;" "&amp;Events!T760))</x:f>
      </x:c>
      <x:c r="R761" s="16" t="str">
        <x:f>IF(A761="","",IF(ISNUMBER(SEARCH("Occurrence verified",E761)),"Occurrence verified",E761))</x:f>
      </x:c>
      <x:c r="S761" s="79" t="str">
        <x:f>IF(A761="","",Events!X760)</x:f>
      </x:c>
      <x:c r="Z761" s="79" t="str">
        <x:f>IF(A761="","",Events!AD760)</x:f>
      </x:c>
      <x:c r="AA761" s="79" t="str">
        <x:f>IF(A761="","",Events!AE760)</x:f>
      </x:c>
    </x:row>
    <x:row r="762">
      <x:c r="A762" s="16" t="str">
        <x:f>IF(Events!A761="","",Events!A761)</x:f>
      </x:c>
      <x:c r="B762" s="16" t="str">
        <x:f>IF(A762="","",Events!B761)</x:f>
      </x:c>
      <x:c r="C762" s="16" t="str">
        <x:f>IF(A762="","",Events!E761)</x:f>
      </x:c>
      <x:c r="D762" s="16" t="str">
        <x:f>IF(A762="","",Events!J761)</x:f>
      </x:c>
      <x:c r="E762" s="16" t="str">
        <x:f>IF(A762="","",Events!N761)</x:f>
      </x:c>
      <x:c r="F762" s="109" t="str">
        <x:f>IF(OR(A762="",Events!H761=""),"",Events!H761)</x:f>
      </x:c>
      <x:c r="G762" s="109" t="str">
        <x:f>IF(A762="","",IF(Events!I761&lt;&gt;"",Events!I761,IF(Events!S761&lt;&gt;"",Events!S761,"")))</x:f>
      </x:c>
      <x:c r="H762" s="16" t="str">
        <x:f>IF(A762="","",Events!W761)</x:f>
      </x:c>
      <x:c r="I762" s="16" t="str">
        <x:f>IF(A762="","",IF(Events!Y761&lt;&gt;"",Events!Y761,IF(OR(ISNUMBER(SEARCH("education",P762)),ISNUMBER(SEARCH("exam",P762)),ISNUMBER(SEARCH("school",P762))),"Education",IF(OR(ISNUMBER(SEARCH("trade agreement",P762)),ISNUMBER(SEARCH("economic",P762)),ISNUMBER(SEARCH("import",P762))),"Trade &amp; economic policy",IF(OR(ISNUMBER(SEARCH("land acquisition",P762)),ISNUMBER(SEARCH("rehabilitation",P762)),ISNUMBER(SEARCH("displacement",P762)),ISNUMBER(SEARCH("township",P762))),"Land &amp; rehabilitation",IF(OR(ISNUMBER(SEARCH("forest",P762)),ISNUMBER(SEARCH("environment",P762)),ISNUMBER(SEARCH("ecological",P762)),ISNUMBER(SEARCH("biodiversity",P762)),ISNUMBER(SEARCH("green cover",P762))),"Environment",IF(OR(ISNUMBER(SEARCH("irrigation",P762)),ISNUMBER(SEARCH("water",P762)),ISNUMBER(SEARCH("crop",P762)),ISNUMBER(SEARCH("farmer",P762)),ISNUMBER(SEARCH("agriculture",P762))),"Agriculture &amp; water",IF(OR(ISNUMBER(SEARCH("health",P762)),ISNUMBER(SEARCH("hospital",P762)),ISNUMBER(SEARCH("medicine",P762))),"Public health",IF(OR(ISNUMBER(SEARCH("employee",P762)),ISNUMBER(SEARCH("labour",P762)),ISNUMBER(SEARCH("worker",P762)),ISNUMBER(SEARCH("salary",P762))),"Labour &amp; employment",IF(OR(ISNUMBER(SEARCH("rti",P762)),ISNUMBER(SEARCH("transparency",P762)),ISNUMBER(SEARCH("corruption",P762)),ISNUMBER(SEARCH("governance",P762))),"Governance &amp; transparency",IF(OR(ISNUMBER(SEARCH("police",P762)),ISNUMBER(SEARCH("detention",P762)),ISNUMBER(SEARCH("civil rights",P762)),ISNUMBER(SEARCH("justice",P762))),"Civil rights &amp; justice",IF(OR(ISNUMBER(SEARCH("road",P762)),ISNUMBER(SEARCH("utility",P762)),ISNUMBER(SEARCH("infrastructure",P762)),ISNUMBER(SEARCH("public service",P762))),"Infrastructure &amp; public services","Other"))))))))))))</x:f>
      </x:c>
      <x:c r="J762" s="16" t="str">
        <x:f>IF(A762="","",IF(OR(ISNUMBER(SEARCH("fatal",Q762)),ISNUMBER(SEARCH("death",Q762)),ISNUMBER(SEARCH("riot",Q762)),ISNUMBER(SEARCH("curfew",Q762)),ISNUMBER(SEARCH("internet shutdown",Q762))),5,MIN(4,1+IF(H762&gt;=7,1,0)+IF(OR(ISNUMBER(SEARCH("hunger strike",Q762)),ISNUMBER(SEARCH("blockade",Q762)),ISNUMBER(SEARCH("strike",Q762)),ISNUMBER(SEARCH("jal satyagraha",Q762)),ISNUMBER(SEARCH("survey",Q762)),ISNUMBER(SEARCH("human chain",Q762)),ISNUMBER(SEARCH("march",Q762))),1,0)+IF(OR(ISNUMBER(SEARCH("fir",Q762)),ISNUMBER(SEARCH("confrontation",Q762)),ISNUMBER(SEARCH("violence",Q762)),ISNUMBER(SEARCH("detention",Q762)),ISNUMBER(SEARCH("arrest",Q762)),ISNUMBER(SEARCH("demolition",Q762)),ISNUMBER(SEARCH("injury",Q762))),1,0)+IF(OR(D762="Ongoing",D762="Unresolved"),1,0))))</x:f>
      </x:c>
      <x:c r="K762" s="16" t="str">
        <x:f>IF(J762="","",IF(J762=1,"Limited",IF(J762=2,"Local",IF(J762=3,"Significant",IF(J762=4,"High","Critical")))))</x:f>
      </x:c>
      <x:c r="L762" s="16" t="str">
        <x:f>IF(A762="","",Events!U761)</x:f>
      </x:c>
      <x:c r="M762" s="16" t="str">
        <x:f>IF(A762="","",Events!V761)</x:f>
      </x:c>
      <x:c r="N762" s="16" t="str">
        <x:f>IF(A762="","",Events!Q761)</x:f>
      </x:c>
      <x:c r="O762" s="16" t="str">
        <x:f>IF(A762="","",Events!R761)</x:f>
      </x:c>
      <x:c r="P762" s="16" t="str">
        <x:f>IF(A762="","",LOWER(Events!B761&amp;" "&amp;Events!D761&amp;" "&amp;Events!K761))</x:f>
      </x:c>
      <x:c r="Q762" s="16" t="str">
        <x:f>IF(A762="","",LOWER(Events!C761&amp;" "&amp;Events!K761&amp;" "&amp;Events!T761))</x:f>
      </x:c>
      <x:c r="R762" s="16" t="str">
        <x:f>IF(A762="","",IF(ISNUMBER(SEARCH("Occurrence verified",E762)),"Occurrence verified",E762))</x:f>
      </x:c>
      <x:c r="S762" s="79" t="str">
        <x:f>IF(A762="","",Events!X761)</x:f>
      </x:c>
      <x:c r="Z762" s="79" t="str">
        <x:f>IF(A762="","",Events!AD761)</x:f>
      </x:c>
      <x:c r="AA762" s="79" t="str">
        <x:f>IF(A762="","",Events!AE761)</x:f>
      </x:c>
    </x:row>
    <x:row r="763">
      <x:c r="A763" s="16" t="str">
        <x:f>IF(Events!A762="","",Events!A762)</x:f>
      </x:c>
      <x:c r="B763" s="16" t="str">
        <x:f>IF(A763="","",Events!B762)</x:f>
      </x:c>
      <x:c r="C763" s="16" t="str">
        <x:f>IF(A763="","",Events!E762)</x:f>
      </x:c>
      <x:c r="D763" s="16" t="str">
        <x:f>IF(A763="","",Events!J762)</x:f>
      </x:c>
      <x:c r="E763" s="16" t="str">
        <x:f>IF(A763="","",Events!N762)</x:f>
      </x:c>
      <x:c r="F763" s="109" t="str">
        <x:f>IF(OR(A763="",Events!H762=""),"",Events!H762)</x:f>
      </x:c>
      <x:c r="G763" s="109" t="str">
        <x:f>IF(A763="","",IF(Events!I762&lt;&gt;"",Events!I762,IF(Events!S762&lt;&gt;"",Events!S762,"")))</x:f>
      </x:c>
      <x:c r="H763" s="16" t="str">
        <x:f>IF(A763="","",Events!W762)</x:f>
      </x:c>
      <x:c r="I763" s="16" t="str">
        <x:f>IF(A763="","",IF(Events!Y762&lt;&gt;"",Events!Y762,IF(OR(ISNUMBER(SEARCH("education",P763)),ISNUMBER(SEARCH("exam",P763)),ISNUMBER(SEARCH("school",P763))),"Education",IF(OR(ISNUMBER(SEARCH("trade agreement",P763)),ISNUMBER(SEARCH("economic",P763)),ISNUMBER(SEARCH("import",P763))),"Trade &amp; economic policy",IF(OR(ISNUMBER(SEARCH("land acquisition",P763)),ISNUMBER(SEARCH("rehabilitation",P763)),ISNUMBER(SEARCH("displacement",P763)),ISNUMBER(SEARCH("township",P763))),"Land &amp; rehabilitation",IF(OR(ISNUMBER(SEARCH("forest",P763)),ISNUMBER(SEARCH("environment",P763)),ISNUMBER(SEARCH("ecological",P763)),ISNUMBER(SEARCH("biodiversity",P763)),ISNUMBER(SEARCH("green cover",P763))),"Environment",IF(OR(ISNUMBER(SEARCH("irrigation",P763)),ISNUMBER(SEARCH("water",P763)),ISNUMBER(SEARCH("crop",P763)),ISNUMBER(SEARCH("farmer",P763)),ISNUMBER(SEARCH("agriculture",P763))),"Agriculture &amp; water",IF(OR(ISNUMBER(SEARCH("health",P763)),ISNUMBER(SEARCH("hospital",P763)),ISNUMBER(SEARCH("medicine",P763))),"Public health",IF(OR(ISNUMBER(SEARCH("employee",P763)),ISNUMBER(SEARCH("labour",P763)),ISNUMBER(SEARCH("worker",P763)),ISNUMBER(SEARCH("salary",P763))),"Labour &amp; employment",IF(OR(ISNUMBER(SEARCH("rti",P763)),ISNUMBER(SEARCH("transparency",P763)),ISNUMBER(SEARCH("corruption",P763)),ISNUMBER(SEARCH("governance",P763))),"Governance &amp; transparency",IF(OR(ISNUMBER(SEARCH("police",P763)),ISNUMBER(SEARCH("detention",P763)),ISNUMBER(SEARCH("civil rights",P763)),ISNUMBER(SEARCH("justice",P763))),"Civil rights &amp; justice",IF(OR(ISNUMBER(SEARCH("road",P763)),ISNUMBER(SEARCH("utility",P763)),ISNUMBER(SEARCH("infrastructure",P763)),ISNUMBER(SEARCH("public service",P763))),"Infrastructure &amp; public services","Other"))))))))))))</x:f>
      </x:c>
      <x:c r="J763" s="16" t="str">
        <x:f>IF(A763="","",IF(OR(ISNUMBER(SEARCH("fatal",Q763)),ISNUMBER(SEARCH("death",Q763)),ISNUMBER(SEARCH("riot",Q763)),ISNUMBER(SEARCH("curfew",Q763)),ISNUMBER(SEARCH("internet shutdown",Q763))),5,MIN(4,1+IF(H763&gt;=7,1,0)+IF(OR(ISNUMBER(SEARCH("hunger strike",Q763)),ISNUMBER(SEARCH("blockade",Q763)),ISNUMBER(SEARCH("strike",Q763)),ISNUMBER(SEARCH("jal satyagraha",Q763)),ISNUMBER(SEARCH("survey",Q763)),ISNUMBER(SEARCH("human chain",Q763)),ISNUMBER(SEARCH("march",Q763))),1,0)+IF(OR(ISNUMBER(SEARCH("fir",Q763)),ISNUMBER(SEARCH("confrontation",Q763)),ISNUMBER(SEARCH("violence",Q763)),ISNUMBER(SEARCH("detention",Q763)),ISNUMBER(SEARCH("arrest",Q763)),ISNUMBER(SEARCH("demolition",Q763)),ISNUMBER(SEARCH("injury",Q763))),1,0)+IF(OR(D763="Ongoing",D763="Unresolved"),1,0))))</x:f>
      </x:c>
      <x:c r="K763" s="16" t="str">
        <x:f>IF(J763="","",IF(J763=1,"Limited",IF(J763=2,"Local",IF(J763=3,"Significant",IF(J763=4,"High","Critical")))))</x:f>
      </x:c>
      <x:c r="L763" s="16" t="str">
        <x:f>IF(A763="","",Events!U762)</x:f>
      </x:c>
      <x:c r="M763" s="16" t="str">
        <x:f>IF(A763="","",Events!V762)</x:f>
      </x:c>
      <x:c r="N763" s="16" t="str">
        <x:f>IF(A763="","",Events!Q762)</x:f>
      </x:c>
      <x:c r="O763" s="16" t="str">
        <x:f>IF(A763="","",Events!R762)</x:f>
      </x:c>
      <x:c r="P763" s="16" t="str">
        <x:f>IF(A763="","",LOWER(Events!B762&amp;" "&amp;Events!D762&amp;" "&amp;Events!K762))</x:f>
      </x:c>
      <x:c r="Q763" s="16" t="str">
        <x:f>IF(A763="","",LOWER(Events!C762&amp;" "&amp;Events!K762&amp;" "&amp;Events!T762))</x:f>
      </x:c>
      <x:c r="R763" s="16" t="str">
        <x:f>IF(A763="","",IF(ISNUMBER(SEARCH("Occurrence verified",E763)),"Occurrence verified",E763))</x:f>
      </x:c>
      <x:c r="S763" s="79" t="str">
        <x:f>IF(A763="","",Events!X762)</x:f>
      </x:c>
      <x:c r="Z763" s="79" t="str">
        <x:f>IF(A763="","",Events!AD762)</x:f>
      </x:c>
      <x:c r="AA763" s="79" t="str">
        <x:f>IF(A763="","",Events!AE762)</x:f>
      </x:c>
    </x:row>
    <x:row r="764">
      <x:c r="A764" s="16" t="str">
        <x:f>IF(Events!A763="","",Events!A763)</x:f>
      </x:c>
      <x:c r="B764" s="16" t="str">
        <x:f>IF(A764="","",Events!B763)</x:f>
      </x:c>
      <x:c r="C764" s="16" t="str">
        <x:f>IF(A764="","",Events!E763)</x:f>
      </x:c>
      <x:c r="D764" s="16" t="str">
        <x:f>IF(A764="","",Events!J763)</x:f>
      </x:c>
      <x:c r="E764" s="16" t="str">
        <x:f>IF(A764="","",Events!N763)</x:f>
      </x:c>
      <x:c r="F764" s="109" t="str">
        <x:f>IF(OR(A764="",Events!H763=""),"",Events!H763)</x:f>
      </x:c>
      <x:c r="G764" s="109" t="str">
        <x:f>IF(A764="","",IF(Events!I763&lt;&gt;"",Events!I763,IF(Events!S763&lt;&gt;"",Events!S763,"")))</x:f>
      </x:c>
      <x:c r="H764" s="16" t="str">
        <x:f>IF(A764="","",Events!W763)</x:f>
      </x:c>
      <x:c r="I764" s="16" t="str">
        <x:f>IF(A764="","",IF(Events!Y763&lt;&gt;"",Events!Y763,IF(OR(ISNUMBER(SEARCH("education",P764)),ISNUMBER(SEARCH("exam",P764)),ISNUMBER(SEARCH("school",P764))),"Education",IF(OR(ISNUMBER(SEARCH("trade agreement",P764)),ISNUMBER(SEARCH("economic",P764)),ISNUMBER(SEARCH("import",P764))),"Trade &amp; economic policy",IF(OR(ISNUMBER(SEARCH("land acquisition",P764)),ISNUMBER(SEARCH("rehabilitation",P764)),ISNUMBER(SEARCH("displacement",P764)),ISNUMBER(SEARCH("township",P764))),"Land &amp; rehabilitation",IF(OR(ISNUMBER(SEARCH("forest",P764)),ISNUMBER(SEARCH("environment",P764)),ISNUMBER(SEARCH("ecological",P764)),ISNUMBER(SEARCH("biodiversity",P764)),ISNUMBER(SEARCH("green cover",P764))),"Environment",IF(OR(ISNUMBER(SEARCH("irrigation",P764)),ISNUMBER(SEARCH("water",P764)),ISNUMBER(SEARCH("crop",P764)),ISNUMBER(SEARCH("farmer",P764)),ISNUMBER(SEARCH("agriculture",P764))),"Agriculture &amp; water",IF(OR(ISNUMBER(SEARCH("health",P764)),ISNUMBER(SEARCH("hospital",P764)),ISNUMBER(SEARCH("medicine",P764))),"Public health",IF(OR(ISNUMBER(SEARCH("employee",P764)),ISNUMBER(SEARCH("labour",P764)),ISNUMBER(SEARCH("worker",P764)),ISNUMBER(SEARCH("salary",P764))),"Labour &amp; employment",IF(OR(ISNUMBER(SEARCH("rti",P764)),ISNUMBER(SEARCH("transparency",P764)),ISNUMBER(SEARCH("corruption",P764)),ISNUMBER(SEARCH("governance",P764))),"Governance &amp; transparency",IF(OR(ISNUMBER(SEARCH("police",P764)),ISNUMBER(SEARCH("detention",P764)),ISNUMBER(SEARCH("civil rights",P764)),ISNUMBER(SEARCH("justice",P764))),"Civil rights &amp; justice",IF(OR(ISNUMBER(SEARCH("road",P764)),ISNUMBER(SEARCH("utility",P764)),ISNUMBER(SEARCH("infrastructure",P764)),ISNUMBER(SEARCH("public service",P764))),"Infrastructure &amp; public services","Other"))))))))))))</x:f>
      </x:c>
      <x:c r="J764" s="16" t="str">
        <x:f>IF(A764="","",IF(OR(ISNUMBER(SEARCH("fatal",Q764)),ISNUMBER(SEARCH("death",Q764)),ISNUMBER(SEARCH("riot",Q764)),ISNUMBER(SEARCH("curfew",Q764)),ISNUMBER(SEARCH("internet shutdown",Q764))),5,MIN(4,1+IF(H764&gt;=7,1,0)+IF(OR(ISNUMBER(SEARCH("hunger strike",Q764)),ISNUMBER(SEARCH("blockade",Q764)),ISNUMBER(SEARCH("strike",Q764)),ISNUMBER(SEARCH("jal satyagraha",Q764)),ISNUMBER(SEARCH("survey",Q764)),ISNUMBER(SEARCH("human chain",Q764)),ISNUMBER(SEARCH("march",Q764))),1,0)+IF(OR(ISNUMBER(SEARCH("fir",Q764)),ISNUMBER(SEARCH("confrontation",Q764)),ISNUMBER(SEARCH("violence",Q764)),ISNUMBER(SEARCH("detention",Q764)),ISNUMBER(SEARCH("arrest",Q764)),ISNUMBER(SEARCH("demolition",Q764)),ISNUMBER(SEARCH("injury",Q764))),1,0)+IF(OR(D764="Ongoing",D764="Unresolved"),1,0))))</x:f>
      </x:c>
      <x:c r="K764" s="16" t="str">
        <x:f>IF(J764="","",IF(J764=1,"Limited",IF(J764=2,"Local",IF(J764=3,"Significant",IF(J764=4,"High","Critical")))))</x:f>
      </x:c>
      <x:c r="L764" s="16" t="str">
        <x:f>IF(A764="","",Events!U763)</x:f>
      </x:c>
      <x:c r="M764" s="16" t="str">
        <x:f>IF(A764="","",Events!V763)</x:f>
      </x:c>
      <x:c r="N764" s="16" t="str">
        <x:f>IF(A764="","",Events!Q763)</x:f>
      </x:c>
      <x:c r="O764" s="16" t="str">
        <x:f>IF(A764="","",Events!R763)</x:f>
      </x:c>
      <x:c r="P764" s="16" t="str">
        <x:f>IF(A764="","",LOWER(Events!B763&amp;" "&amp;Events!D763&amp;" "&amp;Events!K763))</x:f>
      </x:c>
      <x:c r="Q764" s="16" t="str">
        <x:f>IF(A764="","",LOWER(Events!C763&amp;" "&amp;Events!K763&amp;" "&amp;Events!T763))</x:f>
      </x:c>
      <x:c r="R764" s="16" t="str">
        <x:f>IF(A764="","",IF(ISNUMBER(SEARCH("Occurrence verified",E764)),"Occurrence verified",E764))</x:f>
      </x:c>
      <x:c r="S764" s="79" t="str">
        <x:f>IF(A764="","",Events!X763)</x:f>
      </x:c>
      <x:c r="Z764" s="79" t="str">
        <x:f>IF(A764="","",Events!AD763)</x:f>
      </x:c>
      <x:c r="AA764" s="79" t="str">
        <x:f>IF(A764="","",Events!AE763)</x:f>
      </x:c>
    </x:row>
    <x:row r="765">
      <x:c r="A765" s="16" t="str">
        <x:f>IF(Events!A764="","",Events!A764)</x:f>
      </x:c>
      <x:c r="B765" s="16" t="str">
        <x:f>IF(A765="","",Events!B764)</x:f>
      </x:c>
      <x:c r="C765" s="16" t="str">
        <x:f>IF(A765="","",Events!E764)</x:f>
      </x:c>
      <x:c r="D765" s="16" t="str">
        <x:f>IF(A765="","",Events!J764)</x:f>
      </x:c>
      <x:c r="E765" s="16" t="str">
        <x:f>IF(A765="","",Events!N764)</x:f>
      </x:c>
      <x:c r="F765" s="109" t="str">
        <x:f>IF(OR(A765="",Events!H764=""),"",Events!H764)</x:f>
      </x:c>
      <x:c r="G765" s="109" t="str">
        <x:f>IF(A765="","",IF(Events!I764&lt;&gt;"",Events!I764,IF(Events!S764&lt;&gt;"",Events!S764,"")))</x:f>
      </x:c>
      <x:c r="H765" s="16" t="str">
        <x:f>IF(A765="","",Events!W764)</x:f>
      </x:c>
      <x:c r="I765" s="16" t="str">
        <x:f>IF(A765="","",IF(Events!Y764&lt;&gt;"",Events!Y764,IF(OR(ISNUMBER(SEARCH("education",P765)),ISNUMBER(SEARCH("exam",P765)),ISNUMBER(SEARCH("school",P765))),"Education",IF(OR(ISNUMBER(SEARCH("trade agreement",P765)),ISNUMBER(SEARCH("economic",P765)),ISNUMBER(SEARCH("import",P765))),"Trade &amp; economic policy",IF(OR(ISNUMBER(SEARCH("land acquisition",P765)),ISNUMBER(SEARCH("rehabilitation",P765)),ISNUMBER(SEARCH("displacement",P765)),ISNUMBER(SEARCH("township",P765))),"Land &amp; rehabilitation",IF(OR(ISNUMBER(SEARCH("forest",P765)),ISNUMBER(SEARCH("environment",P765)),ISNUMBER(SEARCH("ecological",P765)),ISNUMBER(SEARCH("biodiversity",P765)),ISNUMBER(SEARCH("green cover",P765))),"Environment",IF(OR(ISNUMBER(SEARCH("irrigation",P765)),ISNUMBER(SEARCH("water",P765)),ISNUMBER(SEARCH("crop",P765)),ISNUMBER(SEARCH("farmer",P765)),ISNUMBER(SEARCH("agriculture",P765))),"Agriculture &amp; water",IF(OR(ISNUMBER(SEARCH("health",P765)),ISNUMBER(SEARCH("hospital",P765)),ISNUMBER(SEARCH("medicine",P765))),"Public health",IF(OR(ISNUMBER(SEARCH("employee",P765)),ISNUMBER(SEARCH("labour",P765)),ISNUMBER(SEARCH("worker",P765)),ISNUMBER(SEARCH("salary",P765))),"Labour &amp; employment",IF(OR(ISNUMBER(SEARCH("rti",P765)),ISNUMBER(SEARCH("transparency",P765)),ISNUMBER(SEARCH("corruption",P765)),ISNUMBER(SEARCH("governance",P765))),"Governance &amp; transparency",IF(OR(ISNUMBER(SEARCH("police",P765)),ISNUMBER(SEARCH("detention",P765)),ISNUMBER(SEARCH("civil rights",P765)),ISNUMBER(SEARCH("justice",P765))),"Civil rights &amp; justice",IF(OR(ISNUMBER(SEARCH("road",P765)),ISNUMBER(SEARCH("utility",P765)),ISNUMBER(SEARCH("infrastructure",P765)),ISNUMBER(SEARCH("public service",P765))),"Infrastructure &amp; public services","Other"))))))))))))</x:f>
      </x:c>
      <x:c r="J765" s="16" t="str">
        <x:f>IF(A765="","",IF(OR(ISNUMBER(SEARCH("fatal",Q765)),ISNUMBER(SEARCH("death",Q765)),ISNUMBER(SEARCH("riot",Q765)),ISNUMBER(SEARCH("curfew",Q765)),ISNUMBER(SEARCH("internet shutdown",Q765))),5,MIN(4,1+IF(H765&gt;=7,1,0)+IF(OR(ISNUMBER(SEARCH("hunger strike",Q765)),ISNUMBER(SEARCH("blockade",Q765)),ISNUMBER(SEARCH("strike",Q765)),ISNUMBER(SEARCH("jal satyagraha",Q765)),ISNUMBER(SEARCH("survey",Q765)),ISNUMBER(SEARCH("human chain",Q765)),ISNUMBER(SEARCH("march",Q765))),1,0)+IF(OR(ISNUMBER(SEARCH("fir",Q765)),ISNUMBER(SEARCH("confrontation",Q765)),ISNUMBER(SEARCH("violence",Q765)),ISNUMBER(SEARCH("detention",Q765)),ISNUMBER(SEARCH("arrest",Q765)),ISNUMBER(SEARCH("demolition",Q765)),ISNUMBER(SEARCH("injury",Q765))),1,0)+IF(OR(D765="Ongoing",D765="Unresolved"),1,0))))</x:f>
      </x:c>
      <x:c r="K765" s="16" t="str">
        <x:f>IF(J765="","",IF(J765=1,"Limited",IF(J765=2,"Local",IF(J765=3,"Significant",IF(J765=4,"High","Critical")))))</x:f>
      </x:c>
      <x:c r="L765" s="16" t="str">
        <x:f>IF(A765="","",Events!U764)</x:f>
      </x:c>
      <x:c r="M765" s="16" t="str">
        <x:f>IF(A765="","",Events!V764)</x:f>
      </x:c>
      <x:c r="N765" s="16" t="str">
        <x:f>IF(A765="","",Events!Q764)</x:f>
      </x:c>
      <x:c r="O765" s="16" t="str">
        <x:f>IF(A765="","",Events!R764)</x:f>
      </x:c>
      <x:c r="P765" s="16" t="str">
        <x:f>IF(A765="","",LOWER(Events!B764&amp;" "&amp;Events!D764&amp;" "&amp;Events!K764))</x:f>
      </x:c>
      <x:c r="Q765" s="16" t="str">
        <x:f>IF(A765="","",LOWER(Events!C764&amp;" "&amp;Events!K764&amp;" "&amp;Events!T764))</x:f>
      </x:c>
      <x:c r="R765" s="16" t="str">
        <x:f>IF(A765="","",IF(ISNUMBER(SEARCH("Occurrence verified",E765)),"Occurrence verified",E765))</x:f>
      </x:c>
      <x:c r="S765" s="79" t="str">
        <x:f>IF(A765="","",Events!X764)</x:f>
      </x:c>
      <x:c r="Z765" s="79" t="str">
        <x:f>IF(A765="","",Events!AD764)</x:f>
      </x:c>
      <x:c r="AA765" s="79" t="str">
        <x:f>IF(A765="","",Events!AE764)</x:f>
      </x:c>
    </x:row>
    <x:row r="766">
      <x:c r="A766" s="16" t="str">
        <x:f>IF(Events!A765="","",Events!A765)</x:f>
      </x:c>
      <x:c r="B766" s="16" t="str">
        <x:f>IF(A766="","",Events!B765)</x:f>
      </x:c>
      <x:c r="C766" s="16" t="str">
        <x:f>IF(A766="","",Events!E765)</x:f>
      </x:c>
      <x:c r="D766" s="16" t="str">
        <x:f>IF(A766="","",Events!J765)</x:f>
      </x:c>
      <x:c r="E766" s="16" t="str">
        <x:f>IF(A766="","",Events!N765)</x:f>
      </x:c>
      <x:c r="F766" s="109" t="str">
        <x:f>IF(OR(A766="",Events!H765=""),"",Events!H765)</x:f>
      </x:c>
      <x:c r="G766" s="109" t="str">
        <x:f>IF(A766="","",IF(Events!I765&lt;&gt;"",Events!I765,IF(Events!S765&lt;&gt;"",Events!S765,"")))</x:f>
      </x:c>
      <x:c r="H766" s="16" t="str">
        <x:f>IF(A766="","",Events!W765)</x:f>
      </x:c>
      <x:c r="I766" s="16" t="str">
        <x:f>IF(A766="","",IF(Events!Y765&lt;&gt;"",Events!Y765,IF(OR(ISNUMBER(SEARCH("education",P766)),ISNUMBER(SEARCH("exam",P766)),ISNUMBER(SEARCH("school",P766))),"Education",IF(OR(ISNUMBER(SEARCH("trade agreement",P766)),ISNUMBER(SEARCH("economic",P766)),ISNUMBER(SEARCH("import",P766))),"Trade &amp; economic policy",IF(OR(ISNUMBER(SEARCH("land acquisition",P766)),ISNUMBER(SEARCH("rehabilitation",P766)),ISNUMBER(SEARCH("displacement",P766)),ISNUMBER(SEARCH("township",P766))),"Land &amp; rehabilitation",IF(OR(ISNUMBER(SEARCH("forest",P766)),ISNUMBER(SEARCH("environment",P766)),ISNUMBER(SEARCH("ecological",P766)),ISNUMBER(SEARCH("biodiversity",P766)),ISNUMBER(SEARCH("green cover",P766))),"Environment",IF(OR(ISNUMBER(SEARCH("irrigation",P766)),ISNUMBER(SEARCH("water",P766)),ISNUMBER(SEARCH("crop",P766)),ISNUMBER(SEARCH("farmer",P766)),ISNUMBER(SEARCH("agriculture",P766))),"Agriculture &amp; water",IF(OR(ISNUMBER(SEARCH("health",P766)),ISNUMBER(SEARCH("hospital",P766)),ISNUMBER(SEARCH("medicine",P766))),"Public health",IF(OR(ISNUMBER(SEARCH("employee",P766)),ISNUMBER(SEARCH("labour",P766)),ISNUMBER(SEARCH("worker",P766)),ISNUMBER(SEARCH("salary",P766))),"Labour &amp; employment",IF(OR(ISNUMBER(SEARCH("rti",P766)),ISNUMBER(SEARCH("transparency",P766)),ISNUMBER(SEARCH("corruption",P766)),ISNUMBER(SEARCH("governance",P766))),"Governance &amp; transparency",IF(OR(ISNUMBER(SEARCH("police",P766)),ISNUMBER(SEARCH("detention",P766)),ISNUMBER(SEARCH("civil rights",P766)),ISNUMBER(SEARCH("justice",P766))),"Civil rights &amp; justice",IF(OR(ISNUMBER(SEARCH("road",P766)),ISNUMBER(SEARCH("utility",P766)),ISNUMBER(SEARCH("infrastructure",P766)),ISNUMBER(SEARCH("public service",P766))),"Infrastructure &amp; public services","Other"))))))))))))</x:f>
      </x:c>
      <x:c r="J766" s="16" t="str">
        <x:f>IF(A766="","",IF(OR(ISNUMBER(SEARCH("fatal",Q766)),ISNUMBER(SEARCH("death",Q766)),ISNUMBER(SEARCH("riot",Q766)),ISNUMBER(SEARCH("curfew",Q766)),ISNUMBER(SEARCH("internet shutdown",Q766))),5,MIN(4,1+IF(H766&gt;=7,1,0)+IF(OR(ISNUMBER(SEARCH("hunger strike",Q766)),ISNUMBER(SEARCH("blockade",Q766)),ISNUMBER(SEARCH("strike",Q766)),ISNUMBER(SEARCH("jal satyagraha",Q766)),ISNUMBER(SEARCH("survey",Q766)),ISNUMBER(SEARCH("human chain",Q766)),ISNUMBER(SEARCH("march",Q766))),1,0)+IF(OR(ISNUMBER(SEARCH("fir",Q766)),ISNUMBER(SEARCH("confrontation",Q766)),ISNUMBER(SEARCH("violence",Q766)),ISNUMBER(SEARCH("detention",Q766)),ISNUMBER(SEARCH("arrest",Q766)),ISNUMBER(SEARCH("demolition",Q766)),ISNUMBER(SEARCH("injury",Q766))),1,0)+IF(OR(D766="Ongoing",D766="Unresolved"),1,0))))</x:f>
      </x:c>
      <x:c r="K766" s="16" t="str">
        <x:f>IF(J766="","",IF(J766=1,"Limited",IF(J766=2,"Local",IF(J766=3,"Significant",IF(J766=4,"High","Critical")))))</x:f>
      </x:c>
      <x:c r="L766" s="16" t="str">
        <x:f>IF(A766="","",Events!U765)</x:f>
      </x:c>
      <x:c r="M766" s="16" t="str">
        <x:f>IF(A766="","",Events!V765)</x:f>
      </x:c>
      <x:c r="N766" s="16" t="str">
        <x:f>IF(A766="","",Events!Q765)</x:f>
      </x:c>
      <x:c r="O766" s="16" t="str">
        <x:f>IF(A766="","",Events!R765)</x:f>
      </x:c>
      <x:c r="P766" s="16" t="str">
        <x:f>IF(A766="","",LOWER(Events!B765&amp;" "&amp;Events!D765&amp;" "&amp;Events!K765))</x:f>
      </x:c>
      <x:c r="Q766" s="16" t="str">
        <x:f>IF(A766="","",LOWER(Events!C765&amp;" "&amp;Events!K765&amp;" "&amp;Events!T765))</x:f>
      </x:c>
      <x:c r="R766" s="16" t="str">
        <x:f>IF(A766="","",IF(ISNUMBER(SEARCH("Occurrence verified",E766)),"Occurrence verified",E766))</x:f>
      </x:c>
      <x:c r="S766" s="79" t="str">
        <x:f>IF(A766="","",Events!X765)</x:f>
      </x:c>
      <x:c r="Z766" s="79" t="str">
        <x:f>IF(A766="","",Events!AD765)</x:f>
      </x:c>
      <x:c r="AA766" s="79" t="str">
        <x:f>IF(A766="","",Events!AE765)</x:f>
      </x:c>
    </x:row>
    <x:row r="767">
      <x:c r="A767" s="16" t="str">
        <x:f>IF(Events!A766="","",Events!A766)</x:f>
      </x:c>
      <x:c r="B767" s="16" t="str">
        <x:f>IF(A767="","",Events!B766)</x:f>
      </x:c>
      <x:c r="C767" s="16" t="str">
        <x:f>IF(A767="","",Events!E766)</x:f>
      </x:c>
      <x:c r="D767" s="16" t="str">
        <x:f>IF(A767="","",Events!J766)</x:f>
      </x:c>
      <x:c r="E767" s="16" t="str">
        <x:f>IF(A767="","",Events!N766)</x:f>
      </x:c>
      <x:c r="F767" s="109" t="str">
        <x:f>IF(OR(A767="",Events!H766=""),"",Events!H766)</x:f>
      </x:c>
      <x:c r="G767" s="109" t="str">
        <x:f>IF(A767="","",IF(Events!I766&lt;&gt;"",Events!I766,IF(Events!S766&lt;&gt;"",Events!S766,"")))</x:f>
      </x:c>
      <x:c r="H767" s="16" t="str">
        <x:f>IF(A767="","",Events!W766)</x:f>
      </x:c>
      <x:c r="I767" s="16" t="str">
        <x:f>IF(A767="","",IF(Events!Y766&lt;&gt;"",Events!Y766,IF(OR(ISNUMBER(SEARCH("education",P767)),ISNUMBER(SEARCH("exam",P767)),ISNUMBER(SEARCH("school",P767))),"Education",IF(OR(ISNUMBER(SEARCH("trade agreement",P767)),ISNUMBER(SEARCH("economic",P767)),ISNUMBER(SEARCH("import",P767))),"Trade &amp; economic policy",IF(OR(ISNUMBER(SEARCH("land acquisition",P767)),ISNUMBER(SEARCH("rehabilitation",P767)),ISNUMBER(SEARCH("displacement",P767)),ISNUMBER(SEARCH("township",P767))),"Land &amp; rehabilitation",IF(OR(ISNUMBER(SEARCH("forest",P767)),ISNUMBER(SEARCH("environment",P767)),ISNUMBER(SEARCH("ecological",P767)),ISNUMBER(SEARCH("biodiversity",P767)),ISNUMBER(SEARCH("green cover",P767))),"Environment",IF(OR(ISNUMBER(SEARCH("irrigation",P767)),ISNUMBER(SEARCH("water",P767)),ISNUMBER(SEARCH("crop",P767)),ISNUMBER(SEARCH("farmer",P767)),ISNUMBER(SEARCH("agriculture",P767))),"Agriculture &amp; water",IF(OR(ISNUMBER(SEARCH("health",P767)),ISNUMBER(SEARCH("hospital",P767)),ISNUMBER(SEARCH("medicine",P767))),"Public health",IF(OR(ISNUMBER(SEARCH("employee",P767)),ISNUMBER(SEARCH("labour",P767)),ISNUMBER(SEARCH("worker",P767)),ISNUMBER(SEARCH("salary",P767))),"Labour &amp; employment",IF(OR(ISNUMBER(SEARCH("rti",P767)),ISNUMBER(SEARCH("transparency",P767)),ISNUMBER(SEARCH("corruption",P767)),ISNUMBER(SEARCH("governance",P767))),"Governance &amp; transparency",IF(OR(ISNUMBER(SEARCH("police",P767)),ISNUMBER(SEARCH("detention",P767)),ISNUMBER(SEARCH("civil rights",P767)),ISNUMBER(SEARCH("justice",P767))),"Civil rights &amp; justice",IF(OR(ISNUMBER(SEARCH("road",P767)),ISNUMBER(SEARCH("utility",P767)),ISNUMBER(SEARCH("infrastructure",P767)),ISNUMBER(SEARCH("public service",P767))),"Infrastructure &amp; public services","Other"))))))))))))</x:f>
      </x:c>
      <x:c r="J767" s="16" t="str">
        <x:f>IF(A767="","",IF(OR(ISNUMBER(SEARCH("fatal",Q767)),ISNUMBER(SEARCH("death",Q767)),ISNUMBER(SEARCH("riot",Q767)),ISNUMBER(SEARCH("curfew",Q767)),ISNUMBER(SEARCH("internet shutdown",Q767))),5,MIN(4,1+IF(H767&gt;=7,1,0)+IF(OR(ISNUMBER(SEARCH("hunger strike",Q767)),ISNUMBER(SEARCH("blockade",Q767)),ISNUMBER(SEARCH("strike",Q767)),ISNUMBER(SEARCH("jal satyagraha",Q767)),ISNUMBER(SEARCH("survey",Q767)),ISNUMBER(SEARCH("human chain",Q767)),ISNUMBER(SEARCH("march",Q767))),1,0)+IF(OR(ISNUMBER(SEARCH("fir",Q767)),ISNUMBER(SEARCH("confrontation",Q767)),ISNUMBER(SEARCH("violence",Q767)),ISNUMBER(SEARCH("detention",Q767)),ISNUMBER(SEARCH("arrest",Q767)),ISNUMBER(SEARCH("demolition",Q767)),ISNUMBER(SEARCH("injury",Q767))),1,0)+IF(OR(D767="Ongoing",D767="Unresolved"),1,0))))</x:f>
      </x:c>
      <x:c r="K767" s="16" t="str">
        <x:f>IF(J767="","",IF(J767=1,"Limited",IF(J767=2,"Local",IF(J767=3,"Significant",IF(J767=4,"High","Critical")))))</x:f>
      </x:c>
      <x:c r="L767" s="16" t="str">
        <x:f>IF(A767="","",Events!U766)</x:f>
      </x:c>
      <x:c r="M767" s="16" t="str">
        <x:f>IF(A767="","",Events!V766)</x:f>
      </x:c>
      <x:c r="N767" s="16" t="str">
        <x:f>IF(A767="","",Events!Q766)</x:f>
      </x:c>
      <x:c r="O767" s="16" t="str">
        <x:f>IF(A767="","",Events!R766)</x:f>
      </x:c>
      <x:c r="P767" s="16" t="str">
        <x:f>IF(A767="","",LOWER(Events!B766&amp;" "&amp;Events!D766&amp;" "&amp;Events!K766))</x:f>
      </x:c>
      <x:c r="Q767" s="16" t="str">
        <x:f>IF(A767="","",LOWER(Events!C766&amp;" "&amp;Events!K766&amp;" "&amp;Events!T766))</x:f>
      </x:c>
      <x:c r="R767" s="16" t="str">
        <x:f>IF(A767="","",IF(ISNUMBER(SEARCH("Occurrence verified",E767)),"Occurrence verified",E767))</x:f>
      </x:c>
      <x:c r="S767" s="79" t="str">
        <x:f>IF(A767="","",Events!X766)</x:f>
      </x:c>
      <x:c r="Z767" s="79" t="str">
        <x:f>IF(A767="","",Events!AD766)</x:f>
      </x:c>
      <x:c r="AA767" s="79" t="str">
        <x:f>IF(A767="","",Events!AE766)</x:f>
      </x:c>
    </x:row>
    <x:row r="768">
      <x:c r="A768" s="16" t="str">
        <x:f>IF(Events!A767="","",Events!A767)</x:f>
      </x:c>
      <x:c r="B768" s="16" t="str">
        <x:f>IF(A768="","",Events!B767)</x:f>
      </x:c>
      <x:c r="C768" s="16" t="str">
        <x:f>IF(A768="","",Events!E767)</x:f>
      </x:c>
      <x:c r="D768" s="16" t="str">
        <x:f>IF(A768="","",Events!J767)</x:f>
      </x:c>
      <x:c r="E768" s="16" t="str">
        <x:f>IF(A768="","",Events!N767)</x:f>
      </x:c>
      <x:c r="F768" s="109" t="str">
        <x:f>IF(OR(A768="",Events!H767=""),"",Events!H767)</x:f>
      </x:c>
      <x:c r="G768" s="109" t="str">
        <x:f>IF(A768="","",IF(Events!I767&lt;&gt;"",Events!I767,IF(Events!S767&lt;&gt;"",Events!S767,"")))</x:f>
      </x:c>
      <x:c r="H768" s="16" t="str">
        <x:f>IF(A768="","",Events!W767)</x:f>
      </x:c>
      <x:c r="I768" s="16" t="str">
        <x:f>IF(A768="","",IF(Events!Y767&lt;&gt;"",Events!Y767,IF(OR(ISNUMBER(SEARCH("education",P768)),ISNUMBER(SEARCH("exam",P768)),ISNUMBER(SEARCH("school",P768))),"Education",IF(OR(ISNUMBER(SEARCH("trade agreement",P768)),ISNUMBER(SEARCH("economic",P768)),ISNUMBER(SEARCH("import",P768))),"Trade &amp; economic policy",IF(OR(ISNUMBER(SEARCH("land acquisition",P768)),ISNUMBER(SEARCH("rehabilitation",P768)),ISNUMBER(SEARCH("displacement",P768)),ISNUMBER(SEARCH("township",P768))),"Land &amp; rehabilitation",IF(OR(ISNUMBER(SEARCH("forest",P768)),ISNUMBER(SEARCH("environment",P768)),ISNUMBER(SEARCH("ecological",P768)),ISNUMBER(SEARCH("biodiversity",P768)),ISNUMBER(SEARCH("green cover",P768))),"Environment",IF(OR(ISNUMBER(SEARCH("irrigation",P768)),ISNUMBER(SEARCH("water",P768)),ISNUMBER(SEARCH("crop",P768)),ISNUMBER(SEARCH("farmer",P768)),ISNUMBER(SEARCH("agriculture",P768))),"Agriculture &amp; water",IF(OR(ISNUMBER(SEARCH("health",P768)),ISNUMBER(SEARCH("hospital",P768)),ISNUMBER(SEARCH("medicine",P768))),"Public health",IF(OR(ISNUMBER(SEARCH("employee",P768)),ISNUMBER(SEARCH("labour",P768)),ISNUMBER(SEARCH("worker",P768)),ISNUMBER(SEARCH("salary",P768))),"Labour &amp; employment",IF(OR(ISNUMBER(SEARCH("rti",P768)),ISNUMBER(SEARCH("transparency",P768)),ISNUMBER(SEARCH("corruption",P768)),ISNUMBER(SEARCH("governance",P768))),"Governance &amp; transparency",IF(OR(ISNUMBER(SEARCH("police",P768)),ISNUMBER(SEARCH("detention",P768)),ISNUMBER(SEARCH("civil rights",P768)),ISNUMBER(SEARCH("justice",P768))),"Civil rights &amp; justice",IF(OR(ISNUMBER(SEARCH("road",P768)),ISNUMBER(SEARCH("utility",P768)),ISNUMBER(SEARCH("infrastructure",P768)),ISNUMBER(SEARCH("public service",P768))),"Infrastructure &amp; public services","Other"))))))))))))</x:f>
      </x:c>
      <x:c r="J768" s="16" t="str">
        <x:f>IF(A768="","",IF(OR(ISNUMBER(SEARCH("fatal",Q768)),ISNUMBER(SEARCH("death",Q768)),ISNUMBER(SEARCH("riot",Q768)),ISNUMBER(SEARCH("curfew",Q768)),ISNUMBER(SEARCH("internet shutdown",Q768))),5,MIN(4,1+IF(H768&gt;=7,1,0)+IF(OR(ISNUMBER(SEARCH("hunger strike",Q768)),ISNUMBER(SEARCH("blockade",Q768)),ISNUMBER(SEARCH("strike",Q768)),ISNUMBER(SEARCH("jal satyagraha",Q768)),ISNUMBER(SEARCH("survey",Q768)),ISNUMBER(SEARCH("human chain",Q768)),ISNUMBER(SEARCH("march",Q768))),1,0)+IF(OR(ISNUMBER(SEARCH("fir",Q768)),ISNUMBER(SEARCH("confrontation",Q768)),ISNUMBER(SEARCH("violence",Q768)),ISNUMBER(SEARCH("detention",Q768)),ISNUMBER(SEARCH("arrest",Q768)),ISNUMBER(SEARCH("demolition",Q768)),ISNUMBER(SEARCH("injury",Q768))),1,0)+IF(OR(D768="Ongoing",D768="Unresolved"),1,0))))</x:f>
      </x:c>
      <x:c r="K768" s="16" t="str">
        <x:f>IF(J768="","",IF(J768=1,"Limited",IF(J768=2,"Local",IF(J768=3,"Significant",IF(J768=4,"High","Critical")))))</x:f>
      </x:c>
      <x:c r="L768" s="16" t="str">
        <x:f>IF(A768="","",Events!U767)</x:f>
      </x:c>
      <x:c r="M768" s="16" t="str">
        <x:f>IF(A768="","",Events!V767)</x:f>
      </x:c>
      <x:c r="N768" s="16" t="str">
        <x:f>IF(A768="","",Events!Q767)</x:f>
      </x:c>
      <x:c r="O768" s="16" t="str">
        <x:f>IF(A768="","",Events!R767)</x:f>
      </x:c>
      <x:c r="P768" s="16" t="str">
        <x:f>IF(A768="","",LOWER(Events!B767&amp;" "&amp;Events!D767&amp;" "&amp;Events!K767))</x:f>
      </x:c>
      <x:c r="Q768" s="16" t="str">
        <x:f>IF(A768="","",LOWER(Events!C767&amp;" "&amp;Events!K767&amp;" "&amp;Events!T767))</x:f>
      </x:c>
      <x:c r="R768" s="16" t="str">
        <x:f>IF(A768="","",IF(ISNUMBER(SEARCH("Occurrence verified",E768)),"Occurrence verified",E768))</x:f>
      </x:c>
      <x:c r="S768" s="79" t="str">
        <x:f>IF(A768="","",Events!X767)</x:f>
      </x:c>
      <x:c r="Z768" s="79" t="str">
        <x:f>IF(A768="","",Events!AD767)</x:f>
      </x:c>
      <x:c r="AA768" s="79" t="str">
        <x:f>IF(A768="","",Events!AE767)</x:f>
      </x:c>
    </x:row>
    <x:row r="769">
      <x:c r="A769" s="16" t="str">
        <x:f>IF(Events!A768="","",Events!A768)</x:f>
      </x:c>
      <x:c r="B769" s="16" t="str">
        <x:f>IF(A769="","",Events!B768)</x:f>
      </x:c>
      <x:c r="C769" s="16" t="str">
        <x:f>IF(A769="","",Events!E768)</x:f>
      </x:c>
      <x:c r="D769" s="16" t="str">
        <x:f>IF(A769="","",Events!J768)</x:f>
      </x:c>
      <x:c r="E769" s="16" t="str">
        <x:f>IF(A769="","",Events!N768)</x:f>
      </x:c>
      <x:c r="F769" s="109" t="str">
        <x:f>IF(OR(A769="",Events!H768=""),"",Events!H768)</x:f>
      </x:c>
      <x:c r="G769" s="109" t="str">
        <x:f>IF(A769="","",IF(Events!I768&lt;&gt;"",Events!I768,IF(Events!S768&lt;&gt;"",Events!S768,"")))</x:f>
      </x:c>
      <x:c r="H769" s="16" t="str">
        <x:f>IF(A769="","",Events!W768)</x:f>
      </x:c>
      <x:c r="I769" s="16" t="str">
        <x:f>IF(A769="","",IF(Events!Y768&lt;&gt;"",Events!Y768,IF(OR(ISNUMBER(SEARCH("education",P769)),ISNUMBER(SEARCH("exam",P769)),ISNUMBER(SEARCH("school",P769))),"Education",IF(OR(ISNUMBER(SEARCH("trade agreement",P769)),ISNUMBER(SEARCH("economic",P769)),ISNUMBER(SEARCH("import",P769))),"Trade &amp; economic policy",IF(OR(ISNUMBER(SEARCH("land acquisition",P769)),ISNUMBER(SEARCH("rehabilitation",P769)),ISNUMBER(SEARCH("displacement",P769)),ISNUMBER(SEARCH("township",P769))),"Land &amp; rehabilitation",IF(OR(ISNUMBER(SEARCH("forest",P769)),ISNUMBER(SEARCH("environment",P769)),ISNUMBER(SEARCH("ecological",P769)),ISNUMBER(SEARCH("biodiversity",P769)),ISNUMBER(SEARCH("green cover",P769))),"Environment",IF(OR(ISNUMBER(SEARCH("irrigation",P769)),ISNUMBER(SEARCH("water",P769)),ISNUMBER(SEARCH("crop",P769)),ISNUMBER(SEARCH("farmer",P769)),ISNUMBER(SEARCH("agriculture",P769))),"Agriculture &amp; water",IF(OR(ISNUMBER(SEARCH("health",P769)),ISNUMBER(SEARCH("hospital",P769)),ISNUMBER(SEARCH("medicine",P769))),"Public health",IF(OR(ISNUMBER(SEARCH("employee",P769)),ISNUMBER(SEARCH("labour",P769)),ISNUMBER(SEARCH("worker",P769)),ISNUMBER(SEARCH("salary",P769))),"Labour &amp; employment",IF(OR(ISNUMBER(SEARCH("rti",P769)),ISNUMBER(SEARCH("transparency",P769)),ISNUMBER(SEARCH("corruption",P769)),ISNUMBER(SEARCH("governance",P769))),"Governance &amp; transparency",IF(OR(ISNUMBER(SEARCH("police",P769)),ISNUMBER(SEARCH("detention",P769)),ISNUMBER(SEARCH("civil rights",P769)),ISNUMBER(SEARCH("justice",P769))),"Civil rights &amp; justice",IF(OR(ISNUMBER(SEARCH("road",P769)),ISNUMBER(SEARCH("utility",P769)),ISNUMBER(SEARCH("infrastructure",P769)),ISNUMBER(SEARCH("public service",P769))),"Infrastructure &amp; public services","Other"))))))))))))</x:f>
      </x:c>
      <x:c r="J769" s="16" t="str">
        <x:f>IF(A769="","",IF(OR(ISNUMBER(SEARCH("fatal",Q769)),ISNUMBER(SEARCH("death",Q769)),ISNUMBER(SEARCH("riot",Q769)),ISNUMBER(SEARCH("curfew",Q769)),ISNUMBER(SEARCH("internet shutdown",Q769))),5,MIN(4,1+IF(H769&gt;=7,1,0)+IF(OR(ISNUMBER(SEARCH("hunger strike",Q769)),ISNUMBER(SEARCH("blockade",Q769)),ISNUMBER(SEARCH("strike",Q769)),ISNUMBER(SEARCH("jal satyagraha",Q769)),ISNUMBER(SEARCH("survey",Q769)),ISNUMBER(SEARCH("human chain",Q769)),ISNUMBER(SEARCH("march",Q769))),1,0)+IF(OR(ISNUMBER(SEARCH("fir",Q769)),ISNUMBER(SEARCH("confrontation",Q769)),ISNUMBER(SEARCH("violence",Q769)),ISNUMBER(SEARCH("detention",Q769)),ISNUMBER(SEARCH("arrest",Q769)),ISNUMBER(SEARCH("demolition",Q769)),ISNUMBER(SEARCH("injury",Q769))),1,0)+IF(OR(D769="Ongoing",D769="Unresolved"),1,0))))</x:f>
      </x:c>
      <x:c r="K769" s="16" t="str">
        <x:f>IF(J769="","",IF(J769=1,"Limited",IF(J769=2,"Local",IF(J769=3,"Significant",IF(J769=4,"High","Critical")))))</x:f>
      </x:c>
      <x:c r="L769" s="16" t="str">
        <x:f>IF(A769="","",Events!U768)</x:f>
      </x:c>
      <x:c r="M769" s="16" t="str">
        <x:f>IF(A769="","",Events!V768)</x:f>
      </x:c>
      <x:c r="N769" s="16" t="str">
        <x:f>IF(A769="","",Events!Q768)</x:f>
      </x:c>
      <x:c r="O769" s="16" t="str">
        <x:f>IF(A769="","",Events!R768)</x:f>
      </x:c>
      <x:c r="P769" s="16" t="str">
        <x:f>IF(A769="","",LOWER(Events!B768&amp;" "&amp;Events!D768&amp;" "&amp;Events!K768))</x:f>
      </x:c>
      <x:c r="Q769" s="16" t="str">
        <x:f>IF(A769="","",LOWER(Events!C768&amp;" "&amp;Events!K768&amp;" "&amp;Events!T768))</x:f>
      </x:c>
      <x:c r="R769" s="16" t="str">
        <x:f>IF(A769="","",IF(ISNUMBER(SEARCH("Occurrence verified",E769)),"Occurrence verified",E769))</x:f>
      </x:c>
      <x:c r="S769" s="79" t="str">
        <x:f>IF(A769="","",Events!X768)</x:f>
      </x:c>
      <x:c r="Z769" s="79" t="str">
        <x:f>IF(A769="","",Events!AD768)</x:f>
      </x:c>
      <x:c r="AA769" s="79" t="str">
        <x:f>IF(A769="","",Events!AE768)</x:f>
      </x:c>
    </x:row>
    <x:row r="770">
      <x:c r="A770" s="16" t="str">
        <x:f>IF(Events!A769="","",Events!A769)</x:f>
      </x:c>
      <x:c r="B770" s="16" t="str">
        <x:f>IF(A770="","",Events!B769)</x:f>
      </x:c>
      <x:c r="C770" s="16" t="str">
        <x:f>IF(A770="","",Events!E769)</x:f>
      </x:c>
      <x:c r="D770" s="16" t="str">
        <x:f>IF(A770="","",Events!J769)</x:f>
      </x:c>
      <x:c r="E770" s="16" t="str">
        <x:f>IF(A770="","",Events!N769)</x:f>
      </x:c>
      <x:c r="F770" s="109" t="str">
        <x:f>IF(OR(A770="",Events!H769=""),"",Events!H769)</x:f>
      </x:c>
      <x:c r="G770" s="109" t="str">
        <x:f>IF(A770="","",IF(Events!I769&lt;&gt;"",Events!I769,IF(Events!S769&lt;&gt;"",Events!S769,"")))</x:f>
      </x:c>
      <x:c r="H770" s="16" t="str">
        <x:f>IF(A770="","",Events!W769)</x:f>
      </x:c>
      <x:c r="I770" s="16" t="str">
        <x:f>IF(A770="","",IF(Events!Y769&lt;&gt;"",Events!Y769,IF(OR(ISNUMBER(SEARCH("education",P770)),ISNUMBER(SEARCH("exam",P770)),ISNUMBER(SEARCH("school",P770))),"Education",IF(OR(ISNUMBER(SEARCH("trade agreement",P770)),ISNUMBER(SEARCH("economic",P770)),ISNUMBER(SEARCH("import",P770))),"Trade &amp; economic policy",IF(OR(ISNUMBER(SEARCH("land acquisition",P770)),ISNUMBER(SEARCH("rehabilitation",P770)),ISNUMBER(SEARCH("displacement",P770)),ISNUMBER(SEARCH("township",P770))),"Land &amp; rehabilitation",IF(OR(ISNUMBER(SEARCH("forest",P770)),ISNUMBER(SEARCH("environment",P770)),ISNUMBER(SEARCH("ecological",P770)),ISNUMBER(SEARCH("biodiversity",P770)),ISNUMBER(SEARCH("green cover",P770))),"Environment",IF(OR(ISNUMBER(SEARCH("irrigation",P770)),ISNUMBER(SEARCH("water",P770)),ISNUMBER(SEARCH("crop",P770)),ISNUMBER(SEARCH("farmer",P770)),ISNUMBER(SEARCH("agriculture",P770))),"Agriculture &amp; water",IF(OR(ISNUMBER(SEARCH("health",P770)),ISNUMBER(SEARCH("hospital",P770)),ISNUMBER(SEARCH("medicine",P770))),"Public health",IF(OR(ISNUMBER(SEARCH("employee",P770)),ISNUMBER(SEARCH("labour",P770)),ISNUMBER(SEARCH("worker",P770)),ISNUMBER(SEARCH("salary",P770))),"Labour &amp; employment",IF(OR(ISNUMBER(SEARCH("rti",P770)),ISNUMBER(SEARCH("transparency",P770)),ISNUMBER(SEARCH("corruption",P770)),ISNUMBER(SEARCH("governance",P770))),"Governance &amp; transparency",IF(OR(ISNUMBER(SEARCH("police",P770)),ISNUMBER(SEARCH("detention",P770)),ISNUMBER(SEARCH("civil rights",P770)),ISNUMBER(SEARCH("justice",P770))),"Civil rights &amp; justice",IF(OR(ISNUMBER(SEARCH("road",P770)),ISNUMBER(SEARCH("utility",P770)),ISNUMBER(SEARCH("infrastructure",P770)),ISNUMBER(SEARCH("public service",P770))),"Infrastructure &amp; public services","Other"))))))))))))</x:f>
      </x:c>
      <x:c r="J770" s="16" t="str">
        <x:f>IF(A770="","",IF(OR(ISNUMBER(SEARCH("fatal",Q770)),ISNUMBER(SEARCH("death",Q770)),ISNUMBER(SEARCH("riot",Q770)),ISNUMBER(SEARCH("curfew",Q770)),ISNUMBER(SEARCH("internet shutdown",Q770))),5,MIN(4,1+IF(H770&gt;=7,1,0)+IF(OR(ISNUMBER(SEARCH("hunger strike",Q770)),ISNUMBER(SEARCH("blockade",Q770)),ISNUMBER(SEARCH("strike",Q770)),ISNUMBER(SEARCH("jal satyagraha",Q770)),ISNUMBER(SEARCH("survey",Q770)),ISNUMBER(SEARCH("human chain",Q770)),ISNUMBER(SEARCH("march",Q770))),1,0)+IF(OR(ISNUMBER(SEARCH("fir",Q770)),ISNUMBER(SEARCH("confrontation",Q770)),ISNUMBER(SEARCH("violence",Q770)),ISNUMBER(SEARCH("detention",Q770)),ISNUMBER(SEARCH("arrest",Q770)),ISNUMBER(SEARCH("demolition",Q770)),ISNUMBER(SEARCH("injury",Q770))),1,0)+IF(OR(D770="Ongoing",D770="Unresolved"),1,0))))</x:f>
      </x:c>
      <x:c r="K770" s="16" t="str">
        <x:f>IF(J770="","",IF(J770=1,"Limited",IF(J770=2,"Local",IF(J770=3,"Significant",IF(J770=4,"High","Critical")))))</x:f>
      </x:c>
      <x:c r="L770" s="16" t="str">
        <x:f>IF(A770="","",Events!U769)</x:f>
      </x:c>
      <x:c r="M770" s="16" t="str">
        <x:f>IF(A770="","",Events!V769)</x:f>
      </x:c>
      <x:c r="N770" s="16" t="str">
        <x:f>IF(A770="","",Events!Q769)</x:f>
      </x:c>
      <x:c r="O770" s="16" t="str">
        <x:f>IF(A770="","",Events!R769)</x:f>
      </x:c>
      <x:c r="P770" s="16" t="str">
        <x:f>IF(A770="","",LOWER(Events!B769&amp;" "&amp;Events!D769&amp;" "&amp;Events!K769))</x:f>
      </x:c>
      <x:c r="Q770" s="16" t="str">
        <x:f>IF(A770="","",LOWER(Events!C769&amp;" "&amp;Events!K769&amp;" "&amp;Events!T769))</x:f>
      </x:c>
      <x:c r="R770" s="16" t="str">
        <x:f>IF(A770="","",IF(ISNUMBER(SEARCH("Occurrence verified",E770)),"Occurrence verified",E770))</x:f>
      </x:c>
      <x:c r="S770" s="79" t="str">
        <x:f>IF(A770="","",Events!X769)</x:f>
      </x:c>
      <x:c r="Z770" s="79" t="str">
        <x:f>IF(A770="","",Events!AD769)</x:f>
      </x:c>
      <x:c r="AA770" s="79" t="str">
        <x:f>IF(A770="","",Events!AE769)</x:f>
      </x:c>
    </x:row>
    <x:row r="771">
      <x:c r="A771" s="16" t="str">
        <x:f>IF(Events!A770="","",Events!A770)</x:f>
      </x:c>
      <x:c r="B771" s="16" t="str">
        <x:f>IF(A771="","",Events!B770)</x:f>
      </x:c>
      <x:c r="C771" s="16" t="str">
        <x:f>IF(A771="","",Events!E770)</x:f>
      </x:c>
      <x:c r="D771" s="16" t="str">
        <x:f>IF(A771="","",Events!J770)</x:f>
      </x:c>
      <x:c r="E771" s="16" t="str">
        <x:f>IF(A771="","",Events!N770)</x:f>
      </x:c>
      <x:c r="F771" s="109" t="str">
        <x:f>IF(OR(A771="",Events!H770=""),"",Events!H770)</x:f>
      </x:c>
      <x:c r="G771" s="109" t="str">
        <x:f>IF(A771="","",IF(Events!I770&lt;&gt;"",Events!I770,IF(Events!S770&lt;&gt;"",Events!S770,"")))</x:f>
      </x:c>
      <x:c r="H771" s="16" t="str">
        <x:f>IF(A771="","",Events!W770)</x:f>
      </x:c>
      <x:c r="I771" s="16" t="str">
        <x:f>IF(A771="","",IF(Events!Y770&lt;&gt;"",Events!Y770,IF(OR(ISNUMBER(SEARCH("education",P771)),ISNUMBER(SEARCH("exam",P771)),ISNUMBER(SEARCH("school",P771))),"Education",IF(OR(ISNUMBER(SEARCH("trade agreement",P771)),ISNUMBER(SEARCH("economic",P771)),ISNUMBER(SEARCH("import",P771))),"Trade &amp; economic policy",IF(OR(ISNUMBER(SEARCH("land acquisition",P771)),ISNUMBER(SEARCH("rehabilitation",P771)),ISNUMBER(SEARCH("displacement",P771)),ISNUMBER(SEARCH("township",P771))),"Land &amp; rehabilitation",IF(OR(ISNUMBER(SEARCH("forest",P771)),ISNUMBER(SEARCH("environment",P771)),ISNUMBER(SEARCH("ecological",P771)),ISNUMBER(SEARCH("biodiversity",P771)),ISNUMBER(SEARCH("green cover",P771))),"Environment",IF(OR(ISNUMBER(SEARCH("irrigation",P771)),ISNUMBER(SEARCH("water",P771)),ISNUMBER(SEARCH("crop",P771)),ISNUMBER(SEARCH("farmer",P771)),ISNUMBER(SEARCH("agriculture",P771))),"Agriculture &amp; water",IF(OR(ISNUMBER(SEARCH("health",P771)),ISNUMBER(SEARCH("hospital",P771)),ISNUMBER(SEARCH("medicine",P771))),"Public health",IF(OR(ISNUMBER(SEARCH("employee",P771)),ISNUMBER(SEARCH("labour",P771)),ISNUMBER(SEARCH("worker",P771)),ISNUMBER(SEARCH("salary",P771))),"Labour &amp; employment",IF(OR(ISNUMBER(SEARCH("rti",P771)),ISNUMBER(SEARCH("transparency",P771)),ISNUMBER(SEARCH("corruption",P771)),ISNUMBER(SEARCH("governance",P771))),"Governance &amp; transparency",IF(OR(ISNUMBER(SEARCH("police",P771)),ISNUMBER(SEARCH("detention",P771)),ISNUMBER(SEARCH("civil rights",P771)),ISNUMBER(SEARCH("justice",P771))),"Civil rights &amp; justice",IF(OR(ISNUMBER(SEARCH("road",P771)),ISNUMBER(SEARCH("utility",P771)),ISNUMBER(SEARCH("infrastructure",P771)),ISNUMBER(SEARCH("public service",P771))),"Infrastructure &amp; public services","Other"))))))))))))</x:f>
      </x:c>
      <x:c r="J771" s="16" t="str">
        <x:f>IF(A771="","",IF(OR(ISNUMBER(SEARCH("fatal",Q771)),ISNUMBER(SEARCH("death",Q771)),ISNUMBER(SEARCH("riot",Q771)),ISNUMBER(SEARCH("curfew",Q771)),ISNUMBER(SEARCH("internet shutdown",Q771))),5,MIN(4,1+IF(H771&gt;=7,1,0)+IF(OR(ISNUMBER(SEARCH("hunger strike",Q771)),ISNUMBER(SEARCH("blockade",Q771)),ISNUMBER(SEARCH("strike",Q771)),ISNUMBER(SEARCH("jal satyagraha",Q771)),ISNUMBER(SEARCH("survey",Q771)),ISNUMBER(SEARCH("human chain",Q771)),ISNUMBER(SEARCH("march",Q771))),1,0)+IF(OR(ISNUMBER(SEARCH("fir",Q771)),ISNUMBER(SEARCH("confrontation",Q771)),ISNUMBER(SEARCH("violence",Q771)),ISNUMBER(SEARCH("detention",Q771)),ISNUMBER(SEARCH("arrest",Q771)),ISNUMBER(SEARCH("demolition",Q771)),ISNUMBER(SEARCH("injury",Q771))),1,0)+IF(OR(D771="Ongoing",D771="Unresolved"),1,0))))</x:f>
      </x:c>
      <x:c r="K771" s="16" t="str">
        <x:f>IF(J771="","",IF(J771=1,"Limited",IF(J771=2,"Local",IF(J771=3,"Significant",IF(J771=4,"High","Critical")))))</x:f>
      </x:c>
      <x:c r="L771" s="16" t="str">
        <x:f>IF(A771="","",Events!U770)</x:f>
      </x:c>
      <x:c r="M771" s="16" t="str">
        <x:f>IF(A771="","",Events!V770)</x:f>
      </x:c>
      <x:c r="N771" s="16" t="str">
        <x:f>IF(A771="","",Events!Q770)</x:f>
      </x:c>
      <x:c r="O771" s="16" t="str">
        <x:f>IF(A771="","",Events!R770)</x:f>
      </x:c>
      <x:c r="P771" s="16" t="str">
        <x:f>IF(A771="","",LOWER(Events!B770&amp;" "&amp;Events!D770&amp;" "&amp;Events!K770))</x:f>
      </x:c>
      <x:c r="Q771" s="16" t="str">
        <x:f>IF(A771="","",LOWER(Events!C770&amp;" "&amp;Events!K770&amp;" "&amp;Events!T770))</x:f>
      </x:c>
      <x:c r="R771" s="16" t="str">
        <x:f>IF(A771="","",IF(ISNUMBER(SEARCH("Occurrence verified",E771)),"Occurrence verified",E771))</x:f>
      </x:c>
      <x:c r="S771" s="79" t="str">
        <x:f>IF(A771="","",Events!X770)</x:f>
      </x:c>
      <x:c r="Z771" s="79" t="str">
        <x:f>IF(A771="","",Events!AD770)</x:f>
      </x:c>
      <x:c r="AA771" s="79" t="str">
        <x:f>IF(A771="","",Events!AE770)</x:f>
      </x:c>
    </x:row>
    <x:row r="772">
      <x:c r="A772" s="16" t="str">
        <x:f>IF(Events!A771="","",Events!A771)</x:f>
      </x:c>
      <x:c r="B772" s="16" t="str">
        <x:f>IF(A772="","",Events!B771)</x:f>
      </x:c>
      <x:c r="C772" s="16" t="str">
        <x:f>IF(A772="","",Events!E771)</x:f>
      </x:c>
      <x:c r="D772" s="16" t="str">
        <x:f>IF(A772="","",Events!J771)</x:f>
      </x:c>
      <x:c r="E772" s="16" t="str">
        <x:f>IF(A772="","",Events!N771)</x:f>
      </x:c>
      <x:c r="F772" s="109" t="str">
        <x:f>IF(OR(A772="",Events!H771=""),"",Events!H771)</x:f>
      </x:c>
      <x:c r="G772" s="109" t="str">
        <x:f>IF(A772="","",IF(Events!I771&lt;&gt;"",Events!I771,IF(Events!S771&lt;&gt;"",Events!S771,"")))</x:f>
      </x:c>
      <x:c r="H772" s="16" t="str">
        <x:f>IF(A772="","",Events!W771)</x:f>
      </x:c>
      <x:c r="I772" s="16" t="str">
        <x:f>IF(A772="","",IF(Events!Y771&lt;&gt;"",Events!Y771,IF(OR(ISNUMBER(SEARCH("education",P772)),ISNUMBER(SEARCH("exam",P772)),ISNUMBER(SEARCH("school",P772))),"Education",IF(OR(ISNUMBER(SEARCH("trade agreement",P772)),ISNUMBER(SEARCH("economic",P772)),ISNUMBER(SEARCH("import",P772))),"Trade &amp; economic policy",IF(OR(ISNUMBER(SEARCH("land acquisition",P772)),ISNUMBER(SEARCH("rehabilitation",P772)),ISNUMBER(SEARCH("displacement",P772)),ISNUMBER(SEARCH("township",P772))),"Land &amp; rehabilitation",IF(OR(ISNUMBER(SEARCH("forest",P772)),ISNUMBER(SEARCH("environment",P772)),ISNUMBER(SEARCH("ecological",P772)),ISNUMBER(SEARCH("biodiversity",P772)),ISNUMBER(SEARCH("green cover",P772))),"Environment",IF(OR(ISNUMBER(SEARCH("irrigation",P772)),ISNUMBER(SEARCH("water",P772)),ISNUMBER(SEARCH("crop",P772)),ISNUMBER(SEARCH("farmer",P772)),ISNUMBER(SEARCH("agriculture",P772))),"Agriculture &amp; water",IF(OR(ISNUMBER(SEARCH("health",P772)),ISNUMBER(SEARCH("hospital",P772)),ISNUMBER(SEARCH("medicine",P772))),"Public health",IF(OR(ISNUMBER(SEARCH("employee",P772)),ISNUMBER(SEARCH("labour",P772)),ISNUMBER(SEARCH("worker",P772)),ISNUMBER(SEARCH("salary",P772))),"Labour &amp; employment",IF(OR(ISNUMBER(SEARCH("rti",P772)),ISNUMBER(SEARCH("transparency",P772)),ISNUMBER(SEARCH("corruption",P772)),ISNUMBER(SEARCH("governance",P772))),"Governance &amp; transparency",IF(OR(ISNUMBER(SEARCH("police",P772)),ISNUMBER(SEARCH("detention",P772)),ISNUMBER(SEARCH("civil rights",P772)),ISNUMBER(SEARCH("justice",P772))),"Civil rights &amp; justice",IF(OR(ISNUMBER(SEARCH("road",P772)),ISNUMBER(SEARCH("utility",P772)),ISNUMBER(SEARCH("infrastructure",P772)),ISNUMBER(SEARCH("public service",P772))),"Infrastructure &amp; public services","Other"))))))))))))</x:f>
      </x:c>
      <x:c r="J772" s="16" t="str">
        <x:f>IF(A772="","",IF(OR(ISNUMBER(SEARCH("fatal",Q772)),ISNUMBER(SEARCH("death",Q772)),ISNUMBER(SEARCH("riot",Q772)),ISNUMBER(SEARCH("curfew",Q772)),ISNUMBER(SEARCH("internet shutdown",Q772))),5,MIN(4,1+IF(H772&gt;=7,1,0)+IF(OR(ISNUMBER(SEARCH("hunger strike",Q772)),ISNUMBER(SEARCH("blockade",Q772)),ISNUMBER(SEARCH("strike",Q772)),ISNUMBER(SEARCH("jal satyagraha",Q772)),ISNUMBER(SEARCH("survey",Q772)),ISNUMBER(SEARCH("human chain",Q772)),ISNUMBER(SEARCH("march",Q772))),1,0)+IF(OR(ISNUMBER(SEARCH("fir",Q772)),ISNUMBER(SEARCH("confrontation",Q772)),ISNUMBER(SEARCH("violence",Q772)),ISNUMBER(SEARCH("detention",Q772)),ISNUMBER(SEARCH("arrest",Q772)),ISNUMBER(SEARCH("demolition",Q772)),ISNUMBER(SEARCH("injury",Q772))),1,0)+IF(OR(D772="Ongoing",D772="Unresolved"),1,0))))</x:f>
      </x:c>
      <x:c r="K772" s="16" t="str">
        <x:f>IF(J772="","",IF(J772=1,"Limited",IF(J772=2,"Local",IF(J772=3,"Significant",IF(J772=4,"High","Critical")))))</x:f>
      </x:c>
      <x:c r="L772" s="16" t="str">
        <x:f>IF(A772="","",Events!U771)</x:f>
      </x:c>
      <x:c r="M772" s="16" t="str">
        <x:f>IF(A772="","",Events!V771)</x:f>
      </x:c>
      <x:c r="N772" s="16" t="str">
        <x:f>IF(A772="","",Events!Q771)</x:f>
      </x:c>
      <x:c r="O772" s="16" t="str">
        <x:f>IF(A772="","",Events!R771)</x:f>
      </x:c>
      <x:c r="P772" s="16" t="str">
        <x:f>IF(A772="","",LOWER(Events!B771&amp;" "&amp;Events!D771&amp;" "&amp;Events!K771))</x:f>
      </x:c>
      <x:c r="Q772" s="16" t="str">
        <x:f>IF(A772="","",LOWER(Events!C771&amp;" "&amp;Events!K771&amp;" "&amp;Events!T771))</x:f>
      </x:c>
      <x:c r="R772" s="16" t="str">
        <x:f>IF(A772="","",IF(ISNUMBER(SEARCH("Occurrence verified",E772)),"Occurrence verified",E772))</x:f>
      </x:c>
      <x:c r="S772" s="79" t="str">
        <x:f>IF(A772="","",Events!X771)</x:f>
      </x:c>
      <x:c r="Z772" s="79" t="str">
        <x:f>IF(A772="","",Events!AD771)</x:f>
      </x:c>
      <x:c r="AA772" s="79" t="str">
        <x:f>IF(A772="","",Events!AE771)</x:f>
      </x:c>
    </x:row>
    <x:row r="773">
      <x:c r="A773" s="16" t="str">
        <x:f>IF(Events!A772="","",Events!A772)</x:f>
      </x:c>
      <x:c r="B773" s="16" t="str">
        <x:f>IF(A773="","",Events!B772)</x:f>
      </x:c>
      <x:c r="C773" s="16" t="str">
        <x:f>IF(A773="","",Events!E772)</x:f>
      </x:c>
      <x:c r="D773" s="16" t="str">
        <x:f>IF(A773="","",Events!J772)</x:f>
      </x:c>
      <x:c r="E773" s="16" t="str">
        <x:f>IF(A773="","",Events!N772)</x:f>
      </x:c>
      <x:c r="F773" s="109" t="str">
        <x:f>IF(OR(A773="",Events!H772=""),"",Events!H772)</x:f>
      </x:c>
      <x:c r="G773" s="109" t="str">
        <x:f>IF(A773="","",IF(Events!I772&lt;&gt;"",Events!I772,IF(Events!S772&lt;&gt;"",Events!S772,"")))</x:f>
      </x:c>
      <x:c r="H773" s="16" t="str">
        <x:f>IF(A773="","",Events!W772)</x:f>
      </x:c>
      <x:c r="I773" s="16" t="str">
        <x:f>IF(A773="","",IF(Events!Y772&lt;&gt;"",Events!Y772,IF(OR(ISNUMBER(SEARCH("education",P773)),ISNUMBER(SEARCH("exam",P773)),ISNUMBER(SEARCH("school",P773))),"Education",IF(OR(ISNUMBER(SEARCH("trade agreement",P773)),ISNUMBER(SEARCH("economic",P773)),ISNUMBER(SEARCH("import",P773))),"Trade &amp; economic policy",IF(OR(ISNUMBER(SEARCH("land acquisition",P773)),ISNUMBER(SEARCH("rehabilitation",P773)),ISNUMBER(SEARCH("displacement",P773)),ISNUMBER(SEARCH("township",P773))),"Land &amp; rehabilitation",IF(OR(ISNUMBER(SEARCH("forest",P773)),ISNUMBER(SEARCH("environment",P773)),ISNUMBER(SEARCH("ecological",P773)),ISNUMBER(SEARCH("biodiversity",P773)),ISNUMBER(SEARCH("green cover",P773))),"Environment",IF(OR(ISNUMBER(SEARCH("irrigation",P773)),ISNUMBER(SEARCH("water",P773)),ISNUMBER(SEARCH("crop",P773)),ISNUMBER(SEARCH("farmer",P773)),ISNUMBER(SEARCH("agriculture",P773))),"Agriculture &amp; water",IF(OR(ISNUMBER(SEARCH("health",P773)),ISNUMBER(SEARCH("hospital",P773)),ISNUMBER(SEARCH("medicine",P773))),"Public health",IF(OR(ISNUMBER(SEARCH("employee",P773)),ISNUMBER(SEARCH("labour",P773)),ISNUMBER(SEARCH("worker",P773)),ISNUMBER(SEARCH("salary",P773))),"Labour &amp; employment",IF(OR(ISNUMBER(SEARCH("rti",P773)),ISNUMBER(SEARCH("transparency",P773)),ISNUMBER(SEARCH("corruption",P773)),ISNUMBER(SEARCH("governance",P773))),"Governance &amp; transparency",IF(OR(ISNUMBER(SEARCH("police",P773)),ISNUMBER(SEARCH("detention",P773)),ISNUMBER(SEARCH("civil rights",P773)),ISNUMBER(SEARCH("justice",P773))),"Civil rights &amp; justice",IF(OR(ISNUMBER(SEARCH("road",P773)),ISNUMBER(SEARCH("utility",P773)),ISNUMBER(SEARCH("infrastructure",P773)),ISNUMBER(SEARCH("public service",P773))),"Infrastructure &amp; public services","Other"))))))))))))</x:f>
      </x:c>
      <x:c r="J773" s="16" t="str">
        <x:f>IF(A773="","",IF(OR(ISNUMBER(SEARCH("fatal",Q773)),ISNUMBER(SEARCH("death",Q773)),ISNUMBER(SEARCH("riot",Q773)),ISNUMBER(SEARCH("curfew",Q773)),ISNUMBER(SEARCH("internet shutdown",Q773))),5,MIN(4,1+IF(H773&gt;=7,1,0)+IF(OR(ISNUMBER(SEARCH("hunger strike",Q773)),ISNUMBER(SEARCH("blockade",Q773)),ISNUMBER(SEARCH("strike",Q773)),ISNUMBER(SEARCH("jal satyagraha",Q773)),ISNUMBER(SEARCH("survey",Q773)),ISNUMBER(SEARCH("human chain",Q773)),ISNUMBER(SEARCH("march",Q773))),1,0)+IF(OR(ISNUMBER(SEARCH("fir",Q773)),ISNUMBER(SEARCH("confrontation",Q773)),ISNUMBER(SEARCH("violence",Q773)),ISNUMBER(SEARCH("detention",Q773)),ISNUMBER(SEARCH("arrest",Q773)),ISNUMBER(SEARCH("demolition",Q773)),ISNUMBER(SEARCH("injury",Q773))),1,0)+IF(OR(D773="Ongoing",D773="Unresolved"),1,0))))</x:f>
      </x:c>
      <x:c r="K773" s="16" t="str">
        <x:f>IF(J773="","",IF(J773=1,"Limited",IF(J773=2,"Local",IF(J773=3,"Significant",IF(J773=4,"High","Critical")))))</x:f>
      </x:c>
      <x:c r="L773" s="16" t="str">
        <x:f>IF(A773="","",Events!U772)</x:f>
      </x:c>
      <x:c r="M773" s="16" t="str">
        <x:f>IF(A773="","",Events!V772)</x:f>
      </x:c>
      <x:c r="N773" s="16" t="str">
        <x:f>IF(A773="","",Events!Q772)</x:f>
      </x:c>
      <x:c r="O773" s="16" t="str">
        <x:f>IF(A773="","",Events!R772)</x:f>
      </x:c>
      <x:c r="P773" s="16" t="str">
        <x:f>IF(A773="","",LOWER(Events!B772&amp;" "&amp;Events!D772&amp;" "&amp;Events!K772))</x:f>
      </x:c>
      <x:c r="Q773" s="16" t="str">
        <x:f>IF(A773="","",LOWER(Events!C772&amp;" "&amp;Events!K772&amp;" "&amp;Events!T772))</x:f>
      </x:c>
      <x:c r="R773" s="16" t="str">
        <x:f>IF(A773="","",IF(ISNUMBER(SEARCH("Occurrence verified",E773)),"Occurrence verified",E773))</x:f>
      </x:c>
      <x:c r="S773" s="79" t="str">
        <x:f>IF(A773="","",Events!X772)</x:f>
      </x:c>
      <x:c r="Z773" s="79" t="str">
        <x:f>IF(A773="","",Events!AD772)</x:f>
      </x:c>
      <x:c r="AA773" s="79" t="str">
        <x:f>IF(A773="","",Events!AE772)</x:f>
      </x:c>
    </x:row>
    <x:row r="774">
      <x:c r="A774" s="16" t="str">
        <x:f>IF(Events!A773="","",Events!A773)</x:f>
      </x:c>
      <x:c r="B774" s="16" t="str">
        <x:f>IF(A774="","",Events!B773)</x:f>
      </x:c>
      <x:c r="C774" s="16" t="str">
        <x:f>IF(A774="","",Events!E773)</x:f>
      </x:c>
      <x:c r="D774" s="16" t="str">
        <x:f>IF(A774="","",Events!J773)</x:f>
      </x:c>
      <x:c r="E774" s="16" t="str">
        <x:f>IF(A774="","",Events!N773)</x:f>
      </x:c>
      <x:c r="F774" s="109" t="str">
        <x:f>IF(OR(A774="",Events!H773=""),"",Events!H773)</x:f>
      </x:c>
      <x:c r="G774" s="109" t="str">
        <x:f>IF(A774="","",IF(Events!I773&lt;&gt;"",Events!I773,IF(Events!S773&lt;&gt;"",Events!S773,"")))</x:f>
      </x:c>
      <x:c r="H774" s="16" t="str">
        <x:f>IF(A774="","",Events!W773)</x:f>
      </x:c>
      <x:c r="I774" s="16" t="str">
        <x:f>IF(A774="","",IF(Events!Y773&lt;&gt;"",Events!Y773,IF(OR(ISNUMBER(SEARCH("education",P774)),ISNUMBER(SEARCH("exam",P774)),ISNUMBER(SEARCH("school",P774))),"Education",IF(OR(ISNUMBER(SEARCH("trade agreement",P774)),ISNUMBER(SEARCH("economic",P774)),ISNUMBER(SEARCH("import",P774))),"Trade &amp; economic policy",IF(OR(ISNUMBER(SEARCH("land acquisition",P774)),ISNUMBER(SEARCH("rehabilitation",P774)),ISNUMBER(SEARCH("displacement",P774)),ISNUMBER(SEARCH("township",P774))),"Land &amp; rehabilitation",IF(OR(ISNUMBER(SEARCH("forest",P774)),ISNUMBER(SEARCH("environment",P774)),ISNUMBER(SEARCH("ecological",P774)),ISNUMBER(SEARCH("biodiversity",P774)),ISNUMBER(SEARCH("green cover",P774))),"Environment",IF(OR(ISNUMBER(SEARCH("irrigation",P774)),ISNUMBER(SEARCH("water",P774)),ISNUMBER(SEARCH("crop",P774)),ISNUMBER(SEARCH("farmer",P774)),ISNUMBER(SEARCH("agriculture",P774))),"Agriculture &amp; water",IF(OR(ISNUMBER(SEARCH("health",P774)),ISNUMBER(SEARCH("hospital",P774)),ISNUMBER(SEARCH("medicine",P774))),"Public health",IF(OR(ISNUMBER(SEARCH("employee",P774)),ISNUMBER(SEARCH("labour",P774)),ISNUMBER(SEARCH("worker",P774)),ISNUMBER(SEARCH("salary",P774))),"Labour &amp; employment",IF(OR(ISNUMBER(SEARCH("rti",P774)),ISNUMBER(SEARCH("transparency",P774)),ISNUMBER(SEARCH("corruption",P774)),ISNUMBER(SEARCH("governance",P774))),"Governance &amp; transparency",IF(OR(ISNUMBER(SEARCH("police",P774)),ISNUMBER(SEARCH("detention",P774)),ISNUMBER(SEARCH("civil rights",P774)),ISNUMBER(SEARCH("justice",P774))),"Civil rights &amp; justice",IF(OR(ISNUMBER(SEARCH("road",P774)),ISNUMBER(SEARCH("utility",P774)),ISNUMBER(SEARCH("infrastructure",P774)),ISNUMBER(SEARCH("public service",P774))),"Infrastructure &amp; public services","Other"))))))))))))</x:f>
      </x:c>
      <x:c r="J774" s="16" t="str">
        <x:f>IF(A774="","",IF(OR(ISNUMBER(SEARCH("fatal",Q774)),ISNUMBER(SEARCH("death",Q774)),ISNUMBER(SEARCH("riot",Q774)),ISNUMBER(SEARCH("curfew",Q774)),ISNUMBER(SEARCH("internet shutdown",Q774))),5,MIN(4,1+IF(H774&gt;=7,1,0)+IF(OR(ISNUMBER(SEARCH("hunger strike",Q774)),ISNUMBER(SEARCH("blockade",Q774)),ISNUMBER(SEARCH("strike",Q774)),ISNUMBER(SEARCH("jal satyagraha",Q774)),ISNUMBER(SEARCH("survey",Q774)),ISNUMBER(SEARCH("human chain",Q774)),ISNUMBER(SEARCH("march",Q774))),1,0)+IF(OR(ISNUMBER(SEARCH("fir",Q774)),ISNUMBER(SEARCH("confrontation",Q774)),ISNUMBER(SEARCH("violence",Q774)),ISNUMBER(SEARCH("detention",Q774)),ISNUMBER(SEARCH("arrest",Q774)),ISNUMBER(SEARCH("demolition",Q774)),ISNUMBER(SEARCH("injury",Q774))),1,0)+IF(OR(D774="Ongoing",D774="Unresolved"),1,0))))</x:f>
      </x:c>
      <x:c r="K774" s="16" t="str">
        <x:f>IF(J774="","",IF(J774=1,"Limited",IF(J774=2,"Local",IF(J774=3,"Significant",IF(J774=4,"High","Critical")))))</x:f>
      </x:c>
      <x:c r="L774" s="16" t="str">
        <x:f>IF(A774="","",Events!U773)</x:f>
      </x:c>
      <x:c r="M774" s="16" t="str">
        <x:f>IF(A774="","",Events!V773)</x:f>
      </x:c>
      <x:c r="N774" s="16" t="str">
        <x:f>IF(A774="","",Events!Q773)</x:f>
      </x:c>
      <x:c r="O774" s="16" t="str">
        <x:f>IF(A774="","",Events!R773)</x:f>
      </x:c>
      <x:c r="P774" s="16" t="str">
        <x:f>IF(A774="","",LOWER(Events!B773&amp;" "&amp;Events!D773&amp;" "&amp;Events!K773))</x:f>
      </x:c>
      <x:c r="Q774" s="16" t="str">
        <x:f>IF(A774="","",LOWER(Events!C773&amp;" "&amp;Events!K773&amp;" "&amp;Events!T773))</x:f>
      </x:c>
      <x:c r="R774" s="16" t="str">
        <x:f>IF(A774="","",IF(ISNUMBER(SEARCH("Occurrence verified",E774)),"Occurrence verified",E774))</x:f>
      </x:c>
      <x:c r="S774" s="79" t="str">
        <x:f>IF(A774="","",Events!X773)</x:f>
      </x:c>
      <x:c r="Z774" s="79" t="str">
        <x:f>IF(A774="","",Events!AD773)</x:f>
      </x:c>
      <x:c r="AA774" s="79" t="str">
        <x:f>IF(A774="","",Events!AE773)</x:f>
      </x:c>
    </x:row>
    <x:row r="775">
      <x:c r="A775" s="16" t="str">
        <x:f>IF(Events!A774="","",Events!A774)</x:f>
      </x:c>
      <x:c r="B775" s="16" t="str">
        <x:f>IF(A775="","",Events!B774)</x:f>
      </x:c>
      <x:c r="C775" s="16" t="str">
        <x:f>IF(A775="","",Events!E774)</x:f>
      </x:c>
      <x:c r="D775" s="16" t="str">
        <x:f>IF(A775="","",Events!J774)</x:f>
      </x:c>
      <x:c r="E775" s="16" t="str">
        <x:f>IF(A775="","",Events!N774)</x:f>
      </x:c>
      <x:c r="F775" s="109" t="str">
        <x:f>IF(OR(A775="",Events!H774=""),"",Events!H774)</x:f>
      </x:c>
      <x:c r="G775" s="109" t="str">
        <x:f>IF(A775="","",IF(Events!I774&lt;&gt;"",Events!I774,IF(Events!S774&lt;&gt;"",Events!S774,"")))</x:f>
      </x:c>
      <x:c r="H775" s="16" t="str">
        <x:f>IF(A775="","",Events!W774)</x:f>
      </x:c>
      <x:c r="I775" s="16" t="str">
        <x:f>IF(A775="","",IF(Events!Y774&lt;&gt;"",Events!Y774,IF(OR(ISNUMBER(SEARCH("education",P775)),ISNUMBER(SEARCH("exam",P775)),ISNUMBER(SEARCH("school",P775))),"Education",IF(OR(ISNUMBER(SEARCH("trade agreement",P775)),ISNUMBER(SEARCH("economic",P775)),ISNUMBER(SEARCH("import",P775))),"Trade &amp; economic policy",IF(OR(ISNUMBER(SEARCH("land acquisition",P775)),ISNUMBER(SEARCH("rehabilitation",P775)),ISNUMBER(SEARCH("displacement",P775)),ISNUMBER(SEARCH("township",P775))),"Land &amp; rehabilitation",IF(OR(ISNUMBER(SEARCH("forest",P775)),ISNUMBER(SEARCH("environment",P775)),ISNUMBER(SEARCH("ecological",P775)),ISNUMBER(SEARCH("biodiversity",P775)),ISNUMBER(SEARCH("green cover",P775))),"Environment",IF(OR(ISNUMBER(SEARCH("irrigation",P775)),ISNUMBER(SEARCH("water",P775)),ISNUMBER(SEARCH("crop",P775)),ISNUMBER(SEARCH("farmer",P775)),ISNUMBER(SEARCH("agriculture",P775))),"Agriculture &amp; water",IF(OR(ISNUMBER(SEARCH("health",P775)),ISNUMBER(SEARCH("hospital",P775)),ISNUMBER(SEARCH("medicine",P775))),"Public health",IF(OR(ISNUMBER(SEARCH("employee",P775)),ISNUMBER(SEARCH("labour",P775)),ISNUMBER(SEARCH("worker",P775)),ISNUMBER(SEARCH("salary",P775))),"Labour &amp; employment",IF(OR(ISNUMBER(SEARCH("rti",P775)),ISNUMBER(SEARCH("transparency",P775)),ISNUMBER(SEARCH("corruption",P775)),ISNUMBER(SEARCH("governance",P775))),"Governance &amp; transparency",IF(OR(ISNUMBER(SEARCH("police",P775)),ISNUMBER(SEARCH("detention",P775)),ISNUMBER(SEARCH("civil rights",P775)),ISNUMBER(SEARCH("justice",P775))),"Civil rights &amp; justice",IF(OR(ISNUMBER(SEARCH("road",P775)),ISNUMBER(SEARCH("utility",P775)),ISNUMBER(SEARCH("infrastructure",P775)),ISNUMBER(SEARCH("public service",P775))),"Infrastructure &amp; public services","Other"))))))))))))</x:f>
      </x:c>
      <x:c r="J775" s="16" t="str">
        <x:f>IF(A775="","",IF(OR(ISNUMBER(SEARCH("fatal",Q775)),ISNUMBER(SEARCH("death",Q775)),ISNUMBER(SEARCH("riot",Q775)),ISNUMBER(SEARCH("curfew",Q775)),ISNUMBER(SEARCH("internet shutdown",Q775))),5,MIN(4,1+IF(H775&gt;=7,1,0)+IF(OR(ISNUMBER(SEARCH("hunger strike",Q775)),ISNUMBER(SEARCH("blockade",Q775)),ISNUMBER(SEARCH("strike",Q775)),ISNUMBER(SEARCH("jal satyagraha",Q775)),ISNUMBER(SEARCH("survey",Q775)),ISNUMBER(SEARCH("human chain",Q775)),ISNUMBER(SEARCH("march",Q775))),1,0)+IF(OR(ISNUMBER(SEARCH("fir",Q775)),ISNUMBER(SEARCH("confrontation",Q775)),ISNUMBER(SEARCH("violence",Q775)),ISNUMBER(SEARCH("detention",Q775)),ISNUMBER(SEARCH("arrest",Q775)),ISNUMBER(SEARCH("demolition",Q775)),ISNUMBER(SEARCH("injury",Q775))),1,0)+IF(OR(D775="Ongoing",D775="Unresolved"),1,0))))</x:f>
      </x:c>
      <x:c r="K775" s="16" t="str">
        <x:f>IF(J775="","",IF(J775=1,"Limited",IF(J775=2,"Local",IF(J775=3,"Significant",IF(J775=4,"High","Critical")))))</x:f>
      </x:c>
      <x:c r="L775" s="16" t="str">
        <x:f>IF(A775="","",Events!U774)</x:f>
      </x:c>
      <x:c r="M775" s="16" t="str">
        <x:f>IF(A775="","",Events!V774)</x:f>
      </x:c>
      <x:c r="N775" s="16" t="str">
        <x:f>IF(A775="","",Events!Q774)</x:f>
      </x:c>
      <x:c r="O775" s="16" t="str">
        <x:f>IF(A775="","",Events!R774)</x:f>
      </x:c>
      <x:c r="P775" s="16" t="str">
        <x:f>IF(A775="","",LOWER(Events!B774&amp;" "&amp;Events!D774&amp;" "&amp;Events!K774))</x:f>
      </x:c>
      <x:c r="Q775" s="16" t="str">
        <x:f>IF(A775="","",LOWER(Events!C774&amp;" "&amp;Events!K774&amp;" "&amp;Events!T774))</x:f>
      </x:c>
      <x:c r="R775" s="16" t="str">
        <x:f>IF(A775="","",IF(ISNUMBER(SEARCH("Occurrence verified",E775)),"Occurrence verified",E775))</x:f>
      </x:c>
      <x:c r="S775" s="79" t="str">
        <x:f>IF(A775="","",Events!X774)</x:f>
      </x:c>
      <x:c r="Z775" s="79" t="str">
        <x:f>IF(A775="","",Events!AD774)</x:f>
      </x:c>
      <x:c r="AA775" s="79" t="str">
        <x:f>IF(A775="","",Events!AE774)</x:f>
      </x:c>
    </x:row>
    <x:row r="776">
      <x:c r="A776" s="16" t="str">
        <x:f>IF(Events!A775="","",Events!A775)</x:f>
      </x:c>
      <x:c r="B776" s="16" t="str">
        <x:f>IF(A776="","",Events!B775)</x:f>
      </x:c>
      <x:c r="C776" s="16" t="str">
        <x:f>IF(A776="","",Events!E775)</x:f>
      </x:c>
      <x:c r="D776" s="16" t="str">
        <x:f>IF(A776="","",Events!J775)</x:f>
      </x:c>
      <x:c r="E776" s="16" t="str">
        <x:f>IF(A776="","",Events!N775)</x:f>
      </x:c>
      <x:c r="F776" s="109" t="str">
        <x:f>IF(OR(A776="",Events!H775=""),"",Events!H775)</x:f>
      </x:c>
      <x:c r="G776" s="109" t="str">
        <x:f>IF(A776="","",IF(Events!I775&lt;&gt;"",Events!I775,IF(Events!S775&lt;&gt;"",Events!S775,"")))</x:f>
      </x:c>
      <x:c r="H776" s="16" t="str">
        <x:f>IF(A776="","",Events!W775)</x:f>
      </x:c>
      <x:c r="I776" s="16" t="str">
        <x:f>IF(A776="","",IF(Events!Y775&lt;&gt;"",Events!Y775,IF(OR(ISNUMBER(SEARCH("education",P776)),ISNUMBER(SEARCH("exam",P776)),ISNUMBER(SEARCH("school",P776))),"Education",IF(OR(ISNUMBER(SEARCH("trade agreement",P776)),ISNUMBER(SEARCH("economic",P776)),ISNUMBER(SEARCH("import",P776))),"Trade &amp; economic policy",IF(OR(ISNUMBER(SEARCH("land acquisition",P776)),ISNUMBER(SEARCH("rehabilitation",P776)),ISNUMBER(SEARCH("displacement",P776)),ISNUMBER(SEARCH("township",P776))),"Land &amp; rehabilitation",IF(OR(ISNUMBER(SEARCH("forest",P776)),ISNUMBER(SEARCH("environment",P776)),ISNUMBER(SEARCH("ecological",P776)),ISNUMBER(SEARCH("biodiversity",P776)),ISNUMBER(SEARCH("green cover",P776))),"Environment",IF(OR(ISNUMBER(SEARCH("irrigation",P776)),ISNUMBER(SEARCH("water",P776)),ISNUMBER(SEARCH("crop",P776)),ISNUMBER(SEARCH("farmer",P776)),ISNUMBER(SEARCH("agriculture",P776))),"Agriculture &amp; water",IF(OR(ISNUMBER(SEARCH("health",P776)),ISNUMBER(SEARCH("hospital",P776)),ISNUMBER(SEARCH("medicine",P776))),"Public health",IF(OR(ISNUMBER(SEARCH("employee",P776)),ISNUMBER(SEARCH("labour",P776)),ISNUMBER(SEARCH("worker",P776)),ISNUMBER(SEARCH("salary",P776))),"Labour &amp; employment",IF(OR(ISNUMBER(SEARCH("rti",P776)),ISNUMBER(SEARCH("transparency",P776)),ISNUMBER(SEARCH("corruption",P776)),ISNUMBER(SEARCH("governance",P776))),"Governance &amp; transparency",IF(OR(ISNUMBER(SEARCH("police",P776)),ISNUMBER(SEARCH("detention",P776)),ISNUMBER(SEARCH("civil rights",P776)),ISNUMBER(SEARCH("justice",P776))),"Civil rights &amp; justice",IF(OR(ISNUMBER(SEARCH("road",P776)),ISNUMBER(SEARCH("utility",P776)),ISNUMBER(SEARCH("infrastructure",P776)),ISNUMBER(SEARCH("public service",P776))),"Infrastructure &amp; public services","Other"))))))))))))</x:f>
      </x:c>
      <x:c r="J776" s="16" t="str">
        <x:f>IF(A776="","",IF(OR(ISNUMBER(SEARCH("fatal",Q776)),ISNUMBER(SEARCH("death",Q776)),ISNUMBER(SEARCH("riot",Q776)),ISNUMBER(SEARCH("curfew",Q776)),ISNUMBER(SEARCH("internet shutdown",Q776))),5,MIN(4,1+IF(H776&gt;=7,1,0)+IF(OR(ISNUMBER(SEARCH("hunger strike",Q776)),ISNUMBER(SEARCH("blockade",Q776)),ISNUMBER(SEARCH("strike",Q776)),ISNUMBER(SEARCH("jal satyagraha",Q776)),ISNUMBER(SEARCH("survey",Q776)),ISNUMBER(SEARCH("human chain",Q776)),ISNUMBER(SEARCH("march",Q776))),1,0)+IF(OR(ISNUMBER(SEARCH("fir",Q776)),ISNUMBER(SEARCH("confrontation",Q776)),ISNUMBER(SEARCH("violence",Q776)),ISNUMBER(SEARCH("detention",Q776)),ISNUMBER(SEARCH("arrest",Q776)),ISNUMBER(SEARCH("demolition",Q776)),ISNUMBER(SEARCH("injury",Q776))),1,0)+IF(OR(D776="Ongoing",D776="Unresolved"),1,0))))</x:f>
      </x:c>
      <x:c r="K776" s="16" t="str">
        <x:f>IF(J776="","",IF(J776=1,"Limited",IF(J776=2,"Local",IF(J776=3,"Significant",IF(J776=4,"High","Critical")))))</x:f>
      </x:c>
      <x:c r="L776" s="16" t="str">
        <x:f>IF(A776="","",Events!U775)</x:f>
      </x:c>
      <x:c r="M776" s="16" t="str">
        <x:f>IF(A776="","",Events!V775)</x:f>
      </x:c>
      <x:c r="N776" s="16" t="str">
        <x:f>IF(A776="","",Events!Q775)</x:f>
      </x:c>
      <x:c r="O776" s="16" t="str">
        <x:f>IF(A776="","",Events!R775)</x:f>
      </x:c>
      <x:c r="P776" s="16" t="str">
        <x:f>IF(A776="","",LOWER(Events!B775&amp;" "&amp;Events!D775&amp;" "&amp;Events!K775))</x:f>
      </x:c>
      <x:c r="Q776" s="16" t="str">
        <x:f>IF(A776="","",LOWER(Events!C775&amp;" "&amp;Events!K775&amp;" "&amp;Events!T775))</x:f>
      </x:c>
      <x:c r="R776" s="16" t="str">
        <x:f>IF(A776="","",IF(ISNUMBER(SEARCH("Occurrence verified",E776)),"Occurrence verified",E776))</x:f>
      </x:c>
      <x:c r="S776" s="79" t="str">
        <x:f>IF(A776="","",Events!X775)</x:f>
      </x:c>
      <x:c r="Z776" s="79" t="str">
        <x:f>IF(A776="","",Events!AD775)</x:f>
      </x:c>
      <x:c r="AA776" s="79" t="str">
        <x:f>IF(A776="","",Events!AE775)</x:f>
      </x:c>
    </x:row>
    <x:row r="777">
      <x:c r="A777" s="16" t="str">
        <x:f>IF(Events!A776="","",Events!A776)</x:f>
      </x:c>
      <x:c r="B777" s="16" t="str">
        <x:f>IF(A777="","",Events!B776)</x:f>
      </x:c>
      <x:c r="C777" s="16" t="str">
        <x:f>IF(A777="","",Events!E776)</x:f>
      </x:c>
      <x:c r="D777" s="16" t="str">
        <x:f>IF(A777="","",Events!J776)</x:f>
      </x:c>
      <x:c r="E777" s="16" t="str">
        <x:f>IF(A777="","",Events!N776)</x:f>
      </x:c>
      <x:c r="F777" s="109" t="str">
        <x:f>IF(OR(A777="",Events!H776=""),"",Events!H776)</x:f>
      </x:c>
      <x:c r="G777" s="109" t="str">
        <x:f>IF(A777="","",IF(Events!I776&lt;&gt;"",Events!I776,IF(Events!S776&lt;&gt;"",Events!S776,"")))</x:f>
      </x:c>
      <x:c r="H777" s="16" t="str">
        <x:f>IF(A777="","",Events!W776)</x:f>
      </x:c>
      <x:c r="I777" s="16" t="str">
        <x:f>IF(A777="","",IF(Events!Y776&lt;&gt;"",Events!Y776,IF(OR(ISNUMBER(SEARCH("education",P777)),ISNUMBER(SEARCH("exam",P777)),ISNUMBER(SEARCH("school",P777))),"Education",IF(OR(ISNUMBER(SEARCH("trade agreement",P777)),ISNUMBER(SEARCH("economic",P777)),ISNUMBER(SEARCH("import",P777))),"Trade &amp; economic policy",IF(OR(ISNUMBER(SEARCH("land acquisition",P777)),ISNUMBER(SEARCH("rehabilitation",P777)),ISNUMBER(SEARCH("displacement",P777)),ISNUMBER(SEARCH("township",P777))),"Land &amp; rehabilitation",IF(OR(ISNUMBER(SEARCH("forest",P777)),ISNUMBER(SEARCH("environment",P777)),ISNUMBER(SEARCH("ecological",P777)),ISNUMBER(SEARCH("biodiversity",P777)),ISNUMBER(SEARCH("green cover",P777))),"Environment",IF(OR(ISNUMBER(SEARCH("irrigation",P777)),ISNUMBER(SEARCH("water",P777)),ISNUMBER(SEARCH("crop",P777)),ISNUMBER(SEARCH("farmer",P777)),ISNUMBER(SEARCH("agriculture",P777))),"Agriculture &amp; water",IF(OR(ISNUMBER(SEARCH("health",P777)),ISNUMBER(SEARCH("hospital",P777)),ISNUMBER(SEARCH("medicine",P777))),"Public health",IF(OR(ISNUMBER(SEARCH("employee",P777)),ISNUMBER(SEARCH("labour",P777)),ISNUMBER(SEARCH("worker",P777)),ISNUMBER(SEARCH("salary",P777))),"Labour &amp; employment",IF(OR(ISNUMBER(SEARCH("rti",P777)),ISNUMBER(SEARCH("transparency",P777)),ISNUMBER(SEARCH("corruption",P777)),ISNUMBER(SEARCH("governance",P777))),"Governance &amp; transparency",IF(OR(ISNUMBER(SEARCH("police",P777)),ISNUMBER(SEARCH("detention",P777)),ISNUMBER(SEARCH("civil rights",P777)),ISNUMBER(SEARCH("justice",P777))),"Civil rights &amp; justice",IF(OR(ISNUMBER(SEARCH("road",P777)),ISNUMBER(SEARCH("utility",P777)),ISNUMBER(SEARCH("infrastructure",P777)),ISNUMBER(SEARCH("public service",P777))),"Infrastructure &amp; public services","Other"))))))))))))</x:f>
      </x:c>
      <x:c r="J777" s="16" t="str">
        <x:f>IF(A777="","",IF(OR(ISNUMBER(SEARCH("fatal",Q777)),ISNUMBER(SEARCH("death",Q777)),ISNUMBER(SEARCH("riot",Q777)),ISNUMBER(SEARCH("curfew",Q777)),ISNUMBER(SEARCH("internet shutdown",Q777))),5,MIN(4,1+IF(H777&gt;=7,1,0)+IF(OR(ISNUMBER(SEARCH("hunger strike",Q777)),ISNUMBER(SEARCH("blockade",Q777)),ISNUMBER(SEARCH("strike",Q777)),ISNUMBER(SEARCH("jal satyagraha",Q777)),ISNUMBER(SEARCH("survey",Q777)),ISNUMBER(SEARCH("human chain",Q777)),ISNUMBER(SEARCH("march",Q777))),1,0)+IF(OR(ISNUMBER(SEARCH("fir",Q777)),ISNUMBER(SEARCH("confrontation",Q777)),ISNUMBER(SEARCH("violence",Q777)),ISNUMBER(SEARCH("detention",Q777)),ISNUMBER(SEARCH("arrest",Q777)),ISNUMBER(SEARCH("demolition",Q777)),ISNUMBER(SEARCH("injury",Q777))),1,0)+IF(OR(D777="Ongoing",D777="Unresolved"),1,0))))</x:f>
      </x:c>
      <x:c r="K777" s="16" t="str">
        <x:f>IF(J777="","",IF(J777=1,"Limited",IF(J777=2,"Local",IF(J777=3,"Significant",IF(J777=4,"High","Critical")))))</x:f>
      </x:c>
      <x:c r="L777" s="16" t="str">
        <x:f>IF(A777="","",Events!U776)</x:f>
      </x:c>
      <x:c r="M777" s="16" t="str">
        <x:f>IF(A777="","",Events!V776)</x:f>
      </x:c>
      <x:c r="N777" s="16" t="str">
        <x:f>IF(A777="","",Events!Q776)</x:f>
      </x:c>
      <x:c r="O777" s="16" t="str">
        <x:f>IF(A777="","",Events!R776)</x:f>
      </x:c>
      <x:c r="P777" s="16" t="str">
        <x:f>IF(A777="","",LOWER(Events!B776&amp;" "&amp;Events!D776&amp;" "&amp;Events!K776))</x:f>
      </x:c>
      <x:c r="Q777" s="16" t="str">
        <x:f>IF(A777="","",LOWER(Events!C776&amp;" "&amp;Events!K776&amp;" "&amp;Events!T776))</x:f>
      </x:c>
      <x:c r="R777" s="16" t="str">
        <x:f>IF(A777="","",IF(ISNUMBER(SEARCH("Occurrence verified",E777)),"Occurrence verified",E777))</x:f>
      </x:c>
      <x:c r="S777" s="79" t="str">
        <x:f>IF(A777="","",Events!X776)</x:f>
      </x:c>
      <x:c r="Z777" s="79" t="str">
        <x:f>IF(A777="","",Events!AD776)</x:f>
      </x:c>
      <x:c r="AA777" s="79" t="str">
        <x:f>IF(A777="","",Events!AE776)</x:f>
      </x:c>
    </x:row>
    <x:row r="778">
      <x:c r="A778" s="16" t="str">
        <x:f>IF(Events!A777="","",Events!A777)</x:f>
      </x:c>
      <x:c r="B778" s="16" t="str">
        <x:f>IF(A778="","",Events!B777)</x:f>
      </x:c>
      <x:c r="C778" s="16" t="str">
        <x:f>IF(A778="","",Events!E777)</x:f>
      </x:c>
      <x:c r="D778" s="16" t="str">
        <x:f>IF(A778="","",Events!J777)</x:f>
      </x:c>
      <x:c r="E778" s="16" t="str">
        <x:f>IF(A778="","",Events!N777)</x:f>
      </x:c>
      <x:c r="F778" s="109" t="str">
        <x:f>IF(OR(A778="",Events!H777=""),"",Events!H777)</x:f>
      </x:c>
      <x:c r="G778" s="109" t="str">
        <x:f>IF(A778="","",IF(Events!I777&lt;&gt;"",Events!I777,IF(Events!S777&lt;&gt;"",Events!S777,"")))</x:f>
      </x:c>
      <x:c r="H778" s="16" t="str">
        <x:f>IF(A778="","",Events!W777)</x:f>
      </x:c>
      <x:c r="I778" s="16" t="str">
        <x:f>IF(A778="","",IF(Events!Y777&lt;&gt;"",Events!Y777,IF(OR(ISNUMBER(SEARCH("education",P778)),ISNUMBER(SEARCH("exam",P778)),ISNUMBER(SEARCH("school",P778))),"Education",IF(OR(ISNUMBER(SEARCH("trade agreement",P778)),ISNUMBER(SEARCH("economic",P778)),ISNUMBER(SEARCH("import",P778))),"Trade &amp; economic policy",IF(OR(ISNUMBER(SEARCH("land acquisition",P778)),ISNUMBER(SEARCH("rehabilitation",P778)),ISNUMBER(SEARCH("displacement",P778)),ISNUMBER(SEARCH("township",P778))),"Land &amp; rehabilitation",IF(OR(ISNUMBER(SEARCH("forest",P778)),ISNUMBER(SEARCH("environment",P778)),ISNUMBER(SEARCH("ecological",P778)),ISNUMBER(SEARCH("biodiversity",P778)),ISNUMBER(SEARCH("green cover",P778))),"Environment",IF(OR(ISNUMBER(SEARCH("irrigation",P778)),ISNUMBER(SEARCH("water",P778)),ISNUMBER(SEARCH("crop",P778)),ISNUMBER(SEARCH("farmer",P778)),ISNUMBER(SEARCH("agriculture",P778))),"Agriculture &amp; water",IF(OR(ISNUMBER(SEARCH("health",P778)),ISNUMBER(SEARCH("hospital",P778)),ISNUMBER(SEARCH("medicine",P778))),"Public health",IF(OR(ISNUMBER(SEARCH("employee",P778)),ISNUMBER(SEARCH("labour",P778)),ISNUMBER(SEARCH("worker",P778)),ISNUMBER(SEARCH("salary",P778))),"Labour &amp; employment",IF(OR(ISNUMBER(SEARCH("rti",P778)),ISNUMBER(SEARCH("transparency",P778)),ISNUMBER(SEARCH("corruption",P778)),ISNUMBER(SEARCH("governance",P778))),"Governance &amp; transparency",IF(OR(ISNUMBER(SEARCH("police",P778)),ISNUMBER(SEARCH("detention",P778)),ISNUMBER(SEARCH("civil rights",P778)),ISNUMBER(SEARCH("justice",P778))),"Civil rights &amp; justice",IF(OR(ISNUMBER(SEARCH("road",P778)),ISNUMBER(SEARCH("utility",P778)),ISNUMBER(SEARCH("infrastructure",P778)),ISNUMBER(SEARCH("public service",P778))),"Infrastructure &amp; public services","Other"))))))))))))</x:f>
      </x:c>
      <x:c r="J778" s="16" t="str">
        <x:f>IF(A778="","",IF(OR(ISNUMBER(SEARCH("fatal",Q778)),ISNUMBER(SEARCH("death",Q778)),ISNUMBER(SEARCH("riot",Q778)),ISNUMBER(SEARCH("curfew",Q778)),ISNUMBER(SEARCH("internet shutdown",Q778))),5,MIN(4,1+IF(H778&gt;=7,1,0)+IF(OR(ISNUMBER(SEARCH("hunger strike",Q778)),ISNUMBER(SEARCH("blockade",Q778)),ISNUMBER(SEARCH("strike",Q778)),ISNUMBER(SEARCH("jal satyagraha",Q778)),ISNUMBER(SEARCH("survey",Q778)),ISNUMBER(SEARCH("human chain",Q778)),ISNUMBER(SEARCH("march",Q778))),1,0)+IF(OR(ISNUMBER(SEARCH("fir",Q778)),ISNUMBER(SEARCH("confrontation",Q778)),ISNUMBER(SEARCH("violence",Q778)),ISNUMBER(SEARCH("detention",Q778)),ISNUMBER(SEARCH("arrest",Q778)),ISNUMBER(SEARCH("demolition",Q778)),ISNUMBER(SEARCH("injury",Q778))),1,0)+IF(OR(D778="Ongoing",D778="Unresolved"),1,0))))</x:f>
      </x:c>
      <x:c r="K778" s="16" t="str">
        <x:f>IF(J778="","",IF(J778=1,"Limited",IF(J778=2,"Local",IF(J778=3,"Significant",IF(J778=4,"High","Critical")))))</x:f>
      </x:c>
      <x:c r="L778" s="16" t="str">
        <x:f>IF(A778="","",Events!U777)</x:f>
      </x:c>
      <x:c r="M778" s="16" t="str">
        <x:f>IF(A778="","",Events!V777)</x:f>
      </x:c>
      <x:c r="N778" s="16" t="str">
        <x:f>IF(A778="","",Events!Q777)</x:f>
      </x:c>
      <x:c r="O778" s="16" t="str">
        <x:f>IF(A778="","",Events!R777)</x:f>
      </x:c>
      <x:c r="P778" s="16" t="str">
        <x:f>IF(A778="","",LOWER(Events!B777&amp;" "&amp;Events!D777&amp;" "&amp;Events!K777))</x:f>
      </x:c>
      <x:c r="Q778" s="16" t="str">
        <x:f>IF(A778="","",LOWER(Events!C777&amp;" "&amp;Events!K777&amp;" "&amp;Events!T777))</x:f>
      </x:c>
      <x:c r="R778" s="16" t="str">
        <x:f>IF(A778="","",IF(ISNUMBER(SEARCH("Occurrence verified",E778)),"Occurrence verified",E778))</x:f>
      </x:c>
      <x:c r="S778" s="79" t="str">
        <x:f>IF(A778="","",Events!X777)</x:f>
      </x:c>
      <x:c r="Z778" s="79" t="str">
        <x:f>IF(A778="","",Events!AD777)</x:f>
      </x:c>
      <x:c r="AA778" s="79" t="str">
        <x:f>IF(A778="","",Events!AE777)</x:f>
      </x:c>
    </x:row>
    <x:row r="779">
      <x:c r="A779" s="16" t="str">
        <x:f>IF(Events!A778="","",Events!A778)</x:f>
      </x:c>
      <x:c r="B779" s="16" t="str">
        <x:f>IF(A779="","",Events!B778)</x:f>
      </x:c>
      <x:c r="C779" s="16" t="str">
        <x:f>IF(A779="","",Events!E778)</x:f>
      </x:c>
      <x:c r="D779" s="16" t="str">
        <x:f>IF(A779="","",Events!J778)</x:f>
      </x:c>
      <x:c r="E779" s="16" t="str">
        <x:f>IF(A779="","",Events!N778)</x:f>
      </x:c>
      <x:c r="F779" s="109" t="str">
        <x:f>IF(OR(A779="",Events!H778=""),"",Events!H778)</x:f>
      </x:c>
      <x:c r="G779" s="109" t="str">
        <x:f>IF(A779="","",IF(Events!I778&lt;&gt;"",Events!I778,IF(Events!S778&lt;&gt;"",Events!S778,"")))</x:f>
      </x:c>
      <x:c r="H779" s="16" t="str">
        <x:f>IF(A779="","",Events!W778)</x:f>
      </x:c>
      <x:c r="I779" s="16" t="str">
        <x:f>IF(A779="","",IF(Events!Y778&lt;&gt;"",Events!Y778,IF(OR(ISNUMBER(SEARCH("education",P779)),ISNUMBER(SEARCH("exam",P779)),ISNUMBER(SEARCH("school",P779))),"Education",IF(OR(ISNUMBER(SEARCH("trade agreement",P779)),ISNUMBER(SEARCH("economic",P779)),ISNUMBER(SEARCH("import",P779))),"Trade &amp; economic policy",IF(OR(ISNUMBER(SEARCH("land acquisition",P779)),ISNUMBER(SEARCH("rehabilitation",P779)),ISNUMBER(SEARCH("displacement",P779)),ISNUMBER(SEARCH("township",P779))),"Land &amp; rehabilitation",IF(OR(ISNUMBER(SEARCH("forest",P779)),ISNUMBER(SEARCH("environment",P779)),ISNUMBER(SEARCH("ecological",P779)),ISNUMBER(SEARCH("biodiversity",P779)),ISNUMBER(SEARCH("green cover",P779))),"Environment",IF(OR(ISNUMBER(SEARCH("irrigation",P779)),ISNUMBER(SEARCH("water",P779)),ISNUMBER(SEARCH("crop",P779)),ISNUMBER(SEARCH("farmer",P779)),ISNUMBER(SEARCH("agriculture",P779))),"Agriculture &amp; water",IF(OR(ISNUMBER(SEARCH("health",P779)),ISNUMBER(SEARCH("hospital",P779)),ISNUMBER(SEARCH("medicine",P779))),"Public health",IF(OR(ISNUMBER(SEARCH("employee",P779)),ISNUMBER(SEARCH("labour",P779)),ISNUMBER(SEARCH("worker",P779)),ISNUMBER(SEARCH("salary",P779))),"Labour &amp; employment",IF(OR(ISNUMBER(SEARCH("rti",P779)),ISNUMBER(SEARCH("transparency",P779)),ISNUMBER(SEARCH("corruption",P779)),ISNUMBER(SEARCH("governance",P779))),"Governance &amp; transparency",IF(OR(ISNUMBER(SEARCH("police",P779)),ISNUMBER(SEARCH("detention",P779)),ISNUMBER(SEARCH("civil rights",P779)),ISNUMBER(SEARCH("justice",P779))),"Civil rights &amp; justice",IF(OR(ISNUMBER(SEARCH("road",P779)),ISNUMBER(SEARCH("utility",P779)),ISNUMBER(SEARCH("infrastructure",P779)),ISNUMBER(SEARCH("public service",P779))),"Infrastructure &amp; public services","Other"))))))))))))</x:f>
      </x:c>
      <x:c r="J779" s="16" t="str">
        <x:f>IF(A779="","",IF(OR(ISNUMBER(SEARCH("fatal",Q779)),ISNUMBER(SEARCH("death",Q779)),ISNUMBER(SEARCH("riot",Q779)),ISNUMBER(SEARCH("curfew",Q779)),ISNUMBER(SEARCH("internet shutdown",Q779))),5,MIN(4,1+IF(H779&gt;=7,1,0)+IF(OR(ISNUMBER(SEARCH("hunger strike",Q779)),ISNUMBER(SEARCH("blockade",Q779)),ISNUMBER(SEARCH("strike",Q779)),ISNUMBER(SEARCH("jal satyagraha",Q779)),ISNUMBER(SEARCH("survey",Q779)),ISNUMBER(SEARCH("human chain",Q779)),ISNUMBER(SEARCH("march",Q779))),1,0)+IF(OR(ISNUMBER(SEARCH("fir",Q779)),ISNUMBER(SEARCH("confrontation",Q779)),ISNUMBER(SEARCH("violence",Q779)),ISNUMBER(SEARCH("detention",Q779)),ISNUMBER(SEARCH("arrest",Q779)),ISNUMBER(SEARCH("demolition",Q779)),ISNUMBER(SEARCH("injury",Q779))),1,0)+IF(OR(D779="Ongoing",D779="Unresolved"),1,0))))</x:f>
      </x:c>
      <x:c r="K779" s="16" t="str">
        <x:f>IF(J779="","",IF(J779=1,"Limited",IF(J779=2,"Local",IF(J779=3,"Significant",IF(J779=4,"High","Critical")))))</x:f>
      </x:c>
      <x:c r="L779" s="16" t="str">
        <x:f>IF(A779="","",Events!U778)</x:f>
      </x:c>
      <x:c r="M779" s="16" t="str">
        <x:f>IF(A779="","",Events!V778)</x:f>
      </x:c>
      <x:c r="N779" s="16" t="str">
        <x:f>IF(A779="","",Events!Q778)</x:f>
      </x:c>
      <x:c r="O779" s="16" t="str">
        <x:f>IF(A779="","",Events!R778)</x:f>
      </x:c>
      <x:c r="P779" s="16" t="str">
        <x:f>IF(A779="","",LOWER(Events!B778&amp;" "&amp;Events!D778&amp;" "&amp;Events!K778))</x:f>
      </x:c>
      <x:c r="Q779" s="16" t="str">
        <x:f>IF(A779="","",LOWER(Events!C778&amp;" "&amp;Events!K778&amp;" "&amp;Events!T778))</x:f>
      </x:c>
      <x:c r="R779" s="16" t="str">
        <x:f>IF(A779="","",IF(ISNUMBER(SEARCH("Occurrence verified",E779)),"Occurrence verified",E779))</x:f>
      </x:c>
      <x:c r="S779" s="79" t="str">
        <x:f>IF(A779="","",Events!X778)</x:f>
      </x:c>
      <x:c r="Z779" s="79" t="str">
        <x:f>IF(A779="","",Events!AD778)</x:f>
      </x:c>
      <x:c r="AA779" s="79" t="str">
        <x:f>IF(A779="","",Events!AE778)</x:f>
      </x:c>
    </x:row>
    <x:row r="780">
      <x:c r="A780" s="16" t="str">
        <x:f>IF(Events!A779="","",Events!A779)</x:f>
      </x:c>
      <x:c r="B780" s="16" t="str">
        <x:f>IF(A780="","",Events!B779)</x:f>
      </x:c>
      <x:c r="C780" s="16" t="str">
        <x:f>IF(A780="","",Events!E779)</x:f>
      </x:c>
      <x:c r="D780" s="16" t="str">
        <x:f>IF(A780="","",Events!J779)</x:f>
      </x:c>
      <x:c r="E780" s="16" t="str">
        <x:f>IF(A780="","",Events!N779)</x:f>
      </x:c>
      <x:c r="F780" s="109" t="str">
        <x:f>IF(OR(A780="",Events!H779=""),"",Events!H779)</x:f>
      </x:c>
      <x:c r="G780" s="109" t="str">
        <x:f>IF(A780="","",IF(Events!I779&lt;&gt;"",Events!I779,IF(Events!S779&lt;&gt;"",Events!S779,"")))</x:f>
      </x:c>
      <x:c r="H780" s="16" t="str">
        <x:f>IF(A780="","",Events!W779)</x:f>
      </x:c>
      <x:c r="I780" s="16" t="str">
        <x:f>IF(A780="","",IF(Events!Y779&lt;&gt;"",Events!Y779,IF(OR(ISNUMBER(SEARCH("education",P780)),ISNUMBER(SEARCH("exam",P780)),ISNUMBER(SEARCH("school",P780))),"Education",IF(OR(ISNUMBER(SEARCH("trade agreement",P780)),ISNUMBER(SEARCH("economic",P780)),ISNUMBER(SEARCH("import",P780))),"Trade &amp; economic policy",IF(OR(ISNUMBER(SEARCH("land acquisition",P780)),ISNUMBER(SEARCH("rehabilitation",P780)),ISNUMBER(SEARCH("displacement",P780)),ISNUMBER(SEARCH("township",P780))),"Land &amp; rehabilitation",IF(OR(ISNUMBER(SEARCH("forest",P780)),ISNUMBER(SEARCH("environment",P780)),ISNUMBER(SEARCH("ecological",P780)),ISNUMBER(SEARCH("biodiversity",P780)),ISNUMBER(SEARCH("green cover",P780))),"Environment",IF(OR(ISNUMBER(SEARCH("irrigation",P780)),ISNUMBER(SEARCH("water",P780)),ISNUMBER(SEARCH("crop",P780)),ISNUMBER(SEARCH("farmer",P780)),ISNUMBER(SEARCH("agriculture",P780))),"Agriculture &amp; water",IF(OR(ISNUMBER(SEARCH("health",P780)),ISNUMBER(SEARCH("hospital",P780)),ISNUMBER(SEARCH("medicine",P780))),"Public health",IF(OR(ISNUMBER(SEARCH("employee",P780)),ISNUMBER(SEARCH("labour",P780)),ISNUMBER(SEARCH("worker",P780)),ISNUMBER(SEARCH("salary",P780))),"Labour &amp; employment",IF(OR(ISNUMBER(SEARCH("rti",P780)),ISNUMBER(SEARCH("transparency",P780)),ISNUMBER(SEARCH("corruption",P780)),ISNUMBER(SEARCH("governance",P780))),"Governance &amp; transparency",IF(OR(ISNUMBER(SEARCH("police",P780)),ISNUMBER(SEARCH("detention",P780)),ISNUMBER(SEARCH("civil rights",P780)),ISNUMBER(SEARCH("justice",P780))),"Civil rights &amp; justice",IF(OR(ISNUMBER(SEARCH("road",P780)),ISNUMBER(SEARCH("utility",P780)),ISNUMBER(SEARCH("infrastructure",P780)),ISNUMBER(SEARCH("public service",P780))),"Infrastructure &amp; public services","Other"))))))))))))</x:f>
      </x:c>
      <x:c r="J780" s="16" t="str">
        <x:f>IF(A780="","",IF(OR(ISNUMBER(SEARCH("fatal",Q780)),ISNUMBER(SEARCH("death",Q780)),ISNUMBER(SEARCH("riot",Q780)),ISNUMBER(SEARCH("curfew",Q780)),ISNUMBER(SEARCH("internet shutdown",Q780))),5,MIN(4,1+IF(H780&gt;=7,1,0)+IF(OR(ISNUMBER(SEARCH("hunger strike",Q780)),ISNUMBER(SEARCH("blockade",Q780)),ISNUMBER(SEARCH("strike",Q780)),ISNUMBER(SEARCH("jal satyagraha",Q780)),ISNUMBER(SEARCH("survey",Q780)),ISNUMBER(SEARCH("human chain",Q780)),ISNUMBER(SEARCH("march",Q780))),1,0)+IF(OR(ISNUMBER(SEARCH("fir",Q780)),ISNUMBER(SEARCH("confrontation",Q780)),ISNUMBER(SEARCH("violence",Q780)),ISNUMBER(SEARCH("detention",Q780)),ISNUMBER(SEARCH("arrest",Q780)),ISNUMBER(SEARCH("demolition",Q780)),ISNUMBER(SEARCH("injury",Q780))),1,0)+IF(OR(D780="Ongoing",D780="Unresolved"),1,0))))</x:f>
      </x:c>
      <x:c r="K780" s="16" t="str">
        <x:f>IF(J780="","",IF(J780=1,"Limited",IF(J780=2,"Local",IF(J780=3,"Significant",IF(J780=4,"High","Critical")))))</x:f>
      </x:c>
      <x:c r="L780" s="16" t="str">
        <x:f>IF(A780="","",Events!U779)</x:f>
      </x:c>
      <x:c r="M780" s="16" t="str">
        <x:f>IF(A780="","",Events!V779)</x:f>
      </x:c>
      <x:c r="N780" s="16" t="str">
        <x:f>IF(A780="","",Events!Q779)</x:f>
      </x:c>
      <x:c r="O780" s="16" t="str">
        <x:f>IF(A780="","",Events!R779)</x:f>
      </x:c>
      <x:c r="P780" s="16" t="str">
        <x:f>IF(A780="","",LOWER(Events!B779&amp;" "&amp;Events!D779&amp;" "&amp;Events!K779))</x:f>
      </x:c>
      <x:c r="Q780" s="16" t="str">
        <x:f>IF(A780="","",LOWER(Events!C779&amp;" "&amp;Events!K779&amp;" "&amp;Events!T779))</x:f>
      </x:c>
      <x:c r="R780" s="16" t="str">
        <x:f>IF(A780="","",IF(ISNUMBER(SEARCH("Occurrence verified",E780)),"Occurrence verified",E780))</x:f>
      </x:c>
      <x:c r="S780" s="79" t="str">
        <x:f>IF(A780="","",Events!X779)</x:f>
      </x:c>
      <x:c r="Z780" s="79" t="str">
        <x:f>IF(A780="","",Events!AD779)</x:f>
      </x:c>
      <x:c r="AA780" s="79" t="str">
        <x:f>IF(A780="","",Events!AE779)</x:f>
      </x:c>
    </x:row>
    <x:row r="781">
      <x:c r="A781" s="16" t="str">
        <x:f>IF(Events!A780="","",Events!A780)</x:f>
      </x:c>
      <x:c r="B781" s="16" t="str">
        <x:f>IF(A781="","",Events!B780)</x:f>
      </x:c>
      <x:c r="C781" s="16" t="str">
        <x:f>IF(A781="","",Events!E780)</x:f>
      </x:c>
      <x:c r="D781" s="16" t="str">
        <x:f>IF(A781="","",Events!J780)</x:f>
      </x:c>
      <x:c r="E781" s="16" t="str">
        <x:f>IF(A781="","",Events!N780)</x:f>
      </x:c>
      <x:c r="F781" s="109" t="str">
        <x:f>IF(OR(A781="",Events!H780=""),"",Events!H780)</x:f>
      </x:c>
      <x:c r="G781" s="109" t="str">
        <x:f>IF(A781="","",IF(Events!I780&lt;&gt;"",Events!I780,IF(Events!S780&lt;&gt;"",Events!S780,"")))</x:f>
      </x:c>
      <x:c r="H781" s="16" t="str">
        <x:f>IF(A781="","",Events!W780)</x:f>
      </x:c>
      <x:c r="I781" s="16" t="str">
        <x:f>IF(A781="","",IF(Events!Y780&lt;&gt;"",Events!Y780,IF(OR(ISNUMBER(SEARCH("education",P781)),ISNUMBER(SEARCH("exam",P781)),ISNUMBER(SEARCH("school",P781))),"Education",IF(OR(ISNUMBER(SEARCH("trade agreement",P781)),ISNUMBER(SEARCH("economic",P781)),ISNUMBER(SEARCH("import",P781))),"Trade &amp; economic policy",IF(OR(ISNUMBER(SEARCH("land acquisition",P781)),ISNUMBER(SEARCH("rehabilitation",P781)),ISNUMBER(SEARCH("displacement",P781)),ISNUMBER(SEARCH("township",P781))),"Land &amp; rehabilitation",IF(OR(ISNUMBER(SEARCH("forest",P781)),ISNUMBER(SEARCH("environment",P781)),ISNUMBER(SEARCH("ecological",P781)),ISNUMBER(SEARCH("biodiversity",P781)),ISNUMBER(SEARCH("green cover",P781))),"Environment",IF(OR(ISNUMBER(SEARCH("irrigation",P781)),ISNUMBER(SEARCH("water",P781)),ISNUMBER(SEARCH("crop",P781)),ISNUMBER(SEARCH("farmer",P781)),ISNUMBER(SEARCH("agriculture",P781))),"Agriculture &amp; water",IF(OR(ISNUMBER(SEARCH("health",P781)),ISNUMBER(SEARCH("hospital",P781)),ISNUMBER(SEARCH("medicine",P781))),"Public health",IF(OR(ISNUMBER(SEARCH("employee",P781)),ISNUMBER(SEARCH("labour",P781)),ISNUMBER(SEARCH("worker",P781)),ISNUMBER(SEARCH("salary",P781))),"Labour &amp; employment",IF(OR(ISNUMBER(SEARCH("rti",P781)),ISNUMBER(SEARCH("transparency",P781)),ISNUMBER(SEARCH("corruption",P781)),ISNUMBER(SEARCH("governance",P781))),"Governance &amp; transparency",IF(OR(ISNUMBER(SEARCH("police",P781)),ISNUMBER(SEARCH("detention",P781)),ISNUMBER(SEARCH("civil rights",P781)),ISNUMBER(SEARCH("justice",P781))),"Civil rights &amp; justice",IF(OR(ISNUMBER(SEARCH("road",P781)),ISNUMBER(SEARCH("utility",P781)),ISNUMBER(SEARCH("infrastructure",P781)),ISNUMBER(SEARCH("public service",P781))),"Infrastructure &amp; public services","Other"))))))))))))</x:f>
      </x:c>
      <x:c r="J781" s="16" t="str">
        <x:f>IF(A781="","",IF(OR(ISNUMBER(SEARCH("fatal",Q781)),ISNUMBER(SEARCH("death",Q781)),ISNUMBER(SEARCH("riot",Q781)),ISNUMBER(SEARCH("curfew",Q781)),ISNUMBER(SEARCH("internet shutdown",Q781))),5,MIN(4,1+IF(H781&gt;=7,1,0)+IF(OR(ISNUMBER(SEARCH("hunger strike",Q781)),ISNUMBER(SEARCH("blockade",Q781)),ISNUMBER(SEARCH("strike",Q781)),ISNUMBER(SEARCH("jal satyagraha",Q781)),ISNUMBER(SEARCH("survey",Q781)),ISNUMBER(SEARCH("human chain",Q781)),ISNUMBER(SEARCH("march",Q781))),1,0)+IF(OR(ISNUMBER(SEARCH("fir",Q781)),ISNUMBER(SEARCH("confrontation",Q781)),ISNUMBER(SEARCH("violence",Q781)),ISNUMBER(SEARCH("detention",Q781)),ISNUMBER(SEARCH("arrest",Q781)),ISNUMBER(SEARCH("demolition",Q781)),ISNUMBER(SEARCH("injury",Q781))),1,0)+IF(OR(D781="Ongoing",D781="Unresolved"),1,0))))</x:f>
      </x:c>
      <x:c r="K781" s="16" t="str">
        <x:f>IF(J781="","",IF(J781=1,"Limited",IF(J781=2,"Local",IF(J781=3,"Significant",IF(J781=4,"High","Critical")))))</x:f>
      </x:c>
      <x:c r="L781" s="16" t="str">
        <x:f>IF(A781="","",Events!U780)</x:f>
      </x:c>
      <x:c r="M781" s="16" t="str">
        <x:f>IF(A781="","",Events!V780)</x:f>
      </x:c>
      <x:c r="N781" s="16" t="str">
        <x:f>IF(A781="","",Events!Q780)</x:f>
      </x:c>
      <x:c r="O781" s="16" t="str">
        <x:f>IF(A781="","",Events!R780)</x:f>
      </x:c>
      <x:c r="P781" s="16" t="str">
        <x:f>IF(A781="","",LOWER(Events!B780&amp;" "&amp;Events!D780&amp;" "&amp;Events!K780))</x:f>
      </x:c>
      <x:c r="Q781" s="16" t="str">
        <x:f>IF(A781="","",LOWER(Events!C780&amp;" "&amp;Events!K780&amp;" "&amp;Events!T780))</x:f>
      </x:c>
      <x:c r="R781" s="16" t="str">
        <x:f>IF(A781="","",IF(ISNUMBER(SEARCH("Occurrence verified",E781)),"Occurrence verified",E781))</x:f>
      </x:c>
      <x:c r="S781" s="79" t="str">
        <x:f>IF(A781="","",Events!X780)</x:f>
      </x:c>
      <x:c r="Z781" s="79" t="str">
        <x:f>IF(A781="","",Events!AD780)</x:f>
      </x:c>
      <x:c r="AA781" s="79" t="str">
        <x:f>IF(A781="","",Events!AE780)</x:f>
      </x:c>
    </x:row>
    <x:row r="782">
      <x:c r="A782" s="16" t="str">
        <x:f>IF(Events!A781="","",Events!A781)</x:f>
      </x:c>
      <x:c r="B782" s="16" t="str">
        <x:f>IF(A782="","",Events!B781)</x:f>
      </x:c>
      <x:c r="C782" s="16" t="str">
        <x:f>IF(A782="","",Events!E781)</x:f>
      </x:c>
      <x:c r="D782" s="16" t="str">
        <x:f>IF(A782="","",Events!J781)</x:f>
      </x:c>
      <x:c r="E782" s="16" t="str">
        <x:f>IF(A782="","",Events!N781)</x:f>
      </x:c>
      <x:c r="F782" s="109" t="str">
        <x:f>IF(OR(A782="",Events!H781=""),"",Events!H781)</x:f>
      </x:c>
      <x:c r="G782" s="109" t="str">
        <x:f>IF(A782="","",IF(Events!I781&lt;&gt;"",Events!I781,IF(Events!S781&lt;&gt;"",Events!S781,"")))</x:f>
      </x:c>
      <x:c r="H782" s="16" t="str">
        <x:f>IF(A782="","",Events!W781)</x:f>
      </x:c>
      <x:c r="I782" s="16" t="str">
        <x:f>IF(A782="","",IF(Events!Y781&lt;&gt;"",Events!Y781,IF(OR(ISNUMBER(SEARCH("education",P782)),ISNUMBER(SEARCH("exam",P782)),ISNUMBER(SEARCH("school",P782))),"Education",IF(OR(ISNUMBER(SEARCH("trade agreement",P782)),ISNUMBER(SEARCH("economic",P782)),ISNUMBER(SEARCH("import",P782))),"Trade &amp; economic policy",IF(OR(ISNUMBER(SEARCH("land acquisition",P782)),ISNUMBER(SEARCH("rehabilitation",P782)),ISNUMBER(SEARCH("displacement",P782)),ISNUMBER(SEARCH("township",P782))),"Land &amp; rehabilitation",IF(OR(ISNUMBER(SEARCH("forest",P782)),ISNUMBER(SEARCH("environment",P782)),ISNUMBER(SEARCH("ecological",P782)),ISNUMBER(SEARCH("biodiversity",P782)),ISNUMBER(SEARCH("green cover",P782))),"Environment",IF(OR(ISNUMBER(SEARCH("irrigation",P782)),ISNUMBER(SEARCH("water",P782)),ISNUMBER(SEARCH("crop",P782)),ISNUMBER(SEARCH("farmer",P782)),ISNUMBER(SEARCH("agriculture",P782))),"Agriculture &amp; water",IF(OR(ISNUMBER(SEARCH("health",P782)),ISNUMBER(SEARCH("hospital",P782)),ISNUMBER(SEARCH("medicine",P782))),"Public health",IF(OR(ISNUMBER(SEARCH("employee",P782)),ISNUMBER(SEARCH("labour",P782)),ISNUMBER(SEARCH("worker",P782)),ISNUMBER(SEARCH("salary",P782))),"Labour &amp; employment",IF(OR(ISNUMBER(SEARCH("rti",P782)),ISNUMBER(SEARCH("transparency",P782)),ISNUMBER(SEARCH("corruption",P782)),ISNUMBER(SEARCH("governance",P782))),"Governance &amp; transparency",IF(OR(ISNUMBER(SEARCH("police",P782)),ISNUMBER(SEARCH("detention",P782)),ISNUMBER(SEARCH("civil rights",P782)),ISNUMBER(SEARCH("justice",P782))),"Civil rights &amp; justice",IF(OR(ISNUMBER(SEARCH("road",P782)),ISNUMBER(SEARCH("utility",P782)),ISNUMBER(SEARCH("infrastructure",P782)),ISNUMBER(SEARCH("public service",P782))),"Infrastructure &amp; public services","Other"))))))))))))</x:f>
      </x:c>
      <x:c r="J782" s="16" t="str">
        <x:f>IF(A782="","",IF(OR(ISNUMBER(SEARCH("fatal",Q782)),ISNUMBER(SEARCH("death",Q782)),ISNUMBER(SEARCH("riot",Q782)),ISNUMBER(SEARCH("curfew",Q782)),ISNUMBER(SEARCH("internet shutdown",Q782))),5,MIN(4,1+IF(H782&gt;=7,1,0)+IF(OR(ISNUMBER(SEARCH("hunger strike",Q782)),ISNUMBER(SEARCH("blockade",Q782)),ISNUMBER(SEARCH("strike",Q782)),ISNUMBER(SEARCH("jal satyagraha",Q782)),ISNUMBER(SEARCH("survey",Q782)),ISNUMBER(SEARCH("human chain",Q782)),ISNUMBER(SEARCH("march",Q782))),1,0)+IF(OR(ISNUMBER(SEARCH("fir",Q782)),ISNUMBER(SEARCH("confrontation",Q782)),ISNUMBER(SEARCH("violence",Q782)),ISNUMBER(SEARCH("detention",Q782)),ISNUMBER(SEARCH("arrest",Q782)),ISNUMBER(SEARCH("demolition",Q782)),ISNUMBER(SEARCH("injury",Q782))),1,0)+IF(OR(D782="Ongoing",D782="Unresolved"),1,0))))</x:f>
      </x:c>
      <x:c r="K782" s="16" t="str">
        <x:f>IF(J782="","",IF(J782=1,"Limited",IF(J782=2,"Local",IF(J782=3,"Significant",IF(J782=4,"High","Critical")))))</x:f>
      </x:c>
      <x:c r="L782" s="16" t="str">
        <x:f>IF(A782="","",Events!U781)</x:f>
      </x:c>
      <x:c r="M782" s="16" t="str">
        <x:f>IF(A782="","",Events!V781)</x:f>
      </x:c>
      <x:c r="N782" s="16" t="str">
        <x:f>IF(A782="","",Events!Q781)</x:f>
      </x:c>
      <x:c r="O782" s="16" t="str">
        <x:f>IF(A782="","",Events!R781)</x:f>
      </x:c>
      <x:c r="P782" s="16" t="str">
        <x:f>IF(A782="","",LOWER(Events!B781&amp;" "&amp;Events!D781&amp;" "&amp;Events!K781))</x:f>
      </x:c>
      <x:c r="Q782" s="16" t="str">
        <x:f>IF(A782="","",LOWER(Events!C781&amp;" "&amp;Events!K781&amp;" "&amp;Events!T781))</x:f>
      </x:c>
      <x:c r="R782" s="16" t="str">
        <x:f>IF(A782="","",IF(ISNUMBER(SEARCH("Occurrence verified",E782)),"Occurrence verified",E782))</x:f>
      </x:c>
      <x:c r="S782" s="79" t="str">
        <x:f>IF(A782="","",Events!X781)</x:f>
      </x:c>
      <x:c r="Z782" s="79" t="str">
        <x:f>IF(A782="","",Events!AD781)</x:f>
      </x:c>
      <x:c r="AA782" s="79" t="str">
        <x:f>IF(A782="","",Events!AE781)</x:f>
      </x:c>
    </x:row>
    <x:row r="783">
      <x:c r="A783" s="16" t="str">
        <x:f>IF(Events!A782="","",Events!A782)</x:f>
      </x:c>
      <x:c r="B783" s="16" t="str">
        <x:f>IF(A783="","",Events!B782)</x:f>
      </x:c>
      <x:c r="C783" s="16" t="str">
        <x:f>IF(A783="","",Events!E782)</x:f>
      </x:c>
      <x:c r="D783" s="16" t="str">
        <x:f>IF(A783="","",Events!J782)</x:f>
      </x:c>
      <x:c r="E783" s="16" t="str">
        <x:f>IF(A783="","",Events!N782)</x:f>
      </x:c>
      <x:c r="F783" s="109" t="str">
        <x:f>IF(OR(A783="",Events!H782=""),"",Events!H782)</x:f>
      </x:c>
      <x:c r="G783" s="109" t="str">
        <x:f>IF(A783="","",IF(Events!I782&lt;&gt;"",Events!I782,IF(Events!S782&lt;&gt;"",Events!S782,"")))</x:f>
      </x:c>
      <x:c r="H783" s="16" t="str">
        <x:f>IF(A783="","",Events!W782)</x:f>
      </x:c>
      <x:c r="I783" s="16" t="str">
        <x:f>IF(A783="","",IF(Events!Y782&lt;&gt;"",Events!Y782,IF(OR(ISNUMBER(SEARCH("education",P783)),ISNUMBER(SEARCH("exam",P783)),ISNUMBER(SEARCH("school",P783))),"Education",IF(OR(ISNUMBER(SEARCH("trade agreement",P783)),ISNUMBER(SEARCH("economic",P783)),ISNUMBER(SEARCH("import",P783))),"Trade &amp; economic policy",IF(OR(ISNUMBER(SEARCH("land acquisition",P783)),ISNUMBER(SEARCH("rehabilitation",P783)),ISNUMBER(SEARCH("displacement",P783)),ISNUMBER(SEARCH("township",P783))),"Land &amp; rehabilitation",IF(OR(ISNUMBER(SEARCH("forest",P783)),ISNUMBER(SEARCH("environment",P783)),ISNUMBER(SEARCH("ecological",P783)),ISNUMBER(SEARCH("biodiversity",P783)),ISNUMBER(SEARCH("green cover",P783))),"Environment",IF(OR(ISNUMBER(SEARCH("irrigation",P783)),ISNUMBER(SEARCH("water",P783)),ISNUMBER(SEARCH("crop",P783)),ISNUMBER(SEARCH("farmer",P783)),ISNUMBER(SEARCH("agriculture",P783))),"Agriculture &amp; water",IF(OR(ISNUMBER(SEARCH("health",P783)),ISNUMBER(SEARCH("hospital",P783)),ISNUMBER(SEARCH("medicine",P783))),"Public health",IF(OR(ISNUMBER(SEARCH("employee",P783)),ISNUMBER(SEARCH("labour",P783)),ISNUMBER(SEARCH("worker",P783)),ISNUMBER(SEARCH("salary",P783))),"Labour &amp; employment",IF(OR(ISNUMBER(SEARCH("rti",P783)),ISNUMBER(SEARCH("transparency",P783)),ISNUMBER(SEARCH("corruption",P783)),ISNUMBER(SEARCH("governance",P783))),"Governance &amp; transparency",IF(OR(ISNUMBER(SEARCH("police",P783)),ISNUMBER(SEARCH("detention",P783)),ISNUMBER(SEARCH("civil rights",P783)),ISNUMBER(SEARCH("justice",P783))),"Civil rights &amp; justice",IF(OR(ISNUMBER(SEARCH("road",P783)),ISNUMBER(SEARCH("utility",P783)),ISNUMBER(SEARCH("infrastructure",P783)),ISNUMBER(SEARCH("public service",P783))),"Infrastructure &amp; public services","Other"))))))))))))</x:f>
      </x:c>
      <x:c r="J783" s="16" t="str">
        <x:f>IF(A783="","",IF(OR(ISNUMBER(SEARCH("fatal",Q783)),ISNUMBER(SEARCH("death",Q783)),ISNUMBER(SEARCH("riot",Q783)),ISNUMBER(SEARCH("curfew",Q783)),ISNUMBER(SEARCH("internet shutdown",Q783))),5,MIN(4,1+IF(H783&gt;=7,1,0)+IF(OR(ISNUMBER(SEARCH("hunger strike",Q783)),ISNUMBER(SEARCH("blockade",Q783)),ISNUMBER(SEARCH("strike",Q783)),ISNUMBER(SEARCH("jal satyagraha",Q783)),ISNUMBER(SEARCH("survey",Q783)),ISNUMBER(SEARCH("human chain",Q783)),ISNUMBER(SEARCH("march",Q783))),1,0)+IF(OR(ISNUMBER(SEARCH("fir",Q783)),ISNUMBER(SEARCH("confrontation",Q783)),ISNUMBER(SEARCH("violence",Q783)),ISNUMBER(SEARCH("detention",Q783)),ISNUMBER(SEARCH("arrest",Q783)),ISNUMBER(SEARCH("demolition",Q783)),ISNUMBER(SEARCH("injury",Q783))),1,0)+IF(OR(D783="Ongoing",D783="Unresolved"),1,0))))</x:f>
      </x:c>
      <x:c r="K783" s="16" t="str">
        <x:f>IF(J783="","",IF(J783=1,"Limited",IF(J783=2,"Local",IF(J783=3,"Significant",IF(J783=4,"High","Critical")))))</x:f>
      </x:c>
      <x:c r="L783" s="16" t="str">
        <x:f>IF(A783="","",Events!U782)</x:f>
      </x:c>
      <x:c r="M783" s="16" t="str">
        <x:f>IF(A783="","",Events!V782)</x:f>
      </x:c>
      <x:c r="N783" s="16" t="str">
        <x:f>IF(A783="","",Events!Q782)</x:f>
      </x:c>
      <x:c r="O783" s="16" t="str">
        <x:f>IF(A783="","",Events!R782)</x:f>
      </x:c>
      <x:c r="P783" s="16" t="str">
        <x:f>IF(A783="","",LOWER(Events!B782&amp;" "&amp;Events!D782&amp;" "&amp;Events!K782))</x:f>
      </x:c>
      <x:c r="Q783" s="16" t="str">
        <x:f>IF(A783="","",LOWER(Events!C782&amp;" "&amp;Events!K782&amp;" "&amp;Events!T782))</x:f>
      </x:c>
      <x:c r="R783" s="16" t="str">
        <x:f>IF(A783="","",IF(ISNUMBER(SEARCH("Occurrence verified",E783)),"Occurrence verified",E783))</x:f>
      </x:c>
      <x:c r="S783" s="79" t="str">
        <x:f>IF(A783="","",Events!X782)</x:f>
      </x:c>
      <x:c r="Z783" s="79" t="str">
        <x:f>IF(A783="","",Events!AD782)</x:f>
      </x:c>
      <x:c r="AA783" s="79" t="str">
        <x:f>IF(A783="","",Events!AE782)</x:f>
      </x:c>
    </x:row>
    <x:row r="784">
      <x:c r="A784" s="16" t="str">
        <x:f>IF(Events!A783="","",Events!A783)</x:f>
      </x:c>
      <x:c r="B784" s="16" t="str">
        <x:f>IF(A784="","",Events!B783)</x:f>
      </x:c>
      <x:c r="C784" s="16" t="str">
        <x:f>IF(A784="","",Events!E783)</x:f>
      </x:c>
      <x:c r="D784" s="16" t="str">
        <x:f>IF(A784="","",Events!J783)</x:f>
      </x:c>
      <x:c r="E784" s="16" t="str">
        <x:f>IF(A784="","",Events!N783)</x:f>
      </x:c>
      <x:c r="F784" s="109" t="str">
        <x:f>IF(OR(A784="",Events!H783=""),"",Events!H783)</x:f>
      </x:c>
      <x:c r="G784" s="109" t="str">
        <x:f>IF(A784="","",IF(Events!I783&lt;&gt;"",Events!I783,IF(Events!S783&lt;&gt;"",Events!S783,"")))</x:f>
      </x:c>
      <x:c r="H784" s="16" t="str">
        <x:f>IF(A784="","",Events!W783)</x:f>
      </x:c>
      <x:c r="I784" s="16" t="str">
        <x:f>IF(A784="","",IF(Events!Y783&lt;&gt;"",Events!Y783,IF(OR(ISNUMBER(SEARCH("education",P784)),ISNUMBER(SEARCH("exam",P784)),ISNUMBER(SEARCH("school",P784))),"Education",IF(OR(ISNUMBER(SEARCH("trade agreement",P784)),ISNUMBER(SEARCH("economic",P784)),ISNUMBER(SEARCH("import",P784))),"Trade &amp; economic policy",IF(OR(ISNUMBER(SEARCH("land acquisition",P784)),ISNUMBER(SEARCH("rehabilitation",P784)),ISNUMBER(SEARCH("displacement",P784)),ISNUMBER(SEARCH("township",P784))),"Land &amp; rehabilitation",IF(OR(ISNUMBER(SEARCH("forest",P784)),ISNUMBER(SEARCH("environment",P784)),ISNUMBER(SEARCH("ecological",P784)),ISNUMBER(SEARCH("biodiversity",P784)),ISNUMBER(SEARCH("green cover",P784))),"Environment",IF(OR(ISNUMBER(SEARCH("irrigation",P784)),ISNUMBER(SEARCH("water",P784)),ISNUMBER(SEARCH("crop",P784)),ISNUMBER(SEARCH("farmer",P784)),ISNUMBER(SEARCH("agriculture",P784))),"Agriculture &amp; water",IF(OR(ISNUMBER(SEARCH("health",P784)),ISNUMBER(SEARCH("hospital",P784)),ISNUMBER(SEARCH("medicine",P784))),"Public health",IF(OR(ISNUMBER(SEARCH("employee",P784)),ISNUMBER(SEARCH("labour",P784)),ISNUMBER(SEARCH("worker",P784)),ISNUMBER(SEARCH("salary",P784))),"Labour &amp; employment",IF(OR(ISNUMBER(SEARCH("rti",P784)),ISNUMBER(SEARCH("transparency",P784)),ISNUMBER(SEARCH("corruption",P784)),ISNUMBER(SEARCH("governance",P784))),"Governance &amp; transparency",IF(OR(ISNUMBER(SEARCH("police",P784)),ISNUMBER(SEARCH("detention",P784)),ISNUMBER(SEARCH("civil rights",P784)),ISNUMBER(SEARCH("justice",P784))),"Civil rights &amp; justice",IF(OR(ISNUMBER(SEARCH("road",P784)),ISNUMBER(SEARCH("utility",P784)),ISNUMBER(SEARCH("infrastructure",P784)),ISNUMBER(SEARCH("public service",P784))),"Infrastructure &amp; public services","Other"))))))))))))</x:f>
      </x:c>
      <x:c r="J784" s="16" t="str">
        <x:f>IF(A784="","",IF(OR(ISNUMBER(SEARCH("fatal",Q784)),ISNUMBER(SEARCH("death",Q784)),ISNUMBER(SEARCH("riot",Q784)),ISNUMBER(SEARCH("curfew",Q784)),ISNUMBER(SEARCH("internet shutdown",Q784))),5,MIN(4,1+IF(H784&gt;=7,1,0)+IF(OR(ISNUMBER(SEARCH("hunger strike",Q784)),ISNUMBER(SEARCH("blockade",Q784)),ISNUMBER(SEARCH("strike",Q784)),ISNUMBER(SEARCH("jal satyagraha",Q784)),ISNUMBER(SEARCH("survey",Q784)),ISNUMBER(SEARCH("human chain",Q784)),ISNUMBER(SEARCH("march",Q784))),1,0)+IF(OR(ISNUMBER(SEARCH("fir",Q784)),ISNUMBER(SEARCH("confrontation",Q784)),ISNUMBER(SEARCH("violence",Q784)),ISNUMBER(SEARCH("detention",Q784)),ISNUMBER(SEARCH("arrest",Q784)),ISNUMBER(SEARCH("demolition",Q784)),ISNUMBER(SEARCH("injury",Q784))),1,0)+IF(OR(D784="Ongoing",D784="Unresolved"),1,0))))</x:f>
      </x:c>
      <x:c r="K784" s="16" t="str">
        <x:f>IF(J784="","",IF(J784=1,"Limited",IF(J784=2,"Local",IF(J784=3,"Significant",IF(J784=4,"High","Critical")))))</x:f>
      </x:c>
      <x:c r="L784" s="16" t="str">
        <x:f>IF(A784="","",Events!U783)</x:f>
      </x:c>
      <x:c r="M784" s="16" t="str">
        <x:f>IF(A784="","",Events!V783)</x:f>
      </x:c>
      <x:c r="N784" s="16" t="str">
        <x:f>IF(A784="","",Events!Q783)</x:f>
      </x:c>
      <x:c r="O784" s="16" t="str">
        <x:f>IF(A784="","",Events!R783)</x:f>
      </x:c>
      <x:c r="P784" s="16" t="str">
        <x:f>IF(A784="","",LOWER(Events!B783&amp;" "&amp;Events!D783&amp;" "&amp;Events!K783))</x:f>
      </x:c>
      <x:c r="Q784" s="16" t="str">
        <x:f>IF(A784="","",LOWER(Events!C783&amp;" "&amp;Events!K783&amp;" "&amp;Events!T783))</x:f>
      </x:c>
      <x:c r="R784" s="16" t="str">
        <x:f>IF(A784="","",IF(ISNUMBER(SEARCH("Occurrence verified",E784)),"Occurrence verified",E784))</x:f>
      </x:c>
      <x:c r="S784" s="79" t="str">
        <x:f>IF(A784="","",Events!X783)</x:f>
      </x:c>
      <x:c r="Z784" s="79" t="str">
        <x:f>IF(A784="","",Events!AD783)</x:f>
      </x:c>
      <x:c r="AA784" s="79" t="str">
        <x:f>IF(A784="","",Events!AE783)</x:f>
      </x:c>
    </x:row>
    <x:row r="785">
      <x:c r="A785" s="16" t="str">
        <x:f>IF(Events!A784="","",Events!A784)</x:f>
      </x:c>
      <x:c r="B785" s="16" t="str">
        <x:f>IF(A785="","",Events!B784)</x:f>
      </x:c>
      <x:c r="C785" s="16" t="str">
        <x:f>IF(A785="","",Events!E784)</x:f>
      </x:c>
      <x:c r="D785" s="16" t="str">
        <x:f>IF(A785="","",Events!J784)</x:f>
      </x:c>
      <x:c r="E785" s="16" t="str">
        <x:f>IF(A785="","",Events!N784)</x:f>
      </x:c>
      <x:c r="F785" s="109" t="str">
        <x:f>IF(OR(A785="",Events!H784=""),"",Events!H784)</x:f>
      </x:c>
      <x:c r="G785" s="109" t="str">
        <x:f>IF(A785="","",IF(Events!I784&lt;&gt;"",Events!I784,IF(Events!S784&lt;&gt;"",Events!S784,"")))</x:f>
      </x:c>
      <x:c r="H785" s="16" t="str">
        <x:f>IF(A785="","",Events!W784)</x:f>
      </x:c>
      <x:c r="I785" s="16" t="str">
        <x:f>IF(A785="","",IF(Events!Y784&lt;&gt;"",Events!Y784,IF(OR(ISNUMBER(SEARCH("education",P785)),ISNUMBER(SEARCH("exam",P785)),ISNUMBER(SEARCH("school",P785))),"Education",IF(OR(ISNUMBER(SEARCH("trade agreement",P785)),ISNUMBER(SEARCH("economic",P785)),ISNUMBER(SEARCH("import",P785))),"Trade &amp; economic policy",IF(OR(ISNUMBER(SEARCH("land acquisition",P785)),ISNUMBER(SEARCH("rehabilitation",P785)),ISNUMBER(SEARCH("displacement",P785)),ISNUMBER(SEARCH("township",P785))),"Land &amp; rehabilitation",IF(OR(ISNUMBER(SEARCH("forest",P785)),ISNUMBER(SEARCH("environment",P785)),ISNUMBER(SEARCH("ecological",P785)),ISNUMBER(SEARCH("biodiversity",P785)),ISNUMBER(SEARCH("green cover",P785))),"Environment",IF(OR(ISNUMBER(SEARCH("irrigation",P785)),ISNUMBER(SEARCH("water",P785)),ISNUMBER(SEARCH("crop",P785)),ISNUMBER(SEARCH("farmer",P785)),ISNUMBER(SEARCH("agriculture",P785))),"Agriculture &amp; water",IF(OR(ISNUMBER(SEARCH("health",P785)),ISNUMBER(SEARCH("hospital",P785)),ISNUMBER(SEARCH("medicine",P785))),"Public health",IF(OR(ISNUMBER(SEARCH("employee",P785)),ISNUMBER(SEARCH("labour",P785)),ISNUMBER(SEARCH("worker",P785)),ISNUMBER(SEARCH("salary",P785))),"Labour &amp; employment",IF(OR(ISNUMBER(SEARCH("rti",P785)),ISNUMBER(SEARCH("transparency",P785)),ISNUMBER(SEARCH("corruption",P785)),ISNUMBER(SEARCH("governance",P785))),"Governance &amp; transparency",IF(OR(ISNUMBER(SEARCH("police",P785)),ISNUMBER(SEARCH("detention",P785)),ISNUMBER(SEARCH("civil rights",P785)),ISNUMBER(SEARCH("justice",P785))),"Civil rights &amp; justice",IF(OR(ISNUMBER(SEARCH("road",P785)),ISNUMBER(SEARCH("utility",P785)),ISNUMBER(SEARCH("infrastructure",P785)),ISNUMBER(SEARCH("public service",P785))),"Infrastructure &amp; public services","Other"))))))))))))</x:f>
      </x:c>
      <x:c r="J785" s="16" t="str">
        <x:f>IF(A785="","",IF(OR(ISNUMBER(SEARCH("fatal",Q785)),ISNUMBER(SEARCH("death",Q785)),ISNUMBER(SEARCH("riot",Q785)),ISNUMBER(SEARCH("curfew",Q785)),ISNUMBER(SEARCH("internet shutdown",Q785))),5,MIN(4,1+IF(H785&gt;=7,1,0)+IF(OR(ISNUMBER(SEARCH("hunger strike",Q785)),ISNUMBER(SEARCH("blockade",Q785)),ISNUMBER(SEARCH("strike",Q785)),ISNUMBER(SEARCH("jal satyagraha",Q785)),ISNUMBER(SEARCH("survey",Q785)),ISNUMBER(SEARCH("human chain",Q785)),ISNUMBER(SEARCH("march",Q785))),1,0)+IF(OR(ISNUMBER(SEARCH("fir",Q785)),ISNUMBER(SEARCH("confrontation",Q785)),ISNUMBER(SEARCH("violence",Q785)),ISNUMBER(SEARCH("detention",Q785)),ISNUMBER(SEARCH("arrest",Q785)),ISNUMBER(SEARCH("demolition",Q785)),ISNUMBER(SEARCH("injury",Q785))),1,0)+IF(OR(D785="Ongoing",D785="Unresolved"),1,0))))</x:f>
      </x:c>
      <x:c r="K785" s="16" t="str">
        <x:f>IF(J785="","",IF(J785=1,"Limited",IF(J785=2,"Local",IF(J785=3,"Significant",IF(J785=4,"High","Critical")))))</x:f>
      </x:c>
      <x:c r="L785" s="16" t="str">
        <x:f>IF(A785="","",Events!U784)</x:f>
      </x:c>
      <x:c r="M785" s="16" t="str">
        <x:f>IF(A785="","",Events!V784)</x:f>
      </x:c>
      <x:c r="N785" s="16" t="str">
        <x:f>IF(A785="","",Events!Q784)</x:f>
      </x:c>
      <x:c r="O785" s="16" t="str">
        <x:f>IF(A785="","",Events!R784)</x:f>
      </x:c>
      <x:c r="P785" s="16" t="str">
        <x:f>IF(A785="","",LOWER(Events!B784&amp;" "&amp;Events!D784&amp;" "&amp;Events!K784))</x:f>
      </x:c>
      <x:c r="Q785" s="16" t="str">
        <x:f>IF(A785="","",LOWER(Events!C784&amp;" "&amp;Events!K784&amp;" "&amp;Events!T784))</x:f>
      </x:c>
      <x:c r="R785" s="16" t="str">
        <x:f>IF(A785="","",IF(ISNUMBER(SEARCH("Occurrence verified",E785)),"Occurrence verified",E785))</x:f>
      </x:c>
      <x:c r="S785" s="79" t="str">
        <x:f>IF(A785="","",Events!X784)</x:f>
      </x:c>
      <x:c r="Z785" s="79" t="str">
        <x:f>IF(A785="","",Events!AD784)</x:f>
      </x:c>
      <x:c r="AA785" s="79" t="str">
        <x:f>IF(A785="","",Events!AE784)</x:f>
      </x:c>
    </x:row>
    <x:row r="786">
      <x:c r="A786" s="16" t="str">
        <x:f>IF(Events!A785="","",Events!A785)</x:f>
      </x:c>
      <x:c r="B786" s="16" t="str">
        <x:f>IF(A786="","",Events!B785)</x:f>
      </x:c>
      <x:c r="C786" s="16" t="str">
        <x:f>IF(A786="","",Events!E785)</x:f>
      </x:c>
      <x:c r="D786" s="16" t="str">
        <x:f>IF(A786="","",Events!J785)</x:f>
      </x:c>
      <x:c r="E786" s="16" t="str">
        <x:f>IF(A786="","",Events!N785)</x:f>
      </x:c>
      <x:c r="F786" s="109" t="str">
        <x:f>IF(OR(A786="",Events!H785=""),"",Events!H785)</x:f>
      </x:c>
      <x:c r="G786" s="109" t="str">
        <x:f>IF(A786="","",IF(Events!I785&lt;&gt;"",Events!I785,IF(Events!S785&lt;&gt;"",Events!S785,"")))</x:f>
      </x:c>
      <x:c r="H786" s="16" t="str">
        <x:f>IF(A786="","",Events!W785)</x:f>
      </x:c>
      <x:c r="I786" s="16" t="str">
        <x:f>IF(A786="","",IF(Events!Y785&lt;&gt;"",Events!Y785,IF(OR(ISNUMBER(SEARCH("education",P786)),ISNUMBER(SEARCH("exam",P786)),ISNUMBER(SEARCH("school",P786))),"Education",IF(OR(ISNUMBER(SEARCH("trade agreement",P786)),ISNUMBER(SEARCH("economic",P786)),ISNUMBER(SEARCH("import",P786))),"Trade &amp; economic policy",IF(OR(ISNUMBER(SEARCH("land acquisition",P786)),ISNUMBER(SEARCH("rehabilitation",P786)),ISNUMBER(SEARCH("displacement",P786)),ISNUMBER(SEARCH("township",P786))),"Land &amp; rehabilitation",IF(OR(ISNUMBER(SEARCH("forest",P786)),ISNUMBER(SEARCH("environment",P786)),ISNUMBER(SEARCH("ecological",P786)),ISNUMBER(SEARCH("biodiversity",P786)),ISNUMBER(SEARCH("green cover",P786))),"Environment",IF(OR(ISNUMBER(SEARCH("irrigation",P786)),ISNUMBER(SEARCH("water",P786)),ISNUMBER(SEARCH("crop",P786)),ISNUMBER(SEARCH("farmer",P786)),ISNUMBER(SEARCH("agriculture",P786))),"Agriculture &amp; water",IF(OR(ISNUMBER(SEARCH("health",P786)),ISNUMBER(SEARCH("hospital",P786)),ISNUMBER(SEARCH("medicine",P786))),"Public health",IF(OR(ISNUMBER(SEARCH("employee",P786)),ISNUMBER(SEARCH("labour",P786)),ISNUMBER(SEARCH("worker",P786)),ISNUMBER(SEARCH("salary",P786))),"Labour &amp; employment",IF(OR(ISNUMBER(SEARCH("rti",P786)),ISNUMBER(SEARCH("transparency",P786)),ISNUMBER(SEARCH("corruption",P786)),ISNUMBER(SEARCH("governance",P786))),"Governance &amp; transparency",IF(OR(ISNUMBER(SEARCH("police",P786)),ISNUMBER(SEARCH("detention",P786)),ISNUMBER(SEARCH("civil rights",P786)),ISNUMBER(SEARCH("justice",P786))),"Civil rights &amp; justice",IF(OR(ISNUMBER(SEARCH("road",P786)),ISNUMBER(SEARCH("utility",P786)),ISNUMBER(SEARCH("infrastructure",P786)),ISNUMBER(SEARCH("public service",P786))),"Infrastructure &amp; public services","Other"))))))))))))</x:f>
      </x:c>
      <x:c r="J786" s="16" t="str">
        <x:f>IF(A786="","",IF(OR(ISNUMBER(SEARCH("fatal",Q786)),ISNUMBER(SEARCH("death",Q786)),ISNUMBER(SEARCH("riot",Q786)),ISNUMBER(SEARCH("curfew",Q786)),ISNUMBER(SEARCH("internet shutdown",Q786))),5,MIN(4,1+IF(H786&gt;=7,1,0)+IF(OR(ISNUMBER(SEARCH("hunger strike",Q786)),ISNUMBER(SEARCH("blockade",Q786)),ISNUMBER(SEARCH("strike",Q786)),ISNUMBER(SEARCH("jal satyagraha",Q786)),ISNUMBER(SEARCH("survey",Q786)),ISNUMBER(SEARCH("human chain",Q786)),ISNUMBER(SEARCH("march",Q786))),1,0)+IF(OR(ISNUMBER(SEARCH("fir",Q786)),ISNUMBER(SEARCH("confrontation",Q786)),ISNUMBER(SEARCH("violence",Q786)),ISNUMBER(SEARCH("detention",Q786)),ISNUMBER(SEARCH("arrest",Q786)),ISNUMBER(SEARCH("demolition",Q786)),ISNUMBER(SEARCH("injury",Q786))),1,0)+IF(OR(D786="Ongoing",D786="Unresolved"),1,0))))</x:f>
      </x:c>
      <x:c r="K786" s="16" t="str">
        <x:f>IF(J786="","",IF(J786=1,"Limited",IF(J786=2,"Local",IF(J786=3,"Significant",IF(J786=4,"High","Critical")))))</x:f>
      </x:c>
      <x:c r="L786" s="16" t="str">
        <x:f>IF(A786="","",Events!U785)</x:f>
      </x:c>
      <x:c r="M786" s="16" t="str">
        <x:f>IF(A786="","",Events!V785)</x:f>
      </x:c>
      <x:c r="N786" s="16" t="str">
        <x:f>IF(A786="","",Events!Q785)</x:f>
      </x:c>
      <x:c r="O786" s="16" t="str">
        <x:f>IF(A786="","",Events!R785)</x:f>
      </x:c>
      <x:c r="P786" s="16" t="str">
        <x:f>IF(A786="","",LOWER(Events!B785&amp;" "&amp;Events!D785&amp;" "&amp;Events!K785))</x:f>
      </x:c>
      <x:c r="Q786" s="16" t="str">
        <x:f>IF(A786="","",LOWER(Events!C785&amp;" "&amp;Events!K785&amp;" "&amp;Events!T785))</x:f>
      </x:c>
      <x:c r="R786" s="16" t="str">
        <x:f>IF(A786="","",IF(ISNUMBER(SEARCH("Occurrence verified",E786)),"Occurrence verified",E786))</x:f>
      </x:c>
      <x:c r="S786" s="79" t="str">
        <x:f>IF(A786="","",Events!X785)</x:f>
      </x:c>
      <x:c r="Z786" s="79" t="str">
        <x:f>IF(A786="","",Events!AD785)</x:f>
      </x:c>
      <x:c r="AA786" s="79" t="str">
        <x:f>IF(A786="","",Events!AE785)</x:f>
      </x:c>
    </x:row>
    <x:row r="787">
      <x:c r="A787" s="16" t="str">
        <x:f>IF(Events!A786="","",Events!A786)</x:f>
      </x:c>
      <x:c r="B787" s="16" t="str">
        <x:f>IF(A787="","",Events!B786)</x:f>
      </x:c>
      <x:c r="C787" s="16" t="str">
        <x:f>IF(A787="","",Events!E786)</x:f>
      </x:c>
      <x:c r="D787" s="16" t="str">
        <x:f>IF(A787="","",Events!J786)</x:f>
      </x:c>
      <x:c r="E787" s="16" t="str">
        <x:f>IF(A787="","",Events!N786)</x:f>
      </x:c>
      <x:c r="F787" s="109" t="str">
        <x:f>IF(OR(A787="",Events!H786=""),"",Events!H786)</x:f>
      </x:c>
      <x:c r="G787" s="109" t="str">
        <x:f>IF(A787="","",IF(Events!I786&lt;&gt;"",Events!I786,IF(Events!S786&lt;&gt;"",Events!S786,"")))</x:f>
      </x:c>
      <x:c r="H787" s="16" t="str">
        <x:f>IF(A787="","",Events!W786)</x:f>
      </x:c>
      <x:c r="I787" s="16" t="str">
        <x:f>IF(A787="","",IF(Events!Y786&lt;&gt;"",Events!Y786,IF(OR(ISNUMBER(SEARCH("education",P787)),ISNUMBER(SEARCH("exam",P787)),ISNUMBER(SEARCH("school",P787))),"Education",IF(OR(ISNUMBER(SEARCH("trade agreement",P787)),ISNUMBER(SEARCH("economic",P787)),ISNUMBER(SEARCH("import",P787))),"Trade &amp; economic policy",IF(OR(ISNUMBER(SEARCH("land acquisition",P787)),ISNUMBER(SEARCH("rehabilitation",P787)),ISNUMBER(SEARCH("displacement",P787)),ISNUMBER(SEARCH("township",P787))),"Land &amp; rehabilitation",IF(OR(ISNUMBER(SEARCH("forest",P787)),ISNUMBER(SEARCH("environment",P787)),ISNUMBER(SEARCH("ecological",P787)),ISNUMBER(SEARCH("biodiversity",P787)),ISNUMBER(SEARCH("green cover",P787))),"Environment",IF(OR(ISNUMBER(SEARCH("irrigation",P787)),ISNUMBER(SEARCH("water",P787)),ISNUMBER(SEARCH("crop",P787)),ISNUMBER(SEARCH("farmer",P787)),ISNUMBER(SEARCH("agriculture",P787))),"Agriculture &amp; water",IF(OR(ISNUMBER(SEARCH("health",P787)),ISNUMBER(SEARCH("hospital",P787)),ISNUMBER(SEARCH("medicine",P787))),"Public health",IF(OR(ISNUMBER(SEARCH("employee",P787)),ISNUMBER(SEARCH("labour",P787)),ISNUMBER(SEARCH("worker",P787)),ISNUMBER(SEARCH("salary",P787))),"Labour &amp; employment",IF(OR(ISNUMBER(SEARCH("rti",P787)),ISNUMBER(SEARCH("transparency",P787)),ISNUMBER(SEARCH("corruption",P787)),ISNUMBER(SEARCH("governance",P787))),"Governance &amp; transparency",IF(OR(ISNUMBER(SEARCH("police",P787)),ISNUMBER(SEARCH("detention",P787)),ISNUMBER(SEARCH("civil rights",P787)),ISNUMBER(SEARCH("justice",P787))),"Civil rights &amp; justice",IF(OR(ISNUMBER(SEARCH("road",P787)),ISNUMBER(SEARCH("utility",P787)),ISNUMBER(SEARCH("infrastructure",P787)),ISNUMBER(SEARCH("public service",P787))),"Infrastructure &amp; public services","Other"))))))))))))</x:f>
      </x:c>
      <x:c r="J787" s="16" t="str">
        <x:f>IF(A787="","",IF(OR(ISNUMBER(SEARCH("fatal",Q787)),ISNUMBER(SEARCH("death",Q787)),ISNUMBER(SEARCH("riot",Q787)),ISNUMBER(SEARCH("curfew",Q787)),ISNUMBER(SEARCH("internet shutdown",Q787))),5,MIN(4,1+IF(H787&gt;=7,1,0)+IF(OR(ISNUMBER(SEARCH("hunger strike",Q787)),ISNUMBER(SEARCH("blockade",Q787)),ISNUMBER(SEARCH("strike",Q787)),ISNUMBER(SEARCH("jal satyagraha",Q787)),ISNUMBER(SEARCH("survey",Q787)),ISNUMBER(SEARCH("human chain",Q787)),ISNUMBER(SEARCH("march",Q787))),1,0)+IF(OR(ISNUMBER(SEARCH("fir",Q787)),ISNUMBER(SEARCH("confrontation",Q787)),ISNUMBER(SEARCH("violence",Q787)),ISNUMBER(SEARCH("detention",Q787)),ISNUMBER(SEARCH("arrest",Q787)),ISNUMBER(SEARCH("demolition",Q787)),ISNUMBER(SEARCH("injury",Q787))),1,0)+IF(OR(D787="Ongoing",D787="Unresolved"),1,0))))</x:f>
      </x:c>
      <x:c r="K787" s="16" t="str">
        <x:f>IF(J787="","",IF(J787=1,"Limited",IF(J787=2,"Local",IF(J787=3,"Significant",IF(J787=4,"High","Critical")))))</x:f>
      </x:c>
      <x:c r="L787" s="16" t="str">
        <x:f>IF(A787="","",Events!U786)</x:f>
      </x:c>
      <x:c r="M787" s="16" t="str">
        <x:f>IF(A787="","",Events!V786)</x:f>
      </x:c>
      <x:c r="N787" s="16" t="str">
        <x:f>IF(A787="","",Events!Q786)</x:f>
      </x:c>
      <x:c r="O787" s="16" t="str">
        <x:f>IF(A787="","",Events!R786)</x:f>
      </x:c>
      <x:c r="P787" s="16" t="str">
        <x:f>IF(A787="","",LOWER(Events!B786&amp;" "&amp;Events!D786&amp;" "&amp;Events!K786))</x:f>
      </x:c>
      <x:c r="Q787" s="16" t="str">
        <x:f>IF(A787="","",LOWER(Events!C786&amp;" "&amp;Events!K786&amp;" "&amp;Events!T786))</x:f>
      </x:c>
      <x:c r="R787" s="16" t="str">
        <x:f>IF(A787="","",IF(ISNUMBER(SEARCH("Occurrence verified",E787)),"Occurrence verified",E787))</x:f>
      </x:c>
      <x:c r="S787" s="79" t="str">
        <x:f>IF(A787="","",Events!X786)</x:f>
      </x:c>
      <x:c r="Z787" s="79" t="str">
        <x:f>IF(A787="","",Events!AD786)</x:f>
      </x:c>
      <x:c r="AA787" s="79" t="str">
        <x:f>IF(A787="","",Events!AE786)</x:f>
      </x:c>
    </x:row>
    <x:row r="788">
      <x:c r="A788" s="16" t="str">
        <x:f>IF(Events!A787="","",Events!A787)</x:f>
      </x:c>
      <x:c r="B788" s="16" t="str">
        <x:f>IF(A788="","",Events!B787)</x:f>
      </x:c>
      <x:c r="C788" s="16" t="str">
        <x:f>IF(A788="","",Events!E787)</x:f>
      </x:c>
      <x:c r="D788" s="16" t="str">
        <x:f>IF(A788="","",Events!J787)</x:f>
      </x:c>
      <x:c r="E788" s="16" t="str">
        <x:f>IF(A788="","",Events!N787)</x:f>
      </x:c>
      <x:c r="F788" s="109" t="str">
        <x:f>IF(OR(A788="",Events!H787=""),"",Events!H787)</x:f>
      </x:c>
      <x:c r="G788" s="109" t="str">
        <x:f>IF(A788="","",IF(Events!I787&lt;&gt;"",Events!I787,IF(Events!S787&lt;&gt;"",Events!S787,"")))</x:f>
      </x:c>
      <x:c r="H788" s="16" t="str">
        <x:f>IF(A788="","",Events!W787)</x:f>
      </x:c>
      <x:c r="I788" s="16" t="str">
        <x:f>IF(A788="","",IF(Events!Y787&lt;&gt;"",Events!Y787,IF(OR(ISNUMBER(SEARCH("education",P788)),ISNUMBER(SEARCH("exam",P788)),ISNUMBER(SEARCH("school",P788))),"Education",IF(OR(ISNUMBER(SEARCH("trade agreement",P788)),ISNUMBER(SEARCH("economic",P788)),ISNUMBER(SEARCH("import",P788))),"Trade &amp; economic policy",IF(OR(ISNUMBER(SEARCH("land acquisition",P788)),ISNUMBER(SEARCH("rehabilitation",P788)),ISNUMBER(SEARCH("displacement",P788)),ISNUMBER(SEARCH("township",P788))),"Land &amp; rehabilitation",IF(OR(ISNUMBER(SEARCH("forest",P788)),ISNUMBER(SEARCH("environment",P788)),ISNUMBER(SEARCH("ecological",P788)),ISNUMBER(SEARCH("biodiversity",P788)),ISNUMBER(SEARCH("green cover",P788))),"Environment",IF(OR(ISNUMBER(SEARCH("irrigation",P788)),ISNUMBER(SEARCH("water",P788)),ISNUMBER(SEARCH("crop",P788)),ISNUMBER(SEARCH("farmer",P788)),ISNUMBER(SEARCH("agriculture",P788))),"Agriculture &amp; water",IF(OR(ISNUMBER(SEARCH("health",P788)),ISNUMBER(SEARCH("hospital",P788)),ISNUMBER(SEARCH("medicine",P788))),"Public health",IF(OR(ISNUMBER(SEARCH("employee",P788)),ISNUMBER(SEARCH("labour",P788)),ISNUMBER(SEARCH("worker",P788)),ISNUMBER(SEARCH("salary",P788))),"Labour &amp; employment",IF(OR(ISNUMBER(SEARCH("rti",P788)),ISNUMBER(SEARCH("transparency",P788)),ISNUMBER(SEARCH("corruption",P788)),ISNUMBER(SEARCH("governance",P788))),"Governance &amp; transparency",IF(OR(ISNUMBER(SEARCH("police",P788)),ISNUMBER(SEARCH("detention",P788)),ISNUMBER(SEARCH("civil rights",P788)),ISNUMBER(SEARCH("justice",P788))),"Civil rights &amp; justice",IF(OR(ISNUMBER(SEARCH("road",P788)),ISNUMBER(SEARCH("utility",P788)),ISNUMBER(SEARCH("infrastructure",P788)),ISNUMBER(SEARCH("public service",P788))),"Infrastructure &amp; public services","Other"))))))))))))</x:f>
      </x:c>
      <x:c r="J788" s="16" t="str">
        <x:f>IF(A788="","",IF(OR(ISNUMBER(SEARCH("fatal",Q788)),ISNUMBER(SEARCH("death",Q788)),ISNUMBER(SEARCH("riot",Q788)),ISNUMBER(SEARCH("curfew",Q788)),ISNUMBER(SEARCH("internet shutdown",Q788))),5,MIN(4,1+IF(H788&gt;=7,1,0)+IF(OR(ISNUMBER(SEARCH("hunger strike",Q788)),ISNUMBER(SEARCH("blockade",Q788)),ISNUMBER(SEARCH("strike",Q788)),ISNUMBER(SEARCH("jal satyagraha",Q788)),ISNUMBER(SEARCH("survey",Q788)),ISNUMBER(SEARCH("human chain",Q788)),ISNUMBER(SEARCH("march",Q788))),1,0)+IF(OR(ISNUMBER(SEARCH("fir",Q788)),ISNUMBER(SEARCH("confrontation",Q788)),ISNUMBER(SEARCH("violence",Q788)),ISNUMBER(SEARCH("detention",Q788)),ISNUMBER(SEARCH("arrest",Q788)),ISNUMBER(SEARCH("demolition",Q788)),ISNUMBER(SEARCH("injury",Q788))),1,0)+IF(OR(D788="Ongoing",D788="Unresolved"),1,0))))</x:f>
      </x:c>
      <x:c r="K788" s="16" t="str">
        <x:f>IF(J788="","",IF(J788=1,"Limited",IF(J788=2,"Local",IF(J788=3,"Significant",IF(J788=4,"High","Critical")))))</x:f>
      </x:c>
      <x:c r="L788" s="16" t="str">
        <x:f>IF(A788="","",Events!U787)</x:f>
      </x:c>
      <x:c r="M788" s="16" t="str">
        <x:f>IF(A788="","",Events!V787)</x:f>
      </x:c>
      <x:c r="N788" s="16" t="str">
        <x:f>IF(A788="","",Events!Q787)</x:f>
      </x:c>
      <x:c r="O788" s="16" t="str">
        <x:f>IF(A788="","",Events!R787)</x:f>
      </x:c>
      <x:c r="P788" s="16" t="str">
        <x:f>IF(A788="","",LOWER(Events!B787&amp;" "&amp;Events!D787&amp;" "&amp;Events!K787))</x:f>
      </x:c>
      <x:c r="Q788" s="16" t="str">
        <x:f>IF(A788="","",LOWER(Events!C787&amp;" "&amp;Events!K787&amp;" "&amp;Events!T787))</x:f>
      </x:c>
      <x:c r="R788" s="16" t="str">
        <x:f>IF(A788="","",IF(ISNUMBER(SEARCH("Occurrence verified",E788)),"Occurrence verified",E788))</x:f>
      </x:c>
      <x:c r="S788" s="79" t="str">
        <x:f>IF(A788="","",Events!X787)</x:f>
      </x:c>
      <x:c r="Z788" s="79" t="str">
        <x:f>IF(A788="","",Events!AD787)</x:f>
      </x:c>
      <x:c r="AA788" s="79" t="str">
        <x:f>IF(A788="","",Events!AE787)</x:f>
      </x:c>
    </x:row>
    <x:row r="789">
      <x:c r="A789" s="16" t="str">
        <x:f>IF(Events!A788="","",Events!A788)</x:f>
      </x:c>
      <x:c r="B789" s="16" t="str">
        <x:f>IF(A789="","",Events!B788)</x:f>
      </x:c>
      <x:c r="C789" s="16" t="str">
        <x:f>IF(A789="","",Events!E788)</x:f>
      </x:c>
      <x:c r="D789" s="16" t="str">
        <x:f>IF(A789="","",Events!J788)</x:f>
      </x:c>
      <x:c r="E789" s="16" t="str">
        <x:f>IF(A789="","",Events!N788)</x:f>
      </x:c>
      <x:c r="F789" s="109" t="str">
        <x:f>IF(OR(A789="",Events!H788=""),"",Events!H788)</x:f>
      </x:c>
      <x:c r="G789" s="109" t="str">
        <x:f>IF(A789="","",IF(Events!I788&lt;&gt;"",Events!I788,IF(Events!S788&lt;&gt;"",Events!S788,"")))</x:f>
      </x:c>
      <x:c r="H789" s="16" t="str">
        <x:f>IF(A789="","",Events!W788)</x:f>
      </x:c>
      <x:c r="I789" s="16" t="str">
        <x:f>IF(A789="","",IF(Events!Y788&lt;&gt;"",Events!Y788,IF(OR(ISNUMBER(SEARCH("education",P789)),ISNUMBER(SEARCH("exam",P789)),ISNUMBER(SEARCH("school",P789))),"Education",IF(OR(ISNUMBER(SEARCH("trade agreement",P789)),ISNUMBER(SEARCH("economic",P789)),ISNUMBER(SEARCH("import",P789))),"Trade &amp; economic policy",IF(OR(ISNUMBER(SEARCH("land acquisition",P789)),ISNUMBER(SEARCH("rehabilitation",P789)),ISNUMBER(SEARCH("displacement",P789)),ISNUMBER(SEARCH("township",P789))),"Land &amp; rehabilitation",IF(OR(ISNUMBER(SEARCH("forest",P789)),ISNUMBER(SEARCH("environment",P789)),ISNUMBER(SEARCH("ecological",P789)),ISNUMBER(SEARCH("biodiversity",P789)),ISNUMBER(SEARCH("green cover",P789))),"Environment",IF(OR(ISNUMBER(SEARCH("irrigation",P789)),ISNUMBER(SEARCH("water",P789)),ISNUMBER(SEARCH("crop",P789)),ISNUMBER(SEARCH("farmer",P789)),ISNUMBER(SEARCH("agriculture",P789))),"Agriculture &amp; water",IF(OR(ISNUMBER(SEARCH("health",P789)),ISNUMBER(SEARCH("hospital",P789)),ISNUMBER(SEARCH("medicine",P789))),"Public health",IF(OR(ISNUMBER(SEARCH("employee",P789)),ISNUMBER(SEARCH("labour",P789)),ISNUMBER(SEARCH("worker",P789)),ISNUMBER(SEARCH("salary",P789))),"Labour &amp; employment",IF(OR(ISNUMBER(SEARCH("rti",P789)),ISNUMBER(SEARCH("transparency",P789)),ISNUMBER(SEARCH("corruption",P789)),ISNUMBER(SEARCH("governance",P789))),"Governance &amp; transparency",IF(OR(ISNUMBER(SEARCH("police",P789)),ISNUMBER(SEARCH("detention",P789)),ISNUMBER(SEARCH("civil rights",P789)),ISNUMBER(SEARCH("justice",P789))),"Civil rights &amp; justice",IF(OR(ISNUMBER(SEARCH("road",P789)),ISNUMBER(SEARCH("utility",P789)),ISNUMBER(SEARCH("infrastructure",P789)),ISNUMBER(SEARCH("public service",P789))),"Infrastructure &amp; public services","Other"))))))))))))</x:f>
      </x:c>
      <x:c r="J789" s="16" t="str">
        <x:f>IF(A789="","",IF(OR(ISNUMBER(SEARCH("fatal",Q789)),ISNUMBER(SEARCH("death",Q789)),ISNUMBER(SEARCH("riot",Q789)),ISNUMBER(SEARCH("curfew",Q789)),ISNUMBER(SEARCH("internet shutdown",Q789))),5,MIN(4,1+IF(H789&gt;=7,1,0)+IF(OR(ISNUMBER(SEARCH("hunger strike",Q789)),ISNUMBER(SEARCH("blockade",Q789)),ISNUMBER(SEARCH("strike",Q789)),ISNUMBER(SEARCH("jal satyagraha",Q789)),ISNUMBER(SEARCH("survey",Q789)),ISNUMBER(SEARCH("human chain",Q789)),ISNUMBER(SEARCH("march",Q789))),1,0)+IF(OR(ISNUMBER(SEARCH("fir",Q789)),ISNUMBER(SEARCH("confrontation",Q789)),ISNUMBER(SEARCH("violence",Q789)),ISNUMBER(SEARCH("detention",Q789)),ISNUMBER(SEARCH("arrest",Q789)),ISNUMBER(SEARCH("demolition",Q789)),ISNUMBER(SEARCH("injury",Q789))),1,0)+IF(OR(D789="Ongoing",D789="Unresolved"),1,0))))</x:f>
      </x:c>
      <x:c r="K789" s="16" t="str">
        <x:f>IF(J789="","",IF(J789=1,"Limited",IF(J789=2,"Local",IF(J789=3,"Significant",IF(J789=4,"High","Critical")))))</x:f>
      </x:c>
      <x:c r="L789" s="16" t="str">
        <x:f>IF(A789="","",Events!U788)</x:f>
      </x:c>
      <x:c r="M789" s="16" t="str">
        <x:f>IF(A789="","",Events!V788)</x:f>
      </x:c>
      <x:c r="N789" s="16" t="str">
        <x:f>IF(A789="","",Events!Q788)</x:f>
      </x:c>
      <x:c r="O789" s="16" t="str">
        <x:f>IF(A789="","",Events!R788)</x:f>
      </x:c>
      <x:c r="P789" s="16" t="str">
        <x:f>IF(A789="","",LOWER(Events!B788&amp;" "&amp;Events!D788&amp;" "&amp;Events!K788))</x:f>
      </x:c>
      <x:c r="Q789" s="16" t="str">
        <x:f>IF(A789="","",LOWER(Events!C788&amp;" "&amp;Events!K788&amp;" "&amp;Events!T788))</x:f>
      </x:c>
      <x:c r="R789" s="16" t="str">
        <x:f>IF(A789="","",IF(ISNUMBER(SEARCH("Occurrence verified",E789)),"Occurrence verified",E789))</x:f>
      </x:c>
      <x:c r="S789" s="79" t="str">
        <x:f>IF(A789="","",Events!X788)</x:f>
      </x:c>
      <x:c r="Z789" s="79" t="str">
        <x:f>IF(A789="","",Events!AD788)</x:f>
      </x:c>
      <x:c r="AA789" s="79" t="str">
        <x:f>IF(A789="","",Events!AE788)</x:f>
      </x:c>
    </x:row>
    <x:row r="790">
      <x:c r="A790" s="16" t="str">
        <x:f>IF(Events!A789="","",Events!A789)</x:f>
      </x:c>
      <x:c r="B790" s="16" t="str">
        <x:f>IF(A790="","",Events!B789)</x:f>
      </x:c>
      <x:c r="C790" s="16" t="str">
        <x:f>IF(A790="","",Events!E789)</x:f>
      </x:c>
      <x:c r="D790" s="16" t="str">
        <x:f>IF(A790="","",Events!J789)</x:f>
      </x:c>
      <x:c r="E790" s="16" t="str">
        <x:f>IF(A790="","",Events!N789)</x:f>
      </x:c>
      <x:c r="F790" s="109" t="str">
        <x:f>IF(OR(A790="",Events!H789=""),"",Events!H789)</x:f>
      </x:c>
      <x:c r="G790" s="109" t="str">
        <x:f>IF(A790="","",IF(Events!I789&lt;&gt;"",Events!I789,IF(Events!S789&lt;&gt;"",Events!S789,"")))</x:f>
      </x:c>
      <x:c r="H790" s="16" t="str">
        <x:f>IF(A790="","",Events!W789)</x:f>
      </x:c>
      <x:c r="I790" s="16" t="str">
        <x:f>IF(A790="","",IF(Events!Y789&lt;&gt;"",Events!Y789,IF(OR(ISNUMBER(SEARCH("education",P790)),ISNUMBER(SEARCH("exam",P790)),ISNUMBER(SEARCH("school",P790))),"Education",IF(OR(ISNUMBER(SEARCH("trade agreement",P790)),ISNUMBER(SEARCH("economic",P790)),ISNUMBER(SEARCH("import",P790))),"Trade &amp; economic policy",IF(OR(ISNUMBER(SEARCH("land acquisition",P790)),ISNUMBER(SEARCH("rehabilitation",P790)),ISNUMBER(SEARCH("displacement",P790)),ISNUMBER(SEARCH("township",P790))),"Land &amp; rehabilitation",IF(OR(ISNUMBER(SEARCH("forest",P790)),ISNUMBER(SEARCH("environment",P790)),ISNUMBER(SEARCH("ecological",P790)),ISNUMBER(SEARCH("biodiversity",P790)),ISNUMBER(SEARCH("green cover",P790))),"Environment",IF(OR(ISNUMBER(SEARCH("irrigation",P790)),ISNUMBER(SEARCH("water",P790)),ISNUMBER(SEARCH("crop",P790)),ISNUMBER(SEARCH("farmer",P790)),ISNUMBER(SEARCH("agriculture",P790))),"Agriculture &amp; water",IF(OR(ISNUMBER(SEARCH("health",P790)),ISNUMBER(SEARCH("hospital",P790)),ISNUMBER(SEARCH("medicine",P790))),"Public health",IF(OR(ISNUMBER(SEARCH("employee",P790)),ISNUMBER(SEARCH("labour",P790)),ISNUMBER(SEARCH("worker",P790)),ISNUMBER(SEARCH("salary",P790))),"Labour &amp; employment",IF(OR(ISNUMBER(SEARCH("rti",P790)),ISNUMBER(SEARCH("transparency",P790)),ISNUMBER(SEARCH("corruption",P790)),ISNUMBER(SEARCH("governance",P790))),"Governance &amp; transparency",IF(OR(ISNUMBER(SEARCH("police",P790)),ISNUMBER(SEARCH("detention",P790)),ISNUMBER(SEARCH("civil rights",P790)),ISNUMBER(SEARCH("justice",P790))),"Civil rights &amp; justice",IF(OR(ISNUMBER(SEARCH("road",P790)),ISNUMBER(SEARCH("utility",P790)),ISNUMBER(SEARCH("infrastructure",P790)),ISNUMBER(SEARCH("public service",P790))),"Infrastructure &amp; public services","Other"))))))))))))</x:f>
      </x:c>
      <x:c r="J790" s="16" t="str">
        <x:f>IF(A790="","",IF(OR(ISNUMBER(SEARCH("fatal",Q790)),ISNUMBER(SEARCH("death",Q790)),ISNUMBER(SEARCH("riot",Q790)),ISNUMBER(SEARCH("curfew",Q790)),ISNUMBER(SEARCH("internet shutdown",Q790))),5,MIN(4,1+IF(H790&gt;=7,1,0)+IF(OR(ISNUMBER(SEARCH("hunger strike",Q790)),ISNUMBER(SEARCH("blockade",Q790)),ISNUMBER(SEARCH("strike",Q790)),ISNUMBER(SEARCH("jal satyagraha",Q790)),ISNUMBER(SEARCH("survey",Q790)),ISNUMBER(SEARCH("human chain",Q790)),ISNUMBER(SEARCH("march",Q790))),1,0)+IF(OR(ISNUMBER(SEARCH("fir",Q790)),ISNUMBER(SEARCH("confrontation",Q790)),ISNUMBER(SEARCH("violence",Q790)),ISNUMBER(SEARCH("detention",Q790)),ISNUMBER(SEARCH("arrest",Q790)),ISNUMBER(SEARCH("demolition",Q790)),ISNUMBER(SEARCH("injury",Q790))),1,0)+IF(OR(D790="Ongoing",D790="Unresolved"),1,0))))</x:f>
      </x:c>
      <x:c r="K790" s="16" t="str">
        <x:f>IF(J790="","",IF(J790=1,"Limited",IF(J790=2,"Local",IF(J790=3,"Significant",IF(J790=4,"High","Critical")))))</x:f>
      </x:c>
      <x:c r="L790" s="16" t="str">
        <x:f>IF(A790="","",Events!U789)</x:f>
      </x:c>
      <x:c r="M790" s="16" t="str">
        <x:f>IF(A790="","",Events!V789)</x:f>
      </x:c>
      <x:c r="N790" s="16" t="str">
        <x:f>IF(A790="","",Events!Q789)</x:f>
      </x:c>
      <x:c r="O790" s="16" t="str">
        <x:f>IF(A790="","",Events!R789)</x:f>
      </x:c>
      <x:c r="P790" s="16" t="str">
        <x:f>IF(A790="","",LOWER(Events!B789&amp;" "&amp;Events!D789&amp;" "&amp;Events!K789))</x:f>
      </x:c>
      <x:c r="Q790" s="16" t="str">
        <x:f>IF(A790="","",LOWER(Events!C789&amp;" "&amp;Events!K789&amp;" "&amp;Events!T789))</x:f>
      </x:c>
      <x:c r="R790" s="16" t="str">
        <x:f>IF(A790="","",IF(ISNUMBER(SEARCH("Occurrence verified",E790)),"Occurrence verified",E790))</x:f>
      </x:c>
      <x:c r="S790" s="79" t="str">
        <x:f>IF(A790="","",Events!X789)</x:f>
      </x:c>
      <x:c r="Z790" s="79" t="str">
        <x:f>IF(A790="","",Events!AD789)</x:f>
      </x:c>
      <x:c r="AA790" s="79" t="str">
        <x:f>IF(A790="","",Events!AE789)</x:f>
      </x:c>
    </x:row>
    <x:row r="791">
      <x:c r="A791" s="16" t="str">
        <x:f>IF(Events!A790="","",Events!A790)</x:f>
      </x:c>
      <x:c r="B791" s="16" t="str">
        <x:f>IF(A791="","",Events!B790)</x:f>
      </x:c>
      <x:c r="C791" s="16" t="str">
        <x:f>IF(A791="","",Events!E790)</x:f>
      </x:c>
      <x:c r="D791" s="16" t="str">
        <x:f>IF(A791="","",Events!J790)</x:f>
      </x:c>
      <x:c r="E791" s="16" t="str">
        <x:f>IF(A791="","",Events!N790)</x:f>
      </x:c>
      <x:c r="F791" s="109" t="str">
        <x:f>IF(OR(A791="",Events!H790=""),"",Events!H790)</x:f>
      </x:c>
      <x:c r="G791" s="109" t="str">
        <x:f>IF(A791="","",IF(Events!I790&lt;&gt;"",Events!I790,IF(Events!S790&lt;&gt;"",Events!S790,"")))</x:f>
      </x:c>
      <x:c r="H791" s="16" t="str">
        <x:f>IF(A791="","",Events!W790)</x:f>
      </x:c>
      <x:c r="I791" s="16" t="str">
        <x:f>IF(A791="","",IF(Events!Y790&lt;&gt;"",Events!Y790,IF(OR(ISNUMBER(SEARCH("education",P791)),ISNUMBER(SEARCH("exam",P791)),ISNUMBER(SEARCH("school",P791))),"Education",IF(OR(ISNUMBER(SEARCH("trade agreement",P791)),ISNUMBER(SEARCH("economic",P791)),ISNUMBER(SEARCH("import",P791))),"Trade &amp; economic policy",IF(OR(ISNUMBER(SEARCH("land acquisition",P791)),ISNUMBER(SEARCH("rehabilitation",P791)),ISNUMBER(SEARCH("displacement",P791)),ISNUMBER(SEARCH("township",P791))),"Land &amp; rehabilitation",IF(OR(ISNUMBER(SEARCH("forest",P791)),ISNUMBER(SEARCH("environment",P791)),ISNUMBER(SEARCH("ecological",P791)),ISNUMBER(SEARCH("biodiversity",P791)),ISNUMBER(SEARCH("green cover",P791))),"Environment",IF(OR(ISNUMBER(SEARCH("irrigation",P791)),ISNUMBER(SEARCH("water",P791)),ISNUMBER(SEARCH("crop",P791)),ISNUMBER(SEARCH("farmer",P791)),ISNUMBER(SEARCH("agriculture",P791))),"Agriculture &amp; water",IF(OR(ISNUMBER(SEARCH("health",P791)),ISNUMBER(SEARCH("hospital",P791)),ISNUMBER(SEARCH("medicine",P791))),"Public health",IF(OR(ISNUMBER(SEARCH("employee",P791)),ISNUMBER(SEARCH("labour",P791)),ISNUMBER(SEARCH("worker",P791)),ISNUMBER(SEARCH("salary",P791))),"Labour &amp; employment",IF(OR(ISNUMBER(SEARCH("rti",P791)),ISNUMBER(SEARCH("transparency",P791)),ISNUMBER(SEARCH("corruption",P791)),ISNUMBER(SEARCH("governance",P791))),"Governance &amp; transparency",IF(OR(ISNUMBER(SEARCH("police",P791)),ISNUMBER(SEARCH("detention",P791)),ISNUMBER(SEARCH("civil rights",P791)),ISNUMBER(SEARCH("justice",P791))),"Civil rights &amp; justice",IF(OR(ISNUMBER(SEARCH("road",P791)),ISNUMBER(SEARCH("utility",P791)),ISNUMBER(SEARCH("infrastructure",P791)),ISNUMBER(SEARCH("public service",P791))),"Infrastructure &amp; public services","Other"))))))))))))</x:f>
      </x:c>
      <x:c r="J791" s="16" t="str">
        <x:f>IF(A791="","",IF(OR(ISNUMBER(SEARCH("fatal",Q791)),ISNUMBER(SEARCH("death",Q791)),ISNUMBER(SEARCH("riot",Q791)),ISNUMBER(SEARCH("curfew",Q791)),ISNUMBER(SEARCH("internet shutdown",Q791))),5,MIN(4,1+IF(H791&gt;=7,1,0)+IF(OR(ISNUMBER(SEARCH("hunger strike",Q791)),ISNUMBER(SEARCH("blockade",Q791)),ISNUMBER(SEARCH("strike",Q791)),ISNUMBER(SEARCH("jal satyagraha",Q791)),ISNUMBER(SEARCH("survey",Q791)),ISNUMBER(SEARCH("human chain",Q791)),ISNUMBER(SEARCH("march",Q791))),1,0)+IF(OR(ISNUMBER(SEARCH("fir",Q791)),ISNUMBER(SEARCH("confrontation",Q791)),ISNUMBER(SEARCH("violence",Q791)),ISNUMBER(SEARCH("detention",Q791)),ISNUMBER(SEARCH("arrest",Q791)),ISNUMBER(SEARCH("demolition",Q791)),ISNUMBER(SEARCH("injury",Q791))),1,0)+IF(OR(D791="Ongoing",D791="Unresolved"),1,0))))</x:f>
      </x:c>
      <x:c r="K791" s="16" t="str">
        <x:f>IF(J791="","",IF(J791=1,"Limited",IF(J791=2,"Local",IF(J791=3,"Significant",IF(J791=4,"High","Critical")))))</x:f>
      </x:c>
      <x:c r="L791" s="16" t="str">
        <x:f>IF(A791="","",Events!U790)</x:f>
      </x:c>
      <x:c r="M791" s="16" t="str">
        <x:f>IF(A791="","",Events!V790)</x:f>
      </x:c>
      <x:c r="N791" s="16" t="str">
        <x:f>IF(A791="","",Events!Q790)</x:f>
      </x:c>
      <x:c r="O791" s="16" t="str">
        <x:f>IF(A791="","",Events!R790)</x:f>
      </x:c>
      <x:c r="P791" s="16" t="str">
        <x:f>IF(A791="","",LOWER(Events!B790&amp;" "&amp;Events!D790&amp;" "&amp;Events!K790))</x:f>
      </x:c>
      <x:c r="Q791" s="16" t="str">
        <x:f>IF(A791="","",LOWER(Events!C790&amp;" "&amp;Events!K790&amp;" "&amp;Events!T790))</x:f>
      </x:c>
      <x:c r="R791" s="16" t="str">
        <x:f>IF(A791="","",IF(ISNUMBER(SEARCH("Occurrence verified",E791)),"Occurrence verified",E791))</x:f>
      </x:c>
      <x:c r="S791" s="79" t="str">
        <x:f>IF(A791="","",Events!X790)</x:f>
      </x:c>
      <x:c r="Z791" s="79" t="str">
        <x:f>IF(A791="","",Events!AD790)</x:f>
      </x:c>
      <x:c r="AA791" s="79" t="str">
        <x:f>IF(A791="","",Events!AE790)</x:f>
      </x:c>
    </x:row>
    <x:row r="792">
      <x:c r="A792" s="16" t="str">
        <x:f>IF(Events!A791="","",Events!A791)</x:f>
      </x:c>
      <x:c r="B792" s="16" t="str">
        <x:f>IF(A792="","",Events!B791)</x:f>
      </x:c>
      <x:c r="C792" s="16" t="str">
        <x:f>IF(A792="","",Events!E791)</x:f>
      </x:c>
      <x:c r="D792" s="16" t="str">
        <x:f>IF(A792="","",Events!J791)</x:f>
      </x:c>
      <x:c r="E792" s="16" t="str">
        <x:f>IF(A792="","",Events!N791)</x:f>
      </x:c>
      <x:c r="F792" s="109" t="str">
        <x:f>IF(OR(A792="",Events!H791=""),"",Events!H791)</x:f>
      </x:c>
      <x:c r="G792" s="109" t="str">
        <x:f>IF(A792="","",IF(Events!I791&lt;&gt;"",Events!I791,IF(Events!S791&lt;&gt;"",Events!S791,"")))</x:f>
      </x:c>
      <x:c r="H792" s="16" t="str">
        <x:f>IF(A792="","",Events!W791)</x:f>
      </x:c>
      <x:c r="I792" s="16" t="str">
        <x:f>IF(A792="","",IF(Events!Y791&lt;&gt;"",Events!Y791,IF(OR(ISNUMBER(SEARCH("education",P792)),ISNUMBER(SEARCH("exam",P792)),ISNUMBER(SEARCH("school",P792))),"Education",IF(OR(ISNUMBER(SEARCH("trade agreement",P792)),ISNUMBER(SEARCH("economic",P792)),ISNUMBER(SEARCH("import",P792))),"Trade &amp; economic policy",IF(OR(ISNUMBER(SEARCH("land acquisition",P792)),ISNUMBER(SEARCH("rehabilitation",P792)),ISNUMBER(SEARCH("displacement",P792)),ISNUMBER(SEARCH("township",P792))),"Land &amp; rehabilitation",IF(OR(ISNUMBER(SEARCH("forest",P792)),ISNUMBER(SEARCH("environment",P792)),ISNUMBER(SEARCH("ecological",P792)),ISNUMBER(SEARCH("biodiversity",P792)),ISNUMBER(SEARCH("green cover",P792))),"Environment",IF(OR(ISNUMBER(SEARCH("irrigation",P792)),ISNUMBER(SEARCH("water",P792)),ISNUMBER(SEARCH("crop",P792)),ISNUMBER(SEARCH("farmer",P792)),ISNUMBER(SEARCH("agriculture",P792))),"Agriculture &amp; water",IF(OR(ISNUMBER(SEARCH("health",P792)),ISNUMBER(SEARCH("hospital",P792)),ISNUMBER(SEARCH("medicine",P792))),"Public health",IF(OR(ISNUMBER(SEARCH("employee",P792)),ISNUMBER(SEARCH("labour",P792)),ISNUMBER(SEARCH("worker",P792)),ISNUMBER(SEARCH("salary",P792))),"Labour &amp; employment",IF(OR(ISNUMBER(SEARCH("rti",P792)),ISNUMBER(SEARCH("transparency",P792)),ISNUMBER(SEARCH("corruption",P792)),ISNUMBER(SEARCH("governance",P792))),"Governance &amp; transparency",IF(OR(ISNUMBER(SEARCH("police",P792)),ISNUMBER(SEARCH("detention",P792)),ISNUMBER(SEARCH("civil rights",P792)),ISNUMBER(SEARCH("justice",P792))),"Civil rights &amp; justice",IF(OR(ISNUMBER(SEARCH("road",P792)),ISNUMBER(SEARCH("utility",P792)),ISNUMBER(SEARCH("infrastructure",P792)),ISNUMBER(SEARCH("public service",P792))),"Infrastructure &amp; public services","Other"))))))))))))</x:f>
      </x:c>
      <x:c r="J792" s="16" t="str">
        <x:f>IF(A792="","",IF(OR(ISNUMBER(SEARCH("fatal",Q792)),ISNUMBER(SEARCH("death",Q792)),ISNUMBER(SEARCH("riot",Q792)),ISNUMBER(SEARCH("curfew",Q792)),ISNUMBER(SEARCH("internet shutdown",Q792))),5,MIN(4,1+IF(H792&gt;=7,1,0)+IF(OR(ISNUMBER(SEARCH("hunger strike",Q792)),ISNUMBER(SEARCH("blockade",Q792)),ISNUMBER(SEARCH("strike",Q792)),ISNUMBER(SEARCH("jal satyagraha",Q792)),ISNUMBER(SEARCH("survey",Q792)),ISNUMBER(SEARCH("human chain",Q792)),ISNUMBER(SEARCH("march",Q792))),1,0)+IF(OR(ISNUMBER(SEARCH("fir",Q792)),ISNUMBER(SEARCH("confrontation",Q792)),ISNUMBER(SEARCH("violence",Q792)),ISNUMBER(SEARCH("detention",Q792)),ISNUMBER(SEARCH("arrest",Q792)),ISNUMBER(SEARCH("demolition",Q792)),ISNUMBER(SEARCH("injury",Q792))),1,0)+IF(OR(D792="Ongoing",D792="Unresolved"),1,0))))</x:f>
      </x:c>
      <x:c r="K792" s="16" t="str">
        <x:f>IF(J792="","",IF(J792=1,"Limited",IF(J792=2,"Local",IF(J792=3,"Significant",IF(J792=4,"High","Critical")))))</x:f>
      </x:c>
      <x:c r="L792" s="16" t="str">
        <x:f>IF(A792="","",Events!U791)</x:f>
      </x:c>
      <x:c r="M792" s="16" t="str">
        <x:f>IF(A792="","",Events!V791)</x:f>
      </x:c>
      <x:c r="N792" s="16" t="str">
        <x:f>IF(A792="","",Events!Q791)</x:f>
      </x:c>
      <x:c r="O792" s="16" t="str">
        <x:f>IF(A792="","",Events!R791)</x:f>
      </x:c>
      <x:c r="P792" s="16" t="str">
        <x:f>IF(A792="","",LOWER(Events!B791&amp;" "&amp;Events!D791&amp;" "&amp;Events!K791))</x:f>
      </x:c>
      <x:c r="Q792" s="16" t="str">
        <x:f>IF(A792="","",LOWER(Events!C791&amp;" "&amp;Events!K791&amp;" "&amp;Events!T791))</x:f>
      </x:c>
      <x:c r="R792" s="16" t="str">
        <x:f>IF(A792="","",IF(ISNUMBER(SEARCH("Occurrence verified",E792)),"Occurrence verified",E792))</x:f>
      </x:c>
      <x:c r="S792" s="79" t="str">
        <x:f>IF(A792="","",Events!X791)</x:f>
      </x:c>
      <x:c r="Z792" s="79" t="str">
        <x:f>IF(A792="","",Events!AD791)</x:f>
      </x:c>
      <x:c r="AA792" s="79" t="str">
        <x:f>IF(A792="","",Events!AE791)</x:f>
      </x:c>
    </x:row>
    <x:row r="793">
      <x:c r="A793" s="16" t="str">
        <x:f>IF(Events!A792="","",Events!A792)</x:f>
      </x:c>
      <x:c r="B793" s="16" t="str">
        <x:f>IF(A793="","",Events!B792)</x:f>
      </x:c>
      <x:c r="C793" s="16" t="str">
        <x:f>IF(A793="","",Events!E792)</x:f>
      </x:c>
      <x:c r="D793" s="16" t="str">
        <x:f>IF(A793="","",Events!J792)</x:f>
      </x:c>
      <x:c r="E793" s="16" t="str">
        <x:f>IF(A793="","",Events!N792)</x:f>
      </x:c>
      <x:c r="F793" s="109" t="str">
        <x:f>IF(OR(A793="",Events!H792=""),"",Events!H792)</x:f>
      </x:c>
      <x:c r="G793" s="109" t="str">
        <x:f>IF(A793="","",IF(Events!I792&lt;&gt;"",Events!I792,IF(Events!S792&lt;&gt;"",Events!S792,"")))</x:f>
      </x:c>
      <x:c r="H793" s="16" t="str">
        <x:f>IF(A793="","",Events!W792)</x:f>
      </x:c>
      <x:c r="I793" s="16" t="str">
        <x:f>IF(A793="","",IF(Events!Y792&lt;&gt;"",Events!Y792,IF(OR(ISNUMBER(SEARCH("education",P793)),ISNUMBER(SEARCH("exam",P793)),ISNUMBER(SEARCH("school",P793))),"Education",IF(OR(ISNUMBER(SEARCH("trade agreement",P793)),ISNUMBER(SEARCH("economic",P793)),ISNUMBER(SEARCH("import",P793))),"Trade &amp; economic policy",IF(OR(ISNUMBER(SEARCH("land acquisition",P793)),ISNUMBER(SEARCH("rehabilitation",P793)),ISNUMBER(SEARCH("displacement",P793)),ISNUMBER(SEARCH("township",P793))),"Land &amp; rehabilitation",IF(OR(ISNUMBER(SEARCH("forest",P793)),ISNUMBER(SEARCH("environment",P793)),ISNUMBER(SEARCH("ecological",P793)),ISNUMBER(SEARCH("biodiversity",P793)),ISNUMBER(SEARCH("green cover",P793))),"Environment",IF(OR(ISNUMBER(SEARCH("irrigation",P793)),ISNUMBER(SEARCH("water",P793)),ISNUMBER(SEARCH("crop",P793)),ISNUMBER(SEARCH("farmer",P793)),ISNUMBER(SEARCH("agriculture",P793))),"Agriculture &amp; water",IF(OR(ISNUMBER(SEARCH("health",P793)),ISNUMBER(SEARCH("hospital",P793)),ISNUMBER(SEARCH("medicine",P793))),"Public health",IF(OR(ISNUMBER(SEARCH("employee",P793)),ISNUMBER(SEARCH("labour",P793)),ISNUMBER(SEARCH("worker",P793)),ISNUMBER(SEARCH("salary",P793))),"Labour &amp; employment",IF(OR(ISNUMBER(SEARCH("rti",P793)),ISNUMBER(SEARCH("transparency",P793)),ISNUMBER(SEARCH("corruption",P793)),ISNUMBER(SEARCH("governance",P793))),"Governance &amp; transparency",IF(OR(ISNUMBER(SEARCH("police",P793)),ISNUMBER(SEARCH("detention",P793)),ISNUMBER(SEARCH("civil rights",P793)),ISNUMBER(SEARCH("justice",P793))),"Civil rights &amp; justice",IF(OR(ISNUMBER(SEARCH("road",P793)),ISNUMBER(SEARCH("utility",P793)),ISNUMBER(SEARCH("infrastructure",P793)),ISNUMBER(SEARCH("public service",P793))),"Infrastructure &amp; public services","Other"))))))))))))</x:f>
      </x:c>
      <x:c r="J793" s="16" t="str">
        <x:f>IF(A793="","",IF(OR(ISNUMBER(SEARCH("fatal",Q793)),ISNUMBER(SEARCH("death",Q793)),ISNUMBER(SEARCH("riot",Q793)),ISNUMBER(SEARCH("curfew",Q793)),ISNUMBER(SEARCH("internet shutdown",Q793))),5,MIN(4,1+IF(H793&gt;=7,1,0)+IF(OR(ISNUMBER(SEARCH("hunger strike",Q793)),ISNUMBER(SEARCH("blockade",Q793)),ISNUMBER(SEARCH("strike",Q793)),ISNUMBER(SEARCH("jal satyagraha",Q793)),ISNUMBER(SEARCH("survey",Q793)),ISNUMBER(SEARCH("human chain",Q793)),ISNUMBER(SEARCH("march",Q793))),1,0)+IF(OR(ISNUMBER(SEARCH("fir",Q793)),ISNUMBER(SEARCH("confrontation",Q793)),ISNUMBER(SEARCH("violence",Q793)),ISNUMBER(SEARCH("detention",Q793)),ISNUMBER(SEARCH("arrest",Q793)),ISNUMBER(SEARCH("demolition",Q793)),ISNUMBER(SEARCH("injury",Q793))),1,0)+IF(OR(D793="Ongoing",D793="Unresolved"),1,0))))</x:f>
      </x:c>
      <x:c r="K793" s="16" t="str">
        <x:f>IF(J793="","",IF(J793=1,"Limited",IF(J793=2,"Local",IF(J793=3,"Significant",IF(J793=4,"High","Critical")))))</x:f>
      </x:c>
      <x:c r="L793" s="16" t="str">
        <x:f>IF(A793="","",Events!U792)</x:f>
      </x:c>
      <x:c r="M793" s="16" t="str">
        <x:f>IF(A793="","",Events!V792)</x:f>
      </x:c>
      <x:c r="N793" s="16" t="str">
        <x:f>IF(A793="","",Events!Q792)</x:f>
      </x:c>
      <x:c r="O793" s="16" t="str">
        <x:f>IF(A793="","",Events!R792)</x:f>
      </x:c>
      <x:c r="P793" s="16" t="str">
        <x:f>IF(A793="","",LOWER(Events!B792&amp;" "&amp;Events!D792&amp;" "&amp;Events!K792))</x:f>
      </x:c>
      <x:c r="Q793" s="16" t="str">
        <x:f>IF(A793="","",LOWER(Events!C792&amp;" "&amp;Events!K792&amp;" "&amp;Events!T792))</x:f>
      </x:c>
      <x:c r="R793" s="16" t="str">
        <x:f>IF(A793="","",IF(ISNUMBER(SEARCH("Occurrence verified",E793)),"Occurrence verified",E793))</x:f>
      </x:c>
      <x:c r="S793" s="79" t="str">
        <x:f>IF(A793="","",Events!X792)</x:f>
      </x:c>
      <x:c r="Z793" s="79" t="str">
        <x:f>IF(A793="","",Events!AD792)</x:f>
      </x:c>
      <x:c r="AA793" s="79" t="str">
        <x:f>IF(A793="","",Events!AE792)</x:f>
      </x:c>
    </x:row>
    <x:row r="794">
      <x:c r="A794" s="16" t="str">
        <x:f>IF(Events!A793="","",Events!A793)</x:f>
      </x:c>
      <x:c r="B794" s="16" t="str">
        <x:f>IF(A794="","",Events!B793)</x:f>
      </x:c>
      <x:c r="C794" s="16" t="str">
        <x:f>IF(A794="","",Events!E793)</x:f>
      </x:c>
      <x:c r="D794" s="16" t="str">
        <x:f>IF(A794="","",Events!J793)</x:f>
      </x:c>
      <x:c r="E794" s="16" t="str">
        <x:f>IF(A794="","",Events!N793)</x:f>
      </x:c>
      <x:c r="F794" s="109" t="str">
        <x:f>IF(OR(A794="",Events!H793=""),"",Events!H793)</x:f>
      </x:c>
      <x:c r="G794" s="109" t="str">
        <x:f>IF(A794="","",IF(Events!I793&lt;&gt;"",Events!I793,IF(Events!S793&lt;&gt;"",Events!S793,"")))</x:f>
      </x:c>
      <x:c r="H794" s="16" t="str">
        <x:f>IF(A794="","",Events!W793)</x:f>
      </x:c>
      <x:c r="I794" s="16" t="str">
        <x:f>IF(A794="","",IF(Events!Y793&lt;&gt;"",Events!Y793,IF(OR(ISNUMBER(SEARCH("education",P794)),ISNUMBER(SEARCH("exam",P794)),ISNUMBER(SEARCH("school",P794))),"Education",IF(OR(ISNUMBER(SEARCH("trade agreement",P794)),ISNUMBER(SEARCH("economic",P794)),ISNUMBER(SEARCH("import",P794))),"Trade &amp; economic policy",IF(OR(ISNUMBER(SEARCH("land acquisition",P794)),ISNUMBER(SEARCH("rehabilitation",P794)),ISNUMBER(SEARCH("displacement",P794)),ISNUMBER(SEARCH("township",P794))),"Land &amp; rehabilitation",IF(OR(ISNUMBER(SEARCH("forest",P794)),ISNUMBER(SEARCH("environment",P794)),ISNUMBER(SEARCH("ecological",P794)),ISNUMBER(SEARCH("biodiversity",P794)),ISNUMBER(SEARCH("green cover",P794))),"Environment",IF(OR(ISNUMBER(SEARCH("irrigation",P794)),ISNUMBER(SEARCH("water",P794)),ISNUMBER(SEARCH("crop",P794)),ISNUMBER(SEARCH("farmer",P794)),ISNUMBER(SEARCH("agriculture",P794))),"Agriculture &amp; water",IF(OR(ISNUMBER(SEARCH("health",P794)),ISNUMBER(SEARCH("hospital",P794)),ISNUMBER(SEARCH("medicine",P794))),"Public health",IF(OR(ISNUMBER(SEARCH("employee",P794)),ISNUMBER(SEARCH("labour",P794)),ISNUMBER(SEARCH("worker",P794)),ISNUMBER(SEARCH("salary",P794))),"Labour &amp; employment",IF(OR(ISNUMBER(SEARCH("rti",P794)),ISNUMBER(SEARCH("transparency",P794)),ISNUMBER(SEARCH("corruption",P794)),ISNUMBER(SEARCH("governance",P794))),"Governance &amp; transparency",IF(OR(ISNUMBER(SEARCH("police",P794)),ISNUMBER(SEARCH("detention",P794)),ISNUMBER(SEARCH("civil rights",P794)),ISNUMBER(SEARCH("justice",P794))),"Civil rights &amp; justice",IF(OR(ISNUMBER(SEARCH("road",P794)),ISNUMBER(SEARCH("utility",P794)),ISNUMBER(SEARCH("infrastructure",P794)),ISNUMBER(SEARCH("public service",P794))),"Infrastructure &amp; public services","Other"))))))))))))</x:f>
      </x:c>
      <x:c r="J794" s="16" t="str">
        <x:f>IF(A794="","",IF(OR(ISNUMBER(SEARCH("fatal",Q794)),ISNUMBER(SEARCH("death",Q794)),ISNUMBER(SEARCH("riot",Q794)),ISNUMBER(SEARCH("curfew",Q794)),ISNUMBER(SEARCH("internet shutdown",Q794))),5,MIN(4,1+IF(H794&gt;=7,1,0)+IF(OR(ISNUMBER(SEARCH("hunger strike",Q794)),ISNUMBER(SEARCH("blockade",Q794)),ISNUMBER(SEARCH("strike",Q794)),ISNUMBER(SEARCH("jal satyagraha",Q794)),ISNUMBER(SEARCH("survey",Q794)),ISNUMBER(SEARCH("human chain",Q794)),ISNUMBER(SEARCH("march",Q794))),1,0)+IF(OR(ISNUMBER(SEARCH("fir",Q794)),ISNUMBER(SEARCH("confrontation",Q794)),ISNUMBER(SEARCH("violence",Q794)),ISNUMBER(SEARCH("detention",Q794)),ISNUMBER(SEARCH("arrest",Q794)),ISNUMBER(SEARCH("demolition",Q794)),ISNUMBER(SEARCH("injury",Q794))),1,0)+IF(OR(D794="Ongoing",D794="Unresolved"),1,0))))</x:f>
      </x:c>
      <x:c r="K794" s="16" t="str">
        <x:f>IF(J794="","",IF(J794=1,"Limited",IF(J794=2,"Local",IF(J794=3,"Significant",IF(J794=4,"High","Critical")))))</x:f>
      </x:c>
      <x:c r="L794" s="16" t="str">
        <x:f>IF(A794="","",Events!U793)</x:f>
      </x:c>
      <x:c r="M794" s="16" t="str">
        <x:f>IF(A794="","",Events!V793)</x:f>
      </x:c>
      <x:c r="N794" s="16" t="str">
        <x:f>IF(A794="","",Events!Q793)</x:f>
      </x:c>
      <x:c r="O794" s="16" t="str">
        <x:f>IF(A794="","",Events!R793)</x:f>
      </x:c>
      <x:c r="P794" s="16" t="str">
        <x:f>IF(A794="","",LOWER(Events!B793&amp;" "&amp;Events!D793&amp;" "&amp;Events!K793))</x:f>
      </x:c>
      <x:c r="Q794" s="16" t="str">
        <x:f>IF(A794="","",LOWER(Events!C793&amp;" "&amp;Events!K793&amp;" "&amp;Events!T793))</x:f>
      </x:c>
      <x:c r="R794" s="16" t="str">
        <x:f>IF(A794="","",IF(ISNUMBER(SEARCH("Occurrence verified",E794)),"Occurrence verified",E794))</x:f>
      </x:c>
      <x:c r="S794" s="79" t="str">
        <x:f>IF(A794="","",Events!X793)</x:f>
      </x:c>
      <x:c r="Z794" s="79" t="str">
        <x:f>IF(A794="","",Events!AD793)</x:f>
      </x:c>
      <x:c r="AA794" s="79" t="str">
        <x:f>IF(A794="","",Events!AE793)</x:f>
      </x:c>
    </x:row>
    <x:row r="795">
      <x:c r="A795" s="16" t="str">
        <x:f>IF(Events!A794="","",Events!A794)</x:f>
      </x:c>
      <x:c r="B795" s="16" t="str">
        <x:f>IF(A795="","",Events!B794)</x:f>
      </x:c>
      <x:c r="C795" s="16" t="str">
        <x:f>IF(A795="","",Events!E794)</x:f>
      </x:c>
      <x:c r="D795" s="16" t="str">
        <x:f>IF(A795="","",Events!J794)</x:f>
      </x:c>
      <x:c r="E795" s="16" t="str">
        <x:f>IF(A795="","",Events!N794)</x:f>
      </x:c>
      <x:c r="F795" s="109" t="str">
        <x:f>IF(OR(A795="",Events!H794=""),"",Events!H794)</x:f>
      </x:c>
      <x:c r="G795" s="109" t="str">
        <x:f>IF(A795="","",IF(Events!I794&lt;&gt;"",Events!I794,IF(Events!S794&lt;&gt;"",Events!S794,"")))</x:f>
      </x:c>
      <x:c r="H795" s="16" t="str">
        <x:f>IF(A795="","",Events!W794)</x:f>
      </x:c>
      <x:c r="I795" s="16" t="str">
        <x:f>IF(A795="","",IF(Events!Y794&lt;&gt;"",Events!Y794,IF(OR(ISNUMBER(SEARCH("education",P795)),ISNUMBER(SEARCH("exam",P795)),ISNUMBER(SEARCH("school",P795))),"Education",IF(OR(ISNUMBER(SEARCH("trade agreement",P795)),ISNUMBER(SEARCH("economic",P795)),ISNUMBER(SEARCH("import",P795))),"Trade &amp; economic policy",IF(OR(ISNUMBER(SEARCH("land acquisition",P795)),ISNUMBER(SEARCH("rehabilitation",P795)),ISNUMBER(SEARCH("displacement",P795)),ISNUMBER(SEARCH("township",P795))),"Land &amp; rehabilitation",IF(OR(ISNUMBER(SEARCH("forest",P795)),ISNUMBER(SEARCH("environment",P795)),ISNUMBER(SEARCH("ecological",P795)),ISNUMBER(SEARCH("biodiversity",P795)),ISNUMBER(SEARCH("green cover",P795))),"Environment",IF(OR(ISNUMBER(SEARCH("irrigation",P795)),ISNUMBER(SEARCH("water",P795)),ISNUMBER(SEARCH("crop",P795)),ISNUMBER(SEARCH("farmer",P795)),ISNUMBER(SEARCH("agriculture",P795))),"Agriculture &amp; water",IF(OR(ISNUMBER(SEARCH("health",P795)),ISNUMBER(SEARCH("hospital",P795)),ISNUMBER(SEARCH("medicine",P795))),"Public health",IF(OR(ISNUMBER(SEARCH("employee",P795)),ISNUMBER(SEARCH("labour",P795)),ISNUMBER(SEARCH("worker",P795)),ISNUMBER(SEARCH("salary",P795))),"Labour &amp; employment",IF(OR(ISNUMBER(SEARCH("rti",P795)),ISNUMBER(SEARCH("transparency",P795)),ISNUMBER(SEARCH("corruption",P795)),ISNUMBER(SEARCH("governance",P795))),"Governance &amp; transparency",IF(OR(ISNUMBER(SEARCH("police",P795)),ISNUMBER(SEARCH("detention",P795)),ISNUMBER(SEARCH("civil rights",P795)),ISNUMBER(SEARCH("justice",P795))),"Civil rights &amp; justice",IF(OR(ISNUMBER(SEARCH("road",P795)),ISNUMBER(SEARCH("utility",P795)),ISNUMBER(SEARCH("infrastructure",P795)),ISNUMBER(SEARCH("public service",P795))),"Infrastructure &amp; public services","Other"))))))))))))</x:f>
      </x:c>
      <x:c r="J795" s="16" t="str">
        <x:f>IF(A795="","",IF(OR(ISNUMBER(SEARCH("fatal",Q795)),ISNUMBER(SEARCH("death",Q795)),ISNUMBER(SEARCH("riot",Q795)),ISNUMBER(SEARCH("curfew",Q795)),ISNUMBER(SEARCH("internet shutdown",Q795))),5,MIN(4,1+IF(H795&gt;=7,1,0)+IF(OR(ISNUMBER(SEARCH("hunger strike",Q795)),ISNUMBER(SEARCH("blockade",Q795)),ISNUMBER(SEARCH("strike",Q795)),ISNUMBER(SEARCH("jal satyagraha",Q795)),ISNUMBER(SEARCH("survey",Q795)),ISNUMBER(SEARCH("human chain",Q795)),ISNUMBER(SEARCH("march",Q795))),1,0)+IF(OR(ISNUMBER(SEARCH("fir",Q795)),ISNUMBER(SEARCH("confrontation",Q795)),ISNUMBER(SEARCH("violence",Q795)),ISNUMBER(SEARCH("detention",Q795)),ISNUMBER(SEARCH("arrest",Q795)),ISNUMBER(SEARCH("demolition",Q795)),ISNUMBER(SEARCH("injury",Q795))),1,0)+IF(OR(D795="Ongoing",D795="Unresolved"),1,0))))</x:f>
      </x:c>
      <x:c r="K795" s="16" t="str">
        <x:f>IF(J795="","",IF(J795=1,"Limited",IF(J795=2,"Local",IF(J795=3,"Significant",IF(J795=4,"High","Critical")))))</x:f>
      </x:c>
      <x:c r="L795" s="16" t="str">
        <x:f>IF(A795="","",Events!U794)</x:f>
      </x:c>
      <x:c r="M795" s="16" t="str">
        <x:f>IF(A795="","",Events!V794)</x:f>
      </x:c>
      <x:c r="N795" s="16" t="str">
        <x:f>IF(A795="","",Events!Q794)</x:f>
      </x:c>
      <x:c r="O795" s="16" t="str">
        <x:f>IF(A795="","",Events!R794)</x:f>
      </x:c>
      <x:c r="P795" s="16" t="str">
        <x:f>IF(A795="","",LOWER(Events!B794&amp;" "&amp;Events!D794&amp;" "&amp;Events!K794))</x:f>
      </x:c>
      <x:c r="Q795" s="16" t="str">
        <x:f>IF(A795="","",LOWER(Events!C794&amp;" "&amp;Events!K794&amp;" "&amp;Events!T794))</x:f>
      </x:c>
      <x:c r="R795" s="16" t="str">
        <x:f>IF(A795="","",IF(ISNUMBER(SEARCH("Occurrence verified",E795)),"Occurrence verified",E795))</x:f>
      </x:c>
      <x:c r="S795" s="79" t="str">
        <x:f>IF(A795="","",Events!X794)</x:f>
      </x:c>
      <x:c r="Z795" s="79" t="str">
        <x:f>IF(A795="","",Events!AD794)</x:f>
      </x:c>
      <x:c r="AA795" s="79" t="str">
        <x:f>IF(A795="","",Events!AE794)</x:f>
      </x:c>
    </x:row>
    <x:row r="796">
      <x:c r="A796" s="16" t="str">
        <x:f>IF(Events!A795="","",Events!A795)</x:f>
      </x:c>
      <x:c r="B796" s="16" t="str">
        <x:f>IF(A796="","",Events!B795)</x:f>
      </x:c>
      <x:c r="C796" s="16" t="str">
        <x:f>IF(A796="","",Events!E795)</x:f>
      </x:c>
      <x:c r="D796" s="16" t="str">
        <x:f>IF(A796="","",Events!J795)</x:f>
      </x:c>
      <x:c r="E796" s="16" t="str">
        <x:f>IF(A796="","",Events!N795)</x:f>
      </x:c>
      <x:c r="F796" s="109" t="str">
        <x:f>IF(OR(A796="",Events!H795=""),"",Events!H795)</x:f>
      </x:c>
      <x:c r="G796" s="109" t="str">
        <x:f>IF(A796="","",IF(Events!I795&lt;&gt;"",Events!I795,IF(Events!S795&lt;&gt;"",Events!S795,"")))</x:f>
      </x:c>
      <x:c r="H796" s="16" t="str">
        <x:f>IF(A796="","",Events!W795)</x:f>
      </x:c>
      <x:c r="I796" s="16" t="str">
        <x:f>IF(A796="","",IF(Events!Y795&lt;&gt;"",Events!Y795,IF(OR(ISNUMBER(SEARCH("education",P796)),ISNUMBER(SEARCH("exam",P796)),ISNUMBER(SEARCH("school",P796))),"Education",IF(OR(ISNUMBER(SEARCH("trade agreement",P796)),ISNUMBER(SEARCH("economic",P796)),ISNUMBER(SEARCH("import",P796))),"Trade &amp; economic policy",IF(OR(ISNUMBER(SEARCH("land acquisition",P796)),ISNUMBER(SEARCH("rehabilitation",P796)),ISNUMBER(SEARCH("displacement",P796)),ISNUMBER(SEARCH("township",P796))),"Land &amp; rehabilitation",IF(OR(ISNUMBER(SEARCH("forest",P796)),ISNUMBER(SEARCH("environment",P796)),ISNUMBER(SEARCH("ecological",P796)),ISNUMBER(SEARCH("biodiversity",P796)),ISNUMBER(SEARCH("green cover",P796))),"Environment",IF(OR(ISNUMBER(SEARCH("irrigation",P796)),ISNUMBER(SEARCH("water",P796)),ISNUMBER(SEARCH("crop",P796)),ISNUMBER(SEARCH("farmer",P796)),ISNUMBER(SEARCH("agriculture",P796))),"Agriculture &amp; water",IF(OR(ISNUMBER(SEARCH("health",P796)),ISNUMBER(SEARCH("hospital",P796)),ISNUMBER(SEARCH("medicine",P796))),"Public health",IF(OR(ISNUMBER(SEARCH("employee",P796)),ISNUMBER(SEARCH("labour",P796)),ISNUMBER(SEARCH("worker",P796)),ISNUMBER(SEARCH("salary",P796))),"Labour &amp; employment",IF(OR(ISNUMBER(SEARCH("rti",P796)),ISNUMBER(SEARCH("transparency",P796)),ISNUMBER(SEARCH("corruption",P796)),ISNUMBER(SEARCH("governance",P796))),"Governance &amp; transparency",IF(OR(ISNUMBER(SEARCH("police",P796)),ISNUMBER(SEARCH("detention",P796)),ISNUMBER(SEARCH("civil rights",P796)),ISNUMBER(SEARCH("justice",P796))),"Civil rights &amp; justice",IF(OR(ISNUMBER(SEARCH("road",P796)),ISNUMBER(SEARCH("utility",P796)),ISNUMBER(SEARCH("infrastructure",P796)),ISNUMBER(SEARCH("public service",P796))),"Infrastructure &amp; public services","Other"))))))))))))</x:f>
      </x:c>
      <x:c r="J796" s="16" t="str">
        <x:f>IF(A796="","",IF(OR(ISNUMBER(SEARCH("fatal",Q796)),ISNUMBER(SEARCH("death",Q796)),ISNUMBER(SEARCH("riot",Q796)),ISNUMBER(SEARCH("curfew",Q796)),ISNUMBER(SEARCH("internet shutdown",Q796))),5,MIN(4,1+IF(H796&gt;=7,1,0)+IF(OR(ISNUMBER(SEARCH("hunger strike",Q796)),ISNUMBER(SEARCH("blockade",Q796)),ISNUMBER(SEARCH("strike",Q796)),ISNUMBER(SEARCH("jal satyagraha",Q796)),ISNUMBER(SEARCH("survey",Q796)),ISNUMBER(SEARCH("human chain",Q796)),ISNUMBER(SEARCH("march",Q796))),1,0)+IF(OR(ISNUMBER(SEARCH("fir",Q796)),ISNUMBER(SEARCH("confrontation",Q796)),ISNUMBER(SEARCH("violence",Q796)),ISNUMBER(SEARCH("detention",Q796)),ISNUMBER(SEARCH("arrest",Q796)),ISNUMBER(SEARCH("demolition",Q796)),ISNUMBER(SEARCH("injury",Q796))),1,0)+IF(OR(D796="Ongoing",D796="Unresolved"),1,0))))</x:f>
      </x:c>
      <x:c r="K796" s="16" t="str">
        <x:f>IF(J796="","",IF(J796=1,"Limited",IF(J796=2,"Local",IF(J796=3,"Significant",IF(J796=4,"High","Critical")))))</x:f>
      </x:c>
      <x:c r="L796" s="16" t="str">
        <x:f>IF(A796="","",Events!U795)</x:f>
      </x:c>
      <x:c r="M796" s="16" t="str">
        <x:f>IF(A796="","",Events!V795)</x:f>
      </x:c>
      <x:c r="N796" s="16" t="str">
        <x:f>IF(A796="","",Events!Q795)</x:f>
      </x:c>
      <x:c r="O796" s="16" t="str">
        <x:f>IF(A796="","",Events!R795)</x:f>
      </x:c>
      <x:c r="P796" s="16" t="str">
        <x:f>IF(A796="","",LOWER(Events!B795&amp;" "&amp;Events!D795&amp;" "&amp;Events!K795))</x:f>
      </x:c>
      <x:c r="Q796" s="16" t="str">
        <x:f>IF(A796="","",LOWER(Events!C795&amp;" "&amp;Events!K795&amp;" "&amp;Events!T795))</x:f>
      </x:c>
      <x:c r="R796" s="16" t="str">
        <x:f>IF(A796="","",IF(ISNUMBER(SEARCH("Occurrence verified",E796)),"Occurrence verified",E796))</x:f>
      </x:c>
      <x:c r="S796" s="79" t="str">
        <x:f>IF(A796="","",Events!X795)</x:f>
      </x:c>
      <x:c r="Z796" s="79" t="str">
        <x:f>IF(A796="","",Events!AD795)</x:f>
      </x:c>
      <x:c r="AA796" s="79" t="str">
        <x:f>IF(A796="","",Events!AE795)</x:f>
      </x:c>
    </x:row>
    <x:row r="797">
      <x:c r="A797" s="16" t="str">
        <x:f>IF(Events!A796="","",Events!A796)</x:f>
      </x:c>
      <x:c r="B797" s="16" t="str">
        <x:f>IF(A797="","",Events!B796)</x:f>
      </x:c>
      <x:c r="C797" s="16" t="str">
        <x:f>IF(A797="","",Events!E796)</x:f>
      </x:c>
      <x:c r="D797" s="16" t="str">
        <x:f>IF(A797="","",Events!J796)</x:f>
      </x:c>
      <x:c r="E797" s="16" t="str">
        <x:f>IF(A797="","",Events!N796)</x:f>
      </x:c>
      <x:c r="F797" s="109" t="str">
        <x:f>IF(OR(A797="",Events!H796=""),"",Events!H796)</x:f>
      </x:c>
      <x:c r="G797" s="109" t="str">
        <x:f>IF(A797="","",IF(Events!I796&lt;&gt;"",Events!I796,IF(Events!S796&lt;&gt;"",Events!S796,"")))</x:f>
      </x:c>
      <x:c r="H797" s="16" t="str">
        <x:f>IF(A797="","",Events!W796)</x:f>
      </x:c>
      <x:c r="I797" s="16" t="str">
        <x:f>IF(A797="","",IF(Events!Y796&lt;&gt;"",Events!Y796,IF(OR(ISNUMBER(SEARCH("education",P797)),ISNUMBER(SEARCH("exam",P797)),ISNUMBER(SEARCH("school",P797))),"Education",IF(OR(ISNUMBER(SEARCH("trade agreement",P797)),ISNUMBER(SEARCH("economic",P797)),ISNUMBER(SEARCH("import",P797))),"Trade &amp; economic policy",IF(OR(ISNUMBER(SEARCH("land acquisition",P797)),ISNUMBER(SEARCH("rehabilitation",P797)),ISNUMBER(SEARCH("displacement",P797)),ISNUMBER(SEARCH("township",P797))),"Land &amp; rehabilitation",IF(OR(ISNUMBER(SEARCH("forest",P797)),ISNUMBER(SEARCH("environment",P797)),ISNUMBER(SEARCH("ecological",P797)),ISNUMBER(SEARCH("biodiversity",P797)),ISNUMBER(SEARCH("green cover",P797))),"Environment",IF(OR(ISNUMBER(SEARCH("irrigation",P797)),ISNUMBER(SEARCH("water",P797)),ISNUMBER(SEARCH("crop",P797)),ISNUMBER(SEARCH("farmer",P797)),ISNUMBER(SEARCH("agriculture",P797))),"Agriculture &amp; water",IF(OR(ISNUMBER(SEARCH("health",P797)),ISNUMBER(SEARCH("hospital",P797)),ISNUMBER(SEARCH("medicine",P797))),"Public health",IF(OR(ISNUMBER(SEARCH("employee",P797)),ISNUMBER(SEARCH("labour",P797)),ISNUMBER(SEARCH("worker",P797)),ISNUMBER(SEARCH("salary",P797))),"Labour &amp; employment",IF(OR(ISNUMBER(SEARCH("rti",P797)),ISNUMBER(SEARCH("transparency",P797)),ISNUMBER(SEARCH("corruption",P797)),ISNUMBER(SEARCH("governance",P797))),"Governance &amp; transparency",IF(OR(ISNUMBER(SEARCH("police",P797)),ISNUMBER(SEARCH("detention",P797)),ISNUMBER(SEARCH("civil rights",P797)),ISNUMBER(SEARCH("justice",P797))),"Civil rights &amp; justice",IF(OR(ISNUMBER(SEARCH("road",P797)),ISNUMBER(SEARCH("utility",P797)),ISNUMBER(SEARCH("infrastructure",P797)),ISNUMBER(SEARCH("public service",P797))),"Infrastructure &amp; public services","Other"))))))))))))</x:f>
      </x:c>
      <x:c r="J797" s="16" t="str">
        <x:f>IF(A797="","",IF(OR(ISNUMBER(SEARCH("fatal",Q797)),ISNUMBER(SEARCH("death",Q797)),ISNUMBER(SEARCH("riot",Q797)),ISNUMBER(SEARCH("curfew",Q797)),ISNUMBER(SEARCH("internet shutdown",Q797))),5,MIN(4,1+IF(H797&gt;=7,1,0)+IF(OR(ISNUMBER(SEARCH("hunger strike",Q797)),ISNUMBER(SEARCH("blockade",Q797)),ISNUMBER(SEARCH("strike",Q797)),ISNUMBER(SEARCH("jal satyagraha",Q797)),ISNUMBER(SEARCH("survey",Q797)),ISNUMBER(SEARCH("human chain",Q797)),ISNUMBER(SEARCH("march",Q797))),1,0)+IF(OR(ISNUMBER(SEARCH("fir",Q797)),ISNUMBER(SEARCH("confrontation",Q797)),ISNUMBER(SEARCH("violence",Q797)),ISNUMBER(SEARCH("detention",Q797)),ISNUMBER(SEARCH("arrest",Q797)),ISNUMBER(SEARCH("demolition",Q797)),ISNUMBER(SEARCH("injury",Q797))),1,0)+IF(OR(D797="Ongoing",D797="Unresolved"),1,0))))</x:f>
      </x:c>
      <x:c r="K797" s="16" t="str">
        <x:f>IF(J797="","",IF(J797=1,"Limited",IF(J797=2,"Local",IF(J797=3,"Significant",IF(J797=4,"High","Critical")))))</x:f>
      </x:c>
      <x:c r="L797" s="16" t="str">
        <x:f>IF(A797="","",Events!U796)</x:f>
      </x:c>
      <x:c r="M797" s="16" t="str">
        <x:f>IF(A797="","",Events!V796)</x:f>
      </x:c>
      <x:c r="N797" s="16" t="str">
        <x:f>IF(A797="","",Events!Q796)</x:f>
      </x:c>
      <x:c r="O797" s="16" t="str">
        <x:f>IF(A797="","",Events!R796)</x:f>
      </x:c>
      <x:c r="P797" s="16" t="str">
        <x:f>IF(A797="","",LOWER(Events!B796&amp;" "&amp;Events!D796&amp;" "&amp;Events!K796))</x:f>
      </x:c>
      <x:c r="Q797" s="16" t="str">
        <x:f>IF(A797="","",LOWER(Events!C796&amp;" "&amp;Events!K796&amp;" "&amp;Events!T796))</x:f>
      </x:c>
      <x:c r="R797" s="16" t="str">
        <x:f>IF(A797="","",IF(ISNUMBER(SEARCH("Occurrence verified",E797)),"Occurrence verified",E797))</x:f>
      </x:c>
      <x:c r="S797" s="79" t="str">
        <x:f>IF(A797="","",Events!X796)</x:f>
      </x:c>
      <x:c r="Z797" s="79" t="str">
        <x:f>IF(A797="","",Events!AD796)</x:f>
      </x:c>
      <x:c r="AA797" s="79" t="str">
        <x:f>IF(A797="","",Events!AE796)</x:f>
      </x:c>
    </x:row>
    <x:row r="798">
      <x:c r="A798" s="16" t="str">
        <x:f>IF(Events!A797="","",Events!A797)</x:f>
      </x:c>
      <x:c r="B798" s="16" t="str">
        <x:f>IF(A798="","",Events!B797)</x:f>
      </x:c>
      <x:c r="C798" s="16" t="str">
        <x:f>IF(A798="","",Events!E797)</x:f>
      </x:c>
      <x:c r="D798" s="16" t="str">
        <x:f>IF(A798="","",Events!J797)</x:f>
      </x:c>
      <x:c r="E798" s="16" t="str">
        <x:f>IF(A798="","",Events!N797)</x:f>
      </x:c>
      <x:c r="F798" s="109" t="str">
        <x:f>IF(OR(A798="",Events!H797=""),"",Events!H797)</x:f>
      </x:c>
      <x:c r="G798" s="109" t="str">
        <x:f>IF(A798="","",IF(Events!I797&lt;&gt;"",Events!I797,IF(Events!S797&lt;&gt;"",Events!S797,"")))</x:f>
      </x:c>
      <x:c r="H798" s="16" t="str">
        <x:f>IF(A798="","",Events!W797)</x:f>
      </x:c>
      <x:c r="I798" s="16" t="str">
        <x:f>IF(A798="","",IF(Events!Y797&lt;&gt;"",Events!Y797,IF(OR(ISNUMBER(SEARCH("education",P798)),ISNUMBER(SEARCH("exam",P798)),ISNUMBER(SEARCH("school",P798))),"Education",IF(OR(ISNUMBER(SEARCH("trade agreement",P798)),ISNUMBER(SEARCH("economic",P798)),ISNUMBER(SEARCH("import",P798))),"Trade &amp; economic policy",IF(OR(ISNUMBER(SEARCH("land acquisition",P798)),ISNUMBER(SEARCH("rehabilitation",P798)),ISNUMBER(SEARCH("displacement",P798)),ISNUMBER(SEARCH("township",P798))),"Land &amp; rehabilitation",IF(OR(ISNUMBER(SEARCH("forest",P798)),ISNUMBER(SEARCH("environment",P798)),ISNUMBER(SEARCH("ecological",P798)),ISNUMBER(SEARCH("biodiversity",P798)),ISNUMBER(SEARCH("green cover",P798))),"Environment",IF(OR(ISNUMBER(SEARCH("irrigation",P798)),ISNUMBER(SEARCH("water",P798)),ISNUMBER(SEARCH("crop",P798)),ISNUMBER(SEARCH("farmer",P798)),ISNUMBER(SEARCH("agriculture",P798))),"Agriculture &amp; water",IF(OR(ISNUMBER(SEARCH("health",P798)),ISNUMBER(SEARCH("hospital",P798)),ISNUMBER(SEARCH("medicine",P798))),"Public health",IF(OR(ISNUMBER(SEARCH("employee",P798)),ISNUMBER(SEARCH("labour",P798)),ISNUMBER(SEARCH("worker",P798)),ISNUMBER(SEARCH("salary",P798))),"Labour &amp; employment",IF(OR(ISNUMBER(SEARCH("rti",P798)),ISNUMBER(SEARCH("transparency",P798)),ISNUMBER(SEARCH("corruption",P798)),ISNUMBER(SEARCH("governance",P798))),"Governance &amp; transparency",IF(OR(ISNUMBER(SEARCH("police",P798)),ISNUMBER(SEARCH("detention",P798)),ISNUMBER(SEARCH("civil rights",P798)),ISNUMBER(SEARCH("justice",P798))),"Civil rights &amp; justice",IF(OR(ISNUMBER(SEARCH("road",P798)),ISNUMBER(SEARCH("utility",P798)),ISNUMBER(SEARCH("infrastructure",P798)),ISNUMBER(SEARCH("public service",P798))),"Infrastructure &amp; public services","Other"))))))))))))</x:f>
      </x:c>
      <x:c r="J798" s="16" t="str">
        <x:f>IF(A798="","",IF(OR(ISNUMBER(SEARCH("fatal",Q798)),ISNUMBER(SEARCH("death",Q798)),ISNUMBER(SEARCH("riot",Q798)),ISNUMBER(SEARCH("curfew",Q798)),ISNUMBER(SEARCH("internet shutdown",Q798))),5,MIN(4,1+IF(H798&gt;=7,1,0)+IF(OR(ISNUMBER(SEARCH("hunger strike",Q798)),ISNUMBER(SEARCH("blockade",Q798)),ISNUMBER(SEARCH("strike",Q798)),ISNUMBER(SEARCH("jal satyagraha",Q798)),ISNUMBER(SEARCH("survey",Q798)),ISNUMBER(SEARCH("human chain",Q798)),ISNUMBER(SEARCH("march",Q798))),1,0)+IF(OR(ISNUMBER(SEARCH("fir",Q798)),ISNUMBER(SEARCH("confrontation",Q798)),ISNUMBER(SEARCH("violence",Q798)),ISNUMBER(SEARCH("detention",Q798)),ISNUMBER(SEARCH("arrest",Q798)),ISNUMBER(SEARCH("demolition",Q798)),ISNUMBER(SEARCH("injury",Q798))),1,0)+IF(OR(D798="Ongoing",D798="Unresolved"),1,0))))</x:f>
      </x:c>
      <x:c r="K798" s="16" t="str">
        <x:f>IF(J798="","",IF(J798=1,"Limited",IF(J798=2,"Local",IF(J798=3,"Significant",IF(J798=4,"High","Critical")))))</x:f>
      </x:c>
      <x:c r="L798" s="16" t="str">
        <x:f>IF(A798="","",Events!U797)</x:f>
      </x:c>
      <x:c r="M798" s="16" t="str">
        <x:f>IF(A798="","",Events!V797)</x:f>
      </x:c>
      <x:c r="N798" s="16" t="str">
        <x:f>IF(A798="","",Events!Q797)</x:f>
      </x:c>
      <x:c r="O798" s="16" t="str">
        <x:f>IF(A798="","",Events!R797)</x:f>
      </x:c>
      <x:c r="P798" s="16" t="str">
        <x:f>IF(A798="","",LOWER(Events!B797&amp;" "&amp;Events!D797&amp;" "&amp;Events!K797))</x:f>
      </x:c>
      <x:c r="Q798" s="16" t="str">
        <x:f>IF(A798="","",LOWER(Events!C797&amp;" "&amp;Events!K797&amp;" "&amp;Events!T797))</x:f>
      </x:c>
      <x:c r="R798" s="16" t="str">
        <x:f>IF(A798="","",IF(ISNUMBER(SEARCH("Occurrence verified",E798)),"Occurrence verified",E798))</x:f>
      </x:c>
      <x:c r="S798" s="79" t="str">
        <x:f>IF(A798="","",Events!X797)</x:f>
      </x:c>
      <x:c r="Z798" s="79" t="str">
        <x:f>IF(A798="","",Events!AD797)</x:f>
      </x:c>
      <x:c r="AA798" s="79" t="str">
        <x:f>IF(A798="","",Events!AE797)</x:f>
      </x:c>
    </x:row>
    <x:row r="799">
      <x:c r="A799" s="16" t="str">
        <x:f>IF(Events!A798="","",Events!A798)</x:f>
      </x:c>
      <x:c r="B799" s="16" t="str">
        <x:f>IF(A799="","",Events!B798)</x:f>
      </x:c>
      <x:c r="C799" s="16" t="str">
        <x:f>IF(A799="","",Events!E798)</x:f>
      </x:c>
      <x:c r="D799" s="16" t="str">
        <x:f>IF(A799="","",Events!J798)</x:f>
      </x:c>
      <x:c r="E799" s="16" t="str">
        <x:f>IF(A799="","",Events!N798)</x:f>
      </x:c>
      <x:c r="F799" s="109" t="str">
        <x:f>IF(OR(A799="",Events!H798=""),"",Events!H798)</x:f>
      </x:c>
      <x:c r="G799" s="109" t="str">
        <x:f>IF(A799="","",IF(Events!I798&lt;&gt;"",Events!I798,IF(Events!S798&lt;&gt;"",Events!S798,"")))</x:f>
      </x:c>
      <x:c r="H799" s="16" t="str">
        <x:f>IF(A799="","",Events!W798)</x:f>
      </x:c>
      <x:c r="I799" s="16" t="str">
        <x:f>IF(A799="","",IF(Events!Y798&lt;&gt;"",Events!Y798,IF(OR(ISNUMBER(SEARCH("education",P799)),ISNUMBER(SEARCH("exam",P799)),ISNUMBER(SEARCH("school",P799))),"Education",IF(OR(ISNUMBER(SEARCH("trade agreement",P799)),ISNUMBER(SEARCH("economic",P799)),ISNUMBER(SEARCH("import",P799))),"Trade &amp; economic policy",IF(OR(ISNUMBER(SEARCH("land acquisition",P799)),ISNUMBER(SEARCH("rehabilitation",P799)),ISNUMBER(SEARCH("displacement",P799)),ISNUMBER(SEARCH("township",P799))),"Land &amp; rehabilitation",IF(OR(ISNUMBER(SEARCH("forest",P799)),ISNUMBER(SEARCH("environment",P799)),ISNUMBER(SEARCH("ecological",P799)),ISNUMBER(SEARCH("biodiversity",P799)),ISNUMBER(SEARCH("green cover",P799))),"Environment",IF(OR(ISNUMBER(SEARCH("irrigation",P799)),ISNUMBER(SEARCH("water",P799)),ISNUMBER(SEARCH("crop",P799)),ISNUMBER(SEARCH("farmer",P799)),ISNUMBER(SEARCH("agriculture",P799))),"Agriculture &amp; water",IF(OR(ISNUMBER(SEARCH("health",P799)),ISNUMBER(SEARCH("hospital",P799)),ISNUMBER(SEARCH("medicine",P799))),"Public health",IF(OR(ISNUMBER(SEARCH("employee",P799)),ISNUMBER(SEARCH("labour",P799)),ISNUMBER(SEARCH("worker",P799)),ISNUMBER(SEARCH("salary",P799))),"Labour &amp; employment",IF(OR(ISNUMBER(SEARCH("rti",P799)),ISNUMBER(SEARCH("transparency",P799)),ISNUMBER(SEARCH("corruption",P799)),ISNUMBER(SEARCH("governance",P799))),"Governance &amp; transparency",IF(OR(ISNUMBER(SEARCH("police",P799)),ISNUMBER(SEARCH("detention",P799)),ISNUMBER(SEARCH("civil rights",P799)),ISNUMBER(SEARCH("justice",P799))),"Civil rights &amp; justice",IF(OR(ISNUMBER(SEARCH("road",P799)),ISNUMBER(SEARCH("utility",P799)),ISNUMBER(SEARCH("infrastructure",P799)),ISNUMBER(SEARCH("public service",P799))),"Infrastructure &amp; public services","Other"))))))))))))</x:f>
      </x:c>
      <x:c r="J799" s="16" t="str">
        <x:f>IF(A799="","",IF(OR(ISNUMBER(SEARCH("fatal",Q799)),ISNUMBER(SEARCH("death",Q799)),ISNUMBER(SEARCH("riot",Q799)),ISNUMBER(SEARCH("curfew",Q799)),ISNUMBER(SEARCH("internet shutdown",Q799))),5,MIN(4,1+IF(H799&gt;=7,1,0)+IF(OR(ISNUMBER(SEARCH("hunger strike",Q799)),ISNUMBER(SEARCH("blockade",Q799)),ISNUMBER(SEARCH("strike",Q799)),ISNUMBER(SEARCH("jal satyagraha",Q799)),ISNUMBER(SEARCH("survey",Q799)),ISNUMBER(SEARCH("human chain",Q799)),ISNUMBER(SEARCH("march",Q799))),1,0)+IF(OR(ISNUMBER(SEARCH("fir",Q799)),ISNUMBER(SEARCH("confrontation",Q799)),ISNUMBER(SEARCH("violence",Q799)),ISNUMBER(SEARCH("detention",Q799)),ISNUMBER(SEARCH("arrest",Q799)),ISNUMBER(SEARCH("demolition",Q799)),ISNUMBER(SEARCH("injury",Q799))),1,0)+IF(OR(D799="Ongoing",D799="Unresolved"),1,0))))</x:f>
      </x:c>
      <x:c r="K799" s="16" t="str">
        <x:f>IF(J799="","",IF(J799=1,"Limited",IF(J799=2,"Local",IF(J799=3,"Significant",IF(J799=4,"High","Critical")))))</x:f>
      </x:c>
      <x:c r="L799" s="16" t="str">
        <x:f>IF(A799="","",Events!U798)</x:f>
      </x:c>
      <x:c r="M799" s="16" t="str">
        <x:f>IF(A799="","",Events!V798)</x:f>
      </x:c>
      <x:c r="N799" s="16" t="str">
        <x:f>IF(A799="","",Events!Q798)</x:f>
      </x:c>
      <x:c r="O799" s="16" t="str">
        <x:f>IF(A799="","",Events!R798)</x:f>
      </x:c>
      <x:c r="P799" s="16" t="str">
        <x:f>IF(A799="","",LOWER(Events!B798&amp;" "&amp;Events!D798&amp;" "&amp;Events!K798))</x:f>
      </x:c>
      <x:c r="Q799" s="16" t="str">
        <x:f>IF(A799="","",LOWER(Events!C798&amp;" "&amp;Events!K798&amp;" "&amp;Events!T798))</x:f>
      </x:c>
      <x:c r="R799" s="16" t="str">
        <x:f>IF(A799="","",IF(ISNUMBER(SEARCH("Occurrence verified",E799)),"Occurrence verified",E799))</x:f>
      </x:c>
      <x:c r="S799" s="79" t="str">
        <x:f>IF(A799="","",Events!X798)</x:f>
      </x:c>
      <x:c r="Z799" s="79" t="str">
        <x:f>IF(A799="","",Events!AD798)</x:f>
      </x:c>
      <x:c r="AA799" s="79" t="str">
        <x:f>IF(A799="","",Events!AE798)</x:f>
      </x:c>
    </x:row>
    <x:row r="800">
      <x:c r="A800" s="16" t="str">
        <x:f>IF(Events!A799="","",Events!A799)</x:f>
      </x:c>
      <x:c r="B800" s="16" t="str">
        <x:f>IF(A800="","",Events!B799)</x:f>
      </x:c>
      <x:c r="C800" s="16" t="str">
        <x:f>IF(A800="","",Events!E799)</x:f>
      </x:c>
      <x:c r="D800" s="16" t="str">
        <x:f>IF(A800="","",Events!J799)</x:f>
      </x:c>
      <x:c r="E800" s="16" t="str">
        <x:f>IF(A800="","",Events!N799)</x:f>
      </x:c>
      <x:c r="F800" s="109" t="str">
        <x:f>IF(OR(A800="",Events!H799=""),"",Events!H799)</x:f>
      </x:c>
      <x:c r="G800" s="109" t="str">
        <x:f>IF(A800="","",IF(Events!I799&lt;&gt;"",Events!I799,IF(Events!S799&lt;&gt;"",Events!S799,"")))</x:f>
      </x:c>
      <x:c r="H800" s="16" t="str">
        <x:f>IF(A800="","",Events!W799)</x:f>
      </x:c>
      <x:c r="I800" s="16" t="str">
        <x:f>IF(A800="","",IF(Events!Y799&lt;&gt;"",Events!Y799,IF(OR(ISNUMBER(SEARCH("education",P800)),ISNUMBER(SEARCH("exam",P800)),ISNUMBER(SEARCH("school",P800))),"Education",IF(OR(ISNUMBER(SEARCH("trade agreement",P800)),ISNUMBER(SEARCH("economic",P800)),ISNUMBER(SEARCH("import",P800))),"Trade &amp; economic policy",IF(OR(ISNUMBER(SEARCH("land acquisition",P800)),ISNUMBER(SEARCH("rehabilitation",P800)),ISNUMBER(SEARCH("displacement",P800)),ISNUMBER(SEARCH("township",P800))),"Land &amp; rehabilitation",IF(OR(ISNUMBER(SEARCH("forest",P800)),ISNUMBER(SEARCH("environment",P800)),ISNUMBER(SEARCH("ecological",P800)),ISNUMBER(SEARCH("biodiversity",P800)),ISNUMBER(SEARCH("green cover",P800))),"Environment",IF(OR(ISNUMBER(SEARCH("irrigation",P800)),ISNUMBER(SEARCH("water",P800)),ISNUMBER(SEARCH("crop",P800)),ISNUMBER(SEARCH("farmer",P800)),ISNUMBER(SEARCH("agriculture",P800))),"Agriculture &amp; water",IF(OR(ISNUMBER(SEARCH("health",P800)),ISNUMBER(SEARCH("hospital",P800)),ISNUMBER(SEARCH("medicine",P800))),"Public health",IF(OR(ISNUMBER(SEARCH("employee",P800)),ISNUMBER(SEARCH("labour",P800)),ISNUMBER(SEARCH("worker",P800)),ISNUMBER(SEARCH("salary",P800))),"Labour &amp; employment",IF(OR(ISNUMBER(SEARCH("rti",P800)),ISNUMBER(SEARCH("transparency",P800)),ISNUMBER(SEARCH("corruption",P800)),ISNUMBER(SEARCH("governance",P800))),"Governance &amp; transparency",IF(OR(ISNUMBER(SEARCH("police",P800)),ISNUMBER(SEARCH("detention",P800)),ISNUMBER(SEARCH("civil rights",P800)),ISNUMBER(SEARCH("justice",P800))),"Civil rights &amp; justice",IF(OR(ISNUMBER(SEARCH("road",P800)),ISNUMBER(SEARCH("utility",P800)),ISNUMBER(SEARCH("infrastructure",P800)),ISNUMBER(SEARCH("public service",P800))),"Infrastructure &amp; public services","Other"))))))))))))</x:f>
      </x:c>
      <x:c r="J800" s="16" t="str">
        <x:f>IF(A800="","",IF(OR(ISNUMBER(SEARCH("fatal",Q800)),ISNUMBER(SEARCH("death",Q800)),ISNUMBER(SEARCH("riot",Q800)),ISNUMBER(SEARCH("curfew",Q800)),ISNUMBER(SEARCH("internet shutdown",Q800))),5,MIN(4,1+IF(H800&gt;=7,1,0)+IF(OR(ISNUMBER(SEARCH("hunger strike",Q800)),ISNUMBER(SEARCH("blockade",Q800)),ISNUMBER(SEARCH("strike",Q800)),ISNUMBER(SEARCH("jal satyagraha",Q800)),ISNUMBER(SEARCH("survey",Q800)),ISNUMBER(SEARCH("human chain",Q800)),ISNUMBER(SEARCH("march",Q800))),1,0)+IF(OR(ISNUMBER(SEARCH("fir",Q800)),ISNUMBER(SEARCH("confrontation",Q800)),ISNUMBER(SEARCH("violence",Q800)),ISNUMBER(SEARCH("detention",Q800)),ISNUMBER(SEARCH("arrest",Q800)),ISNUMBER(SEARCH("demolition",Q800)),ISNUMBER(SEARCH("injury",Q800))),1,0)+IF(OR(D800="Ongoing",D800="Unresolved"),1,0))))</x:f>
      </x:c>
      <x:c r="K800" s="16" t="str">
        <x:f>IF(J800="","",IF(J800=1,"Limited",IF(J800=2,"Local",IF(J800=3,"Significant",IF(J800=4,"High","Critical")))))</x:f>
      </x:c>
      <x:c r="L800" s="16" t="str">
        <x:f>IF(A800="","",Events!U799)</x:f>
      </x:c>
      <x:c r="M800" s="16" t="str">
        <x:f>IF(A800="","",Events!V799)</x:f>
      </x:c>
      <x:c r="N800" s="16" t="str">
        <x:f>IF(A800="","",Events!Q799)</x:f>
      </x:c>
      <x:c r="O800" s="16" t="str">
        <x:f>IF(A800="","",Events!R799)</x:f>
      </x:c>
      <x:c r="P800" s="16" t="str">
        <x:f>IF(A800="","",LOWER(Events!B799&amp;" "&amp;Events!D799&amp;" "&amp;Events!K799))</x:f>
      </x:c>
      <x:c r="Q800" s="16" t="str">
        <x:f>IF(A800="","",LOWER(Events!C799&amp;" "&amp;Events!K799&amp;" "&amp;Events!T799))</x:f>
      </x:c>
      <x:c r="R800" s="16" t="str">
        <x:f>IF(A800="","",IF(ISNUMBER(SEARCH("Occurrence verified",E800)),"Occurrence verified",E800))</x:f>
      </x:c>
      <x:c r="S800" s="79" t="str">
        <x:f>IF(A800="","",Events!X799)</x:f>
      </x:c>
      <x:c r="Z800" s="79" t="str">
        <x:f>IF(A800="","",Events!AD799)</x:f>
      </x:c>
      <x:c r="AA800" s="79" t="str">
        <x:f>IF(A800="","",Events!AE799)</x:f>
      </x:c>
    </x:row>
    <x:row r="801">
      <x:c r="A801" s="16" t="str">
        <x:f>IF(Events!A800="","",Events!A800)</x:f>
      </x:c>
      <x:c r="B801" s="16" t="str">
        <x:f>IF(A801="","",Events!B800)</x:f>
      </x:c>
      <x:c r="C801" s="16" t="str">
        <x:f>IF(A801="","",Events!E800)</x:f>
      </x:c>
      <x:c r="D801" s="16" t="str">
        <x:f>IF(A801="","",Events!J800)</x:f>
      </x:c>
      <x:c r="E801" s="16" t="str">
        <x:f>IF(A801="","",Events!N800)</x:f>
      </x:c>
      <x:c r="F801" s="109" t="str">
        <x:f>IF(OR(A801="",Events!H800=""),"",Events!H800)</x:f>
      </x:c>
      <x:c r="G801" s="109" t="str">
        <x:f>IF(A801="","",IF(Events!I800&lt;&gt;"",Events!I800,IF(Events!S800&lt;&gt;"",Events!S800,"")))</x:f>
      </x:c>
      <x:c r="H801" s="16" t="str">
        <x:f>IF(A801="","",Events!W800)</x:f>
      </x:c>
      <x:c r="I801" s="16" t="str">
        <x:f>IF(A801="","",IF(Events!Y800&lt;&gt;"",Events!Y800,IF(OR(ISNUMBER(SEARCH("education",P801)),ISNUMBER(SEARCH("exam",P801)),ISNUMBER(SEARCH("school",P801))),"Education",IF(OR(ISNUMBER(SEARCH("trade agreement",P801)),ISNUMBER(SEARCH("economic",P801)),ISNUMBER(SEARCH("import",P801))),"Trade &amp; economic policy",IF(OR(ISNUMBER(SEARCH("land acquisition",P801)),ISNUMBER(SEARCH("rehabilitation",P801)),ISNUMBER(SEARCH("displacement",P801)),ISNUMBER(SEARCH("township",P801))),"Land &amp; rehabilitation",IF(OR(ISNUMBER(SEARCH("forest",P801)),ISNUMBER(SEARCH("environment",P801)),ISNUMBER(SEARCH("ecological",P801)),ISNUMBER(SEARCH("biodiversity",P801)),ISNUMBER(SEARCH("green cover",P801))),"Environment",IF(OR(ISNUMBER(SEARCH("irrigation",P801)),ISNUMBER(SEARCH("water",P801)),ISNUMBER(SEARCH("crop",P801)),ISNUMBER(SEARCH("farmer",P801)),ISNUMBER(SEARCH("agriculture",P801))),"Agriculture &amp; water",IF(OR(ISNUMBER(SEARCH("health",P801)),ISNUMBER(SEARCH("hospital",P801)),ISNUMBER(SEARCH("medicine",P801))),"Public health",IF(OR(ISNUMBER(SEARCH("employee",P801)),ISNUMBER(SEARCH("labour",P801)),ISNUMBER(SEARCH("worker",P801)),ISNUMBER(SEARCH("salary",P801))),"Labour &amp; employment",IF(OR(ISNUMBER(SEARCH("rti",P801)),ISNUMBER(SEARCH("transparency",P801)),ISNUMBER(SEARCH("corruption",P801)),ISNUMBER(SEARCH("governance",P801))),"Governance &amp; transparency",IF(OR(ISNUMBER(SEARCH("police",P801)),ISNUMBER(SEARCH("detention",P801)),ISNUMBER(SEARCH("civil rights",P801)),ISNUMBER(SEARCH("justice",P801))),"Civil rights &amp; justice",IF(OR(ISNUMBER(SEARCH("road",P801)),ISNUMBER(SEARCH("utility",P801)),ISNUMBER(SEARCH("infrastructure",P801)),ISNUMBER(SEARCH("public service",P801))),"Infrastructure &amp; public services","Other"))))))))))))</x:f>
      </x:c>
      <x:c r="J801" s="16" t="str">
        <x:f>IF(A801="","",IF(OR(ISNUMBER(SEARCH("fatal",Q801)),ISNUMBER(SEARCH("death",Q801)),ISNUMBER(SEARCH("riot",Q801)),ISNUMBER(SEARCH("curfew",Q801)),ISNUMBER(SEARCH("internet shutdown",Q801))),5,MIN(4,1+IF(H801&gt;=7,1,0)+IF(OR(ISNUMBER(SEARCH("hunger strike",Q801)),ISNUMBER(SEARCH("blockade",Q801)),ISNUMBER(SEARCH("strike",Q801)),ISNUMBER(SEARCH("jal satyagraha",Q801)),ISNUMBER(SEARCH("survey",Q801)),ISNUMBER(SEARCH("human chain",Q801)),ISNUMBER(SEARCH("march",Q801))),1,0)+IF(OR(ISNUMBER(SEARCH("fir",Q801)),ISNUMBER(SEARCH("confrontation",Q801)),ISNUMBER(SEARCH("violence",Q801)),ISNUMBER(SEARCH("detention",Q801)),ISNUMBER(SEARCH("arrest",Q801)),ISNUMBER(SEARCH("demolition",Q801)),ISNUMBER(SEARCH("injury",Q801))),1,0)+IF(OR(D801="Ongoing",D801="Unresolved"),1,0))))</x:f>
      </x:c>
      <x:c r="K801" s="16" t="str">
        <x:f>IF(J801="","",IF(J801=1,"Limited",IF(J801=2,"Local",IF(J801=3,"Significant",IF(J801=4,"High","Critical")))))</x:f>
      </x:c>
      <x:c r="L801" s="16" t="str">
        <x:f>IF(A801="","",Events!U800)</x:f>
      </x:c>
      <x:c r="M801" s="16" t="str">
        <x:f>IF(A801="","",Events!V800)</x:f>
      </x:c>
      <x:c r="N801" s="16" t="str">
        <x:f>IF(A801="","",Events!Q800)</x:f>
      </x:c>
      <x:c r="O801" s="16" t="str">
        <x:f>IF(A801="","",Events!R800)</x:f>
      </x:c>
      <x:c r="P801" s="16" t="str">
        <x:f>IF(A801="","",LOWER(Events!B800&amp;" "&amp;Events!D800&amp;" "&amp;Events!K800))</x:f>
      </x:c>
      <x:c r="Q801" s="16" t="str">
        <x:f>IF(A801="","",LOWER(Events!C800&amp;" "&amp;Events!K800&amp;" "&amp;Events!T800))</x:f>
      </x:c>
      <x:c r="R801" s="16" t="str">
        <x:f>IF(A801="","",IF(ISNUMBER(SEARCH("Occurrence verified",E801)),"Occurrence verified",E801))</x:f>
      </x:c>
      <x:c r="S801" s="79" t="str">
        <x:f>IF(A801="","",Events!X800)</x:f>
      </x:c>
      <x:c r="Z801" s="79" t="str">
        <x:f>IF(A801="","",Events!AD800)</x:f>
      </x:c>
      <x:c r="AA801" s="79" t="str">
        <x:f>IF(A801="","",Events!AE800)</x:f>
      </x:c>
    </x:row>
    <x:row r="802">
      <x:c r="A802" s="16" t="str">
        <x:f>IF(Events!A801="","",Events!A801)</x:f>
      </x:c>
      <x:c r="B802" s="16" t="str">
        <x:f>IF(A802="","",Events!B801)</x:f>
      </x:c>
      <x:c r="C802" s="16" t="str">
        <x:f>IF(A802="","",Events!E801)</x:f>
      </x:c>
      <x:c r="D802" s="16" t="str">
        <x:f>IF(A802="","",Events!J801)</x:f>
      </x:c>
      <x:c r="E802" s="16" t="str">
        <x:f>IF(A802="","",Events!N801)</x:f>
      </x:c>
      <x:c r="F802" s="109" t="str">
        <x:f>IF(OR(A802="",Events!H801=""),"",Events!H801)</x:f>
      </x:c>
      <x:c r="G802" s="109" t="str">
        <x:f>IF(A802="","",IF(Events!I801&lt;&gt;"",Events!I801,IF(Events!S801&lt;&gt;"",Events!S801,"")))</x:f>
      </x:c>
      <x:c r="H802" s="16" t="str">
        <x:f>IF(A802="","",Events!W801)</x:f>
      </x:c>
      <x:c r="I802" s="16" t="str">
        <x:f>IF(A802="","",IF(Events!Y801&lt;&gt;"",Events!Y801,IF(OR(ISNUMBER(SEARCH("education",P802)),ISNUMBER(SEARCH("exam",P802)),ISNUMBER(SEARCH("school",P802))),"Education",IF(OR(ISNUMBER(SEARCH("trade agreement",P802)),ISNUMBER(SEARCH("economic",P802)),ISNUMBER(SEARCH("import",P802))),"Trade &amp; economic policy",IF(OR(ISNUMBER(SEARCH("land acquisition",P802)),ISNUMBER(SEARCH("rehabilitation",P802)),ISNUMBER(SEARCH("displacement",P802)),ISNUMBER(SEARCH("township",P802))),"Land &amp; rehabilitation",IF(OR(ISNUMBER(SEARCH("forest",P802)),ISNUMBER(SEARCH("environment",P802)),ISNUMBER(SEARCH("ecological",P802)),ISNUMBER(SEARCH("biodiversity",P802)),ISNUMBER(SEARCH("green cover",P802))),"Environment",IF(OR(ISNUMBER(SEARCH("irrigation",P802)),ISNUMBER(SEARCH("water",P802)),ISNUMBER(SEARCH("crop",P802)),ISNUMBER(SEARCH("farmer",P802)),ISNUMBER(SEARCH("agriculture",P802))),"Agriculture &amp; water",IF(OR(ISNUMBER(SEARCH("health",P802)),ISNUMBER(SEARCH("hospital",P802)),ISNUMBER(SEARCH("medicine",P802))),"Public health",IF(OR(ISNUMBER(SEARCH("employee",P802)),ISNUMBER(SEARCH("labour",P802)),ISNUMBER(SEARCH("worker",P802)),ISNUMBER(SEARCH("salary",P802))),"Labour &amp; employment",IF(OR(ISNUMBER(SEARCH("rti",P802)),ISNUMBER(SEARCH("transparency",P802)),ISNUMBER(SEARCH("corruption",P802)),ISNUMBER(SEARCH("governance",P802))),"Governance &amp; transparency",IF(OR(ISNUMBER(SEARCH("police",P802)),ISNUMBER(SEARCH("detention",P802)),ISNUMBER(SEARCH("civil rights",P802)),ISNUMBER(SEARCH("justice",P802))),"Civil rights &amp; justice",IF(OR(ISNUMBER(SEARCH("road",P802)),ISNUMBER(SEARCH("utility",P802)),ISNUMBER(SEARCH("infrastructure",P802)),ISNUMBER(SEARCH("public service",P802))),"Infrastructure &amp; public services","Other"))))))))))))</x:f>
      </x:c>
      <x:c r="J802" s="16" t="str">
        <x:f>IF(A802="","",IF(OR(ISNUMBER(SEARCH("fatal",Q802)),ISNUMBER(SEARCH("death",Q802)),ISNUMBER(SEARCH("riot",Q802)),ISNUMBER(SEARCH("curfew",Q802)),ISNUMBER(SEARCH("internet shutdown",Q802))),5,MIN(4,1+IF(H802&gt;=7,1,0)+IF(OR(ISNUMBER(SEARCH("hunger strike",Q802)),ISNUMBER(SEARCH("blockade",Q802)),ISNUMBER(SEARCH("strike",Q802)),ISNUMBER(SEARCH("jal satyagraha",Q802)),ISNUMBER(SEARCH("survey",Q802)),ISNUMBER(SEARCH("human chain",Q802)),ISNUMBER(SEARCH("march",Q802))),1,0)+IF(OR(ISNUMBER(SEARCH("fir",Q802)),ISNUMBER(SEARCH("confrontation",Q802)),ISNUMBER(SEARCH("violence",Q802)),ISNUMBER(SEARCH("detention",Q802)),ISNUMBER(SEARCH("arrest",Q802)),ISNUMBER(SEARCH("demolition",Q802)),ISNUMBER(SEARCH("injury",Q802))),1,0)+IF(OR(D802="Ongoing",D802="Unresolved"),1,0))))</x:f>
      </x:c>
      <x:c r="K802" s="16" t="str">
        <x:f>IF(J802="","",IF(J802=1,"Limited",IF(J802=2,"Local",IF(J802=3,"Significant",IF(J802=4,"High","Critical")))))</x:f>
      </x:c>
      <x:c r="L802" s="16" t="str">
        <x:f>IF(A802="","",Events!U801)</x:f>
      </x:c>
      <x:c r="M802" s="16" t="str">
        <x:f>IF(A802="","",Events!V801)</x:f>
      </x:c>
      <x:c r="N802" s="16" t="str">
        <x:f>IF(A802="","",Events!Q801)</x:f>
      </x:c>
      <x:c r="O802" s="16" t="str">
        <x:f>IF(A802="","",Events!R801)</x:f>
      </x:c>
      <x:c r="P802" s="16" t="str">
        <x:f>IF(A802="","",LOWER(Events!B801&amp;" "&amp;Events!D801&amp;" "&amp;Events!K801))</x:f>
      </x:c>
      <x:c r="Q802" s="16" t="str">
        <x:f>IF(A802="","",LOWER(Events!C801&amp;" "&amp;Events!K801&amp;" "&amp;Events!T801))</x:f>
      </x:c>
      <x:c r="R802" s="16" t="str">
        <x:f>IF(A802="","",IF(ISNUMBER(SEARCH("Occurrence verified",E802)),"Occurrence verified",E802))</x:f>
      </x:c>
      <x:c r="S802" s="79" t="str">
        <x:f>IF(A802="","",Events!X801)</x:f>
      </x:c>
      <x:c r="Z802" s="79" t="str">
        <x:f>IF(A802="","",Events!AD801)</x:f>
      </x:c>
      <x:c r="AA802" s="79" t="str">
        <x:f>IF(A802="","",Events!AE801)</x:f>
      </x:c>
    </x:row>
    <x:row r="803">
      <x:c r="A803" s="16" t="str">
        <x:f>IF(Events!A802="","",Events!A802)</x:f>
      </x:c>
      <x:c r="B803" s="16" t="str">
        <x:f>IF(A803="","",Events!B802)</x:f>
      </x:c>
      <x:c r="C803" s="16" t="str">
        <x:f>IF(A803="","",Events!E802)</x:f>
      </x:c>
      <x:c r="D803" s="16" t="str">
        <x:f>IF(A803="","",Events!J802)</x:f>
      </x:c>
      <x:c r="E803" s="16" t="str">
        <x:f>IF(A803="","",Events!N802)</x:f>
      </x:c>
      <x:c r="F803" s="109" t="str">
        <x:f>IF(OR(A803="",Events!H802=""),"",Events!H802)</x:f>
      </x:c>
      <x:c r="G803" s="109" t="str">
        <x:f>IF(A803="","",IF(Events!I802&lt;&gt;"",Events!I802,IF(Events!S802&lt;&gt;"",Events!S802,"")))</x:f>
      </x:c>
      <x:c r="H803" s="16" t="str">
        <x:f>IF(A803="","",Events!W802)</x:f>
      </x:c>
      <x:c r="I803" s="16" t="str">
        <x:f>IF(A803="","",IF(Events!Y802&lt;&gt;"",Events!Y802,IF(OR(ISNUMBER(SEARCH("education",P803)),ISNUMBER(SEARCH("exam",P803)),ISNUMBER(SEARCH("school",P803))),"Education",IF(OR(ISNUMBER(SEARCH("trade agreement",P803)),ISNUMBER(SEARCH("economic",P803)),ISNUMBER(SEARCH("import",P803))),"Trade &amp; economic policy",IF(OR(ISNUMBER(SEARCH("land acquisition",P803)),ISNUMBER(SEARCH("rehabilitation",P803)),ISNUMBER(SEARCH("displacement",P803)),ISNUMBER(SEARCH("township",P803))),"Land &amp; rehabilitation",IF(OR(ISNUMBER(SEARCH("forest",P803)),ISNUMBER(SEARCH("environment",P803)),ISNUMBER(SEARCH("ecological",P803)),ISNUMBER(SEARCH("biodiversity",P803)),ISNUMBER(SEARCH("green cover",P803))),"Environment",IF(OR(ISNUMBER(SEARCH("irrigation",P803)),ISNUMBER(SEARCH("water",P803)),ISNUMBER(SEARCH("crop",P803)),ISNUMBER(SEARCH("farmer",P803)),ISNUMBER(SEARCH("agriculture",P803))),"Agriculture &amp; water",IF(OR(ISNUMBER(SEARCH("health",P803)),ISNUMBER(SEARCH("hospital",P803)),ISNUMBER(SEARCH("medicine",P803))),"Public health",IF(OR(ISNUMBER(SEARCH("employee",P803)),ISNUMBER(SEARCH("labour",P803)),ISNUMBER(SEARCH("worker",P803)),ISNUMBER(SEARCH("salary",P803))),"Labour &amp; employment",IF(OR(ISNUMBER(SEARCH("rti",P803)),ISNUMBER(SEARCH("transparency",P803)),ISNUMBER(SEARCH("corruption",P803)),ISNUMBER(SEARCH("governance",P803))),"Governance &amp; transparency",IF(OR(ISNUMBER(SEARCH("police",P803)),ISNUMBER(SEARCH("detention",P803)),ISNUMBER(SEARCH("civil rights",P803)),ISNUMBER(SEARCH("justice",P803))),"Civil rights &amp; justice",IF(OR(ISNUMBER(SEARCH("road",P803)),ISNUMBER(SEARCH("utility",P803)),ISNUMBER(SEARCH("infrastructure",P803)),ISNUMBER(SEARCH("public service",P803))),"Infrastructure &amp; public services","Other"))))))))))))</x:f>
      </x:c>
      <x:c r="J803" s="16" t="str">
        <x:f>IF(A803="","",IF(OR(ISNUMBER(SEARCH("fatal",Q803)),ISNUMBER(SEARCH("death",Q803)),ISNUMBER(SEARCH("riot",Q803)),ISNUMBER(SEARCH("curfew",Q803)),ISNUMBER(SEARCH("internet shutdown",Q803))),5,MIN(4,1+IF(H803&gt;=7,1,0)+IF(OR(ISNUMBER(SEARCH("hunger strike",Q803)),ISNUMBER(SEARCH("blockade",Q803)),ISNUMBER(SEARCH("strike",Q803)),ISNUMBER(SEARCH("jal satyagraha",Q803)),ISNUMBER(SEARCH("survey",Q803)),ISNUMBER(SEARCH("human chain",Q803)),ISNUMBER(SEARCH("march",Q803))),1,0)+IF(OR(ISNUMBER(SEARCH("fir",Q803)),ISNUMBER(SEARCH("confrontation",Q803)),ISNUMBER(SEARCH("violence",Q803)),ISNUMBER(SEARCH("detention",Q803)),ISNUMBER(SEARCH("arrest",Q803)),ISNUMBER(SEARCH("demolition",Q803)),ISNUMBER(SEARCH("injury",Q803))),1,0)+IF(OR(D803="Ongoing",D803="Unresolved"),1,0))))</x:f>
      </x:c>
      <x:c r="K803" s="16" t="str">
        <x:f>IF(J803="","",IF(J803=1,"Limited",IF(J803=2,"Local",IF(J803=3,"Significant",IF(J803=4,"High","Critical")))))</x:f>
      </x:c>
      <x:c r="L803" s="16" t="str">
        <x:f>IF(A803="","",Events!U802)</x:f>
      </x:c>
      <x:c r="M803" s="16" t="str">
        <x:f>IF(A803="","",Events!V802)</x:f>
      </x:c>
      <x:c r="N803" s="16" t="str">
        <x:f>IF(A803="","",Events!Q802)</x:f>
      </x:c>
      <x:c r="O803" s="16" t="str">
        <x:f>IF(A803="","",Events!R802)</x:f>
      </x:c>
      <x:c r="P803" s="16" t="str">
        <x:f>IF(A803="","",LOWER(Events!B802&amp;" "&amp;Events!D802&amp;" "&amp;Events!K802))</x:f>
      </x:c>
      <x:c r="Q803" s="16" t="str">
        <x:f>IF(A803="","",LOWER(Events!C802&amp;" "&amp;Events!K802&amp;" "&amp;Events!T802))</x:f>
      </x:c>
      <x:c r="R803" s="16" t="str">
        <x:f>IF(A803="","",IF(ISNUMBER(SEARCH("Occurrence verified",E803)),"Occurrence verified",E803))</x:f>
      </x:c>
      <x:c r="S803" s="79" t="str">
        <x:f>IF(A803="","",Events!X802)</x:f>
      </x:c>
      <x:c r="Z803" s="79" t="str">
        <x:f>IF(A803="","",Events!AD802)</x:f>
      </x:c>
      <x:c r="AA803" s="79" t="str">
        <x:f>IF(A803="","",Events!AE802)</x:f>
      </x:c>
    </x:row>
    <x:row r="804">
      <x:c r="A804" s="16" t="str">
        <x:f>IF(Events!A803="","",Events!A803)</x:f>
      </x:c>
      <x:c r="B804" s="16" t="str">
        <x:f>IF(A804="","",Events!B803)</x:f>
      </x:c>
      <x:c r="C804" s="16" t="str">
        <x:f>IF(A804="","",Events!E803)</x:f>
      </x:c>
      <x:c r="D804" s="16" t="str">
        <x:f>IF(A804="","",Events!J803)</x:f>
      </x:c>
      <x:c r="E804" s="16" t="str">
        <x:f>IF(A804="","",Events!N803)</x:f>
      </x:c>
      <x:c r="F804" s="109" t="str">
        <x:f>IF(OR(A804="",Events!H803=""),"",Events!H803)</x:f>
      </x:c>
      <x:c r="G804" s="109" t="str">
        <x:f>IF(A804="","",IF(Events!I803&lt;&gt;"",Events!I803,IF(Events!S803&lt;&gt;"",Events!S803,"")))</x:f>
      </x:c>
      <x:c r="H804" s="16" t="str">
        <x:f>IF(A804="","",Events!W803)</x:f>
      </x:c>
      <x:c r="I804" s="16" t="str">
        <x:f>IF(A804="","",IF(Events!Y803&lt;&gt;"",Events!Y803,IF(OR(ISNUMBER(SEARCH("education",P804)),ISNUMBER(SEARCH("exam",P804)),ISNUMBER(SEARCH("school",P804))),"Education",IF(OR(ISNUMBER(SEARCH("trade agreement",P804)),ISNUMBER(SEARCH("economic",P804)),ISNUMBER(SEARCH("import",P804))),"Trade &amp; economic policy",IF(OR(ISNUMBER(SEARCH("land acquisition",P804)),ISNUMBER(SEARCH("rehabilitation",P804)),ISNUMBER(SEARCH("displacement",P804)),ISNUMBER(SEARCH("township",P804))),"Land &amp; rehabilitation",IF(OR(ISNUMBER(SEARCH("forest",P804)),ISNUMBER(SEARCH("environment",P804)),ISNUMBER(SEARCH("ecological",P804)),ISNUMBER(SEARCH("biodiversity",P804)),ISNUMBER(SEARCH("green cover",P804))),"Environment",IF(OR(ISNUMBER(SEARCH("irrigation",P804)),ISNUMBER(SEARCH("water",P804)),ISNUMBER(SEARCH("crop",P804)),ISNUMBER(SEARCH("farmer",P804)),ISNUMBER(SEARCH("agriculture",P804))),"Agriculture &amp; water",IF(OR(ISNUMBER(SEARCH("health",P804)),ISNUMBER(SEARCH("hospital",P804)),ISNUMBER(SEARCH("medicine",P804))),"Public health",IF(OR(ISNUMBER(SEARCH("employee",P804)),ISNUMBER(SEARCH("labour",P804)),ISNUMBER(SEARCH("worker",P804)),ISNUMBER(SEARCH("salary",P804))),"Labour &amp; employment",IF(OR(ISNUMBER(SEARCH("rti",P804)),ISNUMBER(SEARCH("transparency",P804)),ISNUMBER(SEARCH("corruption",P804)),ISNUMBER(SEARCH("governance",P804))),"Governance &amp; transparency",IF(OR(ISNUMBER(SEARCH("police",P804)),ISNUMBER(SEARCH("detention",P804)),ISNUMBER(SEARCH("civil rights",P804)),ISNUMBER(SEARCH("justice",P804))),"Civil rights &amp; justice",IF(OR(ISNUMBER(SEARCH("road",P804)),ISNUMBER(SEARCH("utility",P804)),ISNUMBER(SEARCH("infrastructure",P804)),ISNUMBER(SEARCH("public service",P804))),"Infrastructure &amp; public services","Other"))))))))))))</x:f>
      </x:c>
      <x:c r="J804" s="16" t="str">
        <x:f>IF(A804="","",IF(OR(ISNUMBER(SEARCH("fatal",Q804)),ISNUMBER(SEARCH("death",Q804)),ISNUMBER(SEARCH("riot",Q804)),ISNUMBER(SEARCH("curfew",Q804)),ISNUMBER(SEARCH("internet shutdown",Q804))),5,MIN(4,1+IF(H804&gt;=7,1,0)+IF(OR(ISNUMBER(SEARCH("hunger strike",Q804)),ISNUMBER(SEARCH("blockade",Q804)),ISNUMBER(SEARCH("strike",Q804)),ISNUMBER(SEARCH("jal satyagraha",Q804)),ISNUMBER(SEARCH("survey",Q804)),ISNUMBER(SEARCH("human chain",Q804)),ISNUMBER(SEARCH("march",Q804))),1,0)+IF(OR(ISNUMBER(SEARCH("fir",Q804)),ISNUMBER(SEARCH("confrontation",Q804)),ISNUMBER(SEARCH("violence",Q804)),ISNUMBER(SEARCH("detention",Q804)),ISNUMBER(SEARCH("arrest",Q804)),ISNUMBER(SEARCH("demolition",Q804)),ISNUMBER(SEARCH("injury",Q804))),1,0)+IF(OR(D804="Ongoing",D804="Unresolved"),1,0))))</x:f>
      </x:c>
      <x:c r="K804" s="16" t="str">
        <x:f>IF(J804="","",IF(J804=1,"Limited",IF(J804=2,"Local",IF(J804=3,"Significant",IF(J804=4,"High","Critical")))))</x:f>
      </x:c>
      <x:c r="L804" s="16" t="str">
        <x:f>IF(A804="","",Events!U803)</x:f>
      </x:c>
      <x:c r="M804" s="16" t="str">
        <x:f>IF(A804="","",Events!V803)</x:f>
      </x:c>
      <x:c r="N804" s="16" t="str">
        <x:f>IF(A804="","",Events!Q803)</x:f>
      </x:c>
      <x:c r="O804" s="16" t="str">
        <x:f>IF(A804="","",Events!R803)</x:f>
      </x:c>
      <x:c r="P804" s="16" t="str">
        <x:f>IF(A804="","",LOWER(Events!B803&amp;" "&amp;Events!D803&amp;" "&amp;Events!K803))</x:f>
      </x:c>
      <x:c r="Q804" s="16" t="str">
        <x:f>IF(A804="","",LOWER(Events!C803&amp;" "&amp;Events!K803&amp;" "&amp;Events!T803))</x:f>
      </x:c>
      <x:c r="R804" s="16" t="str">
        <x:f>IF(A804="","",IF(ISNUMBER(SEARCH("Occurrence verified",E804)),"Occurrence verified",E804))</x:f>
      </x:c>
      <x:c r="S804" s="79" t="str">
        <x:f>IF(A804="","",Events!X803)</x:f>
      </x:c>
      <x:c r="Z804" s="79" t="str">
        <x:f>IF(A804="","",Events!AD803)</x:f>
      </x:c>
      <x:c r="AA804" s="79" t="str">
        <x:f>IF(A804="","",Events!AE803)</x:f>
      </x:c>
    </x:row>
    <x:row r="805">
      <x:c r="A805" s="16" t="str">
        <x:f>IF(Events!A804="","",Events!A804)</x:f>
      </x:c>
      <x:c r="B805" s="16" t="str">
        <x:f>IF(A805="","",Events!B804)</x:f>
      </x:c>
      <x:c r="C805" s="16" t="str">
        <x:f>IF(A805="","",Events!E804)</x:f>
      </x:c>
      <x:c r="D805" s="16" t="str">
        <x:f>IF(A805="","",Events!J804)</x:f>
      </x:c>
      <x:c r="E805" s="16" t="str">
        <x:f>IF(A805="","",Events!N804)</x:f>
      </x:c>
      <x:c r="F805" s="109" t="str">
        <x:f>IF(OR(A805="",Events!H804=""),"",Events!H804)</x:f>
      </x:c>
      <x:c r="G805" s="109" t="str">
        <x:f>IF(A805="","",IF(Events!I804&lt;&gt;"",Events!I804,IF(Events!S804&lt;&gt;"",Events!S804,"")))</x:f>
      </x:c>
      <x:c r="H805" s="16" t="str">
        <x:f>IF(A805="","",Events!W804)</x:f>
      </x:c>
      <x:c r="I805" s="16" t="str">
        <x:f>IF(A805="","",IF(Events!Y804&lt;&gt;"",Events!Y804,IF(OR(ISNUMBER(SEARCH("education",P805)),ISNUMBER(SEARCH("exam",P805)),ISNUMBER(SEARCH("school",P805))),"Education",IF(OR(ISNUMBER(SEARCH("trade agreement",P805)),ISNUMBER(SEARCH("economic",P805)),ISNUMBER(SEARCH("import",P805))),"Trade &amp; economic policy",IF(OR(ISNUMBER(SEARCH("land acquisition",P805)),ISNUMBER(SEARCH("rehabilitation",P805)),ISNUMBER(SEARCH("displacement",P805)),ISNUMBER(SEARCH("township",P805))),"Land &amp; rehabilitation",IF(OR(ISNUMBER(SEARCH("forest",P805)),ISNUMBER(SEARCH("environment",P805)),ISNUMBER(SEARCH("ecological",P805)),ISNUMBER(SEARCH("biodiversity",P805)),ISNUMBER(SEARCH("green cover",P805))),"Environment",IF(OR(ISNUMBER(SEARCH("irrigation",P805)),ISNUMBER(SEARCH("water",P805)),ISNUMBER(SEARCH("crop",P805)),ISNUMBER(SEARCH("farmer",P805)),ISNUMBER(SEARCH("agriculture",P805))),"Agriculture &amp; water",IF(OR(ISNUMBER(SEARCH("health",P805)),ISNUMBER(SEARCH("hospital",P805)),ISNUMBER(SEARCH("medicine",P805))),"Public health",IF(OR(ISNUMBER(SEARCH("employee",P805)),ISNUMBER(SEARCH("labour",P805)),ISNUMBER(SEARCH("worker",P805)),ISNUMBER(SEARCH("salary",P805))),"Labour &amp; employment",IF(OR(ISNUMBER(SEARCH("rti",P805)),ISNUMBER(SEARCH("transparency",P805)),ISNUMBER(SEARCH("corruption",P805)),ISNUMBER(SEARCH("governance",P805))),"Governance &amp; transparency",IF(OR(ISNUMBER(SEARCH("police",P805)),ISNUMBER(SEARCH("detention",P805)),ISNUMBER(SEARCH("civil rights",P805)),ISNUMBER(SEARCH("justice",P805))),"Civil rights &amp; justice",IF(OR(ISNUMBER(SEARCH("road",P805)),ISNUMBER(SEARCH("utility",P805)),ISNUMBER(SEARCH("infrastructure",P805)),ISNUMBER(SEARCH("public service",P805))),"Infrastructure &amp; public services","Other"))))))))))))</x:f>
      </x:c>
      <x:c r="J805" s="16" t="str">
        <x:f>IF(A805="","",IF(OR(ISNUMBER(SEARCH("fatal",Q805)),ISNUMBER(SEARCH("death",Q805)),ISNUMBER(SEARCH("riot",Q805)),ISNUMBER(SEARCH("curfew",Q805)),ISNUMBER(SEARCH("internet shutdown",Q805))),5,MIN(4,1+IF(H805&gt;=7,1,0)+IF(OR(ISNUMBER(SEARCH("hunger strike",Q805)),ISNUMBER(SEARCH("blockade",Q805)),ISNUMBER(SEARCH("strike",Q805)),ISNUMBER(SEARCH("jal satyagraha",Q805)),ISNUMBER(SEARCH("survey",Q805)),ISNUMBER(SEARCH("human chain",Q805)),ISNUMBER(SEARCH("march",Q805))),1,0)+IF(OR(ISNUMBER(SEARCH("fir",Q805)),ISNUMBER(SEARCH("confrontation",Q805)),ISNUMBER(SEARCH("violence",Q805)),ISNUMBER(SEARCH("detention",Q805)),ISNUMBER(SEARCH("arrest",Q805)),ISNUMBER(SEARCH("demolition",Q805)),ISNUMBER(SEARCH("injury",Q805))),1,0)+IF(OR(D805="Ongoing",D805="Unresolved"),1,0))))</x:f>
      </x:c>
      <x:c r="K805" s="16" t="str">
        <x:f>IF(J805="","",IF(J805=1,"Limited",IF(J805=2,"Local",IF(J805=3,"Significant",IF(J805=4,"High","Critical")))))</x:f>
      </x:c>
      <x:c r="L805" s="16" t="str">
        <x:f>IF(A805="","",Events!U804)</x:f>
      </x:c>
      <x:c r="M805" s="16" t="str">
        <x:f>IF(A805="","",Events!V804)</x:f>
      </x:c>
      <x:c r="N805" s="16" t="str">
        <x:f>IF(A805="","",Events!Q804)</x:f>
      </x:c>
      <x:c r="O805" s="16" t="str">
        <x:f>IF(A805="","",Events!R804)</x:f>
      </x:c>
      <x:c r="P805" s="16" t="str">
        <x:f>IF(A805="","",LOWER(Events!B804&amp;" "&amp;Events!D804&amp;" "&amp;Events!K804))</x:f>
      </x:c>
      <x:c r="Q805" s="16" t="str">
        <x:f>IF(A805="","",LOWER(Events!C804&amp;" "&amp;Events!K804&amp;" "&amp;Events!T804))</x:f>
      </x:c>
      <x:c r="R805" s="16" t="str">
        <x:f>IF(A805="","",IF(ISNUMBER(SEARCH("Occurrence verified",E805)),"Occurrence verified",E805))</x:f>
      </x:c>
      <x:c r="S805" s="79" t="str">
        <x:f>IF(A805="","",Events!X804)</x:f>
      </x:c>
      <x:c r="Z805" s="79" t="str">
        <x:f>IF(A805="","",Events!AD804)</x:f>
      </x:c>
      <x:c r="AA805" s="79" t="str">
        <x:f>IF(A805="","",Events!AE804)</x:f>
      </x:c>
    </x:row>
    <x:row r="806">
      <x:c r="A806" s="16" t="str">
        <x:f>IF(Events!A805="","",Events!A805)</x:f>
      </x:c>
      <x:c r="B806" s="16" t="str">
        <x:f>IF(A806="","",Events!B805)</x:f>
      </x:c>
      <x:c r="C806" s="16" t="str">
        <x:f>IF(A806="","",Events!E805)</x:f>
      </x:c>
      <x:c r="D806" s="16" t="str">
        <x:f>IF(A806="","",Events!J805)</x:f>
      </x:c>
      <x:c r="E806" s="16" t="str">
        <x:f>IF(A806="","",Events!N805)</x:f>
      </x:c>
      <x:c r="F806" s="109" t="str">
        <x:f>IF(OR(A806="",Events!H805=""),"",Events!H805)</x:f>
      </x:c>
      <x:c r="G806" s="109" t="str">
        <x:f>IF(A806="","",IF(Events!I805&lt;&gt;"",Events!I805,IF(Events!S805&lt;&gt;"",Events!S805,"")))</x:f>
      </x:c>
      <x:c r="H806" s="16" t="str">
        <x:f>IF(A806="","",Events!W805)</x:f>
      </x:c>
      <x:c r="I806" s="16" t="str">
        <x:f>IF(A806="","",IF(Events!Y805&lt;&gt;"",Events!Y805,IF(OR(ISNUMBER(SEARCH("education",P806)),ISNUMBER(SEARCH("exam",P806)),ISNUMBER(SEARCH("school",P806))),"Education",IF(OR(ISNUMBER(SEARCH("trade agreement",P806)),ISNUMBER(SEARCH("economic",P806)),ISNUMBER(SEARCH("import",P806))),"Trade &amp; economic policy",IF(OR(ISNUMBER(SEARCH("land acquisition",P806)),ISNUMBER(SEARCH("rehabilitation",P806)),ISNUMBER(SEARCH("displacement",P806)),ISNUMBER(SEARCH("township",P806))),"Land &amp; rehabilitation",IF(OR(ISNUMBER(SEARCH("forest",P806)),ISNUMBER(SEARCH("environment",P806)),ISNUMBER(SEARCH("ecological",P806)),ISNUMBER(SEARCH("biodiversity",P806)),ISNUMBER(SEARCH("green cover",P806))),"Environment",IF(OR(ISNUMBER(SEARCH("irrigation",P806)),ISNUMBER(SEARCH("water",P806)),ISNUMBER(SEARCH("crop",P806)),ISNUMBER(SEARCH("farmer",P806)),ISNUMBER(SEARCH("agriculture",P806))),"Agriculture &amp; water",IF(OR(ISNUMBER(SEARCH("health",P806)),ISNUMBER(SEARCH("hospital",P806)),ISNUMBER(SEARCH("medicine",P806))),"Public health",IF(OR(ISNUMBER(SEARCH("employee",P806)),ISNUMBER(SEARCH("labour",P806)),ISNUMBER(SEARCH("worker",P806)),ISNUMBER(SEARCH("salary",P806))),"Labour &amp; employment",IF(OR(ISNUMBER(SEARCH("rti",P806)),ISNUMBER(SEARCH("transparency",P806)),ISNUMBER(SEARCH("corruption",P806)),ISNUMBER(SEARCH("governance",P806))),"Governance &amp; transparency",IF(OR(ISNUMBER(SEARCH("police",P806)),ISNUMBER(SEARCH("detention",P806)),ISNUMBER(SEARCH("civil rights",P806)),ISNUMBER(SEARCH("justice",P806))),"Civil rights &amp; justice",IF(OR(ISNUMBER(SEARCH("road",P806)),ISNUMBER(SEARCH("utility",P806)),ISNUMBER(SEARCH("infrastructure",P806)),ISNUMBER(SEARCH("public service",P806))),"Infrastructure &amp; public services","Other"))))))))))))</x:f>
      </x:c>
      <x:c r="J806" s="16" t="str">
        <x:f>IF(A806="","",IF(OR(ISNUMBER(SEARCH("fatal",Q806)),ISNUMBER(SEARCH("death",Q806)),ISNUMBER(SEARCH("riot",Q806)),ISNUMBER(SEARCH("curfew",Q806)),ISNUMBER(SEARCH("internet shutdown",Q806))),5,MIN(4,1+IF(H806&gt;=7,1,0)+IF(OR(ISNUMBER(SEARCH("hunger strike",Q806)),ISNUMBER(SEARCH("blockade",Q806)),ISNUMBER(SEARCH("strike",Q806)),ISNUMBER(SEARCH("jal satyagraha",Q806)),ISNUMBER(SEARCH("survey",Q806)),ISNUMBER(SEARCH("human chain",Q806)),ISNUMBER(SEARCH("march",Q806))),1,0)+IF(OR(ISNUMBER(SEARCH("fir",Q806)),ISNUMBER(SEARCH("confrontation",Q806)),ISNUMBER(SEARCH("violence",Q806)),ISNUMBER(SEARCH("detention",Q806)),ISNUMBER(SEARCH("arrest",Q806)),ISNUMBER(SEARCH("demolition",Q806)),ISNUMBER(SEARCH("injury",Q806))),1,0)+IF(OR(D806="Ongoing",D806="Unresolved"),1,0))))</x:f>
      </x:c>
      <x:c r="K806" s="16" t="str">
        <x:f>IF(J806="","",IF(J806=1,"Limited",IF(J806=2,"Local",IF(J806=3,"Significant",IF(J806=4,"High","Critical")))))</x:f>
      </x:c>
      <x:c r="L806" s="16" t="str">
        <x:f>IF(A806="","",Events!U805)</x:f>
      </x:c>
      <x:c r="M806" s="16" t="str">
        <x:f>IF(A806="","",Events!V805)</x:f>
      </x:c>
      <x:c r="N806" s="16" t="str">
        <x:f>IF(A806="","",Events!Q805)</x:f>
      </x:c>
      <x:c r="O806" s="16" t="str">
        <x:f>IF(A806="","",Events!R805)</x:f>
      </x:c>
      <x:c r="P806" s="16" t="str">
        <x:f>IF(A806="","",LOWER(Events!B805&amp;" "&amp;Events!D805&amp;" "&amp;Events!K805))</x:f>
      </x:c>
      <x:c r="Q806" s="16" t="str">
        <x:f>IF(A806="","",LOWER(Events!C805&amp;" "&amp;Events!K805&amp;" "&amp;Events!T805))</x:f>
      </x:c>
      <x:c r="R806" s="16" t="str">
        <x:f>IF(A806="","",IF(ISNUMBER(SEARCH("Occurrence verified",E806)),"Occurrence verified",E806))</x:f>
      </x:c>
      <x:c r="S806" s="79" t="str">
        <x:f>IF(A806="","",Events!X805)</x:f>
      </x:c>
      <x:c r="Z806" s="79" t="str">
        <x:f>IF(A806="","",Events!AD805)</x:f>
      </x:c>
      <x:c r="AA806" s="79" t="str">
        <x:f>IF(A806="","",Events!AE805)</x:f>
      </x:c>
    </x:row>
    <x:row r="807">
      <x:c r="A807" s="16" t="str">
        <x:f>IF(Events!A806="","",Events!A806)</x:f>
      </x:c>
      <x:c r="B807" s="16" t="str">
        <x:f>IF(A807="","",Events!B806)</x:f>
      </x:c>
      <x:c r="C807" s="16" t="str">
        <x:f>IF(A807="","",Events!E806)</x:f>
      </x:c>
      <x:c r="D807" s="16" t="str">
        <x:f>IF(A807="","",Events!J806)</x:f>
      </x:c>
      <x:c r="E807" s="16" t="str">
        <x:f>IF(A807="","",Events!N806)</x:f>
      </x:c>
      <x:c r="F807" s="109" t="str">
        <x:f>IF(OR(A807="",Events!H806=""),"",Events!H806)</x:f>
      </x:c>
      <x:c r="G807" s="109" t="str">
        <x:f>IF(A807="","",IF(Events!I806&lt;&gt;"",Events!I806,IF(Events!S806&lt;&gt;"",Events!S806,"")))</x:f>
      </x:c>
      <x:c r="H807" s="16" t="str">
        <x:f>IF(A807="","",Events!W806)</x:f>
      </x:c>
      <x:c r="I807" s="16" t="str">
        <x:f>IF(A807="","",IF(Events!Y806&lt;&gt;"",Events!Y806,IF(OR(ISNUMBER(SEARCH("education",P807)),ISNUMBER(SEARCH("exam",P807)),ISNUMBER(SEARCH("school",P807))),"Education",IF(OR(ISNUMBER(SEARCH("trade agreement",P807)),ISNUMBER(SEARCH("economic",P807)),ISNUMBER(SEARCH("import",P807))),"Trade &amp; economic policy",IF(OR(ISNUMBER(SEARCH("land acquisition",P807)),ISNUMBER(SEARCH("rehabilitation",P807)),ISNUMBER(SEARCH("displacement",P807)),ISNUMBER(SEARCH("township",P807))),"Land &amp; rehabilitation",IF(OR(ISNUMBER(SEARCH("forest",P807)),ISNUMBER(SEARCH("environment",P807)),ISNUMBER(SEARCH("ecological",P807)),ISNUMBER(SEARCH("biodiversity",P807)),ISNUMBER(SEARCH("green cover",P807))),"Environment",IF(OR(ISNUMBER(SEARCH("irrigation",P807)),ISNUMBER(SEARCH("water",P807)),ISNUMBER(SEARCH("crop",P807)),ISNUMBER(SEARCH("farmer",P807)),ISNUMBER(SEARCH("agriculture",P807))),"Agriculture &amp; water",IF(OR(ISNUMBER(SEARCH("health",P807)),ISNUMBER(SEARCH("hospital",P807)),ISNUMBER(SEARCH("medicine",P807))),"Public health",IF(OR(ISNUMBER(SEARCH("employee",P807)),ISNUMBER(SEARCH("labour",P807)),ISNUMBER(SEARCH("worker",P807)),ISNUMBER(SEARCH("salary",P807))),"Labour &amp; employment",IF(OR(ISNUMBER(SEARCH("rti",P807)),ISNUMBER(SEARCH("transparency",P807)),ISNUMBER(SEARCH("corruption",P807)),ISNUMBER(SEARCH("governance",P807))),"Governance &amp; transparency",IF(OR(ISNUMBER(SEARCH("police",P807)),ISNUMBER(SEARCH("detention",P807)),ISNUMBER(SEARCH("civil rights",P807)),ISNUMBER(SEARCH("justice",P807))),"Civil rights &amp; justice",IF(OR(ISNUMBER(SEARCH("road",P807)),ISNUMBER(SEARCH("utility",P807)),ISNUMBER(SEARCH("infrastructure",P807)),ISNUMBER(SEARCH("public service",P807))),"Infrastructure &amp; public services","Other"))))))))))))</x:f>
      </x:c>
      <x:c r="J807" s="16" t="str">
        <x:f>IF(A807="","",IF(OR(ISNUMBER(SEARCH("fatal",Q807)),ISNUMBER(SEARCH("death",Q807)),ISNUMBER(SEARCH("riot",Q807)),ISNUMBER(SEARCH("curfew",Q807)),ISNUMBER(SEARCH("internet shutdown",Q807))),5,MIN(4,1+IF(H807&gt;=7,1,0)+IF(OR(ISNUMBER(SEARCH("hunger strike",Q807)),ISNUMBER(SEARCH("blockade",Q807)),ISNUMBER(SEARCH("strike",Q807)),ISNUMBER(SEARCH("jal satyagraha",Q807)),ISNUMBER(SEARCH("survey",Q807)),ISNUMBER(SEARCH("human chain",Q807)),ISNUMBER(SEARCH("march",Q807))),1,0)+IF(OR(ISNUMBER(SEARCH("fir",Q807)),ISNUMBER(SEARCH("confrontation",Q807)),ISNUMBER(SEARCH("violence",Q807)),ISNUMBER(SEARCH("detention",Q807)),ISNUMBER(SEARCH("arrest",Q807)),ISNUMBER(SEARCH("demolition",Q807)),ISNUMBER(SEARCH("injury",Q807))),1,0)+IF(OR(D807="Ongoing",D807="Unresolved"),1,0))))</x:f>
      </x:c>
      <x:c r="K807" s="16" t="str">
        <x:f>IF(J807="","",IF(J807=1,"Limited",IF(J807=2,"Local",IF(J807=3,"Significant",IF(J807=4,"High","Critical")))))</x:f>
      </x:c>
      <x:c r="L807" s="16" t="str">
        <x:f>IF(A807="","",Events!U806)</x:f>
      </x:c>
      <x:c r="M807" s="16" t="str">
        <x:f>IF(A807="","",Events!V806)</x:f>
      </x:c>
      <x:c r="N807" s="16" t="str">
        <x:f>IF(A807="","",Events!Q806)</x:f>
      </x:c>
      <x:c r="O807" s="16" t="str">
        <x:f>IF(A807="","",Events!R806)</x:f>
      </x:c>
      <x:c r="P807" s="16" t="str">
        <x:f>IF(A807="","",LOWER(Events!B806&amp;" "&amp;Events!D806&amp;" "&amp;Events!K806))</x:f>
      </x:c>
      <x:c r="Q807" s="16" t="str">
        <x:f>IF(A807="","",LOWER(Events!C806&amp;" "&amp;Events!K806&amp;" "&amp;Events!T806))</x:f>
      </x:c>
      <x:c r="R807" s="16" t="str">
        <x:f>IF(A807="","",IF(ISNUMBER(SEARCH("Occurrence verified",E807)),"Occurrence verified",E807))</x:f>
      </x:c>
      <x:c r="S807" s="79" t="str">
        <x:f>IF(A807="","",Events!X806)</x:f>
      </x:c>
      <x:c r="Z807" s="79" t="str">
        <x:f>IF(A807="","",Events!AD806)</x:f>
      </x:c>
      <x:c r="AA807" s="79" t="str">
        <x:f>IF(A807="","",Events!AE806)</x:f>
      </x:c>
    </x:row>
    <x:row r="808">
      <x:c r="A808" s="16" t="str">
        <x:f>IF(Events!A807="","",Events!A807)</x:f>
      </x:c>
      <x:c r="B808" s="16" t="str">
        <x:f>IF(A808="","",Events!B807)</x:f>
      </x:c>
      <x:c r="C808" s="16" t="str">
        <x:f>IF(A808="","",Events!E807)</x:f>
      </x:c>
      <x:c r="D808" s="16" t="str">
        <x:f>IF(A808="","",Events!J807)</x:f>
      </x:c>
      <x:c r="E808" s="16" t="str">
        <x:f>IF(A808="","",Events!N807)</x:f>
      </x:c>
      <x:c r="F808" s="109" t="str">
        <x:f>IF(OR(A808="",Events!H807=""),"",Events!H807)</x:f>
      </x:c>
      <x:c r="G808" s="109" t="str">
        <x:f>IF(A808="","",IF(Events!I807&lt;&gt;"",Events!I807,IF(Events!S807&lt;&gt;"",Events!S807,"")))</x:f>
      </x:c>
      <x:c r="H808" s="16" t="str">
        <x:f>IF(A808="","",Events!W807)</x:f>
      </x:c>
      <x:c r="I808" s="16" t="str">
        <x:f>IF(A808="","",IF(Events!Y807&lt;&gt;"",Events!Y807,IF(OR(ISNUMBER(SEARCH("education",P808)),ISNUMBER(SEARCH("exam",P808)),ISNUMBER(SEARCH("school",P808))),"Education",IF(OR(ISNUMBER(SEARCH("trade agreement",P808)),ISNUMBER(SEARCH("economic",P808)),ISNUMBER(SEARCH("import",P808))),"Trade &amp; economic policy",IF(OR(ISNUMBER(SEARCH("land acquisition",P808)),ISNUMBER(SEARCH("rehabilitation",P808)),ISNUMBER(SEARCH("displacement",P808)),ISNUMBER(SEARCH("township",P808))),"Land &amp; rehabilitation",IF(OR(ISNUMBER(SEARCH("forest",P808)),ISNUMBER(SEARCH("environment",P808)),ISNUMBER(SEARCH("ecological",P808)),ISNUMBER(SEARCH("biodiversity",P808)),ISNUMBER(SEARCH("green cover",P808))),"Environment",IF(OR(ISNUMBER(SEARCH("irrigation",P808)),ISNUMBER(SEARCH("water",P808)),ISNUMBER(SEARCH("crop",P808)),ISNUMBER(SEARCH("farmer",P808)),ISNUMBER(SEARCH("agriculture",P808))),"Agriculture &amp; water",IF(OR(ISNUMBER(SEARCH("health",P808)),ISNUMBER(SEARCH("hospital",P808)),ISNUMBER(SEARCH("medicine",P808))),"Public health",IF(OR(ISNUMBER(SEARCH("employee",P808)),ISNUMBER(SEARCH("labour",P808)),ISNUMBER(SEARCH("worker",P808)),ISNUMBER(SEARCH("salary",P808))),"Labour &amp; employment",IF(OR(ISNUMBER(SEARCH("rti",P808)),ISNUMBER(SEARCH("transparency",P808)),ISNUMBER(SEARCH("corruption",P808)),ISNUMBER(SEARCH("governance",P808))),"Governance &amp; transparency",IF(OR(ISNUMBER(SEARCH("police",P808)),ISNUMBER(SEARCH("detention",P808)),ISNUMBER(SEARCH("civil rights",P808)),ISNUMBER(SEARCH("justice",P808))),"Civil rights &amp; justice",IF(OR(ISNUMBER(SEARCH("road",P808)),ISNUMBER(SEARCH("utility",P808)),ISNUMBER(SEARCH("infrastructure",P808)),ISNUMBER(SEARCH("public service",P808))),"Infrastructure &amp; public services","Other"))))))))))))</x:f>
      </x:c>
      <x:c r="J808" s="16" t="str">
        <x:f>IF(A808="","",IF(OR(ISNUMBER(SEARCH("fatal",Q808)),ISNUMBER(SEARCH("death",Q808)),ISNUMBER(SEARCH("riot",Q808)),ISNUMBER(SEARCH("curfew",Q808)),ISNUMBER(SEARCH("internet shutdown",Q808))),5,MIN(4,1+IF(H808&gt;=7,1,0)+IF(OR(ISNUMBER(SEARCH("hunger strike",Q808)),ISNUMBER(SEARCH("blockade",Q808)),ISNUMBER(SEARCH("strike",Q808)),ISNUMBER(SEARCH("jal satyagraha",Q808)),ISNUMBER(SEARCH("survey",Q808)),ISNUMBER(SEARCH("human chain",Q808)),ISNUMBER(SEARCH("march",Q808))),1,0)+IF(OR(ISNUMBER(SEARCH("fir",Q808)),ISNUMBER(SEARCH("confrontation",Q808)),ISNUMBER(SEARCH("violence",Q808)),ISNUMBER(SEARCH("detention",Q808)),ISNUMBER(SEARCH("arrest",Q808)),ISNUMBER(SEARCH("demolition",Q808)),ISNUMBER(SEARCH("injury",Q808))),1,0)+IF(OR(D808="Ongoing",D808="Unresolved"),1,0))))</x:f>
      </x:c>
      <x:c r="K808" s="16" t="str">
        <x:f>IF(J808="","",IF(J808=1,"Limited",IF(J808=2,"Local",IF(J808=3,"Significant",IF(J808=4,"High","Critical")))))</x:f>
      </x:c>
      <x:c r="L808" s="16" t="str">
        <x:f>IF(A808="","",Events!U807)</x:f>
      </x:c>
      <x:c r="M808" s="16" t="str">
        <x:f>IF(A808="","",Events!V807)</x:f>
      </x:c>
      <x:c r="N808" s="16" t="str">
        <x:f>IF(A808="","",Events!Q807)</x:f>
      </x:c>
      <x:c r="O808" s="16" t="str">
        <x:f>IF(A808="","",Events!R807)</x:f>
      </x:c>
      <x:c r="P808" s="16" t="str">
        <x:f>IF(A808="","",LOWER(Events!B807&amp;" "&amp;Events!D807&amp;" "&amp;Events!K807))</x:f>
      </x:c>
      <x:c r="Q808" s="16" t="str">
        <x:f>IF(A808="","",LOWER(Events!C807&amp;" "&amp;Events!K807&amp;" "&amp;Events!T807))</x:f>
      </x:c>
      <x:c r="R808" s="16" t="str">
        <x:f>IF(A808="","",IF(ISNUMBER(SEARCH("Occurrence verified",E808)),"Occurrence verified",E808))</x:f>
      </x:c>
      <x:c r="S808" s="79" t="str">
        <x:f>IF(A808="","",Events!X807)</x:f>
      </x:c>
      <x:c r="Z808" s="79" t="str">
        <x:f>IF(A808="","",Events!AD807)</x:f>
      </x:c>
      <x:c r="AA808" s="79" t="str">
        <x:f>IF(A808="","",Events!AE807)</x:f>
      </x:c>
    </x:row>
    <x:row r="809">
      <x:c r="A809" s="16" t="str">
        <x:f>IF(Events!A808="","",Events!A808)</x:f>
      </x:c>
      <x:c r="B809" s="16" t="str">
        <x:f>IF(A809="","",Events!B808)</x:f>
      </x:c>
      <x:c r="C809" s="16" t="str">
        <x:f>IF(A809="","",Events!E808)</x:f>
      </x:c>
      <x:c r="D809" s="16" t="str">
        <x:f>IF(A809="","",Events!J808)</x:f>
      </x:c>
      <x:c r="E809" s="16" t="str">
        <x:f>IF(A809="","",Events!N808)</x:f>
      </x:c>
      <x:c r="F809" s="109" t="str">
        <x:f>IF(OR(A809="",Events!H808=""),"",Events!H808)</x:f>
      </x:c>
      <x:c r="G809" s="109" t="str">
        <x:f>IF(A809="","",IF(Events!I808&lt;&gt;"",Events!I808,IF(Events!S808&lt;&gt;"",Events!S808,"")))</x:f>
      </x:c>
      <x:c r="H809" s="16" t="str">
        <x:f>IF(A809="","",Events!W808)</x:f>
      </x:c>
      <x:c r="I809" s="16" t="str">
        <x:f>IF(A809="","",IF(Events!Y808&lt;&gt;"",Events!Y808,IF(OR(ISNUMBER(SEARCH("education",P809)),ISNUMBER(SEARCH("exam",P809)),ISNUMBER(SEARCH("school",P809))),"Education",IF(OR(ISNUMBER(SEARCH("trade agreement",P809)),ISNUMBER(SEARCH("economic",P809)),ISNUMBER(SEARCH("import",P809))),"Trade &amp; economic policy",IF(OR(ISNUMBER(SEARCH("land acquisition",P809)),ISNUMBER(SEARCH("rehabilitation",P809)),ISNUMBER(SEARCH("displacement",P809)),ISNUMBER(SEARCH("township",P809))),"Land &amp; rehabilitation",IF(OR(ISNUMBER(SEARCH("forest",P809)),ISNUMBER(SEARCH("environment",P809)),ISNUMBER(SEARCH("ecological",P809)),ISNUMBER(SEARCH("biodiversity",P809)),ISNUMBER(SEARCH("green cover",P809))),"Environment",IF(OR(ISNUMBER(SEARCH("irrigation",P809)),ISNUMBER(SEARCH("water",P809)),ISNUMBER(SEARCH("crop",P809)),ISNUMBER(SEARCH("farmer",P809)),ISNUMBER(SEARCH("agriculture",P809))),"Agriculture &amp; water",IF(OR(ISNUMBER(SEARCH("health",P809)),ISNUMBER(SEARCH("hospital",P809)),ISNUMBER(SEARCH("medicine",P809))),"Public health",IF(OR(ISNUMBER(SEARCH("employee",P809)),ISNUMBER(SEARCH("labour",P809)),ISNUMBER(SEARCH("worker",P809)),ISNUMBER(SEARCH("salary",P809))),"Labour &amp; employment",IF(OR(ISNUMBER(SEARCH("rti",P809)),ISNUMBER(SEARCH("transparency",P809)),ISNUMBER(SEARCH("corruption",P809)),ISNUMBER(SEARCH("governance",P809))),"Governance &amp; transparency",IF(OR(ISNUMBER(SEARCH("police",P809)),ISNUMBER(SEARCH("detention",P809)),ISNUMBER(SEARCH("civil rights",P809)),ISNUMBER(SEARCH("justice",P809))),"Civil rights &amp; justice",IF(OR(ISNUMBER(SEARCH("road",P809)),ISNUMBER(SEARCH("utility",P809)),ISNUMBER(SEARCH("infrastructure",P809)),ISNUMBER(SEARCH("public service",P809))),"Infrastructure &amp; public services","Other"))))))))))))</x:f>
      </x:c>
      <x:c r="J809" s="16" t="str">
        <x:f>IF(A809="","",IF(OR(ISNUMBER(SEARCH("fatal",Q809)),ISNUMBER(SEARCH("death",Q809)),ISNUMBER(SEARCH("riot",Q809)),ISNUMBER(SEARCH("curfew",Q809)),ISNUMBER(SEARCH("internet shutdown",Q809))),5,MIN(4,1+IF(H809&gt;=7,1,0)+IF(OR(ISNUMBER(SEARCH("hunger strike",Q809)),ISNUMBER(SEARCH("blockade",Q809)),ISNUMBER(SEARCH("strike",Q809)),ISNUMBER(SEARCH("jal satyagraha",Q809)),ISNUMBER(SEARCH("survey",Q809)),ISNUMBER(SEARCH("human chain",Q809)),ISNUMBER(SEARCH("march",Q809))),1,0)+IF(OR(ISNUMBER(SEARCH("fir",Q809)),ISNUMBER(SEARCH("confrontation",Q809)),ISNUMBER(SEARCH("violence",Q809)),ISNUMBER(SEARCH("detention",Q809)),ISNUMBER(SEARCH("arrest",Q809)),ISNUMBER(SEARCH("demolition",Q809)),ISNUMBER(SEARCH("injury",Q809))),1,0)+IF(OR(D809="Ongoing",D809="Unresolved"),1,0))))</x:f>
      </x:c>
      <x:c r="K809" s="16" t="str">
        <x:f>IF(J809="","",IF(J809=1,"Limited",IF(J809=2,"Local",IF(J809=3,"Significant",IF(J809=4,"High","Critical")))))</x:f>
      </x:c>
      <x:c r="L809" s="16" t="str">
        <x:f>IF(A809="","",Events!U808)</x:f>
      </x:c>
      <x:c r="M809" s="16" t="str">
        <x:f>IF(A809="","",Events!V808)</x:f>
      </x:c>
      <x:c r="N809" s="16" t="str">
        <x:f>IF(A809="","",Events!Q808)</x:f>
      </x:c>
      <x:c r="O809" s="16" t="str">
        <x:f>IF(A809="","",Events!R808)</x:f>
      </x:c>
      <x:c r="P809" s="16" t="str">
        <x:f>IF(A809="","",LOWER(Events!B808&amp;" "&amp;Events!D808&amp;" "&amp;Events!K808))</x:f>
      </x:c>
      <x:c r="Q809" s="16" t="str">
        <x:f>IF(A809="","",LOWER(Events!C808&amp;" "&amp;Events!K808&amp;" "&amp;Events!T808))</x:f>
      </x:c>
      <x:c r="R809" s="16" t="str">
        <x:f>IF(A809="","",IF(ISNUMBER(SEARCH("Occurrence verified",E809)),"Occurrence verified",E809))</x:f>
      </x:c>
      <x:c r="S809" s="79" t="str">
        <x:f>IF(A809="","",Events!X808)</x:f>
      </x:c>
      <x:c r="Z809" s="79" t="str">
        <x:f>IF(A809="","",Events!AD808)</x:f>
      </x:c>
      <x:c r="AA809" s="79" t="str">
        <x:f>IF(A809="","",Events!AE808)</x:f>
      </x:c>
    </x:row>
    <x:row r="810">
      <x:c r="A810" s="16" t="str">
        <x:f>IF(Events!A809="","",Events!A809)</x:f>
      </x:c>
      <x:c r="B810" s="16" t="str">
        <x:f>IF(A810="","",Events!B809)</x:f>
      </x:c>
      <x:c r="C810" s="16" t="str">
        <x:f>IF(A810="","",Events!E809)</x:f>
      </x:c>
      <x:c r="D810" s="16" t="str">
        <x:f>IF(A810="","",Events!J809)</x:f>
      </x:c>
      <x:c r="E810" s="16" t="str">
        <x:f>IF(A810="","",Events!N809)</x:f>
      </x:c>
      <x:c r="F810" s="109" t="str">
        <x:f>IF(OR(A810="",Events!H809=""),"",Events!H809)</x:f>
      </x:c>
      <x:c r="G810" s="109" t="str">
        <x:f>IF(A810="","",IF(Events!I809&lt;&gt;"",Events!I809,IF(Events!S809&lt;&gt;"",Events!S809,"")))</x:f>
      </x:c>
      <x:c r="H810" s="16" t="str">
        <x:f>IF(A810="","",Events!W809)</x:f>
      </x:c>
      <x:c r="I810" s="16" t="str">
        <x:f>IF(A810="","",IF(Events!Y809&lt;&gt;"",Events!Y809,IF(OR(ISNUMBER(SEARCH("education",P810)),ISNUMBER(SEARCH("exam",P810)),ISNUMBER(SEARCH("school",P810))),"Education",IF(OR(ISNUMBER(SEARCH("trade agreement",P810)),ISNUMBER(SEARCH("economic",P810)),ISNUMBER(SEARCH("import",P810))),"Trade &amp; economic policy",IF(OR(ISNUMBER(SEARCH("land acquisition",P810)),ISNUMBER(SEARCH("rehabilitation",P810)),ISNUMBER(SEARCH("displacement",P810)),ISNUMBER(SEARCH("township",P810))),"Land &amp; rehabilitation",IF(OR(ISNUMBER(SEARCH("forest",P810)),ISNUMBER(SEARCH("environment",P810)),ISNUMBER(SEARCH("ecological",P810)),ISNUMBER(SEARCH("biodiversity",P810)),ISNUMBER(SEARCH("green cover",P810))),"Environment",IF(OR(ISNUMBER(SEARCH("irrigation",P810)),ISNUMBER(SEARCH("water",P810)),ISNUMBER(SEARCH("crop",P810)),ISNUMBER(SEARCH("farmer",P810)),ISNUMBER(SEARCH("agriculture",P810))),"Agriculture &amp; water",IF(OR(ISNUMBER(SEARCH("health",P810)),ISNUMBER(SEARCH("hospital",P810)),ISNUMBER(SEARCH("medicine",P810))),"Public health",IF(OR(ISNUMBER(SEARCH("employee",P810)),ISNUMBER(SEARCH("labour",P810)),ISNUMBER(SEARCH("worker",P810)),ISNUMBER(SEARCH("salary",P810))),"Labour &amp; employment",IF(OR(ISNUMBER(SEARCH("rti",P810)),ISNUMBER(SEARCH("transparency",P810)),ISNUMBER(SEARCH("corruption",P810)),ISNUMBER(SEARCH("governance",P810))),"Governance &amp; transparency",IF(OR(ISNUMBER(SEARCH("police",P810)),ISNUMBER(SEARCH("detention",P810)),ISNUMBER(SEARCH("civil rights",P810)),ISNUMBER(SEARCH("justice",P810))),"Civil rights &amp; justice",IF(OR(ISNUMBER(SEARCH("road",P810)),ISNUMBER(SEARCH("utility",P810)),ISNUMBER(SEARCH("infrastructure",P810)),ISNUMBER(SEARCH("public service",P810))),"Infrastructure &amp; public services","Other"))))))))))))</x:f>
      </x:c>
      <x:c r="J810" s="16" t="str">
        <x:f>IF(A810="","",IF(OR(ISNUMBER(SEARCH("fatal",Q810)),ISNUMBER(SEARCH("death",Q810)),ISNUMBER(SEARCH("riot",Q810)),ISNUMBER(SEARCH("curfew",Q810)),ISNUMBER(SEARCH("internet shutdown",Q810))),5,MIN(4,1+IF(H810&gt;=7,1,0)+IF(OR(ISNUMBER(SEARCH("hunger strike",Q810)),ISNUMBER(SEARCH("blockade",Q810)),ISNUMBER(SEARCH("strike",Q810)),ISNUMBER(SEARCH("jal satyagraha",Q810)),ISNUMBER(SEARCH("survey",Q810)),ISNUMBER(SEARCH("human chain",Q810)),ISNUMBER(SEARCH("march",Q810))),1,0)+IF(OR(ISNUMBER(SEARCH("fir",Q810)),ISNUMBER(SEARCH("confrontation",Q810)),ISNUMBER(SEARCH("violence",Q810)),ISNUMBER(SEARCH("detention",Q810)),ISNUMBER(SEARCH("arrest",Q810)),ISNUMBER(SEARCH("demolition",Q810)),ISNUMBER(SEARCH("injury",Q810))),1,0)+IF(OR(D810="Ongoing",D810="Unresolved"),1,0))))</x:f>
      </x:c>
      <x:c r="K810" s="16" t="str">
        <x:f>IF(J810="","",IF(J810=1,"Limited",IF(J810=2,"Local",IF(J810=3,"Significant",IF(J810=4,"High","Critical")))))</x:f>
      </x:c>
      <x:c r="L810" s="16" t="str">
        <x:f>IF(A810="","",Events!U809)</x:f>
      </x:c>
      <x:c r="M810" s="16" t="str">
        <x:f>IF(A810="","",Events!V809)</x:f>
      </x:c>
      <x:c r="N810" s="16" t="str">
        <x:f>IF(A810="","",Events!Q809)</x:f>
      </x:c>
      <x:c r="O810" s="16" t="str">
        <x:f>IF(A810="","",Events!R809)</x:f>
      </x:c>
      <x:c r="P810" s="16" t="str">
        <x:f>IF(A810="","",LOWER(Events!B809&amp;" "&amp;Events!D809&amp;" "&amp;Events!K809))</x:f>
      </x:c>
      <x:c r="Q810" s="16" t="str">
        <x:f>IF(A810="","",LOWER(Events!C809&amp;" "&amp;Events!K809&amp;" "&amp;Events!T809))</x:f>
      </x:c>
      <x:c r="R810" s="16" t="str">
        <x:f>IF(A810="","",IF(ISNUMBER(SEARCH("Occurrence verified",E810)),"Occurrence verified",E810))</x:f>
      </x:c>
      <x:c r="S810" s="79" t="str">
        <x:f>IF(A810="","",Events!X809)</x:f>
      </x:c>
      <x:c r="Z810" s="79" t="str">
        <x:f>IF(A810="","",Events!AD809)</x:f>
      </x:c>
      <x:c r="AA810" s="79" t="str">
        <x:f>IF(A810="","",Events!AE809)</x:f>
      </x:c>
    </x:row>
    <x:row r="811">
      <x:c r="A811" s="16" t="str">
        <x:f>IF(Events!A810="","",Events!A810)</x:f>
      </x:c>
      <x:c r="B811" s="16" t="str">
        <x:f>IF(A811="","",Events!B810)</x:f>
      </x:c>
      <x:c r="C811" s="16" t="str">
        <x:f>IF(A811="","",Events!E810)</x:f>
      </x:c>
      <x:c r="D811" s="16" t="str">
        <x:f>IF(A811="","",Events!J810)</x:f>
      </x:c>
      <x:c r="E811" s="16" t="str">
        <x:f>IF(A811="","",Events!N810)</x:f>
      </x:c>
      <x:c r="F811" s="109" t="str">
        <x:f>IF(OR(A811="",Events!H810=""),"",Events!H810)</x:f>
      </x:c>
      <x:c r="G811" s="109" t="str">
        <x:f>IF(A811="","",IF(Events!I810&lt;&gt;"",Events!I810,IF(Events!S810&lt;&gt;"",Events!S810,"")))</x:f>
      </x:c>
      <x:c r="H811" s="16" t="str">
        <x:f>IF(A811="","",Events!W810)</x:f>
      </x:c>
      <x:c r="I811" s="16" t="str">
        <x:f>IF(A811="","",IF(Events!Y810&lt;&gt;"",Events!Y810,IF(OR(ISNUMBER(SEARCH("education",P811)),ISNUMBER(SEARCH("exam",P811)),ISNUMBER(SEARCH("school",P811))),"Education",IF(OR(ISNUMBER(SEARCH("trade agreement",P811)),ISNUMBER(SEARCH("economic",P811)),ISNUMBER(SEARCH("import",P811))),"Trade &amp; economic policy",IF(OR(ISNUMBER(SEARCH("land acquisition",P811)),ISNUMBER(SEARCH("rehabilitation",P811)),ISNUMBER(SEARCH("displacement",P811)),ISNUMBER(SEARCH("township",P811))),"Land &amp; rehabilitation",IF(OR(ISNUMBER(SEARCH("forest",P811)),ISNUMBER(SEARCH("environment",P811)),ISNUMBER(SEARCH("ecological",P811)),ISNUMBER(SEARCH("biodiversity",P811)),ISNUMBER(SEARCH("green cover",P811))),"Environment",IF(OR(ISNUMBER(SEARCH("irrigation",P811)),ISNUMBER(SEARCH("water",P811)),ISNUMBER(SEARCH("crop",P811)),ISNUMBER(SEARCH("farmer",P811)),ISNUMBER(SEARCH("agriculture",P811))),"Agriculture &amp; water",IF(OR(ISNUMBER(SEARCH("health",P811)),ISNUMBER(SEARCH("hospital",P811)),ISNUMBER(SEARCH("medicine",P811))),"Public health",IF(OR(ISNUMBER(SEARCH("employee",P811)),ISNUMBER(SEARCH("labour",P811)),ISNUMBER(SEARCH("worker",P811)),ISNUMBER(SEARCH("salary",P811))),"Labour &amp; employment",IF(OR(ISNUMBER(SEARCH("rti",P811)),ISNUMBER(SEARCH("transparency",P811)),ISNUMBER(SEARCH("corruption",P811)),ISNUMBER(SEARCH("governance",P811))),"Governance &amp; transparency",IF(OR(ISNUMBER(SEARCH("police",P811)),ISNUMBER(SEARCH("detention",P811)),ISNUMBER(SEARCH("civil rights",P811)),ISNUMBER(SEARCH("justice",P811))),"Civil rights &amp; justice",IF(OR(ISNUMBER(SEARCH("road",P811)),ISNUMBER(SEARCH("utility",P811)),ISNUMBER(SEARCH("infrastructure",P811)),ISNUMBER(SEARCH("public service",P811))),"Infrastructure &amp; public services","Other"))))))))))))</x:f>
      </x:c>
      <x:c r="J811" s="16" t="str">
        <x:f>IF(A811="","",IF(OR(ISNUMBER(SEARCH("fatal",Q811)),ISNUMBER(SEARCH("death",Q811)),ISNUMBER(SEARCH("riot",Q811)),ISNUMBER(SEARCH("curfew",Q811)),ISNUMBER(SEARCH("internet shutdown",Q811))),5,MIN(4,1+IF(H811&gt;=7,1,0)+IF(OR(ISNUMBER(SEARCH("hunger strike",Q811)),ISNUMBER(SEARCH("blockade",Q811)),ISNUMBER(SEARCH("strike",Q811)),ISNUMBER(SEARCH("jal satyagraha",Q811)),ISNUMBER(SEARCH("survey",Q811)),ISNUMBER(SEARCH("human chain",Q811)),ISNUMBER(SEARCH("march",Q811))),1,0)+IF(OR(ISNUMBER(SEARCH("fir",Q811)),ISNUMBER(SEARCH("confrontation",Q811)),ISNUMBER(SEARCH("violence",Q811)),ISNUMBER(SEARCH("detention",Q811)),ISNUMBER(SEARCH("arrest",Q811)),ISNUMBER(SEARCH("demolition",Q811)),ISNUMBER(SEARCH("injury",Q811))),1,0)+IF(OR(D811="Ongoing",D811="Unresolved"),1,0))))</x:f>
      </x:c>
      <x:c r="K811" s="16" t="str">
        <x:f>IF(J811="","",IF(J811=1,"Limited",IF(J811=2,"Local",IF(J811=3,"Significant",IF(J811=4,"High","Critical")))))</x:f>
      </x:c>
      <x:c r="L811" s="16" t="str">
        <x:f>IF(A811="","",Events!U810)</x:f>
      </x:c>
      <x:c r="M811" s="16" t="str">
        <x:f>IF(A811="","",Events!V810)</x:f>
      </x:c>
      <x:c r="N811" s="16" t="str">
        <x:f>IF(A811="","",Events!Q810)</x:f>
      </x:c>
      <x:c r="O811" s="16" t="str">
        <x:f>IF(A811="","",Events!R810)</x:f>
      </x:c>
      <x:c r="P811" s="16" t="str">
        <x:f>IF(A811="","",LOWER(Events!B810&amp;" "&amp;Events!D810&amp;" "&amp;Events!K810))</x:f>
      </x:c>
      <x:c r="Q811" s="16" t="str">
        <x:f>IF(A811="","",LOWER(Events!C810&amp;" "&amp;Events!K810&amp;" "&amp;Events!T810))</x:f>
      </x:c>
      <x:c r="R811" s="16" t="str">
        <x:f>IF(A811="","",IF(ISNUMBER(SEARCH("Occurrence verified",E811)),"Occurrence verified",E811))</x:f>
      </x:c>
      <x:c r="S811" s="79" t="str">
        <x:f>IF(A811="","",Events!X810)</x:f>
      </x:c>
      <x:c r="Z811" s="79" t="str">
        <x:f>IF(A811="","",Events!AD810)</x:f>
      </x:c>
      <x:c r="AA811" s="79" t="str">
        <x:f>IF(A811="","",Events!AE810)</x:f>
      </x:c>
    </x:row>
    <x:row r="812">
      <x:c r="A812" s="16" t="str">
        <x:f>IF(Events!A811="","",Events!A811)</x:f>
      </x:c>
      <x:c r="B812" s="16" t="str">
        <x:f>IF(A812="","",Events!B811)</x:f>
      </x:c>
      <x:c r="C812" s="16" t="str">
        <x:f>IF(A812="","",Events!E811)</x:f>
      </x:c>
      <x:c r="D812" s="16" t="str">
        <x:f>IF(A812="","",Events!J811)</x:f>
      </x:c>
      <x:c r="E812" s="16" t="str">
        <x:f>IF(A812="","",Events!N811)</x:f>
      </x:c>
      <x:c r="F812" s="109" t="str">
        <x:f>IF(OR(A812="",Events!H811=""),"",Events!H811)</x:f>
      </x:c>
      <x:c r="G812" s="109" t="str">
        <x:f>IF(A812="","",IF(Events!I811&lt;&gt;"",Events!I811,IF(Events!S811&lt;&gt;"",Events!S811,"")))</x:f>
      </x:c>
      <x:c r="H812" s="16" t="str">
        <x:f>IF(A812="","",Events!W811)</x:f>
      </x:c>
      <x:c r="I812" s="16" t="str">
        <x:f>IF(A812="","",IF(Events!Y811&lt;&gt;"",Events!Y811,IF(OR(ISNUMBER(SEARCH("education",P812)),ISNUMBER(SEARCH("exam",P812)),ISNUMBER(SEARCH("school",P812))),"Education",IF(OR(ISNUMBER(SEARCH("trade agreement",P812)),ISNUMBER(SEARCH("economic",P812)),ISNUMBER(SEARCH("import",P812))),"Trade &amp; economic policy",IF(OR(ISNUMBER(SEARCH("land acquisition",P812)),ISNUMBER(SEARCH("rehabilitation",P812)),ISNUMBER(SEARCH("displacement",P812)),ISNUMBER(SEARCH("township",P812))),"Land &amp; rehabilitation",IF(OR(ISNUMBER(SEARCH("forest",P812)),ISNUMBER(SEARCH("environment",P812)),ISNUMBER(SEARCH("ecological",P812)),ISNUMBER(SEARCH("biodiversity",P812)),ISNUMBER(SEARCH("green cover",P812))),"Environment",IF(OR(ISNUMBER(SEARCH("irrigation",P812)),ISNUMBER(SEARCH("water",P812)),ISNUMBER(SEARCH("crop",P812)),ISNUMBER(SEARCH("farmer",P812)),ISNUMBER(SEARCH("agriculture",P812))),"Agriculture &amp; water",IF(OR(ISNUMBER(SEARCH("health",P812)),ISNUMBER(SEARCH("hospital",P812)),ISNUMBER(SEARCH("medicine",P812))),"Public health",IF(OR(ISNUMBER(SEARCH("employee",P812)),ISNUMBER(SEARCH("labour",P812)),ISNUMBER(SEARCH("worker",P812)),ISNUMBER(SEARCH("salary",P812))),"Labour &amp; employment",IF(OR(ISNUMBER(SEARCH("rti",P812)),ISNUMBER(SEARCH("transparency",P812)),ISNUMBER(SEARCH("corruption",P812)),ISNUMBER(SEARCH("governance",P812))),"Governance &amp; transparency",IF(OR(ISNUMBER(SEARCH("police",P812)),ISNUMBER(SEARCH("detention",P812)),ISNUMBER(SEARCH("civil rights",P812)),ISNUMBER(SEARCH("justice",P812))),"Civil rights &amp; justice",IF(OR(ISNUMBER(SEARCH("road",P812)),ISNUMBER(SEARCH("utility",P812)),ISNUMBER(SEARCH("infrastructure",P812)),ISNUMBER(SEARCH("public service",P812))),"Infrastructure &amp; public services","Other"))))))))))))</x:f>
      </x:c>
      <x:c r="J812" s="16" t="str">
        <x:f>IF(A812="","",IF(OR(ISNUMBER(SEARCH("fatal",Q812)),ISNUMBER(SEARCH("death",Q812)),ISNUMBER(SEARCH("riot",Q812)),ISNUMBER(SEARCH("curfew",Q812)),ISNUMBER(SEARCH("internet shutdown",Q812))),5,MIN(4,1+IF(H812&gt;=7,1,0)+IF(OR(ISNUMBER(SEARCH("hunger strike",Q812)),ISNUMBER(SEARCH("blockade",Q812)),ISNUMBER(SEARCH("strike",Q812)),ISNUMBER(SEARCH("jal satyagraha",Q812)),ISNUMBER(SEARCH("survey",Q812)),ISNUMBER(SEARCH("human chain",Q812)),ISNUMBER(SEARCH("march",Q812))),1,0)+IF(OR(ISNUMBER(SEARCH("fir",Q812)),ISNUMBER(SEARCH("confrontation",Q812)),ISNUMBER(SEARCH("violence",Q812)),ISNUMBER(SEARCH("detention",Q812)),ISNUMBER(SEARCH("arrest",Q812)),ISNUMBER(SEARCH("demolition",Q812)),ISNUMBER(SEARCH("injury",Q812))),1,0)+IF(OR(D812="Ongoing",D812="Unresolved"),1,0))))</x:f>
      </x:c>
      <x:c r="K812" s="16" t="str">
        <x:f>IF(J812="","",IF(J812=1,"Limited",IF(J812=2,"Local",IF(J812=3,"Significant",IF(J812=4,"High","Critical")))))</x:f>
      </x:c>
      <x:c r="L812" s="16" t="str">
        <x:f>IF(A812="","",Events!U811)</x:f>
      </x:c>
      <x:c r="M812" s="16" t="str">
        <x:f>IF(A812="","",Events!V811)</x:f>
      </x:c>
      <x:c r="N812" s="16" t="str">
        <x:f>IF(A812="","",Events!Q811)</x:f>
      </x:c>
      <x:c r="O812" s="16" t="str">
        <x:f>IF(A812="","",Events!R811)</x:f>
      </x:c>
      <x:c r="P812" s="16" t="str">
        <x:f>IF(A812="","",LOWER(Events!B811&amp;" "&amp;Events!D811&amp;" "&amp;Events!K811))</x:f>
      </x:c>
      <x:c r="Q812" s="16" t="str">
        <x:f>IF(A812="","",LOWER(Events!C811&amp;" "&amp;Events!K811&amp;" "&amp;Events!T811))</x:f>
      </x:c>
      <x:c r="R812" s="16" t="str">
        <x:f>IF(A812="","",IF(ISNUMBER(SEARCH("Occurrence verified",E812)),"Occurrence verified",E812))</x:f>
      </x:c>
      <x:c r="S812" s="79" t="str">
        <x:f>IF(A812="","",Events!X811)</x:f>
      </x:c>
      <x:c r="Z812" s="79" t="str">
        <x:f>IF(A812="","",Events!AD811)</x:f>
      </x:c>
      <x:c r="AA812" s="79" t="str">
        <x:f>IF(A812="","",Events!AE811)</x:f>
      </x:c>
    </x:row>
    <x:row r="813">
      <x:c r="A813" s="16" t="str">
        <x:f>IF(Events!A812="","",Events!A812)</x:f>
      </x:c>
      <x:c r="B813" s="16" t="str">
        <x:f>IF(A813="","",Events!B812)</x:f>
      </x:c>
      <x:c r="C813" s="16" t="str">
        <x:f>IF(A813="","",Events!E812)</x:f>
      </x:c>
      <x:c r="D813" s="16" t="str">
        <x:f>IF(A813="","",Events!J812)</x:f>
      </x:c>
      <x:c r="E813" s="16" t="str">
        <x:f>IF(A813="","",Events!N812)</x:f>
      </x:c>
      <x:c r="F813" s="109" t="str">
        <x:f>IF(OR(A813="",Events!H812=""),"",Events!H812)</x:f>
      </x:c>
      <x:c r="G813" s="109" t="str">
        <x:f>IF(A813="","",IF(Events!I812&lt;&gt;"",Events!I812,IF(Events!S812&lt;&gt;"",Events!S812,"")))</x:f>
      </x:c>
      <x:c r="H813" s="16" t="str">
        <x:f>IF(A813="","",Events!W812)</x:f>
      </x:c>
      <x:c r="I813" s="16" t="str">
        <x:f>IF(A813="","",IF(Events!Y812&lt;&gt;"",Events!Y812,IF(OR(ISNUMBER(SEARCH("education",P813)),ISNUMBER(SEARCH("exam",P813)),ISNUMBER(SEARCH("school",P813))),"Education",IF(OR(ISNUMBER(SEARCH("trade agreement",P813)),ISNUMBER(SEARCH("economic",P813)),ISNUMBER(SEARCH("import",P813))),"Trade &amp; economic policy",IF(OR(ISNUMBER(SEARCH("land acquisition",P813)),ISNUMBER(SEARCH("rehabilitation",P813)),ISNUMBER(SEARCH("displacement",P813)),ISNUMBER(SEARCH("township",P813))),"Land &amp; rehabilitation",IF(OR(ISNUMBER(SEARCH("forest",P813)),ISNUMBER(SEARCH("environment",P813)),ISNUMBER(SEARCH("ecological",P813)),ISNUMBER(SEARCH("biodiversity",P813)),ISNUMBER(SEARCH("green cover",P813))),"Environment",IF(OR(ISNUMBER(SEARCH("irrigation",P813)),ISNUMBER(SEARCH("water",P813)),ISNUMBER(SEARCH("crop",P813)),ISNUMBER(SEARCH("farmer",P813)),ISNUMBER(SEARCH("agriculture",P813))),"Agriculture &amp; water",IF(OR(ISNUMBER(SEARCH("health",P813)),ISNUMBER(SEARCH("hospital",P813)),ISNUMBER(SEARCH("medicine",P813))),"Public health",IF(OR(ISNUMBER(SEARCH("employee",P813)),ISNUMBER(SEARCH("labour",P813)),ISNUMBER(SEARCH("worker",P813)),ISNUMBER(SEARCH("salary",P813))),"Labour &amp; employment",IF(OR(ISNUMBER(SEARCH("rti",P813)),ISNUMBER(SEARCH("transparency",P813)),ISNUMBER(SEARCH("corruption",P813)),ISNUMBER(SEARCH("governance",P813))),"Governance &amp; transparency",IF(OR(ISNUMBER(SEARCH("police",P813)),ISNUMBER(SEARCH("detention",P813)),ISNUMBER(SEARCH("civil rights",P813)),ISNUMBER(SEARCH("justice",P813))),"Civil rights &amp; justice",IF(OR(ISNUMBER(SEARCH("road",P813)),ISNUMBER(SEARCH("utility",P813)),ISNUMBER(SEARCH("infrastructure",P813)),ISNUMBER(SEARCH("public service",P813))),"Infrastructure &amp; public services","Other"))))))))))))</x:f>
      </x:c>
      <x:c r="J813" s="16" t="str">
        <x:f>IF(A813="","",IF(OR(ISNUMBER(SEARCH("fatal",Q813)),ISNUMBER(SEARCH("death",Q813)),ISNUMBER(SEARCH("riot",Q813)),ISNUMBER(SEARCH("curfew",Q813)),ISNUMBER(SEARCH("internet shutdown",Q813))),5,MIN(4,1+IF(H813&gt;=7,1,0)+IF(OR(ISNUMBER(SEARCH("hunger strike",Q813)),ISNUMBER(SEARCH("blockade",Q813)),ISNUMBER(SEARCH("strike",Q813)),ISNUMBER(SEARCH("jal satyagraha",Q813)),ISNUMBER(SEARCH("survey",Q813)),ISNUMBER(SEARCH("human chain",Q813)),ISNUMBER(SEARCH("march",Q813))),1,0)+IF(OR(ISNUMBER(SEARCH("fir",Q813)),ISNUMBER(SEARCH("confrontation",Q813)),ISNUMBER(SEARCH("violence",Q813)),ISNUMBER(SEARCH("detention",Q813)),ISNUMBER(SEARCH("arrest",Q813)),ISNUMBER(SEARCH("demolition",Q813)),ISNUMBER(SEARCH("injury",Q813))),1,0)+IF(OR(D813="Ongoing",D813="Unresolved"),1,0))))</x:f>
      </x:c>
      <x:c r="K813" s="16" t="str">
        <x:f>IF(J813="","",IF(J813=1,"Limited",IF(J813=2,"Local",IF(J813=3,"Significant",IF(J813=4,"High","Critical")))))</x:f>
      </x:c>
      <x:c r="L813" s="16" t="str">
        <x:f>IF(A813="","",Events!U812)</x:f>
      </x:c>
      <x:c r="M813" s="16" t="str">
        <x:f>IF(A813="","",Events!V812)</x:f>
      </x:c>
      <x:c r="N813" s="16" t="str">
        <x:f>IF(A813="","",Events!Q812)</x:f>
      </x:c>
      <x:c r="O813" s="16" t="str">
        <x:f>IF(A813="","",Events!R812)</x:f>
      </x:c>
      <x:c r="P813" s="16" t="str">
        <x:f>IF(A813="","",LOWER(Events!B812&amp;" "&amp;Events!D812&amp;" "&amp;Events!K812))</x:f>
      </x:c>
      <x:c r="Q813" s="16" t="str">
        <x:f>IF(A813="","",LOWER(Events!C812&amp;" "&amp;Events!K812&amp;" "&amp;Events!T812))</x:f>
      </x:c>
      <x:c r="R813" s="16" t="str">
        <x:f>IF(A813="","",IF(ISNUMBER(SEARCH("Occurrence verified",E813)),"Occurrence verified",E813))</x:f>
      </x:c>
      <x:c r="S813" s="79" t="str">
        <x:f>IF(A813="","",Events!X812)</x:f>
      </x:c>
      <x:c r="Z813" s="79" t="str">
        <x:f>IF(A813="","",Events!AD812)</x:f>
      </x:c>
      <x:c r="AA813" s="79" t="str">
        <x:f>IF(A813="","",Events!AE812)</x:f>
      </x:c>
    </x:row>
    <x:row r="814">
      <x:c r="A814" s="16" t="str">
        <x:f>IF(Events!A813="","",Events!A813)</x:f>
      </x:c>
      <x:c r="B814" s="16" t="str">
        <x:f>IF(A814="","",Events!B813)</x:f>
      </x:c>
      <x:c r="C814" s="16" t="str">
        <x:f>IF(A814="","",Events!E813)</x:f>
      </x:c>
      <x:c r="D814" s="16" t="str">
        <x:f>IF(A814="","",Events!J813)</x:f>
      </x:c>
      <x:c r="E814" s="16" t="str">
        <x:f>IF(A814="","",Events!N813)</x:f>
      </x:c>
      <x:c r="F814" s="109" t="str">
        <x:f>IF(OR(A814="",Events!H813=""),"",Events!H813)</x:f>
      </x:c>
      <x:c r="G814" s="109" t="str">
        <x:f>IF(A814="","",IF(Events!I813&lt;&gt;"",Events!I813,IF(Events!S813&lt;&gt;"",Events!S813,"")))</x:f>
      </x:c>
      <x:c r="H814" s="16" t="str">
        <x:f>IF(A814="","",Events!W813)</x:f>
      </x:c>
      <x:c r="I814" s="16" t="str">
        <x:f>IF(A814="","",IF(Events!Y813&lt;&gt;"",Events!Y813,IF(OR(ISNUMBER(SEARCH("education",P814)),ISNUMBER(SEARCH("exam",P814)),ISNUMBER(SEARCH("school",P814))),"Education",IF(OR(ISNUMBER(SEARCH("trade agreement",P814)),ISNUMBER(SEARCH("economic",P814)),ISNUMBER(SEARCH("import",P814))),"Trade &amp; economic policy",IF(OR(ISNUMBER(SEARCH("land acquisition",P814)),ISNUMBER(SEARCH("rehabilitation",P814)),ISNUMBER(SEARCH("displacement",P814)),ISNUMBER(SEARCH("township",P814))),"Land &amp; rehabilitation",IF(OR(ISNUMBER(SEARCH("forest",P814)),ISNUMBER(SEARCH("environment",P814)),ISNUMBER(SEARCH("ecological",P814)),ISNUMBER(SEARCH("biodiversity",P814)),ISNUMBER(SEARCH("green cover",P814))),"Environment",IF(OR(ISNUMBER(SEARCH("irrigation",P814)),ISNUMBER(SEARCH("water",P814)),ISNUMBER(SEARCH("crop",P814)),ISNUMBER(SEARCH("farmer",P814)),ISNUMBER(SEARCH("agriculture",P814))),"Agriculture &amp; water",IF(OR(ISNUMBER(SEARCH("health",P814)),ISNUMBER(SEARCH("hospital",P814)),ISNUMBER(SEARCH("medicine",P814))),"Public health",IF(OR(ISNUMBER(SEARCH("employee",P814)),ISNUMBER(SEARCH("labour",P814)),ISNUMBER(SEARCH("worker",P814)),ISNUMBER(SEARCH("salary",P814))),"Labour &amp; employment",IF(OR(ISNUMBER(SEARCH("rti",P814)),ISNUMBER(SEARCH("transparency",P814)),ISNUMBER(SEARCH("corruption",P814)),ISNUMBER(SEARCH("governance",P814))),"Governance &amp; transparency",IF(OR(ISNUMBER(SEARCH("police",P814)),ISNUMBER(SEARCH("detention",P814)),ISNUMBER(SEARCH("civil rights",P814)),ISNUMBER(SEARCH("justice",P814))),"Civil rights &amp; justice",IF(OR(ISNUMBER(SEARCH("road",P814)),ISNUMBER(SEARCH("utility",P814)),ISNUMBER(SEARCH("infrastructure",P814)),ISNUMBER(SEARCH("public service",P814))),"Infrastructure &amp; public services","Other"))))))))))))</x:f>
      </x:c>
      <x:c r="J814" s="16" t="str">
        <x:f>IF(A814="","",IF(OR(ISNUMBER(SEARCH("fatal",Q814)),ISNUMBER(SEARCH("death",Q814)),ISNUMBER(SEARCH("riot",Q814)),ISNUMBER(SEARCH("curfew",Q814)),ISNUMBER(SEARCH("internet shutdown",Q814))),5,MIN(4,1+IF(H814&gt;=7,1,0)+IF(OR(ISNUMBER(SEARCH("hunger strike",Q814)),ISNUMBER(SEARCH("blockade",Q814)),ISNUMBER(SEARCH("strike",Q814)),ISNUMBER(SEARCH("jal satyagraha",Q814)),ISNUMBER(SEARCH("survey",Q814)),ISNUMBER(SEARCH("human chain",Q814)),ISNUMBER(SEARCH("march",Q814))),1,0)+IF(OR(ISNUMBER(SEARCH("fir",Q814)),ISNUMBER(SEARCH("confrontation",Q814)),ISNUMBER(SEARCH("violence",Q814)),ISNUMBER(SEARCH("detention",Q814)),ISNUMBER(SEARCH("arrest",Q814)),ISNUMBER(SEARCH("demolition",Q814)),ISNUMBER(SEARCH("injury",Q814))),1,0)+IF(OR(D814="Ongoing",D814="Unresolved"),1,0))))</x:f>
      </x:c>
      <x:c r="K814" s="16" t="str">
        <x:f>IF(J814="","",IF(J814=1,"Limited",IF(J814=2,"Local",IF(J814=3,"Significant",IF(J814=4,"High","Critical")))))</x:f>
      </x:c>
      <x:c r="L814" s="16" t="str">
        <x:f>IF(A814="","",Events!U813)</x:f>
      </x:c>
      <x:c r="M814" s="16" t="str">
        <x:f>IF(A814="","",Events!V813)</x:f>
      </x:c>
      <x:c r="N814" s="16" t="str">
        <x:f>IF(A814="","",Events!Q813)</x:f>
      </x:c>
      <x:c r="O814" s="16" t="str">
        <x:f>IF(A814="","",Events!R813)</x:f>
      </x:c>
      <x:c r="P814" s="16" t="str">
        <x:f>IF(A814="","",LOWER(Events!B813&amp;" "&amp;Events!D813&amp;" "&amp;Events!K813))</x:f>
      </x:c>
      <x:c r="Q814" s="16" t="str">
        <x:f>IF(A814="","",LOWER(Events!C813&amp;" "&amp;Events!K813&amp;" "&amp;Events!T813))</x:f>
      </x:c>
      <x:c r="R814" s="16" t="str">
        <x:f>IF(A814="","",IF(ISNUMBER(SEARCH("Occurrence verified",E814)),"Occurrence verified",E814))</x:f>
      </x:c>
      <x:c r="S814" s="79" t="str">
        <x:f>IF(A814="","",Events!X813)</x:f>
      </x:c>
      <x:c r="Z814" s="79" t="str">
        <x:f>IF(A814="","",Events!AD813)</x:f>
      </x:c>
      <x:c r="AA814" s="79" t="str">
        <x:f>IF(A814="","",Events!AE813)</x:f>
      </x:c>
    </x:row>
    <x:row r="815">
      <x:c r="A815" s="16" t="str">
        <x:f>IF(Events!A814="","",Events!A814)</x:f>
      </x:c>
      <x:c r="B815" s="16" t="str">
        <x:f>IF(A815="","",Events!B814)</x:f>
      </x:c>
      <x:c r="C815" s="16" t="str">
        <x:f>IF(A815="","",Events!E814)</x:f>
      </x:c>
      <x:c r="D815" s="16" t="str">
        <x:f>IF(A815="","",Events!J814)</x:f>
      </x:c>
      <x:c r="E815" s="16" t="str">
        <x:f>IF(A815="","",Events!N814)</x:f>
      </x:c>
      <x:c r="F815" s="109" t="str">
        <x:f>IF(OR(A815="",Events!H814=""),"",Events!H814)</x:f>
      </x:c>
      <x:c r="G815" s="109" t="str">
        <x:f>IF(A815="","",IF(Events!I814&lt;&gt;"",Events!I814,IF(Events!S814&lt;&gt;"",Events!S814,"")))</x:f>
      </x:c>
      <x:c r="H815" s="16" t="str">
        <x:f>IF(A815="","",Events!W814)</x:f>
      </x:c>
      <x:c r="I815" s="16" t="str">
        <x:f>IF(A815="","",IF(Events!Y814&lt;&gt;"",Events!Y814,IF(OR(ISNUMBER(SEARCH("education",P815)),ISNUMBER(SEARCH("exam",P815)),ISNUMBER(SEARCH("school",P815))),"Education",IF(OR(ISNUMBER(SEARCH("trade agreement",P815)),ISNUMBER(SEARCH("economic",P815)),ISNUMBER(SEARCH("import",P815))),"Trade &amp; economic policy",IF(OR(ISNUMBER(SEARCH("land acquisition",P815)),ISNUMBER(SEARCH("rehabilitation",P815)),ISNUMBER(SEARCH("displacement",P815)),ISNUMBER(SEARCH("township",P815))),"Land &amp; rehabilitation",IF(OR(ISNUMBER(SEARCH("forest",P815)),ISNUMBER(SEARCH("environment",P815)),ISNUMBER(SEARCH("ecological",P815)),ISNUMBER(SEARCH("biodiversity",P815)),ISNUMBER(SEARCH("green cover",P815))),"Environment",IF(OR(ISNUMBER(SEARCH("irrigation",P815)),ISNUMBER(SEARCH("water",P815)),ISNUMBER(SEARCH("crop",P815)),ISNUMBER(SEARCH("farmer",P815)),ISNUMBER(SEARCH("agriculture",P815))),"Agriculture &amp; water",IF(OR(ISNUMBER(SEARCH("health",P815)),ISNUMBER(SEARCH("hospital",P815)),ISNUMBER(SEARCH("medicine",P815))),"Public health",IF(OR(ISNUMBER(SEARCH("employee",P815)),ISNUMBER(SEARCH("labour",P815)),ISNUMBER(SEARCH("worker",P815)),ISNUMBER(SEARCH("salary",P815))),"Labour &amp; employment",IF(OR(ISNUMBER(SEARCH("rti",P815)),ISNUMBER(SEARCH("transparency",P815)),ISNUMBER(SEARCH("corruption",P815)),ISNUMBER(SEARCH("governance",P815))),"Governance &amp; transparency",IF(OR(ISNUMBER(SEARCH("police",P815)),ISNUMBER(SEARCH("detention",P815)),ISNUMBER(SEARCH("civil rights",P815)),ISNUMBER(SEARCH("justice",P815))),"Civil rights &amp; justice",IF(OR(ISNUMBER(SEARCH("road",P815)),ISNUMBER(SEARCH("utility",P815)),ISNUMBER(SEARCH("infrastructure",P815)),ISNUMBER(SEARCH("public service",P815))),"Infrastructure &amp; public services","Other"))))))))))))</x:f>
      </x:c>
      <x:c r="J815" s="16" t="str">
        <x:f>IF(A815="","",IF(OR(ISNUMBER(SEARCH("fatal",Q815)),ISNUMBER(SEARCH("death",Q815)),ISNUMBER(SEARCH("riot",Q815)),ISNUMBER(SEARCH("curfew",Q815)),ISNUMBER(SEARCH("internet shutdown",Q815))),5,MIN(4,1+IF(H815&gt;=7,1,0)+IF(OR(ISNUMBER(SEARCH("hunger strike",Q815)),ISNUMBER(SEARCH("blockade",Q815)),ISNUMBER(SEARCH("strike",Q815)),ISNUMBER(SEARCH("jal satyagraha",Q815)),ISNUMBER(SEARCH("survey",Q815)),ISNUMBER(SEARCH("human chain",Q815)),ISNUMBER(SEARCH("march",Q815))),1,0)+IF(OR(ISNUMBER(SEARCH("fir",Q815)),ISNUMBER(SEARCH("confrontation",Q815)),ISNUMBER(SEARCH("violence",Q815)),ISNUMBER(SEARCH("detention",Q815)),ISNUMBER(SEARCH("arrest",Q815)),ISNUMBER(SEARCH("demolition",Q815)),ISNUMBER(SEARCH("injury",Q815))),1,0)+IF(OR(D815="Ongoing",D815="Unresolved"),1,0))))</x:f>
      </x:c>
      <x:c r="K815" s="16" t="str">
        <x:f>IF(J815="","",IF(J815=1,"Limited",IF(J815=2,"Local",IF(J815=3,"Significant",IF(J815=4,"High","Critical")))))</x:f>
      </x:c>
      <x:c r="L815" s="16" t="str">
        <x:f>IF(A815="","",Events!U814)</x:f>
      </x:c>
      <x:c r="M815" s="16" t="str">
        <x:f>IF(A815="","",Events!V814)</x:f>
      </x:c>
      <x:c r="N815" s="16" t="str">
        <x:f>IF(A815="","",Events!Q814)</x:f>
      </x:c>
      <x:c r="O815" s="16" t="str">
        <x:f>IF(A815="","",Events!R814)</x:f>
      </x:c>
      <x:c r="P815" s="16" t="str">
        <x:f>IF(A815="","",LOWER(Events!B814&amp;" "&amp;Events!D814&amp;" "&amp;Events!K814))</x:f>
      </x:c>
      <x:c r="Q815" s="16" t="str">
        <x:f>IF(A815="","",LOWER(Events!C814&amp;" "&amp;Events!K814&amp;" "&amp;Events!T814))</x:f>
      </x:c>
      <x:c r="R815" s="16" t="str">
        <x:f>IF(A815="","",IF(ISNUMBER(SEARCH("Occurrence verified",E815)),"Occurrence verified",E815))</x:f>
      </x:c>
      <x:c r="S815" s="79" t="str">
        <x:f>IF(A815="","",Events!X814)</x:f>
      </x:c>
      <x:c r="Z815" s="79" t="str">
        <x:f>IF(A815="","",Events!AD814)</x:f>
      </x:c>
      <x:c r="AA815" s="79" t="str">
        <x:f>IF(A815="","",Events!AE814)</x:f>
      </x:c>
    </x:row>
    <x:row r="816">
      <x:c r="A816" s="16" t="str">
        <x:f>IF(Events!A815="","",Events!A815)</x:f>
      </x:c>
      <x:c r="B816" s="16" t="str">
        <x:f>IF(A816="","",Events!B815)</x:f>
      </x:c>
      <x:c r="C816" s="16" t="str">
        <x:f>IF(A816="","",Events!E815)</x:f>
      </x:c>
      <x:c r="D816" s="16" t="str">
        <x:f>IF(A816="","",Events!J815)</x:f>
      </x:c>
      <x:c r="E816" s="16" t="str">
        <x:f>IF(A816="","",Events!N815)</x:f>
      </x:c>
      <x:c r="F816" s="109" t="str">
        <x:f>IF(OR(A816="",Events!H815=""),"",Events!H815)</x:f>
      </x:c>
      <x:c r="G816" s="109" t="str">
        <x:f>IF(A816="","",IF(Events!I815&lt;&gt;"",Events!I815,IF(Events!S815&lt;&gt;"",Events!S815,"")))</x:f>
      </x:c>
      <x:c r="H816" s="16" t="str">
        <x:f>IF(A816="","",Events!W815)</x:f>
      </x:c>
      <x:c r="I816" s="16" t="str">
        <x:f>IF(A816="","",IF(Events!Y815&lt;&gt;"",Events!Y815,IF(OR(ISNUMBER(SEARCH("education",P816)),ISNUMBER(SEARCH("exam",P816)),ISNUMBER(SEARCH("school",P816))),"Education",IF(OR(ISNUMBER(SEARCH("trade agreement",P816)),ISNUMBER(SEARCH("economic",P816)),ISNUMBER(SEARCH("import",P816))),"Trade &amp; economic policy",IF(OR(ISNUMBER(SEARCH("land acquisition",P816)),ISNUMBER(SEARCH("rehabilitation",P816)),ISNUMBER(SEARCH("displacement",P816)),ISNUMBER(SEARCH("township",P816))),"Land &amp; rehabilitation",IF(OR(ISNUMBER(SEARCH("forest",P816)),ISNUMBER(SEARCH("environment",P816)),ISNUMBER(SEARCH("ecological",P816)),ISNUMBER(SEARCH("biodiversity",P816)),ISNUMBER(SEARCH("green cover",P816))),"Environment",IF(OR(ISNUMBER(SEARCH("irrigation",P816)),ISNUMBER(SEARCH("water",P816)),ISNUMBER(SEARCH("crop",P816)),ISNUMBER(SEARCH("farmer",P816)),ISNUMBER(SEARCH("agriculture",P816))),"Agriculture &amp; water",IF(OR(ISNUMBER(SEARCH("health",P816)),ISNUMBER(SEARCH("hospital",P816)),ISNUMBER(SEARCH("medicine",P816))),"Public health",IF(OR(ISNUMBER(SEARCH("employee",P816)),ISNUMBER(SEARCH("labour",P816)),ISNUMBER(SEARCH("worker",P816)),ISNUMBER(SEARCH("salary",P816))),"Labour &amp; employment",IF(OR(ISNUMBER(SEARCH("rti",P816)),ISNUMBER(SEARCH("transparency",P816)),ISNUMBER(SEARCH("corruption",P816)),ISNUMBER(SEARCH("governance",P816))),"Governance &amp; transparency",IF(OR(ISNUMBER(SEARCH("police",P816)),ISNUMBER(SEARCH("detention",P816)),ISNUMBER(SEARCH("civil rights",P816)),ISNUMBER(SEARCH("justice",P816))),"Civil rights &amp; justice",IF(OR(ISNUMBER(SEARCH("road",P816)),ISNUMBER(SEARCH("utility",P816)),ISNUMBER(SEARCH("infrastructure",P816)),ISNUMBER(SEARCH("public service",P816))),"Infrastructure &amp; public services","Other"))))))))))))</x:f>
      </x:c>
      <x:c r="J816" s="16" t="str">
        <x:f>IF(A816="","",IF(OR(ISNUMBER(SEARCH("fatal",Q816)),ISNUMBER(SEARCH("death",Q816)),ISNUMBER(SEARCH("riot",Q816)),ISNUMBER(SEARCH("curfew",Q816)),ISNUMBER(SEARCH("internet shutdown",Q816))),5,MIN(4,1+IF(H816&gt;=7,1,0)+IF(OR(ISNUMBER(SEARCH("hunger strike",Q816)),ISNUMBER(SEARCH("blockade",Q816)),ISNUMBER(SEARCH("strike",Q816)),ISNUMBER(SEARCH("jal satyagraha",Q816)),ISNUMBER(SEARCH("survey",Q816)),ISNUMBER(SEARCH("human chain",Q816)),ISNUMBER(SEARCH("march",Q816))),1,0)+IF(OR(ISNUMBER(SEARCH("fir",Q816)),ISNUMBER(SEARCH("confrontation",Q816)),ISNUMBER(SEARCH("violence",Q816)),ISNUMBER(SEARCH("detention",Q816)),ISNUMBER(SEARCH("arrest",Q816)),ISNUMBER(SEARCH("demolition",Q816)),ISNUMBER(SEARCH("injury",Q816))),1,0)+IF(OR(D816="Ongoing",D816="Unresolved"),1,0))))</x:f>
      </x:c>
      <x:c r="K816" s="16" t="str">
        <x:f>IF(J816="","",IF(J816=1,"Limited",IF(J816=2,"Local",IF(J816=3,"Significant",IF(J816=4,"High","Critical")))))</x:f>
      </x:c>
      <x:c r="L816" s="16" t="str">
        <x:f>IF(A816="","",Events!U815)</x:f>
      </x:c>
      <x:c r="M816" s="16" t="str">
        <x:f>IF(A816="","",Events!V815)</x:f>
      </x:c>
      <x:c r="N816" s="16" t="str">
        <x:f>IF(A816="","",Events!Q815)</x:f>
      </x:c>
      <x:c r="O816" s="16" t="str">
        <x:f>IF(A816="","",Events!R815)</x:f>
      </x:c>
      <x:c r="P816" s="16" t="str">
        <x:f>IF(A816="","",LOWER(Events!B815&amp;" "&amp;Events!D815&amp;" "&amp;Events!K815))</x:f>
      </x:c>
      <x:c r="Q816" s="16" t="str">
        <x:f>IF(A816="","",LOWER(Events!C815&amp;" "&amp;Events!K815&amp;" "&amp;Events!T815))</x:f>
      </x:c>
      <x:c r="R816" s="16" t="str">
        <x:f>IF(A816="","",IF(ISNUMBER(SEARCH("Occurrence verified",E816)),"Occurrence verified",E816))</x:f>
      </x:c>
      <x:c r="S816" s="79" t="str">
        <x:f>IF(A816="","",Events!X815)</x:f>
      </x:c>
      <x:c r="Z816" s="79" t="str">
        <x:f>IF(A816="","",Events!AD815)</x:f>
      </x:c>
      <x:c r="AA816" s="79" t="str">
        <x:f>IF(A816="","",Events!AE815)</x:f>
      </x:c>
    </x:row>
    <x:row r="817">
      <x:c r="A817" s="16" t="str">
        <x:f>IF(Events!A816="","",Events!A816)</x:f>
      </x:c>
      <x:c r="B817" s="16" t="str">
        <x:f>IF(A817="","",Events!B816)</x:f>
      </x:c>
      <x:c r="C817" s="16" t="str">
        <x:f>IF(A817="","",Events!E816)</x:f>
      </x:c>
      <x:c r="D817" s="16" t="str">
        <x:f>IF(A817="","",Events!J816)</x:f>
      </x:c>
      <x:c r="E817" s="16" t="str">
        <x:f>IF(A817="","",Events!N816)</x:f>
      </x:c>
      <x:c r="F817" s="109" t="str">
        <x:f>IF(OR(A817="",Events!H816=""),"",Events!H816)</x:f>
      </x:c>
      <x:c r="G817" s="109" t="str">
        <x:f>IF(A817="","",IF(Events!I816&lt;&gt;"",Events!I816,IF(Events!S816&lt;&gt;"",Events!S816,"")))</x:f>
      </x:c>
      <x:c r="H817" s="16" t="str">
        <x:f>IF(A817="","",Events!W816)</x:f>
      </x:c>
      <x:c r="I817" s="16" t="str">
        <x:f>IF(A817="","",IF(Events!Y816&lt;&gt;"",Events!Y816,IF(OR(ISNUMBER(SEARCH("education",P817)),ISNUMBER(SEARCH("exam",P817)),ISNUMBER(SEARCH("school",P817))),"Education",IF(OR(ISNUMBER(SEARCH("trade agreement",P817)),ISNUMBER(SEARCH("economic",P817)),ISNUMBER(SEARCH("import",P817))),"Trade &amp; economic policy",IF(OR(ISNUMBER(SEARCH("land acquisition",P817)),ISNUMBER(SEARCH("rehabilitation",P817)),ISNUMBER(SEARCH("displacement",P817)),ISNUMBER(SEARCH("township",P817))),"Land &amp; rehabilitation",IF(OR(ISNUMBER(SEARCH("forest",P817)),ISNUMBER(SEARCH("environment",P817)),ISNUMBER(SEARCH("ecological",P817)),ISNUMBER(SEARCH("biodiversity",P817)),ISNUMBER(SEARCH("green cover",P817))),"Environment",IF(OR(ISNUMBER(SEARCH("irrigation",P817)),ISNUMBER(SEARCH("water",P817)),ISNUMBER(SEARCH("crop",P817)),ISNUMBER(SEARCH("farmer",P817)),ISNUMBER(SEARCH("agriculture",P817))),"Agriculture &amp; water",IF(OR(ISNUMBER(SEARCH("health",P817)),ISNUMBER(SEARCH("hospital",P817)),ISNUMBER(SEARCH("medicine",P817))),"Public health",IF(OR(ISNUMBER(SEARCH("employee",P817)),ISNUMBER(SEARCH("labour",P817)),ISNUMBER(SEARCH("worker",P817)),ISNUMBER(SEARCH("salary",P817))),"Labour &amp; employment",IF(OR(ISNUMBER(SEARCH("rti",P817)),ISNUMBER(SEARCH("transparency",P817)),ISNUMBER(SEARCH("corruption",P817)),ISNUMBER(SEARCH("governance",P817))),"Governance &amp; transparency",IF(OR(ISNUMBER(SEARCH("police",P817)),ISNUMBER(SEARCH("detention",P817)),ISNUMBER(SEARCH("civil rights",P817)),ISNUMBER(SEARCH("justice",P817))),"Civil rights &amp; justice",IF(OR(ISNUMBER(SEARCH("road",P817)),ISNUMBER(SEARCH("utility",P817)),ISNUMBER(SEARCH("infrastructure",P817)),ISNUMBER(SEARCH("public service",P817))),"Infrastructure &amp; public services","Other"))))))))))))</x:f>
      </x:c>
      <x:c r="J817" s="16" t="str">
        <x:f>IF(A817="","",IF(OR(ISNUMBER(SEARCH("fatal",Q817)),ISNUMBER(SEARCH("death",Q817)),ISNUMBER(SEARCH("riot",Q817)),ISNUMBER(SEARCH("curfew",Q817)),ISNUMBER(SEARCH("internet shutdown",Q817))),5,MIN(4,1+IF(H817&gt;=7,1,0)+IF(OR(ISNUMBER(SEARCH("hunger strike",Q817)),ISNUMBER(SEARCH("blockade",Q817)),ISNUMBER(SEARCH("strike",Q817)),ISNUMBER(SEARCH("jal satyagraha",Q817)),ISNUMBER(SEARCH("survey",Q817)),ISNUMBER(SEARCH("human chain",Q817)),ISNUMBER(SEARCH("march",Q817))),1,0)+IF(OR(ISNUMBER(SEARCH("fir",Q817)),ISNUMBER(SEARCH("confrontation",Q817)),ISNUMBER(SEARCH("violence",Q817)),ISNUMBER(SEARCH("detention",Q817)),ISNUMBER(SEARCH("arrest",Q817)),ISNUMBER(SEARCH("demolition",Q817)),ISNUMBER(SEARCH("injury",Q817))),1,0)+IF(OR(D817="Ongoing",D817="Unresolved"),1,0))))</x:f>
      </x:c>
      <x:c r="K817" s="16" t="str">
        <x:f>IF(J817="","",IF(J817=1,"Limited",IF(J817=2,"Local",IF(J817=3,"Significant",IF(J817=4,"High","Critical")))))</x:f>
      </x:c>
      <x:c r="L817" s="16" t="str">
        <x:f>IF(A817="","",Events!U816)</x:f>
      </x:c>
      <x:c r="M817" s="16" t="str">
        <x:f>IF(A817="","",Events!V816)</x:f>
      </x:c>
      <x:c r="N817" s="16" t="str">
        <x:f>IF(A817="","",Events!Q816)</x:f>
      </x:c>
      <x:c r="O817" s="16" t="str">
        <x:f>IF(A817="","",Events!R816)</x:f>
      </x:c>
      <x:c r="P817" s="16" t="str">
        <x:f>IF(A817="","",LOWER(Events!B816&amp;" "&amp;Events!D816&amp;" "&amp;Events!K816))</x:f>
      </x:c>
      <x:c r="Q817" s="16" t="str">
        <x:f>IF(A817="","",LOWER(Events!C816&amp;" "&amp;Events!K816&amp;" "&amp;Events!T816))</x:f>
      </x:c>
      <x:c r="R817" s="16" t="str">
        <x:f>IF(A817="","",IF(ISNUMBER(SEARCH("Occurrence verified",E817)),"Occurrence verified",E817))</x:f>
      </x:c>
      <x:c r="S817" s="79" t="str">
        <x:f>IF(A817="","",Events!X816)</x:f>
      </x:c>
      <x:c r="Z817" s="79" t="str">
        <x:f>IF(A817="","",Events!AD816)</x:f>
      </x:c>
      <x:c r="AA817" s="79" t="str">
        <x:f>IF(A817="","",Events!AE816)</x:f>
      </x:c>
    </x:row>
    <x:row r="818">
      <x:c r="A818" s="16" t="str">
        <x:f>IF(Events!A817="","",Events!A817)</x:f>
      </x:c>
      <x:c r="B818" s="16" t="str">
        <x:f>IF(A818="","",Events!B817)</x:f>
      </x:c>
      <x:c r="C818" s="16" t="str">
        <x:f>IF(A818="","",Events!E817)</x:f>
      </x:c>
      <x:c r="D818" s="16" t="str">
        <x:f>IF(A818="","",Events!J817)</x:f>
      </x:c>
      <x:c r="E818" s="16" t="str">
        <x:f>IF(A818="","",Events!N817)</x:f>
      </x:c>
      <x:c r="F818" s="109" t="str">
        <x:f>IF(OR(A818="",Events!H817=""),"",Events!H817)</x:f>
      </x:c>
      <x:c r="G818" s="109" t="str">
        <x:f>IF(A818="","",IF(Events!I817&lt;&gt;"",Events!I817,IF(Events!S817&lt;&gt;"",Events!S817,"")))</x:f>
      </x:c>
      <x:c r="H818" s="16" t="str">
        <x:f>IF(A818="","",Events!W817)</x:f>
      </x:c>
      <x:c r="I818" s="16" t="str">
        <x:f>IF(A818="","",IF(Events!Y817&lt;&gt;"",Events!Y817,IF(OR(ISNUMBER(SEARCH("education",P818)),ISNUMBER(SEARCH("exam",P818)),ISNUMBER(SEARCH("school",P818))),"Education",IF(OR(ISNUMBER(SEARCH("trade agreement",P818)),ISNUMBER(SEARCH("economic",P818)),ISNUMBER(SEARCH("import",P818))),"Trade &amp; economic policy",IF(OR(ISNUMBER(SEARCH("land acquisition",P818)),ISNUMBER(SEARCH("rehabilitation",P818)),ISNUMBER(SEARCH("displacement",P818)),ISNUMBER(SEARCH("township",P818))),"Land &amp; rehabilitation",IF(OR(ISNUMBER(SEARCH("forest",P818)),ISNUMBER(SEARCH("environment",P818)),ISNUMBER(SEARCH("ecological",P818)),ISNUMBER(SEARCH("biodiversity",P818)),ISNUMBER(SEARCH("green cover",P818))),"Environment",IF(OR(ISNUMBER(SEARCH("irrigation",P818)),ISNUMBER(SEARCH("water",P818)),ISNUMBER(SEARCH("crop",P818)),ISNUMBER(SEARCH("farmer",P818)),ISNUMBER(SEARCH("agriculture",P818))),"Agriculture &amp; water",IF(OR(ISNUMBER(SEARCH("health",P818)),ISNUMBER(SEARCH("hospital",P818)),ISNUMBER(SEARCH("medicine",P818))),"Public health",IF(OR(ISNUMBER(SEARCH("employee",P818)),ISNUMBER(SEARCH("labour",P818)),ISNUMBER(SEARCH("worker",P818)),ISNUMBER(SEARCH("salary",P818))),"Labour &amp; employment",IF(OR(ISNUMBER(SEARCH("rti",P818)),ISNUMBER(SEARCH("transparency",P818)),ISNUMBER(SEARCH("corruption",P818)),ISNUMBER(SEARCH("governance",P818))),"Governance &amp; transparency",IF(OR(ISNUMBER(SEARCH("police",P818)),ISNUMBER(SEARCH("detention",P818)),ISNUMBER(SEARCH("civil rights",P818)),ISNUMBER(SEARCH("justice",P818))),"Civil rights &amp; justice",IF(OR(ISNUMBER(SEARCH("road",P818)),ISNUMBER(SEARCH("utility",P818)),ISNUMBER(SEARCH("infrastructure",P818)),ISNUMBER(SEARCH("public service",P818))),"Infrastructure &amp; public services","Other"))))))))))))</x:f>
      </x:c>
      <x:c r="J818" s="16" t="str">
        <x:f>IF(A818="","",IF(OR(ISNUMBER(SEARCH("fatal",Q818)),ISNUMBER(SEARCH("death",Q818)),ISNUMBER(SEARCH("riot",Q818)),ISNUMBER(SEARCH("curfew",Q818)),ISNUMBER(SEARCH("internet shutdown",Q818))),5,MIN(4,1+IF(H818&gt;=7,1,0)+IF(OR(ISNUMBER(SEARCH("hunger strike",Q818)),ISNUMBER(SEARCH("blockade",Q818)),ISNUMBER(SEARCH("strike",Q818)),ISNUMBER(SEARCH("jal satyagraha",Q818)),ISNUMBER(SEARCH("survey",Q818)),ISNUMBER(SEARCH("human chain",Q818)),ISNUMBER(SEARCH("march",Q818))),1,0)+IF(OR(ISNUMBER(SEARCH("fir",Q818)),ISNUMBER(SEARCH("confrontation",Q818)),ISNUMBER(SEARCH("violence",Q818)),ISNUMBER(SEARCH("detention",Q818)),ISNUMBER(SEARCH("arrest",Q818)),ISNUMBER(SEARCH("demolition",Q818)),ISNUMBER(SEARCH("injury",Q818))),1,0)+IF(OR(D818="Ongoing",D818="Unresolved"),1,0))))</x:f>
      </x:c>
      <x:c r="K818" s="16" t="str">
        <x:f>IF(J818="","",IF(J818=1,"Limited",IF(J818=2,"Local",IF(J818=3,"Significant",IF(J818=4,"High","Critical")))))</x:f>
      </x:c>
      <x:c r="L818" s="16" t="str">
        <x:f>IF(A818="","",Events!U817)</x:f>
      </x:c>
      <x:c r="M818" s="16" t="str">
        <x:f>IF(A818="","",Events!V817)</x:f>
      </x:c>
      <x:c r="N818" s="16" t="str">
        <x:f>IF(A818="","",Events!Q817)</x:f>
      </x:c>
      <x:c r="O818" s="16" t="str">
        <x:f>IF(A818="","",Events!R817)</x:f>
      </x:c>
      <x:c r="P818" s="16" t="str">
        <x:f>IF(A818="","",LOWER(Events!B817&amp;" "&amp;Events!D817&amp;" "&amp;Events!K817))</x:f>
      </x:c>
      <x:c r="Q818" s="16" t="str">
        <x:f>IF(A818="","",LOWER(Events!C817&amp;" "&amp;Events!K817&amp;" "&amp;Events!T817))</x:f>
      </x:c>
      <x:c r="R818" s="16" t="str">
        <x:f>IF(A818="","",IF(ISNUMBER(SEARCH("Occurrence verified",E818)),"Occurrence verified",E818))</x:f>
      </x:c>
      <x:c r="S818" s="79" t="str">
        <x:f>IF(A818="","",Events!X817)</x:f>
      </x:c>
      <x:c r="Z818" s="79" t="str">
        <x:f>IF(A818="","",Events!AD817)</x:f>
      </x:c>
      <x:c r="AA818" s="79" t="str">
        <x:f>IF(A818="","",Events!AE817)</x:f>
      </x:c>
    </x:row>
    <x:row r="819">
      <x:c r="A819" s="16" t="str">
        <x:f>IF(Events!A818="","",Events!A818)</x:f>
      </x:c>
      <x:c r="B819" s="16" t="str">
        <x:f>IF(A819="","",Events!B818)</x:f>
      </x:c>
      <x:c r="C819" s="16" t="str">
        <x:f>IF(A819="","",Events!E818)</x:f>
      </x:c>
      <x:c r="D819" s="16" t="str">
        <x:f>IF(A819="","",Events!J818)</x:f>
      </x:c>
      <x:c r="E819" s="16" t="str">
        <x:f>IF(A819="","",Events!N818)</x:f>
      </x:c>
      <x:c r="F819" s="109" t="str">
        <x:f>IF(OR(A819="",Events!H818=""),"",Events!H818)</x:f>
      </x:c>
      <x:c r="G819" s="109" t="str">
        <x:f>IF(A819="","",IF(Events!I818&lt;&gt;"",Events!I818,IF(Events!S818&lt;&gt;"",Events!S818,"")))</x:f>
      </x:c>
      <x:c r="H819" s="16" t="str">
        <x:f>IF(A819="","",Events!W818)</x:f>
      </x:c>
      <x:c r="I819" s="16" t="str">
        <x:f>IF(A819="","",IF(Events!Y818&lt;&gt;"",Events!Y818,IF(OR(ISNUMBER(SEARCH("education",P819)),ISNUMBER(SEARCH("exam",P819)),ISNUMBER(SEARCH("school",P819))),"Education",IF(OR(ISNUMBER(SEARCH("trade agreement",P819)),ISNUMBER(SEARCH("economic",P819)),ISNUMBER(SEARCH("import",P819))),"Trade &amp; economic policy",IF(OR(ISNUMBER(SEARCH("land acquisition",P819)),ISNUMBER(SEARCH("rehabilitation",P819)),ISNUMBER(SEARCH("displacement",P819)),ISNUMBER(SEARCH("township",P819))),"Land &amp; rehabilitation",IF(OR(ISNUMBER(SEARCH("forest",P819)),ISNUMBER(SEARCH("environment",P819)),ISNUMBER(SEARCH("ecological",P819)),ISNUMBER(SEARCH("biodiversity",P819)),ISNUMBER(SEARCH("green cover",P819))),"Environment",IF(OR(ISNUMBER(SEARCH("irrigation",P819)),ISNUMBER(SEARCH("water",P819)),ISNUMBER(SEARCH("crop",P819)),ISNUMBER(SEARCH("farmer",P819)),ISNUMBER(SEARCH("agriculture",P819))),"Agriculture &amp; water",IF(OR(ISNUMBER(SEARCH("health",P819)),ISNUMBER(SEARCH("hospital",P819)),ISNUMBER(SEARCH("medicine",P819))),"Public health",IF(OR(ISNUMBER(SEARCH("employee",P819)),ISNUMBER(SEARCH("labour",P819)),ISNUMBER(SEARCH("worker",P819)),ISNUMBER(SEARCH("salary",P819))),"Labour &amp; employment",IF(OR(ISNUMBER(SEARCH("rti",P819)),ISNUMBER(SEARCH("transparency",P819)),ISNUMBER(SEARCH("corruption",P819)),ISNUMBER(SEARCH("governance",P819))),"Governance &amp; transparency",IF(OR(ISNUMBER(SEARCH("police",P819)),ISNUMBER(SEARCH("detention",P819)),ISNUMBER(SEARCH("civil rights",P819)),ISNUMBER(SEARCH("justice",P819))),"Civil rights &amp; justice",IF(OR(ISNUMBER(SEARCH("road",P819)),ISNUMBER(SEARCH("utility",P819)),ISNUMBER(SEARCH("infrastructure",P819)),ISNUMBER(SEARCH("public service",P819))),"Infrastructure &amp; public services","Other"))))))))))))</x:f>
      </x:c>
      <x:c r="J819" s="16" t="str">
        <x:f>IF(A819="","",IF(OR(ISNUMBER(SEARCH("fatal",Q819)),ISNUMBER(SEARCH("death",Q819)),ISNUMBER(SEARCH("riot",Q819)),ISNUMBER(SEARCH("curfew",Q819)),ISNUMBER(SEARCH("internet shutdown",Q819))),5,MIN(4,1+IF(H819&gt;=7,1,0)+IF(OR(ISNUMBER(SEARCH("hunger strike",Q819)),ISNUMBER(SEARCH("blockade",Q819)),ISNUMBER(SEARCH("strike",Q819)),ISNUMBER(SEARCH("jal satyagraha",Q819)),ISNUMBER(SEARCH("survey",Q819)),ISNUMBER(SEARCH("human chain",Q819)),ISNUMBER(SEARCH("march",Q819))),1,0)+IF(OR(ISNUMBER(SEARCH("fir",Q819)),ISNUMBER(SEARCH("confrontation",Q819)),ISNUMBER(SEARCH("violence",Q819)),ISNUMBER(SEARCH("detention",Q819)),ISNUMBER(SEARCH("arrest",Q819)),ISNUMBER(SEARCH("demolition",Q819)),ISNUMBER(SEARCH("injury",Q819))),1,0)+IF(OR(D819="Ongoing",D819="Unresolved"),1,0))))</x:f>
      </x:c>
      <x:c r="K819" s="16" t="str">
        <x:f>IF(J819="","",IF(J819=1,"Limited",IF(J819=2,"Local",IF(J819=3,"Significant",IF(J819=4,"High","Critical")))))</x:f>
      </x:c>
      <x:c r="L819" s="16" t="str">
        <x:f>IF(A819="","",Events!U818)</x:f>
      </x:c>
      <x:c r="M819" s="16" t="str">
        <x:f>IF(A819="","",Events!V818)</x:f>
      </x:c>
      <x:c r="N819" s="16" t="str">
        <x:f>IF(A819="","",Events!Q818)</x:f>
      </x:c>
      <x:c r="O819" s="16" t="str">
        <x:f>IF(A819="","",Events!R818)</x:f>
      </x:c>
      <x:c r="P819" s="16" t="str">
        <x:f>IF(A819="","",LOWER(Events!B818&amp;" "&amp;Events!D818&amp;" "&amp;Events!K818))</x:f>
      </x:c>
      <x:c r="Q819" s="16" t="str">
        <x:f>IF(A819="","",LOWER(Events!C818&amp;" "&amp;Events!K818&amp;" "&amp;Events!T818))</x:f>
      </x:c>
      <x:c r="R819" s="16" t="str">
        <x:f>IF(A819="","",IF(ISNUMBER(SEARCH("Occurrence verified",E819)),"Occurrence verified",E819))</x:f>
      </x:c>
      <x:c r="S819" s="79" t="str">
        <x:f>IF(A819="","",Events!X818)</x:f>
      </x:c>
      <x:c r="Z819" s="79" t="str">
        <x:f>IF(A819="","",Events!AD818)</x:f>
      </x:c>
      <x:c r="AA819" s="79" t="str">
        <x:f>IF(A819="","",Events!AE818)</x:f>
      </x:c>
    </x:row>
    <x:row r="820">
      <x:c r="A820" s="16" t="str">
        <x:f>IF(Events!A819="","",Events!A819)</x:f>
      </x:c>
      <x:c r="B820" s="16" t="str">
        <x:f>IF(A820="","",Events!B819)</x:f>
      </x:c>
      <x:c r="C820" s="16" t="str">
        <x:f>IF(A820="","",Events!E819)</x:f>
      </x:c>
      <x:c r="D820" s="16" t="str">
        <x:f>IF(A820="","",Events!J819)</x:f>
      </x:c>
      <x:c r="E820" s="16" t="str">
        <x:f>IF(A820="","",Events!N819)</x:f>
      </x:c>
      <x:c r="F820" s="109" t="str">
        <x:f>IF(OR(A820="",Events!H819=""),"",Events!H819)</x:f>
      </x:c>
      <x:c r="G820" s="109" t="str">
        <x:f>IF(A820="","",IF(Events!I819&lt;&gt;"",Events!I819,IF(Events!S819&lt;&gt;"",Events!S819,"")))</x:f>
      </x:c>
      <x:c r="H820" s="16" t="str">
        <x:f>IF(A820="","",Events!W819)</x:f>
      </x:c>
      <x:c r="I820" s="16" t="str">
        <x:f>IF(A820="","",IF(Events!Y819&lt;&gt;"",Events!Y819,IF(OR(ISNUMBER(SEARCH("education",P820)),ISNUMBER(SEARCH("exam",P820)),ISNUMBER(SEARCH("school",P820))),"Education",IF(OR(ISNUMBER(SEARCH("trade agreement",P820)),ISNUMBER(SEARCH("economic",P820)),ISNUMBER(SEARCH("import",P820))),"Trade &amp; economic policy",IF(OR(ISNUMBER(SEARCH("land acquisition",P820)),ISNUMBER(SEARCH("rehabilitation",P820)),ISNUMBER(SEARCH("displacement",P820)),ISNUMBER(SEARCH("township",P820))),"Land &amp; rehabilitation",IF(OR(ISNUMBER(SEARCH("forest",P820)),ISNUMBER(SEARCH("environment",P820)),ISNUMBER(SEARCH("ecological",P820)),ISNUMBER(SEARCH("biodiversity",P820)),ISNUMBER(SEARCH("green cover",P820))),"Environment",IF(OR(ISNUMBER(SEARCH("irrigation",P820)),ISNUMBER(SEARCH("water",P820)),ISNUMBER(SEARCH("crop",P820)),ISNUMBER(SEARCH("farmer",P820)),ISNUMBER(SEARCH("agriculture",P820))),"Agriculture &amp; water",IF(OR(ISNUMBER(SEARCH("health",P820)),ISNUMBER(SEARCH("hospital",P820)),ISNUMBER(SEARCH("medicine",P820))),"Public health",IF(OR(ISNUMBER(SEARCH("employee",P820)),ISNUMBER(SEARCH("labour",P820)),ISNUMBER(SEARCH("worker",P820)),ISNUMBER(SEARCH("salary",P820))),"Labour &amp; employment",IF(OR(ISNUMBER(SEARCH("rti",P820)),ISNUMBER(SEARCH("transparency",P820)),ISNUMBER(SEARCH("corruption",P820)),ISNUMBER(SEARCH("governance",P820))),"Governance &amp; transparency",IF(OR(ISNUMBER(SEARCH("police",P820)),ISNUMBER(SEARCH("detention",P820)),ISNUMBER(SEARCH("civil rights",P820)),ISNUMBER(SEARCH("justice",P820))),"Civil rights &amp; justice",IF(OR(ISNUMBER(SEARCH("road",P820)),ISNUMBER(SEARCH("utility",P820)),ISNUMBER(SEARCH("infrastructure",P820)),ISNUMBER(SEARCH("public service",P820))),"Infrastructure &amp; public services","Other"))))))))))))</x:f>
      </x:c>
      <x:c r="J820" s="16" t="str">
        <x:f>IF(A820="","",IF(OR(ISNUMBER(SEARCH("fatal",Q820)),ISNUMBER(SEARCH("death",Q820)),ISNUMBER(SEARCH("riot",Q820)),ISNUMBER(SEARCH("curfew",Q820)),ISNUMBER(SEARCH("internet shutdown",Q820))),5,MIN(4,1+IF(H820&gt;=7,1,0)+IF(OR(ISNUMBER(SEARCH("hunger strike",Q820)),ISNUMBER(SEARCH("blockade",Q820)),ISNUMBER(SEARCH("strike",Q820)),ISNUMBER(SEARCH("jal satyagraha",Q820)),ISNUMBER(SEARCH("survey",Q820)),ISNUMBER(SEARCH("human chain",Q820)),ISNUMBER(SEARCH("march",Q820))),1,0)+IF(OR(ISNUMBER(SEARCH("fir",Q820)),ISNUMBER(SEARCH("confrontation",Q820)),ISNUMBER(SEARCH("violence",Q820)),ISNUMBER(SEARCH("detention",Q820)),ISNUMBER(SEARCH("arrest",Q820)),ISNUMBER(SEARCH("demolition",Q820)),ISNUMBER(SEARCH("injury",Q820))),1,0)+IF(OR(D820="Ongoing",D820="Unresolved"),1,0))))</x:f>
      </x:c>
      <x:c r="K820" s="16" t="str">
        <x:f>IF(J820="","",IF(J820=1,"Limited",IF(J820=2,"Local",IF(J820=3,"Significant",IF(J820=4,"High","Critical")))))</x:f>
      </x:c>
      <x:c r="L820" s="16" t="str">
        <x:f>IF(A820="","",Events!U819)</x:f>
      </x:c>
      <x:c r="M820" s="16" t="str">
        <x:f>IF(A820="","",Events!V819)</x:f>
      </x:c>
      <x:c r="N820" s="16" t="str">
        <x:f>IF(A820="","",Events!Q819)</x:f>
      </x:c>
      <x:c r="O820" s="16" t="str">
        <x:f>IF(A820="","",Events!R819)</x:f>
      </x:c>
      <x:c r="P820" s="16" t="str">
        <x:f>IF(A820="","",LOWER(Events!B819&amp;" "&amp;Events!D819&amp;" "&amp;Events!K819))</x:f>
      </x:c>
      <x:c r="Q820" s="16" t="str">
        <x:f>IF(A820="","",LOWER(Events!C819&amp;" "&amp;Events!K819&amp;" "&amp;Events!T819))</x:f>
      </x:c>
      <x:c r="R820" s="16" t="str">
        <x:f>IF(A820="","",IF(ISNUMBER(SEARCH("Occurrence verified",E820)),"Occurrence verified",E820))</x:f>
      </x:c>
      <x:c r="S820" s="79" t="str">
        <x:f>IF(A820="","",Events!X819)</x:f>
      </x:c>
      <x:c r="Z820" s="79" t="str">
        <x:f>IF(A820="","",Events!AD819)</x:f>
      </x:c>
      <x:c r="AA820" s="79" t="str">
        <x:f>IF(A820="","",Events!AE819)</x:f>
      </x:c>
    </x:row>
    <x:row r="821">
      <x:c r="A821" s="16" t="str">
        <x:f>IF(Events!A820="","",Events!A820)</x:f>
      </x:c>
      <x:c r="B821" s="16" t="str">
        <x:f>IF(A821="","",Events!B820)</x:f>
      </x:c>
      <x:c r="C821" s="16" t="str">
        <x:f>IF(A821="","",Events!E820)</x:f>
      </x:c>
      <x:c r="D821" s="16" t="str">
        <x:f>IF(A821="","",Events!J820)</x:f>
      </x:c>
      <x:c r="E821" s="16" t="str">
        <x:f>IF(A821="","",Events!N820)</x:f>
      </x:c>
      <x:c r="F821" s="109" t="str">
        <x:f>IF(OR(A821="",Events!H820=""),"",Events!H820)</x:f>
      </x:c>
      <x:c r="G821" s="109" t="str">
        <x:f>IF(A821="","",IF(Events!I820&lt;&gt;"",Events!I820,IF(Events!S820&lt;&gt;"",Events!S820,"")))</x:f>
      </x:c>
      <x:c r="H821" s="16" t="str">
        <x:f>IF(A821="","",Events!W820)</x:f>
      </x:c>
      <x:c r="I821" s="16" t="str">
        <x:f>IF(A821="","",IF(Events!Y820&lt;&gt;"",Events!Y820,IF(OR(ISNUMBER(SEARCH("education",P821)),ISNUMBER(SEARCH("exam",P821)),ISNUMBER(SEARCH("school",P821))),"Education",IF(OR(ISNUMBER(SEARCH("trade agreement",P821)),ISNUMBER(SEARCH("economic",P821)),ISNUMBER(SEARCH("import",P821))),"Trade &amp; economic policy",IF(OR(ISNUMBER(SEARCH("land acquisition",P821)),ISNUMBER(SEARCH("rehabilitation",P821)),ISNUMBER(SEARCH("displacement",P821)),ISNUMBER(SEARCH("township",P821))),"Land &amp; rehabilitation",IF(OR(ISNUMBER(SEARCH("forest",P821)),ISNUMBER(SEARCH("environment",P821)),ISNUMBER(SEARCH("ecological",P821)),ISNUMBER(SEARCH("biodiversity",P821)),ISNUMBER(SEARCH("green cover",P821))),"Environment",IF(OR(ISNUMBER(SEARCH("irrigation",P821)),ISNUMBER(SEARCH("water",P821)),ISNUMBER(SEARCH("crop",P821)),ISNUMBER(SEARCH("farmer",P821)),ISNUMBER(SEARCH("agriculture",P821))),"Agriculture &amp; water",IF(OR(ISNUMBER(SEARCH("health",P821)),ISNUMBER(SEARCH("hospital",P821)),ISNUMBER(SEARCH("medicine",P821))),"Public health",IF(OR(ISNUMBER(SEARCH("employee",P821)),ISNUMBER(SEARCH("labour",P821)),ISNUMBER(SEARCH("worker",P821)),ISNUMBER(SEARCH("salary",P821))),"Labour &amp; employment",IF(OR(ISNUMBER(SEARCH("rti",P821)),ISNUMBER(SEARCH("transparency",P821)),ISNUMBER(SEARCH("corruption",P821)),ISNUMBER(SEARCH("governance",P821))),"Governance &amp; transparency",IF(OR(ISNUMBER(SEARCH("police",P821)),ISNUMBER(SEARCH("detention",P821)),ISNUMBER(SEARCH("civil rights",P821)),ISNUMBER(SEARCH("justice",P821))),"Civil rights &amp; justice",IF(OR(ISNUMBER(SEARCH("road",P821)),ISNUMBER(SEARCH("utility",P821)),ISNUMBER(SEARCH("infrastructure",P821)),ISNUMBER(SEARCH("public service",P821))),"Infrastructure &amp; public services","Other"))))))))))))</x:f>
      </x:c>
      <x:c r="J821" s="16" t="str">
        <x:f>IF(A821="","",IF(OR(ISNUMBER(SEARCH("fatal",Q821)),ISNUMBER(SEARCH("death",Q821)),ISNUMBER(SEARCH("riot",Q821)),ISNUMBER(SEARCH("curfew",Q821)),ISNUMBER(SEARCH("internet shutdown",Q821))),5,MIN(4,1+IF(H821&gt;=7,1,0)+IF(OR(ISNUMBER(SEARCH("hunger strike",Q821)),ISNUMBER(SEARCH("blockade",Q821)),ISNUMBER(SEARCH("strike",Q821)),ISNUMBER(SEARCH("jal satyagraha",Q821)),ISNUMBER(SEARCH("survey",Q821)),ISNUMBER(SEARCH("human chain",Q821)),ISNUMBER(SEARCH("march",Q821))),1,0)+IF(OR(ISNUMBER(SEARCH("fir",Q821)),ISNUMBER(SEARCH("confrontation",Q821)),ISNUMBER(SEARCH("violence",Q821)),ISNUMBER(SEARCH("detention",Q821)),ISNUMBER(SEARCH("arrest",Q821)),ISNUMBER(SEARCH("demolition",Q821)),ISNUMBER(SEARCH("injury",Q821))),1,0)+IF(OR(D821="Ongoing",D821="Unresolved"),1,0))))</x:f>
      </x:c>
      <x:c r="K821" s="16" t="str">
        <x:f>IF(J821="","",IF(J821=1,"Limited",IF(J821=2,"Local",IF(J821=3,"Significant",IF(J821=4,"High","Critical")))))</x:f>
      </x:c>
      <x:c r="L821" s="16" t="str">
        <x:f>IF(A821="","",Events!U820)</x:f>
      </x:c>
      <x:c r="M821" s="16" t="str">
        <x:f>IF(A821="","",Events!V820)</x:f>
      </x:c>
      <x:c r="N821" s="16" t="str">
        <x:f>IF(A821="","",Events!Q820)</x:f>
      </x:c>
      <x:c r="O821" s="16" t="str">
        <x:f>IF(A821="","",Events!R820)</x:f>
      </x:c>
      <x:c r="P821" s="16" t="str">
        <x:f>IF(A821="","",LOWER(Events!B820&amp;" "&amp;Events!D820&amp;" "&amp;Events!K820))</x:f>
      </x:c>
      <x:c r="Q821" s="16" t="str">
        <x:f>IF(A821="","",LOWER(Events!C820&amp;" "&amp;Events!K820&amp;" "&amp;Events!T820))</x:f>
      </x:c>
      <x:c r="R821" s="16" t="str">
        <x:f>IF(A821="","",IF(ISNUMBER(SEARCH("Occurrence verified",E821)),"Occurrence verified",E821))</x:f>
      </x:c>
      <x:c r="S821" s="79" t="str">
        <x:f>IF(A821="","",Events!X820)</x:f>
      </x:c>
      <x:c r="Z821" s="79" t="str">
        <x:f>IF(A821="","",Events!AD820)</x:f>
      </x:c>
      <x:c r="AA821" s="79" t="str">
        <x:f>IF(A821="","",Events!AE820)</x:f>
      </x:c>
    </x:row>
    <x:row r="822">
      <x:c r="A822" s="16" t="str">
        <x:f>IF(Events!A821="","",Events!A821)</x:f>
      </x:c>
      <x:c r="B822" s="16" t="str">
        <x:f>IF(A822="","",Events!B821)</x:f>
      </x:c>
      <x:c r="C822" s="16" t="str">
        <x:f>IF(A822="","",Events!E821)</x:f>
      </x:c>
      <x:c r="D822" s="16" t="str">
        <x:f>IF(A822="","",Events!J821)</x:f>
      </x:c>
      <x:c r="E822" s="16" t="str">
        <x:f>IF(A822="","",Events!N821)</x:f>
      </x:c>
      <x:c r="F822" s="109" t="str">
        <x:f>IF(OR(A822="",Events!H821=""),"",Events!H821)</x:f>
      </x:c>
      <x:c r="G822" s="109" t="str">
        <x:f>IF(A822="","",IF(Events!I821&lt;&gt;"",Events!I821,IF(Events!S821&lt;&gt;"",Events!S821,"")))</x:f>
      </x:c>
      <x:c r="H822" s="16" t="str">
        <x:f>IF(A822="","",Events!W821)</x:f>
      </x:c>
      <x:c r="I822" s="16" t="str">
        <x:f>IF(A822="","",IF(Events!Y821&lt;&gt;"",Events!Y821,IF(OR(ISNUMBER(SEARCH("education",P822)),ISNUMBER(SEARCH("exam",P822)),ISNUMBER(SEARCH("school",P822))),"Education",IF(OR(ISNUMBER(SEARCH("trade agreement",P822)),ISNUMBER(SEARCH("economic",P822)),ISNUMBER(SEARCH("import",P822))),"Trade &amp; economic policy",IF(OR(ISNUMBER(SEARCH("land acquisition",P822)),ISNUMBER(SEARCH("rehabilitation",P822)),ISNUMBER(SEARCH("displacement",P822)),ISNUMBER(SEARCH("township",P822))),"Land &amp; rehabilitation",IF(OR(ISNUMBER(SEARCH("forest",P822)),ISNUMBER(SEARCH("environment",P822)),ISNUMBER(SEARCH("ecological",P822)),ISNUMBER(SEARCH("biodiversity",P822)),ISNUMBER(SEARCH("green cover",P822))),"Environment",IF(OR(ISNUMBER(SEARCH("irrigation",P822)),ISNUMBER(SEARCH("water",P822)),ISNUMBER(SEARCH("crop",P822)),ISNUMBER(SEARCH("farmer",P822)),ISNUMBER(SEARCH("agriculture",P822))),"Agriculture &amp; water",IF(OR(ISNUMBER(SEARCH("health",P822)),ISNUMBER(SEARCH("hospital",P822)),ISNUMBER(SEARCH("medicine",P822))),"Public health",IF(OR(ISNUMBER(SEARCH("employee",P822)),ISNUMBER(SEARCH("labour",P822)),ISNUMBER(SEARCH("worker",P822)),ISNUMBER(SEARCH("salary",P822))),"Labour &amp; employment",IF(OR(ISNUMBER(SEARCH("rti",P822)),ISNUMBER(SEARCH("transparency",P822)),ISNUMBER(SEARCH("corruption",P822)),ISNUMBER(SEARCH("governance",P822))),"Governance &amp; transparency",IF(OR(ISNUMBER(SEARCH("police",P822)),ISNUMBER(SEARCH("detention",P822)),ISNUMBER(SEARCH("civil rights",P822)),ISNUMBER(SEARCH("justice",P822))),"Civil rights &amp; justice",IF(OR(ISNUMBER(SEARCH("road",P822)),ISNUMBER(SEARCH("utility",P822)),ISNUMBER(SEARCH("infrastructure",P822)),ISNUMBER(SEARCH("public service",P822))),"Infrastructure &amp; public services","Other"))))))))))))</x:f>
      </x:c>
      <x:c r="J822" s="16" t="str">
        <x:f>IF(A822="","",IF(OR(ISNUMBER(SEARCH("fatal",Q822)),ISNUMBER(SEARCH("death",Q822)),ISNUMBER(SEARCH("riot",Q822)),ISNUMBER(SEARCH("curfew",Q822)),ISNUMBER(SEARCH("internet shutdown",Q822))),5,MIN(4,1+IF(H822&gt;=7,1,0)+IF(OR(ISNUMBER(SEARCH("hunger strike",Q822)),ISNUMBER(SEARCH("blockade",Q822)),ISNUMBER(SEARCH("strike",Q822)),ISNUMBER(SEARCH("jal satyagraha",Q822)),ISNUMBER(SEARCH("survey",Q822)),ISNUMBER(SEARCH("human chain",Q822)),ISNUMBER(SEARCH("march",Q822))),1,0)+IF(OR(ISNUMBER(SEARCH("fir",Q822)),ISNUMBER(SEARCH("confrontation",Q822)),ISNUMBER(SEARCH("violence",Q822)),ISNUMBER(SEARCH("detention",Q822)),ISNUMBER(SEARCH("arrest",Q822)),ISNUMBER(SEARCH("demolition",Q822)),ISNUMBER(SEARCH("injury",Q822))),1,0)+IF(OR(D822="Ongoing",D822="Unresolved"),1,0))))</x:f>
      </x:c>
      <x:c r="K822" s="16" t="str">
        <x:f>IF(J822="","",IF(J822=1,"Limited",IF(J822=2,"Local",IF(J822=3,"Significant",IF(J822=4,"High","Critical")))))</x:f>
      </x:c>
      <x:c r="L822" s="16" t="str">
        <x:f>IF(A822="","",Events!U821)</x:f>
      </x:c>
      <x:c r="M822" s="16" t="str">
        <x:f>IF(A822="","",Events!V821)</x:f>
      </x:c>
      <x:c r="N822" s="16" t="str">
        <x:f>IF(A822="","",Events!Q821)</x:f>
      </x:c>
      <x:c r="O822" s="16" t="str">
        <x:f>IF(A822="","",Events!R821)</x:f>
      </x:c>
      <x:c r="P822" s="16" t="str">
        <x:f>IF(A822="","",LOWER(Events!B821&amp;" "&amp;Events!D821&amp;" "&amp;Events!K821))</x:f>
      </x:c>
      <x:c r="Q822" s="16" t="str">
        <x:f>IF(A822="","",LOWER(Events!C821&amp;" "&amp;Events!K821&amp;" "&amp;Events!T821))</x:f>
      </x:c>
      <x:c r="R822" s="16" t="str">
        <x:f>IF(A822="","",IF(ISNUMBER(SEARCH("Occurrence verified",E822)),"Occurrence verified",E822))</x:f>
      </x:c>
      <x:c r="S822" s="79" t="str">
        <x:f>IF(A822="","",Events!X821)</x:f>
      </x:c>
      <x:c r="Z822" s="79" t="str">
        <x:f>IF(A822="","",Events!AD821)</x:f>
      </x:c>
      <x:c r="AA822" s="79" t="str">
        <x:f>IF(A822="","",Events!AE821)</x:f>
      </x:c>
    </x:row>
    <x:row r="823">
      <x:c r="A823" s="16" t="str">
        <x:f>IF(Events!A822="","",Events!A822)</x:f>
      </x:c>
      <x:c r="B823" s="16" t="str">
        <x:f>IF(A823="","",Events!B822)</x:f>
      </x:c>
      <x:c r="C823" s="16" t="str">
        <x:f>IF(A823="","",Events!E822)</x:f>
      </x:c>
      <x:c r="D823" s="16" t="str">
        <x:f>IF(A823="","",Events!J822)</x:f>
      </x:c>
      <x:c r="E823" s="16" t="str">
        <x:f>IF(A823="","",Events!N822)</x:f>
      </x:c>
      <x:c r="F823" s="109" t="str">
        <x:f>IF(OR(A823="",Events!H822=""),"",Events!H822)</x:f>
      </x:c>
      <x:c r="G823" s="109" t="str">
        <x:f>IF(A823="","",IF(Events!I822&lt;&gt;"",Events!I822,IF(Events!S822&lt;&gt;"",Events!S822,"")))</x:f>
      </x:c>
      <x:c r="H823" s="16" t="str">
        <x:f>IF(A823="","",Events!W822)</x:f>
      </x:c>
      <x:c r="I823" s="16" t="str">
        <x:f>IF(A823="","",IF(Events!Y822&lt;&gt;"",Events!Y822,IF(OR(ISNUMBER(SEARCH("education",P823)),ISNUMBER(SEARCH("exam",P823)),ISNUMBER(SEARCH("school",P823))),"Education",IF(OR(ISNUMBER(SEARCH("trade agreement",P823)),ISNUMBER(SEARCH("economic",P823)),ISNUMBER(SEARCH("import",P823))),"Trade &amp; economic policy",IF(OR(ISNUMBER(SEARCH("land acquisition",P823)),ISNUMBER(SEARCH("rehabilitation",P823)),ISNUMBER(SEARCH("displacement",P823)),ISNUMBER(SEARCH("township",P823))),"Land &amp; rehabilitation",IF(OR(ISNUMBER(SEARCH("forest",P823)),ISNUMBER(SEARCH("environment",P823)),ISNUMBER(SEARCH("ecological",P823)),ISNUMBER(SEARCH("biodiversity",P823)),ISNUMBER(SEARCH("green cover",P823))),"Environment",IF(OR(ISNUMBER(SEARCH("irrigation",P823)),ISNUMBER(SEARCH("water",P823)),ISNUMBER(SEARCH("crop",P823)),ISNUMBER(SEARCH("farmer",P823)),ISNUMBER(SEARCH("agriculture",P823))),"Agriculture &amp; water",IF(OR(ISNUMBER(SEARCH("health",P823)),ISNUMBER(SEARCH("hospital",P823)),ISNUMBER(SEARCH("medicine",P823))),"Public health",IF(OR(ISNUMBER(SEARCH("employee",P823)),ISNUMBER(SEARCH("labour",P823)),ISNUMBER(SEARCH("worker",P823)),ISNUMBER(SEARCH("salary",P823))),"Labour &amp; employment",IF(OR(ISNUMBER(SEARCH("rti",P823)),ISNUMBER(SEARCH("transparency",P823)),ISNUMBER(SEARCH("corruption",P823)),ISNUMBER(SEARCH("governance",P823))),"Governance &amp; transparency",IF(OR(ISNUMBER(SEARCH("police",P823)),ISNUMBER(SEARCH("detention",P823)),ISNUMBER(SEARCH("civil rights",P823)),ISNUMBER(SEARCH("justice",P823))),"Civil rights &amp; justice",IF(OR(ISNUMBER(SEARCH("road",P823)),ISNUMBER(SEARCH("utility",P823)),ISNUMBER(SEARCH("infrastructure",P823)),ISNUMBER(SEARCH("public service",P823))),"Infrastructure &amp; public services","Other"))))))))))))</x:f>
      </x:c>
      <x:c r="J823" s="16" t="str">
        <x:f>IF(A823="","",IF(OR(ISNUMBER(SEARCH("fatal",Q823)),ISNUMBER(SEARCH("death",Q823)),ISNUMBER(SEARCH("riot",Q823)),ISNUMBER(SEARCH("curfew",Q823)),ISNUMBER(SEARCH("internet shutdown",Q823))),5,MIN(4,1+IF(H823&gt;=7,1,0)+IF(OR(ISNUMBER(SEARCH("hunger strike",Q823)),ISNUMBER(SEARCH("blockade",Q823)),ISNUMBER(SEARCH("strike",Q823)),ISNUMBER(SEARCH("jal satyagraha",Q823)),ISNUMBER(SEARCH("survey",Q823)),ISNUMBER(SEARCH("human chain",Q823)),ISNUMBER(SEARCH("march",Q823))),1,0)+IF(OR(ISNUMBER(SEARCH("fir",Q823)),ISNUMBER(SEARCH("confrontation",Q823)),ISNUMBER(SEARCH("violence",Q823)),ISNUMBER(SEARCH("detention",Q823)),ISNUMBER(SEARCH("arrest",Q823)),ISNUMBER(SEARCH("demolition",Q823)),ISNUMBER(SEARCH("injury",Q823))),1,0)+IF(OR(D823="Ongoing",D823="Unresolved"),1,0))))</x:f>
      </x:c>
      <x:c r="K823" s="16" t="str">
        <x:f>IF(J823="","",IF(J823=1,"Limited",IF(J823=2,"Local",IF(J823=3,"Significant",IF(J823=4,"High","Critical")))))</x:f>
      </x:c>
      <x:c r="L823" s="16" t="str">
        <x:f>IF(A823="","",Events!U822)</x:f>
      </x:c>
      <x:c r="M823" s="16" t="str">
        <x:f>IF(A823="","",Events!V822)</x:f>
      </x:c>
      <x:c r="N823" s="16" t="str">
        <x:f>IF(A823="","",Events!Q822)</x:f>
      </x:c>
      <x:c r="O823" s="16" t="str">
        <x:f>IF(A823="","",Events!R822)</x:f>
      </x:c>
      <x:c r="P823" s="16" t="str">
        <x:f>IF(A823="","",LOWER(Events!B822&amp;" "&amp;Events!D822&amp;" "&amp;Events!K822))</x:f>
      </x:c>
      <x:c r="Q823" s="16" t="str">
        <x:f>IF(A823="","",LOWER(Events!C822&amp;" "&amp;Events!K822&amp;" "&amp;Events!T822))</x:f>
      </x:c>
      <x:c r="R823" s="16" t="str">
        <x:f>IF(A823="","",IF(ISNUMBER(SEARCH("Occurrence verified",E823)),"Occurrence verified",E823))</x:f>
      </x:c>
      <x:c r="S823" s="79" t="str">
        <x:f>IF(A823="","",Events!X822)</x:f>
      </x:c>
      <x:c r="Z823" s="79" t="str">
        <x:f>IF(A823="","",Events!AD822)</x:f>
      </x:c>
      <x:c r="AA823" s="79" t="str">
        <x:f>IF(A823="","",Events!AE822)</x:f>
      </x:c>
    </x:row>
    <x:row r="824">
      <x:c r="A824" s="16" t="str">
        <x:f>IF(Events!A823="","",Events!A823)</x:f>
      </x:c>
      <x:c r="B824" s="16" t="str">
        <x:f>IF(A824="","",Events!B823)</x:f>
      </x:c>
      <x:c r="C824" s="16" t="str">
        <x:f>IF(A824="","",Events!E823)</x:f>
      </x:c>
      <x:c r="D824" s="16" t="str">
        <x:f>IF(A824="","",Events!J823)</x:f>
      </x:c>
      <x:c r="E824" s="16" t="str">
        <x:f>IF(A824="","",Events!N823)</x:f>
      </x:c>
      <x:c r="F824" s="109" t="str">
        <x:f>IF(OR(A824="",Events!H823=""),"",Events!H823)</x:f>
      </x:c>
      <x:c r="G824" s="109" t="str">
        <x:f>IF(A824="","",IF(Events!I823&lt;&gt;"",Events!I823,IF(Events!S823&lt;&gt;"",Events!S823,"")))</x:f>
      </x:c>
      <x:c r="H824" s="16" t="str">
        <x:f>IF(A824="","",Events!W823)</x:f>
      </x:c>
      <x:c r="I824" s="16" t="str">
        <x:f>IF(A824="","",IF(Events!Y823&lt;&gt;"",Events!Y823,IF(OR(ISNUMBER(SEARCH("education",P824)),ISNUMBER(SEARCH("exam",P824)),ISNUMBER(SEARCH("school",P824))),"Education",IF(OR(ISNUMBER(SEARCH("trade agreement",P824)),ISNUMBER(SEARCH("economic",P824)),ISNUMBER(SEARCH("import",P824))),"Trade &amp; economic policy",IF(OR(ISNUMBER(SEARCH("land acquisition",P824)),ISNUMBER(SEARCH("rehabilitation",P824)),ISNUMBER(SEARCH("displacement",P824)),ISNUMBER(SEARCH("township",P824))),"Land &amp; rehabilitation",IF(OR(ISNUMBER(SEARCH("forest",P824)),ISNUMBER(SEARCH("environment",P824)),ISNUMBER(SEARCH("ecological",P824)),ISNUMBER(SEARCH("biodiversity",P824)),ISNUMBER(SEARCH("green cover",P824))),"Environment",IF(OR(ISNUMBER(SEARCH("irrigation",P824)),ISNUMBER(SEARCH("water",P824)),ISNUMBER(SEARCH("crop",P824)),ISNUMBER(SEARCH("farmer",P824)),ISNUMBER(SEARCH("agriculture",P824))),"Agriculture &amp; water",IF(OR(ISNUMBER(SEARCH("health",P824)),ISNUMBER(SEARCH("hospital",P824)),ISNUMBER(SEARCH("medicine",P824))),"Public health",IF(OR(ISNUMBER(SEARCH("employee",P824)),ISNUMBER(SEARCH("labour",P824)),ISNUMBER(SEARCH("worker",P824)),ISNUMBER(SEARCH("salary",P824))),"Labour &amp; employment",IF(OR(ISNUMBER(SEARCH("rti",P824)),ISNUMBER(SEARCH("transparency",P824)),ISNUMBER(SEARCH("corruption",P824)),ISNUMBER(SEARCH("governance",P824))),"Governance &amp; transparency",IF(OR(ISNUMBER(SEARCH("police",P824)),ISNUMBER(SEARCH("detention",P824)),ISNUMBER(SEARCH("civil rights",P824)),ISNUMBER(SEARCH("justice",P824))),"Civil rights &amp; justice",IF(OR(ISNUMBER(SEARCH("road",P824)),ISNUMBER(SEARCH("utility",P824)),ISNUMBER(SEARCH("infrastructure",P824)),ISNUMBER(SEARCH("public service",P824))),"Infrastructure &amp; public services","Other"))))))))))))</x:f>
      </x:c>
      <x:c r="J824" s="16" t="str">
        <x:f>IF(A824="","",IF(OR(ISNUMBER(SEARCH("fatal",Q824)),ISNUMBER(SEARCH("death",Q824)),ISNUMBER(SEARCH("riot",Q824)),ISNUMBER(SEARCH("curfew",Q824)),ISNUMBER(SEARCH("internet shutdown",Q824))),5,MIN(4,1+IF(H824&gt;=7,1,0)+IF(OR(ISNUMBER(SEARCH("hunger strike",Q824)),ISNUMBER(SEARCH("blockade",Q824)),ISNUMBER(SEARCH("strike",Q824)),ISNUMBER(SEARCH("jal satyagraha",Q824)),ISNUMBER(SEARCH("survey",Q824)),ISNUMBER(SEARCH("human chain",Q824)),ISNUMBER(SEARCH("march",Q824))),1,0)+IF(OR(ISNUMBER(SEARCH("fir",Q824)),ISNUMBER(SEARCH("confrontation",Q824)),ISNUMBER(SEARCH("violence",Q824)),ISNUMBER(SEARCH("detention",Q824)),ISNUMBER(SEARCH("arrest",Q824)),ISNUMBER(SEARCH("demolition",Q824)),ISNUMBER(SEARCH("injury",Q824))),1,0)+IF(OR(D824="Ongoing",D824="Unresolved"),1,0))))</x:f>
      </x:c>
      <x:c r="K824" s="16" t="str">
        <x:f>IF(J824="","",IF(J824=1,"Limited",IF(J824=2,"Local",IF(J824=3,"Significant",IF(J824=4,"High","Critical")))))</x:f>
      </x:c>
      <x:c r="L824" s="16" t="str">
        <x:f>IF(A824="","",Events!U823)</x:f>
      </x:c>
      <x:c r="M824" s="16" t="str">
        <x:f>IF(A824="","",Events!V823)</x:f>
      </x:c>
      <x:c r="N824" s="16" t="str">
        <x:f>IF(A824="","",Events!Q823)</x:f>
      </x:c>
      <x:c r="O824" s="16" t="str">
        <x:f>IF(A824="","",Events!R823)</x:f>
      </x:c>
      <x:c r="P824" s="16" t="str">
        <x:f>IF(A824="","",LOWER(Events!B823&amp;" "&amp;Events!D823&amp;" "&amp;Events!K823))</x:f>
      </x:c>
      <x:c r="Q824" s="16" t="str">
        <x:f>IF(A824="","",LOWER(Events!C823&amp;" "&amp;Events!K823&amp;" "&amp;Events!T823))</x:f>
      </x:c>
      <x:c r="R824" s="16" t="str">
        <x:f>IF(A824="","",IF(ISNUMBER(SEARCH("Occurrence verified",E824)),"Occurrence verified",E824))</x:f>
      </x:c>
      <x:c r="S824" s="79" t="str">
        <x:f>IF(A824="","",Events!X823)</x:f>
      </x:c>
      <x:c r="Z824" s="79" t="str">
        <x:f>IF(A824="","",Events!AD823)</x:f>
      </x:c>
      <x:c r="AA824" s="79" t="str">
        <x:f>IF(A824="","",Events!AE823)</x:f>
      </x:c>
    </x:row>
    <x:row r="825">
      <x:c r="A825" s="16" t="str">
        <x:f>IF(Events!A824="","",Events!A824)</x:f>
      </x:c>
      <x:c r="B825" s="16" t="str">
        <x:f>IF(A825="","",Events!B824)</x:f>
      </x:c>
      <x:c r="C825" s="16" t="str">
        <x:f>IF(A825="","",Events!E824)</x:f>
      </x:c>
      <x:c r="D825" s="16" t="str">
        <x:f>IF(A825="","",Events!J824)</x:f>
      </x:c>
      <x:c r="E825" s="16" t="str">
        <x:f>IF(A825="","",Events!N824)</x:f>
      </x:c>
      <x:c r="F825" s="109" t="str">
        <x:f>IF(OR(A825="",Events!H824=""),"",Events!H824)</x:f>
      </x:c>
      <x:c r="G825" s="109" t="str">
        <x:f>IF(A825="","",IF(Events!I824&lt;&gt;"",Events!I824,IF(Events!S824&lt;&gt;"",Events!S824,"")))</x:f>
      </x:c>
      <x:c r="H825" s="16" t="str">
        <x:f>IF(A825="","",Events!W824)</x:f>
      </x:c>
      <x:c r="I825" s="16" t="str">
        <x:f>IF(A825="","",IF(Events!Y824&lt;&gt;"",Events!Y824,IF(OR(ISNUMBER(SEARCH("education",P825)),ISNUMBER(SEARCH("exam",P825)),ISNUMBER(SEARCH("school",P825))),"Education",IF(OR(ISNUMBER(SEARCH("trade agreement",P825)),ISNUMBER(SEARCH("economic",P825)),ISNUMBER(SEARCH("import",P825))),"Trade &amp; economic policy",IF(OR(ISNUMBER(SEARCH("land acquisition",P825)),ISNUMBER(SEARCH("rehabilitation",P825)),ISNUMBER(SEARCH("displacement",P825)),ISNUMBER(SEARCH("township",P825))),"Land &amp; rehabilitation",IF(OR(ISNUMBER(SEARCH("forest",P825)),ISNUMBER(SEARCH("environment",P825)),ISNUMBER(SEARCH("ecological",P825)),ISNUMBER(SEARCH("biodiversity",P825)),ISNUMBER(SEARCH("green cover",P825))),"Environment",IF(OR(ISNUMBER(SEARCH("irrigation",P825)),ISNUMBER(SEARCH("water",P825)),ISNUMBER(SEARCH("crop",P825)),ISNUMBER(SEARCH("farmer",P825)),ISNUMBER(SEARCH("agriculture",P825))),"Agriculture &amp; water",IF(OR(ISNUMBER(SEARCH("health",P825)),ISNUMBER(SEARCH("hospital",P825)),ISNUMBER(SEARCH("medicine",P825))),"Public health",IF(OR(ISNUMBER(SEARCH("employee",P825)),ISNUMBER(SEARCH("labour",P825)),ISNUMBER(SEARCH("worker",P825)),ISNUMBER(SEARCH("salary",P825))),"Labour &amp; employment",IF(OR(ISNUMBER(SEARCH("rti",P825)),ISNUMBER(SEARCH("transparency",P825)),ISNUMBER(SEARCH("corruption",P825)),ISNUMBER(SEARCH("governance",P825))),"Governance &amp; transparency",IF(OR(ISNUMBER(SEARCH("police",P825)),ISNUMBER(SEARCH("detention",P825)),ISNUMBER(SEARCH("civil rights",P825)),ISNUMBER(SEARCH("justice",P825))),"Civil rights &amp; justice",IF(OR(ISNUMBER(SEARCH("road",P825)),ISNUMBER(SEARCH("utility",P825)),ISNUMBER(SEARCH("infrastructure",P825)),ISNUMBER(SEARCH("public service",P825))),"Infrastructure &amp; public services","Other"))))))))))))</x:f>
      </x:c>
      <x:c r="J825" s="16" t="str">
        <x:f>IF(A825="","",IF(OR(ISNUMBER(SEARCH("fatal",Q825)),ISNUMBER(SEARCH("death",Q825)),ISNUMBER(SEARCH("riot",Q825)),ISNUMBER(SEARCH("curfew",Q825)),ISNUMBER(SEARCH("internet shutdown",Q825))),5,MIN(4,1+IF(H825&gt;=7,1,0)+IF(OR(ISNUMBER(SEARCH("hunger strike",Q825)),ISNUMBER(SEARCH("blockade",Q825)),ISNUMBER(SEARCH("strike",Q825)),ISNUMBER(SEARCH("jal satyagraha",Q825)),ISNUMBER(SEARCH("survey",Q825)),ISNUMBER(SEARCH("human chain",Q825)),ISNUMBER(SEARCH("march",Q825))),1,0)+IF(OR(ISNUMBER(SEARCH("fir",Q825)),ISNUMBER(SEARCH("confrontation",Q825)),ISNUMBER(SEARCH("violence",Q825)),ISNUMBER(SEARCH("detention",Q825)),ISNUMBER(SEARCH("arrest",Q825)),ISNUMBER(SEARCH("demolition",Q825)),ISNUMBER(SEARCH("injury",Q825))),1,0)+IF(OR(D825="Ongoing",D825="Unresolved"),1,0))))</x:f>
      </x:c>
      <x:c r="K825" s="16" t="str">
        <x:f>IF(J825="","",IF(J825=1,"Limited",IF(J825=2,"Local",IF(J825=3,"Significant",IF(J825=4,"High","Critical")))))</x:f>
      </x:c>
      <x:c r="L825" s="16" t="str">
        <x:f>IF(A825="","",Events!U824)</x:f>
      </x:c>
      <x:c r="M825" s="16" t="str">
        <x:f>IF(A825="","",Events!V824)</x:f>
      </x:c>
      <x:c r="N825" s="16" t="str">
        <x:f>IF(A825="","",Events!Q824)</x:f>
      </x:c>
      <x:c r="O825" s="16" t="str">
        <x:f>IF(A825="","",Events!R824)</x:f>
      </x:c>
      <x:c r="P825" s="16" t="str">
        <x:f>IF(A825="","",LOWER(Events!B824&amp;" "&amp;Events!D824&amp;" "&amp;Events!K824))</x:f>
      </x:c>
      <x:c r="Q825" s="16" t="str">
        <x:f>IF(A825="","",LOWER(Events!C824&amp;" "&amp;Events!K824&amp;" "&amp;Events!T824))</x:f>
      </x:c>
      <x:c r="R825" s="16" t="str">
        <x:f>IF(A825="","",IF(ISNUMBER(SEARCH("Occurrence verified",E825)),"Occurrence verified",E825))</x:f>
      </x:c>
      <x:c r="S825" s="79" t="str">
        <x:f>IF(A825="","",Events!X824)</x:f>
      </x:c>
      <x:c r="Z825" s="79" t="str">
        <x:f>IF(A825="","",Events!AD824)</x:f>
      </x:c>
      <x:c r="AA825" s="79" t="str">
        <x:f>IF(A825="","",Events!AE824)</x:f>
      </x:c>
    </x:row>
    <x:row r="826">
      <x:c r="A826" s="16" t="str">
        <x:f>IF(Events!A825="","",Events!A825)</x:f>
      </x:c>
      <x:c r="B826" s="16" t="str">
        <x:f>IF(A826="","",Events!B825)</x:f>
      </x:c>
      <x:c r="C826" s="16" t="str">
        <x:f>IF(A826="","",Events!E825)</x:f>
      </x:c>
      <x:c r="D826" s="16" t="str">
        <x:f>IF(A826="","",Events!J825)</x:f>
      </x:c>
      <x:c r="E826" s="16" t="str">
        <x:f>IF(A826="","",Events!N825)</x:f>
      </x:c>
      <x:c r="F826" s="109" t="str">
        <x:f>IF(OR(A826="",Events!H825=""),"",Events!H825)</x:f>
      </x:c>
      <x:c r="G826" s="109" t="str">
        <x:f>IF(A826="","",IF(Events!I825&lt;&gt;"",Events!I825,IF(Events!S825&lt;&gt;"",Events!S825,"")))</x:f>
      </x:c>
      <x:c r="H826" s="16" t="str">
        <x:f>IF(A826="","",Events!W825)</x:f>
      </x:c>
      <x:c r="I826" s="16" t="str">
        <x:f>IF(A826="","",IF(Events!Y825&lt;&gt;"",Events!Y825,IF(OR(ISNUMBER(SEARCH("education",P826)),ISNUMBER(SEARCH("exam",P826)),ISNUMBER(SEARCH("school",P826))),"Education",IF(OR(ISNUMBER(SEARCH("trade agreement",P826)),ISNUMBER(SEARCH("economic",P826)),ISNUMBER(SEARCH("import",P826))),"Trade &amp; economic policy",IF(OR(ISNUMBER(SEARCH("land acquisition",P826)),ISNUMBER(SEARCH("rehabilitation",P826)),ISNUMBER(SEARCH("displacement",P826)),ISNUMBER(SEARCH("township",P826))),"Land &amp; rehabilitation",IF(OR(ISNUMBER(SEARCH("forest",P826)),ISNUMBER(SEARCH("environment",P826)),ISNUMBER(SEARCH("ecological",P826)),ISNUMBER(SEARCH("biodiversity",P826)),ISNUMBER(SEARCH("green cover",P826))),"Environment",IF(OR(ISNUMBER(SEARCH("irrigation",P826)),ISNUMBER(SEARCH("water",P826)),ISNUMBER(SEARCH("crop",P826)),ISNUMBER(SEARCH("farmer",P826)),ISNUMBER(SEARCH("agriculture",P826))),"Agriculture &amp; water",IF(OR(ISNUMBER(SEARCH("health",P826)),ISNUMBER(SEARCH("hospital",P826)),ISNUMBER(SEARCH("medicine",P826))),"Public health",IF(OR(ISNUMBER(SEARCH("employee",P826)),ISNUMBER(SEARCH("labour",P826)),ISNUMBER(SEARCH("worker",P826)),ISNUMBER(SEARCH("salary",P826))),"Labour &amp; employment",IF(OR(ISNUMBER(SEARCH("rti",P826)),ISNUMBER(SEARCH("transparency",P826)),ISNUMBER(SEARCH("corruption",P826)),ISNUMBER(SEARCH("governance",P826))),"Governance &amp; transparency",IF(OR(ISNUMBER(SEARCH("police",P826)),ISNUMBER(SEARCH("detention",P826)),ISNUMBER(SEARCH("civil rights",P826)),ISNUMBER(SEARCH("justice",P826))),"Civil rights &amp; justice",IF(OR(ISNUMBER(SEARCH("road",P826)),ISNUMBER(SEARCH("utility",P826)),ISNUMBER(SEARCH("infrastructure",P826)),ISNUMBER(SEARCH("public service",P826))),"Infrastructure &amp; public services","Other"))))))))))))</x:f>
      </x:c>
      <x:c r="J826" s="16" t="str">
        <x:f>IF(A826="","",IF(OR(ISNUMBER(SEARCH("fatal",Q826)),ISNUMBER(SEARCH("death",Q826)),ISNUMBER(SEARCH("riot",Q826)),ISNUMBER(SEARCH("curfew",Q826)),ISNUMBER(SEARCH("internet shutdown",Q826))),5,MIN(4,1+IF(H826&gt;=7,1,0)+IF(OR(ISNUMBER(SEARCH("hunger strike",Q826)),ISNUMBER(SEARCH("blockade",Q826)),ISNUMBER(SEARCH("strike",Q826)),ISNUMBER(SEARCH("jal satyagraha",Q826)),ISNUMBER(SEARCH("survey",Q826)),ISNUMBER(SEARCH("human chain",Q826)),ISNUMBER(SEARCH("march",Q826))),1,0)+IF(OR(ISNUMBER(SEARCH("fir",Q826)),ISNUMBER(SEARCH("confrontation",Q826)),ISNUMBER(SEARCH("violence",Q826)),ISNUMBER(SEARCH("detention",Q826)),ISNUMBER(SEARCH("arrest",Q826)),ISNUMBER(SEARCH("demolition",Q826)),ISNUMBER(SEARCH("injury",Q826))),1,0)+IF(OR(D826="Ongoing",D826="Unresolved"),1,0))))</x:f>
      </x:c>
      <x:c r="K826" s="16" t="str">
        <x:f>IF(J826="","",IF(J826=1,"Limited",IF(J826=2,"Local",IF(J826=3,"Significant",IF(J826=4,"High","Critical")))))</x:f>
      </x:c>
      <x:c r="L826" s="16" t="str">
        <x:f>IF(A826="","",Events!U825)</x:f>
      </x:c>
      <x:c r="M826" s="16" t="str">
        <x:f>IF(A826="","",Events!V825)</x:f>
      </x:c>
      <x:c r="N826" s="16" t="str">
        <x:f>IF(A826="","",Events!Q825)</x:f>
      </x:c>
      <x:c r="O826" s="16" t="str">
        <x:f>IF(A826="","",Events!R825)</x:f>
      </x:c>
      <x:c r="P826" s="16" t="str">
        <x:f>IF(A826="","",LOWER(Events!B825&amp;" "&amp;Events!D825&amp;" "&amp;Events!K825))</x:f>
      </x:c>
      <x:c r="Q826" s="16" t="str">
        <x:f>IF(A826="","",LOWER(Events!C825&amp;" "&amp;Events!K825&amp;" "&amp;Events!T825))</x:f>
      </x:c>
      <x:c r="R826" s="16" t="str">
        <x:f>IF(A826="","",IF(ISNUMBER(SEARCH("Occurrence verified",E826)),"Occurrence verified",E826))</x:f>
      </x:c>
      <x:c r="S826" s="79" t="str">
        <x:f>IF(A826="","",Events!X825)</x:f>
      </x:c>
      <x:c r="Z826" s="79" t="str">
        <x:f>IF(A826="","",Events!AD825)</x:f>
      </x:c>
      <x:c r="AA826" s="79" t="str">
        <x:f>IF(A826="","",Events!AE825)</x:f>
      </x:c>
    </x:row>
    <x:row r="827">
      <x:c r="A827" s="16" t="str">
        <x:f>IF(Events!A826="","",Events!A826)</x:f>
      </x:c>
      <x:c r="B827" s="16" t="str">
        <x:f>IF(A827="","",Events!B826)</x:f>
      </x:c>
      <x:c r="C827" s="16" t="str">
        <x:f>IF(A827="","",Events!E826)</x:f>
      </x:c>
      <x:c r="D827" s="16" t="str">
        <x:f>IF(A827="","",Events!J826)</x:f>
      </x:c>
      <x:c r="E827" s="16" t="str">
        <x:f>IF(A827="","",Events!N826)</x:f>
      </x:c>
      <x:c r="F827" s="109" t="str">
        <x:f>IF(OR(A827="",Events!H826=""),"",Events!H826)</x:f>
      </x:c>
      <x:c r="G827" s="109" t="str">
        <x:f>IF(A827="","",IF(Events!I826&lt;&gt;"",Events!I826,IF(Events!S826&lt;&gt;"",Events!S826,"")))</x:f>
      </x:c>
      <x:c r="H827" s="16" t="str">
        <x:f>IF(A827="","",Events!W826)</x:f>
      </x:c>
      <x:c r="I827" s="16" t="str">
        <x:f>IF(A827="","",IF(Events!Y826&lt;&gt;"",Events!Y826,IF(OR(ISNUMBER(SEARCH("education",P827)),ISNUMBER(SEARCH("exam",P827)),ISNUMBER(SEARCH("school",P827))),"Education",IF(OR(ISNUMBER(SEARCH("trade agreement",P827)),ISNUMBER(SEARCH("economic",P827)),ISNUMBER(SEARCH("import",P827))),"Trade &amp; economic policy",IF(OR(ISNUMBER(SEARCH("land acquisition",P827)),ISNUMBER(SEARCH("rehabilitation",P827)),ISNUMBER(SEARCH("displacement",P827)),ISNUMBER(SEARCH("township",P827))),"Land &amp; rehabilitation",IF(OR(ISNUMBER(SEARCH("forest",P827)),ISNUMBER(SEARCH("environment",P827)),ISNUMBER(SEARCH("ecological",P827)),ISNUMBER(SEARCH("biodiversity",P827)),ISNUMBER(SEARCH("green cover",P827))),"Environment",IF(OR(ISNUMBER(SEARCH("irrigation",P827)),ISNUMBER(SEARCH("water",P827)),ISNUMBER(SEARCH("crop",P827)),ISNUMBER(SEARCH("farmer",P827)),ISNUMBER(SEARCH("agriculture",P827))),"Agriculture &amp; water",IF(OR(ISNUMBER(SEARCH("health",P827)),ISNUMBER(SEARCH("hospital",P827)),ISNUMBER(SEARCH("medicine",P827))),"Public health",IF(OR(ISNUMBER(SEARCH("employee",P827)),ISNUMBER(SEARCH("labour",P827)),ISNUMBER(SEARCH("worker",P827)),ISNUMBER(SEARCH("salary",P827))),"Labour &amp; employment",IF(OR(ISNUMBER(SEARCH("rti",P827)),ISNUMBER(SEARCH("transparency",P827)),ISNUMBER(SEARCH("corruption",P827)),ISNUMBER(SEARCH("governance",P827))),"Governance &amp; transparency",IF(OR(ISNUMBER(SEARCH("police",P827)),ISNUMBER(SEARCH("detention",P827)),ISNUMBER(SEARCH("civil rights",P827)),ISNUMBER(SEARCH("justice",P827))),"Civil rights &amp; justice",IF(OR(ISNUMBER(SEARCH("road",P827)),ISNUMBER(SEARCH("utility",P827)),ISNUMBER(SEARCH("infrastructure",P827)),ISNUMBER(SEARCH("public service",P827))),"Infrastructure &amp; public services","Other"))))))))))))</x:f>
      </x:c>
      <x:c r="J827" s="16" t="str">
        <x:f>IF(A827="","",IF(OR(ISNUMBER(SEARCH("fatal",Q827)),ISNUMBER(SEARCH("death",Q827)),ISNUMBER(SEARCH("riot",Q827)),ISNUMBER(SEARCH("curfew",Q827)),ISNUMBER(SEARCH("internet shutdown",Q827))),5,MIN(4,1+IF(H827&gt;=7,1,0)+IF(OR(ISNUMBER(SEARCH("hunger strike",Q827)),ISNUMBER(SEARCH("blockade",Q827)),ISNUMBER(SEARCH("strike",Q827)),ISNUMBER(SEARCH("jal satyagraha",Q827)),ISNUMBER(SEARCH("survey",Q827)),ISNUMBER(SEARCH("human chain",Q827)),ISNUMBER(SEARCH("march",Q827))),1,0)+IF(OR(ISNUMBER(SEARCH("fir",Q827)),ISNUMBER(SEARCH("confrontation",Q827)),ISNUMBER(SEARCH("violence",Q827)),ISNUMBER(SEARCH("detention",Q827)),ISNUMBER(SEARCH("arrest",Q827)),ISNUMBER(SEARCH("demolition",Q827)),ISNUMBER(SEARCH("injury",Q827))),1,0)+IF(OR(D827="Ongoing",D827="Unresolved"),1,0))))</x:f>
      </x:c>
      <x:c r="K827" s="16" t="str">
        <x:f>IF(J827="","",IF(J827=1,"Limited",IF(J827=2,"Local",IF(J827=3,"Significant",IF(J827=4,"High","Critical")))))</x:f>
      </x:c>
      <x:c r="L827" s="16" t="str">
        <x:f>IF(A827="","",Events!U826)</x:f>
      </x:c>
      <x:c r="M827" s="16" t="str">
        <x:f>IF(A827="","",Events!V826)</x:f>
      </x:c>
      <x:c r="N827" s="16" t="str">
        <x:f>IF(A827="","",Events!Q826)</x:f>
      </x:c>
      <x:c r="O827" s="16" t="str">
        <x:f>IF(A827="","",Events!R826)</x:f>
      </x:c>
      <x:c r="P827" s="16" t="str">
        <x:f>IF(A827="","",LOWER(Events!B826&amp;" "&amp;Events!D826&amp;" "&amp;Events!K826))</x:f>
      </x:c>
      <x:c r="Q827" s="16" t="str">
        <x:f>IF(A827="","",LOWER(Events!C826&amp;" "&amp;Events!K826&amp;" "&amp;Events!T826))</x:f>
      </x:c>
      <x:c r="R827" s="16" t="str">
        <x:f>IF(A827="","",IF(ISNUMBER(SEARCH("Occurrence verified",E827)),"Occurrence verified",E827))</x:f>
      </x:c>
      <x:c r="S827" s="79" t="str">
        <x:f>IF(A827="","",Events!X826)</x:f>
      </x:c>
      <x:c r="Z827" s="79" t="str">
        <x:f>IF(A827="","",Events!AD826)</x:f>
      </x:c>
      <x:c r="AA827" s="79" t="str">
        <x:f>IF(A827="","",Events!AE826)</x:f>
      </x:c>
    </x:row>
    <x:row r="828">
      <x:c r="A828" s="16" t="str">
        <x:f>IF(Events!A827="","",Events!A827)</x:f>
      </x:c>
      <x:c r="B828" s="16" t="str">
        <x:f>IF(A828="","",Events!B827)</x:f>
      </x:c>
      <x:c r="C828" s="16" t="str">
        <x:f>IF(A828="","",Events!E827)</x:f>
      </x:c>
      <x:c r="D828" s="16" t="str">
        <x:f>IF(A828="","",Events!J827)</x:f>
      </x:c>
      <x:c r="E828" s="16" t="str">
        <x:f>IF(A828="","",Events!N827)</x:f>
      </x:c>
      <x:c r="F828" s="109" t="str">
        <x:f>IF(OR(A828="",Events!H827=""),"",Events!H827)</x:f>
      </x:c>
      <x:c r="G828" s="109" t="str">
        <x:f>IF(A828="","",IF(Events!I827&lt;&gt;"",Events!I827,IF(Events!S827&lt;&gt;"",Events!S827,"")))</x:f>
      </x:c>
      <x:c r="H828" s="16" t="str">
        <x:f>IF(A828="","",Events!W827)</x:f>
      </x:c>
      <x:c r="I828" s="16" t="str">
        <x:f>IF(A828="","",IF(Events!Y827&lt;&gt;"",Events!Y827,IF(OR(ISNUMBER(SEARCH("education",P828)),ISNUMBER(SEARCH("exam",P828)),ISNUMBER(SEARCH("school",P828))),"Education",IF(OR(ISNUMBER(SEARCH("trade agreement",P828)),ISNUMBER(SEARCH("economic",P828)),ISNUMBER(SEARCH("import",P828))),"Trade &amp; economic policy",IF(OR(ISNUMBER(SEARCH("land acquisition",P828)),ISNUMBER(SEARCH("rehabilitation",P828)),ISNUMBER(SEARCH("displacement",P828)),ISNUMBER(SEARCH("township",P828))),"Land &amp; rehabilitation",IF(OR(ISNUMBER(SEARCH("forest",P828)),ISNUMBER(SEARCH("environment",P828)),ISNUMBER(SEARCH("ecological",P828)),ISNUMBER(SEARCH("biodiversity",P828)),ISNUMBER(SEARCH("green cover",P828))),"Environment",IF(OR(ISNUMBER(SEARCH("irrigation",P828)),ISNUMBER(SEARCH("water",P828)),ISNUMBER(SEARCH("crop",P828)),ISNUMBER(SEARCH("farmer",P828)),ISNUMBER(SEARCH("agriculture",P828))),"Agriculture &amp; water",IF(OR(ISNUMBER(SEARCH("health",P828)),ISNUMBER(SEARCH("hospital",P828)),ISNUMBER(SEARCH("medicine",P828))),"Public health",IF(OR(ISNUMBER(SEARCH("employee",P828)),ISNUMBER(SEARCH("labour",P828)),ISNUMBER(SEARCH("worker",P828)),ISNUMBER(SEARCH("salary",P828))),"Labour &amp; employment",IF(OR(ISNUMBER(SEARCH("rti",P828)),ISNUMBER(SEARCH("transparency",P828)),ISNUMBER(SEARCH("corruption",P828)),ISNUMBER(SEARCH("governance",P828))),"Governance &amp; transparency",IF(OR(ISNUMBER(SEARCH("police",P828)),ISNUMBER(SEARCH("detention",P828)),ISNUMBER(SEARCH("civil rights",P828)),ISNUMBER(SEARCH("justice",P828))),"Civil rights &amp; justice",IF(OR(ISNUMBER(SEARCH("road",P828)),ISNUMBER(SEARCH("utility",P828)),ISNUMBER(SEARCH("infrastructure",P828)),ISNUMBER(SEARCH("public service",P828))),"Infrastructure &amp; public services","Other"))))))))))))</x:f>
      </x:c>
      <x:c r="J828" s="16" t="str">
        <x:f>IF(A828="","",IF(OR(ISNUMBER(SEARCH("fatal",Q828)),ISNUMBER(SEARCH("death",Q828)),ISNUMBER(SEARCH("riot",Q828)),ISNUMBER(SEARCH("curfew",Q828)),ISNUMBER(SEARCH("internet shutdown",Q828))),5,MIN(4,1+IF(H828&gt;=7,1,0)+IF(OR(ISNUMBER(SEARCH("hunger strike",Q828)),ISNUMBER(SEARCH("blockade",Q828)),ISNUMBER(SEARCH("strike",Q828)),ISNUMBER(SEARCH("jal satyagraha",Q828)),ISNUMBER(SEARCH("survey",Q828)),ISNUMBER(SEARCH("human chain",Q828)),ISNUMBER(SEARCH("march",Q828))),1,0)+IF(OR(ISNUMBER(SEARCH("fir",Q828)),ISNUMBER(SEARCH("confrontation",Q828)),ISNUMBER(SEARCH("violence",Q828)),ISNUMBER(SEARCH("detention",Q828)),ISNUMBER(SEARCH("arrest",Q828)),ISNUMBER(SEARCH("demolition",Q828)),ISNUMBER(SEARCH("injury",Q828))),1,0)+IF(OR(D828="Ongoing",D828="Unresolved"),1,0))))</x:f>
      </x:c>
      <x:c r="K828" s="16" t="str">
        <x:f>IF(J828="","",IF(J828=1,"Limited",IF(J828=2,"Local",IF(J828=3,"Significant",IF(J828=4,"High","Critical")))))</x:f>
      </x:c>
      <x:c r="L828" s="16" t="str">
        <x:f>IF(A828="","",Events!U827)</x:f>
      </x:c>
      <x:c r="M828" s="16" t="str">
        <x:f>IF(A828="","",Events!V827)</x:f>
      </x:c>
      <x:c r="N828" s="16" t="str">
        <x:f>IF(A828="","",Events!Q827)</x:f>
      </x:c>
      <x:c r="O828" s="16" t="str">
        <x:f>IF(A828="","",Events!R827)</x:f>
      </x:c>
      <x:c r="P828" s="16" t="str">
        <x:f>IF(A828="","",LOWER(Events!B827&amp;" "&amp;Events!D827&amp;" "&amp;Events!K827))</x:f>
      </x:c>
      <x:c r="Q828" s="16" t="str">
        <x:f>IF(A828="","",LOWER(Events!C827&amp;" "&amp;Events!K827&amp;" "&amp;Events!T827))</x:f>
      </x:c>
      <x:c r="R828" s="16" t="str">
        <x:f>IF(A828="","",IF(ISNUMBER(SEARCH("Occurrence verified",E828)),"Occurrence verified",E828))</x:f>
      </x:c>
      <x:c r="S828" s="79" t="str">
        <x:f>IF(A828="","",Events!X827)</x:f>
      </x:c>
      <x:c r="Z828" s="79" t="str">
        <x:f>IF(A828="","",Events!AD827)</x:f>
      </x:c>
      <x:c r="AA828" s="79" t="str">
        <x:f>IF(A828="","",Events!AE827)</x:f>
      </x:c>
    </x:row>
    <x:row r="829">
      <x:c r="A829" s="16" t="str">
        <x:f>IF(Events!A828="","",Events!A828)</x:f>
      </x:c>
      <x:c r="B829" s="16" t="str">
        <x:f>IF(A829="","",Events!B828)</x:f>
      </x:c>
      <x:c r="C829" s="16" t="str">
        <x:f>IF(A829="","",Events!E828)</x:f>
      </x:c>
      <x:c r="D829" s="16" t="str">
        <x:f>IF(A829="","",Events!J828)</x:f>
      </x:c>
      <x:c r="E829" s="16" t="str">
        <x:f>IF(A829="","",Events!N828)</x:f>
      </x:c>
      <x:c r="F829" s="109" t="str">
        <x:f>IF(OR(A829="",Events!H828=""),"",Events!H828)</x:f>
      </x:c>
      <x:c r="G829" s="109" t="str">
        <x:f>IF(A829="","",IF(Events!I828&lt;&gt;"",Events!I828,IF(Events!S828&lt;&gt;"",Events!S828,"")))</x:f>
      </x:c>
      <x:c r="H829" s="16" t="str">
        <x:f>IF(A829="","",Events!W828)</x:f>
      </x:c>
      <x:c r="I829" s="16" t="str">
        <x:f>IF(A829="","",IF(Events!Y828&lt;&gt;"",Events!Y828,IF(OR(ISNUMBER(SEARCH("education",P829)),ISNUMBER(SEARCH("exam",P829)),ISNUMBER(SEARCH("school",P829))),"Education",IF(OR(ISNUMBER(SEARCH("trade agreement",P829)),ISNUMBER(SEARCH("economic",P829)),ISNUMBER(SEARCH("import",P829))),"Trade &amp; economic policy",IF(OR(ISNUMBER(SEARCH("land acquisition",P829)),ISNUMBER(SEARCH("rehabilitation",P829)),ISNUMBER(SEARCH("displacement",P829)),ISNUMBER(SEARCH("township",P829))),"Land &amp; rehabilitation",IF(OR(ISNUMBER(SEARCH("forest",P829)),ISNUMBER(SEARCH("environment",P829)),ISNUMBER(SEARCH("ecological",P829)),ISNUMBER(SEARCH("biodiversity",P829)),ISNUMBER(SEARCH("green cover",P829))),"Environment",IF(OR(ISNUMBER(SEARCH("irrigation",P829)),ISNUMBER(SEARCH("water",P829)),ISNUMBER(SEARCH("crop",P829)),ISNUMBER(SEARCH("farmer",P829)),ISNUMBER(SEARCH("agriculture",P829))),"Agriculture &amp; water",IF(OR(ISNUMBER(SEARCH("health",P829)),ISNUMBER(SEARCH("hospital",P829)),ISNUMBER(SEARCH("medicine",P829))),"Public health",IF(OR(ISNUMBER(SEARCH("employee",P829)),ISNUMBER(SEARCH("labour",P829)),ISNUMBER(SEARCH("worker",P829)),ISNUMBER(SEARCH("salary",P829))),"Labour &amp; employment",IF(OR(ISNUMBER(SEARCH("rti",P829)),ISNUMBER(SEARCH("transparency",P829)),ISNUMBER(SEARCH("corruption",P829)),ISNUMBER(SEARCH("governance",P829))),"Governance &amp; transparency",IF(OR(ISNUMBER(SEARCH("police",P829)),ISNUMBER(SEARCH("detention",P829)),ISNUMBER(SEARCH("civil rights",P829)),ISNUMBER(SEARCH("justice",P829))),"Civil rights &amp; justice",IF(OR(ISNUMBER(SEARCH("road",P829)),ISNUMBER(SEARCH("utility",P829)),ISNUMBER(SEARCH("infrastructure",P829)),ISNUMBER(SEARCH("public service",P829))),"Infrastructure &amp; public services","Other"))))))))))))</x:f>
      </x:c>
      <x:c r="J829" s="16" t="str">
        <x:f>IF(A829="","",IF(OR(ISNUMBER(SEARCH("fatal",Q829)),ISNUMBER(SEARCH("death",Q829)),ISNUMBER(SEARCH("riot",Q829)),ISNUMBER(SEARCH("curfew",Q829)),ISNUMBER(SEARCH("internet shutdown",Q829))),5,MIN(4,1+IF(H829&gt;=7,1,0)+IF(OR(ISNUMBER(SEARCH("hunger strike",Q829)),ISNUMBER(SEARCH("blockade",Q829)),ISNUMBER(SEARCH("strike",Q829)),ISNUMBER(SEARCH("jal satyagraha",Q829)),ISNUMBER(SEARCH("survey",Q829)),ISNUMBER(SEARCH("human chain",Q829)),ISNUMBER(SEARCH("march",Q829))),1,0)+IF(OR(ISNUMBER(SEARCH("fir",Q829)),ISNUMBER(SEARCH("confrontation",Q829)),ISNUMBER(SEARCH("violence",Q829)),ISNUMBER(SEARCH("detention",Q829)),ISNUMBER(SEARCH("arrest",Q829)),ISNUMBER(SEARCH("demolition",Q829)),ISNUMBER(SEARCH("injury",Q829))),1,0)+IF(OR(D829="Ongoing",D829="Unresolved"),1,0))))</x:f>
      </x:c>
      <x:c r="K829" s="16" t="str">
        <x:f>IF(J829="","",IF(J829=1,"Limited",IF(J829=2,"Local",IF(J829=3,"Significant",IF(J829=4,"High","Critical")))))</x:f>
      </x:c>
      <x:c r="L829" s="16" t="str">
        <x:f>IF(A829="","",Events!U828)</x:f>
      </x:c>
      <x:c r="M829" s="16" t="str">
        <x:f>IF(A829="","",Events!V828)</x:f>
      </x:c>
      <x:c r="N829" s="16" t="str">
        <x:f>IF(A829="","",Events!Q828)</x:f>
      </x:c>
      <x:c r="O829" s="16" t="str">
        <x:f>IF(A829="","",Events!R828)</x:f>
      </x:c>
      <x:c r="P829" s="16" t="str">
        <x:f>IF(A829="","",LOWER(Events!B828&amp;" "&amp;Events!D828&amp;" "&amp;Events!K828))</x:f>
      </x:c>
      <x:c r="Q829" s="16" t="str">
        <x:f>IF(A829="","",LOWER(Events!C828&amp;" "&amp;Events!K828&amp;" "&amp;Events!T828))</x:f>
      </x:c>
      <x:c r="R829" s="16" t="str">
        <x:f>IF(A829="","",IF(ISNUMBER(SEARCH("Occurrence verified",E829)),"Occurrence verified",E829))</x:f>
      </x:c>
      <x:c r="S829" s="79" t="str">
        <x:f>IF(A829="","",Events!X828)</x:f>
      </x:c>
      <x:c r="Z829" s="79" t="str">
        <x:f>IF(A829="","",Events!AD828)</x:f>
      </x:c>
      <x:c r="AA829" s="79" t="str">
        <x:f>IF(A829="","",Events!AE828)</x:f>
      </x:c>
    </x:row>
    <x:row r="830">
      <x:c r="A830" s="16" t="str">
        <x:f>IF(Events!A829="","",Events!A829)</x:f>
      </x:c>
      <x:c r="B830" s="16" t="str">
        <x:f>IF(A830="","",Events!B829)</x:f>
      </x:c>
      <x:c r="C830" s="16" t="str">
        <x:f>IF(A830="","",Events!E829)</x:f>
      </x:c>
      <x:c r="D830" s="16" t="str">
        <x:f>IF(A830="","",Events!J829)</x:f>
      </x:c>
      <x:c r="E830" s="16" t="str">
        <x:f>IF(A830="","",Events!N829)</x:f>
      </x:c>
      <x:c r="F830" s="109" t="str">
        <x:f>IF(OR(A830="",Events!H829=""),"",Events!H829)</x:f>
      </x:c>
      <x:c r="G830" s="109" t="str">
        <x:f>IF(A830="","",IF(Events!I829&lt;&gt;"",Events!I829,IF(Events!S829&lt;&gt;"",Events!S829,"")))</x:f>
      </x:c>
      <x:c r="H830" s="16" t="str">
        <x:f>IF(A830="","",Events!W829)</x:f>
      </x:c>
      <x:c r="I830" s="16" t="str">
        <x:f>IF(A830="","",IF(Events!Y829&lt;&gt;"",Events!Y829,IF(OR(ISNUMBER(SEARCH("education",P830)),ISNUMBER(SEARCH("exam",P830)),ISNUMBER(SEARCH("school",P830))),"Education",IF(OR(ISNUMBER(SEARCH("trade agreement",P830)),ISNUMBER(SEARCH("economic",P830)),ISNUMBER(SEARCH("import",P830))),"Trade &amp; economic policy",IF(OR(ISNUMBER(SEARCH("land acquisition",P830)),ISNUMBER(SEARCH("rehabilitation",P830)),ISNUMBER(SEARCH("displacement",P830)),ISNUMBER(SEARCH("township",P830))),"Land &amp; rehabilitation",IF(OR(ISNUMBER(SEARCH("forest",P830)),ISNUMBER(SEARCH("environment",P830)),ISNUMBER(SEARCH("ecological",P830)),ISNUMBER(SEARCH("biodiversity",P830)),ISNUMBER(SEARCH("green cover",P830))),"Environment",IF(OR(ISNUMBER(SEARCH("irrigation",P830)),ISNUMBER(SEARCH("water",P830)),ISNUMBER(SEARCH("crop",P830)),ISNUMBER(SEARCH("farmer",P830)),ISNUMBER(SEARCH("agriculture",P830))),"Agriculture &amp; water",IF(OR(ISNUMBER(SEARCH("health",P830)),ISNUMBER(SEARCH("hospital",P830)),ISNUMBER(SEARCH("medicine",P830))),"Public health",IF(OR(ISNUMBER(SEARCH("employee",P830)),ISNUMBER(SEARCH("labour",P830)),ISNUMBER(SEARCH("worker",P830)),ISNUMBER(SEARCH("salary",P830))),"Labour &amp; employment",IF(OR(ISNUMBER(SEARCH("rti",P830)),ISNUMBER(SEARCH("transparency",P830)),ISNUMBER(SEARCH("corruption",P830)),ISNUMBER(SEARCH("governance",P830))),"Governance &amp; transparency",IF(OR(ISNUMBER(SEARCH("police",P830)),ISNUMBER(SEARCH("detention",P830)),ISNUMBER(SEARCH("civil rights",P830)),ISNUMBER(SEARCH("justice",P830))),"Civil rights &amp; justice",IF(OR(ISNUMBER(SEARCH("road",P830)),ISNUMBER(SEARCH("utility",P830)),ISNUMBER(SEARCH("infrastructure",P830)),ISNUMBER(SEARCH("public service",P830))),"Infrastructure &amp; public services","Other"))))))))))))</x:f>
      </x:c>
      <x:c r="J830" s="16" t="str">
        <x:f>IF(A830="","",IF(OR(ISNUMBER(SEARCH("fatal",Q830)),ISNUMBER(SEARCH("death",Q830)),ISNUMBER(SEARCH("riot",Q830)),ISNUMBER(SEARCH("curfew",Q830)),ISNUMBER(SEARCH("internet shutdown",Q830))),5,MIN(4,1+IF(H830&gt;=7,1,0)+IF(OR(ISNUMBER(SEARCH("hunger strike",Q830)),ISNUMBER(SEARCH("blockade",Q830)),ISNUMBER(SEARCH("strike",Q830)),ISNUMBER(SEARCH("jal satyagraha",Q830)),ISNUMBER(SEARCH("survey",Q830)),ISNUMBER(SEARCH("human chain",Q830)),ISNUMBER(SEARCH("march",Q830))),1,0)+IF(OR(ISNUMBER(SEARCH("fir",Q830)),ISNUMBER(SEARCH("confrontation",Q830)),ISNUMBER(SEARCH("violence",Q830)),ISNUMBER(SEARCH("detention",Q830)),ISNUMBER(SEARCH("arrest",Q830)),ISNUMBER(SEARCH("demolition",Q830)),ISNUMBER(SEARCH("injury",Q830))),1,0)+IF(OR(D830="Ongoing",D830="Unresolved"),1,0))))</x:f>
      </x:c>
      <x:c r="K830" s="16" t="str">
        <x:f>IF(J830="","",IF(J830=1,"Limited",IF(J830=2,"Local",IF(J830=3,"Significant",IF(J830=4,"High","Critical")))))</x:f>
      </x:c>
      <x:c r="L830" s="16" t="str">
        <x:f>IF(A830="","",Events!U829)</x:f>
      </x:c>
      <x:c r="M830" s="16" t="str">
        <x:f>IF(A830="","",Events!V829)</x:f>
      </x:c>
      <x:c r="N830" s="16" t="str">
        <x:f>IF(A830="","",Events!Q829)</x:f>
      </x:c>
      <x:c r="O830" s="16" t="str">
        <x:f>IF(A830="","",Events!R829)</x:f>
      </x:c>
      <x:c r="P830" s="16" t="str">
        <x:f>IF(A830="","",LOWER(Events!B829&amp;" "&amp;Events!D829&amp;" "&amp;Events!K829))</x:f>
      </x:c>
      <x:c r="Q830" s="16" t="str">
        <x:f>IF(A830="","",LOWER(Events!C829&amp;" "&amp;Events!K829&amp;" "&amp;Events!T829))</x:f>
      </x:c>
      <x:c r="R830" s="16" t="str">
        <x:f>IF(A830="","",IF(ISNUMBER(SEARCH("Occurrence verified",E830)),"Occurrence verified",E830))</x:f>
      </x:c>
      <x:c r="S830" s="79" t="str">
        <x:f>IF(A830="","",Events!X829)</x:f>
      </x:c>
      <x:c r="Z830" s="79" t="str">
        <x:f>IF(A830="","",Events!AD829)</x:f>
      </x:c>
      <x:c r="AA830" s="79" t="str">
        <x:f>IF(A830="","",Events!AE829)</x:f>
      </x:c>
    </x:row>
    <x:row r="831">
      <x:c r="A831" s="16" t="str">
        <x:f>IF(Events!A830="","",Events!A830)</x:f>
      </x:c>
      <x:c r="B831" s="16" t="str">
        <x:f>IF(A831="","",Events!B830)</x:f>
      </x:c>
      <x:c r="C831" s="16" t="str">
        <x:f>IF(A831="","",Events!E830)</x:f>
      </x:c>
      <x:c r="D831" s="16" t="str">
        <x:f>IF(A831="","",Events!J830)</x:f>
      </x:c>
      <x:c r="E831" s="16" t="str">
        <x:f>IF(A831="","",Events!N830)</x:f>
      </x:c>
      <x:c r="F831" s="109" t="str">
        <x:f>IF(OR(A831="",Events!H830=""),"",Events!H830)</x:f>
      </x:c>
      <x:c r="G831" s="109" t="str">
        <x:f>IF(A831="","",IF(Events!I830&lt;&gt;"",Events!I830,IF(Events!S830&lt;&gt;"",Events!S830,"")))</x:f>
      </x:c>
      <x:c r="H831" s="16" t="str">
        <x:f>IF(A831="","",Events!W830)</x:f>
      </x:c>
      <x:c r="I831" s="16" t="str">
        <x:f>IF(A831="","",IF(Events!Y830&lt;&gt;"",Events!Y830,IF(OR(ISNUMBER(SEARCH("education",P831)),ISNUMBER(SEARCH("exam",P831)),ISNUMBER(SEARCH("school",P831))),"Education",IF(OR(ISNUMBER(SEARCH("trade agreement",P831)),ISNUMBER(SEARCH("economic",P831)),ISNUMBER(SEARCH("import",P831))),"Trade &amp; economic policy",IF(OR(ISNUMBER(SEARCH("land acquisition",P831)),ISNUMBER(SEARCH("rehabilitation",P831)),ISNUMBER(SEARCH("displacement",P831)),ISNUMBER(SEARCH("township",P831))),"Land &amp; rehabilitation",IF(OR(ISNUMBER(SEARCH("forest",P831)),ISNUMBER(SEARCH("environment",P831)),ISNUMBER(SEARCH("ecological",P831)),ISNUMBER(SEARCH("biodiversity",P831)),ISNUMBER(SEARCH("green cover",P831))),"Environment",IF(OR(ISNUMBER(SEARCH("irrigation",P831)),ISNUMBER(SEARCH("water",P831)),ISNUMBER(SEARCH("crop",P831)),ISNUMBER(SEARCH("farmer",P831)),ISNUMBER(SEARCH("agriculture",P831))),"Agriculture &amp; water",IF(OR(ISNUMBER(SEARCH("health",P831)),ISNUMBER(SEARCH("hospital",P831)),ISNUMBER(SEARCH("medicine",P831))),"Public health",IF(OR(ISNUMBER(SEARCH("employee",P831)),ISNUMBER(SEARCH("labour",P831)),ISNUMBER(SEARCH("worker",P831)),ISNUMBER(SEARCH("salary",P831))),"Labour &amp; employment",IF(OR(ISNUMBER(SEARCH("rti",P831)),ISNUMBER(SEARCH("transparency",P831)),ISNUMBER(SEARCH("corruption",P831)),ISNUMBER(SEARCH("governance",P831))),"Governance &amp; transparency",IF(OR(ISNUMBER(SEARCH("police",P831)),ISNUMBER(SEARCH("detention",P831)),ISNUMBER(SEARCH("civil rights",P831)),ISNUMBER(SEARCH("justice",P831))),"Civil rights &amp; justice",IF(OR(ISNUMBER(SEARCH("road",P831)),ISNUMBER(SEARCH("utility",P831)),ISNUMBER(SEARCH("infrastructure",P831)),ISNUMBER(SEARCH("public service",P831))),"Infrastructure &amp; public services","Other"))))))))))))</x:f>
      </x:c>
      <x:c r="J831" s="16" t="str">
        <x:f>IF(A831="","",IF(OR(ISNUMBER(SEARCH("fatal",Q831)),ISNUMBER(SEARCH("death",Q831)),ISNUMBER(SEARCH("riot",Q831)),ISNUMBER(SEARCH("curfew",Q831)),ISNUMBER(SEARCH("internet shutdown",Q831))),5,MIN(4,1+IF(H831&gt;=7,1,0)+IF(OR(ISNUMBER(SEARCH("hunger strike",Q831)),ISNUMBER(SEARCH("blockade",Q831)),ISNUMBER(SEARCH("strike",Q831)),ISNUMBER(SEARCH("jal satyagraha",Q831)),ISNUMBER(SEARCH("survey",Q831)),ISNUMBER(SEARCH("human chain",Q831)),ISNUMBER(SEARCH("march",Q831))),1,0)+IF(OR(ISNUMBER(SEARCH("fir",Q831)),ISNUMBER(SEARCH("confrontation",Q831)),ISNUMBER(SEARCH("violence",Q831)),ISNUMBER(SEARCH("detention",Q831)),ISNUMBER(SEARCH("arrest",Q831)),ISNUMBER(SEARCH("demolition",Q831)),ISNUMBER(SEARCH("injury",Q831))),1,0)+IF(OR(D831="Ongoing",D831="Unresolved"),1,0))))</x:f>
      </x:c>
      <x:c r="K831" s="16" t="str">
        <x:f>IF(J831="","",IF(J831=1,"Limited",IF(J831=2,"Local",IF(J831=3,"Significant",IF(J831=4,"High","Critical")))))</x:f>
      </x:c>
      <x:c r="L831" s="16" t="str">
        <x:f>IF(A831="","",Events!U830)</x:f>
      </x:c>
      <x:c r="M831" s="16" t="str">
        <x:f>IF(A831="","",Events!V830)</x:f>
      </x:c>
      <x:c r="N831" s="16" t="str">
        <x:f>IF(A831="","",Events!Q830)</x:f>
      </x:c>
      <x:c r="O831" s="16" t="str">
        <x:f>IF(A831="","",Events!R830)</x:f>
      </x:c>
      <x:c r="P831" s="16" t="str">
        <x:f>IF(A831="","",LOWER(Events!B830&amp;" "&amp;Events!D830&amp;" "&amp;Events!K830))</x:f>
      </x:c>
      <x:c r="Q831" s="16" t="str">
        <x:f>IF(A831="","",LOWER(Events!C830&amp;" "&amp;Events!K830&amp;" "&amp;Events!T830))</x:f>
      </x:c>
      <x:c r="R831" s="16" t="str">
        <x:f>IF(A831="","",IF(ISNUMBER(SEARCH("Occurrence verified",E831)),"Occurrence verified",E831))</x:f>
      </x:c>
      <x:c r="S831" s="79" t="str">
        <x:f>IF(A831="","",Events!X830)</x:f>
      </x:c>
      <x:c r="Z831" s="79" t="str">
        <x:f>IF(A831="","",Events!AD830)</x:f>
      </x:c>
      <x:c r="AA831" s="79" t="str">
        <x:f>IF(A831="","",Events!AE830)</x:f>
      </x:c>
    </x:row>
    <x:row r="832">
      <x:c r="A832" s="16" t="str">
        <x:f>IF(Events!A831="","",Events!A831)</x:f>
      </x:c>
      <x:c r="B832" s="16" t="str">
        <x:f>IF(A832="","",Events!B831)</x:f>
      </x:c>
      <x:c r="C832" s="16" t="str">
        <x:f>IF(A832="","",Events!E831)</x:f>
      </x:c>
      <x:c r="D832" s="16" t="str">
        <x:f>IF(A832="","",Events!J831)</x:f>
      </x:c>
      <x:c r="E832" s="16" t="str">
        <x:f>IF(A832="","",Events!N831)</x:f>
      </x:c>
      <x:c r="F832" s="109" t="str">
        <x:f>IF(OR(A832="",Events!H831=""),"",Events!H831)</x:f>
      </x:c>
      <x:c r="G832" s="109" t="str">
        <x:f>IF(A832="","",IF(Events!I831&lt;&gt;"",Events!I831,IF(Events!S831&lt;&gt;"",Events!S831,"")))</x:f>
      </x:c>
      <x:c r="H832" s="16" t="str">
        <x:f>IF(A832="","",Events!W831)</x:f>
      </x:c>
      <x:c r="I832" s="16" t="str">
        <x:f>IF(A832="","",IF(Events!Y831&lt;&gt;"",Events!Y831,IF(OR(ISNUMBER(SEARCH("education",P832)),ISNUMBER(SEARCH("exam",P832)),ISNUMBER(SEARCH("school",P832))),"Education",IF(OR(ISNUMBER(SEARCH("trade agreement",P832)),ISNUMBER(SEARCH("economic",P832)),ISNUMBER(SEARCH("import",P832))),"Trade &amp; economic policy",IF(OR(ISNUMBER(SEARCH("land acquisition",P832)),ISNUMBER(SEARCH("rehabilitation",P832)),ISNUMBER(SEARCH("displacement",P832)),ISNUMBER(SEARCH("township",P832))),"Land &amp; rehabilitation",IF(OR(ISNUMBER(SEARCH("forest",P832)),ISNUMBER(SEARCH("environment",P832)),ISNUMBER(SEARCH("ecological",P832)),ISNUMBER(SEARCH("biodiversity",P832)),ISNUMBER(SEARCH("green cover",P832))),"Environment",IF(OR(ISNUMBER(SEARCH("irrigation",P832)),ISNUMBER(SEARCH("water",P832)),ISNUMBER(SEARCH("crop",P832)),ISNUMBER(SEARCH("farmer",P832)),ISNUMBER(SEARCH("agriculture",P832))),"Agriculture &amp; water",IF(OR(ISNUMBER(SEARCH("health",P832)),ISNUMBER(SEARCH("hospital",P832)),ISNUMBER(SEARCH("medicine",P832))),"Public health",IF(OR(ISNUMBER(SEARCH("employee",P832)),ISNUMBER(SEARCH("labour",P832)),ISNUMBER(SEARCH("worker",P832)),ISNUMBER(SEARCH("salary",P832))),"Labour &amp; employment",IF(OR(ISNUMBER(SEARCH("rti",P832)),ISNUMBER(SEARCH("transparency",P832)),ISNUMBER(SEARCH("corruption",P832)),ISNUMBER(SEARCH("governance",P832))),"Governance &amp; transparency",IF(OR(ISNUMBER(SEARCH("police",P832)),ISNUMBER(SEARCH("detention",P832)),ISNUMBER(SEARCH("civil rights",P832)),ISNUMBER(SEARCH("justice",P832))),"Civil rights &amp; justice",IF(OR(ISNUMBER(SEARCH("road",P832)),ISNUMBER(SEARCH("utility",P832)),ISNUMBER(SEARCH("infrastructure",P832)),ISNUMBER(SEARCH("public service",P832))),"Infrastructure &amp; public services","Other"))))))))))))</x:f>
      </x:c>
      <x:c r="J832" s="16" t="str">
        <x:f>IF(A832="","",IF(OR(ISNUMBER(SEARCH("fatal",Q832)),ISNUMBER(SEARCH("death",Q832)),ISNUMBER(SEARCH("riot",Q832)),ISNUMBER(SEARCH("curfew",Q832)),ISNUMBER(SEARCH("internet shutdown",Q832))),5,MIN(4,1+IF(H832&gt;=7,1,0)+IF(OR(ISNUMBER(SEARCH("hunger strike",Q832)),ISNUMBER(SEARCH("blockade",Q832)),ISNUMBER(SEARCH("strike",Q832)),ISNUMBER(SEARCH("jal satyagraha",Q832)),ISNUMBER(SEARCH("survey",Q832)),ISNUMBER(SEARCH("human chain",Q832)),ISNUMBER(SEARCH("march",Q832))),1,0)+IF(OR(ISNUMBER(SEARCH("fir",Q832)),ISNUMBER(SEARCH("confrontation",Q832)),ISNUMBER(SEARCH("violence",Q832)),ISNUMBER(SEARCH("detention",Q832)),ISNUMBER(SEARCH("arrest",Q832)),ISNUMBER(SEARCH("demolition",Q832)),ISNUMBER(SEARCH("injury",Q832))),1,0)+IF(OR(D832="Ongoing",D832="Unresolved"),1,0))))</x:f>
      </x:c>
      <x:c r="K832" s="16" t="str">
        <x:f>IF(J832="","",IF(J832=1,"Limited",IF(J832=2,"Local",IF(J832=3,"Significant",IF(J832=4,"High","Critical")))))</x:f>
      </x:c>
      <x:c r="L832" s="16" t="str">
        <x:f>IF(A832="","",Events!U831)</x:f>
      </x:c>
      <x:c r="M832" s="16" t="str">
        <x:f>IF(A832="","",Events!V831)</x:f>
      </x:c>
      <x:c r="N832" s="16" t="str">
        <x:f>IF(A832="","",Events!Q831)</x:f>
      </x:c>
      <x:c r="O832" s="16" t="str">
        <x:f>IF(A832="","",Events!R831)</x:f>
      </x:c>
      <x:c r="P832" s="16" t="str">
        <x:f>IF(A832="","",LOWER(Events!B831&amp;" "&amp;Events!D831&amp;" "&amp;Events!K831))</x:f>
      </x:c>
      <x:c r="Q832" s="16" t="str">
        <x:f>IF(A832="","",LOWER(Events!C831&amp;" "&amp;Events!K831&amp;" "&amp;Events!T831))</x:f>
      </x:c>
      <x:c r="R832" s="16" t="str">
        <x:f>IF(A832="","",IF(ISNUMBER(SEARCH("Occurrence verified",E832)),"Occurrence verified",E832))</x:f>
      </x:c>
      <x:c r="S832" s="79" t="str">
        <x:f>IF(A832="","",Events!X831)</x:f>
      </x:c>
      <x:c r="Z832" s="79" t="str">
        <x:f>IF(A832="","",Events!AD831)</x:f>
      </x:c>
      <x:c r="AA832" s="79" t="str">
        <x:f>IF(A832="","",Events!AE831)</x:f>
      </x:c>
    </x:row>
    <x:row r="833">
      <x:c r="A833" s="16" t="str">
        <x:f>IF(Events!A832="","",Events!A832)</x:f>
      </x:c>
      <x:c r="B833" s="16" t="str">
        <x:f>IF(A833="","",Events!B832)</x:f>
      </x:c>
      <x:c r="C833" s="16" t="str">
        <x:f>IF(A833="","",Events!E832)</x:f>
      </x:c>
      <x:c r="D833" s="16" t="str">
        <x:f>IF(A833="","",Events!J832)</x:f>
      </x:c>
      <x:c r="E833" s="16" t="str">
        <x:f>IF(A833="","",Events!N832)</x:f>
      </x:c>
      <x:c r="F833" s="109" t="str">
        <x:f>IF(OR(A833="",Events!H832=""),"",Events!H832)</x:f>
      </x:c>
      <x:c r="G833" s="109" t="str">
        <x:f>IF(A833="","",IF(Events!I832&lt;&gt;"",Events!I832,IF(Events!S832&lt;&gt;"",Events!S832,"")))</x:f>
      </x:c>
      <x:c r="H833" s="16" t="str">
        <x:f>IF(A833="","",Events!W832)</x:f>
      </x:c>
      <x:c r="I833" s="16" t="str">
        <x:f>IF(A833="","",IF(Events!Y832&lt;&gt;"",Events!Y832,IF(OR(ISNUMBER(SEARCH("education",P833)),ISNUMBER(SEARCH("exam",P833)),ISNUMBER(SEARCH("school",P833))),"Education",IF(OR(ISNUMBER(SEARCH("trade agreement",P833)),ISNUMBER(SEARCH("economic",P833)),ISNUMBER(SEARCH("import",P833))),"Trade &amp; economic policy",IF(OR(ISNUMBER(SEARCH("land acquisition",P833)),ISNUMBER(SEARCH("rehabilitation",P833)),ISNUMBER(SEARCH("displacement",P833)),ISNUMBER(SEARCH("township",P833))),"Land &amp; rehabilitation",IF(OR(ISNUMBER(SEARCH("forest",P833)),ISNUMBER(SEARCH("environment",P833)),ISNUMBER(SEARCH("ecological",P833)),ISNUMBER(SEARCH("biodiversity",P833)),ISNUMBER(SEARCH("green cover",P833))),"Environment",IF(OR(ISNUMBER(SEARCH("irrigation",P833)),ISNUMBER(SEARCH("water",P833)),ISNUMBER(SEARCH("crop",P833)),ISNUMBER(SEARCH("farmer",P833)),ISNUMBER(SEARCH("agriculture",P833))),"Agriculture &amp; water",IF(OR(ISNUMBER(SEARCH("health",P833)),ISNUMBER(SEARCH("hospital",P833)),ISNUMBER(SEARCH("medicine",P833))),"Public health",IF(OR(ISNUMBER(SEARCH("employee",P833)),ISNUMBER(SEARCH("labour",P833)),ISNUMBER(SEARCH("worker",P833)),ISNUMBER(SEARCH("salary",P833))),"Labour &amp; employment",IF(OR(ISNUMBER(SEARCH("rti",P833)),ISNUMBER(SEARCH("transparency",P833)),ISNUMBER(SEARCH("corruption",P833)),ISNUMBER(SEARCH("governance",P833))),"Governance &amp; transparency",IF(OR(ISNUMBER(SEARCH("police",P833)),ISNUMBER(SEARCH("detention",P833)),ISNUMBER(SEARCH("civil rights",P833)),ISNUMBER(SEARCH("justice",P833))),"Civil rights &amp; justice",IF(OR(ISNUMBER(SEARCH("road",P833)),ISNUMBER(SEARCH("utility",P833)),ISNUMBER(SEARCH("infrastructure",P833)),ISNUMBER(SEARCH("public service",P833))),"Infrastructure &amp; public services","Other"))))))))))))</x:f>
      </x:c>
      <x:c r="J833" s="16" t="str">
        <x:f>IF(A833="","",IF(OR(ISNUMBER(SEARCH("fatal",Q833)),ISNUMBER(SEARCH("death",Q833)),ISNUMBER(SEARCH("riot",Q833)),ISNUMBER(SEARCH("curfew",Q833)),ISNUMBER(SEARCH("internet shutdown",Q833))),5,MIN(4,1+IF(H833&gt;=7,1,0)+IF(OR(ISNUMBER(SEARCH("hunger strike",Q833)),ISNUMBER(SEARCH("blockade",Q833)),ISNUMBER(SEARCH("strike",Q833)),ISNUMBER(SEARCH("jal satyagraha",Q833)),ISNUMBER(SEARCH("survey",Q833)),ISNUMBER(SEARCH("human chain",Q833)),ISNUMBER(SEARCH("march",Q833))),1,0)+IF(OR(ISNUMBER(SEARCH("fir",Q833)),ISNUMBER(SEARCH("confrontation",Q833)),ISNUMBER(SEARCH("violence",Q833)),ISNUMBER(SEARCH("detention",Q833)),ISNUMBER(SEARCH("arrest",Q833)),ISNUMBER(SEARCH("demolition",Q833)),ISNUMBER(SEARCH("injury",Q833))),1,0)+IF(OR(D833="Ongoing",D833="Unresolved"),1,0))))</x:f>
      </x:c>
      <x:c r="K833" s="16" t="str">
        <x:f>IF(J833="","",IF(J833=1,"Limited",IF(J833=2,"Local",IF(J833=3,"Significant",IF(J833=4,"High","Critical")))))</x:f>
      </x:c>
      <x:c r="L833" s="16" t="str">
        <x:f>IF(A833="","",Events!U832)</x:f>
      </x:c>
      <x:c r="M833" s="16" t="str">
        <x:f>IF(A833="","",Events!V832)</x:f>
      </x:c>
      <x:c r="N833" s="16" t="str">
        <x:f>IF(A833="","",Events!Q832)</x:f>
      </x:c>
      <x:c r="O833" s="16" t="str">
        <x:f>IF(A833="","",Events!R832)</x:f>
      </x:c>
      <x:c r="P833" s="16" t="str">
        <x:f>IF(A833="","",LOWER(Events!B832&amp;" "&amp;Events!D832&amp;" "&amp;Events!K832))</x:f>
      </x:c>
      <x:c r="Q833" s="16" t="str">
        <x:f>IF(A833="","",LOWER(Events!C832&amp;" "&amp;Events!K832&amp;" "&amp;Events!T832))</x:f>
      </x:c>
      <x:c r="R833" s="16" t="str">
        <x:f>IF(A833="","",IF(ISNUMBER(SEARCH("Occurrence verified",E833)),"Occurrence verified",E833))</x:f>
      </x:c>
      <x:c r="S833" s="79" t="str">
        <x:f>IF(A833="","",Events!X832)</x:f>
      </x:c>
      <x:c r="Z833" s="79" t="str">
        <x:f>IF(A833="","",Events!AD832)</x:f>
      </x:c>
      <x:c r="AA833" s="79" t="str">
        <x:f>IF(A833="","",Events!AE832)</x:f>
      </x:c>
    </x:row>
    <x:row r="834">
      <x:c r="A834" s="16" t="str">
        <x:f>IF(Events!A833="","",Events!A833)</x:f>
      </x:c>
      <x:c r="B834" s="16" t="str">
        <x:f>IF(A834="","",Events!B833)</x:f>
      </x:c>
      <x:c r="C834" s="16" t="str">
        <x:f>IF(A834="","",Events!E833)</x:f>
      </x:c>
      <x:c r="D834" s="16" t="str">
        <x:f>IF(A834="","",Events!J833)</x:f>
      </x:c>
      <x:c r="E834" s="16" t="str">
        <x:f>IF(A834="","",Events!N833)</x:f>
      </x:c>
      <x:c r="F834" s="109" t="str">
        <x:f>IF(OR(A834="",Events!H833=""),"",Events!H833)</x:f>
      </x:c>
      <x:c r="G834" s="109" t="str">
        <x:f>IF(A834="","",IF(Events!I833&lt;&gt;"",Events!I833,IF(Events!S833&lt;&gt;"",Events!S833,"")))</x:f>
      </x:c>
      <x:c r="H834" s="16" t="str">
        <x:f>IF(A834="","",Events!W833)</x:f>
      </x:c>
      <x:c r="I834" s="16" t="str">
        <x:f>IF(A834="","",IF(Events!Y833&lt;&gt;"",Events!Y833,IF(OR(ISNUMBER(SEARCH("education",P834)),ISNUMBER(SEARCH("exam",P834)),ISNUMBER(SEARCH("school",P834))),"Education",IF(OR(ISNUMBER(SEARCH("trade agreement",P834)),ISNUMBER(SEARCH("economic",P834)),ISNUMBER(SEARCH("import",P834))),"Trade &amp; economic policy",IF(OR(ISNUMBER(SEARCH("land acquisition",P834)),ISNUMBER(SEARCH("rehabilitation",P834)),ISNUMBER(SEARCH("displacement",P834)),ISNUMBER(SEARCH("township",P834))),"Land &amp; rehabilitation",IF(OR(ISNUMBER(SEARCH("forest",P834)),ISNUMBER(SEARCH("environment",P834)),ISNUMBER(SEARCH("ecological",P834)),ISNUMBER(SEARCH("biodiversity",P834)),ISNUMBER(SEARCH("green cover",P834))),"Environment",IF(OR(ISNUMBER(SEARCH("irrigation",P834)),ISNUMBER(SEARCH("water",P834)),ISNUMBER(SEARCH("crop",P834)),ISNUMBER(SEARCH("farmer",P834)),ISNUMBER(SEARCH("agriculture",P834))),"Agriculture &amp; water",IF(OR(ISNUMBER(SEARCH("health",P834)),ISNUMBER(SEARCH("hospital",P834)),ISNUMBER(SEARCH("medicine",P834))),"Public health",IF(OR(ISNUMBER(SEARCH("employee",P834)),ISNUMBER(SEARCH("labour",P834)),ISNUMBER(SEARCH("worker",P834)),ISNUMBER(SEARCH("salary",P834))),"Labour &amp; employment",IF(OR(ISNUMBER(SEARCH("rti",P834)),ISNUMBER(SEARCH("transparency",P834)),ISNUMBER(SEARCH("corruption",P834)),ISNUMBER(SEARCH("governance",P834))),"Governance &amp; transparency",IF(OR(ISNUMBER(SEARCH("police",P834)),ISNUMBER(SEARCH("detention",P834)),ISNUMBER(SEARCH("civil rights",P834)),ISNUMBER(SEARCH("justice",P834))),"Civil rights &amp; justice",IF(OR(ISNUMBER(SEARCH("road",P834)),ISNUMBER(SEARCH("utility",P834)),ISNUMBER(SEARCH("infrastructure",P834)),ISNUMBER(SEARCH("public service",P834))),"Infrastructure &amp; public services","Other"))))))))))))</x:f>
      </x:c>
      <x:c r="J834" s="16" t="str">
        <x:f>IF(A834="","",IF(OR(ISNUMBER(SEARCH("fatal",Q834)),ISNUMBER(SEARCH("death",Q834)),ISNUMBER(SEARCH("riot",Q834)),ISNUMBER(SEARCH("curfew",Q834)),ISNUMBER(SEARCH("internet shutdown",Q834))),5,MIN(4,1+IF(H834&gt;=7,1,0)+IF(OR(ISNUMBER(SEARCH("hunger strike",Q834)),ISNUMBER(SEARCH("blockade",Q834)),ISNUMBER(SEARCH("strike",Q834)),ISNUMBER(SEARCH("jal satyagraha",Q834)),ISNUMBER(SEARCH("survey",Q834)),ISNUMBER(SEARCH("human chain",Q834)),ISNUMBER(SEARCH("march",Q834))),1,0)+IF(OR(ISNUMBER(SEARCH("fir",Q834)),ISNUMBER(SEARCH("confrontation",Q834)),ISNUMBER(SEARCH("violence",Q834)),ISNUMBER(SEARCH("detention",Q834)),ISNUMBER(SEARCH("arrest",Q834)),ISNUMBER(SEARCH("demolition",Q834)),ISNUMBER(SEARCH("injury",Q834))),1,0)+IF(OR(D834="Ongoing",D834="Unresolved"),1,0))))</x:f>
      </x:c>
      <x:c r="K834" s="16" t="str">
        <x:f>IF(J834="","",IF(J834=1,"Limited",IF(J834=2,"Local",IF(J834=3,"Significant",IF(J834=4,"High","Critical")))))</x:f>
      </x:c>
      <x:c r="L834" s="16" t="str">
        <x:f>IF(A834="","",Events!U833)</x:f>
      </x:c>
      <x:c r="M834" s="16" t="str">
        <x:f>IF(A834="","",Events!V833)</x:f>
      </x:c>
      <x:c r="N834" s="16" t="str">
        <x:f>IF(A834="","",Events!Q833)</x:f>
      </x:c>
      <x:c r="O834" s="16" t="str">
        <x:f>IF(A834="","",Events!R833)</x:f>
      </x:c>
      <x:c r="P834" s="16" t="str">
        <x:f>IF(A834="","",LOWER(Events!B833&amp;" "&amp;Events!D833&amp;" "&amp;Events!K833))</x:f>
      </x:c>
      <x:c r="Q834" s="16" t="str">
        <x:f>IF(A834="","",LOWER(Events!C833&amp;" "&amp;Events!K833&amp;" "&amp;Events!T833))</x:f>
      </x:c>
      <x:c r="R834" s="16" t="str">
        <x:f>IF(A834="","",IF(ISNUMBER(SEARCH("Occurrence verified",E834)),"Occurrence verified",E834))</x:f>
      </x:c>
      <x:c r="S834" s="79" t="str">
        <x:f>IF(A834="","",Events!X833)</x:f>
      </x:c>
      <x:c r="Z834" s="79" t="str">
        <x:f>IF(A834="","",Events!AD833)</x:f>
      </x:c>
      <x:c r="AA834" s="79" t="str">
        <x:f>IF(A834="","",Events!AE833)</x:f>
      </x:c>
    </x:row>
    <x:row r="835">
      <x:c r="A835" s="16" t="str">
        <x:f>IF(Events!A834="","",Events!A834)</x:f>
      </x:c>
      <x:c r="B835" s="16" t="str">
        <x:f>IF(A835="","",Events!B834)</x:f>
      </x:c>
      <x:c r="C835" s="16" t="str">
        <x:f>IF(A835="","",Events!E834)</x:f>
      </x:c>
      <x:c r="D835" s="16" t="str">
        <x:f>IF(A835="","",Events!J834)</x:f>
      </x:c>
      <x:c r="E835" s="16" t="str">
        <x:f>IF(A835="","",Events!N834)</x:f>
      </x:c>
      <x:c r="F835" s="109" t="str">
        <x:f>IF(OR(A835="",Events!H834=""),"",Events!H834)</x:f>
      </x:c>
      <x:c r="G835" s="109" t="str">
        <x:f>IF(A835="","",IF(Events!I834&lt;&gt;"",Events!I834,IF(Events!S834&lt;&gt;"",Events!S834,"")))</x:f>
      </x:c>
      <x:c r="H835" s="16" t="str">
        <x:f>IF(A835="","",Events!W834)</x:f>
      </x:c>
      <x:c r="I835" s="16" t="str">
        <x:f>IF(A835="","",IF(Events!Y834&lt;&gt;"",Events!Y834,IF(OR(ISNUMBER(SEARCH("education",P835)),ISNUMBER(SEARCH("exam",P835)),ISNUMBER(SEARCH("school",P835))),"Education",IF(OR(ISNUMBER(SEARCH("trade agreement",P835)),ISNUMBER(SEARCH("economic",P835)),ISNUMBER(SEARCH("import",P835))),"Trade &amp; economic policy",IF(OR(ISNUMBER(SEARCH("land acquisition",P835)),ISNUMBER(SEARCH("rehabilitation",P835)),ISNUMBER(SEARCH("displacement",P835)),ISNUMBER(SEARCH("township",P835))),"Land &amp; rehabilitation",IF(OR(ISNUMBER(SEARCH("forest",P835)),ISNUMBER(SEARCH("environment",P835)),ISNUMBER(SEARCH("ecological",P835)),ISNUMBER(SEARCH("biodiversity",P835)),ISNUMBER(SEARCH("green cover",P835))),"Environment",IF(OR(ISNUMBER(SEARCH("irrigation",P835)),ISNUMBER(SEARCH("water",P835)),ISNUMBER(SEARCH("crop",P835)),ISNUMBER(SEARCH("farmer",P835)),ISNUMBER(SEARCH("agriculture",P835))),"Agriculture &amp; water",IF(OR(ISNUMBER(SEARCH("health",P835)),ISNUMBER(SEARCH("hospital",P835)),ISNUMBER(SEARCH("medicine",P835))),"Public health",IF(OR(ISNUMBER(SEARCH("employee",P835)),ISNUMBER(SEARCH("labour",P835)),ISNUMBER(SEARCH("worker",P835)),ISNUMBER(SEARCH("salary",P835))),"Labour &amp; employment",IF(OR(ISNUMBER(SEARCH("rti",P835)),ISNUMBER(SEARCH("transparency",P835)),ISNUMBER(SEARCH("corruption",P835)),ISNUMBER(SEARCH("governance",P835))),"Governance &amp; transparency",IF(OR(ISNUMBER(SEARCH("police",P835)),ISNUMBER(SEARCH("detention",P835)),ISNUMBER(SEARCH("civil rights",P835)),ISNUMBER(SEARCH("justice",P835))),"Civil rights &amp; justice",IF(OR(ISNUMBER(SEARCH("road",P835)),ISNUMBER(SEARCH("utility",P835)),ISNUMBER(SEARCH("infrastructure",P835)),ISNUMBER(SEARCH("public service",P835))),"Infrastructure &amp; public services","Other"))))))))))))</x:f>
      </x:c>
      <x:c r="J835" s="16" t="str">
        <x:f>IF(A835="","",IF(OR(ISNUMBER(SEARCH("fatal",Q835)),ISNUMBER(SEARCH("death",Q835)),ISNUMBER(SEARCH("riot",Q835)),ISNUMBER(SEARCH("curfew",Q835)),ISNUMBER(SEARCH("internet shutdown",Q835))),5,MIN(4,1+IF(H835&gt;=7,1,0)+IF(OR(ISNUMBER(SEARCH("hunger strike",Q835)),ISNUMBER(SEARCH("blockade",Q835)),ISNUMBER(SEARCH("strike",Q835)),ISNUMBER(SEARCH("jal satyagraha",Q835)),ISNUMBER(SEARCH("survey",Q835)),ISNUMBER(SEARCH("human chain",Q835)),ISNUMBER(SEARCH("march",Q835))),1,0)+IF(OR(ISNUMBER(SEARCH("fir",Q835)),ISNUMBER(SEARCH("confrontation",Q835)),ISNUMBER(SEARCH("violence",Q835)),ISNUMBER(SEARCH("detention",Q835)),ISNUMBER(SEARCH("arrest",Q835)),ISNUMBER(SEARCH("demolition",Q835)),ISNUMBER(SEARCH("injury",Q835))),1,0)+IF(OR(D835="Ongoing",D835="Unresolved"),1,0))))</x:f>
      </x:c>
      <x:c r="K835" s="16" t="str">
        <x:f>IF(J835="","",IF(J835=1,"Limited",IF(J835=2,"Local",IF(J835=3,"Significant",IF(J835=4,"High","Critical")))))</x:f>
      </x:c>
      <x:c r="L835" s="16" t="str">
        <x:f>IF(A835="","",Events!U834)</x:f>
      </x:c>
      <x:c r="M835" s="16" t="str">
        <x:f>IF(A835="","",Events!V834)</x:f>
      </x:c>
      <x:c r="N835" s="16" t="str">
        <x:f>IF(A835="","",Events!Q834)</x:f>
      </x:c>
      <x:c r="O835" s="16" t="str">
        <x:f>IF(A835="","",Events!R834)</x:f>
      </x:c>
      <x:c r="P835" s="16" t="str">
        <x:f>IF(A835="","",LOWER(Events!B834&amp;" "&amp;Events!D834&amp;" "&amp;Events!K834))</x:f>
      </x:c>
      <x:c r="Q835" s="16" t="str">
        <x:f>IF(A835="","",LOWER(Events!C834&amp;" "&amp;Events!K834&amp;" "&amp;Events!T834))</x:f>
      </x:c>
      <x:c r="R835" s="16" t="str">
        <x:f>IF(A835="","",IF(ISNUMBER(SEARCH("Occurrence verified",E835)),"Occurrence verified",E835))</x:f>
      </x:c>
      <x:c r="S835" s="79" t="str">
        <x:f>IF(A835="","",Events!X834)</x:f>
      </x:c>
      <x:c r="Z835" s="79" t="str">
        <x:f>IF(A835="","",Events!AD834)</x:f>
      </x:c>
      <x:c r="AA835" s="79" t="str">
        <x:f>IF(A835="","",Events!AE834)</x:f>
      </x:c>
    </x:row>
    <x:row r="836">
      <x:c r="A836" s="16" t="str">
        <x:f>IF(Events!A835="","",Events!A835)</x:f>
      </x:c>
      <x:c r="B836" s="16" t="str">
        <x:f>IF(A836="","",Events!B835)</x:f>
      </x:c>
      <x:c r="C836" s="16" t="str">
        <x:f>IF(A836="","",Events!E835)</x:f>
      </x:c>
      <x:c r="D836" s="16" t="str">
        <x:f>IF(A836="","",Events!J835)</x:f>
      </x:c>
      <x:c r="E836" s="16" t="str">
        <x:f>IF(A836="","",Events!N835)</x:f>
      </x:c>
      <x:c r="F836" s="109" t="str">
        <x:f>IF(OR(A836="",Events!H835=""),"",Events!H835)</x:f>
      </x:c>
      <x:c r="G836" s="109" t="str">
        <x:f>IF(A836="","",IF(Events!I835&lt;&gt;"",Events!I835,IF(Events!S835&lt;&gt;"",Events!S835,"")))</x:f>
      </x:c>
      <x:c r="H836" s="16" t="str">
        <x:f>IF(A836="","",Events!W835)</x:f>
      </x:c>
      <x:c r="I836" s="16" t="str">
        <x:f>IF(A836="","",IF(Events!Y835&lt;&gt;"",Events!Y835,IF(OR(ISNUMBER(SEARCH("education",P836)),ISNUMBER(SEARCH("exam",P836)),ISNUMBER(SEARCH("school",P836))),"Education",IF(OR(ISNUMBER(SEARCH("trade agreement",P836)),ISNUMBER(SEARCH("economic",P836)),ISNUMBER(SEARCH("import",P836))),"Trade &amp; economic policy",IF(OR(ISNUMBER(SEARCH("land acquisition",P836)),ISNUMBER(SEARCH("rehabilitation",P836)),ISNUMBER(SEARCH("displacement",P836)),ISNUMBER(SEARCH("township",P836))),"Land &amp; rehabilitation",IF(OR(ISNUMBER(SEARCH("forest",P836)),ISNUMBER(SEARCH("environment",P836)),ISNUMBER(SEARCH("ecological",P836)),ISNUMBER(SEARCH("biodiversity",P836)),ISNUMBER(SEARCH("green cover",P836))),"Environment",IF(OR(ISNUMBER(SEARCH("irrigation",P836)),ISNUMBER(SEARCH("water",P836)),ISNUMBER(SEARCH("crop",P836)),ISNUMBER(SEARCH("farmer",P836)),ISNUMBER(SEARCH("agriculture",P836))),"Agriculture &amp; water",IF(OR(ISNUMBER(SEARCH("health",P836)),ISNUMBER(SEARCH("hospital",P836)),ISNUMBER(SEARCH("medicine",P836))),"Public health",IF(OR(ISNUMBER(SEARCH("employee",P836)),ISNUMBER(SEARCH("labour",P836)),ISNUMBER(SEARCH("worker",P836)),ISNUMBER(SEARCH("salary",P836))),"Labour &amp; employment",IF(OR(ISNUMBER(SEARCH("rti",P836)),ISNUMBER(SEARCH("transparency",P836)),ISNUMBER(SEARCH("corruption",P836)),ISNUMBER(SEARCH("governance",P836))),"Governance &amp; transparency",IF(OR(ISNUMBER(SEARCH("police",P836)),ISNUMBER(SEARCH("detention",P836)),ISNUMBER(SEARCH("civil rights",P836)),ISNUMBER(SEARCH("justice",P836))),"Civil rights &amp; justice",IF(OR(ISNUMBER(SEARCH("road",P836)),ISNUMBER(SEARCH("utility",P836)),ISNUMBER(SEARCH("infrastructure",P836)),ISNUMBER(SEARCH("public service",P836))),"Infrastructure &amp; public services","Other"))))))))))))</x:f>
      </x:c>
      <x:c r="J836" s="16" t="str">
        <x:f>IF(A836="","",IF(OR(ISNUMBER(SEARCH("fatal",Q836)),ISNUMBER(SEARCH("death",Q836)),ISNUMBER(SEARCH("riot",Q836)),ISNUMBER(SEARCH("curfew",Q836)),ISNUMBER(SEARCH("internet shutdown",Q836))),5,MIN(4,1+IF(H836&gt;=7,1,0)+IF(OR(ISNUMBER(SEARCH("hunger strike",Q836)),ISNUMBER(SEARCH("blockade",Q836)),ISNUMBER(SEARCH("strike",Q836)),ISNUMBER(SEARCH("jal satyagraha",Q836)),ISNUMBER(SEARCH("survey",Q836)),ISNUMBER(SEARCH("human chain",Q836)),ISNUMBER(SEARCH("march",Q836))),1,0)+IF(OR(ISNUMBER(SEARCH("fir",Q836)),ISNUMBER(SEARCH("confrontation",Q836)),ISNUMBER(SEARCH("violence",Q836)),ISNUMBER(SEARCH("detention",Q836)),ISNUMBER(SEARCH("arrest",Q836)),ISNUMBER(SEARCH("demolition",Q836)),ISNUMBER(SEARCH("injury",Q836))),1,0)+IF(OR(D836="Ongoing",D836="Unresolved"),1,0))))</x:f>
      </x:c>
      <x:c r="K836" s="16" t="str">
        <x:f>IF(J836="","",IF(J836=1,"Limited",IF(J836=2,"Local",IF(J836=3,"Significant",IF(J836=4,"High","Critical")))))</x:f>
      </x:c>
      <x:c r="L836" s="16" t="str">
        <x:f>IF(A836="","",Events!U835)</x:f>
      </x:c>
      <x:c r="M836" s="16" t="str">
        <x:f>IF(A836="","",Events!V835)</x:f>
      </x:c>
      <x:c r="N836" s="16" t="str">
        <x:f>IF(A836="","",Events!Q835)</x:f>
      </x:c>
      <x:c r="O836" s="16" t="str">
        <x:f>IF(A836="","",Events!R835)</x:f>
      </x:c>
      <x:c r="P836" s="16" t="str">
        <x:f>IF(A836="","",LOWER(Events!B835&amp;" "&amp;Events!D835&amp;" "&amp;Events!K835))</x:f>
      </x:c>
      <x:c r="Q836" s="16" t="str">
        <x:f>IF(A836="","",LOWER(Events!C835&amp;" "&amp;Events!K835&amp;" "&amp;Events!T835))</x:f>
      </x:c>
      <x:c r="R836" s="16" t="str">
        <x:f>IF(A836="","",IF(ISNUMBER(SEARCH("Occurrence verified",E836)),"Occurrence verified",E836))</x:f>
      </x:c>
      <x:c r="S836" s="79" t="str">
        <x:f>IF(A836="","",Events!X835)</x:f>
      </x:c>
      <x:c r="Z836" s="79" t="str">
        <x:f>IF(A836="","",Events!AD835)</x:f>
      </x:c>
      <x:c r="AA836" s="79" t="str">
        <x:f>IF(A836="","",Events!AE835)</x:f>
      </x:c>
    </x:row>
    <x:row r="837">
      <x:c r="A837" s="16" t="str">
        <x:f>IF(Events!A836="","",Events!A836)</x:f>
      </x:c>
      <x:c r="B837" s="16" t="str">
        <x:f>IF(A837="","",Events!B836)</x:f>
      </x:c>
      <x:c r="C837" s="16" t="str">
        <x:f>IF(A837="","",Events!E836)</x:f>
      </x:c>
      <x:c r="D837" s="16" t="str">
        <x:f>IF(A837="","",Events!J836)</x:f>
      </x:c>
      <x:c r="E837" s="16" t="str">
        <x:f>IF(A837="","",Events!N836)</x:f>
      </x:c>
      <x:c r="F837" s="109" t="str">
        <x:f>IF(OR(A837="",Events!H836=""),"",Events!H836)</x:f>
      </x:c>
      <x:c r="G837" s="109" t="str">
        <x:f>IF(A837="","",IF(Events!I836&lt;&gt;"",Events!I836,IF(Events!S836&lt;&gt;"",Events!S836,"")))</x:f>
      </x:c>
      <x:c r="H837" s="16" t="str">
        <x:f>IF(A837="","",Events!W836)</x:f>
      </x:c>
      <x:c r="I837" s="16" t="str">
        <x:f>IF(A837="","",IF(Events!Y836&lt;&gt;"",Events!Y836,IF(OR(ISNUMBER(SEARCH("education",P837)),ISNUMBER(SEARCH("exam",P837)),ISNUMBER(SEARCH("school",P837))),"Education",IF(OR(ISNUMBER(SEARCH("trade agreement",P837)),ISNUMBER(SEARCH("economic",P837)),ISNUMBER(SEARCH("import",P837))),"Trade &amp; economic policy",IF(OR(ISNUMBER(SEARCH("land acquisition",P837)),ISNUMBER(SEARCH("rehabilitation",P837)),ISNUMBER(SEARCH("displacement",P837)),ISNUMBER(SEARCH("township",P837))),"Land &amp; rehabilitation",IF(OR(ISNUMBER(SEARCH("forest",P837)),ISNUMBER(SEARCH("environment",P837)),ISNUMBER(SEARCH("ecological",P837)),ISNUMBER(SEARCH("biodiversity",P837)),ISNUMBER(SEARCH("green cover",P837))),"Environment",IF(OR(ISNUMBER(SEARCH("irrigation",P837)),ISNUMBER(SEARCH("water",P837)),ISNUMBER(SEARCH("crop",P837)),ISNUMBER(SEARCH("farmer",P837)),ISNUMBER(SEARCH("agriculture",P837))),"Agriculture &amp; water",IF(OR(ISNUMBER(SEARCH("health",P837)),ISNUMBER(SEARCH("hospital",P837)),ISNUMBER(SEARCH("medicine",P837))),"Public health",IF(OR(ISNUMBER(SEARCH("employee",P837)),ISNUMBER(SEARCH("labour",P837)),ISNUMBER(SEARCH("worker",P837)),ISNUMBER(SEARCH("salary",P837))),"Labour &amp; employment",IF(OR(ISNUMBER(SEARCH("rti",P837)),ISNUMBER(SEARCH("transparency",P837)),ISNUMBER(SEARCH("corruption",P837)),ISNUMBER(SEARCH("governance",P837))),"Governance &amp; transparency",IF(OR(ISNUMBER(SEARCH("police",P837)),ISNUMBER(SEARCH("detention",P837)),ISNUMBER(SEARCH("civil rights",P837)),ISNUMBER(SEARCH("justice",P837))),"Civil rights &amp; justice",IF(OR(ISNUMBER(SEARCH("road",P837)),ISNUMBER(SEARCH("utility",P837)),ISNUMBER(SEARCH("infrastructure",P837)),ISNUMBER(SEARCH("public service",P837))),"Infrastructure &amp; public services","Other"))))))))))))</x:f>
      </x:c>
      <x:c r="J837" s="16" t="str">
        <x:f>IF(A837="","",IF(OR(ISNUMBER(SEARCH("fatal",Q837)),ISNUMBER(SEARCH("death",Q837)),ISNUMBER(SEARCH("riot",Q837)),ISNUMBER(SEARCH("curfew",Q837)),ISNUMBER(SEARCH("internet shutdown",Q837))),5,MIN(4,1+IF(H837&gt;=7,1,0)+IF(OR(ISNUMBER(SEARCH("hunger strike",Q837)),ISNUMBER(SEARCH("blockade",Q837)),ISNUMBER(SEARCH("strike",Q837)),ISNUMBER(SEARCH("jal satyagraha",Q837)),ISNUMBER(SEARCH("survey",Q837)),ISNUMBER(SEARCH("human chain",Q837)),ISNUMBER(SEARCH("march",Q837))),1,0)+IF(OR(ISNUMBER(SEARCH("fir",Q837)),ISNUMBER(SEARCH("confrontation",Q837)),ISNUMBER(SEARCH("violence",Q837)),ISNUMBER(SEARCH("detention",Q837)),ISNUMBER(SEARCH("arrest",Q837)),ISNUMBER(SEARCH("demolition",Q837)),ISNUMBER(SEARCH("injury",Q837))),1,0)+IF(OR(D837="Ongoing",D837="Unresolved"),1,0))))</x:f>
      </x:c>
      <x:c r="K837" s="16" t="str">
        <x:f>IF(J837="","",IF(J837=1,"Limited",IF(J837=2,"Local",IF(J837=3,"Significant",IF(J837=4,"High","Critical")))))</x:f>
      </x:c>
      <x:c r="L837" s="16" t="str">
        <x:f>IF(A837="","",Events!U836)</x:f>
      </x:c>
      <x:c r="M837" s="16" t="str">
        <x:f>IF(A837="","",Events!V836)</x:f>
      </x:c>
      <x:c r="N837" s="16" t="str">
        <x:f>IF(A837="","",Events!Q836)</x:f>
      </x:c>
      <x:c r="O837" s="16" t="str">
        <x:f>IF(A837="","",Events!R836)</x:f>
      </x:c>
      <x:c r="P837" s="16" t="str">
        <x:f>IF(A837="","",LOWER(Events!B836&amp;" "&amp;Events!D836&amp;" "&amp;Events!K836))</x:f>
      </x:c>
      <x:c r="Q837" s="16" t="str">
        <x:f>IF(A837="","",LOWER(Events!C836&amp;" "&amp;Events!K836&amp;" "&amp;Events!T836))</x:f>
      </x:c>
      <x:c r="R837" s="16" t="str">
        <x:f>IF(A837="","",IF(ISNUMBER(SEARCH("Occurrence verified",E837)),"Occurrence verified",E837))</x:f>
      </x:c>
      <x:c r="S837" s="79" t="str">
        <x:f>IF(A837="","",Events!X836)</x:f>
      </x:c>
      <x:c r="Z837" s="79" t="str">
        <x:f>IF(A837="","",Events!AD836)</x:f>
      </x:c>
      <x:c r="AA837" s="79" t="str">
        <x:f>IF(A837="","",Events!AE836)</x:f>
      </x:c>
    </x:row>
    <x:row r="838">
      <x:c r="A838" s="16" t="str">
        <x:f>IF(Events!A837="","",Events!A837)</x:f>
      </x:c>
      <x:c r="B838" s="16" t="str">
        <x:f>IF(A838="","",Events!B837)</x:f>
      </x:c>
      <x:c r="C838" s="16" t="str">
        <x:f>IF(A838="","",Events!E837)</x:f>
      </x:c>
      <x:c r="D838" s="16" t="str">
        <x:f>IF(A838="","",Events!J837)</x:f>
      </x:c>
      <x:c r="E838" s="16" t="str">
        <x:f>IF(A838="","",Events!N837)</x:f>
      </x:c>
      <x:c r="F838" s="109" t="str">
        <x:f>IF(OR(A838="",Events!H837=""),"",Events!H837)</x:f>
      </x:c>
      <x:c r="G838" s="109" t="str">
        <x:f>IF(A838="","",IF(Events!I837&lt;&gt;"",Events!I837,IF(Events!S837&lt;&gt;"",Events!S837,"")))</x:f>
      </x:c>
      <x:c r="H838" s="16" t="str">
        <x:f>IF(A838="","",Events!W837)</x:f>
      </x:c>
      <x:c r="I838" s="16" t="str">
        <x:f>IF(A838="","",IF(Events!Y837&lt;&gt;"",Events!Y837,IF(OR(ISNUMBER(SEARCH("education",P838)),ISNUMBER(SEARCH("exam",P838)),ISNUMBER(SEARCH("school",P838))),"Education",IF(OR(ISNUMBER(SEARCH("trade agreement",P838)),ISNUMBER(SEARCH("economic",P838)),ISNUMBER(SEARCH("import",P838))),"Trade &amp; economic policy",IF(OR(ISNUMBER(SEARCH("land acquisition",P838)),ISNUMBER(SEARCH("rehabilitation",P838)),ISNUMBER(SEARCH("displacement",P838)),ISNUMBER(SEARCH("township",P838))),"Land &amp; rehabilitation",IF(OR(ISNUMBER(SEARCH("forest",P838)),ISNUMBER(SEARCH("environment",P838)),ISNUMBER(SEARCH("ecological",P838)),ISNUMBER(SEARCH("biodiversity",P838)),ISNUMBER(SEARCH("green cover",P838))),"Environment",IF(OR(ISNUMBER(SEARCH("irrigation",P838)),ISNUMBER(SEARCH("water",P838)),ISNUMBER(SEARCH("crop",P838)),ISNUMBER(SEARCH("farmer",P838)),ISNUMBER(SEARCH("agriculture",P838))),"Agriculture &amp; water",IF(OR(ISNUMBER(SEARCH("health",P838)),ISNUMBER(SEARCH("hospital",P838)),ISNUMBER(SEARCH("medicine",P838))),"Public health",IF(OR(ISNUMBER(SEARCH("employee",P838)),ISNUMBER(SEARCH("labour",P838)),ISNUMBER(SEARCH("worker",P838)),ISNUMBER(SEARCH("salary",P838))),"Labour &amp; employment",IF(OR(ISNUMBER(SEARCH("rti",P838)),ISNUMBER(SEARCH("transparency",P838)),ISNUMBER(SEARCH("corruption",P838)),ISNUMBER(SEARCH("governance",P838))),"Governance &amp; transparency",IF(OR(ISNUMBER(SEARCH("police",P838)),ISNUMBER(SEARCH("detention",P838)),ISNUMBER(SEARCH("civil rights",P838)),ISNUMBER(SEARCH("justice",P838))),"Civil rights &amp; justice",IF(OR(ISNUMBER(SEARCH("road",P838)),ISNUMBER(SEARCH("utility",P838)),ISNUMBER(SEARCH("infrastructure",P838)),ISNUMBER(SEARCH("public service",P838))),"Infrastructure &amp; public services","Other"))))))))))))</x:f>
      </x:c>
      <x:c r="J838" s="16" t="str">
        <x:f>IF(A838="","",IF(OR(ISNUMBER(SEARCH("fatal",Q838)),ISNUMBER(SEARCH("death",Q838)),ISNUMBER(SEARCH("riot",Q838)),ISNUMBER(SEARCH("curfew",Q838)),ISNUMBER(SEARCH("internet shutdown",Q838))),5,MIN(4,1+IF(H838&gt;=7,1,0)+IF(OR(ISNUMBER(SEARCH("hunger strike",Q838)),ISNUMBER(SEARCH("blockade",Q838)),ISNUMBER(SEARCH("strike",Q838)),ISNUMBER(SEARCH("jal satyagraha",Q838)),ISNUMBER(SEARCH("survey",Q838)),ISNUMBER(SEARCH("human chain",Q838)),ISNUMBER(SEARCH("march",Q838))),1,0)+IF(OR(ISNUMBER(SEARCH("fir",Q838)),ISNUMBER(SEARCH("confrontation",Q838)),ISNUMBER(SEARCH("violence",Q838)),ISNUMBER(SEARCH("detention",Q838)),ISNUMBER(SEARCH("arrest",Q838)),ISNUMBER(SEARCH("demolition",Q838)),ISNUMBER(SEARCH("injury",Q838))),1,0)+IF(OR(D838="Ongoing",D838="Unresolved"),1,0))))</x:f>
      </x:c>
      <x:c r="K838" s="16" t="str">
        <x:f>IF(J838="","",IF(J838=1,"Limited",IF(J838=2,"Local",IF(J838=3,"Significant",IF(J838=4,"High","Critical")))))</x:f>
      </x:c>
      <x:c r="L838" s="16" t="str">
        <x:f>IF(A838="","",Events!U837)</x:f>
      </x:c>
      <x:c r="M838" s="16" t="str">
        <x:f>IF(A838="","",Events!V837)</x:f>
      </x:c>
      <x:c r="N838" s="16" t="str">
        <x:f>IF(A838="","",Events!Q837)</x:f>
      </x:c>
      <x:c r="O838" s="16" t="str">
        <x:f>IF(A838="","",Events!R837)</x:f>
      </x:c>
      <x:c r="P838" s="16" t="str">
        <x:f>IF(A838="","",LOWER(Events!B837&amp;" "&amp;Events!D837&amp;" "&amp;Events!K837))</x:f>
      </x:c>
      <x:c r="Q838" s="16" t="str">
        <x:f>IF(A838="","",LOWER(Events!C837&amp;" "&amp;Events!K837&amp;" "&amp;Events!T837))</x:f>
      </x:c>
      <x:c r="R838" s="16" t="str">
        <x:f>IF(A838="","",IF(ISNUMBER(SEARCH("Occurrence verified",E838)),"Occurrence verified",E838))</x:f>
      </x:c>
      <x:c r="S838" s="79" t="str">
        <x:f>IF(A838="","",Events!X837)</x:f>
      </x:c>
      <x:c r="Z838" s="79" t="str">
        <x:f>IF(A838="","",Events!AD837)</x:f>
      </x:c>
      <x:c r="AA838" s="79" t="str">
        <x:f>IF(A838="","",Events!AE837)</x:f>
      </x:c>
    </x:row>
    <x:row r="839">
      <x:c r="A839" s="16" t="str">
        <x:f>IF(Events!A838="","",Events!A838)</x:f>
      </x:c>
      <x:c r="B839" s="16" t="str">
        <x:f>IF(A839="","",Events!B838)</x:f>
      </x:c>
      <x:c r="C839" s="16" t="str">
        <x:f>IF(A839="","",Events!E838)</x:f>
      </x:c>
      <x:c r="D839" s="16" t="str">
        <x:f>IF(A839="","",Events!J838)</x:f>
      </x:c>
      <x:c r="E839" s="16" t="str">
        <x:f>IF(A839="","",Events!N838)</x:f>
      </x:c>
      <x:c r="F839" s="109" t="str">
        <x:f>IF(OR(A839="",Events!H838=""),"",Events!H838)</x:f>
      </x:c>
      <x:c r="G839" s="109" t="str">
        <x:f>IF(A839="","",IF(Events!I838&lt;&gt;"",Events!I838,IF(Events!S838&lt;&gt;"",Events!S838,"")))</x:f>
      </x:c>
      <x:c r="H839" s="16" t="str">
        <x:f>IF(A839="","",Events!W838)</x:f>
      </x:c>
      <x:c r="I839" s="16" t="str">
        <x:f>IF(A839="","",IF(Events!Y838&lt;&gt;"",Events!Y838,IF(OR(ISNUMBER(SEARCH("education",P839)),ISNUMBER(SEARCH("exam",P839)),ISNUMBER(SEARCH("school",P839))),"Education",IF(OR(ISNUMBER(SEARCH("trade agreement",P839)),ISNUMBER(SEARCH("economic",P839)),ISNUMBER(SEARCH("import",P839))),"Trade &amp; economic policy",IF(OR(ISNUMBER(SEARCH("land acquisition",P839)),ISNUMBER(SEARCH("rehabilitation",P839)),ISNUMBER(SEARCH("displacement",P839)),ISNUMBER(SEARCH("township",P839))),"Land &amp; rehabilitation",IF(OR(ISNUMBER(SEARCH("forest",P839)),ISNUMBER(SEARCH("environment",P839)),ISNUMBER(SEARCH("ecological",P839)),ISNUMBER(SEARCH("biodiversity",P839)),ISNUMBER(SEARCH("green cover",P839))),"Environment",IF(OR(ISNUMBER(SEARCH("irrigation",P839)),ISNUMBER(SEARCH("water",P839)),ISNUMBER(SEARCH("crop",P839)),ISNUMBER(SEARCH("farmer",P839)),ISNUMBER(SEARCH("agriculture",P839))),"Agriculture &amp; water",IF(OR(ISNUMBER(SEARCH("health",P839)),ISNUMBER(SEARCH("hospital",P839)),ISNUMBER(SEARCH("medicine",P839))),"Public health",IF(OR(ISNUMBER(SEARCH("employee",P839)),ISNUMBER(SEARCH("labour",P839)),ISNUMBER(SEARCH("worker",P839)),ISNUMBER(SEARCH("salary",P839))),"Labour &amp; employment",IF(OR(ISNUMBER(SEARCH("rti",P839)),ISNUMBER(SEARCH("transparency",P839)),ISNUMBER(SEARCH("corruption",P839)),ISNUMBER(SEARCH("governance",P839))),"Governance &amp; transparency",IF(OR(ISNUMBER(SEARCH("police",P839)),ISNUMBER(SEARCH("detention",P839)),ISNUMBER(SEARCH("civil rights",P839)),ISNUMBER(SEARCH("justice",P839))),"Civil rights &amp; justice",IF(OR(ISNUMBER(SEARCH("road",P839)),ISNUMBER(SEARCH("utility",P839)),ISNUMBER(SEARCH("infrastructure",P839)),ISNUMBER(SEARCH("public service",P839))),"Infrastructure &amp; public services","Other"))))))))))))</x:f>
      </x:c>
      <x:c r="J839" s="16" t="str">
        <x:f>IF(A839="","",IF(OR(ISNUMBER(SEARCH("fatal",Q839)),ISNUMBER(SEARCH("death",Q839)),ISNUMBER(SEARCH("riot",Q839)),ISNUMBER(SEARCH("curfew",Q839)),ISNUMBER(SEARCH("internet shutdown",Q839))),5,MIN(4,1+IF(H839&gt;=7,1,0)+IF(OR(ISNUMBER(SEARCH("hunger strike",Q839)),ISNUMBER(SEARCH("blockade",Q839)),ISNUMBER(SEARCH("strike",Q839)),ISNUMBER(SEARCH("jal satyagraha",Q839)),ISNUMBER(SEARCH("survey",Q839)),ISNUMBER(SEARCH("human chain",Q839)),ISNUMBER(SEARCH("march",Q839))),1,0)+IF(OR(ISNUMBER(SEARCH("fir",Q839)),ISNUMBER(SEARCH("confrontation",Q839)),ISNUMBER(SEARCH("violence",Q839)),ISNUMBER(SEARCH("detention",Q839)),ISNUMBER(SEARCH("arrest",Q839)),ISNUMBER(SEARCH("demolition",Q839)),ISNUMBER(SEARCH("injury",Q839))),1,0)+IF(OR(D839="Ongoing",D839="Unresolved"),1,0))))</x:f>
      </x:c>
      <x:c r="K839" s="16" t="str">
        <x:f>IF(J839="","",IF(J839=1,"Limited",IF(J839=2,"Local",IF(J839=3,"Significant",IF(J839=4,"High","Critical")))))</x:f>
      </x:c>
      <x:c r="L839" s="16" t="str">
        <x:f>IF(A839="","",Events!U838)</x:f>
      </x:c>
      <x:c r="M839" s="16" t="str">
        <x:f>IF(A839="","",Events!V838)</x:f>
      </x:c>
      <x:c r="N839" s="16" t="str">
        <x:f>IF(A839="","",Events!Q838)</x:f>
      </x:c>
      <x:c r="O839" s="16" t="str">
        <x:f>IF(A839="","",Events!R838)</x:f>
      </x:c>
      <x:c r="P839" s="16" t="str">
        <x:f>IF(A839="","",LOWER(Events!B838&amp;" "&amp;Events!D838&amp;" "&amp;Events!K838))</x:f>
      </x:c>
      <x:c r="Q839" s="16" t="str">
        <x:f>IF(A839="","",LOWER(Events!C838&amp;" "&amp;Events!K838&amp;" "&amp;Events!T838))</x:f>
      </x:c>
      <x:c r="R839" s="16" t="str">
        <x:f>IF(A839="","",IF(ISNUMBER(SEARCH("Occurrence verified",E839)),"Occurrence verified",E839))</x:f>
      </x:c>
      <x:c r="S839" s="79" t="str">
        <x:f>IF(A839="","",Events!X838)</x:f>
      </x:c>
      <x:c r="Z839" s="79" t="str">
        <x:f>IF(A839="","",Events!AD838)</x:f>
      </x:c>
      <x:c r="AA839" s="79" t="str">
        <x:f>IF(A839="","",Events!AE838)</x:f>
      </x:c>
    </x:row>
    <x:row r="840">
      <x:c r="A840" s="16" t="str">
        <x:f>IF(Events!A839="","",Events!A839)</x:f>
      </x:c>
      <x:c r="B840" s="16" t="str">
        <x:f>IF(A840="","",Events!B839)</x:f>
      </x:c>
      <x:c r="C840" s="16" t="str">
        <x:f>IF(A840="","",Events!E839)</x:f>
      </x:c>
      <x:c r="D840" s="16" t="str">
        <x:f>IF(A840="","",Events!J839)</x:f>
      </x:c>
      <x:c r="E840" s="16" t="str">
        <x:f>IF(A840="","",Events!N839)</x:f>
      </x:c>
      <x:c r="F840" s="109" t="str">
        <x:f>IF(OR(A840="",Events!H839=""),"",Events!H839)</x:f>
      </x:c>
      <x:c r="G840" s="109" t="str">
        <x:f>IF(A840="","",IF(Events!I839&lt;&gt;"",Events!I839,IF(Events!S839&lt;&gt;"",Events!S839,"")))</x:f>
      </x:c>
      <x:c r="H840" s="16" t="str">
        <x:f>IF(A840="","",Events!W839)</x:f>
      </x:c>
      <x:c r="I840" s="16" t="str">
        <x:f>IF(A840="","",IF(Events!Y839&lt;&gt;"",Events!Y839,IF(OR(ISNUMBER(SEARCH("education",P840)),ISNUMBER(SEARCH("exam",P840)),ISNUMBER(SEARCH("school",P840))),"Education",IF(OR(ISNUMBER(SEARCH("trade agreement",P840)),ISNUMBER(SEARCH("economic",P840)),ISNUMBER(SEARCH("import",P840))),"Trade &amp; economic policy",IF(OR(ISNUMBER(SEARCH("land acquisition",P840)),ISNUMBER(SEARCH("rehabilitation",P840)),ISNUMBER(SEARCH("displacement",P840)),ISNUMBER(SEARCH("township",P840))),"Land &amp; rehabilitation",IF(OR(ISNUMBER(SEARCH("forest",P840)),ISNUMBER(SEARCH("environment",P840)),ISNUMBER(SEARCH("ecological",P840)),ISNUMBER(SEARCH("biodiversity",P840)),ISNUMBER(SEARCH("green cover",P840))),"Environment",IF(OR(ISNUMBER(SEARCH("irrigation",P840)),ISNUMBER(SEARCH("water",P840)),ISNUMBER(SEARCH("crop",P840)),ISNUMBER(SEARCH("farmer",P840)),ISNUMBER(SEARCH("agriculture",P840))),"Agriculture &amp; water",IF(OR(ISNUMBER(SEARCH("health",P840)),ISNUMBER(SEARCH("hospital",P840)),ISNUMBER(SEARCH("medicine",P840))),"Public health",IF(OR(ISNUMBER(SEARCH("employee",P840)),ISNUMBER(SEARCH("labour",P840)),ISNUMBER(SEARCH("worker",P840)),ISNUMBER(SEARCH("salary",P840))),"Labour &amp; employment",IF(OR(ISNUMBER(SEARCH("rti",P840)),ISNUMBER(SEARCH("transparency",P840)),ISNUMBER(SEARCH("corruption",P840)),ISNUMBER(SEARCH("governance",P840))),"Governance &amp; transparency",IF(OR(ISNUMBER(SEARCH("police",P840)),ISNUMBER(SEARCH("detention",P840)),ISNUMBER(SEARCH("civil rights",P840)),ISNUMBER(SEARCH("justice",P840))),"Civil rights &amp; justice",IF(OR(ISNUMBER(SEARCH("road",P840)),ISNUMBER(SEARCH("utility",P840)),ISNUMBER(SEARCH("infrastructure",P840)),ISNUMBER(SEARCH("public service",P840))),"Infrastructure &amp; public services","Other"))))))))))))</x:f>
      </x:c>
      <x:c r="J840" s="16" t="str">
        <x:f>IF(A840="","",IF(OR(ISNUMBER(SEARCH("fatal",Q840)),ISNUMBER(SEARCH("death",Q840)),ISNUMBER(SEARCH("riot",Q840)),ISNUMBER(SEARCH("curfew",Q840)),ISNUMBER(SEARCH("internet shutdown",Q840))),5,MIN(4,1+IF(H840&gt;=7,1,0)+IF(OR(ISNUMBER(SEARCH("hunger strike",Q840)),ISNUMBER(SEARCH("blockade",Q840)),ISNUMBER(SEARCH("strike",Q840)),ISNUMBER(SEARCH("jal satyagraha",Q840)),ISNUMBER(SEARCH("survey",Q840)),ISNUMBER(SEARCH("human chain",Q840)),ISNUMBER(SEARCH("march",Q840))),1,0)+IF(OR(ISNUMBER(SEARCH("fir",Q840)),ISNUMBER(SEARCH("confrontation",Q840)),ISNUMBER(SEARCH("violence",Q840)),ISNUMBER(SEARCH("detention",Q840)),ISNUMBER(SEARCH("arrest",Q840)),ISNUMBER(SEARCH("demolition",Q840)),ISNUMBER(SEARCH("injury",Q840))),1,0)+IF(OR(D840="Ongoing",D840="Unresolved"),1,0))))</x:f>
      </x:c>
      <x:c r="K840" s="16" t="str">
        <x:f>IF(J840="","",IF(J840=1,"Limited",IF(J840=2,"Local",IF(J840=3,"Significant",IF(J840=4,"High","Critical")))))</x:f>
      </x:c>
      <x:c r="L840" s="16" t="str">
        <x:f>IF(A840="","",Events!U839)</x:f>
      </x:c>
      <x:c r="M840" s="16" t="str">
        <x:f>IF(A840="","",Events!V839)</x:f>
      </x:c>
      <x:c r="N840" s="16" t="str">
        <x:f>IF(A840="","",Events!Q839)</x:f>
      </x:c>
      <x:c r="O840" s="16" t="str">
        <x:f>IF(A840="","",Events!R839)</x:f>
      </x:c>
      <x:c r="P840" s="16" t="str">
        <x:f>IF(A840="","",LOWER(Events!B839&amp;" "&amp;Events!D839&amp;" "&amp;Events!K839))</x:f>
      </x:c>
      <x:c r="Q840" s="16" t="str">
        <x:f>IF(A840="","",LOWER(Events!C839&amp;" "&amp;Events!K839&amp;" "&amp;Events!T839))</x:f>
      </x:c>
      <x:c r="R840" s="16" t="str">
        <x:f>IF(A840="","",IF(ISNUMBER(SEARCH("Occurrence verified",E840)),"Occurrence verified",E840))</x:f>
      </x:c>
      <x:c r="S840" s="79" t="str">
        <x:f>IF(A840="","",Events!X839)</x:f>
      </x:c>
      <x:c r="Z840" s="79" t="str">
        <x:f>IF(A840="","",Events!AD839)</x:f>
      </x:c>
      <x:c r="AA840" s="79" t="str">
        <x:f>IF(A840="","",Events!AE839)</x:f>
      </x:c>
    </x:row>
    <x:row r="841">
      <x:c r="A841" s="16" t="str">
        <x:f>IF(Events!A840="","",Events!A840)</x:f>
      </x:c>
      <x:c r="B841" s="16" t="str">
        <x:f>IF(A841="","",Events!B840)</x:f>
      </x:c>
      <x:c r="C841" s="16" t="str">
        <x:f>IF(A841="","",Events!E840)</x:f>
      </x:c>
      <x:c r="D841" s="16" t="str">
        <x:f>IF(A841="","",Events!J840)</x:f>
      </x:c>
      <x:c r="E841" s="16" t="str">
        <x:f>IF(A841="","",Events!N840)</x:f>
      </x:c>
      <x:c r="F841" s="109" t="str">
        <x:f>IF(OR(A841="",Events!H840=""),"",Events!H840)</x:f>
      </x:c>
      <x:c r="G841" s="109" t="str">
        <x:f>IF(A841="","",IF(Events!I840&lt;&gt;"",Events!I840,IF(Events!S840&lt;&gt;"",Events!S840,"")))</x:f>
      </x:c>
      <x:c r="H841" s="16" t="str">
        <x:f>IF(A841="","",Events!W840)</x:f>
      </x:c>
      <x:c r="I841" s="16" t="str">
        <x:f>IF(A841="","",IF(Events!Y840&lt;&gt;"",Events!Y840,IF(OR(ISNUMBER(SEARCH("education",P841)),ISNUMBER(SEARCH("exam",P841)),ISNUMBER(SEARCH("school",P841))),"Education",IF(OR(ISNUMBER(SEARCH("trade agreement",P841)),ISNUMBER(SEARCH("economic",P841)),ISNUMBER(SEARCH("import",P841))),"Trade &amp; economic policy",IF(OR(ISNUMBER(SEARCH("land acquisition",P841)),ISNUMBER(SEARCH("rehabilitation",P841)),ISNUMBER(SEARCH("displacement",P841)),ISNUMBER(SEARCH("township",P841))),"Land &amp; rehabilitation",IF(OR(ISNUMBER(SEARCH("forest",P841)),ISNUMBER(SEARCH("environment",P841)),ISNUMBER(SEARCH("ecological",P841)),ISNUMBER(SEARCH("biodiversity",P841)),ISNUMBER(SEARCH("green cover",P841))),"Environment",IF(OR(ISNUMBER(SEARCH("irrigation",P841)),ISNUMBER(SEARCH("water",P841)),ISNUMBER(SEARCH("crop",P841)),ISNUMBER(SEARCH("farmer",P841)),ISNUMBER(SEARCH("agriculture",P841))),"Agriculture &amp; water",IF(OR(ISNUMBER(SEARCH("health",P841)),ISNUMBER(SEARCH("hospital",P841)),ISNUMBER(SEARCH("medicine",P841))),"Public health",IF(OR(ISNUMBER(SEARCH("employee",P841)),ISNUMBER(SEARCH("labour",P841)),ISNUMBER(SEARCH("worker",P841)),ISNUMBER(SEARCH("salary",P841))),"Labour &amp; employment",IF(OR(ISNUMBER(SEARCH("rti",P841)),ISNUMBER(SEARCH("transparency",P841)),ISNUMBER(SEARCH("corruption",P841)),ISNUMBER(SEARCH("governance",P841))),"Governance &amp; transparency",IF(OR(ISNUMBER(SEARCH("police",P841)),ISNUMBER(SEARCH("detention",P841)),ISNUMBER(SEARCH("civil rights",P841)),ISNUMBER(SEARCH("justice",P841))),"Civil rights &amp; justice",IF(OR(ISNUMBER(SEARCH("road",P841)),ISNUMBER(SEARCH("utility",P841)),ISNUMBER(SEARCH("infrastructure",P841)),ISNUMBER(SEARCH("public service",P841))),"Infrastructure &amp; public services","Other"))))))))))))</x:f>
      </x:c>
      <x:c r="J841" s="16" t="str">
        <x:f>IF(A841="","",IF(OR(ISNUMBER(SEARCH("fatal",Q841)),ISNUMBER(SEARCH("death",Q841)),ISNUMBER(SEARCH("riot",Q841)),ISNUMBER(SEARCH("curfew",Q841)),ISNUMBER(SEARCH("internet shutdown",Q841))),5,MIN(4,1+IF(H841&gt;=7,1,0)+IF(OR(ISNUMBER(SEARCH("hunger strike",Q841)),ISNUMBER(SEARCH("blockade",Q841)),ISNUMBER(SEARCH("strike",Q841)),ISNUMBER(SEARCH("jal satyagraha",Q841)),ISNUMBER(SEARCH("survey",Q841)),ISNUMBER(SEARCH("human chain",Q841)),ISNUMBER(SEARCH("march",Q841))),1,0)+IF(OR(ISNUMBER(SEARCH("fir",Q841)),ISNUMBER(SEARCH("confrontation",Q841)),ISNUMBER(SEARCH("violence",Q841)),ISNUMBER(SEARCH("detention",Q841)),ISNUMBER(SEARCH("arrest",Q841)),ISNUMBER(SEARCH("demolition",Q841)),ISNUMBER(SEARCH("injury",Q841))),1,0)+IF(OR(D841="Ongoing",D841="Unresolved"),1,0))))</x:f>
      </x:c>
      <x:c r="K841" s="16" t="str">
        <x:f>IF(J841="","",IF(J841=1,"Limited",IF(J841=2,"Local",IF(J841=3,"Significant",IF(J841=4,"High","Critical")))))</x:f>
      </x:c>
      <x:c r="L841" s="16" t="str">
        <x:f>IF(A841="","",Events!U840)</x:f>
      </x:c>
      <x:c r="M841" s="16" t="str">
        <x:f>IF(A841="","",Events!V840)</x:f>
      </x:c>
      <x:c r="N841" s="16" t="str">
        <x:f>IF(A841="","",Events!Q840)</x:f>
      </x:c>
      <x:c r="O841" s="16" t="str">
        <x:f>IF(A841="","",Events!R840)</x:f>
      </x:c>
      <x:c r="P841" s="16" t="str">
        <x:f>IF(A841="","",LOWER(Events!B840&amp;" "&amp;Events!D840&amp;" "&amp;Events!K840))</x:f>
      </x:c>
      <x:c r="Q841" s="16" t="str">
        <x:f>IF(A841="","",LOWER(Events!C840&amp;" "&amp;Events!K840&amp;" "&amp;Events!T840))</x:f>
      </x:c>
      <x:c r="R841" s="16" t="str">
        <x:f>IF(A841="","",IF(ISNUMBER(SEARCH("Occurrence verified",E841)),"Occurrence verified",E841))</x:f>
      </x:c>
      <x:c r="S841" s="79" t="str">
        <x:f>IF(A841="","",Events!X840)</x:f>
      </x:c>
      <x:c r="Z841" s="79" t="str">
        <x:f>IF(A841="","",Events!AD840)</x:f>
      </x:c>
      <x:c r="AA841" s="79" t="str">
        <x:f>IF(A841="","",Events!AE840)</x:f>
      </x:c>
    </x:row>
    <x:row r="842">
      <x:c r="A842" s="16" t="str">
        <x:f>IF(Events!A841="","",Events!A841)</x:f>
      </x:c>
      <x:c r="B842" s="16" t="str">
        <x:f>IF(A842="","",Events!B841)</x:f>
      </x:c>
      <x:c r="C842" s="16" t="str">
        <x:f>IF(A842="","",Events!E841)</x:f>
      </x:c>
      <x:c r="D842" s="16" t="str">
        <x:f>IF(A842="","",Events!J841)</x:f>
      </x:c>
      <x:c r="E842" s="16" t="str">
        <x:f>IF(A842="","",Events!N841)</x:f>
      </x:c>
      <x:c r="F842" s="109" t="str">
        <x:f>IF(OR(A842="",Events!H841=""),"",Events!H841)</x:f>
      </x:c>
      <x:c r="G842" s="109" t="str">
        <x:f>IF(A842="","",IF(Events!I841&lt;&gt;"",Events!I841,IF(Events!S841&lt;&gt;"",Events!S841,"")))</x:f>
      </x:c>
      <x:c r="H842" s="16" t="str">
        <x:f>IF(A842="","",Events!W841)</x:f>
      </x:c>
      <x:c r="I842" s="16" t="str">
        <x:f>IF(A842="","",IF(Events!Y841&lt;&gt;"",Events!Y841,IF(OR(ISNUMBER(SEARCH("education",P842)),ISNUMBER(SEARCH("exam",P842)),ISNUMBER(SEARCH("school",P842))),"Education",IF(OR(ISNUMBER(SEARCH("trade agreement",P842)),ISNUMBER(SEARCH("economic",P842)),ISNUMBER(SEARCH("import",P842))),"Trade &amp; economic policy",IF(OR(ISNUMBER(SEARCH("land acquisition",P842)),ISNUMBER(SEARCH("rehabilitation",P842)),ISNUMBER(SEARCH("displacement",P842)),ISNUMBER(SEARCH("township",P842))),"Land &amp; rehabilitation",IF(OR(ISNUMBER(SEARCH("forest",P842)),ISNUMBER(SEARCH("environment",P842)),ISNUMBER(SEARCH("ecological",P842)),ISNUMBER(SEARCH("biodiversity",P842)),ISNUMBER(SEARCH("green cover",P842))),"Environment",IF(OR(ISNUMBER(SEARCH("irrigation",P842)),ISNUMBER(SEARCH("water",P842)),ISNUMBER(SEARCH("crop",P842)),ISNUMBER(SEARCH("farmer",P842)),ISNUMBER(SEARCH("agriculture",P842))),"Agriculture &amp; water",IF(OR(ISNUMBER(SEARCH("health",P842)),ISNUMBER(SEARCH("hospital",P842)),ISNUMBER(SEARCH("medicine",P842))),"Public health",IF(OR(ISNUMBER(SEARCH("employee",P842)),ISNUMBER(SEARCH("labour",P842)),ISNUMBER(SEARCH("worker",P842)),ISNUMBER(SEARCH("salary",P842))),"Labour &amp; employment",IF(OR(ISNUMBER(SEARCH("rti",P842)),ISNUMBER(SEARCH("transparency",P842)),ISNUMBER(SEARCH("corruption",P842)),ISNUMBER(SEARCH("governance",P842))),"Governance &amp; transparency",IF(OR(ISNUMBER(SEARCH("police",P842)),ISNUMBER(SEARCH("detention",P842)),ISNUMBER(SEARCH("civil rights",P842)),ISNUMBER(SEARCH("justice",P842))),"Civil rights &amp; justice",IF(OR(ISNUMBER(SEARCH("road",P842)),ISNUMBER(SEARCH("utility",P842)),ISNUMBER(SEARCH("infrastructure",P842)),ISNUMBER(SEARCH("public service",P842))),"Infrastructure &amp; public services","Other"))))))))))))</x:f>
      </x:c>
      <x:c r="J842" s="16" t="str">
        <x:f>IF(A842="","",IF(OR(ISNUMBER(SEARCH("fatal",Q842)),ISNUMBER(SEARCH("death",Q842)),ISNUMBER(SEARCH("riot",Q842)),ISNUMBER(SEARCH("curfew",Q842)),ISNUMBER(SEARCH("internet shutdown",Q842))),5,MIN(4,1+IF(H842&gt;=7,1,0)+IF(OR(ISNUMBER(SEARCH("hunger strike",Q842)),ISNUMBER(SEARCH("blockade",Q842)),ISNUMBER(SEARCH("strike",Q842)),ISNUMBER(SEARCH("jal satyagraha",Q842)),ISNUMBER(SEARCH("survey",Q842)),ISNUMBER(SEARCH("human chain",Q842)),ISNUMBER(SEARCH("march",Q842))),1,0)+IF(OR(ISNUMBER(SEARCH("fir",Q842)),ISNUMBER(SEARCH("confrontation",Q842)),ISNUMBER(SEARCH("violence",Q842)),ISNUMBER(SEARCH("detention",Q842)),ISNUMBER(SEARCH("arrest",Q842)),ISNUMBER(SEARCH("demolition",Q842)),ISNUMBER(SEARCH("injury",Q842))),1,0)+IF(OR(D842="Ongoing",D842="Unresolved"),1,0))))</x:f>
      </x:c>
      <x:c r="K842" s="16" t="str">
        <x:f>IF(J842="","",IF(J842=1,"Limited",IF(J842=2,"Local",IF(J842=3,"Significant",IF(J842=4,"High","Critical")))))</x:f>
      </x:c>
      <x:c r="L842" s="16" t="str">
        <x:f>IF(A842="","",Events!U841)</x:f>
      </x:c>
      <x:c r="M842" s="16" t="str">
        <x:f>IF(A842="","",Events!V841)</x:f>
      </x:c>
      <x:c r="N842" s="16" t="str">
        <x:f>IF(A842="","",Events!Q841)</x:f>
      </x:c>
      <x:c r="O842" s="16" t="str">
        <x:f>IF(A842="","",Events!R841)</x:f>
      </x:c>
      <x:c r="P842" s="16" t="str">
        <x:f>IF(A842="","",LOWER(Events!B841&amp;" "&amp;Events!D841&amp;" "&amp;Events!K841))</x:f>
      </x:c>
      <x:c r="Q842" s="16" t="str">
        <x:f>IF(A842="","",LOWER(Events!C841&amp;" "&amp;Events!K841&amp;" "&amp;Events!T841))</x:f>
      </x:c>
      <x:c r="R842" s="16" t="str">
        <x:f>IF(A842="","",IF(ISNUMBER(SEARCH("Occurrence verified",E842)),"Occurrence verified",E842))</x:f>
      </x:c>
      <x:c r="S842" s="79" t="str">
        <x:f>IF(A842="","",Events!X841)</x:f>
      </x:c>
      <x:c r="Z842" s="79" t="str">
        <x:f>IF(A842="","",Events!AD841)</x:f>
      </x:c>
      <x:c r="AA842" s="79" t="str">
        <x:f>IF(A842="","",Events!AE841)</x:f>
      </x:c>
    </x:row>
    <x:row r="843">
      <x:c r="A843" s="16" t="str">
        <x:f>IF(Events!A842="","",Events!A842)</x:f>
      </x:c>
      <x:c r="B843" s="16" t="str">
        <x:f>IF(A843="","",Events!B842)</x:f>
      </x:c>
      <x:c r="C843" s="16" t="str">
        <x:f>IF(A843="","",Events!E842)</x:f>
      </x:c>
      <x:c r="D843" s="16" t="str">
        <x:f>IF(A843="","",Events!J842)</x:f>
      </x:c>
      <x:c r="E843" s="16" t="str">
        <x:f>IF(A843="","",Events!N842)</x:f>
      </x:c>
      <x:c r="F843" s="109" t="str">
        <x:f>IF(OR(A843="",Events!H842=""),"",Events!H842)</x:f>
      </x:c>
      <x:c r="G843" s="109" t="str">
        <x:f>IF(A843="","",IF(Events!I842&lt;&gt;"",Events!I842,IF(Events!S842&lt;&gt;"",Events!S842,"")))</x:f>
      </x:c>
      <x:c r="H843" s="16" t="str">
        <x:f>IF(A843="","",Events!W842)</x:f>
      </x:c>
      <x:c r="I843" s="16" t="str">
        <x:f>IF(A843="","",IF(Events!Y842&lt;&gt;"",Events!Y842,IF(OR(ISNUMBER(SEARCH("education",P843)),ISNUMBER(SEARCH("exam",P843)),ISNUMBER(SEARCH("school",P843))),"Education",IF(OR(ISNUMBER(SEARCH("trade agreement",P843)),ISNUMBER(SEARCH("economic",P843)),ISNUMBER(SEARCH("import",P843))),"Trade &amp; economic policy",IF(OR(ISNUMBER(SEARCH("land acquisition",P843)),ISNUMBER(SEARCH("rehabilitation",P843)),ISNUMBER(SEARCH("displacement",P843)),ISNUMBER(SEARCH("township",P843))),"Land &amp; rehabilitation",IF(OR(ISNUMBER(SEARCH("forest",P843)),ISNUMBER(SEARCH("environment",P843)),ISNUMBER(SEARCH("ecological",P843)),ISNUMBER(SEARCH("biodiversity",P843)),ISNUMBER(SEARCH("green cover",P843))),"Environment",IF(OR(ISNUMBER(SEARCH("irrigation",P843)),ISNUMBER(SEARCH("water",P843)),ISNUMBER(SEARCH("crop",P843)),ISNUMBER(SEARCH("farmer",P843)),ISNUMBER(SEARCH("agriculture",P843))),"Agriculture &amp; water",IF(OR(ISNUMBER(SEARCH("health",P843)),ISNUMBER(SEARCH("hospital",P843)),ISNUMBER(SEARCH("medicine",P843))),"Public health",IF(OR(ISNUMBER(SEARCH("employee",P843)),ISNUMBER(SEARCH("labour",P843)),ISNUMBER(SEARCH("worker",P843)),ISNUMBER(SEARCH("salary",P843))),"Labour &amp; employment",IF(OR(ISNUMBER(SEARCH("rti",P843)),ISNUMBER(SEARCH("transparency",P843)),ISNUMBER(SEARCH("corruption",P843)),ISNUMBER(SEARCH("governance",P843))),"Governance &amp; transparency",IF(OR(ISNUMBER(SEARCH("police",P843)),ISNUMBER(SEARCH("detention",P843)),ISNUMBER(SEARCH("civil rights",P843)),ISNUMBER(SEARCH("justice",P843))),"Civil rights &amp; justice",IF(OR(ISNUMBER(SEARCH("road",P843)),ISNUMBER(SEARCH("utility",P843)),ISNUMBER(SEARCH("infrastructure",P843)),ISNUMBER(SEARCH("public service",P843))),"Infrastructure &amp; public services","Other"))))))))))))</x:f>
      </x:c>
      <x:c r="J843" s="16" t="str">
        <x:f>IF(A843="","",IF(OR(ISNUMBER(SEARCH("fatal",Q843)),ISNUMBER(SEARCH("death",Q843)),ISNUMBER(SEARCH("riot",Q843)),ISNUMBER(SEARCH("curfew",Q843)),ISNUMBER(SEARCH("internet shutdown",Q843))),5,MIN(4,1+IF(H843&gt;=7,1,0)+IF(OR(ISNUMBER(SEARCH("hunger strike",Q843)),ISNUMBER(SEARCH("blockade",Q843)),ISNUMBER(SEARCH("strike",Q843)),ISNUMBER(SEARCH("jal satyagraha",Q843)),ISNUMBER(SEARCH("survey",Q843)),ISNUMBER(SEARCH("human chain",Q843)),ISNUMBER(SEARCH("march",Q843))),1,0)+IF(OR(ISNUMBER(SEARCH("fir",Q843)),ISNUMBER(SEARCH("confrontation",Q843)),ISNUMBER(SEARCH("violence",Q843)),ISNUMBER(SEARCH("detention",Q843)),ISNUMBER(SEARCH("arrest",Q843)),ISNUMBER(SEARCH("demolition",Q843)),ISNUMBER(SEARCH("injury",Q843))),1,0)+IF(OR(D843="Ongoing",D843="Unresolved"),1,0))))</x:f>
      </x:c>
      <x:c r="K843" s="16" t="str">
        <x:f>IF(J843="","",IF(J843=1,"Limited",IF(J843=2,"Local",IF(J843=3,"Significant",IF(J843=4,"High","Critical")))))</x:f>
      </x:c>
      <x:c r="L843" s="16" t="str">
        <x:f>IF(A843="","",Events!U842)</x:f>
      </x:c>
      <x:c r="M843" s="16" t="str">
        <x:f>IF(A843="","",Events!V842)</x:f>
      </x:c>
      <x:c r="N843" s="16" t="str">
        <x:f>IF(A843="","",Events!Q842)</x:f>
      </x:c>
      <x:c r="O843" s="16" t="str">
        <x:f>IF(A843="","",Events!R842)</x:f>
      </x:c>
      <x:c r="P843" s="16" t="str">
        <x:f>IF(A843="","",LOWER(Events!B842&amp;" "&amp;Events!D842&amp;" "&amp;Events!K842))</x:f>
      </x:c>
      <x:c r="Q843" s="16" t="str">
        <x:f>IF(A843="","",LOWER(Events!C842&amp;" "&amp;Events!K842&amp;" "&amp;Events!T842))</x:f>
      </x:c>
      <x:c r="R843" s="16" t="str">
        <x:f>IF(A843="","",IF(ISNUMBER(SEARCH("Occurrence verified",E843)),"Occurrence verified",E843))</x:f>
      </x:c>
      <x:c r="S843" s="79" t="str">
        <x:f>IF(A843="","",Events!X842)</x:f>
      </x:c>
      <x:c r="Z843" s="79" t="str">
        <x:f>IF(A843="","",Events!AD842)</x:f>
      </x:c>
      <x:c r="AA843" s="79" t="str">
        <x:f>IF(A843="","",Events!AE842)</x:f>
      </x:c>
    </x:row>
    <x:row r="844">
      <x:c r="A844" s="16" t="str">
        <x:f>IF(Events!A843="","",Events!A843)</x:f>
      </x:c>
      <x:c r="B844" s="16" t="str">
        <x:f>IF(A844="","",Events!B843)</x:f>
      </x:c>
      <x:c r="C844" s="16" t="str">
        <x:f>IF(A844="","",Events!E843)</x:f>
      </x:c>
      <x:c r="D844" s="16" t="str">
        <x:f>IF(A844="","",Events!J843)</x:f>
      </x:c>
      <x:c r="E844" s="16" t="str">
        <x:f>IF(A844="","",Events!N843)</x:f>
      </x:c>
      <x:c r="F844" s="109" t="str">
        <x:f>IF(OR(A844="",Events!H843=""),"",Events!H843)</x:f>
      </x:c>
      <x:c r="G844" s="109" t="str">
        <x:f>IF(A844="","",IF(Events!I843&lt;&gt;"",Events!I843,IF(Events!S843&lt;&gt;"",Events!S843,"")))</x:f>
      </x:c>
      <x:c r="H844" s="16" t="str">
        <x:f>IF(A844="","",Events!W843)</x:f>
      </x:c>
      <x:c r="I844" s="16" t="str">
        <x:f>IF(A844="","",IF(Events!Y843&lt;&gt;"",Events!Y843,IF(OR(ISNUMBER(SEARCH("education",P844)),ISNUMBER(SEARCH("exam",P844)),ISNUMBER(SEARCH("school",P844))),"Education",IF(OR(ISNUMBER(SEARCH("trade agreement",P844)),ISNUMBER(SEARCH("economic",P844)),ISNUMBER(SEARCH("import",P844))),"Trade &amp; economic policy",IF(OR(ISNUMBER(SEARCH("land acquisition",P844)),ISNUMBER(SEARCH("rehabilitation",P844)),ISNUMBER(SEARCH("displacement",P844)),ISNUMBER(SEARCH("township",P844))),"Land &amp; rehabilitation",IF(OR(ISNUMBER(SEARCH("forest",P844)),ISNUMBER(SEARCH("environment",P844)),ISNUMBER(SEARCH("ecological",P844)),ISNUMBER(SEARCH("biodiversity",P844)),ISNUMBER(SEARCH("green cover",P844))),"Environment",IF(OR(ISNUMBER(SEARCH("irrigation",P844)),ISNUMBER(SEARCH("water",P844)),ISNUMBER(SEARCH("crop",P844)),ISNUMBER(SEARCH("farmer",P844)),ISNUMBER(SEARCH("agriculture",P844))),"Agriculture &amp; water",IF(OR(ISNUMBER(SEARCH("health",P844)),ISNUMBER(SEARCH("hospital",P844)),ISNUMBER(SEARCH("medicine",P844))),"Public health",IF(OR(ISNUMBER(SEARCH("employee",P844)),ISNUMBER(SEARCH("labour",P844)),ISNUMBER(SEARCH("worker",P844)),ISNUMBER(SEARCH("salary",P844))),"Labour &amp; employment",IF(OR(ISNUMBER(SEARCH("rti",P844)),ISNUMBER(SEARCH("transparency",P844)),ISNUMBER(SEARCH("corruption",P844)),ISNUMBER(SEARCH("governance",P844))),"Governance &amp; transparency",IF(OR(ISNUMBER(SEARCH("police",P844)),ISNUMBER(SEARCH("detention",P844)),ISNUMBER(SEARCH("civil rights",P844)),ISNUMBER(SEARCH("justice",P844))),"Civil rights &amp; justice",IF(OR(ISNUMBER(SEARCH("road",P844)),ISNUMBER(SEARCH("utility",P844)),ISNUMBER(SEARCH("infrastructure",P844)),ISNUMBER(SEARCH("public service",P844))),"Infrastructure &amp; public services","Other"))))))))))))</x:f>
      </x:c>
      <x:c r="J844" s="16" t="str">
        <x:f>IF(A844="","",IF(OR(ISNUMBER(SEARCH("fatal",Q844)),ISNUMBER(SEARCH("death",Q844)),ISNUMBER(SEARCH("riot",Q844)),ISNUMBER(SEARCH("curfew",Q844)),ISNUMBER(SEARCH("internet shutdown",Q844))),5,MIN(4,1+IF(H844&gt;=7,1,0)+IF(OR(ISNUMBER(SEARCH("hunger strike",Q844)),ISNUMBER(SEARCH("blockade",Q844)),ISNUMBER(SEARCH("strike",Q844)),ISNUMBER(SEARCH("jal satyagraha",Q844)),ISNUMBER(SEARCH("survey",Q844)),ISNUMBER(SEARCH("human chain",Q844)),ISNUMBER(SEARCH("march",Q844))),1,0)+IF(OR(ISNUMBER(SEARCH("fir",Q844)),ISNUMBER(SEARCH("confrontation",Q844)),ISNUMBER(SEARCH("violence",Q844)),ISNUMBER(SEARCH("detention",Q844)),ISNUMBER(SEARCH("arrest",Q844)),ISNUMBER(SEARCH("demolition",Q844)),ISNUMBER(SEARCH("injury",Q844))),1,0)+IF(OR(D844="Ongoing",D844="Unresolved"),1,0))))</x:f>
      </x:c>
      <x:c r="K844" s="16" t="str">
        <x:f>IF(J844="","",IF(J844=1,"Limited",IF(J844=2,"Local",IF(J844=3,"Significant",IF(J844=4,"High","Critical")))))</x:f>
      </x:c>
      <x:c r="L844" s="16" t="str">
        <x:f>IF(A844="","",Events!U843)</x:f>
      </x:c>
      <x:c r="M844" s="16" t="str">
        <x:f>IF(A844="","",Events!V843)</x:f>
      </x:c>
      <x:c r="N844" s="16" t="str">
        <x:f>IF(A844="","",Events!Q843)</x:f>
      </x:c>
      <x:c r="O844" s="16" t="str">
        <x:f>IF(A844="","",Events!R843)</x:f>
      </x:c>
      <x:c r="P844" s="16" t="str">
        <x:f>IF(A844="","",LOWER(Events!B843&amp;" "&amp;Events!D843&amp;" "&amp;Events!K843))</x:f>
      </x:c>
      <x:c r="Q844" s="16" t="str">
        <x:f>IF(A844="","",LOWER(Events!C843&amp;" "&amp;Events!K843&amp;" "&amp;Events!T843))</x:f>
      </x:c>
      <x:c r="R844" s="16" t="str">
        <x:f>IF(A844="","",IF(ISNUMBER(SEARCH("Occurrence verified",E844)),"Occurrence verified",E844))</x:f>
      </x:c>
      <x:c r="S844" s="79" t="str">
        <x:f>IF(A844="","",Events!X843)</x:f>
      </x:c>
      <x:c r="Z844" s="79" t="str">
        <x:f>IF(A844="","",Events!AD843)</x:f>
      </x:c>
      <x:c r="AA844" s="79" t="str">
        <x:f>IF(A844="","",Events!AE843)</x:f>
      </x:c>
    </x:row>
    <x:row r="845">
      <x:c r="A845" s="16" t="str">
        <x:f>IF(Events!A844="","",Events!A844)</x:f>
      </x:c>
      <x:c r="B845" s="16" t="str">
        <x:f>IF(A845="","",Events!B844)</x:f>
      </x:c>
      <x:c r="C845" s="16" t="str">
        <x:f>IF(A845="","",Events!E844)</x:f>
      </x:c>
      <x:c r="D845" s="16" t="str">
        <x:f>IF(A845="","",Events!J844)</x:f>
      </x:c>
      <x:c r="E845" s="16" t="str">
        <x:f>IF(A845="","",Events!N844)</x:f>
      </x:c>
      <x:c r="F845" s="109" t="str">
        <x:f>IF(OR(A845="",Events!H844=""),"",Events!H844)</x:f>
      </x:c>
      <x:c r="G845" s="109" t="str">
        <x:f>IF(A845="","",IF(Events!I844&lt;&gt;"",Events!I844,IF(Events!S844&lt;&gt;"",Events!S844,"")))</x:f>
      </x:c>
      <x:c r="H845" s="16" t="str">
        <x:f>IF(A845="","",Events!W844)</x:f>
      </x:c>
      <x:c r="I845" s="16" t="str">
        <x:f>IF(A845="","",IF(Events!Y844&lt;&gt;"",Events!Y844,IF(OR(ISNUMBER(SEARCH("education",P845)),ISNUMBER(SEARCH("exam",P845)),ISNUMBER(SEARCH("school",P845))),"Education",IF(OR(ISNUMBER(SEARCH("trade agreement",P845)),ISNUMBER(SEARCH("economic",P845)),ISNUMBER(SEARCH("import",P845))),"Trade &amp; economic policy",IF(OR(ISNUMBER(SEARCH("land acquisition",P845)),ISNUMBER(SEARCH("rehabilitation",P845)),ISNUMBER(SEARCH("displacement",P845)),ISNUMBER(SEARCH("township",P845))),"Land &amp; rehabilitation",IF(OR(ISNUMBER(SEARCH("forest",P845)),ISNUMBER(SEARCH("environment",P845)),ISNUMBER(SEARCH("ecological",P845)),ISNUMBER(SEARCH("biodiversity",P845)),ISNUMBER(SEARCH("green cover",P845))),"Environment",IF(OR(ISNUMBER(SEARCH("irrigation",P845)),ISNUMBER(SEARCH("water",P845)),ISNUMBER(SEARCH("crop",P845)),ISNUMBER(SEARCH("farmer",P845)),ISNUMBER(SEARCH("agriculture",P845))),"Agriculture &amp; water",IF(OR(ISNUMBER(SEARCH("health",P845)),ISNUMBER(SEARCH("hospital",P845)),ISNUMBER(SEARCH("medicine",P845))),"Public health",IF(OR(ISNUMBER(SEARCH("employee",P845)),ISNUMBER(SEARCH("labour",P845)),ISNUMBER(SEARCH("worker",P845)),ISNUMBER(SEARCH("salary",P845))),"Labour &amp; employment",IF(OR(ISNUMBER(SEARCH("rti",P845)),ISNUMBER(SEARCH("transparency",P845)),ISNUMBER(SEARCH("corruption",P845)),ISNUMBER(SEARCH("governance",P845))),"Governance &amp; transparency",IF(OR(ISNUMBER(SEARCH("police",P845)),ISNUMBER(SEARCH("detention",P845)),ISNUMBER(SEARCH("civil rights",P845)),ISNUMBER(SEARCH("justice",P845))),"Civil rights &amp; justice",IF(OR(ISNUMBER(SEARCH("road",P845)),ISNUMBER(SEARCH("utility",P845)),ISNUMBER(SEARCH("infrastructure",P845)),ISNUMBER(SEARCH("public service",P845))),"Infrastructure &amp; public services","Other"))))))))))))</x:f>
      </x:c>
      <x:c r="J845" s="16" t="str">
        <x:f>IF(A845="","",IF(OR(ISNUMBER(SEARCH("fatal",Q845)),ISNUMBER(SEARCH("death",Q845)),ISNUMBER(SEARCH("riot",Q845)),ISNUMBER(SEARCH("curfew",Q845)),ISNUMBER(SEARCH("internet shutdown",Q845))),5,MIN(4,1+IF(H845&gt;=7,1,0)+IF(OR(ISNUMBER(SEARCH("hunger strike",Q845)),ISNUMBER(SEARCH("blockade",Q845)),ISNUMBER(SEARCH("strike",Q845)),ISNUMBER(SEARCH("jal satyagraha",Q845)),ISNUMBER(SEARCH("survey",Q845)),ISNUMBER(SEARCH("human chain",Q845)),ISNUMBER(SEARCH("march",Q845))),1,0)+IF(OR(ISNUMBER(SEARCH("fir",Q845)),ISNUMBER(SEARCH("confrontation",Q845)),ISNUMBER(SEARCH("violence",Q845)),ISNUMBER(SEARCH("detention",Q845)),ISNUMBER(SEARCH("arrest",Q845)),ISNUMBER(SEARCH("demolition",Q845)),ISNUMBER(SEARCH("injury",Q845))),1,0)+IF(OR(D845="Ongoing",D845="Unresolved"),1,0))))</x:f>
      </x:c>
      <x:c r="K845" s="16" t="str">
        <x:f>IF(J845="","",IF(J845=1,"Limited",IF(J845=2,"Local",IF(J845=3,"Significant",IF(J845=4,"High","Critical")))))</x:f>
      </x:c>
      <x:c r="L845" s="16" t="str">
        <x:f>IF(A845="","",Events!U844)</x:f>
      </x:c>
      <x:c r="M845" s="16" t="str">
        <x:f>IF(A845="","",Events!V844)</x:f>
      </x:c>
      <x:c r="N845" s="16" t="str">
        <x:f>IF(A845="","",Events!Q844)</x:f>
      </x:c>
      <x:c r="O845" s="16" t="str">
        <x:f>IF(A845="","",Events!R844)</x:f>
      </x:c>
      <x:c r="P845" s="16" t="str">
        <x:f>IF(A845="","",LOWER(Events!B844&amp;" "&amp;Events!D844&amp;" "&amp;Events!K844))</x:f>
      </x:c>
      <x:c r="Q845" s="16" t="str">
        <x:f>IF(A845="","",LOWER(Events!C844&amp;" "&amp;Events!K844&amp;" "&amp;Events!T844))</x:f>
      </x:c>
      <x:c r="R845" s="16" t="str">
        <x:f>IF(A845="","",IF(ISNUMBER(SEARCH("Occurrence verified",E845)),"Occurrence verified",E845))</x:f>
      </x:c>
      <x:c r="S845" s="79" t="str">
        <x:f>IF(A845="","",Events!X844)</x:f>
      </x:c>
      <x:c r="Z845" s="79" t="str">
        <x:f>IF(A845="","",Events!AD844)</x:f>
      </x:c>
      <x:c r="AA845" s="79" t="str">
        <x:f>IF(A845="","",Events!AE844)</x:f>
      </x:c>
    </x:row>
    <x:row r="846">
      <x:c r="A846" s="16" t="str">
        <x:f>IF(Events!A845="","",Events!A845)</x:f>
      </x:c>
      <x:c r="B846" s="16" t="str">
        <x:f>IF(A846="","",Events!B845)</x:f>
      </x:c>
      <x:c r="C846" s="16" t="str">
        <x:f>IF(A846="","",Events!E845)</x:f>
      </x:c>
      <x:c r="D846" s="16" t="str">
        <x:f>IF(A846="","",Events!J845)</x:f>
      </x:c>
      <x:c r="E846" s="16" t="str">
        <x:f>IF(A846="","",Events!N845)</x:f>
      </x:c>
      <x:c r="F846" s="109" t="str">
        <x:f>IF(OR(A846="",Events!H845=""),"",Events!H845)</x:f>
      </x:c>
      <x:c r="G846" s="109" t="str">
        <x:f>IF(A846="","",IF(Events!I845&lt;&gt;"",Events!I845,IF(Events!S845&lt;&gt;"",Events!S845,"")))</x:f>
      </x:c>
      <x:c r="H846" s="16" t="str">
        <x:f>IF(A846="","",Events!W845)</x:f>
      </x:c>
      <x:c r="I846" s="16" t="str">
        <x:f>IF(A846="","",IF(Events!Y845&lt;&gt;"",Events!Y845,IF(OR(ISNUMBER(SEARCH("education",P846)),ISNUMBER(SEARCH("exam",P846)),ISNUMBER(SEARCH("school",P846))),"Education",IF(OR(ISNUMBER(SEARCH("trade agreement",P846)),ISNUMBER(SEARCH("economic",P846)),ISNUMBER(SEARCH("import",P846))),"Trade &amp; economic policy",IF(OR(ISNUMBER(SEARCH("land acquisition",P846)),ISNUMBER(SEARCH("rehabilitation",P846)),ISNUMBER(SEARCH("displacement",P846)),ISNUMBER(SEARCH("township",P846))),"Land &amp; rehabilitation",IF(OR(ISNUMBER(SEARCH("forest",P846)),ISNUMBER(SEARCH("environment",P846)),ISNUMBER(SEARCH("ecological",P846)),ISNUMBER(SEARCH("biodiversity",P846)),ISNUMBER(SEARCH("green cover",P846))),"Environment",IF(OR(ISNUMBER(SEARCH("irrigation",P846)),ISNUMBER(SEARCH("water",P846)),ISNUMBER(SEARCH("crop",P846)),ISNUMBER(SEARCH("farmer",P846)),ISNUMBER(SEARCH("agriculture",P846))),"Agriculture &amp; water",IF(OR(ISNUMBER(SEARCH("health",P846)),ISNUMBER(SEARCH("hospital",P846)),ISNUMBER(SEARCH("medicine",P846))),"Public health",IF(OR(ISNUMBER(SEARCH("employee",P846)),ISNUMBER(SEARCH("labour",P846)),ISNUMBER(SEARCH("worker",P846)),ISNUMBER(SEARCH("salary",P846))),"Labour &amp; employment",IF(OR(ISNUMBER(SEARCH("rti",P846)),ISNUMBER(SEARCH("transparency",P846)),ISNUMBER(SEARCH("corruption",P846)),ISNUMBER(SEARCH("governance",P846))),"Governance &amp; transparency",IF(OR(ISNUMBER(SEARCH("police",P846)),ISNUMBER(SEARCH("detention",P846)),ISNUMBER(SEARCH("civil rights",P846)),ISNUMBER(SEARCH("justice",P846))),"Civil rights &amp; justice",IF(OR(ISNUMBER(SEARCH("road",P846)),ISNUMBER(SEARCH("utility",P846)),ISNUMBER(SEARCH("infrastructure",P846)),ISNUMBER(SEARCH("public service",P846))),"Infrastructure &amp; public services","Other"))))))))))))</x:f>
      </x:c>
      <x:c r="J846" s="16" t="str">
        <x:f>IF(A846="","",IF(OR(ISNUMBER(SEARCH("fatal",Q846)),ISNUMBER(SEARCH("death",Q846)),ISNUMBER(SEARCH("riot",Q846)),ISNUMBER(SEARCH("curfew",Q846)),ISNUMBER(SEARCH("internet shutdown",Q846))),5,MIN(4,1+IF(H846&gt;=7,1,0)+IF(OR(ISNUMBER(SEARCH("hunger strike",Q846)),ISNUMBER(SEARCH("blockade",Q846)),ISNUMBER(SEARCH("strike",Q846)),ISNUMBER(SEARCH("jal satyagraha",Q846)),ISNUMBER(SEARCH("survey",Q846)),ISNUMBER(SEARCH("human chain",Q846)),ISNUMBER(SEARCH("march",Q846))),1,0)+IF(OR(ISNUMBER(SEARCH("fir",Q846)),ISNUMBER(SEARCH("confrontation",Q846)),ISNUMBER(SEARCH("violence",Q846)),ISNUMBER(SEARCH("detention",Q846)),ISNUMBER(SEARCH("arrest",Q846)),ISNUMBER(SEARCH("demolition",Q846)),ISNUMBER(SEARCH("injury",Q846))),1,0)+IF(OR(D846="Ongoing",D846="Unresolved"),1,0))))</x:f>
      </x:c>
      <x:c r="K846" s="16" t="str">
        <x:f>IF(J846="","",IF(J846=1,"Limited",IF(J846=2,"Local",IF(J846=3,"Significant",IF(J846=4,"High","Critical")))))</x:f>
      </x:c>
      <x:c r="L846" s="16" t="str">
        <x:f>IF(A846="","",Events!U845)</x:f>
      </x:c>
      <x:c r="M846" s="16" t="str">
        <x:f>IF(A846="","",Events!V845)</x:f>
      </x:c>
      <x:c r="N846" s="16" t="str">
        <x:f>IF(A846="","",Events!Q845)</x:f>
      </x:c>
      <x:c r="O846" s="16" t="str">
        <x:f>IF(A846="","",Events!R845)</x:f>
      </x:c>
      <x:c r="P846" s="16" t="str">
        <x:f>IF(A846="","",LOWER(Events!B845&amp;" "&amp;Events!D845&amp;" "&amp;Events!K845))</x:f>
      </x:c>
      <x:c r="Q846" s="16" t="str">
        <x:f>IF(A846="","",LOWER(Events!C845&amp;" "&amp;Events!K845&amp;" "&amp;Events!T845))</x:f>
      </x:c>
      <x:c r="R846" s="16" t="str">
        <x:f>IF(A846="","",IF(ISNUMBER(SEARCH("Occurrence verified",E846)),"Occurrence verified",E846))</x:f>
      </x:c>
      <x:c r="S846" s="79" t="str">
        <x:f>IF(A846="","",Events!X845)</x:f>
      </x:c>
      <x:c r="Z846" s="79" t="str">
        <x:f>IF(A846="","",Events!AD845)</x:f>
      </x:c>
      <x:c r="AA846" s="79" t="str">
        <x:f>IF(A846="","",Events!AE845)</x:f>
      </x:c>
    </x:row>
    <x:row r="847">
      <x:c r="A847" s="16" t="str">
        <x:f>IF(Events!A846="","",Events!A846)</x:f>
      </x:c>
      <x:c r="B847" s="16" t="str">
        <x:f>IF(A847="","",Events!B846)</x:f>
      </x:c>
      <x:c r="C847" s="16" t="str">
        <x:f>IF(A847="","",Events!E846)</x:f>
      </x:c>
      <x:c r="D847" s="16" t="str">
        <x:f>IF(A847="","",Events!J846)</x:f>
      </x:c>
      <x:c r="E847" s="16" t="str">
        <x:f>IF(A847="","",Events!N846)</x:f>
      </x:c>
      <x:c r="F847" s="109" t="str">
        <x:f>IF(OR(A847="",Events!H846=""),"",Events!H846)</x:f>
      </x:c>
      <x:c r="G847" s="109" t="str">
        <x:f>IF(A847="","",IF(Events!I846&lt;&gt;"",Events!I846,IF(Events!S846&lt;&gt;"",Events!S846,"")))</x:f>
      </x:c>
      <x:c r="H847" s="16" t="str">
        <x:f>IF(A847="","",Events!W846)</x:f>
      </x:c>
      <x:c r="I847" s="16" t="str">
        <x:f>IF(A847="","",IF(Events!Y846&lt;&gt;"",Events!Y846,IF(OR(ISNUMBER(SEARCH("education",P847)),ISNUMBER(SEARCH("exam",P847)),ISNUMBER(SEARCH("school",P847))),"Education",IF(OR(ISNUMBER(SEARCH("trade agreement",P847)),ISNUMBER(SEARCH("economic",P847)),ISNUMBER(SEARCH("import",P847))),"Trade &amp; economic policy",IF(OR(ISNUMBER(SEARCH("land acquisition",P847)),ISNUMBER(SEARCH("rehabilitation",P847)),ISNUMBER(SEARCH("displacement",P847)),ISNUMBER(SEARCH("township",P847))),"Land &amp; rehabilitation",IF(OR(ISNUMBER(SEARCH("forest",P847)),ISNUMBER(SEARCH("environment",P847)),ISNUMBER(SEARCH("ecological",P847)),ISNUMBER(SEARCH("biodiversity",P847)),ISNUMBER(SEARCH("green cover",P847))),"Environment",IF(OR(ISNUMBER(SEARCH("irrigation",P847)),ISNUMBER(SEARCH("water",P847)),ISNUMBER(SEARCH("crop",P847)),ISNUMBER(SEARCH("farmer",P847)),ISNUMBER(SEARCH("agriculture",P847))),"Agriculture &amp; water",IF(OR(ISNUMBER(SEARCH("health",P847)),ISNUMBER(SEARCH("hospital",P847)),ISNUMBER(SEARCH("medicine",P847))),"Public health",IF(OR(ISNUMBER(SEARCH("employee",P847)),ISNUMBER(SEARCH("labour",P847)),ISNUMBER(SEARCH("worker",P847)),ISNUMBER(SEARCH("salary",P847))),"Labour &amp; employment",IF(OR(ISNUMBER(SEARCH("rti",P847)),ISNUMBER(SEARCH("transparency",P847)),ISNUMBER(SEARCH("corruption",P847)),ISNUMBER(SEARCH("governance",P847))),"Governance &amp; transparency",IF(OR(ISNUMBER(SEARCH("police",P847)),ISNUMBER(SEARCH("detention",P847)),ISNUMBER(SEARCH("civil rights",P847)),ISNUMBER(SEARCH("justice",P847))),"Civil rights &amp; justice",IF(OR(ISNUMBER(SEARCH("road",P847)),ISNUMBER(SEARCH("utility",P847)),ISNUMBER(SEARCH("infrastructure",P847)),ISNUMBER(SEARCH("public service",P847))),"Infrastructure &amp; public services","Other"))))))))))))</x:f>
      </x:c>
      <x:c r="J847" s="16" t="str">
        <x:f>IF(A847="","",IF(OR(ISNUMBER(SEARCH("fatal",Q847)),ISNUMBER(SEARCH("death",Q847)),ISNUMBER(SEARCH("riot",Q847)),ISNUMBER(SEARCH("curfew",Q847)),ISNUMBER(SEARCH("internet shutdown",Q847))),5,MIN(4,1+IF(H847&gt;=7,1,0)+IF(OR(ISNUMBER(SEARCH("hunger strike",Q847)),ISNUMBER(SEARCH("blockade",Q847)),ISNUMBER(SEARCH("strike",Q847)),ISNUMBER(SEARCH("jal satyagraha",Q847)),ISNUMBER(SEARCH("survey",Q847)),ISNUMBER(SEARCH("human chain",Q847)),ISNUMBER(SEARCH("march",Q847))),1,0)+IF(OR(ISNUMBER(SEARCH("fir",Q847)),ISNUMBER(SEARCH("confrontation",Q847)),ISNUMBER(SEARCH("violence",Q847)),ISNUMBER(SEARCH("detention",Q847)),ISNUMBER(SEARCH("arrest",Q847)),ISNUMBER(SEARCH("demolition",Q847)),ISNUMBER(SEARCH("injury",Q847))),1,0)+IF(OR(D847="Ongoing",D847="Unresolved"),1,0))))</x:f>
      </x:c>
      <x:c r="K847" s="16" t="str">
        <x:f>IF(J847="","",IF(J847=1,"Limited",IF(J847=2,"Local",IF(J847=3,"Significant",IF(J847=4,"High","Critical")))))</x:f>
      </x:c>
      <x:c r="L847" s="16" t="str">
        <x:f>IF(A847="","",Events!U846)</x:f>
      </x:c>
      <x:c r="M847" s="16" t="str">
        <x:f>IF(A847="","",Events!V846)</x:f>
      </x:c>
      <x:c r="N847" s="16" t="str">
        <x:f>IF(A847="","",Events!Q846)</x:f>
      </x:c>
      <x:c r="O847" s="16" t="str">
        <x:f>IF(A847="","",Events!R846)</x:f>
      </x:c>
      <x:c r="P847" s="16" t="str">
        <x:f>IF(A847="","",LOWER(Events!B846&amp;" "&amp;Events!D846&amp;" "&amp;Events!K846))</x:f>
      </x:c>
      <x:c r="Q847" s="16" t="str">
        <x:f>IF(A847="","",LOWER(Events!C846&amp;" "&amp;Events!K846&amp;" "&amp;Events!T846))</x:f>
      </x:c>
      <x:c r="R847" s="16" t="str">
        <x:f>IF(A847="","",IF(ISNUMBER(SEARCH("Occurrence verified",E847)),"Occurrence verified",E847))</x:f>
      </x:c>
      <x:c r="S847" s="79" t="str">
        <x:f>IF(A847="","",Events!X846)</x:f>
      </x:c>
      <x:c r="Z847" s="79" t="str">
        <x:f>IF(A847="","",Events!AD846)</x:f>
      </x:c>
      <x:c r="AA847" s="79" t="str">
        <x:f>IF(A847="","",Events!AE846)</x:f>
      </x:c>
    </x:row>
    <x:row r="848">
      <x:c r="A848" s="16" t="str">
        <x:f>IF(Events!A847="","",Events!A847)</x:f>
      </x:c>
      <x:c r="B848" s="16" t="str">
        <x:f>IF(A848="","",Events!B847)</x:f>
      </x:c>
      <x:c r="C848" s="16" t="str">
        <x:f>IF(A848="","",Events!E847)</x:f>
      </x:c>
      <x:c r="D848" s="16" t="str">
        <x:f>IF(A848="","",Events!J847)</x:f>
      </x:c>
      <x:c r="E848" s="16" t="str">
        <x:f>IF(A848="","",Events!N847)</x:f>
      </x:c>
      <x:c r="F848" s="109" t="str">
        <x:f>IF(OR(A848="",Events!H847=""),"",Events!H847)</x:f>
      </x:c>
      <x:c r="G848" s="109" t="str">
        <x:f>IF(A848="","",IF(Events!I847&lt;&gt;"",Events!I847,IF(Events!S847&lt;&gt;"",Events!S847,"")))</x:f>
      </x:c>
      <x:c r="H848" s="16" t="str">
        <x:f>IF(A848="","",Events!W847)</x:f>
      </x:c>
      <x:c r="I848" s="16" t="str">
        <x:f>IF(A848="","",IF(Events!Y847&lt;&gt;"",Events!Y847,IF(OR(ISNUMBER(SEARCH("education",P848)),ISNUMBER(SEARCH("exam",P848)),ISNUMBER(SEARCH("school",P848))),"Education",IF(OR(ISNUMBER(SEARCH("trade agreement",P848)),ISNUMBER(SEARCH("economic",P848)),ISNUMBER(SEARCH("import",P848))),"Trade &amp; economic policy",IF(OR(ISNUMBER(SEARCH("land acquisition",P848)),ISNUMBER(SEARCH("rehabilitation",P848)),ISNUMBER(SEARCH("displacement",P848)),ISNUMBER(SEARCH("township",P848))),"Land &amp; rehabilitation",IF(OR(ISNUMBER(SEARCH("forest",P848)),ISNUMBER(SEARCH("environment",P848)),ISNUMBER(SEARCH("ecological",P848)),ISNUMBER(SEARCH("biodiversity",P848)),ISNUMBER(SEARCH("green cover",P848))),"Environment",IF(OR(ISNUMBER(SEARCH("irrigation",P848)),ISNUMBER(SEARCH("water",P848)),ISNUMBER(SEARCH("crop",P848)),ISNUMBER(SEARCH("farmer",P848)),ISNUMBER(SEARCH("agriculture",P848))),"Agriculture &amp; water",IF(OR(ISNUMBER(SEARCH("health",P848)),ISNUMBER(SEARCH("hospital",P848)),ISNUMBER(SEARCH("medicine",P848))),"Public health",IF(OR(ISNUMBER(SEARCH("employee",P848)),ISNUMBER(SEARCH("labour",P848)),ISNUMBER(SEARCH("worker",P848)),ISNUMBER(SEARCH("salary",P848))),"Labour &amp; employment",IF(OR(ISNUMBER(SEARCH("rti",P848)),ISNUMBER(SEARCH("transparency",P848)),ISNUMBER(SEARCH("corruption",P848)),ISNUMBER(SEARCH("governance",P848))),"Governance &amp; transparency",IF(OR(ISNUMBER(SEARCH("police",P848)),ISNUMBER(SEARCH("detention",P848)),ISNUMBER(SEARCH("civil rights",P848)),ISNUMBER(SEARCH("justice",P848))),"Civil rights &amp; justice",IF(OR(ISNUMBER(SEARCH("road",P848)),ISNUMBER(SEARCH("utility",P848)),ISNUMBER(SEARCH("infrastructure",P848)),ISNUMBER(SEARCH("public service",P848))),"Infrastructure &amp; public services","Other"))))))))))))</x:f>
      </x:c>
      <x:c r="J848" s="16" t="str">
        <x:f>IF(A848="","",IF(OR(ISNUMBER(SEARCH("fatal",Q848)),ISNUMBER(SEARCH("death",Q848)),ISNUMBER(SEARCH("riot",Q848)),ISNUMBER(SEARCH("curfew",Q848)),ISNUMBER(SEARCH("internet shutdown",Q848))),5,MIN(4,1+IF(H848&gt;=7,1,0)+IF(OR(ISNUMBER(SEARCH("hunger strike",Q848)),ISNUMBER(SEARCH("blockade",Q848)),ISNUMBER(SEARCH("strike",Q848)),ISNUMBER(SEARCH("jal satyagraha",Q848)),ISNUMBER(SEARCH("survey",Q848)),ISNUMBER(SEARCH("human chain",Q848)),ISNUMBER(SEARCH("march",Q848))),1,0)+IF(OR(ISNUMBER(SEARCH("fir",Q848)),ISNUMBER(SEARCH("confrontation",Q848)),ISNUMBER(SEARCH("violence",Q848)),ISNUMBER(SEARCH("detention",Q848)),ISNUMBER(SEARCH("arrest",Q848)),ISNUMBER(SEARCH("demolition",Q848)),ISNUMBER(SEARCH("injury",Q848))),1,0)+IF(OR(D848="Ongoing",D848="Unresolved"),1,0))))</x:f>
      </x:c>
      <x:c r="K848" s="16" t="str">
        <x:f>IF(J848="","",IF(J848=1,"Limited",IF(J848=2,"Local",IF(J848=3,"Significant",IF(J848=4,"High","Critical")))))</x:f>
      </x:c>
      <x:c r="L848" s="16" t="str">
        <x:f>IF(A848="","",Events!U847)</x:f>
      </x:c>
      <x:c r="M848" s="16" t="str">
        <x:f>IF(A848="","",Events!V847)</x:f>
      </x:c>
      <x:c r="N848" s="16" t="str">
        <x:f>IF(A848="","",Events!Q847)</x:f>
      </x:c>
      <x:c r="O848" s="16" t="str">
        <x:f>IF(A848="","",Events!R847)</x:f>
      </x:c>
      <x:c r="P848" s="16" t="str">
        <x:f>IF(A848="","",LOWER(Events!B847&amp;" "&amp;Events!D847&amp;" "&amp;Events!K847))</x:f>
      </x:c>
      <x:c r="Q848" s="16" t="str">
        <x:f>IF(A848="","",LOWER(Events!C847&amp;" "&amp;Events!K847&amp;" "&amp;Events!T847))</x:f>
      </x:c>
      <x:c r="R848" s="16" t="str">
        <x:f>IF(A848="","",IF(ISNUMBER(SEARCH("Occurrence verified",E848)),"Occurrence verified",E848))</x:f>
      </x:c>
      <x:c r="S848" s="79" t="str">
        <x:f>IF(A848="","",Events!X847)</x:f>
      </x:c>
      <x:c r="Z848" s="79" t="str">
        <x:f>IF(A848="","",Events!AD847)</x:f>
      </x:c>
      <x:c r="AA848" s="79" t="str">
        <x:f>IF(A848="","",Events!AE847)</x:f>
      </x:c>
    </x:row>
    <x:row r="849">
      <x:c r="A849" s="16" t="str">
        <x:f>IF(Events!A848="","",Events!A848)</x:f>
      </x:c>
      <x:c r="B849" s="16" t="str">
        <x:f>IF(A849="","",Events!B848)</x:f>
      </x:c>
      <x:c r="C849" s="16" t="str">
        <x:f>IF(A849="","",Events!E848)</x:f>
      </x:c>
      <x:c r="D849" s="16" t="str">
        <x:f>IF(A849="","",Events!J848)</x:f>
      </x:c>
      <x:c r="E849" s="16" t="str">
        <x:f>IF(A849="","",Events!N848)</x:f>
      </x:c>
      <x:c r="F849" s="109" t="str">
        <x:f>IF(OR(A849="",Events!H848=""),"",Events!H848)</x:f>
      </x:c>
      <x:c r="G849" s="109" t="str">
        <x:f>IF(A849="","",IF(Events!I848&lt;&gt;"",Events!I848,IF(Events!S848&lt;&gt;"",Events!S848,"")))</x:f>
      </x:c>
      <x:c r="H849" s="16" t="str">
        <x:f>IF(A849="","",Events!W848)</x:f>
      </x:c>
      <x:c r="I849" s="16" t="str">
        <x:f>IF(A849="","",IF(Events!Y848&lt;&gt;"",Events!Y848,IF(OR(ISNUMBER(SEARCH("education",P849)),ISNUMBER(SEARCH("exam",P849)),ISNUMBER(SEARCH("school",P849))),"Education",IF(OR(ISNUMBER(SEARCH("trade agreement",P849)),ISNUMBER(SEARCH("economic",P849)),ISNUMBER(SEARCH("import",P849))),"Trade &amp; economic policy",IF(OR(ISNUMBER(SEARCH("land acquisition",P849)),ISNUMBER(SEARCH("rehabilitation",P849)),ISNUMBER(SEARCH("displacement",P849)),ISNUMBER(SEARCH("township",P849))),"Land &amp; rehabilitation",IF(OR(ISNUMBER(SEARCH("forest",P849)),ISNUMBER(SEARCH("environment",P849)),ISNUMBER(SEARCH("ecological",P849)),ISNUMBER(SEARCH("biodiversity",P849)),ISNUMBER(SEARCH("green cover",P849))),"Environment",IF(OR(ISNUMBER(SEARCH("irrigation",P849)),ISNUMBER(SEARCH("water",P849)),ISNUMBER(SEARCH("crop",P849)),ISNUMBER(SEARCH("farmer",P849)),ISNUMBER(SEARCH("agriculture",P849))),"Agriculture &amp; water",IF(OR(ISNUMBER(SEARCH("health",P849)),ISNUMBER(SEARCH("hospital",P849)),ISNUMBER(SEARCH("medicine",P849))),"Public health",IF(OR(ISNUMBER(SEARCH("employee",P849)),ISNUMBER(SEARCH("labour",P849)),ISNUMBER(SEARCH("worker",P849)),ISNUMBER(SEARCH("salary",P849))),"Labour &amp; employment",IF(OR(ISNUMBER(SEARCH("rti",P849)),ISNUMBER(SEARCH("transparency",P849)),ISNUMBER(SEARCH("corruption",P849)),ISNUMBER(SEARCH("governance",P849))),"Governance &amp; transparency",IF(OR(ISNUMBER(SEARCH("police",P849)),ISNUMBER(SEARCH("detention",P849)),ISNUMBER(SEARCH("civil rights",P849)),ISNUMBER(SEARCH("justice",P849))),"Civil rights &amp; justice",IF(OR(ISNUMBER(SEARCH("road",P849)),ISNUMBER(SEARCH("utility",P849)),ISNUMBER(SEARCH("infrastructure",P849)),ISNUMBER(SEARCH("public service",P849))),"Infrastructure &amp; public services","Other"))))))))))))</x:f>
      </x:c>
      <x:c r="J849" s="16" t="str">
        <x:f>IF(A849="","",IF(OR(ISNUMBER(SEARCH("fatal",Q849)),ISNUMBER(SEARCH("death",Q849)),ISNUMBER(SEARCH("riot",Q849)),ISNUMBER(SEARCH("curfew",Q849)),ISNUMBER(SEARCH("internet shutdown",Q849))),5,MIN(4,1+IF(H849&gt;=7,1,0)+IF(OR(ISNUMBER(SEARCH("hunger strike",Q849)),ISNUMBER(SEARCH("blockade",Q849)),ISNUMBER(SEARCH("strike",Q849)),ISNUMBER(SEARCH("jal satyagraha",Q849)),ISNUMBER(SEARCH("survey",Q849)),ISNUMBER(SEARCH("human chain",Q849)),ISNUMBER(SEARCH("march",Q849))),1,0)+IF(OR(ISNUMBER(SEARCH("fir",Q849)),ISNUMBER(SEARCH("confrontation",Q849)),ISNUMBER(SEARCH("violence",Q849)),ISNUMBER(SEARCH("detention",Q849)),ISNUMBER(SEARCH("arrest",Q849)),ISNUMBER(SEARCH("demolition",Q849)),ISNUMBER(SEARCH("injury",Q849))),1,0)+IF(OR(D849="Ongoing",D849="Unresolved"),1,0))))</x:f>
      </x:c>
      <x:c r="K849" s="16" t="str">
        <x:f>IF(J849="","",IF(J849=1,"Limited",IF(J849=2,"Local",IF(J849=3,"Significant",IF(J849=4,"High","Critical")))))</x:f>
      </x:c>
      <x:c r="L849" s="16" t="str">
        <x:f>IF(A849="","",Events!U848)</x:f>
      </x:c>
      <x:c r="M849" s="16" t="str">
        <x:f>IF(A849="","",Events!V848)</x:f>
      </x:c>
      <x:c r="N849" s="16" t="str">
        <x:f>IF(A849="","",Events!Q848)</x:f>
      </x:c>
      <x:c r="O849" s="16" t="str">
        <x:f>IF(A849="","",Events!R848)</x:f>
      </x:c>
      <x:c r="P849" s="16" t="str">
        <x:f>IF(A849="","",LOWER(Events!B848&amp;" "&amp;Events!D848&amp;" "&amp;Events!K848))</x:f>
      </x:c>
      <x:c r="Q849" s="16" t="str">
        <x:f>IF(A849="","",LOWER(Events!C848&amp;" "&amp;Events!K848&amp;" "&amp;Events!T848))</x:f>
      </x:c>
      <x:c r="R849" s="16" t="str">
        <x:f>IF(A849="","",IF(ISNUMBER(SEARCH("Occurrence verified",E849)),"Occurrence verified",E849))</x:f>
      </x:c>
      <x:c r="S849" s="79" t="str">
        <x:f>IF(A849="","",Events!X848)</x:f>
      </x:c>
      <x:c r="Z849" s="79" t="str">
        <x:f>IF(A849="","",Events!AD848)</x:f>
      </x:c>
      <x:c r="AA849" s="79" t="str">
        <x:f>IF(A849="","",Events!AE848)</x:f>
      </x:c>
    </x:row>
    <x:row r="850">
      <x:c r="A850" s="16" t="str">
        <x:f>IF(Events!A849="","",Events!A849)</x:f>
      </x:c>
      <x:c r="B850" s="16" t="str">
        <x:f>IF(A850="","",Events!B849)</x:f>
      </x:c>
      <x:c r="C850" s="16" t="str">
        <x:f>IF(A850="","",Events!E849)</x:f>
      </x:c>
      <x:c r="D850" s="16" t="str">
        <x:f>IF(A850="","",Events!J849)</x:f>
      </x:c>
      <x:c r="E850" s="16" t="str">
        <x:f>IF(A850="","",Events!N849)</x:f>
      </x:c>
      <x:c r="F850" s="109" t="str">
        <x:f>IF(OR(A850="",Events!H849=""),"",Events!H849)</x:f>
      </x:c>
      <x:c r="G850" s="109" t="str">
        <x:f>IF(A850="","",IF(Events!I849&lt;&gt;"",Events!I849,IF(Events!S849&lt;&gt;"",Events!S849,"")))</x:f>
      </x:c>
      <x:c r="H850" s="16" t="str">
        <x:f>IF(A850="","",Events!W849)</x:f>
      </x:c>
      <x:c r="I850" s="16" t="str">
        <x:f>IF(A850="","",IF(Events!Y849&lt;&gt;"",Events!Y849,IF(OR(ISNUMBER(SEARCH("education",P850)),ISNUMBER(SEARCH("exam",P850)),ISNUMBER(SEARCH("school",P850))),"Education",IF(OR(ISNUMBER(SEARCH("trade agreement",P850)),ISNUMBER(SEARCH("economic",P850)),ISNUMBER(SEARCH("import",P850))),"Trade &amp; economic policy",IF(OR(ISNUMBER(SEARCH("land acquisition",P850)),ISNUMBER(SEARCH("rehabilitation",P850)),ISNUMBER(SEARCH("displacement",P850)),ISNUMBER(SEARCH("township",P850))),"Land &amp; rehabilitation",IF(OR(ISNUMBER(SEARCH("forest",P850)),ISNUMBER(SEARCH("environment",P850)),ISNUMBER(SEARCH("ecological",P850)),ISNUMBER(SEARCH("biodiversity",P850)),ISNUMBER(SEARCH("green cover",P850))),"Environment",IF(OR(ISNUMBER(SEARCH("irrigation",P850)),ISNUMBER(SEARCH("water",P850)),ISNUMBER(SEARCH("crop",P850)),ISNUMBER(SEARCH("farmer",P850)),ISNUMBER(SEARCH("agriculture",P850))),"Agriculture &amp; water",IF(OR(ISNUMBER(SEARCH("health",P850)),ISNUMBER(SEARCH("hospital",P850)),ISNUMBER(SEARCH("medicine",P850))),"Public health",IF(OR(ISNUMBER(SEARCH("employee",P850)),ISNUMBER(SEARCH("labour",P850)),ISNUMBER(SEARCH("worker",P850)),ISNUMBER(SEARCH("salary",P850))),"Labour &amp; employment",IF(OR(ISNUMBER(SEARCH("rti",P850)),ISNUMBER(SEARCH("transparency",P850)),ISNUMBER(SEARCH("corruption",P850)),ISNUMBER(SEARCH("governance",P850))),"Governance &amp; transparency",IF(OR(ISNUMBER(SEARCH("police",P850)),ISNUMBER(SEARCH("detention",P850)),ISNUMBER(SEARCH("civil rights",P850)),ISNUMBER(SEARCH("justice",P850))),"Civil rights &amp; justice",IF(OR(ISNUMBER(SEARCH("road",P850)),ISNUMBER(SEARCH("utility",P850)),ISNUMBER(SEARCH("infrastructure",P850)),ISNUMBER(SEARCH("public service",P850))),"Infrastructure &amp; public services","Other"))))))))))))</x:f>
      </x:c>
      <x:c r="J850" s="16" t="str">
        <x:f>IF(A850="","",IF(OR(ISNUMBER(SEARCH("fatal",Q850)),ISNUMBER(SEARCH("death",Q850)),ISNUMBER(SEARCH("riot",Q850)),ISNUMBER(SEARCH("curfew",Q850)),ISNUMBER(SEARCH("internet shutdown",Q850))),5,MIN(4,1+IF(H850&gt;=7,1,0)+IF(OR(ISNUMBER(SEARCH("hunger strike",Q850)),ISNUMBER(SEARCH("blockade",Q850)),ISNUMBER(SEARCH("strike",Q850)),ISNUMBER(SEARCH("jal satyagraha",Q850)),ISNUMBER(SEARCH("survey",Q850)),ISNUMBER(SEARCH("human chain",Q850)),ISNUMBER(SEARCH("march",Q850))),1,0)+IF(OR(ISNUMBER(SEARCH("fir",Q850)),ISNUMBER(SEARCH("confrontation",Q850)),ISNUMBER(SEARCH("violence",Q850)),ISNUMBER(SEARCH("detention",Q850)),ISNUMBER(SEARCH("arrest",Q850)),ISNUMBER(SEARCH("demolition",Q850)),ISNUMBER(SEARCH("injury",Q850))),1,0)+IF(OR(D850="Ongoing",D850="Unresolved"),1,0))))</x:f>
      </x:c>
      <x:c r="K850" s="16" t="str">
        <x:f>IF(J850="","",IF(J850=1,"Limited",IF(J850=2,"Local",IF(J850=3,"Significant",IF(J850=4,"High","Critical")))))</x:f>
      </x:c>
      <x:c r="L850" s="16" t="str">
        <x:f>IF(A850="","",Events!U849)</x:f>
      </x:c>
      <x:c r="M850" s="16" t="str">
        <x:f>IF(A850="","",Events!V849)</x:f>
      </x:c>
      <x:c r="N850" s="16" t="str">
        <x:f>IF(A850="","",Events!Q849)</x:f>
      </x:c>
      <x:c r="O850" s="16" t="str">
        <x:f>IF(A850="","",Events!R849)</x:f>
      </x:c>
      <x:c r="P850" s="16" t="str">
        <x:f>IF(A850="","",LOWER(Events!B849&amp;" "&amp;Events!D849&amp;" "&amp;Events!K849))</x:f>
      </x:c>
      <x:c r="Q850" s="16" t="str">
        <x:f>IF(A850="","",LOWER(Events!C849&amp;" "&amp;Events!K849&amp;" "&amp;Events!T849))</x:f>
      </x:c>
      <x:c r="R850" s="16" t="str">
        <x:f>IF(A850="","",IF(ISNUMBER(SEARCH("Occurrence verified",E850)),"Occurrence verified",E850))</x:f>
      </x:c>
      <x:c r="S850" s="79" t="str">
        <x:f>IF(A850="","",Events!X849)</x:f>
      </x:c>
      <x:c r="Z850" s="79" t="str">
        <x:f>IF(A850="","",Events!AD849)</x:f>
      </x:c>
      <x:c r="AA850" s="79" t="str">
        <x:f>IF(A850="","",Events!AE849)</x:f>
      </x:c>
    </x:row>
    <x:row r="851">
      <x:c r="A851" s="16" t="str">
        <x:f>IF(Events!A850="","",Events!A850)</x:f>
      </x:c>
      <x:c r="B851" s="16" t="str">
        <x:f>IF(A851="","",Events!B850)</x:f>
      </x:c>
      <x:c r="C851" s="16" t="str">
        <x:f>IF(A851="","",Events!E850)</x:f>
      </x:c>
      <x:c r="D851" s="16" t="str">
        <x:f>IF(A851="","",Events!J850)</x:f>
      </x:c>
      <x:c r="E851" s="16" t="str">
        <x:f>IF(A851="","",Events!N850)</x:f>
      </x:c>
      <x:c r="F851" s="109" t="str">
        <x:f>IF(OR(A851="",Events!H850=""),"",Events!H850)</x:f>
      </x:c>
      <x:c r="G851" s="109" t="str">
        <x:f>IF(A851="","",IF(Events!I850&lt;&gt;"",Events!I850,IF(Events!S850&lt;&gt;"",Events!S850,"")))</x:f>
      </x:c>
      <x:c r="H851" s="16" t="str">
        <x:f>IF(A851="","",Events!W850)</x:f>
      </x:c>
      <x:c r="I851" s="16" t="str">
        <x:f>IF(A851="","",IF(Events!Y850&lt;&gt;"",Events!Y850,IF(OR(ISNUMBER(SEARCH("education",P851)),ISNUMBER(SEARCH("exam",P851)),ISNUMBER(SEARCH("school",P851))),"Education",IF(OR(ISNUMBER(SEARCH("trade agreement",P851)),ISNUMBER(SEARCH("economic",P851)),ISNUMBER(SEARCH("import",P851))),"Trade &amp; economic policy",IF(OR(ISNUMBER(SEARCH("land acquisition",P851)),ISNUMBER(SEARCH("rehabilitation",P851)),ISNUMBER(SEARCH("displacement",P851)),ISNUMBER(SEARCH("township",P851))),"Land &amp; rehabilitation",IF(OR(ISNUMBER(SEARCH("forest",P851)),ISNUMBER(SEARCH("environment",P851)),ISNUMBER(SEARCH("ecological",P851)),ISNUMBER(SEARCH("biodiversity",P851)),ISNUMBER(SEARCH("green cover",P851))),"Environment",IF(OR(ISNUMBER(SEARCH("irrigation",P851)),ISNUMBER(SEARCH("water",P851)),ISNUMBER(SEARCH("crop",P851)),ISNUMBER(SEARCH("farmer",P851)),ISNUMBER(SEARCH("agriculture",P851))),"Agriculture &amp; water",IF(OR(ISNUMBER(SEARCH("health",P851)),ISNUMBER(SEARCH("hospital",P851)),ISNUMBER(SEARCH("medicine",P851))),"Public health",IF(OR(ISNUMBER(SEARCH("employee",P851)),ISNUMBER(SEARCH("labour",P851)),ISNUMBER(SEARCH("worker",P851)),ISNUMBER(SEARCH("salary",P851))),"Labour &amp; employment",IF(OR(ISNUMBER(SEARCH("rti",P851)),ISNUMBER(SEARCH("transparency",P851)),ISNUMBER(SEARCH("corruption",P851)),ISNUMBER(SEARCH("governance",P851))),"Governance &amp; transparency",IF(OR(ISNUMBER(SEARCH("police",P851)),ISNUMBER(SEARCH("detention",P851)),ISNUMBER(SEARCH("civil rights",P851)),ISNUMBER(SEARCH("justice",P851))),"Civil rights &amp; justice",IF(OR(ISNUMBER(SEARCH("road",P851)),ISNUMBER(SEARCH("utility",P851)),ISNUMBER(SEARCH("infrastructure",P851)),ISNUMBER(SEARCH("public service",P851))),"Infrastructure &amp; public services","Other"))))))))))))</x:f>
      </x:c>
      <x:c r="J851" s="16" t="str">
        <x:f>IF(A851="","",IF(OR(ISNUMBER(SEARCH("fatal",Q851)),ISNUMBER(SEARCH("death",Q851)),ISNUMBER(SEARCH("riot",Q851)),ISNUMBER(SEARCH("curfew",Q851)),ISNUMBER(SEARCH("internet shutdown",Q851))),5,MIN(4,1+IF(H851&gt;=7,1,0)+IF(OR(ISNUMBER(SEARCH("hunger strike",Q851)),ISNUMBER(SEARCH("blockade",Q851)),ISNUMBER(SEARCH("strike",Q851)),ISNUMBER(SEARCH("jal satyagraha",Q851)),ISNUMBER(SEARCH("survey",Q851)),ISNUMBER(SEARCH("human chain",Q851)),ISNUMBER(SEARCH("march",Q851))),1,0)+IF(OR(ISNUMBER(SEARCH("fir",Q851)),ISNUMBER(SEARCH("confrontation",Q851)),ISNUMBER(SEARCH("violence",Q851)),ISNUMBER(SEARCH("detention",Q851)),ISNUMBER(SEARCH("arrest",Q851)),ISNUMBER(SEARCH("demolition",Q851)),ISNUMBER(SEARCH("injury",Q851))),1,0)+IF(OR(D851="Ongoing",D851="Unresolved"),1,0))))</x:f>
      </x:c>
      <x:c r="K851" s="16" t="str">
        <x:f>IF(J851="","",IF(J851=1,"Limited",IF(J851=2,"Local",IF(J851=3,"Significant",IF(J851=4,"High","Critical")))))</x:f>
      </x:c>
      <x:c r="L851" s="16" t="str">
        <x:f>IF(A851="","",Events!U850)</x:f>
      </x:c>
      <x:c r="M851" s="16" t="str">
        <x:f>IF(A851="","",Events!V850)</x:f>
      </x:c>
      <x:c r="N851" s="16" t="str">
        <x:f>IF(A851="","",Events!Q850)</x:f>
      </x:c>
      <x:c r="O851" s="16" t="str">
        <x:f>IF(A851="","",Events!R850)</x:f>
      </x:c>
      <x:c r="P851" s="16" t="str">
        <x:f>IF(A851="","",LOWER(Events!B850&amp;" "&amp;Events!D850&amp;" "&amp;Events!K850))</x:f>
      </x:c>
      <x:c r="Q851" s="16" t="str">
        <x:f>IF(A851="","",LOWER(Events!C850&amp;" "&amp;Events!K850&amp;" "&amp;Events!T850))</x:f>
      </x:c>
      <x:c r="R851" s="16" t="str">
        <x:f>IF(A851="","",IF(ISNUMBER(SEARCH("Occurrence verified",E851)),"Occurrence verified",E851))</x:f>
      </x:c>
      <x:c r="S851" s="79" t="str">
        <x:f>IF(A851="","",Events!X850)</x:f>
      </x:c>
      <x:c r="Z851" s="79" t="str">
        <x:f>IF(A851="","",Events!AD850)</x:f>
      </x:c>
      <x:c r="AA851" s="79" t="str">
        <x:f>IF(A851="","",Events!AE850)</x:f>
      </x:c>
    </x:row>
    <x:row r="852">
      <x:c r="A852" s="16" t="str">
        <x:f>IF(Events!A851="","",Events!A851)</x:f>
      </x:c>
      <x:c r="B852" s="16" t="str">
        <x:f>IF(A852="","",Events!B851)</x:f>
      </x:c>
      <x:c r="C852" s="16" t="str">
        <x:f>IF(A852="","",Events!E851)</x:f>
      </x:c>
      <x:c r="D852" s="16" t="str">
        <x:f>IF(A852="","",Events!J851)</x:f>
      </x:c>
      <x:c r="E852" s="16" t="str">
        <x:f>IF(A852="","",Events!N851)</x:f>
      </x:c>
      <x:c r="F852" s="109" t="str">
        <x:f>IF(OR(A852="",Events!H851=""),"",Events!H851)</x:f>
      </x:c>
      <x:c r="G852" s="109" t="str">
        <x:f>IF(A852="","",IF(Events!I851&lt;&gt;"",Events!I851,IF(Events!S851&lt;&gt;"",Events!S851,"")))</x:f>
      </x:c>
      <x:c r="H852" s="16" t="str">
        <x:f>IF(A852="","",Events!W851)</x:f>
      </x:c>
      <x:c r="I852" s="16" t="str">
        <x:f>IF(A852="","",IF(Events!Y851&lt;&gt;"",Events!Y851,IF(OR(ISNUMBER(SEARCH("education",P852)),ISNUMBER(SEARCH("exam",P852)),ISNUMBER(SEARCH("school",P852))),"Education",IF(OR(ISNUMBER(SEARCH("trade agreement",P852)),ISNUMBER(SEARCH("economic",P852)),ISNUMBER(SEARCH("import",P852))),"Trade &amp; economic policy",IF(OR(ISNUMBER(SEARCH("land acquisition",P852)),ISNUMBER(SEARCH("rehabilitation",P852)),ISNUMBER(SEARCH("displacement",P852)),ISNUMBER(SEARCH("township",P852))),"Land &amp; rehabilitation",IF(OR(ISNUMBER(SEARCH("forest",P852)),ISNUMBER(SEARCH("environment",P852)),ISNUMBER(SEARCH("ecological",P852)),ISNUMBER(SEARCH("biodiversity",P852)),ISNUMBER(SEARCH("green cover",P852))),"Environment",IF(OR(ISNUMBER(SEARCH("irrigation",P852)),ISNUMBER(SEARCH("water",P852)),ISNUMBER(SEARCH("crop",P852)),ISNUMBER(SEARCH("farmer",P852)),ISNUMBER(SEARCH("agriculture",P852))),"Agriculture &amp; water",IF(OR(ISNUMBER(SEARCH("health",P852)),ISNUMBER(SEARCH("hospital",P852)),ISNUMBER(SEARCH("medicine",P852))),"Public health",IF(OR(ISNUMBER(SEARCH("employee",P852)),ISNUMBER(SEARCH("labour",P852)),ISNUMBER(SEARCH("worker",P852)),ISNUMBER(SEARCH("salary",P852))),"Labour &amp; employment",IF(OR(ISNUMBER(SEARCH("rti",P852)),ISNUMBER(SEARCH("transparency",P852)),ISNUMBER(SEARCH("corruption",P852)),ISNUMBER(SEARCH("governance",P852))),"Governance &amp; transparency",IF(OR(ISNUMBER(SEARCH("police",P852)),ISNUMBER(SEARCH("detention",P852)),ISNUMBER(SEARCH("civil rights",P852)),ISNUMBER(SEARCH("justice",P852))),"Civil rights &amp; justice",IF(OR(ISNUMBER(SEARCH("road",P852)),ISNUMBER(SEARCH("utility",P852)),ISNUMBER(SEARCH("infrastructure",P852)),ISNUMBER(SEARCH("public service",P852))),"Infrastructure &amp; public services","Other"))))))))))))</x:f>
      </x:c>
      <x:c r="J852" s="16" t="str">
        <x:f>IF(A852="","",IF(OR(ISNUMBER(SEARCH("fatal",Q852)),ISNUMBER(SEARCH("death",Q852)),ISNUMBER(SEARCH("riot",Q852)),ISNUMBER(SEARCH("curfew",Q852)),ISNUMBER(SEARCH("internet shutdown",Q852))),5,MIN(4,1+IF(H852&gt;=7,1,0)+IF(OR(ISNUMBER(SEARCH("hunger strike",Q852)),ISNUMBER(SEARCH("blockade",Q852)),ISNUMBER(SEARCH("strike",Q852)),ISNUMBER(SEARCH("jal satyagraha",Q852)),ISNUMBER(SEARCH("survey",Q852)),ISNUMBER(SEARCH("human chain",Q852)),ISNUMBER(SEARCH("march",Q852))),1,0)+IF(OR(ISNUMBER(SEARCH("fir",Q852)),ISNUMBER(SEARCH("confrontation",Q852)),ISNUMBER(SEARCH("violence",Q852)),ISNUMBER(SEARCH("detention",Q852)),ISNUMBER(SEARCH("arrest",Q852)),ISNUMBER(SEARCH("demolition",Q852)),ISNUMBER(SEARCH("injury",Q852))),1,0)+IF(OR(D852="Ongoing",D852="Unresolved"),1,0))))</x:f>
      </x:c>
      <x:c r="K852" s="16" t="str">
        <x:f>IF(J852="","",IF(J852=1,"Limited",IF(J852=2,"Local",IF(J852=3,"Significant",IF(J852=4,"High","Critical")))))</x:f>
      </x:c>
      <x:c r="L852" s="16" t="str">
        <x:f>IF(A852="","",Events!U851)</x:f>
      </x:c>
      <x:c r="M852" s="16" t="str">
        <x:f>IF(A852="","",Events!V851)</x:f>
      </x:c>
      <x:c r="N852" s="16" t="str">
        <x:f>IF(A852="","",Events!Q851)</x:f>
      </x:c>
      <x:c r="O852" s="16" t="str">
        <x:f>IF(A852="","",Events!R851)</x:f>
      </x:c>
      <x:c r="P852" s="16" t="str">
        <x:f>IF(A852="","",LOWER(Events!B851&amp;" "&amp;Events!D851&amp;" "&amp;Events!K851))</x:f>
      </x:c>
      <x:c r="Q852" s="16" t="str">
        <x:f>IF(A852="","",LOWER(Events!C851&amp;" "&amp;Events!K851&amp;" "&amp;Events!T851))</x:f>
      </x:c>
      <x:c r="R852" s="16" t="str">
        <x:f>IF(A852="","",IF(ISNUMBER(SEARCH("Occurrence verified",E852)),"Occurrence verified",E852))</x:f>
      </x:c>
      <x:c r="S852" s="79" t="str">
        <x:f>IF(A852="","",Events!X851)</x:f>
      </x:c>
      <x:c r="Z852" s="79" t="str">
        <x:f>IF(A852="","",Events!AD851)</x:f>
      </x:c>
      <x:c r="AA852" s="79" t="str">
        <x:f>IF(A852="","",Events!AE851)</x:f>
      </x:c>
    </x:row>
    <x:row r="853">
      <x:c r="A853" s="16" t="str">
        <x:f>IF(Events!A852="","",Events!A852)</x:f>
      </x:c>
      <x:c r="B853" s="16" t="str">
        <x:f>IF(A853="","",Events!B852)</x:f>
      </x:c>
      <x:c r="C853" s="16" t="str">
        <x:f>IF(A853="","",Events!E852)</x:f>
      </x:c>
      <x:c r="D853" s="16" t="str">
        <x:f>IF(A853="","",Events!J852)</x:f>
      </x:c>
      <x:c r="E853" s="16" t="str">
        <x:f>IF(A853="","",Events!N852)</x:f>
      </x:c>
      <x:c r="F853" s="109" t="str">
        <x:f>IF(OR(A853="",Events!H852=""),"",Events!H852)</x:f>
      </x:c>
      <x:c r="G853" s="109" t="str">
        <x:f>IF(A853="","",IF(Events!I852&lt;&gt;"",Events!I852,IF(Events!S852&lt;&gt;"",Events!S852,"")))</x:f>
      </x:c>
      <x:c r="H853" s="16" t="str">
        <x:f>IF(A853="","",Events!W852)</x:f>
      </x:c>
      <x:c r="I853" s="16" t="str">
        <x:f>IF(A853="","",IF(Events!Y852&lt;&gt;"",Events!Y852,IF(OR(ISNUMBER(SEARCH("education",P853)),ISNUMBER(SEARCH("exam",P853)),ISNUMBER(SEARCH("school",P853))),"Education",IF(OR(ISNUMBER(SEARCH("trade agreement",P853)),ISNUMBER(SEARCH("economic",P853)),ISNUMBER(SEARCH("import",P853))),"Trade &amp; economic policy",IF(OR(ISNUMBER(SEARCH("land acquisition",P853)),ISNUMBER(SEARCH("rehabilitation",P853)),ISNUMBER(SEARCH("displacement",P853)),ISNUMBER(SEARCH("township",P853))),"Land &amp; rehabilitation",IF(OR(ISNUMBER(SEARCH("forest",P853)),ISNUMBER(SEARCH("environment",P853)),ISNUMBER(SEARCH("ecological",P853)),ISNUMBER(SEARCH("biodiversity",P853)),ISNUMBER(SEARCH("green cover",P853))),"Environment",IF(OR(ISNUMBER(SEARCH("irrigation",P853)),ISNUMBER(SEARCH("water",P853)),ISNUMBER(SEARCH("crop",P853)),ISNUMBER(SEARCH("farmer",P853)),ISNUMBER(SEARCH("agriculture",P853))),"Agriculture &amp; water",IF(OR(ISNUMBER(SEARCH("health",P853)),ISNUMBER(SEARCH("hospital",P853)),ISNUMBER(SEARCH("medicine",P853))),"Public health",IF(OR(ISNUMBER(SEARCH("employee",P853)),ISNUMBER(SEARCH("labour",P853)),ISNUMBER(SEARCH("worker",P853)),ISNUMBER(SEARCH("salary",P853))),"Labour &amp; employment",IF(OR(ISNUMBER(SEARCH("rti",P853)),ISNUMBER(SEARCH("transparency",P853)),ISNUMBER(SEARCH("corruption",P853)),ISNUMBER(SEARCH("governance",P853))),"Governance &amp; transparency",IF(OR(ISNUMBER(SEARCH("police",P853)),ISNUMBER(SEARCH("detention",P853)),ISNUMBER(SEARCH("civil rights",P853)),ISNUMBER(SEARCH("justice",P853))),"Civil rights &amp; justice",IF(OR(ISNUMBER(SEARCH("road",P853)),ISNUMBER(SEARCH("utility",P853)),ISNUMBER(SEARCH("infrastructure",P853)),ISNUMBER(SEARCH("public service",P853))),"Infrastructure &amp; public services","Other"))))))))))))</x:f>
      </x:c>
      <x:c r="J853" s="16" t="str">
        <x:f>IF(A853="","",IF(OR(ISNUMBER(SEARCH("fatal",Q853)),ISNUMBER(SEARCH("death",Q853)),ISNUMBER(SEARCH("riot",Q853)),ISNUMBER(SEARCH("curfew",Q853)),ISNUMBER(SEARCH("internet shutdown",Q853))),5,MIN(4,1+IF(H853&gt;=7,1,0)+IF(OR(ISNUMBER(SEARCH("hunger strike",Q853)),ISNUMBER(SEARCH("blockade",Q853)),ISNUMBER(SEARCH("strike",Q853)),ISNUMBER(SEARCH("jal satyagraha",Q853)),ISNUMBER(SEARCH("survey",Q853)),ISNUMBER(SEARCH("human chain",Q853)),ISNUMBER(SEARCH("march",Q853))),1,0)+IF(OR(ISNUMBER(SEARCH("fir",Q853)),ISNUMBER(SEARCH("confrontation",Q853)),ISNUMBER(SEARCH("violence",Q853)),ISNUMBER(SEARCH("detention",Q853)),ISNUMBER(SEARCH("arrest",Q853)),ISNUMBER(SEARCH("demolition",Q853)),ISNUMBER(SEARCH("injury",Q853))),1,0)+IF(OR(D853="Ongoing",D853="Unresolved"),1,0))))</x:f>
      </x:c>
      <x:c r="K853" s="16" t="str">
        <x:f>IF(J853="","",IF(J853=1,"Limited",IF(J853=2,"Local",IF(J853=3,"Significant",IF(J853=4,"High","Critical")))))</x:f>
      </x:c>
      <x:c r="L853" s="16" t="str">
        <x:f>IF(A853="","",Events!U852)</x:f>
      </x:c>
      <x:c r="M853" s="16" t="str">
        <x:f>IF(A853="","",Events!V852)</x:f>
      </x:c>
      <x:c r="N853" s="16" t="str">
        <x:f>IF(A853="","",Events!Q852)</x:f>
      </x:c>
      <x:c r="O853" s="16" t="str">
        <x:f>IF(A853="","",Events!R852)</x:f>
      </x:c>
      <x:c r="P853" s="16" t="str">
        <x:f>IF(A853="","",LOWER(Events!B852&amp;" "&amp;Events!D852&amp;" "&amp;Events!K852))</x:f>
      </x:c>
      <x:c r="Q853" s="16" t="str">
        <x:f>IF(A853="","",LOWER(Events!C852&amp;" "&amp;Events!K852&amp;" "&amp;Events!T852))</x:f>
      </x:c>
      <x:c r="R853" s="16" t="str">
        <x:f>IF(A853="","",IF(ISNUMBER(SEARCH("Occurrence verified",E853)),"Occurrence verified",E853))</x:f>
      </x:c>
      <x:c r="S853" s="79" t="str">
        <x:f>IF(A853="","",Events!X852)</x:f>
      </x:c>
      <x:c r="Z853" s="79" t="str">
        <x:f>IF(A853="","",Events!AD852)</x:f>
      </x:c>
      <x:c r="AA853" s="79" t="str">
        <x:f>IF(A853="","",Events!AE852)</x:f>
      </x:c>
    </x:row>
    <x:row r="854">
      <x:c r="A854" s="16" t="str">
        <x:f>IF(Events!A853="","",Events!A853)</x:f>
      </x:c>
      <x:c r="B854" s="16" t="str">
        <x:f>IF(A854="","",Events!B853)</x:f>
      </x:c>
      <x:c r="C854" s="16" t="str">
        <x:f>IF(A854="","",Events!E853)</x:f>
      </x:c>
      <x:c r="D854" s="16" t="str">
        <x:f>IF(A854="","",Events!J853)</x:f>
      </x:c>
      <x:c r="E854" s="16" t="str">
        <x:f>IF(A854="","",Events!N853)</x:f>
      </x:c>
      <x:c r="F854" s="109" t="str">
        <x:f>IF(OR(A854="",Events!H853=""),"",Events!H853)</x:f>
      </x:c>
      <x:c r="G854" s="109" t="str">
        <x:f>IF(A854="","",IF(Events!I853&lt;&gt;"",Events!I853,IF(Events!S853&lt;&gt;"",Events!S853,"")))</x:f>
      </x:c>
      <x:c r="H854" s="16" t="str">
        <x:f>IF(A854="","",Events!W853)</x:f>
      </x:c>
      <x:c r="I854" s="16" t="str">
        <x:f>IF(A854="","",IF(Events!Y853&lt;&gt;"",Events!Y853,IF(OR(ISNUMBER(SEARCH("education",P854)),ISNUMBER(SEARCH("exam",P854)),ISNUMBER(SEARCH("school",P854))),"Education",IF(OR(ISNUMBER(SEARCH("trade agreement",P854)),ISNUMBER(SEARCH("economic",P854)),ISNUMBER(SEARCH("import",P854))),"Trade &amp; economic policy",IF(OR(ISNUMBER(SEARCH("land acquisition",P854)),ISNUMBER(SEARCH("rehabilitation",P854)),ISNUMBER(SEARCH("displacement",P854)),ISNUMBER(SEARCH("township",P854))),"Land &amp; rehabilitation",IF(OR(ISNUMBER(SEARCH("forest",P854)),ISNUMBER(SEARCH("environment",P854)),ISNUMBER(SEARCH("ecological",P854)),ISNUMBER(SEARCH("biodiversity",P854)),ISNUMBER(SEARCH("green cover",P854))),"Environment",IF(OR(ISNUMBER(SEARCH("irrigation",P854)),ISNUMBER(SEARCH("water",P854)),ISNUMBER(SEARCH("crop",P854)),ISNUMBER(SEARCH("farmer",P854)),ISNUMBER(SEARCH("agriculture",P854))),"Agriculture &amp; water",IF(OR(ISNUMBER(SEARCH("health",P854)),ISNUMBER(SEARCH("hospital",P854)),ISNUMBER(SEARCH("medicine",P854))),"Public health",IF(OR(ISNUMBER(SEARCH("employee",P854)),ISNUMBER(SEARCH("labour",P854)),ISNUMBER(SEARCH("worker",P854)),ISNUMBER(SEARCH("salary",P854))),"Labour &amp; employment",IF(OR(ISNUMBER(SEARCH("rti",P854)),ISNUMBER(SEARCH("transparency",P854)),ISNUMBER(SEARCH("corruption",P854)),ISNUMBER(SEARCH("governance",P854))),"Governance &amp; transparency",IF(OR(ISNUMBER(SEARCH("police",P854)),ISNUMBER(SEARCH("detention",P854)),ISNUMBER(SEARCH("civil rights",P854)),ISNUMBER(SEARCH("justice",P854))),"Civil rights &amp; justice",IF(OR(ISNUMBER(SEARCH("road",P854)),ISNUMBER(SEARCH("utility",P854)),ISNUMBER(SEARCH("infrastructure",P854)),ISNUMBER(SEARCH("public service",P854))),"Infrastructure &amp; public services","Other"))))))))))))</x:f>
      </x:c>
      <x:c r="J854" s="16" t="str">
        <x:f>IF(A854="","",IF(OR(ISNUMBER(SEARCH("fatal",Q854)),ISNUMBER(SEARCH("death",Q854)),ISNUMBER(SEARCH("riot",Q854)),ISNUMBER(SEARCH("curfew",Q854)),ISNUMBER(SEARCH("internet shutdown",Q854))),5,MIN(4,1+IF(H854&gt;=7,1,0)+IF(OR(ISNUMBER(SEARCH("hunger strike",Q854)),ISNUMBER(SEARCH("blockade",Q854)),ISNUMBER(SEARCH("strike",Q854)),ISNUMBER(SEARCH("jal satyagraha",Q854)),ISNUMBER(SEARCH("survey",Q854)),ISNUMBER(SEARCH("human chain",Q854)),ISNUMBER(SEARCH("march",Q854))),1,0)+IF(OR(ISNUMBER(SEARCH("fir",Q854)),ISNUMBER(SEARCH("confrontation",Q854)),ISNUMBER(SEARCH("violence",Q854)),ISNUMBER(SEARCH("detention",Q854)),ISNUMBER(SEARCH("arrest",Q854)),ISNUMBER(SEARCH("demolition",Q854)),ISNUMBER(SEARCH("injury",Q854))),1,0)+IF(OR(D854="Ongoing",D854="Unresolved"),1,0))))</x:f>
      </x:c>
      <x:c r="K854" s="16" t="str">
        <x:f>IF(J854="","",IF(J854=1,"Limited",IF(J854=2,"Local",IF(J854=3,"Significant",IF(J854=4,"High","Critical")))))</x:f>
      </x:c>
      <x:c r="L854" s="16" t="str">
        <x:f>IF(A854="","",Events!U853)</x:f>
      </x:c>
      <x:c r="M854" s="16" t="str">
        <x:f>IF(A854="","",Events!V853)</x:f>
      </x:c>
      <x:c r="N854" s="16" t="str">
        <x:f>IF(A854="","",Events!Q853)</x:f>
      </x:c>
      <x:c r="O854" s="16" t="str">
        <x:f>IF(A854="","",Events!R853)</x:f>
      </x:c>
      <x:c r="P854" s="16" t="str">
        <x:f>IF(A854="","",LOWER(Events!B853&amp;" "&amp;Events!D853&amp;" "&amp;Events!K853))</x:f>
      </x:c>
      <x:c r="Q854" s="16" t="str">
        <x:f>IF(A854="","",LOWER(Events!C853&amp;" "&amp;Events!K853&amp;" "&amp;Events!T853))</x:f>
      </x:c>
      <x:c r="R854" s="16" t="str">
        <x:f>IF(A854="","",IF(ISNUMBER(SEARCH("Occurrence verified",E854)),"Occurrence verified",E854))</x:f>
      </x:c>
      <x:c r="S854" s="79" t="str">
        <x:f>IF(A854="","",Events!X853)</x:f>
      </x:c>
      <x:c r="Z854" s="79" t="str">
        <x:f>IF(A854="","",Events!AD853)</x:f>
      </x:c>
      <x:c r="AA854" s="79" t="str">
        <x:f>IF(A854="","",Events!AE853)</x:f>
      </x:c>
    </x:row>
    <x:row r="855">
      <x:c r="A855" s="16" t="str">
        <x:f>IF(Events!A854="","",Events!A854)</x:f>
      </x:c>
      <x:c r="B855" s="16" t="str">
        <x:f>IF(A855="","",Events!B854)</x:f>
      </x:c>
      <x:c r="C855" s="16" t="str">
        <x:f>IF(A855="","",Events!E854)</x:f>
      </x:c>
      <x:c r="D855" s="16" t="str">
        <x:f>IF(A855="","",Events!J854)</x:f>
      </x:c>
      <x:c r="E855" s="16" t="str">
        <x:f>IF(A855="","",Events!N854)</x:f>
      </x:c>
      <x:c r="F855" s="109" t="str">
        <x:f>IF(OR(A855="",Events!H854=""),"",Events!H854)</x:f>
      </x:c>
      <x:c r="G855" s="109" t="str">
        <x:f>IF(A855="","",IF(Events!I854&lt;&gt;"",Events!I854,IF(Events!S854&lt;&gt;"",Events!S854,"")))</x:f>
      </x:c>
      <x:c r="H855" s="16" t="str">
        <x:f>IF(A855="","",Events!W854)</x:f>
      </x:c>
      <x:c r="I855" s="16" t="str">
        <x:f>IF(A855="","",IF(Events!Y854&lt;&gt;"",Events!Y854,IF(OR(ISNUMBER(SEARCH("education",P855)),ISNUMBER(SEARCH("exam",P855)),ISNUMBER(SEARCH("school",P855))),"Education",IF(OR(ISNUMBER(SEARCH("trade agreement",P855)),ISNUMBER(SEARCH("economic",P855)),ISNUMBER(SEARCH("import",P855))),"Trade &amp; economic policy",IF(OR(ISNUMBER(SEARCH("land acquisition",P855)),ISNUMBER(SEARCH("rehabilitation",P855)),ISNUMBER(SEARCH("displacement",P855)),ISNUMBER(SEARCH("township",P855))),"Land &amp; rehabilitation",IF(OR(ISNUMBER(SEARCH("forest",P855)),ISNUMBER(SEARCH("environment",P855)),ISNUMBER(SEARCH("ecological",P855)),ISNUMBER(SEARCH("biodiversity",P855)),ISNUMBER(SEARCH("green cover",P855))),"Environment",IF(OR(ISNUMBER(SEARCH("irrigation",P855)),ISNUMBER(SEARCH("water",P855)),ISNUMBER(SEARCH("crop",P855)),ISNUMBER(SEARCH("farmer",P855)),ISNUMBER(SEARCH("agriculture",P855))),"Agriculture &amp; water",IF(OR(ISNUMBER(SEARCH("health",P855)),ISNUMBER(SEARCH("hospital",P855)),ISNUMBER(SEARCH("medicine",P855))),"Public health",IF(OR(ISNUMBER(SEARCH("employee",P855)),ISNUMBER(SEARCH("labour",P855)),ISNUMBER(SEARCH("worker",P855)),ISNUMBER(SEARCH("salary",P855))),"Labour &amp; employment",IF(OR(ISNUMBER(SEARCH("rti",P855)),ISNUMBER(SEARCH("transparency",P855)),ISNUMBER(SEARCH("corruption",P855)),ISNUMBER(SEARCH("governance",P855))),"Governance &amp; transparency",IF(OR(ISNUMBER(SEARCH("police",P855)),ISNUMBER(SEARCH("detention",P855)),ISNUMBER(SEARCH("civil rights",P855)),ISNUMBER(SEARCH("justice",P855))),"Civil rights &amp; justice",IF(OR(ISNUMBER(SEARCH("road",P855)),ISNUMBER(SEARCH("utility",P855)),ISNUMBER(SEARCH("infrastructure",P855)),ISNUMBER(SEARCH("public service",P855))),"Infrastructure &amp; public services","Other"))))))))))))</x:f>
      </x:c>
      <x:c r="J855" s="16" t="str">
        <x:f>IF(A855="","",IF(OR(ISNUMBER(SEARCH("fatal",Q855)),ISNUMBER(SEARCH("death",Q855)),ISNUMBER(SEARCH("riot",Q855)),ISNUMBER(SEARCH("curfew",Q855)),ISNUMBER(SEARCH("internet shutdown",Q855))),5,MIN(4,1+IF(H855&gt;=7,1,0)+IF(OR(ISNUMBER(SEARCH("hunger strike",Q855)),ISNUMBER(SEARCH("blockade",Q855)),ISNUMBER(SEARCH("strike",Q855)),ISNUMBER(SEARCH("jal satyagraha",Q855)),ISNUMBER(SEARCH("survey",Q855)),ISNUMBER(SEARCH("human chain",Q855)),ISNUMBER(SEARCH("march",Q855))),1,0)+IF(OR(ISNUMBER(SEARCH("fir",Q855)),ISNUMBER(SEARCH("confrontation",Q855)),ISNUMBER(SEARCH("violence",Q855)),ISNUMBER(SEARCH("detention",Q855)),ISNUMBER(SEARCH("arrest",Q855)),ISNUMBER(SEARCH("demolition",Q855)),ISNUMBER(SEARCH("injury",Q855))),1,0)+IF(OR(D855="Ongoing",D855="Unresolved"),1,0))))</x:f>
      </x:c>
      <x:c r="K855" s="16" t="str">
        <x:f>IF(J855="","",IF(J855=1,"Limited",IF(J855=2,"Local",IF(J855=3,"Significant",IF(J855=4,"High","Critical")))))</x:f>
      </x:c>
      <x:c r="L855" s="16" t="str">
        <x:f>IF(A855="","",Events!U854)</x:f>
      </x:c>
      <x:c r="M855" s="16" t="str">
        <x:f>IF(A855="","",Events!V854)</x:f>
      </x:c>
      <x:c r="N855" s="16" t="str">
        <x:f>IF(A855="","",Events!Q854)</x:f>
      </x:c>
      <x:c r="O855" s="16" t="str">
        <x:f>IF(A855="","",Events!R854)</x:f>
      </x:c>
      <x:c r="P855" s="16" t="str">
        <x:f>IF(A855="","",LOWER(Events!B854&amp;" "&amp;Events!D854&amp;" "&amp;Events!K854))</x:f>
      </x:c>
      <x:c r="Q855" s="16" t="str">
        <x:f>IF(A855="","",LOWER(Events!C854&amp;" "&amp;Events!K854&amp;" "&amp;Events!T854))</x:f>
      </x:c>
      <x:c r="R855" s="16" t="str">
        <x:f>IF(A855="","",IF(ISNUMBER(SEARCH("Occurrence verified",E855)),"Occurrence verified",E855))</x:f>
      </x:c>
      <x:c r="S855" s="79" t="str">
        <x:f>IF(A855="","",Events!X854)</x:f>
      </x:c>
      <x:c r="Z855" s="79" t="str">
        <x:f>IF(A855="","",Events!AD854)</x:f>
      </x:c>
      <x:c r="AA855" s="79" t="str">
        <x:f>IF(A855="","",Events!AE854)</x:f>
      </x:c>
    </x:row>
    <x:row r="856">
      <x:c r="A856" s="16" t="str">
        <x:f>IF(Events!A855="","",Events!A855)</x:f>
      </x:c>
      <x:c r="B856" s="16" t="str">
        <x:f>IF(A856="","",Events!B855)</x:f>
      </x:c>
      <x:c r="C856" s="16" t="str">
        <x:f>IF(A856="","",Events!E855)</x:f>
      </x:c>
      <x:c r="D856" s="16" t="str">
        <x:f>IF(A856="","",Events!J855)</x:f>
      </x:c>
      <x:c r="E856" s="16" t="str">
        <x:f>IF(A856="","",Events!N855)</x:f>
      </x:c>
      <x:c r="F856" s="109" t="str">
        <x:f>IF(OR(A856="",Events!H855=""),"",Events!H855)</x:f>
      </x:c>
      <x:c r="G856" s="109" t="str">
        <x:f>IF(A856="","",IF(Events!I855&lt;&gt;"",Events!I855,IF(Events!S855&lt;&gt;"",Events!S855,"")))</x:f>
      </x:c>
      <x:c r="H856" s="16" t="str">
        <x:f>IF(A856="","",Events!W855)</x:f>
      </x:c>
      <x:c r="I856" s="16" t="str">
        <x:f>IF(A856="","",IF(Events!Y855&lt;&gt;"",Events!Y855,IF(OR(ISNUMBER(SEARCH("education",P856)),ISNUMBER(SEARCH("exam",P856)),ISNUMBER(SEARCH("school",P856))),"Education",IF(OR(ISNUMBER(SEARCH("trade agreement",P856)),ISNUMBER(SEARCH("economic",P856)),ISNUMBER(SEARCH("import",P856))),"Trade &amp; economic policy",IF(OR(ISNUMBER(SEARCH("land acquisition",P856)),ISNUMBER(SEARCH("rehabilitation",P856)),ISNUMBER(SEARCH("displacement",P856)),ISNUMBER(SEARCH("township",P856))),"Land &amp; rehabilitation",IF(OR(ISNUMBER(SEARCH("forest",P856)),ISNUMBER(SEARCH("environment",P856)),ISNUMBER(SEARCH("ecological",P856)),ISNUMBER(SEARCH("biodiversity",P856)),ISNUMBER(SEARCH("green cover",P856))),"Environment",IF(OR(ISNUMBER(SEARCH("irrigation",P856)),ISNUMBER(SEARCH("water",P856)),ISNUMBER(SEARCH("crop",P856)),ISNUMBER(SEARCH("farmer",P856)),ISNUMBER(SEARCH("agriculture",P856))),"Agriculture &amp; water",IF(OR(ISNUMBER(SEARCH("health",P856)),ISNUMBER(SEARCH("hospital",P856)),ISNUMBER(SEARCH("medicine",P856))),"Public health",IF(OR(ISNUMBER(SEARCH("employee",P856)),ISNUMBER(SEARCH("labour",P856)),ISNUMBER(SEARCH("worker",P856)),ISNUMBER(SEARCH("salary",P856))),"Labour &amp; employment",IF(OR(ISNUMBER(SEARCH("rti",P856)),ISNUMBER(SEARCH("transparency",P856)),ISNUMBER(SEARCH("corruption",P856)),ISNUMBER(SEARCH("governance",P856))),"Governance &amp; transparency",IF(OR(ISNUMBER(SEARCH("police",P856)),ISNUMBER(SEARCH("detention",P856)),ISNUMBER(SEARCH("civil rights",P856)),ISNUMBER(SEARCH("justice",P856))),"Civil rights &amp; justice",IF(OR(ISNUMBER(SEARCH("road",P856)),ISNUMBER(SEARCH("utility",P856)),ISNUMBER(SEARCH("infrastructure",P856)),ISNUMBER(SEARCH("public service",P856))),"Infrastructure &amp; public services","Other"))))))))))))</x:f>
      </x:c>
      <x:c r="J856" s="16" t="str">
        <x:f>IF(A856="","",IF(OR(ISNUMBER(SEARCH("fatal",Q856)),ISNUMBER(SEARCH("death",Q856)),ISNUMBER(SEARCH("riot",Q856)),ISNUMBER(SEARCH("curfew",Q856)),ISNUMBER(SEARCH("internet shutdown",Q856))),5,MIN(4,1+IF(H856&gt;=7,1,0)+IF(OR(ISNUMBER(SEARCH("hunger strike",Q856)),ISNUMBER(SEARCH("blockade",Q856)),ISNUMBER(SEARCH("strike",Q856)),ISNUMBER(SEARCH("jal satyagraha",Q856)),ISNUMBER(SEARCH("survey",Q856)),ISNUMBER(SEARCH("human chain",Q856)),ISNUMBER(SEARCH("march",Q856))),1,0)+IF(OR(ISNUMBER(SEARCH("fir",Q856)),ISNUMBER(SEARCH("confrontation",Q856)),ISNUMBER(SEARCH("violence",Q856)),ISNUMBER(SEARCH("detention",Q856)),ISNUMBER(SEARCH("arrest",Q856)),ISNUMBER(SEARCH("demolition",Q856)),ISNUMBER(SEARCH("injury",Q856))),1,0)+IF(OR(D856="Ongoing",D856="Unresolved"),1,0))))</x:f>
      </x:c>
      <x:c r="K856" s="16" t="str">
        <x:f>IF(J856="","",IF(J856=1,"Limited",IF(J856=2,"Local",IF(J856=3,"Significant",IF(J856=4,"High","Critical")))))</x:f>
      </x:c>
      <x:c r="L856" s="16" t="str">
        <x:f>IF(A856="","",Events!U855)</x:f>
      </x:c>
      <x:c r="M856" s="16" t="str">
        <x:f>IF(A856="","",Events!V855)</x:f>
      </x:c>
      <x:c r="N856" s="16" t="str">
        <x:f>IF(A856="","",Events!Q855)</x:f>
      </x:c>
      <x:c r="O856" s="16" t="str">
        <x:f>IF(A856="","",Events!R855)</x:f>
      </x:c>
      <x:c r="P856" s="16" t="str">
        <x:f>IF(A856="","",LOWER(Events!B855&amp;" "&amp;Events!D855&amp;" "&amp;Events!K855))</x:f>
      </x:c>
      <x:c r="Q856" s="16" t="str">
        <x:f>IF(A856="","",LOWER(Events!C855&amp;" "&amp;Events!K855&amp;" "&amp;Events!T855))</x:f>
      </x:c>
      <x:c r="R856" s="16" t="str">
        <x:f>IF(A856="","",IF(ISNUMBER(SEARCH("Occurrence verified",E856)),"Occurrence verified",E856))</x:f>
      </x:c>
      <x:c r="S856" s="79" t="str">
        <x:f>IF(A856="","",Events!X855)</x:f>
      </x:c>
      <x:c r="Z856" s="79" t="str">
        <x:f>IF(A856="","",Events!AD855)</x:f>
      </x:c>
      <x:c r="AA856" s="79" t="str">
        <x:f>IF(A856="","",Events!AE855)</x:f>
      </x:c>
    </x:row>
    <x:row r="857">
      <x:c r="A857" s="16" t="str">
        <x:f>IF(Events!A856="","",Events!A856)</x:f>
      </x:c>
      <x:c r="B857" s="16" t="str">
        <x:f>IF(A857="","",Events!B856)</x:f>
      </x:c>
      <x:c r="C857" s="16" t="str">
        <x:f>IF(A857="","",Events!E856)</x:f>
      </x:c>
      <x:c r="D857" s="16" t="str">
        <x:f>IF(A857="","",Events!J856)</x:f>
      </x:c>
      <x:c r="E857" s="16" t="str">
        <x:f>IF(A857="","",Events!N856)</x:f>
      </x:c>
      <x:c r="F857" s="109" t="str">
        <x:f>IF(OR(A857="",Events!H856=""),"",Events!H856)</x:f>
      </x:c>
      <x:c r="G857" s="109" t="str">
        <x:f>IF(A857="","",IF(Events!I856&lt;&gt;"",Events!I856,IF(Events!S856&lt;&gt;"",Events!S856,"")))</x:f>
      </x:c>
      <x:c r="H857" s="16" t="str">
        <x:f>IF(A857="","",Events!W856)</x:f>
      </x:c>
      <x:c r="I857" s="16" t="str">
        <x:f>IF(A857="","",IF(Events!Y856&lt;&gt;"",Events!Y856,IF(OR(ISNUMBER(SEARCH("education",P857)),ISNUMBER(SEARCH("exam",P857)),ISNUMBER(SEARCH("school",P857))),"Education",IF(OR(ISNUMBER(SEARCH("trade agreement",P857)),ISNUMBER(SEARCH("economic",P857)),ISNUMBER(SEARCH("import",P857))),"Trade &amp; economic policy",IF(OR(ISNUMBER(SEARCH("land acquisition",P857)),ISNUMBER(SEARCH("rehabilitation",P857)),ISNUMBER(SEARCH("displacement",P857)),ISNUMBER(SEARCH("township",P857))),"Land &amp; rehabilitation",IF(OR(ISNUMBER(SEARCH("forest",P857)),ISNUMBER(SEARCH("environment",P857)),ISNUMBER(SEARCH("ecological",P857)),ISNUMBER(SEARCH("biodiversity",P857)),ISNUMBER(SEARCH("green cover",P857))),"Environment",IF(OR(ISNUMBER(SEARCH("irrigation",P857)),ISNUMBER(SEARCH("water",P857)),ISNUMBER(SEARCH("crop",P857)),ISNUMBER(SEARCH("farmer",P857)),ISNUMBER(SEARCH("agriculture",P857))),"Agriculture &amp; water",IF(OR(ISNUMBER(SEARCH("health",P857)),ISNUMBER(SEARCH("hospital",P857)),ISNUMBER(SEARCH("medicine",P857))),"Public health",IF(OR(ISNUMBER(SEARCH("employee",P857)),ISNUMBER(SEARCH("labour",P857)),ISNUMBER(SEARCH("worker",P857)),ISNUMBER(SEARCH("salary",P857))),"Labour &amp; employment",IF(OR(ISNUMBER(SEARCH("rti",P857)),ISNUMBER(SEARCH("transparency",P857)),ISNUMBER(SEARCH("corruption",P857)),ISNUMBER(SEARCH("governance",P857))),"Governance &amp; transparency",IF(OR(ISNUMBER(SEARCH("police",P857)),ISNUMBER(SEARCH("detention",P857)),ISNUMBER(SEARCH("civil rights",P857)),ISNUMBER(SEARCH("justice",P857))),"Civil rights &amp; justice",IF(OR(ISNUMBER(SEARCH("road",P857)),ISNUMBER(SEARCH("utility",P857)),ISNUMBER(SEARCH("infrastructure",P857)),ISNUMBER(SEARCH("public service",P857))),"Infrastructure &amp; public services","Other"))))))))))))</x:f>
      </x:c>
      <x:c r="J857" s="16" t="str">
        <x:f>IF(A857="","",IF(OR(ISNUMBER(SEARCH("fatal",Q857)),ISNUMBER(SEARCH("death",Q857)),ISNUMBER(SEARCH("riot",Q857)),ISNUMBER(SEARCH("curfew",Q857)),ISNUMBER(SEARCH("internet shutdown",Q857))),5,MIN(4,1+IF(H857&gt;=7,1,0)+IF(OR(ISNUMBER(SEARCH("hunger strike",Q857)),ISNUMBER(SEARCH("blockade",Q857)),ISNUMBER(SEARCH("strike",Q857)),ISNUMBER(SEARCH("jal satyagraha",Q857)),ISNUMBER(SEARCH("survey",Q857)),ISNUMBER(SEARCH("human chain",Q857)),ISNUMBER(SEARCH("march",Q857))),1,0)+IF(OR(ISNUMBER(SEARCH("fir",Q857)),ISNUMBER(SEARCH("confrontation",Q857)),ISNUMBER(SEARCH("violence",Q857)),ISNUMBER(SEARCH("detention",Q857)),ISNUMBER(SEARCH("arrest",Q857)),ISNUMBER(SEARCH("demolition",Q857)),ISNUMBER(SEARCH("injury",Q857))),1,0)+IF(OR(D857="Ongoing",D857="Unresolved"),1,0))))</x:f>
      </x:c>
      <x:c r="K857" s="16" t="str">
        <x:f>IF(J857="","",IF(J857=1,"Limited",IF(J857=2,"Local",IF(J857=3,"Significant",IF(J857=4,"High","Critical")))))</x:f>
      </x:c>
      <x:c r="L857" s="16" t="str">
        <x:f>IF(A857="","",Events!U856)</x:f>
      </x:c>
      <x:c r="M857" s="16" t="str">
        <x:f>IF(A857="","",Events!V856)</x:f>
      </x:c>
      <x:c r="N857" s="16" t="str">
        <x:f>IF(A857="","",Events!Q856)</x:f>
      </x:c>
      <x:c r="O857" s="16" t="str">
        <x:f>IF(A857="","",Events!R856)</x:f>
      </x:c>
      <x:c r="P857" s="16" t="str">
        <x:f>IF(A857="","",LOWER(Events!B856&amp;" "&amp;Events!D856&amp;" "&amp;Events!K856))</x:f>
      </x:c>
      <x:c r="Q857" s="16" t="str">
        <x:f>IF(A857="","",LOWER(Events!C856&amp;" "&amp;Events!K856&amp;" "&amp;Events!T856))</x:f>
      </x:c>
      <x:c r="R857" s="16" t="str">
        <x:f>IF(A857="","",IF(ISNUMBER(SEARCH("Occurrence verified",E857)),"Occurrence verified",E857))</x:f>
      </x:c>
      <x:c r="S857" s="79" t="str">
        <x:f>IF(A857="","",Events!X856)</x:f>
      </x:c>
      <x:c r="Z857" s="79" t="str">
        <x:f>IF(A857="","",Events!AD856)</x:f>
      </x:c>
      <x:c r="AA857" s="79" t="str">
        <x:f>IF(A857="","",Events!AE856)</x:f>
      </x:c>
    </x:row>
    <x:row r="858">
      <x:c r="A858" s="16" t="str">
        <x:f>IF(Events!A857="","",Events!A857)</x:f>
      </x:c>
      <x:c r="B858" s="16" t="str">
        <x:f>IF(A858="","",Events!B857)</x:f>
      </x:c>
      <x:c r="C858" s="16" t="str">
        <x:f>IF(A858="","",Events!E857)</x:f>
      </x:c>
      <x:c r="D858" s="16" t="str">
        <x:f>IF(A858="","",Events!J857)</x:f>
      </x:c>
      <x:c r="E858" s="16" t="str">
        <x:f>IF(A858="","",Events!N857)</x:f>
      </x:c>
      <x:c r="F858" s="109" t="str">
        <x:f>IF(OR(A858="",Events!H857=""),"",Events!H857)</x:f>
      </x:c>
      <x:c r="G858" s="109" t="str">
        <x:f>IF(A858="","",IF(Events!I857&lt;&gt;"",Events!I857,IF(Events!S857&lt;&gt;"",Events!S857,"")))</x:f>
      </x:c>
      <x:c r="H858" s="16" t="str">
        <x:f>IF(A858="","",Events!W857)</x:f>
      </x:c>
      <x:c r="I858" s="16" t="str">
        <x:f>IF(A858="","",IF(Events!Y857&lt;&gt;"",Events!Y857,IF(OR(ISNUMBER(SEARCH("education",P858)),ISNUMBER(SEARCH("exam",P858)),ISNUMBER(SEARCH("school",P858))),"Education",IF(OR(ISNUMBER(SEARCH("trade agreement",P858)),ISNUMBER(SEARCH("economic",P858)),ISNUMBER(SEARCH("import",P858))),"Trade &amp; economic policy",IF(OR(ISNUMBER(SEARCH("land acquisition",P858)),ISNUMBER(SEARCH("rehabilitation",P858)),ISNUMBER(SEARCH("displacement",P858)),ISNUMBER(SEARCH("township",P858))),"Land &amp; rehabilitation",IF(OR(ISNUMBER(SEARCH("forest",P858)),ISNUMBER(SEARCH("environment",P858)),ISNUMBER(SEARCH("ecological",P858)),ISNUMBER(SEARCH("biodiversity",P858)),ISNUMBER(SEARCH("green cover",P858))),"Environment",IF(OR(ISNUMBER(SEARCH("irrigation",P858)),ISNUMBER(SEARCH("water",P858)),ISNUMBER(SEARCH("crop",P858)),ISNUMBER(SEARCH("farmer",P858)),ISNUMBER(SEARCH("agriculture",P858))),"Agriculture &amp; water",IF(OR(ISNUMBER(SEARCH("health",P858)),ISNUMBER(SEARCH("hospital",P858)),ISNUMBER(SEARCH("medicine",P858))),"Public health",IF(OR(ISNUMBER(SEARCH("employee",P858)),ISNUMBER(SEARCH("labour",P858)),ISNUMBER(SEARCH("worker",P858)),ISNUMBER(SEARCH("salary",P858))),"Labour &amp; employment",IF(OR(ISNUMBER(SEARCH("rti",P858)),ISNUMBER(SEARCH("transparency",P858)),ISNUMBER(SEARCH("corruption",P858)),ISNUMBER(SEARCH("governance",P858))),"Governance &amp; transparency",IF(OR(ISNUMBER(SEARCH("police",P858)),ISNUMBER(SEARCH("detention",P858)),ISNUMBER(SEARCH("civil rights",P858)),ISNUMBER(SEARCH("justice",P858))),"Civil rights &amp; justice",IF(OR(ISNUMBER(SEARCH("road",P858)),ISNUMBER(SEARCH("utility",P858)),ISNUMBER(SEARCH("infrastructure",P858)),ISNUMBER(SEARCH("public service",P858))),"Infrastructure &amp; public services","Other"))))))))))))</x:f>
      </x:c>
      <x:c r="J858" s="16" t="str">
        <x:f>IF(A858="","",IF(OR(ISNUMBER(SEARCH("fatal",Q858)),ISNUMBER(SEARCH("death",Q858)),ISNUMBER(SEARCH("riot",Q858)),ISNUMBER(SEARCH("curfew",Q858)),ISNUMBER(SEARCH("internet shutdown",Q858))),5,MIN(4,1+IF(H858&gt;=7,1,0)+IF(OR(ISNUMBER(SEARCH("hunger strike",Q858)),ISNUMBER(SEARCH("blockade",Q858)),ISNUMBER(SEARCH("strike",Q858)),ISNUMBER(SEARCH("jal satyagraha",Q858)),ISNUMBER(SEARCH("survey",Q858)),ISNUMBER(SEARCH("human chain",Q858)),ISNUMBER(SEARCH("march",Q858))),1,0)+IF(OR(ISNUMBER(SEARCH("fir",Q858)),ISNUMBER(SEARCH("confrontation",Q858)),ISNUMBER(SEARCH("violence",Q858)),ISNUMBER(SEARCH("detention",Q858)),ISNUMBER(SEARCH("arrest",Q858)),ISNUMBER(SEARCH("demolition",Q858)),ISNUMBER(SEARCH("injury",Q858))),1,0)+IF(OR(D858="Ongoing",D858="Unresolved"),1,0))))</x:f>
      </x:c>
      <x:c r="K858" s="16" t="str">
        <x:f>IF(J858="","",IF(J858=1,"Limited",IF(J858=2,"Local",IF(J858=3,"Significant",IF(J858=4,"High","Critical")))))</x:f>
      </x:c>
      <x:c r="L858" s="16" t="str">
        <x:f>IF(A858="","",Events!U857)</x:f>
      </x:c>
      <x:c r="M858" s="16" t="str">
        <x:f>IF(A858="","",Events!V857)</x:f>
      </x:c>
      <x:c r="N858" s="16" t="str">
        <x:f>IF(A858="","",Events!Q857)</x:f>
      </x:c>
      <x:c r="O858" s="16" t="str">
        <x:f>IF(A858="","",Events!R857)</x:f>
      </x:c>
      <x:c r="P858" s="16" t="str">
        <x:f>IF(A858="","",LOWER(Events!B857&amp;" "&amp;Events!D857&amp;" "&amp;Events!K857))</x:f>
      </x:c>
      <x:c r="Q858" s="16" t="str">
        <x:f>IF(A858="","",LOWER(Events!C857&amp;" "&amp;Events!K857&amp;" "&amp;Events!T857))</x:f>
      </x:c>
      <x:c r="R858" s="16" t="str">
        <x:f>IF(A858="","",IF(ISNUMBER(SEARCH("Occurrence verified",E858)),"Occurrence verified",E858))</x:f>
      </x:c>
      <x:c r="S858" s="79" t="str">
        <x:f>IF(A858="","",Events!X857)</x:f>
      </x:c>
      <x:c r="Z858" s="79" t="str">
        <x:f>IF(A858="","",Events!AD857)</x:f>
      </x:c>
      <x:c r="AA858" s="79" t="str">
        <x:f>IF(A858="","",Events!AE857)</x:f>
      </x:c>
    </x:row>
    <x:row r="859">
      <x:c r="A859" s="16" t="str">
        <x:f>IF(Events!A858="","",Events!A858)</x:f>
      </x:c>
      <x:c r="B859" s="16" t="str">
        <x:f>IF(A859="","",Events!B858)</x:f>
      </x:c>
      <x:c r="C859" s="16" t="str">
        <x:f>IF(A859="","",Events!E858)</x:f>
      </x:c>
      <x:c r="D859" s="16" t="str">
        <x:f>IF(A859="","",Events!J858)</x:f>
      </x:c>
      <x:c r="E859" s="16" t="str">
        <x:f>IF(A859="","",Events!N858)</x:f>
      </x:c>
      <x:c r="F859" s="109" t="str">
        <x:f>IF(OR(A859="",Events!H858=""),"",Events!H858)</x:f>
      </x:c>
      <x:c r="G859" s="109" t="str">
        <x:f>IF(A859="","",IF(Events!I858&lt;&gt;"",Events!I858,IF(Events!S858&lt;&gt;"",Events!S858,"")))</x:f>
      </x:c>
      <x:c r="H859" s="16" t="str">
        <x:f>IF(A859="","",Events!W858)</x:f>
      </x:c>
      <x:c r="I859" s="16" t="str">
        <x:f>IF(A859="","",IF(Events!Y858&lt;&gt;"",Events!Y858,IF(OR(ISNUMBER(SEARCH("education",P859)),ISNUMBER(SEARCH("exam",P859)),ISNUMBER(SEARCH("school",P859))),"Education",IF(OR(ISNUMBER(SEARCH("trade agreement",P859)),ISNUMBER(SEARCH("economic",P859)),ISNUMBER(SEARCH("import",P859))),"Trade &amp; economic policy",IF(OR(ISNUMBER(SEARCH("land acquisition",P859)),ISNUMBER(SEARCH("rehabilitation",P859)),ISNUMBER(SEARCH("displacement",P859)),ISNUMBER(SEARCH("township",P859))),"Land &amp; rehabilitation",IF(OR(ISNUMBER(SEARCH("forest",P859)),ISNUMBER(SEARCH("environment",P859)),ISNUMBER(SEARCH("ecological",P859)),ISNUMBER(SEARCH("biodiversity",P859)),ISNUMBER(SEARCH("green cover",P859))),"Environment",IF(OR(ISNUMBER(SEARCH("irrigation",P859)),ISNUMBER(SEARCH("water",P859)),ISNUMBER(SEARCH("crop",P859)),ISNUMBER(SEARCH("farmer",P859)),ISNUMBER(SEARCH("agriculture",P859))),"Agriculture &amp; water",IF(OR(ISNUMBER(SEARCH("health",P859)),ISNUMBER(SEARCH("hospital",P859)),ISNUMBER(SEARCH("medicine",P859))),"Public health",IF(OR(ISNUMBER(SEARCH("employee",P859)),ISNUMBER(SEARCH("labour",P859)),ISNUMBER(SEARCH("worker",P859)),ISNUMBER(SEARCH("salary",P859))),"Labour &amp; employment",IF(OR(ISNUMBER(SEARCH("rti",P859)),ISNUMBER(SEARCH("transparency",P859)),ISNUMBER(SEARCH("corruption",P859)),ISNUMBER(SEARCH("governance",P859))),"Governance &amp; transparency",IF(OR(ISNUMBER(SEARCH("police",P859)),ISNUMBER(SEARCH("detention",P859)),ISNUMBER(SEARCH("civil rights",P859)),ISNUMBER(SEARCH("justice",P859))),"Civil rights &amp; justice",IF(OR(ISNUMBER(SEARCH("road",P859)),ISNUMBER(SEARCH("utility",P859)),ISNUMBER(SEARCH("infrastructure",P859)),ISNUMBER(SEARCH("public service",P859))),"Infrastructure &amp; public services","Other"))))))))))))</x:f>
      </x:c>
      <x:c r="J859" s="16" t="str">
        <x:f>IF(A859="","",IF(OR(ISNUMBER(SEARCH("fatal",Q859)),ISNUMBER(SEARCH("death",Q859)),ISNUMBER(SEARCH("riot",Q859)),ISNUMBER(SEARCH("curfew",Q859)),ISNUMBER(SEARCH("internet shutdown",Q859))),5,MIN(4,1+IF(H859&gt;=7,1,0)+IF(OR(ISNUMBER(SEARCH("hunger strike",Q859)),ISNUMBER(SEARCH("blockade",Q859)),ISNUMBER(SEARCH("strike",Q859)),ISNUMBER(SEARCH("jal satyagraha",Q859)),ISNUMBER(SEARCH("survey",Q859)),ISNUMBER(SEARCH("human chain",Q859)),ISNUMBER(SEARCH("march",Q859))),1,0)+IF(OR(ISNUMBER(SEARCH("fir",Q859)),ISNUMBER(SEARCH("confrontation",Q859)),ISNUMBER(SEARCH("violence",Q859)),ISNUMBER(SEARCH("detention",Q859)),ISNUMBER(SEARCH("arrest",Q859)),ISNUMBER(SEARCH("demolition",Q859)),ISNUMBER(SEARCH("injury",Q859))),1,0)+IF(OR(D859="Ongoing",D859="Unresolved"),1,0))))</x:f>
      </x:c>
      <x:c r="K859" s="16" t="str">
        <x:f>IF(J859="","",IF(J859=1,"Limited",IF(J859=2,"Local",IF(J859=3,"Significant",IF(J859=4,"High","Critical")))))</x:f>
      </x:c>
      <x:c r="L859" s="16" t="str">
        <x:f>IF(A859="","",Events!U858)</x:f>
      </x:c>
      <x:c r="M859" s="16" t="str">
        <x:f>IF(A859="","",Events!V858)</x:f>
      </x:c>
      <x:c r="N859" s="16" t="str">
        <x:f>IF(A859="","",Events!Q858)</x:f>
      </x:c>
      <x:c r="O859" s="16" t="str">
        <x:f>IF(A859="","",Events!R858)</x:f>
      </x:c>
      <x:c r="P859" s="16" t="str">
        <x:f>IF(A859="","",LOWER(Events!B858&amp;" "&amp;Events!D858&amp;" "&amp;Events!K858))</x:f>
      </x:c>
      <x:c r="Q859" s="16" t="str">
        <x:f>IF(A859="","",LOWER(Events!C858&amp;" "&amp;Events!K858&amp;" "&amp;Events!T858))</x:f>
      </x:c>
      <x:c r="R859" s="16" t="str">
        <x:f>IF(A859="","",IF(ISNUMBER(SEARCH("Occurrence verified",E859)),"Occurrence verified",E859))</x:f>
      </x:c>
      <x:c r="S859" s="79" t="str">
        <x:f>IF(A859="","",Events!X858)</x:f>
      </x:c>
      <x:c r="Z859" s="79" t="str">
        <x:f>IF(A859="","",Events!AD858)</x:f>
      </x:c>
      <x:c r="AA859" s="79" t="str">
        <x:f>IF(A859="","",Events!AE858)</x:f>
      </x:c>
    </x:row>
    <x:row r="860">
      <x:c r="A860" s="16" t="str">
        <x:f>IF(Events!A859="","",Events!A859)</x:f>
      </x:c>
      <x:c r="B860" s="16" t="str">
        <x:f>IF(A860="","",Events!B859)</x:f>
      </x:c>
      <x:c r="C860" s="16" t="str">
        <x:f>IF(A860="","",Events!E859)</x:f>
      </x:c>
      <x:c r="D860" s="16" t="str">
        <x:f>IF(A860="","",Events!J859)</x:f>
      </x:c>
      <x:c r="E860" s="16" t="str">
        <x:f>IF(A860="","",Events!N859)</x:f>
      </x:c>
      <x:c r="F860" s="109" t="str">
        <x:f>IF(OR(A860="",Events!H859=""),"",Events!H859)</x:f>
      </x:c>
      <x:c r="G860" s="109" t="str">
        <x:f>IF(A860="","",IF(Events!I859&lt;&gt;"",Events!I859,IF(Events!S859&lt;&gt;"",Events!S859,"")))</x:f>
      </x:c>
      <x:c r="H860" s="16" t="str">
        <x:f>IF(A860="","",Events!W859)</x:f>
      </x:c>
      <x:c r="I860" s="16" t="str">
        <x:f>IF(A860="","",IF(Events!Y859&lt;&gt;"",Events!Y859,IF(OR(ISNUMBER(SEARCH("education",P860)),ISNUMBER(SEARCH("exam",P860)),ISNUMBER(SEARCH("school",P860))),"Education",IF(OR(ISNUMBER(SEARCH("trade agreement",P860)),ISNUMBER(SEARCH("economic",P860)),ISNUMBER(SEARCH("import",P860))),"Trade &amp; economic policy",IF(OR(ISNUMBER(SEARCH("land acquisition",P860)),ISNUMBER(SEARCH("rehabilitation",P860)),ISNUMBER(SEARCH("displacement",P860)),ISNUMBER(SEARCH("township",P860))),"Land &amp; rehabilitation",IF(OR(ISNUMBER(SEARCH("forest",P860)),ISNUMBER(SEARCH("environment",P860)),ISNUMBER(SEARCH("ecological",P860)),ISNUMBER(SEARCH("biodiversity",P860)),ISNUMBER(SEARCH("green cover",P860))),"Environment",IF(OR(ISNUMBER(SEARCH("irrigation",P860)),ISNUMBER(SEARCH("water",P860)),ISNUMBER(SEARCH("crop",P860)),ISNUMBER(SEARCH("farmer",P860)),ISNUMBER(SEARCH("agriculture",P860))),"Agriculture &amp; water",IF(OR(ISNUMBER(SEARCH("health",P860)),ISNUMBER(SEARCH("hospital",P860)),ISNUMBER(SEARCH("medicine",P860))),"Public health",IF(OR(ISNUMBER(SEARCH("employee",P860)),ISNUMBER(SEARCH("labour",P860)),ISNUMBER(SEARCH("worker",P860)),ISNUMBER(SEARCH("salary",P860))),"Labour &amp; employment",IF(OR(ISNUMBER(SEARCH("rti",P860)),ISNUMBER(SEARCH("transparency",P860)),ISNUMBER(SEARCH("corruption",P860)),ISNUMBER(SEARCH("governance",P860))),"Governance &amp; transparency",IF(OR(ISNUMBER(SEARCH("police",P860)),ISNUMBER(SEARCH("detention",P860)),ISNUMBER(SEARCH("civil rights",P860)),ISNUMBER(SEARCH("justice",P860))),"Civil rights &amp; justice",IF(OR(ISNUMBER(SEARCH("road",P860)),ISNUMBER(SEARCH("utility",P860)),ISNUMBER(SEARCH("infrastructure",P860)),ISNUMBER(SEARCH("public service",P860))),"Infrastructure &amp; public services","Other"))))))))))))</x:f>
      </x:c>
      <x:c r="J860" s="16" t="str">
        <x:f>IF(A860="","",IF(OR(ISNUMBER(SEARCH("fatal",Q860)),ISNUMBER(SEARCH("death",Q860)),ISNUMBER(SEARCH("riot",Q860)),ISNUMBER(SEARCH("curfew",Q860)),ISNUMBER(SEARCH("internet shutdown",Q860))),5,MIN(4,1+IF(H860&gt;=7,1,0)+IF(OR(ISNUMBER(SEARCH("hunger strike",Q860)),ISNUMBER(SEARCH("blockade",Q860)),ISNUMBER(SEARCH("strike",Q860)),ISNUMBER(SEARCH("jal satyagraha",Q860)),ISNUMBER(SEARCH("survey",Q860)),ISNUMBER(SEARCH("human chain",Q860)),ISNUMBER(SEARCH("march",Q860))),1,0)+IF(OR(ISNUMBER(SEARCH("fir",Q860)),ISNUMBER(SEARCH("confrontation",Q860)),ISNUMBER(SEARCH("violence",Q860)),ISNUMBER(SEARCH("detention",Q860)),ISNUMBER(SEARCH("arrest",Q860)),ISNUMBER(SEARCH("demolition",Q860)),ISNUMBER(SEARCH("injury",Q860))),1,0)+IF(OR(D860="Ongoing",D860="Unresolved"),1,0))))</x:f>
      </x:c>
      <x:c r="K860" s="16" t="str">
        <x:f>IF(J860="","",IF(J860=1,"Limited",IF(J860=2,"Local",IF(J860=3,"Significant",IF(J860=4,"High","Critical")))))</x:f>
      </x:c>
      <x:c r="L860" s="16" t="str">
        <x:f>IF(A860="","",Events!U859)</x:f>
      </x:c>
      <x:c r="M860" s="16" t="str">
        <x:f>IF(A860="","",Events!V859)</x:f>
      </x:c>
      <x:c r="N860" s="16" t="str">
        <x:f>IF(A860="","",Events!Q859)</x:f>
      </x:c>
      <x:c r="O860" s="16" t="str">
        <x:f>IF(A860="","",Events!R859)</x:f>
      </x:c>
      <x:c r="P860" s="16" t="str">
        <x:f>IF(A860="","",LOWER(Events!B859&amp;" "&amp;Events!D859&amp;" "&amp;Events!K859))</x:f>
      </x:c>
      <x:c r="Q860" s="16" t="str">
        <x:f>IF(A860="","",LOWER(Events!C859&amp;" "&amp;Events!K859&amp;" "&amp;Events!T859))</x:f>
      </x:c>
      <x:c r="R860" s="16" t="str">
        <x:f>IF(A860="","",IF(ISNUMBER(SEARCH("Occurrence verified",E860)),"Occurrence verified",E860))</x:f>
      </x:c>
      <x:c r="S860" s="79" t="str">
        <x:f>IF(A860="","",Events!X859)</x:f>
      </x:c>
      <x:c r="Z860" s="79" t="str">
        <x:f>IF(A860="","",Events!AD859)</x:f>
      </x:c>
      <x:c r="AA860" s="79" t="str">
        <x:f>IF(A860="","",Events!AE859)</x:f>
      </x:c>
    </x:row>
    <x:row r="861">
      <x:c r="A861" s="16" t="str">
        <x:f>IF(Events!A860="","",Events!A860)</x:f>
      </x:c>
      <x:c r="B861" s="16" t="str">
        <x:f>IF(A861="","",Events!B860)</x:f>
      </x:c>
      <x:c r="C861" s="16" t="str">
        <x:f>IF(A861="","",Events!E860)</x:f>
      </x:c>
      <x:c r="D861" s="16" t="str">
        <x:f>IF(A861="","",Events!J860)</x:f>
      </x:c>
      <x:c r="E861" s="16" t="str">
        <x:f>IF(A861="","",Events!N860)</x:f>
      </x:c>
      <x:c r="F861" s="109" t="str">
        <x:f>IF(OR(A861="",Events!H860=""),"",Events!H860)</x:f>
      </x:c>
      <x:c r="G861" s="109" t="str">
        <x:f>IF(A861="","",IF(Events!I860&lt;&gt;"",Events!I860,IF(Events!S860&lt;&gt;"",Events!S860,"")))</x:f>
      </x:c>
      <x:c r="H861" s="16" t="str">
        <x:f>IF(A861="","",Events!W860)</x:f>
      </x:c>
      <x:c r="I861" s="16" t="str">
        <x:f>IF(A861="","",IF(Events!Y860&lt;&gt;"",Events!Y860,IF(OR(ISNUMBER(SEARCH("education",P861)),ISNUMBER(SEARCH("exam",P861)),ISNUMBER(SEARCH("school",P861))),"Education",IF(OR(ISNUMBER(SEARCH("trade agreement",P861)),ISNUMBER(SEARCH("economic",P861)),ISNUMBER(SEARCH("import",P861))),"Trade &amp; economic policy",IF(OR(ISNUMBER(SEARCH("land acquisition",P861)),ISNUMBER(SEARCH("rehabilitation",P861)),ISNUMBER(SEARCH("displacement",P861)),ISNUMBER(SEARCH("township",P861))),"Land &amp; rehabilitation",IF(OR(ISNUMBER(SEARCH("forest",P861)),ISNUMBER(SEARCH("environment",P861)),ISNUMBER(SEARCH("ecological",P861)),ISNUMBER(SEARCH("biodiversity",P861)),ISNUMBER(SEARCH("green cover",P861))),"Environment",IF(OR(ISNUMBER(SEARCH("irrigation",P861)),ISNUMBER(SEARCH("water",P861)),ISNUMBER(SEARCH("crop",P861)),ISNUMBER(SEARCH("farmer",P861)),ISNUMBER(SEARCH("agriculture",P861))),"Agriculture &amp; water",IF(OR(ISNUMBER(SEARCH("health",P861)),ISNUMBER(SEARCH("hospital",P861)),ISNUMBER(SEARCH("medicine",P861))),"Public health",IF(OR(ISNUMBER(SEARCH("employee",P861)),ISNUMBER(SEARCH("labour",P861)),ISNUMBER(SEARCH("worker",P861)),ISNUMBER(SEARCH("salary",P861))),"Labour &amp; employment",IF(OR(ISNUMBER(SEARCH("rti",P861)),ISNUMBER(SEARCH("transparency",P861)),ISNUMBER(SEARCH("corruption",P861)),ISNUMBER(SEARCH("governance",P861))),"Governance &amp; transparency",IF(OR(ISNUMBER(SEARCH("police",P861)),ISNUMBER(SEARCH("detention",P861)),ISNUMBER(SEARCH("civil rights",P861)),ISNUMBER(SEARCH("justice",P861))),"Civil rights &amp; justice",IF(OR(ISNUMBER(SEARCH("road",P861)),ISNUMBER(SEARCH("utility",P861)),ISNUMBER(SEARCH("infrastructure",P861)),ISNUMBER(SEARCH("public service",P861))),"Infrastructure &amp; public services","Other"))))))))))))</x:f>
      </x:c>
      <x:c r="J861" s="16" t="str">
        <x:f>IF(A861="","",IF(OR(ISNUMBER(SEARCH("fatal",Q861)),ISNUMBER(SEARCH("death",Q861)),ISNUMBER(SEARCH("riot",Q861)),ISNUMBER(SEARCH("curfew",Q861)),ISNUMBER(SEARCH("internet shutdown",Q861))),5,MIN(4,1+IF(H861&gt;=7,1,0)+IF(OR(ISNUMBER(SEARCH("hunger strike",Q861)),ISNUMBER(SEARCH("blockade",Q861)),ISNUMBER(SEARCH("strike",Q861)),ISNUMBER(SEARCH("jal satyagraha",Q861)),ISNUMBER(SEARCH("survey",Q861)),ISNUMBER(SEARCH("human chain",Q861)),ISNUMBER(SEARCH("march",Q861))),1,0)+IF(OR(ISNUMBER(SEARCH("fir",Q861)),ISNUMBER(SEARCH("confrontation",Q861)),ISNUMBER(SEARCH("violence",Q861)),ISNUMBER(SEARCH("detention",Q861)),ISNUMBER(SEARCH("arrest",Q861)),ISNUMBER(SEARCH("demolition",Q861)),ISNUMBER(SEARCH("injury",Q861))),1,0)+IF(OR(D861="Ongoing",D861="Unresolved"),1,0))))</x:f>
      </x:c>
      <x:c r="K861" s="16" t="str">
        <x:f>IF(J861="","",IF(J861=1,"Limited",IF(J861=2,"Local",IF(J861=3,"Significant",IF(J861=4,"High","Critical")))))</x:f>
      </x:c>
      <x:c r="L861" s="16" t="str">
        <x:f>IF(A861="","",Events!U860)</x:f>
      </x:c>
      <x:c r="M861" s="16" t="str">
        <x:f>IF(A861="","",Events!V860)</x:f>
      </x:c>
      <x:c r="N861" s="16" t="str">
        <x:f>IF(A861="","",Events!Q860)</x:f>
      </x:c>
      <x:c r="O861" s="16" t="str">
        <x:f>IF(A861="","",Events!R860)</x:f>
      </x:c>
      <x:c r="P861" s="16" t="str">
        <x:f>IF(A861="","",LOWER(Events!B860&amp;" "&amp;Events!D860&amp;" "&amp;Events!K860))</x:f>
      </x:c>
      <x:c r="Q861" s="16" t="str">
        <x:f>IF(A861="","",LOWER(Events!C860&amp;" "&amp;Events!K860&amp;" "&amp;Events!T860))</x:f>
      </x:c>
      <x:c r="R861" s="16" t="str">
        <x:f>IF(A861="","",IF(ISNUMBER(SEARCH("Occurrence verified",E861)),"Occurrence verified",E861))</x:f>
      </x:c>
      <x:c r="S861" s="79" t="str">
        <x:f>IF(A861="","",Events!X860)</x:f>
      </x:c>
      <x:c r="Z861" s="79" t="str">
        <x:f>IF(A861="","",Events!AD860)</x:f>
      </x:c>
      <x:c r="AA861" s="79" t="str">
        <x:f>IF(A861="","",Events!AE860)</x:f>
      </x:c>
    </x:row>
    <x:row r="862">
      <x:c r="A862" s="16" t="str">
        <x:f>IF(Events!A861="","",Events!A861)</x:f>
      </x:c>
      <x:c r="B862" s="16" t="str">
        <x:f>IF(A862="","",Events!B861)</x:f>
      </x:c>
      <x:c r="C862" s="16" t="str">
        <x:f>IF(A862="","",Events!E861)</x:f>
      </x:c>
      <x:c r="D862" s="16" t="str">
        <x:f>IF(A862="","",Events!J861)</x:f>
      </x:c>
      <x:c r="E862" s="16" t="str">
        <x:f>IF(A862="","",Events!N861)</x:f>
      </x:c>
      <x:c r="F862" s="109" t="str">
        <x:f>IF(OR(A862="",Events!H861=""),"",Events!H861)</x:f>
      </x:c>
      <x:c r="G862" s="109" t="str">
        <x:f>IF(A862="","",IF(Events!I861&lt;&gt;"",Events!I861,IF(Events!S861&lt;&gt;"",Events!S861,"")))</x:f>
      </x:c>
      <x:c r="H862" s="16" t="str">
        <x:f>IF(A862="","",Events!W861)</x:f>
      </x:c>
      <x:c r="I862" s="16" t="str">
        <x:f>IF(A862="","",IF(Events!Y861&lt;&gt;"",Events!Y861,IF(OR(ISNUMBER(SEARCH("education",P862)),ISNUMBER(SEARCH("exam",P862)),ISNUMBER(SEARCH("school",P862))),"Education",IF(OR(ISNUMBER(SEARCH("trade agreement",P862)),ISNUMBER(SEARCH("economic",P862)),ISNUMBER(SEARCH("import",P862))),"Trade &amp; economic policy",IF(OR(ISNUMBER(SEARCH("land acquisition",P862)),ISNUMBER(SEARCH("rehabilitation",P862)),ISNUMBER(SEARCH("displacement",P862)),ISNUMBER(SEARCH("township",P862))),"Land &amp; rehabilitation",IF(OR(ISNUMBER(SEARCH("forest",P862)),ISNUMBER(SEARCH("environment",P862)),ISNUMBER(SEARCH("ecological",P862)),ISNUMBER(SEARCH("biodiversity",P862)),ISNUMBER(SEARCH("green cover",P862))),"Environment",IF(OR(ISNUMBER(SEARCH("irrigation",P862)),ISNUMBER(SEARCH("water",P862)),ISNUMBER(SEARCH("crop",P862)),ISNUMBER(SEARCH("farmer",P862)),ISNUMBER(SEARCH("agriculture",P862))),"Agriculture &amp; water",IF(OR(ISNUMBER(SEARCH("health",P862)),ISNUMBER(SEARCH("hospital",P862)),ISNUMBER(SEARCH("medicine",P862))),"Public health",IF(OR(ISNUMBER(SEARCH("employee",P862)),ISNUMBER(SEARCH("labour",P862)),ISNUMBER(SEARCH("worker",P862)),ISNUMBER(SEARCH("salary",P862))),"Labour &amp; employment",IF(OR(ISNUMBER(SEARCH("rti",P862)),ISNUMBER(SEARCH("transparency",P862)),ISNUMBER(SEARCH("corruption",P862)),ISNUMBER(SEARCH("governance",P862))),"Governance &amp; transparency",IF(OR(ISNUMBER(SEARCH("police",P862)),ISNUMBER(SEARCH("detention",P862)),ISNUMBER(SEARCH("civil rights",P862)),ISNUMBER(SEARCH("justice",P862))),"Civil rights &amp; justice",IF(OR(ISNUMBER(SEARCH("road",P862)),ISNUMBER(SEARCH("utility",P862)),ISNUMBER(SEARCH("infrastructure",P862)),ISNUMBER(SEARCH("public service",P862))),"Infrastructure &amp; public services","Other"))))))))))))</x:f>
      </x:c>
      <x:c r="J862" s="16" t="str">
        <x:f>IF(A862="","",IF(OR(ISNUMBER(SEARCH("fatal",Q862)),ISNUMBER(SEARCH("death",Q862)),ISNUMBER(SEARCH("riot",Q862)),ISNUMBER(SEARCH("curfew",Q862)),ISNUMBER(SEARCH("internet shutdown",Q862))),5,MIN(4,1+IF(H862&gt;=7,1,0)+IF(OR(ISNUMBER(SEARCH("hunger strike",Q862)),ISNUMBER(SEARCH("blockade",Q862)),ISNUMBER(SEARCH("strike",Q862)),ISNUMBER(SEARCH("jal satyagraha",Q862)),ISNUMBER(SEARCH("survey",Q862)),ISNUMBER(SEARCH("human chain",Q862)),ISNUMBER(SEARCH("march",Q862))),1,0)+IF(OR(ISNUMBER(SEARCH("fir",Q862)),ISNUMBER(SEARCH("confrontation",Q862)),ISNUMBER(SEARCH("violence",Q862)),ISNUMBER(SEARCH("detention",Q862)),ISNUMBER(SEARCH("arrest",Q862)),ISNUMBER(SEARCH("demolition",Q862)),ISNUMBER(SEARCH("injury",Q862))),1,0)+IF(OR(D862="Ongoing",D862="Unresolved"),1,0))))</x:f>
      </x:c>
      <x:c r="K862" s="16" t="str">
        <x:f>IF(J862="","",IF(J862=1,"Limited",IF(J862=2,"Local",IF(J862=3,"Significant",IF(J862=4,"High","Critical")))))</x:f>
      </x:c>
      <x:c r="L862" s="16" t="str">
        <x:f>IF(A862="","",Events!U861)</x:f>
      </x:c>
      <x:c r="M862" s="16" t="str">
        <x:f>IF(A862="","",Events!V861)</x:f>
      </x:c>
      <x:c r="N862" s="16" t="str">
        <x:f>IF(A862="","",Events!Q861)</x:f>
      </x:c>
      <x:c r="O862" s="16" t="str">
        <x:f>IF(A862="","",Events!R861)</x:f>
      </x:c>
      <x:c r="P862" s="16" t="str">
        <x:f>IF(A862="","",LOWER(Events!B861&amp;" "&amp;Events!D861&amp;" "&amp;Events!K861))</x:f>
      </x:c>
      <x:c r="Q862" s="16" t="str">
        <x:f>IF(A862="","",LOWER(Events!C861&amp;" "&amp;Events!K861&amp;" "&amp;Events!T861))</x:f>
      </x:c>
      <x:c r="R862" s="16" t="str">
        <x:f>IF(A862="","",IF(ISNUMBER(SEARCH("Occurrence verified",E862)),"Occurrence verified",E862))</x:f>
      </x:c>
      <x:c r="S862" s="79" t="str">
        <x:f>IF(A862="","",Events!X861)</x:f>
      </x:c>
      <x:c r="Z862" s="79" t="str">
        <x:f>IF(A862="","",Events!AD861)</x:f>
      </x:c>
      <x:c r="AA862" s="79" t="str">
        <x:f>IF(A862="","",Events!AE861)</x:f>
      </x:c>
    </x:row>
    <x:row r="863">
      <x:c r="A863" s="16" t="str">
        <x:f>IF(Events!A862="","",Events!A862)</x:f>
      </x:c>
      <x:c r="B863" s="16" t="str">
        <x:f>IF(A863="","",Events!B862)</x:f>
      </x:c>
      <x:c r="C863" s="16" t="str">
        <x:f>IF(A863="","",Events!E862)</x:f>
      </x:c>
      <x:c r="D863" s="16" t="str">
        <x:f>IF(A863="","",Events!J862)</x:f>
      </x:c>
      <x:c r="E863" s="16" t="str">
        <x:f>IF(A863="","",Events!N862)</x:f>
      </x:c>
      <x:c r="F863" s="109" t="str">
        <x:f>IF(OR(A863="",Events!H862=""),"",Events!H862)</x:f>
      </x:c>
      <x:c r="G863" s="109" t="str">
        <x:f>IF(A863="","",IF(Events!I862&lt;&gt;"",Events!I862,IF(Events!S862&lt;&gt;"",Events!S862,"")))</x:f>
      </x:c>
      <x:c r="H863" s="16" t="str">
        <x:f>IF(A863="","",Events!W862)</x:f>
      </x:c>
      <x:c r="I863" s="16" t="str">
        <x:f>IF(A863="","",IF(Events!Y862&lt;&gt;"",Events!Y862,IF(OR(ISNUMBER(SEARCH("education",P863)),ISNUMBER(SEARCH("exam",P863)),ISNUMBER(SEARCH("school",P863))),"Education",IF(OR(ISNUMBER(SEARCH("trade agreement",P863)),ISNUMBER(SEARCH("economic",P863)),ISNUMBER(SEARCH("import",P863))),"Trade &amp; economic policy",IF(OR(ISNUMBER(SEARCH("land acquisition",P863)),ISNUMBER(SEARCH("rehabilitation",P863)),ISNUMBER(SEARCH("displacement",P863)),ISNUMBER(SEARCH("township",P863))),"Land &amp; rehabilitation",IF(OR(ISNUMBER(SEARCH("forest",P863)),ISNUMBER(SEARCH("environment",P863)),ISNUMBER(SEARCH("ecological",P863)),ISNUMBER(SEARCH("biodiversity",P863)),ISNUMBER(SEARCH("green cover",P863))),"Environment",IF(OR(ISNUMBER(SEARCH("irrigation",P863)),ISNUMBER(SEARCH("water",P863)),ISNUMBER(SEARCH("crop",P863)),ISNUMBER(SEARCH("farmer",P863)),ISNUMBER(SEARCH("agriculture",P863))),"Agriculture &amp; water",IF(OR(ISNUMBER(SEARCH("health",P863)),ISNUMBER(SEARCH("hospital",P863)),ISNUMBER(SEARCH("medicine",P863))),"Public health",IF(OR(ISNUMBER(SEARCH("employee",P863)),ISNUMBER(SEARCH("labour",P863)),ISNUMBER(SEARCH("worker",P863)),ISNUMBER(SEARCH("salary",P863))),"Labour &amp; employment",IF(OR(ISNUMBER(SEARCH("rti",P863)),ISNUMBER(SEARCH("transparency",P863)),ISNUMBER(SEARCH("corruption",P863)),ISNUMBER(SEARCH("governance",P863))),"Governance &amp; transparency",IF(OR(ISNUMBER(SEARCH("police",P863)),ISNUMBER(SEARCH("detention",P863)),ISNUMBER(SEARCH("civil rights",P863)),ISNUMBER(SEARCH("justice",P863))),"Civil rights &amp; justice",IF(OR(ISNUMBER(SEARCH("road",P863)),ISNUMBER(SEARCH("utility",P863)),ISNUMBER(SEARCH("infrastructure",P863)),ISNUMBER(SEARCH("public service",P863))),"Infrastructure &amp; public services","Other"))))))))))))</x:f>
      </x:c>
      <x:c r="J863" s="16" t="str">
        <x:f>IF(A863="","",IF(OR(ISNUMBER(SEARCH("fatal",Q863)),ISNUMBER(SEARCH("death",Q863)),ISNUMBER(SEARCH("riot",Q863)),ISNUMBER(SEARCH("curfew",Q863)),ISNUMBER(SEARCH("internet shutdown",Q863))),5,MIN(4,1+IF(H863&gt;=7,1,0)+IF(OR(ISNUMBER(SEARCH("hunger strike",Q863)),ISNUMBER(SEARCH("blockade",Q863)),ISNUMBER(SEARCH("strike",Q863)),ISNUMBER(SEARCH("jal satyagraha",Q863)),ISNUMBER(SEARCH("survey",Q863)),ISNUMBER(SEARCH("human chain",Q863)),ISNUMBER(SEARCH("march",Q863))),1,0)+IF(OR(ISNUMBER(SEARCH("fir",Q863)),ISNUMBER(SEARCH("confrontation",Q863)),ISNUMBER(SEARCH("violence",Q863)),ISNUMBER(SEARCH("detention",Q863)),ISNUMBER(SEARCH("arrest",Q863)),ISNUMBER(SEARCH("demolition",Q863)),ISNUMBER(SEARCH("injury",Q863))),1,0)+IF(OR(D863="Ongoing",D863="Unresolved"),1,0))))</x:f>
      </x:c>
      <x:c r="K863" s="16" t="str">
        <x:f>IF(J863="","",IF(J863=1,"Limited",IF(J863=2,"Local",IF(J863=3,"Significant",IF(J863=4,"High","Critical")))))</x:f>
      </x:c>
      <x:c r="L863" s="16" t="str">
        <x:f>IF(A863="","",Events!U862)</x:f>
      </x:c>
      <x:c r="M863" s="16" t="str">
        <x:f>IF(A863="","",Events!V862)</x:f>
      </x:c>
      <x:c r="N863" s="16" t="str">
        <x:f>IF(A863="","",Events!Q862)</x:f>
      </x:c>
      <x:c r="O863" s="16" t="str">
        <x:f>IF(A863="","",Events!R862)</x:f>
      </x:c>
      <x:c r="P863" s="16" t="str">
        <x:f>IF(A863="","",LOWER(Events!B862&amp;" "&amp;Events!D862&amp;" "&amp;Events!K862))</x:f>
      </x:c>
      <x:c r="Q863" s="16" t="str">
        <x:f>IF(A863="","",LOWER(Events!C862&amp;" "&amp;Events!K862&amp;" "&amp;Events!T862))</x:f>
      </x:c>
      <x:c r="R863" s="16" t="str">
        <x:f>IF(A863="","",IF(ISNUMBER(SEARCH("Occurrence verified",E863)),"Occurrence verified",E863))</x:f>
      </x:c>
      <x:c r="S863" s="79" t="str">
        <x:f>IF(A863="","",Events!X862)</x:f>
      </x:c>
      <x:c r="Z863" s="79" t="str">
        <x:f>IF(A863="","",Events!AD862)</x:f>
      </x:c>
      <x:c r="AA863" s="79" t="str">
        <x:f>IF(A863="","",Events!AE862)</x:f>
      </x:c>
    </x:row>
    <x:row r="864">
      <x:c r="A864" s="16" t="str">
        <x:f>IF(Events!A863="","",Events!A863)</x:f>
      </x:c>
      <x:c r="B864" s="16" t="str">
        <x:f>IF(A864="","",Events!B863)</x:f>
      </x:c>
      <x:c r="C864" s="16" t="str">
        <x:f>IF(A864="","",Events!E863)</x:f>
      </x:c>
      <x:c r="D864" s="16" t="str">
        <x:f>IF(A864="","",Events!J863)</x:f>
      </x:c>
      <x:c r="E864" s="16" t="str">
        <x:f>IF(A864="","",Events!N863)</x:f>
      </x:c>
      <x:c r="F864" s="109" t="str">
        <x:f>IF(OR(A864="",Events!H863=""),"",Events!H863)</x:f>
      </x:c>
      <x:c r="G864" s="109" t="str">
        <x:f>IF(A864="","",IF(Events!I863&lt;&gt;"",Events!I863,IF(Events!S863&lt;&gt;"",Events!S863,"")))</x:f>
      </x:c>
      <x:c r="H864" s="16" t="str">
        <x:f>IF(A864="","",Events!W863)</x:f>
      </x:c>
      <x:c r="I864" s="16" t="str">
        <x:f>IF(A864="","",IF(Events!Y863&lt;&gt;"",Events!Y863,IF(OR(ISNUMBER(SEARCH("education",P864)),ISNUMBER(SEARCH("exam",P864)),ISNUMBER(SEARCH("school",P864))),"Education",IF(OR(ISNUMBER(SEARCH("trade agreement",P864)),ISNUMBER(SEARCH("economic",P864)),ISNUMBER(SEARCH("import",P864))),"Trade &amp; economic policy",IF(OR(ISNUMBER(SEARCH("land acquisition",P864)),ISNUMBER(SEARCH("rehabilitation",P864)),ISNUMBER(SEARCH("displacement",P864)),ISNUMBER(SEARCH("township",P864))),"Land &amp; rehabilitation",IF(OR(ISNUMBER(SEARCH("forest",P864)),ISNUMBER(SEARCH("environment",P864)),ISNUMBER(SEARCH("ecological",P864)),ISNUMBER(SEARCH("biodiversity",P864)),ISNUMBER(SEARCH("green cover",P864))),"Environment",IF(OR(ISNUMBER(SEARCH("irrigation",P864)),ISNUMBER(SEARCH("water",P864)),ISNUMBER(SEARCH("crop",P864)),ISNUMBER(SEARCH("farmer",P864)),ISNUMBER(SEARCH("agriculture",P864))),"Agriculture &amp; water",IF(OR(ISNUMBER(SEARCH("health",P864)),ISNUMBER(SEARCH("hospital",P864)),ISNUMBER(SEARCH("medicine",P864))),"Public health",IF(OR(ISNUMBER(SEARCH("employee",P864)),ISNUMBER(SEARCH("labour",P864)),ISNUMBER(SEARCH("worker",P864)),ISNUMBER(SEARCH("salary",P864))),"Labour &amp; employment",IF(OR(ISNUMBER(SEARCH("rti",P864)),ISNUMBER(SEARCH("transparency",P864)),ISNUMBER(SEARCH("corruption",P864)),ISNUMBER(SEARCH("governance",P864))),"Governance &amp; transparency",IF(OR(ISNUMBER(SEARCH("police",P864)),ISNUMBER(SEARCH("detention",P864)),ISNUMBER(SEARCH("civil rights",P864)),ISNUMBER(SEARCH("justice",P864))),"Civil rights &amp; justice",IF(OR(ISNUMBER(SEARCH("road",P864)),ISNUMBER(SEARCH("utility",P864)),ISNUMBER(SEARCH("infrastructure",P864)),ISNUMBER(SEARCH("public service",P864))),"Infrastructure &amp; public services","Other"))))))))))))</x:f>
      </x:c>
      <x:c r="J864" s="16" t="str">
        <x:f>IF(A864="","",IF(OR(ISNUMBER(SEARCH("fatal",Q864)),ISNUMBER(SEARCH("death",Q864)),ISNUMBER(SEARCH("riot",Q864)),ISNUMBER(SEARCH("curfew",Q864)),ISNUMBER(SEARCH("internet shutdown",Q864))),5,MIN(4,1+IF(H864&gt;=7,1,0)+IF(OR(ISNUMBER(SEARCH("hunger strike",Q864)),ISNUMBER(SEARCH("blockade",Q864)),ISNUMBER(SEARCH("strike",Q864)),ISNUMBER(SEARCH("jal satyagraha",Q864)),ISNUMBER(SEARCH("survey",Q864)),ISNUMBER(SEARCH("human chain",Q864)),ISNUMBER(SEARCH("march",Q864))),1,0)+IF(OR(ISNUMBER(SEARCH("fir",Q864)),ISNUMBER(SEARCH("confrontation",Q864)),ISNUMBER(SEARCH("violence",Q864)),ISNUMBER(SEARCH("detention",Q864)),ISNUMBER(SEARCH("arrest",Q864)),ISNUMBER(SEARCH("demolition",Q864)),ISNUMBER(SEARCH("injury",Q864))),1,0)+IF(OR(D864="Ongoing",D864="Unresolved"),1,0))))</x:f>
      </x:c>
      <x:c r="K864" s="16" t="str">
        <x:f>IF(J864="","",IF(J864=1,"Limited",IF(J864=2,"Local",IF(J864=3,"Significant",IF(J864=4,"High","Critical")))))</x:f>
      </x:c>
      <x:c r="L864" s="16" t="str">
        <x:f>IF(A864="","",Events!U863)</x:f>
      </x:c>
      <x:c r="M864" s="16" t="str">
        <x:f>IF(A864="","",Events!V863)</x:f>
      </x:c>
      <x:c r="N864" s="16" t="str">
        <x:f>IF(A864="","",Events!Q863)</x:f>
      </x:c>
      <x:c r="O864" s="16" t="str">
        <x:f>IF(A864="","",Events!R863)</x:f>
      </x:c>
      <x:c r="P864" s="16" t="str">
        <x:f>IF(A864="","",LOWER(Events!B863&amp;" "&amp;Events!D863&amp;" "&amp;Events!K863))</x:f>
      </x:c>
      <x:c r="Q864" s="16" t="str">
        <x:f>IF(A864="","",LOWER(Events!C863&amp;" "&amp;Events!K863&amp;" "&amp;Events!T863))</x:f>
      </x:c>
      <x:c r="R864" s="16" t="str">
        <x:f>IF(A864="","",IF(ISNUMBER(SEARCH("Occurrence verified",E864)),"Occurrence verified",E864))</x:f>
      </x:c>
      <x:c r="S864" s="79" t="str">
        <x:f>IF(A864="","",Events!X863)</x:f>
      </x:c>
      <x:c r="Z864" s="79" t="str">
        <x:f>IF(A864="","",Events!AD863)</x:f>
      </x:c>
      <x:c r="AA864" s="79" t="str">
        <x:f>IF(A864="","",Events!AE863)</x:f>
      </x:c>
    </x:row>
    <x:row r="865">
      <x:c r="A865" s="16" t="str">
        <x:f>IF(Events!A864="","",Events!A864)</x:f>
      </x:c>
      <x:c r="B865" s="16" t="str">
        <x:f>IF(A865="","",Events!B864)</x:f>
      </x:c>
      <x:c r="C865" s="16" t="str">
        <x:f>IF(A865="","",Events!E864)</x:f>
      </x:c>
      <x:c r="D865" s="16" t="str">
        <x:f>IF(A865="","",Events!J864)</x:f>
      </x:c>
      <x:c r="E865" s="16" t="str">
        <x:f>IF(A865="","",Events!N864)</x:f>
      </x:c>
      <x:c r="F865" s="109" t="str">
        <x:f>IF(OR(A865="",Events!H864=""),"",Events!H864)</x:f>
      </x:c>
      <x:c r="G865" s="109" t="str">
        <x:f>IF(A865="","",IF(Events!I864&lt;&gt;"",Events!I864,IF(Events!S864&lt;&gt;"",Events!S864,"")))</x:f>
      </x:c>
      <x:c r="H865" s="16" t="str">
        <x:f>IF(A865="","",Events!W864)</x:f>
      </x:c>
      <x:c r="I865" s="16" t="str">
        <x:f>IF(A865="","",IF(Events!Y864&lt;&gt;"",Events!Y864,IF(OR(ISNUMBER(SEARCH("education",P865)),ISNUMBER(SEARCH("exam",P865)),ISNUMBER(SEARCH("school",P865))),"Education",IF(OR(ISNUMBER(SEARCH("trade agreement",P865)),ISNUMBER(SEARCH("economic",P865)),ISNUMBER(SEARCH("import",P865))),"Trade &amp; economic policy",IF(OR(ISNUMBER(SEARCH("land acquisition",P865)),ISNUMBER(SEARCH("rehabilitation",P865)),ISNUMBER(SEARCH("displacement",P865)),ISNUMBER(SEARCH("township",P865))),"Land &amp; rehabilitation",IF(OR(ISNUMBER(SEARCH("forest",P865)),ISNUMBER(SEARCH("environment",P865)),ISNUMBER(SEARCH("ecological",P865)),ISNUMBER(SEARCH("biodiversity",P865)),ISNUMBER(SEARCH("green cover",P865))),"Environment",IF(OR(ISNUMBER(SEARCH("irrigation",P865)),ISNUMBER(SEARCH("water",P865)),ISNUMBER(SEARCH("crop",P865)),ISNUMBER(SEARCH("farmer",P865)),ISNUMBER(SEARCH("agriculture",P865))),"Agriculture &amp; water",IF(OR(ISNUMBER(SEARCH("health",P865)),ISNUMBER(SEARCH("hospital",P865)),ISNUMBER(SEARCH("medicine",P865))),"Public health",IF(OR(ISNUMBER(SEARCH("employee",P865)),ISNUMBER(SEARCH("labour",P865)),ISNUMBER(SEARCH("worker",P865)),ISNUMBER(SEARCH("salary",P865))),"Labour &amp; employment",IF(OR(ISNUMBER(SEARCH("rti",P865)),ISNUMBER(SEARCH("transparency",P865)),ISNUMBER(SEARCH("corruption",P865)),ISNUMBER(SEARCH("governance",P865))),"Governance &amp; transparency",IF(OR(ISNUMBER(SEARCH("police",P865)),ISNUMBER(SEARCH("detention",P865)),ISNUMBER(SEARCH("civil rights",P865)),ISNUMBER(SEARCH("justice",P865))),"Civil rights &amp; justice",IF(OR(ISNUMBER(SEARCH("road",P865)),ISNUMBER(SEARCH("utility",P865)),ISNUMBER(SEARCH("infrastructure",P865)),ISNUMBER(SEARCH("public service",P865))),"Infrastructure &amp; public services","Other"))))))))))))</x:f>
      </x:c>
      <x:c r="J865" s="16" t="str">
        <x:f>IF(A865="","",IF(OR(ISNUMBER(SEARCH("fatal",Q865)),ISNUMBER(SEARCH("death",Q865)),ISNUMBER(SEARCH("riot",Q865)),ISNUMBER(SEARCH("curfew",Q865)),ISNUMBER(SEARCH("internet shutdown",Q865))),5,MIN(4,1+IF(H865&gt;=7,1,0)+IF(OR(ISNUMBER(SEARCH("hunger strike",Q865)),ISNUMBER(SEARCH("blockade",Q865)),ISNUMBER(SEARCH("strike",Q865)),ISNUMBER(SEARCH("jal satyagraha",Q865)),ISNUMBER(SEARCH("survey",Q865)),ISNUMBER(SEARCH("human chain",Q865)),ISNUMBER(SEARCH("march",Q865))),1,0)+IF(OR(ISNUMBER(SEARCH("fir",Q865)),ISNUMBER(SEARCH("confrontation",Q865)),ISNUMBER(SEARCH("violence",Q865)),ISNUMBER(SEARCH("detention",Q865)),ISNUMBER(SEARCH("arrest",Q865)),ISNUMBER(SEARCH("demolition",Q865)),ISNUMBER(SEARCH("injury",Q865))),1,0)+IF(OR(D865="Ongoing",D865="Unresolved"),1,0))))</x:f>
      </x:c>
      <x:c r="K865" s="16" t="str">
        <x:f>IF(J865="","",IF(J865=1,"Limited",IF(J865=2,"Local",IF(J865=3,"Significant",IF(J865=4,"High","Critical")))))</x:f>
      </x:c>
      <x:c r="L865" s="16" t="str">
        <x:f>IF(A865="","",Events!U864)</x:f>
      </x:c>
      <x:c r="M865" s="16" t="str">
        <x:f>IF(A865="","",Events!V864)</x:f>
      </x:c>
      <x:c r="N865" s="16" t="str">
        <x:f>IF(A865="","",Events!Q864)</x:f>
      </x:c>
      <x:c r="O865" s="16" t="str">
        <x:f>IF(A865="","",Events!R864)</x:f>
      </x:c>
      <x:c r="P865" s="16" t="str">
        <x:f>IF(A865="","",LOWER(Events!B864&amp;" "&amp;Events!D864&amp;" "&amp;Events!K864))</x:f>
      </x:c>
      <x:c r="Q865" s="16" t="str">
        <x:f>IF(A865="","",LOWER(Events!C864&amp;" "&amp;Events!K864&amp;" "&amp;Events!T864))</x:f>
      </x:c>
      <x:c r="R865" s="16" t="str">
        <x:f>IF(A865="","",IF(ISNUMBER(SEARCH("Occurrence verified",E865)),"Occurrence verified",E865))</x:f>
      </x:c>
      <x:c r="S865" s="79" t="str">
        <x:f>IF(A865="","",Events!X864)</x:f>
      </x:c>
      <x:c r="Z865" s="79" t="str">
        <x:f>IF(A865="","",Events!AD864)</x:f>
      </x:c>
      <x:c r="AA865" s="79" t="str">
        <x:f>IF(A865="","",Events!AE864)</x:f>
      </x:c>
    </x:row>
    <x:row r="866">
      <x:c r="A866" s="16" t="str">
        <x:f>IF(Events!A865="","",Events!A865)</x:f>
      </x:c>
      <x:c r="B866" s="16" t="str">
        <x:f>IF(A866="","",Events!B865)</x:f>
      </x:c>
      <x:c r="C866" s="16" t="str">
        <x:f>IF(A866="","",Events!E865)</x:f>
      </x:c>
      <x:c r="D866" s="16" t="str">
        <x:f>IF(A866="","",Events!J865)</x:f>
      </x:c>
      <x:c r="E866" s="16" t="str">
        <x:f>IF(A866="","",Events!N865)</x:f>
      </x:c>
      <x:c r="F866" s="109" t="str">
        <x:f>IF(OR(A866="",Events!H865=""),"",Events!H865)</x:f>
      </x:c>
      <x:c r="G866" s="109" t="str">
        <x:f>IF(A866="","",IF(Events!I865&lt;&gt;"",Events!I865,IF(Events!S865&lt;&gt;"",Events!S865,"")))</x:f>
      </x:c>
      <x:c r="H866" s="16" t="str">
        <x:f>IF(A866="","",Events!W865)</x:f>
      </x:c>
      <x:c r="I866" s="16" t="str">
        <x:f>IF(A866="","",IF(Events!Y865&lt;&gt;"",Events!Y865,IF(OR(ISNUMBER(SEARCH("education",P866)),ISNUMBER(SEARCH("exam",P866)),ISNUMBER(SEARCH("school",P866))),"Education",IF(OR(ISNUMBER(SEARCH("trade agreement",P866)),ISNUMBER(SEARCH("economic",P866)),ISNUMBER(SEARCH("import",P866))),"Trade &amp; economic policy",IF(OR(ISNUMBER(SEARCH("land acquisition",P866)),ISNUMBER(SEARCH("rehabilitation",P866)),ISNUMBER(SEARCH("displacement",P866)),ISNUMBER(SEARCH("township",P866))),"Land &amp; rehabilitation",IF(OR(ISNUMBER(SEARCH("forest",P866)),ISNUMBER(SEARCH("environment",P866)),ISNUMBER(SEARCH("ecological",P866)),ISNUMBER(SEARCH("biodiversity",P866)),ISNUMBER(SEARCH("green cover",P866))),"Environment",IF(OR(ISNUMBER(SEARCH("irrigation",P866)),ISNUMBER(SEARCH("water",P866)),ISNUMBER(SEARCH("crop",P866)),ISNUMBER(SEARCH("farmer",P866)),ISNUMBER(SEARCH("agriculture",P866))),"Agriculture &amp; water",IF(OR(ISNUMBER(SEARCH("health",P866)),ISNUMBER(SEARCH("hospital",P866)),ISNUMBER(SEARCH("medicine",P866))),"Public health",IF(OR(ISNUMBER(SEARCH("employee",P866)),ISNUMBER(SEARCH("labour",P866)),ISNUMBER(SEARCH("worker",P866)),ISNUMBER(SEARCH("salary",P866))),"Labour &amp; employment",IF(OR(ISNUMBER(SEARCH("rti",P866)),ISNUMBER(SEARCH("transparency",P866)),ISNUMBER(SEARCH("corruption",P866)),ISNUMBER(SEARCH("governance",P866))),"Governance &amp; transparency",IF(OR(ISNUMBER(SEARCH("police",P866)),ISNUMBER(SEARCH("detention",P866)),ISNUMBER(SEARCH("civil rights",P866)),ISNUMBER(SEARCH("justice",P866))),"Civil rights &amp; justice",IF(OR(ISNUMBER(SEARCH("road",P866)),ISNUMBER(SEARCH("utility",P866)),ISNUMBER(SEARCH("infrastructure",P866)),ISNUMBER(SEARCH("public service",P866))),"Infrastructure &amp; public services","Other"))))))))))))</x:f>
      </x:c>
      <x:c r="J866" s="16" t="str">
        <x:f>IF(A866="","",IF(OR(ISNUMBER(SEARCH("fatal",Q866)),ISNUMBER(SEARCH("death",Q866)),ISNUMBER(SEARCH("riot",Q866)),ISNUMBER(SEARCH("curfew",Q866)),ISNUMBER(SEARCH("internet shutdown",Q866))),5,MIN(4,1+IF(H866&gt;=7,1,0)+IF(OR(ISNUMBER(SEARCH("hunger strike",Q866)),ISNUMBER(SEARCH("blockade",Q866)),ISNUMBER(SEARCH("strike",Q866)),ISNUMBER(SEARCH("jal satyagraha",Q866)),ISNUMBER(SEARCH("survey",Q866)),ISNUMBER(SEARCH("human chain",Q866)),ISNUMBER(SEARCH("march",Q866))),1,0)+IF(OR(ISNUMBER(SEARCH("fir",Q866)),ISNUMBER(SEARCH("confrontation",Q866)),ISNUMBER(SEARCH("violence",Q866)),ISNUMBER(SEARCH("detention",Q866)),ISNUMBER(SEARCH("arrest",Q866)),ISNUMBER(SEARCH("demolition",Q866)),ISNUMBER(SEARCH("injury",Q866))),1,0)+IF(OR(D866="Ongoing",D866="Unresolved"),1,0))))</x:f>
      </x:c>
      <x:c r="K866" s="16" t="str">
        <x:f>IF(J866="","",IF(J866=1,"Limited",IF(J866=2,"Local",IF(J866=3,"Significant",IF(J866=4,"High","Critical")))))</x:f>
      </x:c>
      <x:c r="L866" s="16" t="str">
        <x:f>IF(A866="","",Events!U865)</x:f>
      </x:c>
      <x:c r="M866" s="16" t="str">
        <x:f>IF(A866="","",Events!V865)</x:f>
      </x:c>
      <x:c r="N866" s="16" t="str">
        <x:f>IF(A866="","",Events!Q865)</x:f>
      </x:c>
      <x:c r="O866" s="16" t="str">
        <x:f>IF(A866="","",Events!R865)</x:f>
      </x:c>
      <x:c r="P866" s="16" t="str">
        <x:f>IF(A866="","",LOWER(Events!B865&amp;" "&amp;Events!D865&amp;" "&amp;Events!K865))</x:f>
      </x:c>
      <x:c r="Q866" s="16" t="str">
        <x:f>IF(A866="","",LOWER(Events!C865&amp;" "&amp;Events!K865&amp;" "&amp;Events!T865))</x:f>
      </x:c>
      <x:c r="R866" s="16" t="str">
        <x:f>IF(A866="","",IF(ISNUMBER(SEARCH("Occurrence verified",E866)),"Occurrence verified",E866))</x:f>
      </x:c>
      <x:c r="S866" s="79" t="str">
        <x:f>IF(A866="","",Events!X865)</x:f>
      </x:c>
      <x:c r="Z866" s="79" t="str">
        <x:f>IF(A866="","",Events!AD865)</x:f>
      </x:c>
      <x:c r="AA866" s="79" t="str">
        <x:f>IF(A866="","",Events!AE865)</x:f>
      </x:c>
    </x:row>
    <x:row r="867">
      <x:c r="A867" s="16" t="str">
        <x:f>IF(Events!A866="","",Events!A866)</x:f>
      </x:c>
      <x:c r="B867" s="16" t="str">
        <x:f>IF(A867="","",Events!B866)</x:f>
      </x:c>
      <x:c r="C867" s="16" t="str">
        <x:f>IF(A867="","",Events!E866)</x:f>
      </x:c>
      <x:c r="D867" s="16" t="str">
        <x:f>IF(A867="","",Events!J866)</x:f>
      </x:c>
      <x:c r="E867" s="16" t="str">
        <x:f>IF(A867="","",Events!N866)</x:f>
      </x:c>
      <x:c r="F867" s="109" t="str">
        <x:f>IF(OR(A867="",Events!H866=""),"",Events!H866)</x:f>
      </x:c>
      <x:c r="G867" s="109" t="str">
        <x:f>IF(A867="","",IF(Events!I866&lt;&gt;"",Events!I866,IF(Events!S866&lt;&gt;"",Events!S866,"")))</x:f>
      </x:c>
      <x:c r="H867" s="16" t="str">
        <x:f>IF(A867="","",Events!W866)</x:f>
      </x:c>
      <x:c r="I867" s="16" t="str">
        <x:f>IF(A867="","",IF(Events!Y866&lt;&gt;"",Events!Y866,IF(OR(ISNUMBER(SEARCH("education",P867)),ISNUMBER(SEARCH("exam",P867)),ISNUMBER(SEARCH("school",P867))),"Education",IF(OR(ISNUMBER(SEARCH("trade agreement",P867)),ISNUMBER(SEARCH("economic",P867)),ISNUMBER(SEARCH("import",P867))),"Trade &amp; economic policy",IF(OR(ISNUMBER(SEARCH("land acquisition",P867)),ISNUMBER(SEARCH("rehabilitation",P867)),ISNUMBER(SEARCH("displacement",P867)),ISNUMBER(SEARCH("township",P867))),"Land &amp; rehabilitation",IF(OR(ISNUMBER(SEARCH("forest",P867)),ISNUMBER(SEARCH("environment",P867)),ISNUMBER(SEARCH("ecological",P867)),ISNUMBER(SEARCH("biodiversity",P867)),ISNUMBER(SEARCH("green cover",P867))),"Environment",IF(OR(ISNUMBER(SEARCH("irrigation",P867)),ISNUMBER(SEARCH("water",P867)),ISNUMBER(SEARCH("crop",P867)),ISNUMBER(SEARCH("farmer",P867)),ISNUMBER(SEARCH("agriculture",P867))),"Agriculture &amp; water",IF(OR(ISNUMBER(SEARCH("health",P867)),ISNUMBER(SEARCH("hospital",P867)),ISNUMBER(SEARCH("medicine",P867))),"Public health",IF(OR(ISNUMBER(SEARCH("employee",P867)),ISNUMBER(SEARCH("labour",P867)),ISNUMBER(SEARCH("worker",P867)),ISNUMBER(SEARCH("salary",P867))),"Labour &amp; employment",IF(OR(ISNUMBER(SEARCH("rti",P867)),ISNUMBER(SEARCH("transparency",P867)),ISNUMBER(SEARCH("corruption",P867)),ISNUMBER(SEARCH("governance",P867))),"Governance &amp; transparency",IF(OR(ISNUMBER(SEARCH("police",P867)),ISNUMBER(SEARCH("detention",P867)),ISNUMBER(SEARCH("civil rights",P867)),ISNUMBER(SEARCH("justice",P867))),"Civil rights &amp; justice",IF(OR(ISNUMBER(SEARCH("road",P867)),ISNUMBER(SEARCH("utility",P867)),ISNUMBER(SEARCH("infrastructure",P867)),ISNUMBER(SEARCH("public service",P867))),"Infrastructure &amp; public services","Other"))))))))))))</x:f>
      </x:c>
      <x:c r="J867" s="16" t="str">
        <x:f>IF(A867="","",IF(OR(ISNUMBER(SEARCH("fatal",Q867)),ISNUMBER(SEARCH("death",Q867)),ISNUMBER(SEARCH("riot",Q867)),ISNUMBER(SEARCH("curfew",Q867)),ISNUMBER(SEARCH("internet shutdown",Q867))),5,MIN(4,1+IF(H867&gt;=7,1,0)+IF(OR(ISNUMBER(SEARCH("hunger strike",Q867)),ISNUMBER(SEARCH("blockade",Q867)),ISNUMBER(SEARCH("strike",Q867)),ISNUMBER(SEARCH("jal satyagraha",Q867)),ISNUMBER(SEARCH("survey",Q867)),ISNUMBER(SEARCH("human chain",Q867)),ISNUMBER(SEARCH("march",Q867))),1,0)+IF(OR(ISNUMBER(SEARCH("fir",Q867)),ISNUMBER(SEARCH("confrontation",Q867)),ISNUMBER(SEARCH("violence",Q867)),ISNUMBER(SEARCH("detention",Q867)),ISNUMBER(SEARCH("arrest",Q867)),ISNUMBER(SEARCH("demolition",Q867)),ISNUMBER(SEARCH("injury",Q867))),1,0)+IF(OR(D867="Ongoing",D867="Unresolved"),1,0))))</x:f>
      </x:c>
      <x:c r="K867" s="16" t="str">
        <x:f>IF(J867="","",IF(J867=1,"Limited",IF(J867=2,"Local",IF(J867=3,"Significant",IF(J867=4,"High","Critical")))))</x:f>
      </x:c>
      <x:c r="L867" s="16" t="str">
        <x:f>IF(A867="","",Events!U866)</x:f>
      </x:c>
      <x:c r="M867" s="16" t="str">
        <x:f>IF(A867="","",Events!V866)</x:f>
      </x:c>
      <x:c r="N867" s="16" t="str">
        <x:f>IF(A867="","",Events!Q866)</x:f>
      </x:c>
      <x:c r="O867" s="16" t="str">
        <x:f>IF(A867="","",Events!R866)</x:f>
      </x:c>
      <x:c r="P867" s="16" t="str">
        <x:f>IF(A867="","",LOWER(Events!B866&amp;" "&amp;Events!D866&amp;" "&amp;Events!K866))</x:f>
      </x:c>
      <x:c r="Q867" s="16" t="str">
        <x:f>IF(A867="","",LOWER(Events!C866&amp;" "&amp;Events!K866&amp;" "&amp;Events!T866))</x:f>
      </x:c>
      <x:c r="R867" s="16" t="str">
        <x:f>IF(A867="","",IF(ISNUMBER(SEARCH("Occurrence verified",E867)),"Occurrence verified",E867))</x:f>
      </x:c>
      <x:c r="S867" s="79" t="str">
        <x:f>IF(A867="","",Events!X866)</x:f>
      </x:c>
      <x:c r="Z867" s="79" t="str">
        <x:f>IF(A867="","",Events!AD866)</x:f>
      </x:c>
      <x:c r="AA867" s="79" t="str">
        <x:f>IF(A867="","",Events!AE866)</x:f>
      </x:c>
    </x:row>
    <x:row r="868">
      <x:c r="A868" s="16" t="str">
        <x:f>IF(Events!A867="","",Events!A867)</x:f>
      </x:c>
      <x:c r="B868" s="16" t="str">
        <x:f>IF(A868="","",Events!B867)</x:f>
      </x:c>
      <x:c r="C868" s="16" t="str">
        <x:f>IF(A868="","",Events!E867)</x:f>
      </x:c>
      <x:c r="D868" s="16" t="str">
        <x:f>IF(A868="","",Events!J867)</x:f>
      </x:c>
      <x:c r="E868" s="16" t="str">
        <x:f>IF(A868="","",Events!N867)</x:f>
      </x:c>
      <x:c r="F868" s="109" t="str">
        <x:f>IF(OR(A868="",Events!H867=""),"",Events!H867)</x:f>
      </x:c>
      <x:c r="G868" s="109" t="str">
        <x:f>IF(A868="","",IF(Events!I867&lt;&gt;"",Events!I867,IF(Events!S867&lt;&gt;"",Events!S867,"")))</x:f>
      </x:c>
      <x:c r="H868" s="16" t="str">
        <x:f>IF(A868="","",Events!W867)</x:f>
      </x:c>
      <x:c r="I868" s="16" t="str">
        <x:f>IF(A868="","",IF(Events!Y867&lt;&gt;"",Events!Y867,IF(OR(ISNUMBER(SEARCH("education",P868)),ISNUMBER(SEARCH("exam",P868)),ISNUMBER(SEARCH("school",P868))),"Education",IF(OR(ISNUMBER(SEARCH("trade agreement",P868)),ISNUMBER(SEARCH("economic",P868)),ISNUMBER(SEARCH("import",P868))),"Trade &amp; economic policy",IF(OR(ISNUMBER(SEARCH("land acquisition",P868)),ISNUMBER(SEARCH("rehabilitation",P868)),ISNUMBER(SEARCH("displacement",P868)),ISNUMBER(SEARCH("township",P868))),"Land &amp; rehabilitation",IF(OR(ISNUMBER(SEARCH("forest",P868)),ISNUMBER(SEARCH("environment",P868)),ISNUMBER(SEARCH("ecological",P868)),ISNUMBER(SEARCH("biodiversity",P868)),ISNUMBER(SEARCH("green cover",P868))),"Environment",IF(OR(ISNUMBER(SEARCH("irrigation",P868)),ISNUMBER(SEARCH("water",P868)),ISNUMBER(SEARCH("crop",P868)),ISNUMBER(SEARCH("farmer",P868)),ISNUMBER(SEARCH("agriculture",P868))),"Agriculture &amp; water",IF(OR(ISNUMBER(SEARCH("health",P868)),ISNUMBER(SEARCH("hospital",P868)),ISNUMBER(SEARCH("medicine",P868))),"Public health",IF(OR(ISNUMBER(SEARCH("employee",P868)),ISNUMBER(SEARCH("labour",P868)),ISNUMBER(SEARCH("worker",P868)),ISNUMBER(SEARCH("salary",P868))),"Labour &amp; employment",IF(OR(ISNUMBER(SEARCH("rti",P868)),ISNUMBER(SEARCH("transparency",P868)),ISNUMBER(SEARCH("corruption",P868)),ISNUMBER(SEARCH("governance",P868))),"Governance &amp; transparency",IF(OR(ISNUMBER(SEARCH("police",P868)),ISNUMBER(SEARCH("detention",P868)),ISNUMBER(SEARCH("civil rights",P868)),ISNUMBER(SEARCH("justice",P868))),"Civil rights &amp; justice",IF(OR(ISNUMBER(SEARCH("road",P868)),ISNUMBER(SEARCH("utility",P868)),ISNUMBER(SEARCH("infrastructure",P868)),ISNUMBER(SEARCH("public service",P868))),"Infrastructure &amp; public services","Other"))))))))))))</x:f>
      </x:c>
      <x:c r="J868" s="16" t="str">
        <x:f>IF(A868="","",IF(OR(ISNUMBER(SEARCH("fatal",Q868)),ISNUMBER(SEARCH("death",Q868)),ISNUMBER(SEARCH("riot",Q868)),ISNUMBER(SEARCH("curfew",Q868)),ISNUMBER(SEARCH("internet shutdown",Q868))),5,MIN(4,1+IF(H868&gt;=7,1,0)+IF(OR(ISNUMBER(SEARCH("hunger strike",Q868)),ISNUMBER(SEARCH("blockade",Q868)),ISNUMBER(SEARCH("strike",Q868)),ISNUMBER(SEARCH("jal satyagraha",Q868)),ISNUMBER(SEARCH("survey",Q868)),ISNUMBER(SEARCH("human chain",Q868)),ISNUMBER(SEARCH("march",Q868))),1,0)+IF(OR(ISNUMBER(SEARCH("fir",Q868)),ISNUMBER(SEARCH("confrontation",Q868)),ISNUMBER(SEARCH("violence",Q868)),ISNUMBER(SEARCH("detention",Q868)),ISNUMBER(SEARCH("arrest",Q868)),ISNUMBER(SEARCH("demolition",Q868)),ISNUMBER(SEARCH("injury",Q868))),1,0)+IF(OR(D868="Ongoing",D868="Unresolved"),1,0))))</x:f>
      </x:c>
      <x:c r="K868" s="16" t="str">
        <x:f>IF(J868="","",IF(J868=1,"Limited",IF(J868=2,"Local",IF(J868=3,"Significant",IF(J868=4,"High","Critical")))))</x:f>
      </x:c>
      <x:c r="L868" s="16" t="str">
        <x:f>IF(A868="","",Events!U867)</x:f>
      </x:c>
      <x:c r="M868" s="16" t="str">
        <x:f>IF(A868="","",Events!V867)</x:f>
      </x:c>
      <x:c r="N868" s="16" t="str">
        <x:f>IF(A868="","",Events!Q867)</x:f>
      </x:c>
      <x:c r="O868" s="16" t="str">
        <x:f>IF(A868="","",Events!R867)</x:f>
      </x:c>
      <x:c r="P868" s="16" t="str">
        <x:f>IF(A868="","",LOWER(Events!B867&amp;" "&amp;Events!D867&amp;" "&amp;Events!K867))</x:f>
      </x:c>
      <x:c r="Q868" s="16" t="str">
        <x:f>IF(A868="","",LOWER(Events!C867&amp;" "&amp;Events!K867&amp;" "&amp;Events!T867))</x:f>
      </x:c>
      <x:c r="R868" s="16" t="str">
        <x:f>IF(A868="","",IF(ISNUMBER(SEARCH("Occurrence verified",E868)),"Occurrence verified",E868))</x:f>
      </x:c>
      <x:c r="S868" s="79" t="str">
        <x:f>IF(A868="","",Events!X867)</x:f>
      </x:c>
      <x:c r="Z868" s="79" t="str">
        <x:f>IF(A868="","",Events!AD867)</x:f>
      </x:c>
      <x:c r="AA868" s="79" t="str">
        <x:f>IF(A868="","",Events!AE867)</x:f>
      </x:c>
    </x:row>
    <x:row r="869">
      <x:c r="A869" s="16" t="str">
        <x:f>IF(Events!A868="","",Events!A868)</x:f>
      </x:c>
      <x:c r="B869" s="16" t="str">
        <x:f>IF(A869="","",Events!B868)</x:f>
      </x:c>
      <x:c r="C869" s="16" t="str">
        <x:f>IF(A869="","",Events!E868)</x:f>
      </x:c>
      <x:c r="D869" s="16" t="str">
        <x:f>IF(A869="","",Events!J868)</x:f>
      </x:c>
      <x:c r="E869" s="16" t="str">
        <x:f>IF(A869="","",Events!N868)</x:f>
      </x:c>
      <x:c r="F869" s="109" t="str">
        <x:f>IF(OR(A869="",Events!H868=""),"",Events!H868)</x:f>
      </x:c>
      <x:c r="G869" s="109" t="str">
        <x:f>IF(A869="","",IF(Events!I868&lt;&gt;"",Events!I868,IF(Events!S868&lt;&gt;"",Events!S868,"")))</x:f>
      </x:c>
      <x:c r="H869" s="16" t="str">
        <x:f>IF(A869="","",Events!W868)</x:f>
      </x:c>
      <x:c r="I869" s="16" t="str">
        <x:f>IF(A869="","",IF(Events!Y868&lt;&gt;"",Events!Y868,IF(OR(ISNUMBER(SEARCH("education",P869)),ISNUMBER(SEARCH("exam",P869)),ISNUMBER(SEARCH("school",P869))),"Education",IF(OR(ISNUMBER(SEARCH("trade agreement",P869)),ISNUMBER(SEARCH("economic",P869)),ISNUMBER(SEARCH("import",P869))),"Trade &amp; economic policy",IF(OR(ISNUMBER(SEARCH("land acquisition",P869)),ISNUMBER(SEARCH("rehabilitation",P869)),ISNUMBER(SEARCH("displacement",P869)),ISNUMBER(SEARCH("township",P869))),"Land &amp; rehabilitation",IF(OR(ISNUMBER(SEARCH("forest",P869)),ISNUMBER(SEARCH("environment",P869)),ISNUMBER(SEARCH("ecological",P869)),ISNUMBER(SEARCH("biodiversity",P869)),ISNUMBER(SEARCH("green cover",P869))),"Environment",IF(OR(ISNUMBER(SEARCH("irrigation",P869)),ISNUMBER(SEARCH("water",P869)),ISNUMBER(SEARCH("crop",P869)),ISNUMBER(SEARCH("farmer",P869)),ISNUMBER(SEARCH("agriculture",P869))),"Agriculture &amp; water",IF(OR(ISNUMBER(SEARCH("health",P869)),ISNUMBER(SEARCH("hospital",P869)),ISNUMBER(SEARCH("medicine",P869))),"Public health",IF(OR(ISNUMBER(SEARCH("employee",P869)),ISNUMBER(SEARCH("labour",P869)),ISNUMBER(SEARCH("worker",P869)),ISNUMBER(SEARCH("salary",P869))),"Labour &amp; employment",IF(OR(ISNUMBER(SEARCH("rti",P869)),ISNUMBER(SEARCH("transparency",P869)),ISNUMBER(SEARCH("corruption",P869)),ISNUMBER(SEARCH("governance",P869))),"Governance &amp; transparency",IF(OR(ISNUMBER(SEARCH("police",P869)),ISNUMBER(SEARCH("detention",P869)),ISNUMBER(SEARCH("civil rights",P869)),ISNUMBER(SEARCH("justice",P869))),"Civil rights &amp; justice",IF(OR(ISNUMBER(SEARCH("road",P869)),ISNUMBER(SEARCH("utility",P869)),ISNUMBER(SEARCH("infrastructure",P869)),ISNUMBER(SEARCH("public service",P869))),"Infrastructure &amp; public services","Other"))))))))))))</x:f>
      </x:c>
      <x:c r="J869" s="16" t="str">
        <x:f>IF(A869="","",IF(OR(ISNUMBER(SEARCH("fatal",Q869)),ISNUMBER(SEARCH("death",Q869)),ISNUMBER(SEARCH("riot",Q869)),ISNUMBER(SEARCH("curfew",Q869)),ISNUMBER(SEARCH("internet shutdown",Q869))),5,MIN(4,1+IF(H869&gt;=7,1,0)+IF(OR(ISNUMBER(SEARCH("hunger strike",Q869)),ISNUMBER(SEARCH("blockade",Q869)),ISNUMBER(SEARCH("strike",Q869)),ISNUMBER(SEARCH("jal satyagraha",Q869)),ISNUMBER(SEARCH("survey",Q869)),ISNUMBER(SEARCH("human chain",Q869)),ISNUMBER(SEARCH("march",Q869))),1,0)+IF(OR(ISNUMBER(SEARCH("fir",Q869)),ISNUMBER(SEARCH("confrontation",Q869)),ISNUMBER(SEARCH("violence",Q869)),ISNUMBER(SEARCH("detention",Q869)),ISNUMBER(SEARCH("arrest",Q869)),ISNUMBER(SEARCH("demolition",Q869)),ISNUMBER(SEARCH("injury",Q869))),1,0)+IF(OR(D869="Ongoing",D869="Unresolved"),1,0))))</x:f>
      </x:c>
      <x:c r="K869" s="16" t="str">
        <x:f>IF(J869="","",IF(J869=1,"Limited",IF(J869=2,"Local",IF(J869=3,"Significant",IF(J869=4,"High","Critical")))))</x:f>
      </x:c>
      <x:c r="L869" s="16" t="str">
        <x:f>IF(A869="","",Events!U868)</x:f>
      </x:c>
      <x:c r="M869" s="16" t="str">
        <x:f>IF(A869="","",Events!V868)</x:f>
      </x:c>
      <x:c r="N869" s="16" t="str">
        <x:f>IF(A869="","",Events!Q868)</x:f>
      </x:c>
      <x:c r="O869" s="16" t="str">
        <x:f>IF(A869="","",Events!R868)</x:f>
      </x:c>
      <x:c r="P869" s="16" t="str">
        <x:f>IF(A869="","",LOWER(Events!B868&amp;" "&amp;Events!D868&amp;" "&amp;Events!K868))</x:f>
      </x:c>
      <x:c r="Q869" s="16" t="str">
        <x:f>IF(A869="","",LOWER(Events!C868&amp;" "&amp;Events!K868&amp;" "&amp;Events!T868))</x:f>
      </x:c>
      <x:c r="R869" s="16" t="str">
        <x:f>IF(A869="","",IF(ISNUMBER(SEARCH("Occurrence verified",E869)),"Occurrence verified",E869))</x:f>
      </x:c>
      <x:c r="S869" s="79" t="str">
        <x:f>IF(A869="","",Events!X868)</x:f>
      </x:c>
      <x:c r="Z869" s="79" t="str">
        <x:f>IF(A869="","",Events!AD868)</x:f>
      </x:c>
      <x:c r="AA869" s="79" t="str">
        <x:f>IF(A869="","",Events!AE868)</x:f>
      </x:c>
    </x:row>
    <x:row r="870">
      <x:c r="A870" s="16" t="str">
        <x:f>IF(Events!A869="","",Events!A869)</x:f>
      </x:c>
      <x:c r="B870" s="16" t="str">
        <x:f>IF(A870="","",Events!B869)</x:f>
      </x:c>
      <x:c r="C870" s="16" t="str">
        <x:f>IF(A870="","",Events!E869)</x:f>
      </x:c>
      <x:c r="D870" s="16" t="str">
        <x:f>IF(A870="","",Events!J869)</x:f>
      </x:c>
      <x:c r="E870" s="16" t="str">
        <x:f>IF(A870="","",Events!N869)</x:f>
      </x:c>
      <x:c r="F870" s="109" t="str">
        <x:f>IF(OR(A870="",Events!H869=""),"",Events!H869)</x:f>
      </x:c>
      <x:c r="G870" s="109" t="str">
        <x:f>IF(A870="","",IF(Events!I869&lt;&gt;"",Events!I869,IF(Events!S869&lt;&gt;"",Events!S869,"")))</x:f>
      </x:c>
      <x:c r="H870" s="16" t="str">
        <x:f>IF(A870="","",Events!W869)</x:f>
      </x:c>
      <x:c r="I870" s="16" t="str">
        <x:f>IF(A870="","",IF(Events!Y869&lt;&gt;"",Events!Y869,IF(OR(ISNUMBER(SEARCH("education",P870)),ISNUMBER(SEARCH("exam",P870)),ISNUMBER(SEARCH("school",P870))),"Education",IF(OR(ISNUMBER(SEARCH("trade agreement",P870)),ISNUMBER(SEARCH("economic",P870)),ISNUMBER(SEARCH("import",P870))),"Trade &amp; economic policy",IF(OR(ISNUMBER(SEARCH("land acquisition",P870)),ISNUMBER(SEARCH("rehabilitation",P870)),ISNUMBER(SEARCH("displacement",P870)),ISNUMBER(SEARCH("township",P870))),"Land &amp; rehabilitation",IF(OR(ISNUMBER(SEARCH("forest",P870)),ISNUMBER(SEARCH("environment",P870)),ISNUMBER(SEARCH("ecological",P870)),ISNUMBER(SEARCH("biodiversity",P870)),ISNUMBER(SEARCH("green cover",P870))),"Environment",IF(OR(ISNUMBER(SEARCH("irrigation",P870)),ISNUMBER(SEARCH("water",P870)),ISNUMBER(SEARCH("crop",P870)),ISNUMBER(SEARCH("farmer",P870)),ISNUMBER(SEARCH("agriculture",P870))),"Agriculture &amp; water",IF(OR(ISNUMBER(SEARCH("health",P870)),ISNUMBER(SEARCH("hospital",P870)),ISNUMBER(SEARCH("medicine",P870))),"Public health",IF(OR(ISNUMBER(SEARCH("employee",P870)),ISNUMBER(SEARCH("labour",P870)),ISNUMBER(SEARCH("worker",P870)),ISNUMBER(SEARCH("salary",P870))),"Labour &amp; employment",IF(OR(ISNUMBER(SEARCH("rti",P870)),ISNUMBER(SEARCH("transparency",P870)),ISNUMBER(SEARCH("corruption",P870)),ISNUMBER(SEARCH("governance",P870))),"Governance &amp; transparency",IF(OR(ISNUMBER(SEARCH("police",P870)),ISNUMBER(SEARCH("detention",P870)),ISNUMBER(SEARCH("civil rights",P870)),ISNUMBER(SEARCH("justice",P870))),"Civil rights &amp; justice",IF(OR(ISNUMBER(SEARCH("road",P870)),ISNUMBER(SEARCH("utility",P870)),ISNUMBER(SEARCH("infrastructure",P870)),ISNUMBER(SEARCH("public service",P870))),"Infrastructure &amp; public services","Other"))))))))))))</x:f>
      </x:c>
      <x:c r="J870" s="16" t="str">
        <x:f>IF(A870="","",IF(OR(ISNUMBER(SEARCH("fatal",Q870)),ISNUMBER(SEARCH("death",Q870)),ISNUMBER(SEARCH("riot",Q870)),ISNUMBER(SEARCH("curfew",Q870)),ISNUMBER(SEARCH("internet shutdown",Q870))),5,MIN(4,1+IF(H870&gt;=7,1,0)+IF(OR(ISNUMBER(SEARCH("hunger strike",Q870)),ISNUMBER(SEARCH("blockade",Q870)),ISNUMBER(SEARCH("strike",Q870)),ISNUMBER(SEARCH("jal satyagraha",Q870)),ISNUMBER(SEARCH("survey",Q870)),ISNUMBER(SEARCH("human chain",Q870)),ISNUMBER(SEARCH("march",Q870))),1,0)+IF(OR(ISNUMBER(SEARCH("fir",Q870)),ISNUMBER(SEARCH("confrontation",Q870)),ISNUMBER(SEARCH("violence",Q870)),ISNUMBER(SEARCH("detention",Q870)),ISNUMBER(SEARCH("arrest",Q870)),ISNUMBER(SEARCH("demolition",Q870)),ISNUMBER(SEARCH("injury",Q870))),1,0)+IF(OR(D870="Ongoing",D870="Unresolved"),1,0))))</x:f>
      </x:c>
      <x:c r="K870" s="16" t="str">
        <x:f>IF(J870="","",IF(J870=1,"Limited",IF(J870=2,"Local",IF(J870=3,"Significant",IF(J870=4,"High","Critical")))))</x:f>
      </x:c>
      <x:c r="L870" s="16" t="str">
        <x:f>IF(A870="","",Events!U869)</x:f>
      </x:c>
      <x:c r="M870" s="16" t="str">
        <x:f>IF(A870="","",Events!V869)</x:f>
      </x:c>
      <x:c r="N870" s="16" t="str">
        <x:f>IF(A870="","",Events!Q869)</x:f>
      </x:c>
      <x:c r="O870" s="16" t="str">
        <x:f>IF(A870="","",Events!R869)</x:f>
      </x:c>
      <x:c r="P870" s="16" t="str">
        <x:f>IF(A870="","",LOWER(Events!B869&amp;" "&amp;Events!D869&amp;" "&amp;Events!K869))</x:f>
      </x:c>
      <x:c r="Q870" s="16" t="str">
        <x:f>IF(A870="","",LOWER(Events!C869&amp;" "&amp;Events!K869&amp;" "&amp;Events!T869))</x:f>
      </x:c>
      <x:c r="R870" s="16" t="str">
        <x:f>IF(A870="","",IF(ISNUMBER(SEARCH("Occurrence verified",E870)),"Occurrence verified",E870))</x:f>
      </x:c>
      <x:c r="S870" s="79" t="str">
        <x:f>IF(A870="","",Events!X869)</x:f>
      </x:c>
      <x:c r="Z870" s="79" t="str">
        <x:f>IF(A870="","",Events!AD869)</x:f>
      </x:c>
      <x:c r="AA870" s="79" t="str">
        <x:f>IF(A870="","",Events!AE869)</x:f>
      </x:c>
    </x:row>
    <x:row r="871">
      <x:c r="A871" s="16" t="str">
        <x:f>IF(Events!A870="","",Events!A870)</x:f>
      </x:c>
      <x:c r="B871" s="16" t="str">
        <x:f>IF(A871="","",Events!B870)</x:f>
      </x:c>
      <x:c r="C871" s="16" t="str">
        <x:f>IF(A871="","",Events!E870)</x:f>
      </x:c>
      <x:c r="D871" s="16" t="str">
        <x:f>IF(A871="","",Events!J870)</x:f>
      </x:c>
      <x:c r="E871" s="16" t="str">
        <x:f>IF(A871="","",Events!N870)</x:f>
      </x:c>
      <x:c r="F871" s="109" t="str">
        <x:f>IF(OR(A871="",Events!H870=""),"",Events!H870)</x:f>
      </x:c>
      <x:c r="G871" s="109" t="str">
        <x:f>IF(A871="","",IF(Events!I870&lt;&gt;"",Events!I870,IF(Events!S870&lt;&gt;"",Events!S870,"")))</x:f>
      </x:c>
      <x:c r="H871" s="16" t="str">
        <x:f>IF(A871="","",Events!W870)</x:f>
      </x:c>
      <x:c r="I871" s="16" t="str">
        <x:f>IF(A871="","",IF(Events!Y870&lt;&gt;"",Events!Y870,IF(OR(ISNUMBER(SEARCH("education",P871)),ISNUMBER(SEARCH("exam",P871)),ISNUMBER(SEARCH("school",P871))),"Education",IF(OR(ISNUMBER(SEARCH("trade agreement",P871)),ISNUMBER(SEARCH("economic",P871)),ISNUMBER(SEARCH("import",P871))),"Trade &amp; economic policy",IF(OR(ISNUMBER(SEARCH("land acquisition",P871)),ISNUMBER(SEARCH("rehabilitation",P871)),ISNUMBER(SEARCH("displacement",P871)),ISNUMBER(SEARCH("township",P871))),"Land &amp; rehabilitation",IF(OR(ISNUMBER(SEARCH("forest",P871)),ISNUMBER(SEARCH("environment",P871)),ISNUMBER(SEARCH("ecological",P871)),ISNUMBER(SEARCH("biodiversity",P871)),ISNUMBER(SEARCH("green cover",P871))),"Environment",IF(OR(ISNUMBER(SEARCH("irrigation",P871)),ISNUMBER(SEARCH("water",P871)),ISNUMBER(SEARCH("crop",P871)),ISNUMBER(SEARCH("farmer",P871)),ISNUMBER(SEARCH("agriculture",P871))),"Agriculture &amp; water",IF(OR(ISNUMBER(SEARCH("health",P871)),ISNUMBER(SEARCH("hospital",P871)),ISNUMBER(SEARCH("medicine",P871))),"Public health",IF(OR(ISNUMBER(SEARCH("employee",P871)),ISNUMBER(SEARCH("labour",P871)),ISNUMBER(SEARCH("worker",P871)),ISNUMBER(SEARCH("salary",P871))),"Labour &amp; employment",IF(OR(ISNUMBER(SEARCH("rti",P871)),ISNUMBER(SEARCH("transparency",P871)),ISNUMBER(SEARCH("corruption",P871)),ISNUMBER(SEARCH("governance",P871))),"Governance &amp; transparency",IF(OR(ISNUMBER(SEARCH("police",P871)),ISNUMBER(SEARCH("detention",P871)),ISNUMBER(SEARCH("civil rights",P871)),ISNUMBER(SEARCH("justice",P871))),"Civil rights &amp; justice",IF(OR(ISNUMBER(SEARCH("road",P871)),ISNUMBER(SEARCH("utility",P871)),ISNUMBER(SEARCH("infrastructure",P871)),ISNUMBER(SEARCH("public service",P871))),"Infrastructure &amp; public services","Other"))))))))))))</x:f>
      </x:c>
      <x:c r="J871" s="16" t="str">
        <x:f>IF(A871="","",IF(OR(ISNUMBER(SEARCH("fatal",Q871)),ISNUMBER(SEARCH("death",Q871)),ISNUMBER(SEARCH("riot",Q871)),ISNUMBER(SEARCH("curfew",Q871)),ISNUMBER(SEARCH("internet shutdown",Q871))),5,MIN(4,1+IF(H871&gt;=7,1,0)+IF(OR(ISNUMBER(SEARCH("hunger strike",Q871)),ISNUMBER(SEARCH("blockade",Q871)),ISNUMBER(SEARCH("strike",Q871)),ISNUMBER(SEARCH("jal satyagraha",Q871)),ISNUMBER(SEARCH("survey",Q871)),ISNUMBER(SEARCH("human chain",Q871)),ISNUMBER(SEARCH("march",Q871))),1,0)+IF(OR(ISNUMBER(SEARCH("fir",Q871)),ISNUMBER(SEARCH("confrontation",Q871)),ISNUMBER(SEARCH("violence",Q871)),ISNUMBER(SEARCH("detention",Q871)),ISNUMBER(SEARCH("arrest",Q871)),ISNUMBER(SEARCH("demolition",Q871)),ISNUMBER(SEARCH("injury",Q871))),1,0)+IF(OR(D871="Ongoing",D871="Unresolved"),1,0))))</x:f>
      </x:c>
      <x:c r="K871" s="16" t="str">
        <x:f>IF(J871="","",IF(J871=1,"Limited",IF(J871=2,"Local",IF(J871=3,"Significant",IF(J871=4,"High","Critical")))))</x:f>
      </x:c>
      <x:c r="L871" s="16" t="str">
        <x:f>IF(A871="","",Events!U870)</x:f>
      </x:c>
      <x:c r="M871" s="16" t="str">
        <x:f>IF(A871="","",Events!V870)</x:f>
      </x:c>
      <x:c r="N871" s="16" t="str">
        <x:f>IF(A871="","",Events!Q870)</x:f>
      </x:c>
      <x:c r="O871" s="16" t="str">
        <x:f>IF(A871="","",Events!R870)</x:f>
      </x:c>
      <x:c r="P871" s="16" t="str">
        <x:f>IF(A871="","",LOWER(Events!B870&amp;" "&amp;Events!D870&amp;" "&amp;Events!K870))</x:f>
      </x:c>
      <x:c r="Q871" s="16" t="str">
        <x:f>IF(A871="","",LOWER(Events!C870&amp;" "&amp;Events!K870&amp;" "&amp;Events!T870))</x:f>
      </x:c>
      <x:c r="R871" s="16" t="str">
        <x:f>IF(A871="","",IF(ISNUMBER(SEARCH("Occurrence verified",E871)),"Occurrence verified",E871))</x:f>
      </x:c>
      <x:c r="S871" s="79" t="str">
        <x:f>IF(A871="","",Events!X870)</x:f>
      </x:c>
      <x:c r="Z871" s="79" t="str">
        <x:f>IF(A871="","",Events!AD870)</x:f>
      </x:c>
      <x:c r="AA871" s="79" t="str">
        <x:f>IF(A871="","",Events!AE870)</x:f>
      </x:c>
    </x:row>
    <x:row r="872">
      <x:c r="A872" s="16" t="str">
        <x:f>IF(Events!A871="","",Events!A871)</x:f>
      </x:c>
      <x:c r="B872" s="16" t="str">
        <x:f>IF(A872="","",Events!B871)</x:f>
      </x:c>
      <x:c r="C872" s="16" t="str">
        <x:f>IF(A872="","",Events!E871)</x:f>
      </x:c>
      <x:c r="D872" s="16" t="str">
        <x:f>IF(A872="","",Events!J871)</x:f>
      </x:c>
      <x:c r="E872" s="16" t="str">
        <x:f>IF(A872="","",Events!N871)</x:f>
      </x:c>
      <x:c r="F872" s="109" t="str">
        <x:f>IF(OR(A872="",Events!H871=""),"",Events!H871)</x:f>
      </x:c>
      <x:c r="G872" s="109" t="str">
        <x:f>IF(A872="","",IF(Events!I871&lt;&gt;"",Events!I871,IF(Events!S871&lt;&gt;"",Events!S871,"")))</x:f>
      </x:c>
      <x:c r="H872" s="16" t="str">
        <x:f>IF(A872="","",Events!W871)</x:f>
      </x:c>
      <x:c r="I872" s="16" t="str">
        <x:f>IF(A872="","",IF(Events!Y871&lt;&gt;"",Events!Y871,IF(OR(ISNUMBER(SEARCH("education",P872)),ISNUMBER(SEARCH("exam",P872)),ISNUMBER(SEARCH("school",P872))),"Education",IF(OR(ISNUMBER(SEARCH("trade agreement",P872)),ISNUMBER(SEARCH("economic",P872)),ISNUMBER(SEARCH("import",P872))),"Trade &amp; economic policy",IF(OR(ISNUMBER(SEARCH("land acquisition",P872)),ISNUMBER(SEARCH("rehabilitation",P872)),ISNUMBER(SEARCH("displacement",P872)),ISNUMBER(SEARCH("township",P872))),"Land &amp; rehabilitation",IF(OR(ISNUMBER(SEARCH("forest",P872)),ISNUMBER(SEARCH("environment",P872)),ISNUMBER(SEARCH("ecological",P872)),ISNUMBER(SEARCH("biodiversity",P872)),ISNUMBER(SEARCH("green cover",P872))),"Environment",IF(OR(ISNUMBER(SEARCH("irrigation",P872)),ISNUMBER(SEARCH("water",P872)),ISNUMBER(SEARCH("crop",P872)),ISNUMBER(SEARCH("farmer",P872)),ISNUMBER(SEARCH("agriculture",P872))),"Agriculture &amp; water",IF(OR(ISNUMBER(SEARCH("health",P872)),ISNUMBER(SEARCH("hospital",P872)),ISNUMBER(SEARCH("medicine",P872))),"Public health",IF(OR(ISNUMBER(SEARCH("employee",P872)),ISNUMBER(SEARCH("labour",P872)),ISNUMBER(SEARCH("worker",P872)),ISNUMBER(SEARCH("salary",P872))),"Labour &amp; employment",IF(OR(ISNUMBER(SEARCH("rti",P872)),ISNUMBER(SEARCH("transparency",P872)),ISNUMBER(SEARCH("corruption",P872)),ISNUMBER(SEARCH("governance",P872))),"Governance &amp; transparency",IF(OR(ISNUMBER(SEARCH("police",P872)),ISNUMBER(SEARCH("detention",P872)),ISNUMBER(SEARCH("civil rights",P872)),ISNUMBER(SEARCH("justice",P872))),"Civil rights &amp; justice",IF(OR(ISNUMBER(SEARCH("road",P872)),ISNUMBER(SEARCH("utility",P872)),ISNUMBER(SEARCH("infrastructure",P872)),ISNUMBER(SEARCH("public service",P872))),"Infrastructure &amp; public services","Other"))))))))))))</x:f>
      </x:c>
      <x:c r="J872" s="16" t="str">
        <x:f>IF(A872="","",IF(OR(ISNUMBER(SEARCH("fatal",Q872)),ISNUMBER(SEARCH("death",Q872)),ISNUMBER(SEARCH("riot",Q872)),ISNUMBER(SEARCH("curfew",Q872)),ISNUMBER(SEARCH("internet shutdown",Q872))),5,MIN(4,1+IF(H872&gt;=7,1,0)+IF(OR(ISNUMBER(SEARCH("hunger strike",Q872)),ISNUMBER(SEARCH("blockade",Q872)),ISNUMBER(SEARCH("strike",Q872)),ISNUMBER(SEARCH("jal satyagraha",Q872)),ISNUMBER(SEARCH("survey",Q872)),ISNUMBER(SEARCH("human chain",Q872)),ISNUMBER(SEARCH("march",Q872))),1,0)+IF(OR(ISNUMBER(SEARCH("fir",Q872)),ISNUMBER(SEARCH("confrontation",Q872)),ISNUMBER(SEARCH("violence",Q872)),ISNUMBER(SEARCH("detention",Q872)),ISNUMBER(SEARCH("arrest",Q872)),ISNUMBER(SEARCH("demolition",Q872)),ISNUMBER(SEARCH("injury",Q872))),1,0)+IF(OR(D872="Ongoing",D872="Unresolved"),1,0))))</x:f>
      </x:c>
      <x:c r="K872" s="16" t="str">
        <x:f>IF(J872="","",IF(J872=1,"Limited",IF(J872=2,"Local",IF(J872=3,"Significant",IF(J872=4,"High","Critical")))))</x:f>
      </x:c>
      <x:c r="L872" s="16" t="str">
        <x:f>IF(A872="","",Events!U871)</x:f>
      </x:c>
      <x:c r="M872" s="16" t="str">
        <x:f>IF(A872="","",Events!V871)</x:f>
      </x:c>
      <x:c r="N872" s="16" t="str">
        <x:f>IF(A872="","",Events!Q871)</x:f>
      </x:c>
      <x:c r="O872" s="16" t="str">
        <x:f>IF(A872="","",Events!R871)</x:f>
      </x:c>
      <x:c r="P872" s="16" t="str">
        <x:f>IF(A872="","",LOWER(Events!B871&amp;" "&amp;Events!D871&amp;" "&amp;Events!K871))</x:f>
      </x:c>
      <x:c r="Q872" s="16" t="str">
        <x:f>IF(A872="","",LOWER(Events!C871&amp;" "&amp;Events!K871&amp;" "&amp;Events!T871))</x:f>
      </x:c>
      <x:c r="R872" s="16" t="str">
        <x:f>IF(A872="","",IF(ISNUMBER(SEARCH("Occurrence verified",E872)),"Occurrence verified",E872))</x:f>
      </x:c>
      <x:c r="S872" s="79" t="str">
        <x:f>IF(A872="","",Events!X871)</x:f>
      </x:c>
      <x:c r="Z872" s="79" t="str">
        <x:f>IF(A872="","",Events!AD871)</x:f>
      </x:c>
      <x:c r="AA872" s="79" t="str">
        <x:f>IF(A872="","",Events!AE871)</x:f>
      </x:c>
    </x:row>
    <x:row r="873">
      <x:c r="A873" s="16" t="str">
        <x:f>IF(Events!A872="","",Events!A872)</x:f>
      </x:c>
      <x:c r="B873" s="16" t="str">
        <x:f>IF(A873="","",Events!B872)</x:f>
      </x:c>
      <x:c r="C873" s="16" t="str">
        <x:f>IF(A873="","",Events!E872)</x:f>
      </x:c>
      <x:c r="D873" s="16" t="str">
        <x:f>IF(A873="","",Events!J872)</x:f>
      </x:c>
      <x:c r="E873" s="16" t="str">
        <x:f>IF(A873="","",Events!N872)</x:f>
      </x:c>
      <x:c r="F873" s="109" t="str">
        <x:f>IF(OR(A873="",Events!H872=""),"",Events!H872)</x:f>
      </x:c>
      <x:c r="G873" s="109" t="str">
        <x:f>IF(A873="","",IF(Events!I872&lt;&gt;"",Events!I872,IF(Events!S872&lt;&gt;"",Events!S872,"")))</x:f>
      </x:c>
      <x:c r="H873" s="16" t="str">
        <x:f>IF(A873="","",Events!W872)</x:f>
      </x:c>
      <x:c r="I873" s="16" t="str">
        <x:f>IF(A873="","",IF(Events!Y872&lt;&gt;"",Events!Y872,IF(OR(ISNUMBER(SEARCH("education",P873)),ISNUMBER(SEARCH("exam",P873)),ISNUMBER(SEARCH("school",P873))),"Education",IF(OR(ISNUMBER(SEARCH("trade agreement",P873)),ISNUMBER(SEARCH("economic",P873)),ISNUMBER(SEARCH("import",P873))),"Trade &amp; economic policy",IF(OR(ISNUMBER(SEARCH("land acquisition",P873)),ISNUMBER(SEARCH("rehabilitation",P873)),ISNUMBER(SEARCH("displacement",P873)),ISNUMBER(SEARCH("township",P873))),"Land &amp; rehabilitation",IF(OR(ISNUMBER(SEARCH("forest",P873)),ISNUMBER(SEARCH("environment",P873)),ISNUMBER(SEARCH("ecological",P873)),ISNUMBER(SEARCH("biodiversity",P873)),ISNUMBER(SEARCH("green cover",P873))),"Environment",IF(OR(ISNUMBER(SEARCH("irrigation",P873)),ISNUMBER(SEARCH("water",P873)),ISNUMBER(SEARCH("crop",P873)),ISNUMBER(SEARCH("farmer",P873)),ISNUMBER(SEARCH("agriculture",P873))),"Agriculture &amp; water",IF(OR(ISNUMBER(SEARCH("health",P873)),ISNUMBER(SEARCH("hospital",P873)),ISNUMBER(SEARCH("medicine",P873))),"Public health",IF(OR(ISNUMBER(SEARCH("employee",P873)),ISNUMBER(SEARCH("labour",P873)),ISNUMBER(SEARCH("worker",P873)),ISNUMBER(SEARCH("salary",P873))),"Labour &amp; employment",IF(OR(ISNUMBER(SEARCH("rti",P873)),ISNUMBER(SEARCH("transparency",P873)),ISNUMBER(SEARCH("corruption",P873)),ISNUMBER(SEARCH("governance",P873))),"Governance &amp; transparency",IF(OR(ISNUMBER(SEARCH("police",P873)),ISNUMBER(SEARCH("detention",P873)),ISNUMBER(SEARCH("civil rights",P873)),ISNUMBER(SEARCH("justice",P873))),"Civil rights &amp; justice",IF(OR(ISNUMBER(SEARCH("road",P873)),ISNUMBER(SEARCH("utility",P873)),ISNUMBER(SEARCH("infrastructure",P873)),ISNUMBER(SEARCH("public service",P873))),"Infrastructure &amp; public services","Other"))))))))))))</x:f>
      </x:c>
      <x:c r="J873" s="16" t="str">
        <x:f>IF(A873="","",IF(OR(ISNUMBER(SEARCH("fatal",Q873)),ISNUMBER(SEARCH("death",Q873)),ISNUMBER(SEARCH("riot",Q873)),ISNUMBER(SEARCH("curfew",Q873)),ISNUMBER(SEARCH("internet shutdown",Q873))),5,MIN(4,1+IF(H873&gt;=7,1,0)+IF(OR(ISNUMBER(SEARCH("hunger strike",Q873)),ISNUMBER(SEARCH("blockade",Q873)),ISNUMBER(SEARCH("strike",Q873)),ISNUMBER(SEARCH("jal satyagraha",Q873)),ISNUMBER(SEARCH("survey",Q873)),ISNUMBER(SEARCH("human chain",Q873)),ISNUMBER(SEARCH("march",Q873))),1,0)+IF(OR(ISNUMBER(SEARCH("fir",Q873)),ISNUMBER(SEARCH("confrontation",Q873)),ISNUMBER(SEARCH("violence",Q873)),ISNUMBER(SEARCH("detention",Q873)),ISNUMBER(SEARCH("arrest",Q873)),ISNUMBER(SEARCH("demolition",Q873)),ISNUMBER(SEARCH("injury",Q873))),1,0)+IF(OR(D873="Ongoing",D873="Unresolved"),1,0))))</x:f>
      </x:c>
      <x:c r="K873" s="16" t="str">
        <x:f>IF(J873="","",IF(J873=1,"Limited",IF(J873=2,"Local",IF(J873=3,"Significant",IF(J873=4,"High","Critical")))))</x:f>
      </x:c>
      <x:c r="L873" s="16" t="str">
        <x:f>IF(A873="","",Events!U872)</x:f>
      </x:c>
      <x:c r="M873" s="16" t="str">
        <x:f>IF(A873="","",Events!V872)</x:f>
      </x:c>
      <x:c r="N873" s="16" t="str">
        <x:f>IF(A873="","",Events!Q872)</x:f>
      </x:c>
      <x:c r="O873" s="16" t="str">
        <x:f>IF(A873="","",Events!R872)</x:f>
      </x:c>
      <x:c r="P873" s="16" t="str">
        <x:f>IF(A873="","",LOWER(Events!B872&amp;" "&amp;Events!D872&amp;" "&amp;Events!K872))</x:f>
      </x:c>
      <x:c r="Q873" s="16" t="str">
        <x:f>IF(A873="","",LOWER(Events!C872&amp;" "&amp;Events!K872&amp;" "&amp;Events!T872))</x:f>
      </x:c>
      <x:c r="R873" s="16" t="str">
        <x:f>IF(A873="","",IF(ISNUMBER(SEARCH("Occurrence verified",E873)),"Occurrence verified",E873))</x:f>
      </x:c>
      <x:c r="S873" s="79" t="str">
        <x:f>IF(A873="","",Events!X872)</x:f>
      </x:c>
      <x:c r="Z873" s="79" t="str">
        <x:f>IF(A873="","",Events!AD872)</x:f>
      </x:c>
      <x:c r="AA873" s="79" t="str">
        <x:f>IF(A873="","",Events!AE872)</x:f>
      </x:c>
    </x:row>
    <x:row r="874">
      <x:c r="A874" s="16" t="str">
        <x:f>IF(Events!A873="","",Events!A873)</x:f>
      </x:c>
      <x:c r="B874" s="16" t="str">
        <x:f>IF(A874="","",Events!B873)</x:f>
      </x:c>
      <x:c r="C874" s="16" t="str">
        <x:f>IF(A874="","",Events!E873)</x:f>
      </x:c>
      <x:c r="D874" s="16" t="str">
        <x:f>IF(A874="","",Events!J873)</x:f>
      </x:c>
      <x:c r="E874" s="16" t="str">
        <x:f>IF(A874="","",Events!N873)</x:f>
      </x:c>
      <x:c r="F874" s="109" t="str">
        <x:f>IF(OR(A874="",Events!H873=""),"",Events!H873)</x:f>
      </x:c>
      <x:c r="G874" s="109" t="str">
        <x:f>IF(A874="","",IF(Events!I873&lt;&gt;"",Events!I873,IF(Events!S873&lt;&gt;"",Events!S873,"")))</x:f>
      </x:c>
      <x:c r="H874" s="16" t="str">
        <x:f>IF(A874="","",Events!W873)</x:f>
      </x:c>
      <x:c r="I874" s="16" t="str">
        <x:f>IF(A874="","",IF(Events!Y873&lt;&gt;"",Events!Y873,IF(OR(ISNUMBER(SEARCH("education",P874)),ISNUMBER(SEARCH("exam",P874)),ISNUMBER(SEARCH("school",P874))),"Education",IF(OR(ISNUMBER(SEARCH("trade agreement",P874)),ISNUMBER(SEARCH("economic",P874)),ISNUMBER(SEARCH("import",P874))),"Trade &amp; economic policy",IF(OR(ISNUMBER(SEARCH("land acquisition",P874)),ISNUMBER(SEARCH("rehabilitation",P874)),ISNUMBER(SEARCH("displacement",P874)),ISNUMBER(SEARCH("township",P874))),"Land &amp; rehabilitation",IF(OR(ISNUMBER(SEARCH("forest",P874)),ISNUMBER(SEARCH("environment",P874)),ISNUMBER(SEARCH("ecological",P874)),ISNUMBER(SEARCH("biodiversity",P874)),ISNUMBER(SEARCH("green cover",P874))),"Environment",IF(OR(ISNUMBER(SEARCH("irrigation",P874)),ISNUMBER(SEARCH("water",P874)),ISNUMBER(SEARCH("crop",P874)),ISNUMBER(SEARCH("farmer",P874)),ISNUMBER(SEARCH("agriculture",P874))),"Agriculture &amp; water",IF(OR(ISNUMBER(SEARCH("health",P874)),ISNUMBER(SEARCH("hospital",P874)),ISNUMBER(SEARCH("medicine",P874))),"Public health",IF(OR(ISNUMBER(SEARCH("employee",P874)),ISNUMBER(SEARCH("labour",P874)),ISNUMBER(SEARCH("worker",P874)),ISNUMBER(SEARCH("salary",P874))),"Labour &amp; employment",IF(OR(ISNUMBER(SEARCH("rti",P874)),ISNUMBER(SEARCH("transparency",P874)),ISNUMBER(SEARCH("corruption",P874)),ISNUMBER(SEARCH("governance",P874))),"Governance &amp; transparency",IF(OR(ISNUMBER(SEARCH("police",P874)),ISNUMBER(SEARCH("detention",P874)),ISNUMBER(SEARCH("civil rights",P874)),ISNUMBER(SEARCH("justice",P874))),"Civil rights &amp; justice",IF(OR(ISNUMBER(SEARCH("road",P874)),ISNUMBER(SEARCH("utility",P874)),ISNUMBER(SEARCH("infrastructure",P874)),ISNUMBER(SEARCH("public service",P874))),"Infrastructure &amp; public services","Other"))))))))))))</x:f>
      </x:c>
      <x:c r="J874" s="16" t="str">
        <x:f>IF(A874="","",IF(OR(ISNUMBER(SEARCH("fatal",Q874)),ISNUMBER(SEARCH("death",Q874)),ISNUMBER(SEARCH("riot",Q874)),ISNUMBER(SEARCH("curfew",Q874)),ISNUMBER(SEARCH("internet shutdown",Q874))),5,MIN(4,1+IF(H874&gt;=7,1,0)+IF(OR(ISNUMBER(SEARCH("hunger strike",Q874)),ISNUMBER(SEARCH("blockade",Q874)),ISNUMBER(SEARCH("strike",Q874)),ISNUMBER(SEARCH("jal satyagraha",Q874)),ISNUMBER(SEARCH("survey",Q874)),ISNUMBER(SEARCH("human chain",Q874)),ISNUMBER(SEARCH("march",Q874))),1,0)+IF(OR(ISNUMBER(SEARCH("fir",Q874)),ISNUMBER(SEARCH("confrontation",Q874)),ISNUMBER(SEARCH("violence",Q874)),ISNUMBER(SEARCH("detention",Q874)),ISNUMBER(SEARCH("arrest",Q874)),ISNUMBER(SEARCH("demolition",Q874)),ISNUMBER(SEARCH("injury",Q874))),1,0)+IF(OR(D874="Ongoing",D874="Unresolved"),1,0))))</x:f>
      </x:c>
      <x:c r="K874" s="16" t="str">
        <x:f>IF(J874="","",IF(J874=1,"Limited",IF(J874=2,"Local",IF(J874=3,"Significant",IF(J874=4,"High","Critical")))))</x:f>
      </x:c>
      <x:c r="L874" s="16" t="str">
        <x:f>IF(A874="","",Events!U873)</x:f>
      </x:c>
      <x:c r="M874" s="16" t="str">
        <x:f>IF(A874="","",Events!V873)</x:f>
      </x:c>
      <x:c r="N874" s="16" t="str">
        <x:f>IF(A874="","",Events!Q873)</x:f>
      </x:c>
      <x:c r="O874" s="16" t="str">
        <x:f>IF(A874="","",Events!R873)</x:f>
      </x:c>
      <x:c r="P874" s="16" t="str">
        <x:f>IF(A874="","",LOWER(Events!B873&amp;" "&amp;Events!D873&amp;" "&amp;Events!K873))</x:f>
      </x:c>
      <x:c r="Q874" s="16" t="str">
        <x:f>IF(A874="","",LOWER(Events!C873&amp;" "&amp;Events!K873&amp;" "&amp;Events!T873))</x:f>
      </x:c>
      <x:c r="R874" s="16" t="str">
        <x:f>IF(A874="","",IF(ISNUMBER(SEARCH("Occurrence verified",E874)),"Occurrence verified",E874))</x:f>
      </x:c>
      <x:c r="S874" s="79" t="str">
        <x:f>IF(A874="","",Events!X873)</x:f>
      </x:c>
      <x:c r="Z874" s="79" t="str">
        <x:f>IF(A874="","",Events!AD873)</x:f>
      </x:c>
      <x:c r="AA874" s="79" t="str">
        <x:f>IF(A874="","",Events!AE873)</x:f>
      </x:c>
    </x:row>
    <x:row r="875">
      <x:c r="A875" s="16" t="str">
        <x:f>IF(Events!A874="","",Events!A874)</x:f>
      </x:c>
      <x:c r="B875" s="16" t="str">
        <x:f>IF(A875="","",Events!B874)</x:f>
      </x:c>
      <x:c r="C875" s="16" t="str">
        <x:f>IF(A875="","",Events!E874)</x:f>
      </x:c>
      <x:c r="D875" s="16" t="str">
        <x:f>IF(A875="","",Events!J874)</x:f>
      </x:c>
      <x:c r="E875" s="16" t="str">
        <x:f>IF(A875="","",Events!N874)</x:f>
      </x:c>
      <x:c r="F875" s="109" t="str">
        <x:f>IF(OR(A875="",Events!H874=""),"",Events!H874)</x:f>
      </x:c>
      <x:c r="G875" s="109" t="str">
        <x:f>IF(A875="","",IF(Events!I874&lt;&gt;"",Events!I874,IF(Events!S874&lt;&gt;"",Events!S874,"")))</x:f>
      </x:c>
      <x:c r="H875" s="16" t="str">
        <x:f>IF(A875="","",Events!W874)</x:f>
      </x:c>
      <x:c r="I875" s="16" t="str">
        <x:f>IF(A875="","",IF(Events!Y874&lt;&gt;"",Events!Y874,IF(OR(ISNUMBER(SEARCH("education",P875)),ISNUMBER(SEARCH("exam",P875)),ISNUMBER(SEARCH("school",P875))),"Education",IF(OR(ISNUMBER(SEARCH("trade agreement",P875)),ISNUMBER(SEARCH("economic",P875)),ISNUMBER(SEARCH("import",P875))),"Trade &amp; economic policy",IF(OR(ISNUMBER(SEARCH("land acquisition",P875)),ISNUMBER(SEARCH("rehabilitation",P875)),ISNUMBER(SEARCH("displacement",P875)),ISNUMBER(SEARCH("township",P875))),"Land &amp; rehabilitation",IF(OR(ISNUMBER(SEARCH("forest",P875)),ISNUMBER(SEARCH("environment",P875)),ISNUMBER(SEARCH("ecological",P875)),ISNUMBER(SEARCH("biodiversity",P875)),ISNUMBER(SEARCH("green cover",P875))),"Environment",IF(OR(ISNUMBER(SEARCH("irrigation",P875)),ISNUMBER(SEARCH("water",P875)),ISNUMBER(SEARCH("crop",P875)),ISNUMBER(SEARCH("farmer",P875)),ISNUMBER(SEARCH("agriculture",P875))),"Agriculture &amp; water",IF(OR(ISNUMBER(SEARCH("health",P875)),ISNUMBER(SEARCH("hospital",P875)),ISNUMBER(SEARCH("medicine",P875))),"Public health",IF(OR(ISNUMBER(SEARCH("employee",P875)),ISNUMBER(SEARCH("labour",P875)),ISNUMBER(SEARCH("worker",P875)),ISNUMBER(SEARCH("salary",P875))),"Labour &amp; employment",IF(OR(ISNUMBER(SEARCH("rti",P875)),ISNUMBER(SEARCH("transparency",P875)),ISNUMBER(SEARCH("corruption",P875)),ISNUMBER(SEARCH("governance",P875))),"Governance &amp; transparency",IF(OR(ISNUMBER(SEARCH("police",P875)),ISNUMBER(SEARCH("detention",P875)),ISNUMBER(SEARCH("civil rights",P875)),ISNUMBER(SEARCH("justice",P875))),"Civil rights &amp; justice",IF(OR(ISNUMBER(SEARCH("road",P875)),ISNUMBER(SEARCH("utility",P875)),ISNUMBER(SEARCH("infrastructure",P875)),ISNUMBER(SEARCH("public service",P875))),"Infrastructure &amp; public services","Other"))))))))))))</x:f>
      </x:c>
      <x:c r="J875" s="16" t="str">
        <x:f>IF(A875="","",IF(OR(ISNUMBER(SEARCH("fatal",Q875)),ISNUMBER(SEARCH("death",Q875)),ISNUMBER(SEARCH("riot",Q875)),ISNUMBER(SEARCH("curfew",Q875)),ISNUMBER(SEARCH("internet shutdown",Q875))),5,MIN(4,1+IF(H875&gt;=7,1,0)+IF(OR(ISNUMBER(SEARCH("hunger strike",Q875)),ISNUMBER(SEARCH("blockade",Q875)),ISNUMBER(SEARCH("strike",Q875)),ISNUMBER(SEARCH("jal satyagraha",Q875)),ISNUMBER(SEARCH("survey",Q875)),ISNUMBER(SEARCH("human chain",Q875)),ISNUMBER(SEARCH("march",Q875))),1,0)+IF(OR(ISNUMBER(SEARCH("fir",Q875)),ISNUMBER(SEARCH("confrontation",Q875)),ISNUMBER(SEARCH("violence",Q875)),ISNUMBER(SEARCH("detention",Q875)),ISNUMBER(SEARCH("arrest",Q875)),ISNUMBER(SEARCH("demolition",Q875)),ISNUMBER(SEARCH("injury",Q875))),1,0)+IF(OR(D875="Ongoing",D875="Unresolved"),1,0))))</x:f>
      </x:c>
      <x:c r="K875" s="16" t="str">
        <x:f>IF(J875="","",IF(J875=1,"Limited",IF(J875=2,"Local",IF(J875=3,"Significant",IF(J875=4,"High","Critical")))))</x:f>
      </x:c>
      <x:c r="L875" s="16" t="str">
        <x:f>IF(A875="","",Events!U874)</x:f>
      </x:c>
      <x:c r="M875" s="16" t="str">
        <x:f>IF(A875="","",Events!V874)</x:f>
      </x:c>
      <x:c r="N875" s="16" t="str">
        <x:f>IF(A875="","",Events!Q874)</x:f>
      </x:c>
      <x:c r="O875" s="16" t="str">
        <x:f>IF(A875="","",Events!R874)</x:f>
      </x:c>
      <x:c r="P875" s="16" t="str">
        <x:f>IF(A875="","",LOWER(Events!B874&amp;" "&amp;Events!D874&amp;" "&amp;Events!K874))</x:f>
      </x:c>
      <x:c r="Q875" s="16" t="str">
        <x:f>IF(A875="","",LOWER(Events!C874&amp;" "&amp;Events!K874&amp;" "&amp;Events!T874))</x:f>
      </x:c>
      <x:c r="R875" s="16" t="str">
        <x:f>IF(A875="","",IF(ISNUMBER(SEARCH("Occurrence verified",E875)),"Occurrence verified",E875))</x:f>
      </x:c>
      <x:c r="S875" s="79" t="str">
        <x:f>IF(A875="","",Events!X874)</x:f>
      </x:c>
      <x:c r="Z875" s="79" t="str">
        <x:f>IF(A875="","",Events!AD874)</x:f>
      </x:c>
      <x:c r="AA875" s="79" t="str">
        <x:f>IF(A875="","",Events!AE874)</x:f>
      </x:c>
    </x:row>
    <x:row r="876">
      <x:c r="A876" s="16" t="str">
        <x:f>IF(Events!A875="","",Events!A875)</x:f>
      </x:c>
      <x:c r="B876" s="16" t="str">
        <x:f>IF(A876="","",Events!B875)</x:f>
      </x:c>
      <x:c r="C876" s="16" t="str">
        <x:f>IF(A876="","",Events!E875)</x:f>
      </x:c>
      <x:c r="D876" s="16" t="str">
        <x:f>IF(A876="","",Events!J875)</x:f>
      </x:c>
      <x:c r="E876" s="16" t="str">
        <x:f>IF(A876="","",Events!N875)</x:f>
      </x:c>
      <x:c r="F876" s="109" t="str">
        <x:f>IF(OR(A876="",Events!H875=""),"",Events!H875)</x:f>
      </x:c>
      <x:c r="G876" s="109" t="str">
        <x:f>IF(A876="","",IF(Events!I875&lt;&gt;"",Events!I875,IF(Events!S875&lt;&gt;"",Events!S875,"")))</x:f>
      </x:c>
      <x:c r="H876" s="16" t="str">
        <x:f>IF(A876="","",Events!W875)</x:f>
      </x:c>
      <x:c r="I876" s="16" t="str">
        <x:f>IF(A876="","",IF(Events!Y875&lt;&gt;"",Events!Y875,IF(OR(ISNUMBER(SEARCH("education",P876)),ISNUMBER(SEARCH("exam",P876)),ISNUMBER(SEARCH("school",P876))),"Education",IF(OR(ISNUMBER(SEARCH("trade agreement",P876)),ISNUMBER(SEARCH("economic",P876)),ISNUMBER(SEARCH("import",P876))),"Trade &amp; economic policy",IF(OR(ISNUMBER(SEARCH("land acquisition",P876)),ISNUMBER(SEARCH("rehabilitation",P876)),ISNUMBER(SEARCH("displacement",P876)),ISNUMBER(SEARCH("township",P876))),"Land &amp; rehabilitation",IF(OR(ISNUMBER(SEARCH("forest",P876)),ISNUMBER(SEARCH("environment",P876)),ISNUMBER(SEARCH("ecological",P876)),ISNUMBER(SEARCH("biodiversity",P876)),ISNUMBER(SEARCH("green cover",P876))),"Environment",IF(OR(ISNUMBER(SEARCH("irrigation",P876)),ISNUMBER(SEARCH("water",P876)),ISNUMBER(SEARCH("crop",P876)),ISNUMBER(SEARCH("farmer",P876)),ISNUMBER(SEARCH("agriculture",P876))),"Agriculture &amp; water",IF(OR(ISNUMBER(SEARCH("health",P876)),ISNUMBER(SEARCH("hospital",P876)),ISNUMBER(SEARCH("medicine",P876))),"Public health",IF(OR(ISNUMBER(SEARCH("employee",P876)),ISNUMBER(SEARCH("labour",P876)),ISNUMBER(SEARCH("worker",P876)),ISNUMBER(SEARCH("salary",P876))),"Labour &amp; employment",IF(OR(ISNUMBER(SEARCH("rti",P876)),ISNUMBER(SEARCH("transparency",P876)),ISNUMBER(SEARCH("corruption",P876)),ISNUMBER(SEARCH("governance",P876))),"Governance &amp; transparency",IF(OR(ISNUMBER(SEARCH("police",P876)),ISNUMBER(SEARCH("detention",P876)),ISNUMBER(SEARCH("civil rights",P876)),ISNUMBER(SEARCH("justice",P876))),"Civil rights &amp; justice",IF(OR(ISNUMBER(SEARCH("road",P876)),ISNUMBER(SEARCH("utility",P876)),ISNUMBER(SEARCH("infrastructure",P876)),ISNUMBER(SEARCH("public service",P876))),"Infrastructure &amp; public services","Other"))))))))))))</x:f>
      </x:c>
      <x:c r="J876" s="16" t="str">
        <x:f>IF(A876="","",IF(OR(ISNUMBER(SEARCH("fatal",Q876)),ISNUMBER(SEARCH("death",Q876)),ISNUMBER(SEARCH("riot",Q876)),ISNUMBER(SEARCH("curfew",Q876)),ISNUMBER(SEARCH("internet shutdown",Q876))),5,MIN(4,1+IF(H876&gt;=7,1,0)+IF(OR(ISNUMBER(SEARCH("hunger strike",Q876)),ISNUMBER(SEARCH("blockade",Q876)),ISNUMBER(SEARCH("strike",Q876)),ISNUMBER(SEARCH("jal satyagraha",Q876)),ISNUMBER(SEARCH("survey",Q876)),ISNUMBER(SEARCH("human chain",Q876)),ISNUMBER(SEARCH("march",Q876))),1,0)+IF(OR(ISNUMBER(SEARCH("fir",Q876)),ISNUMBER(SEARCH("confrontation",Q876)),ISNUMBER(SEARCH("violence",Q876)),ISNUMBER(SEARCH("detention",Q876)),ISNUMBER(SEARCH("arrest",Q876)),ISNUMBER(SEARCH("demolition",Q876)),ISNUMBER(SEARCH("injury",Q876))),1,0)+IF(OR(D876="Ongoing",D876="Unresolved"),1,0))))</x:f>
      </x:c>
      <x:c r="K876" s="16" t="str">
        <x:f>IF(J876="","",IF(J876=1,"Limited",IF(J876=2,"Local",IF(J876=3,"Significant",IF(J876=4,"High","Critical")))))</x:f>
      </x:c>
      <x:c r="L876" s="16" t="str">
        <x:f>IF(A876="","",Events!U875)</x:f>
      </x:c>
      <x:c r="M876" s="16" t="str">
        <x:f>IF(A876="","",Events!V875)</x:f>
      </x:c>
      <x:c r="N876" s="16" t="str">
        <x:f>IF(A876="","",Events!Q875)</x:f>
      </x:c>
      <x:c r="O876" s="16" t="str">
        <x:f>IF(A876="","",Events!R875)</x:f>
      </x:c>
      <x:c r="P876" s="16" t="str">
        <x:f>IF(A876="","",LOWER(Events!B875&amp;" "&amp;Events!D875&amp;" "&amp;Events!K875))</x:f>
      </x:c>
      <x:c r="Q876" s="16" t="str">
        <x:f>IF(A876="","",LOWER(Events!C875&amp;" "&amp;Events!K875&amp;" "&amp;Events!T875))</x:f>
      </x:c>
      <x:c r="R876" s="16" t="str">
        <x:f>IF(A876="","",IF(ISNUMBER(SEARCH("Occurrence verified",E876)),"Occurrence verified",E876))</x:f>
      </x:c>
      <x:c r="S876" s="79" t="str">
        <x:f>IF(A876="","",Events!X875)</x:f>
      </x:c>
      <x:c r="Z876" s="79" t="str">
        <x:f>IF(A876="","",Events!AD875)</x:f>
      </x:c>
      <x:c r="AA876" s="79" t="str">
        <x:f>IF(A876="","",Events!AE875)</x:f>
      </x:c>
    </x:row>
    <x:row r="877">
      <x:c r="A877" s="16" t="str">
        <x:f>IF(Events!A876="","",Events!A876)</x:f>
      </x:c>
      <x:c r="B877" s="16" t="str">
        <x:f>IF(A877="","",Events!B876)</x:f>
      </x:c>
      <x:c r="C877" s="16" t="str">
        <x:f>IF(A877="","",Events!E876)</x:f>
      </x:c>
      <x:c r="D877" s="16" t="str">
        <x:f>IF(A877="","",Events!J876)</x:f>
      </x:c>
      <x:c r="E877" s="16" t="str">
        <x:f>IF(A877="","",Events!N876)</x:f>
      </x:c>
      <x:c r="F877" s="109" t="str">
        <x:f>IF(OR(A877="",Events!H876=""),"",Events!H876)</x:f>
      </x:c>
      <x:c r="G877" s="109" t="str">
        <x:f>IF(A877="","",IF(Events!I876&lt;&gt;"",Events!I876,IF(Events!S876&lt;&gt;"",Events!S876,"")))</x:f>
      </x:c>
      <x:c r="H877" s="16" t="str">
        <x:f>IF(A877="","",Events!W876)</x:f>
      </x:c>
      <x:c r="I877" s="16" t="str">
        <x:f>IF(A877="","",IF(Events!Y876&lt;&gt;"",Events!Y876,IF(OR(ISNUMBER(SEARCH("education",P877)),ISNUMBER(SEARCH("exam",P877)),ISNUMBER(SEARCH("school",P877))),"Education",IF(OR(ISNUMBER(SEARCH("trade agreement",P877)),ISNUMBER(SEARCH("economic",P877)),ISNUMBER(SEARCH("import",P877))),"Trade &amp; economic policy",IF(OR(ISNUMBER(SEARCH("land acquisition",P877)),ISNUMBER(SEARCH("rehabilitation",P877)),ISNUMBER(SEARCH("displacement",P877)),ISNUMBER(SEARCH("township",P877))),"Land &amp; rehabilitation",IF(OR(ISNUMBER(SEARCH("forest",P877)),ISNUMBER(SEARCH("environment",P877)),ISNUMBER(SEARCH("ecological",P877)),ISNUMBER(SEARCH("biodiversity",P877)),ISNUMBER(SEARCH("green cover",P877))),"Environment",IF(OR(ISNUMBER(SEARCH("irrigation",P877)),ISNUMBER(SEARCH("water",P877)),ISNUMBER(SEARCH("crop",P877)),ISNUMBER(SEARCH("farmer",P877)),ISNUMBER(SEARCH("agriculture",P877))),"Agriculture &amp; water",IF(OR(ISNUMBER(SEARCH("health",P877)),ISNUMBER(SEARCH("hospital",P877)),ISNUMBER(SEARCH("medicine",P877))),"Public health",IF(OR(ISNUMBER(SEARCH("employee",P877)),ISNUMBER(SEARCH("labour",P877)),ISNUMBER(SEARCH("worker",P877)),ISNUMBER(SEARCH("salary",P877))),"Labour &amp; employment",IF(OR(ISNUMBER(SEARCH("rti",P877)),ISNUMBER(SEARCH("transparency",P877)),ISNUMBER(SEARCH("corruption",P877)),ISNUMBER(SEARCH("governance",P877))),"Governance &amp; transparency",IF(OR(ISNUMBER(SEARCH("police",P877)),ISNUMBER(SEARCH("detention",P877)),ISNUMBER(SEARCH("civil rights",P877)),ISNUMBER(SEARCH("justice",P877))),"Civil rights &amp; justice",IF(OR(ISNUMBER(SEARCH("road",P877)),ISNUMBER(SEARCH("utility",P877)),ISNUMBER(SEARCH("infrastructure",P877)),ISNUMBER(SEARCH("public service",P877))),"Infrastructure &amp; public services","Other"))))))))))))</x:f>
      </x:c>
      <x:c r="J877" s="16" t="str">
        <x:f>IF(A877="","",IF(OR(ISNUMBER(SEARCH("fatal",Q877)),ISNUMBER(SEARCH("death",Q877)),ISNUMBER(SEARCH("riot",Q877)),ISNUMBER(SEARCH("curfew",Q877)),ISNUMBER(SEARCH("internet shutdown",Q877))),5,MIN(4,1+IF(H877&gt;=7,1,0)+IF(OR(ISNUMBER(SEARCH("hunger strike",Q877)),ISNUMBER(SEARCH("blockade",Q877)),ISNUMBER(SEARCH("strike",Q877)),ISNUMBER(SEARCH("jal satyagraha",Q877)),ISNUMBER(SEARCH("survey",Q877)),ISNUMBER(SEARCH("human chain",Q877)),ISNUMBER(SEARCH("march",Q877))),1,0)+IF(OR(ISNUMBER(SEARCH("fir",Q877)),ISNUMBER(SEARCH("confrontation",Q877)),ISNUMBER(SEARCH("violence",Q877)),ISNUMBER(SEARCH("detention",Q877)),ISNUMBER(SEARCH("arrest",Q877)),ISNUMBER(SEARCH("demolition",Q877)),ISNUMBER(SEARCH("injury",Q877))),1,0)+IF(OR(D877="Ongoing",D877="Unresolved"),1,0))))</x:f>
      </x:c>
      <x:c r="K877" s="16" t="str">
        <x:f>IF(J877="","",IF(J877=1,"Limited",IF(J877=2,"Local",IF(J877=3,"Significant",IF(J877=4,"High","Critical")))))</x:f>
      </x:c>
      <x:c r="L877" s="16" t="str">
        <x:f>IF(A877="","",Events!U876)</x:f>
      </x:c>
      <x:c r="M877" s="16" t="str">
        <x:f>IF(A877="","",Events!V876)</x:f>
      </x:c>
      <x:c r="N877" s="16" t="str">
        <x:f>IF(A877="","",Events!Q876)</x:f>
      </x:c>
      <x:c r="O877" s="16" t="str">
        <x:f>IF(A877="","",Events!R876)</x:f>
      </x:c>
      <x:c r="P877" s="16" t="str">
        <x:f>IF(A877="","",LOWER(Events!B876&amp;" "&amp;Events!D876&amp;" "&amp;Events!K876))</x:f>
      </x:c>
      <x:c r="Q877" s="16" t="str">
        <x:f>IF(A877="","",LOWER(Events!C876&amp;" "&amp;Events!K876&amp;" "&amp;Events!T876))</x:f>
      </x:c>
      <x:c r="R877" s="16" t="str">
        <x:f>IF(A877="","",IF(ISNUMBER(SEARCH("Occurrence verified",E877)),"Occurrence verified",E877))</x:f>
      </x:c>
      <x:c r="S877" s="79" t="str">
        <x:f>IF(A877="","",Events!X876)</x:f>
      </x:c>
      <x:c r="Z877" s="79" t="str">
        <x:f>IF(A877="","",Events!AD876)</x:f>
      </x:c>
      <x:c r="AA877" s="79" t="str">
        <x:f>IF(A877="","",Events!AE876)</x:f>
      </x:c>
    </x:row>
    <x:row r="878">
      <x:c r="A878" s="16" t="str">
        <x:f>IF(Events!A877="","",Events!A877)</x:f>
      </x:c>
      <x:c r="B878" s="16" t="str">
        <x:f>IF(A878="","",Events!B877)</x:f>
      </x:c>
      <x:c r="C878" s="16" t="str">
        <x:f>IF(A878="","",Events!E877)</x:f>
      </x:c>
      <x:c r="D878" s="16" t="str">
        <x:f>IF(A878="","",Events!J877)</x:f>
      </x:c>
      <x:c r="E878" s="16" t="str">
        <x:f>IF(A878="","",Events!N877)</x:f>
      </x:c>
      <x:c r="F878" s="109" t="str">
        <x:f>IF(OR(A878="",Events!H877=""),"",Events!H877)</x:f>
      </x:c>
      <x:c r="G878" s="109" t="str">
        <x:f>IF(A878="","",IF(Events!I877&lt;&gt;"",Events!I877,IF(Events!S877&lt;&gt;"",Events!S877,"")))</x:f>
      </x:c>
      <x:c r="H878" s="16" t="str">
        <x:f>IF(A878="","",Events!W877)</x:f>
      </x:c>
      <x:c r="I878" s="16" t="str">
        <x:f>IF(A878="","",IF(Events!Y877&lt;&gt;"",Events!Y877,IF(OR(ISNUMBER(SEARCH("education",P878)),ISNUMBER(SEARCH("exam",P878)),ISNUMBER(SEARCH("school",P878))),"Education",IF(OR(ISNUMBER(SEARCH("trade agreement",P878)),ISNUMBER(SEARCH("economic",P878)),ISNUMBER(SEARCH("import",P878))),"Trade &amp; economic policy",IF(OR(ISNUMBER(SEARCH("land acquisition",P878)),ISNUMBER(SEARCH("rehabilitation",P878)),ISNUMBER(SEARCH("displacement",P878)),ISNUMBER(SEARCH("township",P878))),"Land &amp; rehabilitation",IF(OR(ISNUMBER(SEARCH("forest",P878)),ISNUMBER(SEARCH("environment",P878)),ISNUMBER(SEARCH("ecological",P878)),ISNUMBER(SEARCH("biodiversity",P878)),ISNUMBER(SEARCH("green cover",P878))),"Environment",IF(OR(ISNUMBER(SEARCH("irrigation",P878)),ISNUMBER(SEARCH("water",P878)),ISNUMBER(SEARCH("crop",P878)),ISNUMBER(SEARCH("farmer",P878)),ISNUMBER(SEARCH("agriculture",P878))),"Agriculture &amp; water",IF(OR(ISNUMBER(SEARCH("health",P878)),ISNUMBER(SEARCH("hospital",P878)),ISNUMBER(SEARCH("medicine",P878))),"Public health",IF(OR(ISNUMBER(SEARCH("employee",P878)),ISNUMBER(SEARCH("labour",P878)),ISNUMBER(SEARCH("worker",P878)),ISNUMBER(SEARCH("salary",P878))),"Labour &amp; employment",IF(OR(ISNUMBER(SEARCH("rti",P878)),ISNUMBER(SEARCH("transparency",P878)),ISNUMBER(SEARCH("corruption",P878)),ISNUMBER(SEARCH("governance",P878))),"Governance &amp; transparency",IF(OR(ISNUMBER(SEARCH("police",P878)),ISNUMBER(SEARCH("detention",P878)),ISNUMBER(SEARCH("civil rights",P878)),ISNUMBER(SEARCH("justice",P878))),"Civil rights &amp; justice",IF(OR(ISNUMBER(SEARCH("road",P878)),ISNUMBER(SEARCH("utility",P878)),ISNUMBER(SEARCH("infrastructure",P878)),ISNUMBER(SEARCH("public service",P878))),"Infrastructure &amp; public services","Other"))))))))))))</x:f>
      </x:c>
      <x:c r="J878" s="16" t="str">
        <x:f>IF(A878="","",IF(OR(ISNUMBER(SEARCH("fatal",Q878)),ISNUMBER(SEARCH("death",Q878)),ISNUMBER(SEARCH("riot",Q878)),ISNUMBER(SEARCH("curfew",Q878)),ISNUMBER(SEARCH("internet shutdown",Q878))),5,MIN(4,1+IF(H878&gt;=7,1,0)+IF(OR(ISNUMBER(SEARCH("hunger strike",Q878)),ISNUMBER(SEARCH("blockade",Q878)),ISNUMBER(SEARCH("strike",Q878)),ISNUMBER(SEARCH("jal satyagraha",Q878)),ISNUMBER(SEARCH("survey",Q878)),ISNUMBER(SEARCH("human chain",Q878)),ISNUMBER(SEARCH("march",Q878))),1,0)+IF(OR(ISNUMBER(SEARCH("fir",Q878)),ISNUMBER(SEARCH("confrontation",Q878)),ISNUMBER(SEARCH("violence",Q878)),ISNUMBER(SEARCH("detention",Q878)),ISNUMBER(SEARCH("arrest",Q878)),ISNUMBER(SEARCH("demolition",Q878)),ISNUMBER(SEARCH("injury",Q878))),1,0)+IF(OR(D878="Ongoing",D878="Unresolved"),1,0))))</x:f>
      </x:c>
      <x:c r="K878" s="16" t="str">
        <x:f>IF(J878="","",IF(J878=1,"Limited",IF(J878=2,"Local",IF(J878=3,"Significant",IF(J878=4,"High","Critical")))))</x:f>
      </x:c>
      <x:c r="L878" s="16" t="str">
        <x:f>IF(A878="","",Events!U877)</x:f>
      </x:c>
      <x:c r="M878" s="16" t="str">
        <x:f>IF(A878="","",Events!V877)</x:f>
      </x:c>
      <x:c r="N878" s="16" t="str">
        <x:f>IF(A878="","",Events!Q877)</x:f>
      </x:c>
      <x:c r="O878" s="16" t="str">
        <x:f>IF(A878="","",Events!R877)</x:f>
      </x:c>
      <x:c r="P878" s="16" t="str">
        <x:f>IF(A878="","",LOWER(Events!B877&amp;" "&amp;Events!D877&amp;" "&amp;Events!K877))</x:f>
      </x:c>
      <x:c r="Q878" s="16" t="str">
        <x:f>IF(A878="","",LOWER(Events!C877&amp;" "&amp;Events!K877&amp;" "&amp;Events!T877))</x:f>
      </x:c>
      <x:c r="R878" s="16" t="str">
        <x:f>IF(A878="","",IF(ISNUMBER(SEARCH("Occurrence verified",E878)),"Occurrence verified",E878))</x:f>
      </x:c>
      <x:c r="S878" s="79" t="str">
        <x:f>IF(A878="","",Events!X877)</x:f>
      </x:c>
      <x:c r="Z878" s="79" t="str">
        <x:f>IF(A878="","",Events!AD877)</x:f>
      </x:c>
      <x:c r="AA878" s="79" t="str">
        <x:f>IF(A878="","",Events!AE877)</x:f>
      </x:c>
    </x:row>
    <x:row r="879">
      <x:c r="A879" s="16" t="str">
        <x:f>IF(Events!A878="","",Events!A878)</x:f>
      </x:c>
      <x:c r="B879" s="16" t="str">
        <x:f>IF(A879="","",Events!B878)</x:f>
      </x:c>
      <x:c r="C879" s="16" t="str">
        <x:f>IF(A879="","",Events!E878)</x:f>
      </x:c>
      <x:c r="D879" s="16" t="str">
        <x:f>IF(A879="","",Events!J878)</x:f>
      </x:c>
      <x:c r="E879" s="16" t="str">
        <x:f>IF(A879="","",Events!N878)</x:f>
      </x:c>
      <x:c r="F879" s="109" t="str">
        <x:f>IF(OR(A879="",Events!H878=""),"",Events!H878)</x:f>
      </x:c>
      <x:c r="G879" s="109" t="str">
        <x:f>IF(A879="","",IF(Events!I878&lt;&gt;"",Events!I878,IF(Events!S878&lt;&gt;"",Events!S878,"")))</x:f>
      </x:c>
      <x:c r="H879" s="16" t="str">
        <x:f>IF(A879="","",Events!W878)</x:f>
      </x:c>
      <x:c r="I879" s="16" t="str">
        <x:f>IF(A879="","",IF(Events!Y878&lt;&gt;"",Events!Y878,IF(OR(ISNUMBER(SEARCH("education",P879)),ISNUMBER(SEARCH("exam",P879)),ISNUMBER(SEARCH("school",P879))),"Education",IF(OR(ISNUMBER(SEARCH("trade agreement",P879)),ISNUMBER(SEARCH("economic",P879)),ISNUMBER(SEARCH("import",P879))),"Trade &amp; economic policy",IF(OR(ISNUMBER(SEARCH("land acquisition",P879)),ISNUMBER(SEARCH("rehabilitation",P879)),ISNUMBER(SEARCH("displacement",P879)),ISNUMBER(SEARCH("township",P879))),"Land &amp; rehabilitation",IF(OR(ISNUMBER(SEARCH("forest",P879)),ISNUMBER(SEARCH("environment",P879)),ISNUMBER(SEARCH("ecological",P879)),ISNUMBER(SEARCH("biodiversity",P879)),ISNUMBER(SEARCH("green cover",P879))),"Environment",IF(OR(ISNUMBER(SEARCH("irrigation",P879)),ISNUMBER(SEARCH("water",P879)),ISNUMBER(SEARCH("crop",P879)),ISNUMBER(SEARCH("farmer",P879)),ISNUMBER(SEARCH("agriculture",P879))),"Agriculture &amp; water",IF(OR(ISNUMBER(SEARCH("health",P879)),ISNUMBER(SEARCH("hospital",P879)),ISNUMBER(SEARCH("medicine",P879))),"Public health",IF(OR(ISNUMBER(SEARCH("employee",P879)),ISNUMBER(SEARCH("labour",P879)),ISNUMBER(SEARCH("worker",P879)),ISNUMBER(SEARCH("salary",P879))),"Labour &amp; employment",IF(OR(ISNUMBER(SEARCH("rti",P879)),ISNUMBER(SEARCH("transparency",P879)),ISNUMBER(SEARCH("corruption",P879)),ISNUMBER(SEARCH("governance",P879))),"Governance &amp; transparency",IF(OR(ISNUMBER(SEARCH("police",P879)),ISNUMBER(SEARCH("detention",P879)),ISNUMBER(SEARCH("civil rights",P879)),ISNUMBER(SEARCH("justice",P879))),"Civil rights &amp; justice",IF(OR(ISNUMBER(SEARCH("road",P879)),ISNUMBER(SEARCH("utility",P879)),ISNUMBER(SEARCH("infrastructure",P879)),ISNUMBER(SEARCH("public service",P879))),"Infrastructure &amp; public services","Other"))))))))))))</x:f>
      </x:c>
      <x:c r="J879" s="16" t="str">
        <x:f>IF(A879="","",IF(OR(ISNUMBER(SEARCH("fatal",Q879)),ISNUMBER(SEARCH("death",Q879)),ISNUMBER(SEARCH("riot",Q879)),ISNUMBER(SEARCH("curfew",Q879)),ISNUMBER(SEARCH("internet shutdown",Q879))),5,MIN(4,1+IF(H879&gt;=7,1,0)+IF(OR(ISNUMBER(SEARCH("hunger strike",Q879)),ISNUMBER(SEARCH("blockade",Q879)),ISNUMBER(SEARCH("strike",Q879)),ISNUMBER(SEARCH("jal satyagraha",Q879)),ISNUMBER(SEARCH("survey",Q879)),ISNUMBER(SEARCH("human chain",Q879)),ISNUMBER(SEARCH("march",Q879))),1,0)+IF(OR(ISNUMBER(SEARCH("fir",Q879)),ISNUMBER(SEARCH("confrontation",Q879)),ISNUMBER(SEARCH("violence",Q879)),ISNUMBER(SEARCH("detention",Q879)),ISNUMBER(SEARCH("arrest",Q879)),ISNUMBER(SEARCH("demolition",Q879)),ISNUMBER(SEARCH("injury",Q879))),1,0)+IF(OR(D879="Ongoing",D879="Unresolved"),1,0))))</x:f>
      </x:c>
      <x:c r="K879" s="16" t="str">
        <x:f>IF(J879="","",IF(J879=1,"Limited",IF(J879=2,"Local",IF(J879=3,"Significant",IF(J879=4,"High","Critical")))))</x:f>
      </x:c>
      <x:c r="L879" s="16" t="str">
        <x:f>IF(A879="","",Events!U878)</x:f>
      </x:c>
      <x:c r="M879" s="16" t="str">
        <x:f>IF(A879="","",Events!V878)</x:f>
      </x:c>
      <x:c r="N879" s="16" t="str">
        <x:f>IF(A879="","",Events!Q878)</x:f>
      </x:c>
      <x:c r="O879" s="16" t="str">
        <x:f>IF(A879="","",Events!R878)</x:f>
      </x:c>
      <x:c r="P879" s="16" t="str">
        <x:f>IF(A879="","",LOWER(Events!B878&amp;" "&amp;Events!D878&amp;" "&amp;Events!K878))</x:f>
      </x:c>
      <x:c r="Q879" s="16" t="str">
        <x:f>IF(A879="","",LOWER(Events!C878&amp;" "&amp;Events!K878&amp;" "&amp;Events!T878))</x:f>
      </x:c>
      <x:c r="R879" s="16" t="str">
        <x:f>IF(A879="","",IF(ISNUMBER(SEARCH("Occurrence verified",E879)),"Occurrence verified",E879))</x:f>
      </x:c>
      <x:c r="S879" s="79" t="str">
        <x:f>IF(A879="","",Events!X878)</x:f>
      </x:c>
      <x:c r="Z879" s="79" t="str">
        <x:f>IF(A879="","",Events!AD878)</x:f>
      </x:c>
      <x:c r="AA879" s="79" t="str">
        <x:f>IF(A879="","",Events!AE878)</x:f>
      </x:c>
    </x:row>
    <x:row r="880">
      <x:c r="A880" s="16" t="str">
        <x:f>IF(Events!A879="","",Events!A879)</x:f>
      </x:c>
      <x:c r="B880" s="16" t="str">
        <x:f>IF(A880="","",Events!B879)</x:f>
      </x:c>
      <x:c r="C880" s="16" t="str">
        <x:f>IF(A880="","",Events!E879)</x:f>
      </x:c>
      <x:c r="D880" s="16" t="str">
        <x:f>IF(A880="","",Events!J879)</x:f>
      </x:c>
      <x:c r="E880" s="16" t="str">
        <x:f>IF(A880="","",Events!N879)</x:f>
      </x:c>
      <x:c r="F880" s="109" t="str">
        <x:f>IF(OR(A880="",Events!H879=""),"",Events!H879)</x:f>
      </x:c>
      <x:c r="G880" s="109" t="str">
        <x:f>IF(A880="","",IF(Events!I879&lt;&gt;"",Events!I879,IF(Events!S879&lt;&gt;"",Events!S879,"")))</x:f>
      </x:c>
      <x:c r="H880" s="16" t="str">
        <x:f>IF(A880="","",Events!W879)</x:f>
      </x:c>
      <x:c r="I880" s="16" t="str">
        <x:f>IF(A880="","",IF(Events!Y879&lt;&gt;"",Events!Y879,IF(OR(ISNUMBER(SEARCH("education",P880)),ISNUMBER(SEARCH("exam",P880)),ISNUMBER(SEARCH("school",P880))),"Education",IF(OR(ISNUMBER(SEARCH("trade agreement",P880)),ISNUMBER(SEARCH("economic",P880)),ISNUMBER(SEARCH("import",P880))),"Trade &amp; economic policy",IF(OR(ISNUMBER(SEARCH("land acquisition",P880)),ISNUMBER(SEARCH("rehabilitation",P880)),ISNUMBER(SEARCH("displacement",P880)),ISNUMBER(SEARCH("township",P880))),"Land &amp; rehabilitation",IF(OR(ISNUMBER(SEARCH("forest",P880)),ISNUMBER(SEARCH("environment",P880)),ISNUMBER(SEARCH("ecological",P880)),ISNUMBER(SEARCH("biodiversity",P880)),ISNUMBER(SEARCH("green cover",P880))),"Environment",IF(OR(ISNUMBER(SEARCH("irrigation",P880)),ISNUMBER(SEARCH("water",P880)),ISNUMBER(SEARCH("crop",P880)),ISNUMBER(SEARCH("farmer",P880)),ISNUMBER(SEARCH("agriculture",P880))),"Agriculture &amp; water",IF(OR(ISNUMBER(SEARCH("health",P880)),ISNUMBER(SEARCH("hospital",P880)),ISNUMBER(SEARCH("medicine",P880))),"Public health",IF(OR(ISNUMBER(SEARCH("employee",P880)),ISNUMBER(SEARCH("labour",P880)),ISNUMBER(SEARCH("worker",P880)),ISNUMBER(SEARCH("salary",P880))),"Labour &amp; employment",IF(OR(ISNUMBER(SEARCH("rti",P880)),ISNUMBER(SEARCH("transparency",P880)),ISNUMBER(SEARCH("corruption",P880)),ISNUMBER(SEARCH("governance",P880))),"Governance &amp; transparency",IF(OR(ISNUMBER(SEARCH("police",P880)),ISNUMBER(SEARCH("detention",P880)),ISNUMBER(SEARCH("civil rights",P880)),ISNUMBER(SEARCH("justice",P880))),"Civil rights &amp; justice",IF(OR(ISNUMBER(SEARCH("road",P880)),ISNUMBER(SEARCH("utility",P880)),ISNUMBER(SEARCH("infrastructure",P880)),ISNUMBER(SEARCH("public service",P880))),"Infrastructure &amp; public services","Other"))))))))))))</x:f>
      </x:c>
      <x:c r="J880" s="16" t="str">
        <x:f>IF(A880="","",IF(OR(ISNUMBER(SEARCH("fatal",Q880)),ISNUMBER(SEARCH("death",Q880)),ISNUMBER(SEARCH("riot",Q880)),ISNUMBER(SEARCH("curfew",Q880)),ISNUMBER(SEARCH("internet shutdown",Q880))),5,MIN(4,1+IF(H880&gt;=7,1,0)+IF(OR(ISNUMBER(SEARCH("hunger strike",Q880)),ISNUMBER(SEARCH("blockade",Q880)),ISNUMBER(SEARCH("strike",Q880)),ISNUMBER(SEARCH("jal satyagraha",Q880)),ISNUMBER(SEARCH("survey",Q880)),ISNUMBER(SEARCH("human chain",Q880)),ISNUMBER(SEARCH("march",Q880))),1,0)+IF(OR(ISNUMBER(SEARCH("fir",Q880)),ISNUMBER(SEARCH("confrontation",Q880)),ISNUMBER(SEARCH("violence",Q880)),ISNUMBER(SEARCH("detention",Q880)),ISNUMBER(SEARCH("arrest",Q880)),ISNUMBER(SEARCH("demolition",Q880)),ISNUMBER(SEARCH("injury",Q880))),1,0)+IF(OR(D880="Ongoing",D880="Unresolved"),1,0))))</x:f>
      </x:c>
      <x:c r="K880" s="16" t="str">
        <x:f>IF(J880="","",IF(J880=1,"Limited",IF(J880=2,"Local",IF(J880=3,"Significant",IF(J880=4,"High","Critical")))))</x:f>
      </x:c>
      <x:c r="L880" s="16" t="str">
        <x:f>IF(A880="","",Events!U879)</x:f>
      </x:c>
      <x:c r="M880" s="16" t="str">
        <x:f>IF(A880="","",Events!V879)</x:f>
      </x:c>
      <x:c r="N880" s="16" t="str">
        <x:f>IF(A880="","",Events!Q879)</x:f>
      </x:c>
      <x:c r="O880" s="16" t="str">
        <x:f>IF(A880="","",Events!R879)</x:f>
      </x:c>
      <x:c r="P880" s="16" t="str">
        <x:f>IF(A880="","",LOWER(Events!B879&amp;" "&amp;Events!D879&amp;" "&amp;Events!K879))</x:f>
      </x:c>
      <x:c r="Q880" s="16" t="str">
        <x:f>IF(A880="","",LOWER(Events!C879&amp;" "&amp;Events!K879&amp;" "&amp;Events!T879))</x:f>
      </x:c>
      <x:c r="R880" s="16" t="str">
        <x:f>IF(A880="","",IF(ISNUMBER(SEARCH("Occurrence verified",E880)),"Occurrence verified",E880))</x:f>
      </x:c>
      <x:c r="S880" s="79" t="str">
        <x:f>IF(A880="","",Events!X879)</x:f>
      </x:c>
      <x:c r="Z880" s="79" t="str">
        <x:f>IF(A880="","",Events!AD879)</x:f>
      </x:c>
      <x:c r="AA880" s="79" t="str">
        <x:f>IF(A880="","",Events!AE879)</x:f>
      </x:c>
    </x:row>
    <x:row r="881">
      <x:c r="A881" s="16" t="str">
        <x:f>IF(Events!A880="","",Events!A880)</x:f>
      </x:c>
      <x:c r="B881" s="16" t="str">
        <x:f>IF(A881="","",Events!B880)</x:f>
      </x:c>
      <x:c r="C881" s="16" t="str">
        <x:f>IF(A881="","",Events!E880)</x:f>
      </x:c>
      <x:c r="D881" s="16" t="str">
        <x:f>IF(A881="","",Events!J880)</x:f>
      </x:c>
      <x:c r="E881" s="16" t="str">
        <x:f>IF(A881="","",Events!N880)</x:f>
      </x:c>
      <x:c r="F881" s="109" t="str">
        <x:f>IF(OR(A881="",Events!H880=""),"",Events!H880)</x:f>
      </x:c>
      <x:c r="G881" s="109" t="str">
        <x:f>IF(A881="","",IF(Events!I880&lt;&gt;"",Events!I880,IF(Events!S880&lt;&gt;"",Events!S880,"")))</x:f>
      </x:c>
      <x:c r="H881" s="16" t="str">
        <x:f>IF(A881="","",Events!W880)</x:f>
      </x:c>
      <x:c r="I881" s="16" t="str">
        <x:f>IF(A881="","",IF(Events!Y880&lt;&gt;"",Events!Y880,IF(OR(ISNUMBER(SEARCH("education",P881)),ISNUMBER(SEARCH("exam",P881)),ISNUMBER(SEARCH("school",P881))),"Education",IF(OR(ISNUMBER(SEARCH("trade agreement",P881)),ISNUMBER(SEARCH("economic",P881)),ISNUMBER(SEARCH("import",P881))),"Trade &amp; economic policy",IF(OR(ISNUMBER(SEARCH("land acquisition",P881)),ISNUMBER(SEARCH("rehabilitation",P881)),ISNUMBER(SEARCH("displacement",P881)),ISNUMBER(SEARCH("township",P881))),"Land &amp; rehabilitation",IF(OR(ISNUMBER(SEARCH("forest",P881)),ISNUMBER(SEARCH("environment",P881)),ISNUMBER(SEARCH("ecological",P881)),ISNUMBER(SEARCH("biodiversity",P881)),ISNUMBER(SEARCH("green cover",P881))),"Environment",IF(OR(ISNUMBER(SEARCH("irrigation",P881)),ISNUMBER(SEARCH("water",P881)),ISNUMBER(SEARCH("crop",P881)),ISNUMBER(SEARCH("farmer",P881)),ISNUMBER(SEARCH("agriculture",P881))),"Agriculture &amp; water",IF(OR(ISNUMBER(SEARCH("health",P881)),ISNUMBER(SEARCH("hospital",P881)),ISNUMBER(SEARCH("medicine",P881))),"Public health",IF(OR(ISNUMBER(SEARCH("employee",P881)),ISNUMBER(SEARCH("labour",P881)),ISNUMBER(SEARCH("worker",P881)),ISNUMBER(SEARCH("salary",P881))),"Labour &amp; employment",IF(OR(ISNUMBER(SEARCH("rti",P881)),ISNUMBER(SEARCH("transparency",P881)),ISNUMBER(SEARCH("corruption",P881)),ISNUMBER(SEARCH("governance",P881))),"Governance &amp; transparency",IF(OR(ISNUMBER(SEARCH("police",P881)),ISNUMBER(SEARCH("detention",P881)),ISNUMBER(SEARCH("civil rights",P881)),ISNUMBER(SEARCH("justice",P881))),"Civil rights &amp; justice",IF(OR(ISNUMBER(SEARCH("road",P881)),ISNUMBER(SEARCH("utility",P881)),ISNUMBER(SEARCH("infrastructure",P881)),ISNUMBER(SEARCH("public service",P881))),"Infrastructure &amp; public services","Other"))))))))))))</x:f>
      </x:c>
      <x:c r="J881" s="16" t="str">
        <x:f>IF(A881="","",IF(OR(ISNUMBER(SEARCH("fatal",Q881)),ISNUMBER(SEARCH("death",Q881)),ISNUMBER(SEARCH("riot",Q881)),ISNUMBER(SEARCH("curfew",Q881)),ISNUMBER(SEARCH("internet shutdown",Q881))),5,MIN(4,1+IF(H881&gt;=7,1,0)+IF(OR(ISNUMBER(SEARCH("hunger strike",Q881)),ISNUMBER(SEARCH("blockade",Q881)),ISNUMBER(SEARCH("strike",Q881)),ISNUMBER(SEARCH("jal satyagraha",Q881)),ISNUMBER(SEARCH("survey",Q881)),ISNUMBER(SEARCH("human chain",Q881)),ISNUMBER(SEARCH("march",Q881))),1,0)+IF(OR(ISNUMBER(SEARCH("fir",Q881)),ISNUMBER(SEARCH("confrontation",Q881)),ISNUMBER(SEARCH("violence",Q881)),ISNUMBER(SEARCH("detention",Q881)),ISNUMBER(SEARCH("arrest",Q881)),ISNUMBER(SEARCH("demolition",Q881)),ISNUMBER(SEARCH("injury",Q881))),1,0)+IF(OR(D881="Ongoing",D881="Unresolved"),1,0))))</x:f>
      </x:c>
      <x:c r="K881" s="16" t="str">
        <x:f>IF(J881="","",IF(J881=1,"Limited",IF(J881=2,"Local",IF(J881=3,"Significant",IF(J881=4,"High","Critical")))))</x:f>
      </x:c>
      <x:c r="L881" s="16" t="str">
        <x:f>IF(A881="","",Events!U880)</x:f>
      </x:c>
      <x:c r="M881" s="16" t="str">
        <x:f>IF(A881="","",Events!V880)</x:f>
      </x:c>
      <x:c r="N881" s="16" t="str">
        <x:f>IF(A881="","",Events!Q880)</x:f>
      </x:c>
      <x:c r="O881" s="16" t="str">
        <x:f>IF(A881="","",Events!R880)</x:f>
      </x:c>
      <x:c r="P881" s="16" t="str">
        <x:f>IF(A881="","",LOWER(Events!B880&amp;" "&amp;Events!D880&amp;" "&amp;Events!K880))</x:f>
      </x:c>
      <x:c r="Q881" s="16" t="str">
        <x:f>IF(A881="","",LOWER(Events!C880&amp;" "&amp;Events!K880&amp;" "&amp;Events!T880))</x:f>
      </x:c>
      <x:c r="R881" s="16" t="str">
        <x:f>IF(A881="","",IF(ISNUMBER(SEARCH("Occurrence verified",E881)),"Occurrence verified",E881))</x:f>
      </x:c>
      <x:c r="S881" s="79" t="str">
        <x:f>IF(A881="","",Events!X880)</x:f>
      </x:c>
      <x:c r="Z881" s="79" t="str">
        <x:f>IF(A881="","",Events!AD880)</x:f>
      </x:c>
      <x:c r="AA881" s="79" t="str">
        <x:f>IF(A881="","",Events!AE880)</x:f>
      </x:c>
    </x:row>
    <x:row r="882">
      <x:c r="A882" s="16" t="str">
        <x:f>IF(Events!A881="","",Events!A881)</x:f>
      </x:c>
      <x:c r="B882" s="16" t="str">
        <x:f>IF(A882="","",Events!B881)</x:f>
      </x:c>
      <x:c r="C882" s="16" t="str">
        <x:f>IF(A882="","",Events!E881)</x:f>
      </x:c>
      <x:c r="D882" s="16" t="str">
        <x:f>IF(A882="","",Events!J881)</x:f>
      </x:c>
      <x:c r="E882" s="16" t="str">
        <x:f>IF(A882="","",Events!N881)</x:f>
      </x:c>
      <x:c r="F882" s="109" t="str">
        <x:f>IF(OR(A882="",Events!H881=""),"",Events!H881)</x:f>
      </x:c>
      <x:c r="G882" s="109" t="str">
        <x:f>IF(A882="","",IF(Events!I881&lt;&gt;"",Events!I881,IF(Events!S881&lt;&gt;"",Events!S881,"")))</x:f>
      </x:c>
      <x:c r="H882" s="16" t="str">
        <x:f>IF(A882="","",Events!W881)</x:f>
      </x:c>
      <x:c r="I882" s="16" t="str">
        <x:f>IF(A882="","",IF(Events!Y881&lt;&gt;"",Events!Y881,IF(OR(ISNUMBER(SEARCH("education",P882)),ISNUMBER(SEARCH("exam",P882)),ISNUMBER(SEARCH("school",P882))),"Education",IF(OR(ISNUMBER(SEARCH("trade agreement",P882)),ISNUMBER(SEARCH("economic",P882)),ISNUMBER(SEARCH("import",P882))),"Trade &amp; economic policy",IF(OR(ISNUMBER(SEARCH("land acquisition",P882)),ISNUMBER(SEARCH("rehabilitation",P882)),ISNUMBER(SEARCH("displacement",P882)),ISNUMBER(SEARCH("township",P882))),"Land &amp; rehabilitation",IF(OR(ISNUMBER(SEARCH("forest",P882)),ISNUMBER(SEARCH("environment",P882)),ISNUMBER(SEARCH("ecological",P882)),ISNUMBER(SEARCH("biodiversity",P882)),ISNUMBER(SEARCH("green cover",P882))),"Environment",IF(OR(ISNUMBER(SEARCH("irrigation",P882)),ISNUMBER(SEARCH("water",P882)),ISNUMBER(SEARCH("crop",P882)),ISNUMBER(SEARCH("farmer",P882)),ISNUMBER(SEARCH("agriculture",P882))),"Agriculture &amp; water",IF(OR(ISNUMBER(SEARCH("health",P882)),ISNUMBER(SEARCH("hospital",P882)),ISNUMBER(SEARCH("medicine",P882))),"Public health",IF(OR(ISNUMBER(SEARCH("employee",P882)),ISNUMBER(SEARCH("labour",P882)),ISNUMBER(SEARCH("worker",P882)),ISNUMBER(SEARCH("salary",P882))),"Labour &amp; employment",IF(OR(ISNUMBER(SEARCH("rti",P882)),ISNUMBER(SEARCH("transparency",P882)),ISNUMBER(SEARCH("corruption",P882)),ISNUMBER(SEARCH("governance",P882))),"Governance &amp; transparency",IF(OR(ISNUMBER(SEARCH("police",P882)),ISNUMBER(SEARCH("detention",P882)),ISNUMBER(SEARCH("civil rights",P882)),ISNUMBER(SEARCH("justice",P882))),"Civil rights &amp; justice",IF(OR(ISNUMBER(SEARCH("road",P882)),ISNUMBER(SEARCH("utility",P882)),ISNUMBER(SEARCH("infrastructure",P882)),ISNUMBER(SEARCH("public service",P882))),"Infrastructure &amp; public services","Other"))))))))))))</x:f>
      </x:c>
      <x:c r="J882" s="16" t="str">
        <x:f>IF(A882="","",IF(OR(ISNUMBER(SEARCH("fatal",Q882)),ISNUMBER(SEARCH("death",Q882)),ISNUMBER(SEARCH("riot",Q882)),ISNUMBER(SEARCH("curfew",Q882)),ISNUMBER(SEARCH("internet shutdown",Q882))),5,MIN(4,1+IF(H882&gt;=7,1,0)+IF(OR(ISNUMBER(SEARCH("hunger strike",Q882)),ISNUMBER(SEARCH("blockade",Q882)),ISNUMBER(SEARCH("strike",Q882)),ISNUMBER(SEARCH("jal satyagraha",Q882)),ISNUMBER(SEARCH("survey",Q882)),ISNUMBER(SEARCH("human chain",Q882)),ISNUMBER(SEARCH("march",Q882))),1,0)+IF(OR(ISNUMBER(SEARCH("fir",Q882)),ISNUMBER(SEARCH("confrontation",Q882)),ISNUMBER(SEARCH("violence",Q882)),ISNUMBER(SEARCH("detention",Q882)),ISNUMBER(SEARCH("arrest",Q882)),ISNUMBER(SEARCH("demolition",Q882)),ISNUMBER(SEARCH("injury",Q882))),1,0)+IF(OR(D882="Ongoing",D882="Unresolved"),1,0))))</x:f>
      </x:c>
      <x:c r="K882" s="16" t="str">
        <x:f>IF(J882="","",IF(J882=1,"Limited",IF(J882=2,"Local",IF(J882=3,"Significant",IF(J882=4,"High","Critical")))))</x:f>
      </x:c>
      <x:c r="L882" s="16" t="str">
        <x:f>IF(A882="","",Events!U881)</x:f>
      </x:c>
      <x:c r="M882" s="16" t="str">
        <x:f>IF(A882="","",Events!V881)</x:f>
      </x:c>
      <x:c r="N882" s="16" t="str">
        <x:f>IF(A882="","",Events!Q881)</x:f>
      </x:c>
      <x:c r="O882" s="16" t="str">
        <x:f>IF(A882="","",Events!R881)</x:f>
      </x:c>
      <x:c r="P882" s="16" t="str">
        <x:f>IF(A882="","",LOWER(Events!B881&amp;" "&amp;Events!D881&amp;" "&amp;Events!K881))</x:f>
      </x:c>
      <x:c r="Q882" s="16" t="str">
        <x:f>IF(A882="","",LOWER(Events!C881&amp;" "&amp;Events!K881&amp;" "&amp;Events!T881))</x:f>
      </x:c>
      <x:c r="R882" s="16" t="str">
        <x:f>IF(A882="","",IF(ISNUMBER(SEARCH("Occurrence verified",E882)),"Occurrence verified",E882))</x:f>
      </x:c>
      <x:c r="S882" s="79" t="str">
        <x:f>IF(A882="","",Events!X881)</x:f>
      </x:c>
      <x:c r="Z882" s="79" t="str">
        <x:f>IF(A882="","",Events!AD881)</x:f>
      </x:c>
      <x:c r="AA882" s="79" t="str">
        <x:f>IF(A882="","",Events!AE881)</x:f>
      </x:c>
    </x:row>
    <x:row r="883">
      <x:c r="A883" s="16" t="str">
        <x:f>IF(Events!A882="","",Events!A882)</x:f>
      </x:c>
      <x:c r="B883" s="16" t="str">
        <x:f>IF(A883="","",Events!B882)</x:f>
      </x:c>
      <x:c r="C883" s="16" t="str">
        <x:f>IF(A883="","",Events!E882)</x:f>
      </x:c>
      <x:c r="D883" s="16" t="str">
        <x:f>IF(A883="","",Events!J882)</x:f>
      </x:c>
      <x:c r="E883" s="16" t="str">
        <x:f>IF(A883="","",Events!N882)</x:f>
      </x:c>
      <x:c r="F883" s="109" t="str">
        <x:f>IF(OR(A883="",Events!H882=""),"",Events!H882)</x:f>
      </x:c>
      <x:c r="G883" s="109" t="str">
        <x:f>IF(A883="","",IF(Events!I882&lt;&gt;"",Events!I882,IF(Events!S882&lt;&gt;"",Events!S882,"")))</x:f>
      </x:c>
      <x:c r="H883" s="16" t="str">
        <x:f>IF(A883="","",Events!W882)</x:f>
      </x:c>
      <x:c r="I883" s="16" t="str">
        <x:f>IF(A883="","",IF(Events!Y882&lt;&gt;"",Events!Y882,IF(OR(ISNUMBER(SEARCH("education",P883)),ISNUMBER(SEARCH("exam",P883)),ISNUMBER(SEARCH("school",P883))),"Education",IF(OR(ISNUMBER(SEARCH("trade agreement",P883)),ISNUMBER(SEARCH("economic",P883)),ISNUMBER(SEARCH("import",P883))),"Trade &amp; economic policy",IF(OR(ISNUMBER(SEARCH("land acquisition",P883)),ISNUMBER(SEARCH("rehabilitation",P883)),ISNUMBER(SEARCH("displacement",P883)),ISNUMBER(SEARCH("township",P883))),"Land &amp; rehabilitation",IF(OR(ISNUMBER(SEARCH("forest",P883)),ISNUMBER(SEARCH("environment",P883)),ISNUMBER(SEARCH("ecological",P883)),ISNUMBER(SEARCH("biodiversity",P883)),ISNUMBER(SEARCH("green cover",P883))),"Environment",IF(OR(ISNUMBER(SEARCH("irrigation",P883)),ISNUMBER(SEARCH("water",P883)),ISNUMBER(SEARCH("crop",P883)),ISNUMBER(SEARCH("farmer",P883)),ISNUMBER(SEARCH("agriculture",P883))),"Agriculture &amp; water",IF(OR(ISNUMBER(SEARCH("health",P883)),ISNUMBER(SEARCH("hospital",P883)),ISNUMBER(SEARCH("medicine",P883))),"Public health",IF(OR(ISNUMBER(SEARCH("employee",P883)),ISNUMBER(SEARCH("labour",P883)),ISNUMBER(SEARCH("worker",P883)),ISNUMBER(SEARCH("salary",P883))),"Labour &amp; employment",IF(OR(ISNUMBER(SEARCH("rti",P883)),ISNUMBER(SEARCH("transparency",P883)),ISNUMBER(SEARCH("corruption",P883)),ISNUMBER(SEARCH("governance",P883))),"Governance &amp; transparency",IF(OR(ISNUMBER(SEARCH("police",P883)),ISNUMBER(SEARCH("detention",P883)),ISNUMBER(SEARCH("civil rights",P883)),ISNUMBER(SEARCH("justice",P883))),"Civil rights &amp; justice",IF(OR(ISNUMBER(SEARCH("road",P883)),ISNUMBER(SEARCH("utility",P883)),ISNUMBER(SEARCH("infrastructure",P883)),ISNUMBER(SEARCH("public service",P883))),"Infrastructure &amp; public services","Other"))))))))))))</x:f>
      </x:c>
      <x:c r="J883" s="16" t="str">
        <x:f>IF(A883="","",IF(OR(ISNUMBER(SEARCH("fatal",Q883)),ISNUMBER(SEARCH("death",Q883)),ISNUMBER(SEARCH("riot",Q883)),ISNUMBER(SEARCH("curfew",Q883)),ISNUMBER(SEARCH("internet shutdown",Q883))),5,MIN(4,1+IF(H883&gt;=7,1,0)+IF(OR(ISNUMBER(SEARCH("hunger strike",Q883)),ISNUMBER(SEARCH("blockade",Q883)),ISNUMBER(SEARCH("strike",Q883)),ISNUMBER(SEARCH("jal satyagraha",Q883)),ISNUMBER(SEARCH("survey",Q883)),ISNUMBER(SEARCH("human chain",Q883)),ISNUMBER(SEARCH("march",Q883))),1,0)+IF(OR(ISNUMBER(SEARCH("fir",Q883)),ISNUMBER(SEARCH("confrontation",Q883)),ISNUMBER(SEARCH("violence",Q883)),ISNUMBER(SEARCH("detention",Q883)),ISNUMBER(SEARCH("arrest",Q883)),ISNUMBER(SEARCH("demolition",Q883)),ISNUMBER(SEARCH("injury",Q883))),1,0)+IF(OR(D883="Ongoing",D883="Unresolved"),1,0))))</x:f>
      </x:c>
      <x:c r="K883" s="16" t="str">
        <x:f>IF(J883="","",IF(J883=1,"Limited",IF(J883=2,"Local",IF(J883=3,"Significant",IF(J883=4,"High","Critical")))))</x:f>
      </x:c>
      <x:c r="L883" s="16" t="str">
        <x:f>IF(A883="","",Events!U882)</x:f>
      </x:c>
      <x:c r="M883" s="16" t="str">
        <x:f>IF(A883="","",Events!V882)</x:f>
      </x:c>
      <x:c r="N883" s="16" t="str">
        <x:f>IF(A883="","",Events!Q882)</x:f>
      </x:c>
      <x:c r="O883" s="16" t="str">
        <x:f>IF(A883="","",Events!R882)</x:f>
      </x:c>
      <x:c r="P883" s="16" t="str">
        <x:f>IF(A883="","",LOWER(Events!B882&amp;" "&amp;Events!D882&amp;" "&amp;Events!K882))</x:f>
      </x:c>
      <x:c r="Q883" s="16" t="str">
        <x:f>IF(A883="","",LOWER(Events!C882&amp;" "&amp;Events!K882&amp;" "&amp;Events!T882))</x:f>
      </x:c>
      <x:c r="R883" s="16" t="str">
        <x:f>IF(A883="","",IF(ISNUMBER(SEARCH("Occurrence verified",E883)),"Occurrence verified",E883))</x:f>
      </x:c>
      <x:c r="S883" s="79" t="str">
        <x:f>IF(A883="","",Events!X882)</x:f>
      </x:c>
      <x:c r="Z883" s="79" t="str">
        <x:f>IF(A883="","",Events!AD882)</x:f>
      </x:c>
      <x:c r="AA883" s="79" t="str">
        <x:f>IF(A883="","",Events!AE882)</x:f>
      </x:c>
    </x:row>
    <x:row r="884">
      <x:c r="A884" s="16" t="str">
        <x:f>IF(Events!A883="","",Events!A883)</x:f>
      </x:c>
      <x:c r="B884" s="16" t="str">
        <x:f>IF(A884="","",Events!B883)</x:f>
      </x:c>
      <x:c r="C884" s="16" t="str">
        <x:f>IF(A884="","",Events!E883)</x:f>
      </x:c>
      <x:c r="D884" s="16" t="str">
        <x:f>IF(A884="","",Events!J883)</x:f>
      </x:c>
      <x:c r="E884" s="16" t="str">
        <x:f>IF(A884="","",Events!N883)</x:f>
      </x:c>
      <x:c r="F884" s="109" t="str">
        <x:f>IF(OR(A884="",Events!H883=""),"",Events!H883)</x:f>
      </x:c>
      <x:c r="G884" s="109" t="str">
        <x:f>IF(A884="","",IF(Events!I883&lt;&gt;"",Events!I883,IF(Events!S883&lt;&gt;"",Events!S883,"")))</x:f>
      </x:c>
      <x:c r="H884" s="16" t="str">
        <x:f>IF(A884="","",Events!W883)</x:f>
      </x:c>
      <x:c r="I884" s="16" t="str">
        <x:f>IF(A884="","",IF(Events!Y883&lt;&gt;"",Events!Y883,IF(OR(ISNUMBER(SEARCH("education",P884)),ISNUMBER(SEARCH("exam",P884)),ISNUMBER(SEARCH("school",P884))),"Education",IF(OR(ISNUMBER(SEARCH("trade agreement",P884)),ISNUMBER(SEARCH("economic",P884)),ISNUMBER(SEARCH("import",P884))),"Trade &amp; economic policy",IF(OR(ISNUMBER(SEARCH("land acquisition",P884)),ISNUMBER(SEARCH("rehabilitation",P884)),ISNUMBER(SEARCH("displacement",P884)),ISNUMBER(SEARCH("township",P884))),"Land &amp; rehabilitation",IF(OR(ISNUMBER(SEARCH("forest",P884)),ISNUMBER(SEARCH("environment",P884)),ISNUMBER(SEARCH("ecological",P884)),ISNUMBER(SEARCH("biodiversity",P884)),ISNUMBER(SEARCH("green cover",P884))),"Environment",IF(OR(ISNUMBER(SEARCH("irrigation",P884)),ISNUMBER(SEARCH("water",P884)),ISNUMBER(SEARCH("crop",P884)),ISNUMBER(SEARCH("farmer",P884)),ISNUMBER(SEARCH("agriculture",P884))),"Agriculture &amp; water",IF(OR(ISNUMBER(SEARCH("health",P884)),ISNUMBER(SEARCH("hospital",P884)),ISNUMBER(SEARCH("medicine",P884))),"Public health",IF(OR(ISNUMBER(SEARCH("employee",P884)),ISNUMBER(SEARCH("labour",P884)),ISNUMBER(SEARCH("worker",P884)),ISNUMBER(SEARCH("salary",P884))),"Labour &amp; employment",IF(OR(ISNUMBER(SEARCH("rti",P884)),ISNUMBER(SEARCH("transparency",P884)),ISNUMBER(SEARCH("corruption",P884)),ISNUMBER(SEARCH("governance",P884))),"Governance &amp; transparency",IF(OR(ISNUMBER(SEARCH("police",P884)),ISNUMBER(SEARCH("detention",P884)),ISNUMBER(SEARCH("civil rights",P884)),ISNUMBER(SEARCH("justice",P884))),"Civil rights &amp; justice",IF(OR(ISNUMBER(SEARCH("road",P884)),ISNUMBER(SEARCH("utility",P884)),ISNUMBER(SEARCH("infrastructure",P884)),ISNUMBER(SEARCH("public service",P884))),"Infrastructure &amp; public services","Other"))))))))))))</x:f>
      </x:c>
      <x:c r="J884" s="16" t="str">
        <x:f>IF(A884="","",IF(OR(ISNUMBER(SEARCH("fatal",Q884)),ISNUMBER(SEARCH("death",Q884)),ISNUMBER(SEARCH("riot",Q884)),ISNUMBER(SEARCH("curfew",Q884)),ISNUMBER(SEARCH("internet shutdown",Q884))),5,MIN(4,1+IF(H884&gt;=7,1,0)+IF(OR(ISNUMBER(SEARCH("hunger strike",Q884)),ISNUMBER(SEARCH("blockade",Q884)),ISNUMBER(SEARCH("strike",Q884)),ISNUMBER(SEARCH("jal satyagraha",Q884)),ISNUMBER(SEARCH("survey",Q884)),ISNUMBER(SEARCH("human chain",Q884)),ISNUMBER(SEARCH("march",Q884))),1,0)+IF(OR(ISNUMBER(SEARCH("fir",Q884)),ISNUMBER(SEARCH("confrontation",Q884)),ISNUMBER(SEARCH("violence",Q884)),ISNUMBER(SEARCH("detention",Q884)),ISNUMBER(SEARCH("arrest",Q884)),ISNUMBER(SEARCH("demolition",Q884)),ISNUMBER(SEARCH("injury",Q884))),1,0)+IF(OR(D884="Ongoing",D884="Unresolved"),1,0))))</x:f>
      </x:c>
      <x:c r="K884" s="16" t="str">
        <x:f>IF(J884="","",IF(J884=1,"Limited",IF(J884=2,"Local",IF(J884=3,"Significant",IF(J884=4,"High","Critical")))))</x:f>
      </x:c>
      <x:c r="L884" s="16" t="str">
        <x:f>IF(A884="","",Events!U883)</x:f>
      </x:c>
      <x:c r="M884" s="16" t="str">
        <x:f>IF(A884="","",Events!V883)</x:f>
      </x:c>
      <x:c r="N884" s="16" t="str">
        <x:f>IF(A884="","",Events!Q883)</x:f>
      </x:c>
      <x:c r="O884" s="16" t="str">
        <x:f>IF(A884="","",Events!R883)</x:f>
      </x:c>
      <x:c r="P884" s="16" t="str">
        <x:f>IF(A884="","",LOWER(Events!B883&amp;" "&amp;Events!D883&amp;" "&amp;Events!K883))</x:f>
      </x:c>
      <x:c r="Q884" s="16" t="str">
        <x:f>IF(A884="","",LOWER(Events!C883&amp;" "&amp;Events!K883&amp;" "&amp;Events!T883))</x:f>
      </x:c>
      <x:c r="R884" s="16" t="str">
        <x:f>IF(A884="","",IF(ISNUMBER(SEARCH("Occurrence verified",E884)),"Occurrence verified",E884))</x:f>
      </x:c>
      <x:c r="S884" s="79" t="str">
        <x:f>IF(A884="","",Events!X883)</x:f>
      </x:c>
      <x:c r="Z884" s="79" t="str">
        <x:f>IF(A884="","",Events!AD883)</x:f>
      </x:c>
      <x:c r="AA884" s="79" t="str">
        <x:f>IF(A884="","",Events!AE883)</x:f>
      </x:c>
    </x:row>
    <x:row r="885">
      <x:c r="A885" s="16" t="str">
        <x:f>IF(Events!A884="","",Events!A884)</x:f>
      </x:c>
      <x:c r="B885" s="16" t="str">
        <x:f>IF(A885="","",Events!B884)</x:f>
      </x:c>
      <x:c r="C885" s="16" t="str">
        <x:f>IF(A885="","",Events!E884)</x:f>
      </x:c>
      <x:c r="D885" s="16" t="str">
        <x:f>IF(A885="","",Events!J884)</x:f>
      </x:c>
      <x:c r="E885" s="16" t="str">
        <x:f>IF(A885="","",Events!N884)</x:f>
      </x:c>
      <x:c r="F885" s="109" t="str">
        <x:f>IF(OR(A885="",Events!H884=""),"",Events!H884)</x:f>
      </x:c>
      <x:c r="G885" s="109" t="str">
        <x:f>IF(A885="","",IF(Events!I884&lt;&gt;"",Events!I884,IF(Events!S884&lt;&gt;"",Events!S884,"")))</x:f>
      </x:c>
      <x:c r="H885" s="16" t="str">
        <x:f>IF(A885="","",Events!W884)</x:f>
      </x:c>
      <x:c r="I885" s="16" t="str">
        <x:f>IF(A885="","",IF(Events!Y884&lt;&gt;"",Events!Y884,IF(OR(ISNUMBER(SEARCH("education",P885)),ISNUMBER(SEARCH("exam",P885)),ISNUMBER(SEARCH("school",P885))),"Education",IF(OR(ISNUMBER(SEARCH("trade agreement",P885)),ISNUMBER(SEARCH("economic",P885)),ISNUMBER(SEARCH("import",P885))),"Trade &amp; economic policy",IF(OR(ISNUMBER(SEARCH("land acquisition",P885)),ISNUMBER(SEARCH("rehabilitation",P885)),ISNUMBER(SEARCH("displacement",P885)),ISNUMBER(SEARCH("township",P885))),"Land &amp; rehabilitation",IF(OR(ISNUMBER(SEARCH("forest",P885)),ISNUMBER(SEARCH("environment",P885)),ISNUMBER(SEARCH("ecological",P885)),ISNUMBER(SEARCH("biodiversity",P885)),ISNUMBER(SEARCH("green cover",P885))),"Environment",IF(OR(ISNUMBER(SEARCH("irrigation",P885)),ISNUMBER(SEARCH("water",P885)),ISNUMBER(SEARCH("crop",P885)),ISNUMBER(SEARCH("farmer",P885)),ISNUMBER(SEARCH("agriculture",P885))),"Agriculture &amp; water",IF(OR(ISNUMBER(SEARCH("health",P885)),ISNUMBER(SEARCH("hospital",P885)),ISNUMBER(SEARCH("medicine",P885))),"Public health",IF(OR(ISNUMBER(SEARCH("employee",P885)),ISNUMBER(SEARCH("labour",P885)),ISNUMBER(SEARCH("worker",P885)),ISNUMBER(SEARCH("salary",P885))),"Labour &amp; employment",IF(OR(ISNUMBER(SEARCH("rti",P885)),ISNUMBER(SEARCH("transparency",P885)),ISNUMBER(SEARCH("corruption",P885)),ISNUMBER(SEARCH("governance",P885))),"Governance &amp; transparency",IF(OR(ISNUMBER(SEARCH("police",P885)),ISNUMBER(SEARCH("detention",P885)),ISNUMBER(SEARCH("civil rights",P885)),ISNUMBER(SEARCH("justice",P885))),"Civil rights &amp; justice",IF(OR(ISNUMBER(SEARCH("road",P885)),ISNUMBER(SEARCH("utility",P885)),ISNUMBER(SEARCH("infrastructure",P885)),ISNUMBER(SEARCH("public service",P885))),"Infrastructure &amp; public services","Other"))))))))))))</x:f>
      </x:c>
      <x:c r="J885" s="16" t="str">
        <x:f>IF(A885="","",IF(OR(ISNUMBER(SEARCH("fatal",Q885)),ISNUMBER(SEARCH("death",Q885)),ISNUMBER(SEARCH("riot",Q885)),ISNUMBER(SEARCH("curfew",Q885)),ISNUMBER(SEARCH("internet shutdown",Q885))),5,MIN(4,1+IF(H885&gt;=7,1,0)+IF(OR(ISNUMBER(SEARCH("hunger strike",Q885)),ISNUMBER(SEARCH("blockade",Q885)),ISNUMBER(SEARCH("strike",Q885)),ISNUMBER(SEARCH("jal satyagraha",Q885)),ISNUMBER(SEARCH("survey",Q885)),ISNUMBER(SEARCH("human chain",Q885)),ISNUMBER(SEARCH("march",Q885))),1,0)+IF(OR(ISNUMBER(SEARCH("fir",Q885)),ISNUMBER(SEARCH("confrontation",Q885)),ISNUMBER(SEARCH("violence",Q885)),ISNUMBER(SEARCH("detention",Q885)),ISNUMBER(SEARCH("arrest",Q885)),ISNUMBER(SEARCH("demolition",Q885)),ISNUMBER(SEARCH("injury",Q885))),1,0)+IF(OR(D885="Ongoing",D885="Unresolved"),1,0))))</x:f>
      </x:c>
      <x:c r="K885" s="16" t="str">
        <x:f>IF(J885="","",IF(J885=1,"Limited",IF(J885=2,"Local",IF(J885=3,"Significant",IF(J885=4,"High","Critical")))))</x:f>
      </x:c>
      <x:c r="L885" s="16" t="str">
        <x:f>IF(A885="","",Events!U884)</x:f>
      </x:c>
      <x:c r="M885" s="16" t="str">
        <x:f>IF(A885="","",Events!V884)</x:f>
      </x:c>
      <x:c r="N885" s="16" t="str">
        <x:f>IF(A885="","",Events!Q884)</x:f>
      </x:c>
      <x:c r="O885" s="16" t="str">
        <x:f>IF(A885="","",Events!R884)</x:f>
      </x:c>
      <x:c r="P885" s="16" t="str">
        <x:f>IF(A885="","",LOWER(Events!B884&amp;" "&amp;Events!D884&amp;" "&amp;Events!K884))</x:f>
      </x:c>
      <x:c r="Q885" s="16" t="str">
        <x:f>IF(A885="","",LOWER(Events!C884&amp;" "&amp;Events!K884&amp;" "&amp;Events!T884))</x:f>
      </x:c>
      <x:c r="R885" s="16" t="str">
        <x:f>IF(A885="","",IF(ISNUMBER(SEARCH("Occurrence verified",E885)),"Occurrence verified",E885))</x:f>
      </x:c>
      <x:c r="S885" s="79" t="str">
        <x:f>IF(A885="","",Events!X884)</x:f>
      </x:c>
      <x:c r="Z885" s="79" t="str">
        <x:f>IF(A885="","",Events!AD884)</x:f>
      </x:c>
      <x:c r="AA885" s="79" t="str">
        <x:f>IF(A885="","",Events!AE884)</x:f>
      </x:c>
    </x:row>
    <x:row r="886">
      <x:c r="A886" s="16" t="str">
        <x:f>IF(Events!A885="","",Events!A885)</x:f>
      </x:c>
      <x:c r="B886" s="16" t="str">
        <x:f>IF(A886="","",Events!B885)</x:f>
      </x:c>
      <x:c r="C886" s="16" t="str">
        <x:f>IF(A886="","",Events!E885)</x:f>
      </x:c>
      <x:c r="D886" s="16" t="str">
        <x:f>IF(A886="","",Events!J885)</x:f>
      </x:c>
      <x:c r="E886" s="16" t="str">
        <x:f>IF(A886="","",Events!N885)</x:f>
      </x:c>
      <x:c r="F886" s="109" t="str">
        <x:f>IF(OR(A886="",Events!H885=""),"",Events!H885)</x:f>
      </x:c>
      <x:c r="G886" s="109" t="str">
        <x:f>IF(A886="","",IF(Events!I885&lt;&gt;"",Events!I885,IF(Events!S885&lt;&gt;"",Events!S885,"")))</x:f>
      </x:c>
      <x:c r="H886" s="16" t="str">
        <x:f>IF(A886="","",Events!W885)</x:f>
      </x:c>
      <x:c r="I886" s="16" t="str">
        <x:f>IF(A886="","",IF(Events!Y885&lt;&gt;"",Events!Y885,IF(OR(ISNUMBER(SEARCH("education",P886)),ISNUMBER(SEARCH("exam",P886)),ISNUMBER(SEARCH("school",P886))),"Education",IF(OR(ISNUMBER(SEARCH("trade agreement",P886)),ISNUMBER(SEARCH("economic",P886)),ISNUMBER(SEARCH("import",P886))),"Trade &amp; economic policy",IF(OR(ISNUMBER(SEARCH("land acquisition",P886)),ISNUMBER(SEARCH("rehabilitation",P886)),ISNUMBER(SEARCH("displacement",P886)),ISNUMBER(SEARCH("township",P886))),"Land &amp; rehabilitation",IF(OR(ISNUMBER(SEARCH("forest",P886)),ISNUMBER(SEARCH("environment",P886)),ISNUMBER(SEARCH("ecological",P886)),ISNUMBER(SEARCH("biodiversity",P886)),ISNUMBER(SEARCH("green cover",P886))),"Environment",IF(OR(ISNUMBER(SEARCH("irrigation",P886)),ISNUMBER(SEARCH("water",P886)),ISNUMBER(SEARCH("crop",P886)),ISNUMBER(SEARCH("farmer",P886)),ISNUMBER(SEARCH("agriculture",P886))),"Agriculture &amp; water",IF(OR(ISNUMBER(SEARCH("health",P886)),ISNUMBER(SEARCH("hospital",P886)),ISNUMBER(SEARCH("medicine",P886))),"Public health",IF(OR(ISNUMBER(SEARCH("employee",P886)),ISNUMBER(SEARCH("labour",P886)),ISNUMBER(SEARCH("worker",P886)),ISNUMBER(SEARCH("salary",P886))),"Labour &amp; employment",IF(OR(ISNUMBER(SEARCH("rti",P886)),ISNUMBER(SEARCH("transparency",P886)),ISNUMBER(SEARCH("corruption",P886)),ISNUMBER(SEARCH("governance",P886))),"Governance &amp; transparency",IF(OR(ISNUMBER(SEARCH("police",P886)),ISNUMBER(SEARCH("detention",P886)),ISNUMBER(SEARCH("civil rights",P886)),ISNUMBER(SEARCH("justice",P886))),"Civil rights &amp; justice",IF(OR(ISNUMBER(SEARCH("road",P886)),ISNUMBER(SEARCH("utility",P886)),ISNUMBER(SEARCH("infrastructure",P886)),ISNUMBER(SEARCH("public service",P886))),"Infrastructure &amp; public services","Other"))))))))))))</x:f>
      </x:c>
      <x:c r="J886" s="16" t="str">
        <x:f>IF(A886="","",IF(OR(ISNUMBER(SEARCH("fatal",Q886)),ISNUMBER(SEARCH("death",Q886)),ISNUMBER(SEARCH("riot",Q886)),ISNUMBER(SEARCH("curfew",Q886)),ISNUMBER(SEARCH("internet shutdown",Q886))),5,MIN(4,1+IF(H886&gt;=7,1,0)+IF(OR(ISNUMBER(SEARCH("hunger strike",Q886)),ISNUMBER(SEARCH("blockade",Q886)),ISNUMBER(SEARCH("strike",Q886)),ISNUMBER(SEARCH("jal satyagraha",Q886)),ISNUMBER(SEARCH("survey",Q886)),ISNUMBER(SEARCH("human chain",Q886)),ISNUMBER(SEARCH("march",Q886))),1,0)+IF(OR(ISNUMBER(SEARCH("fir",Q886)),ISNUMBER(SEARCH("confrontation",Q886)),ISNUMBER(SEARCH("violence",Q886)),ISNUMBER(SEARCH("detention",Q886)),ISNUMBER(SEARCH("arrest",Q886)),ISNUMBER(SEARCH("demolition",Q886)),ISNUMBER(SEARCH("injury",Q886))),1,0)+IF(OR(D886="Ongoing",D886="Unresolved"),1,0))))</x:f>
      </x:c>
      <x:c r="K886" s="16" t="str">
        <x:f>IF(J886="","",IF(J886=1,"Limited",IF(J886=2,"Local",IF(J886=3,"Significant",IF(J886=4,"High","Critical")))))</x:f>
      </x:c>
      <x:c r="L886" s="16" t="str">
        <x:f>IF(A886="","",Events!U885)</x:f>
      </x:c>
      <x:c r="M886" s="16" t="str">
        <x:f>IF(A886="","",Events!V885)</x:f>
      </x:c>
      <x:c r="N886" s="16" t="str">
        <x:f>IF(A886="","",Events!Q885)</x:f>
      </x:c>
      <x:c r="O886" s="16" t="str">
        <x:f>IF(A886="","",Events!R885)</x:f>
      </x:c>
      <x:c r="P886" s="16" t="str">
        <x:f>IF(A886="","",LOWER(Events!B885&amp;" "&amp;Events!D885&amp;" "&amp;Events!K885))</x:f>
      </x:c>
      <x:c r="Q886" s="16" t="str">
        <x:f>IF(A886="","",LOWER(Events!C885&amp;" "&amp;Events!K885&amp;" "&amp;Events!T885))</x:f>
      </x:c>
      <x:c r="R886" s="16" t="str">
        <x:f>IF(A886="","",IF(ISNUMBER(SEARCH("Occurrence verified",E886)),"Occurrence verified",E886))</x:f>
      </x:c>
      <x:c r="S886" s="79" t="str">
        <x:f>IF(A886="","",Events!X885)</x:f>
      </x:c>
      <x:c r="Z886" s="79" t="str">
        <x:f>IF(A886="","",Events!AD885)</x:f>
      </x:c>
      <x:c r="AA886" s="79" t="str">
        <x:f>IF(A886="","",Events!AE885)</x:f>
      </x:c>
    </x:row>
    <x:row r="887">
      <x:c r="A887" s="16" t="str">
        <x:f>IF(Events!A886="","",Events!A886)</x:f>
      </x:c>
      <x:c r="B887" s="16" t="str">
        <x:f>IF(A887="","",Events!B886)</x:f>
      </x:c>
      <x:c r="C887" s="16" t="str">
        <x:f>IF(A887="","",Events!E886)</x:f>
      </x:c>
      <x:c r="D887" s="16" t="str">
        <x:f>IF(A887="","",Events!J886)</x:f>
      </x:c>
      <x:c r="E887" s="16" t="str">
        <x:f>IF(A887="","",Events!N886)</x:f>
      </x:c>
      <x:c r="F887" s="109" t="str">
        <x:f>IF(OR(A887="",Events!H886=""),"",Events!H886)</x:f>
      </x:c>
      <x:c r="G887" s="109" t="str">
        <x:f>IF(A887="","",IF(Events!I886&lt;&gt;"",Events!I886,IF(Events!S886&lt;&gt;"",Events!S886,"")))</x:f>
      </x:c>
      <x:c r="H887" s="16" t="str">
        <x:f>IF(A887="","",Events!W886)</x:f>
      </x:c>
      <x:c r="I887" s="16" t="str">
        <x:f>IF(A887="","",IF(Events!Y886&lt;&gt;"",Events!Y886,IF(OR(ISNUMBER(SEARCH("education",P887)),ISNUMBER(SEARCH("exam",P887)),ISNUMBER(SEARCH("school",P887))),"Education",IF(OR(ISNUMBER(SEARCH("trade agreement",P887)),ISNUMBER(SEARCH("economic",P887)),ISNUMBER(SEARCH("import",P887))),"Trade &amp; economic policy",IF(OR(ISNUMBER(SEARCH("land acquisition",P887)),ISNUMBER(SEARCH("rehabilitation",P887)),ISNUMBER(SEARCH("displacement",P887)),ISNUMBER(SEARCH("township",P887))),"Land &amp; rehabilitation",IF(OR(ISNUMBER(SEARCH("forest",P887)),ISNUMBER(SEARCH("environment",P887)),ISNUMBER(SEARCH("ecological",P887)),ISNUMBER(SEARCH("biodiversity",P887)),ISNUMBER(SEARCH("green cover",P887))),"Environment",IF(OR(ISNUMBER(SEARCH("irrigation",P887)),ISNUMBER(SEARCH("water",P887)),ISNUMBER(SEARCH("crop",P887)),ISNUMBER(SEARCH("farmer",P887)),ISNUMBER(SEARCH("agriculture",P887))),"Agriculture &amp; water",IF(OR(ISNUMBER(SEARCH("health",P887)),ISNUMBER(SEARCH("hospital",P887)),ISNUMBER(SEARCH("medicine",P887))),"Public health",IF(OR(ISNUMBER(SEARCH("employee",P887)),ISNUMBER(SEARCH("labour",P887)),ISNUMBER(SEARCH("worker",P887)),ISNUMBER(SEARCH("salary",P887))),"Labour &amp; employment",IF(OR(ISNUMBER(SEARCH("rti",P887)),ISNUMBER(SEARCH("transparency",P887)),ISNUMBER(SEARCH("corruption",P887)),ISNUMBER(SEARCH("governance",P887))),"Governance &amp; transparency",IF(OR(ISNUMBER(SEARCH("police",P887)),ISNUMBER(SEARCH("detention",P887)),ISNUMBER(SEARCH("civil rights",P887)),ISNUMBER(SEARCH("justice",P887))),"Civil rights &amp; justice",IF(OR(ISNUMBER(SEARCH("road",P887)),ISNUMBER(SEARCH("utility",P887)),ISNUMBER(SEARCH("infrastructure",P887)),ISNUMBER(SEARCH("public service",P887))),"Infrastructure &amp; public services","Other"))))))))))))</x:f>
      </x:c>
      <x:c r="J887" s="16" t="str">
        <x:f>IF(A887="","",IF(OR(ISNUMBER(SEARCH("fatal",Q887)),ISNUMBER(SEARCH("death",Q887)),ISNUMBER(SEARCH("riot",Q887)),ISNUMBER(SEARCH("curfew",Q887)),ISNUMBER(SEARCH("internet shutdown",Q887))),5,MIN(4,1+IF(H887&gt;=7,1,0)+IF(OR(ISNUMBER(SEARCH("hunger strike",Q887)),ISNUMBER(SEARCH("blockade",Q887)),ISNUMBER(SEARCH("strike",Q887)),ISNUMBER(SEARCH("jal satyagraha",Q887)),ISNUMBER(SEARCH("survey",Q887)),ISNUMBER(SEARCH("human chain",Q887)),ISNUMBER(SEARCH("march",Q887))),1,0)+IF(OR(ISNUMBER(SEARCH("fir",Q887)),ISNUMBER(SEARCH("confrontation",Q887)),ISNUMBER(SEARCH("violence",Q887)),ISNUMBER(SEARCH("detention",Q887)),ISNUMBER(SEARCH("arrest",Q887)),ISNUMBER(SEARCH("demolition",Q887)),ISNUMBER(SEARCH("injury",Q887))),1,0)+IF(OR(D887="Ongoing",D887="Unresolved"),1,0))))</x:f>
      </x:c>
      <x:c r="K887" s="16" t="str">
        <x:f>IF(J887="","",IF(J887=1,"Limited",IF(J887=2,"Local",IF(J887=3,"Significant",IF(J887=4,"High","Critical")))))</x:f>
      </x:c>
      <x:c r="L887" s="16" t="str">
        <x:f>IF(A887="","",Events!U886)</x:f>
      </x:c>
      <x:c r="M887" s="16" t="str">
        <x:f>IF(A887="","",Events!V886)</x:f>
      </x:c>
      <x:c r="N887" s="16" t="str">
        <x:f>IF(A887="","",Events!Q886)</x:f>
      </x:c>
      <x:c r="O887" s="16" t="str">
        <x:f>IF(A887="","",Events!R886)</x:f>
      </x:c>
      <x:c r="P887" s="16" t="str">
        <x:f>IF(A887="","",LOWER(Events!B886&amp;" "&amp;Events!D886&amp;" "&amp;Events!K886))</x:f>
      </x:c>
      <x:c r="Q887" s="16" t="str">
        <x:f>IF(A887="","",LOWER(Events!C886&amp;" "&amp;Events!K886&amp;" "&amp;Events!T886))</x:f>
      </x:c>
      <x:c r="R887" s="16" t="str">
        <x:f>IF(A887="","",IF(ISNUMBER(SEARCH("Occurrence verified",E887)),"Occurrence verified",E887))</x:f>
      </x:c>
      <x:c r="S887" s="79" t="str">
        <x:f>IF(A887="","",Events!X886)</x:f>
      </x:c>
      <x:c r="Z887" s="79" t="str">
        <x:f>IF(A887="","",Events!AD886)</x:f>
      </x:c>
      <x:c r="AA887" s="79" t="str">
        <x:f>IF(A887="","",Events!AE886)</x:f>
      </x:c>
    </x:row>
    <x:row r="888">
      <x:c r="A888" s="16" t="str">
        <x:f>IF(Events!A887="","",Events!A887)</x:f>
      </x:c>
      <x:c r="B888" s="16" t="str">
        <x:f>IF(A888="","",Events!B887)</x:f>
      </x:c>
      <x:c r="C888" s="16" t="str">
        <x:f>IF(A888="","",Events!E887)</x:f>
      </x:c>
      <x:c r="D888" s="16" t="str">
        <x:f>IF(A888="","",Events!J887)</x:f>
      </x:c>
      <x:c r="E888" s="16" t="str">
        <x:f>IF(A888="","",Events!N887)</x:f>
      </x:c>
      <x:c r="F888" s="109" t="str">
        <x:f>IF(OR(A888="",Events!H887=""),"",Events!H887)</x:f>
      </x:c>
      <x:c r="G888" s="109" t="str">
        <x:f>IF(A888="","",IF(Events!I887&lt;&gt;"",Events!I887,IF(Events!S887&lt;&gt;"",Events!S887,"")))</x:f>
      </x:c>
      <x:c r="H888" s="16" t="str">
        <x:f>IF(A888="","",Events!W887)</x:f>
      </x:c>
      <x:c r="I888" s="16" t="str">
        <x:f>IF(A888="","",IF(Events!Y887&lt;&gt;"",Events!Y887,IF(OR(ISNUMBER(SEARCH("education",P888)),ISNUMBER(SEARCH("exam",P888)),ISNUMBER(SEARCH("school",P888))),"Education",IF(OR(ISNUMBER(SEARCH("trade agreement",P888)),ISNUMBER(SEARCH("economic",P888)),ISNUMBER(SEARCH("import",P888))),"Trade &amp; economic policy",IF(OR(ISNUMBER(SEARCH("land acquisition",P888)),ISNUMBER(SEARCH("rehabilitation",P888)),ISNUMBER(SEARCH("displacement",P888)),ISNUMBER(SEARCH("township",P888))),"Land &amp; rehabilitation",IF(OR(ISNUMBER(SEARCH("forest",P888)),ISNUMBER(SEARCH("environment",P888)),ISNUMBER(SEARCH("ecological",P888)),ISNUMBER(SEARCH("biodiversity",P888)),ISNUMBER(SEARCH("green cover",P888))),"Environment",IF(OR(ISNUMBER(SEARCH("irrigation",P888)),ISNUMBER(SEARCH("water",P888)),ISNUMBER(SEARCH("crop",P888)),ISNUMBER(SEARCH("farmer",P888)),ISNUMBER(SEARCH("agriculture",P888))),"Agriculture &amp; water",IF(OR(ISNUMBER(SEARCH("health",P888)),ISNUMBER(SEARCH("hospital",P888)),ISNUMBER(SEARCH("medicine",P888))),"Public health",IF(OR(ISNUMBER(SEARCH("employee",P888)),ISNUMBER(SEARCH("labour",P888)),ISNUMBER(SEARCH("worker",P888)),ISNUMBER(SEARCH("salary",P888))),"Labour &amp; employment",IF(OR(ISNUMBER(SEARCH("rti",P888)),ISNUMBER(SEARCH("transparency",P888)),ISNUMBER(SEARCH("corruption",P888)),ISNUMBER(SEARCH("governance",P888))),"Governance &amp; transparency",IF(OR(ISNUMBER(SEARCH("police",P888)),ISNUMBER(SEARCH("detention",P888)),ISNUMBER(SEARCH("civil rights",P888)),ISNUMBER(SEARCH("justice",P888))),"Civil rights &amp; justice",IF(OR(ISNUMBER(SEARCH("road",P888)),ISNUMBER(SEARCH("utility",P888)),ISNUMBER(SEARCH("infrastructure",P888)),ISNUMBER(SEARCH("public service",P888))),"Infrastructure &amp; public services","Other"))))))))))))</x:f>
      </x:c>
      <x:c r="J888" s="16" t="str">
        <x:f>IF(A888="","",IF(OR(ISNUMBER(SEARCH("fatal",Q888)),ISNUMBER(SEARCH("death",Q888)),ISNUMBER(SEARCH("riot",Q888)),ISNUMBER(SEARCH("curfew",Q888)),ISNUMBER(SEARCH("internet shutdown",Q888))),5,MIN(4,1+IF(H888&gt;=7,1,0)+IF(OR(ISNUMBER(SEARCH("hunger strike",Q888)),ISNUMBER(SEARCH("blockade",Q888)),ISNUMBER(SEARCH("strike",Q888)),ISNUMBER(SEARCH("jal satyagraha",Q888)),ISNUMBER(SEARCH("survey",Q888)),ISNUMBER(SEARCH("human chain",Q888)),ISNUMBER(SEARCH("march",Q888))),1,0)+IF(OR(ISNUMBER(SEARCH("fir",Q888)),ISNUMBER(SEARCH("confrontation",Q888)),ISNUMBER(SEARCH("violence",Q888)),ISNUMBER(SEARCH("detention",Q888)),ISNUMBER(SEARCH("arrest",Q888)),ISNUMBER(SEARCH("demolition",Q888)),ISNUMBER(SEARCH("injury",Q888))),1,0)+IF(OR(D888="Ongoing",D888="Unresolved"),1,0))))</x:f>
      </x:c>
      <x:c r="K888" s="16" t="str">
        <x:f>IF(J888="","",IF(J888=1,"Limited",IF(J888=2,"Local",IF(J888=3,"Significant",IF(J888=4,"High","Critical")))))</x:f>
      </x:c>
      <x:c r="L888" s="16" t="str">
        <x:f>IF(A888="","",Events!U887)</x:f>
      </x:c>
      <x:c r="M888" s="16" t="str">
        <x:f>IF(A888="","",Events!V887)</x:f>
      </x:c>
      <x:c r="N888" s="16" t="str">
        <x:f>IF(A888="","",Events!Q887)</x:f>
      </x:c>
      <x:c r="O888" s="16" t="str">
        <x:f>IF(A888="","",Events!R887)</x:f>
      </x:c>
      <x:c r="P888" s="16" t="str">
        <x:f>IF(A888="","",LOWER(Events!B887&amp;" "&amp;Events!D887&amp;" "&amp;Events!K887))</x:f>
      </x:c>
      <x:c r="Q888" s="16" t="str">
        <x:f>IF(A888="","",LOWER(Events!C887&amp;" "&amp;Events!K887&amp;" "&amp;Events!T887))</x:f>
      </x:c>
      <x:c r="R888" s="16" t="str">
        <x:f>IF(A888="","",IF(ISNUMBER(SEARCH("Occurrence verified",E888)),"Occurrence verified",E888))</x:f>
      </x:c>
      <x:c r="S888" s="79" t="str">
        <x:f>IF(A888="","",Events!X887)</x:f>
      </x:c>
      <x:c r="Z888" s="79" t="str">
        <x:f>IF(A888="","",Events!AD887)</x:f>
      </x:c>
      <x:c r="AA888" s="79" t="str">
        <x:f>IF(A888="","",Events!AE887)</x:f>
      </x:c>
    </x:row>
    <x:row r="889">
      <x:c r="A889" s="16" t="str">
        <x:f>IF(Events!A888="","",Events!A888)</x:f>
      </x:c>
      <x:c r="B889" s="16" t="str">
        <x:f>IF(A889="","",Events!B888)</x:f>
      </x:c>
      <x:c r="C889" s="16" t="str">
        <x:f>IF(A889="","",Events!E888)</x:f>
      </x:c>
      <x:c r="D889" s="16" t="str">
        <x:f>IF(A889="","",Events!J888)</x:f>
      </x:c>
      <x:c r="E889" s="16" t="str">
        <x:f>IF(A889="","",Events!N888)</x:f>
      </x:c>
      <x:c r="F889" s="109" t="str">
        <x:f>IF(OR(A889="",Events!H888=""),"",Events!H888)</x:f>
      </x:c>
      <x:c r="G889" s="109" t="str">
        <x:f>IF(A889="","",IF(Events!I888&lt;&gt;"",Events!I888,IF(Events!S888&lt;&gt;"",Events!S888,"")))</x:f>
      </x:c>
      <x:c r="H889" s="16" t="str">
        <x:f>IF(A889="","",Events!W888)</x:f>
      </x:c>
      <x:c r="I889" s="16" t="str">
        <x:f>IF(A889="","",IF(Events!Y888&lt;&gt;"",Events!Y888,IF(OR(ISNUMBER(SEARCH("education",P889)),ISNUMBER(SEARCH("exam",P889)),ISNUMBER(SEARCH("school",P889))),"Education",IF(OR(ISNUMBER(SEARCH("trade agreement",P889)),ISNUMBER(SEARCH("economic",P889)),ISNUMBER(SEARCH("import",P889))),"Trade &amp; economic policy",IF(OR(ISNUMBER(SEARCH("land acquisition",P889)),ISNUMBER(SEARCH("rehabilitation",P889)),ISNUMBER(SEARCH("displacement",P889)),ISNUMBER(SEARCH("township",P889))),"Land &amp; rehabilitation",IF(OR(ISNUMBER(SEARCH("forest",P889)),ISNUMBER(SEARCH("environment",P889)),ISNUMBER(SEARCH("ecological",P889)),ISNUMBER(SEARCH("biodiversity",P889)),ISNUMBER(SEARCH("green cover",P889))),"Environment",IF(OR(ISNUMBER(SEARCH("irrigation",P889)),ISNUMBER(SEARCH("water",P889)),ISNUMBER(SEARCH("crop",P889)),ISNUMBER(SEARCH("farmer",P889)),ISNUMBER(SEARCH("agriculture",P889))),"Agriculture &amp; water",IF(OR(ISNUMBER(SEARCH("health",P889)),ISNUMBER(SEARCH("hospital",P889)),ISNUMBER(SEARCH("medicine",P889))),"Public health",IF(OR(ISNUMBER(SEARCH("employee",P889)),ISNUMBER(SEARCH("labour",P889)),ISNUMBER(SEARCH("worker",P889)),ISNUMBER(SEARCH("salary",P889))),"Labour &amp; employment",IF(OR(ISNUMBER(SEARCH("rti",P889)),ISNUMBER(SEARCH("transparency",P889)),ISNUMBER(SEARCH("corruption",P889)),ISNUMBER(SEARCH("governance",P889))),"Governance &amp; transparency",IF(OR(ISNUMBER(SEARCH("police",P889)),ISNUMBER(SEARCH("detention",P889)),ISNUMBER(SEARCH("civil rights",P889)),ISNUMBER(SEARCH("justice",P889))),"Civil rights &amp; justice",IF(OR(ISNUMBER(SEARCH("road",P889)),ISNUMBER(SEARCH("utility",P889)),ISNUMBER(SEARCH("infrastructure",P889)),ISNUMBER(SEARCH("public service",P889))),"Infrastructure &amp; public services","Other"))))))))))))</x:f>
      </x:c>
      <x:c r="J889" s="16" t="str">
        <x:f>IF(A889="","",IF(OR(ISNUMBER(SEARCH("fatal",Q889)),ISNUMBER(SEARCH("death",Q889)),ISNUMBER(SEARCH("riot",Q889)),ISNUMBER(SEARCH("curfew",Q889)),ISNUMBER(SEARCH("internet shutdown",Q889))),5,MIN(4,1+IF(H889&gt;=7,1,0)+IF(OR(ISNUMBER(SEARCH("hunger strike",Q889)),ISNUMBER(SEARCH("blockade",Q889)),ISNUMBER(SEARCH("strike",Q889)),ISNUMBER(SEARCH("jal satyagraha",Q889)),ISNUMBER(SEARCH("survey",Q889)),ISNUMBER(SEARCH("human chain",Q889)),ISNUMBER(SEARCH("march",Q889))),1,0)+IF(OR(ISNUMBER(SEARCH("fir",Q889)),ISNUMBER(SEARCH("confrontation",Q889)),ISNUMBER(SEARCH("violence",Q889)),ISNUMBER(SEARCH("detention",Q889)),ISNUMBER(SEARCH("arrest",Q889)),ISNUMBER(SEARCH("demolition",Q889)),ISNUMBER(SEARCH("injury",Q889))),1,0)+IF(OR(D889="Ongoing",D889="Unresolved"),1,0))))</x:f>
      </x:c>
      <x:c r="K889" s="16" t="str">
        <x:f>IF(J889="","",IF(J889=1,"Limited",IF(J889=2,"Local",IF(J889=3,"Significant",IF(J889=4,"High","Critical")))))</x:f>
      </x:c>
      <x:c r="L889" s="16" t="str">
        <x:f>IF(A889="","",Events!U888)</x:f>
      </x:c>
      <x:c r="M889" s="16" t="str">
        <x:f>IF(A889="","",Events!V888)</x:f>
      </x:c>
      <x:c r="N889" s="16" t="str">
        <x:f>IF(A889="","",Events!Q888)</x:f>
      </x:c>
      <x:c r="O889" s="16" t="str">
        <x:f>IF(A889="","",Events!R888)</x:f>
      </x:c>
      <x:c r="P889" s="16" t="str">
        <x:f>IF(A889="","",LOWER(Events!B888&amp;" "&amp;Events!D888&amp;" "&amp;Events!K888))</x:f>
      </x:c>
      <x:c r="Q889" s="16" t="str">
        <x:f>IF(A889="","",LOWER(Events!C888&amp;" "&amp;Events!K888&amp;" "&amp;Events!T888))</x:f>
      </x:c>
      <x:c r="R889" s="16" t="str">
        <x:f>IF(A889="","",IF(ISNUMBER(SEARCH("Occurrence verified",E889)),"Occurrence verified",E889))</x:f>
      </x:c>
      <x:c r="S889" s="79" t="str">
        <x:f>IF(A889="","",Events!X888)</x:f>
      </x:c>
      <x:c r="Z889" s="79" t="str">
        <x:f>IF(A889="","",Events!AD888)</x:f>
      </x:c>
      <x:c r="AA889" s="79" t="str">
        <x:f>IF(A889="","",Events!AE888)</x:f>
      </x:c>
    </x:row>
    <x:row r="890">
      <x:c r="A890" s="16" t="str">
        <x:f>IF(Events!A889="","",Events!A889)</x:f>
      </x:c>
      <x:c r="B890" s="16" t="str">
        <x:f>IF(A890="","",Events!B889)</x:f>
      </x:c>
      <x:c r="C890" s="16" t="str">
        <x:f>IF(A890="","",Events!E889)</x:f>
      </x:c>
      <x:c r="D890" s="16" t="str">
        <x:f>IF(A890="","",Events!J889)</x:f>
      </x:c>
      <x:c r="E890" s="16" t="str">
        <x:f>IF(A890="","",Events!N889)</x:f>
      </x:c>
      <x:c r="F890" s="109" t="str">
        <x:f>IF(OR(A890="",Events!H889=""),"",Events!H889)</x:f>
      </x:c>
      <x:c r="G890" s="109" t="str">
        <x:f>IF(A890="","",IF(Events!I889&lt;&gt;"",Events!I889,IF(Events!S889&lt;&gt;"",Events!S889,"")))</x:f>
      </x:c>
      <x:c r="H890" s="16" t="str">
        <x:f>IF(A890="","",Events!W889)</x:f>
      </x:c>
      <x:c r="I890" s="16" t="str">
        <x:f>IF(A890="","",IF(Events!Y889&lt;&gt;"",Events!Y889,IF(OR(ISNUMBER(SEARCH("education",P890)),ISNUMBER(SEARCH("exam",P890)),ISNUMBER(SEARCH("school",P890))),"Education",IF(OR(ISNUMBER(SEARCH("trade agreement",P890)),ISNUMBER(SEARCH("economic",P890)),ISNUMBER(SEARCH("import",P890))),"Trade &amp; economic policy",IF(OR(ISNUMBER(SEARCH("land acquisition",P890)),ISNUMBER(SEARCH("rehabilitation",P890)),ISNUMBER(SEARCH("displacement",P890)),ISNUMBER(SEARCH("township",P890))),"Land &amp; rehabilitation",IF(OR(ISNUMBER(SEARCH("forest",P890)),ISNUMBER(SEARCH("environment",P890)),ISNUMBER(SEARCH("ecological",P890)),ISNUMBER(SEARCH("biodiversity",P890)),ISNUMBER(SEARCH("green cover",P890))),"Environment",IF(OR(ISNUMBER(SEARCH("irrigation",P890)),ISNUMBER(SEARCH("water",P890)),ISNUMBER(SEARCH("crop",P890)),ISNUMBER(SEARCH("farmer",P890)),ISNUMBER(SEARCH("agriculture",P890))),"Agriculture &amp; water",IF(OR(ISNUMBER(SEARCH("health",P890)),ISNUMBER(SEARCH("hospital",P890)),ISNUMBER(SEARCH("medicine",P890))),"Public health",IF(OR(ISNUMBER(SEARCH("employee",P890)),ISNUMBER(SEARCH("labour",P890)),ISNUMBER(SEARCH("worker",P890)),ISNUMBER(SEARCH("salary",P890))),"Labour &amp; employment",IF(OR(ISNUMBER(SEARCH("rti",P890)),ISNUMBER(SEARCH("transparency",P890)),ISNUMBER(SEARCH("corruption",P890)),ISNUMBER(SEARCH("governance",P890))),"Governance &amp; transparency",IF(OR(ISNUMBER(SEARCH("police",P890)),ISNUMBER(SEARCH("detention",P890)),ISNUMBER(SEARCH("civil rights",P890)),ISNUMBER(SEARCH("justice",P890))),"Civil rights &amp; justice",IF(OR(ISNUMBER(SEARCH("road",P890)),ISNUMBER(SEARCH("utility",P890)),ISNUMBER(SEARCH("infrastructure",P890)),ISNUMBER(SEARCH("public service",P890))),"Infrastructure &amp; public services","Other"))))))))))))</x:f>
      </x:c>
      <x:c r="J890" s="16" t="str">
        <x:f>IF(A890="","",IF(OR(ISNUMBER(SEARCH("fatal",Q890)),ISNUMBER(SEARCH("death",Q890)),ISNUMBER(SEARCH("riot",Q890)),ISNUMBER(SEARCH("curfew",Q890)),ISNUMBER(SEARCH("internet shutdown",Q890))),5,MIN(4,1+IF(H890&gt;=7,1,0)+IF(OR(ISNUMBER(SEARCH("hunger strike",Q890)),ISNUMBER(SEARCH("blockade",Q890)),ISNUMBER(SEARCH("strike",Q890)),ISNUMBER(SEARCH("jal satyagraha",Q890)),ISNUMBER(SEARCH("survey",Q890)),ISNUMBER(SEARCH("human chain",Q890)),ISNUMBER(SEARCH("march",Q890))),1,0)+IF(OR(ISNUMBER(SEARCH("fir",Q890)),ISNUMBER(SEARCH("confrontation",Q890)),ISNUMBER(SEARCH("violence",Q890)),ISNUMBER(SEARCH("detention",Q890)),ISNUMBER(SEARCH("arrest",Q890)),ISNUMBER(SEARCH("demolition",Q890)),ISNUMBER(SEARCH("injury",Q890))),1,0)+IF(OR(D890="Ongoing",D890="Unresolved"),1,0))))</x:f>
      </x:c>
      <x:c r="K890" s="16" t="str">
        <x:f>IF(J890="","",IF(J890=1,"Limited",IF(J890=2,"Local",IF(J890=3,"Significant",IF(J890=4,"High","Critical")))))</x:f>
      </x:c>
      <x:c r="L890" s="16" t="str">
        <x:f>IF(A890="","",Events!U889)</x:f>
      </x:c>
      <x:c r="M890" s="16" t="str">
        <x:f>IF(A890="","",Events!V889)</x:f>
      </x:c>
      <x:c r="N890" s="16" t="str">
        <x:f>IF(A890="","",Events!Q889)</x:f>
      </x:c>
      <x:c r="O890" s="16" t="str">
        <x:f>IF(A890="","",Events!R889)</x:f>
      </x:c>
      <x:c r="P890" s="16" t="str">
        <x:f>IF(A890="","",LOWER(Events!B889&amp;" "&amp;Events!D889&amp;" "&amp;Events!K889))</x:f>
      </x:c>
      <x:c r="Q890" s="16" t="str">
        <x:f>IF(A890="","",LOWER(Events!C889&amp;" "&amp;Events!K889&amp;" "&amp;Events!T889))</x:f>
      </x:c>
      <x:c r="R890" s="16" t="str">
        <x:f>IF(A890="","",IF(ISNUMBER(SEARCH("Occurrence verified",E890)),"Occurrence verified",E890))</x:f>
      </x:c>
      <x:c r="S890" s="79" t="str">
        <x:f>IF(A890="","",Events!X889)</x:f>
      </x:c>
      <x:c r="Z890" s="79" t="str">
        <x:f>IF(A890="","",Events!AD889)</x:f>
      </x:c>
      <x:c r="AA890" s="79" t="str">
        <x:f>IF(A890="","",Events!AE889)</x:f>
      </x:c>
    </x:row>
    <x:row r="891">
      <x:c r="A891" s="16" t="str">
        <x:f>IF(Events!A890="","",Events!A890)</x:f>
      </x:c>
      <x:c r="B891" s="16" t="str">
        <x:f>IF(A891="","",Events!B890)</x:f>
      </x:c>
      <x:c r="C891" s="16" t="str">
        <x:f>IF(A891="","",Events!E890)</x:f>
      </x:c>
      <x:c r="D891" s="16" t="str">
        <x:f>IF(A891="","",Events!J890)</x:f>
      </x:c>
      <x:c r="E891" s="16" t="str">
        <x:f>IF(A891="","",Events!N890)</x:f>
      </x:c>
      <x:c r="F891" s="109" t="str">
        <x:f>IF(OR(A891="",Events!H890=""),"",Events!H890)</x:f>
      </x:c>
      <x:c r="G891" s="109" t="str">
        <x:f>IF(A891="","",IF(Events!I890&lt;&gt;"",Events!I890,IF(Events!S890&lt;&gt;"",Events!S890,"")))</x:f>
      </x:c>
      <x:c r="H891" s="16" t="str">
        <x:f>IF(A891="","",Events!W890)</x:f>
      </x:c>
      <x:c r="I891" s="16" t="str">
        <x:f>IF(A891="","",IF(Events!Y890&lt;&gt;"",Events!Y890,IF(OR(ISNUMBER(SEARCH("education",P891)),ISNUMBER(SEARCH("exam",P891)),ISNUMBER(SEARCH("school",P891))),"Education",IF(OR(ISNUMBER(SEARCH("trade agreement",P891)),ISNUMBER(SEARCH("economic",P891)),ISNUMBER(SEARCH("import",P891))),"Trade &amp; economic policy",IF(OR(ISNUMBER(SEARCH("land acquisition",P891)),ISNUMBER(SEARCH("rehabilitation",P891)),ISNUMBER(SEARCH("displacement",P891)),ISNUMBER(SEARCH("township",P891))),"Land &amp; rehabilitation",IF(OR(ISNUMBER(SEARCH("forest",P891)),ISNUMBER(SEARCH("environment",P891)),ISNUMBER(SEARCH("ecological",P891)),ISNUMBER(SEARCH("biodiversity",P891)),ISNUMBER(SEARCH("green cover",P891))),"Environment",IF(OR(ISNUMBER(SEARCH("irrigation",P891)),ISNUMBER(SEARCH("water",P891)),ISNUMBER(SEARCH("crop",P891)),ISNUMBER(SEARCH("farmer",P891)),ISNUMBER(SEARCH("agriculture",P891))),"Agriculture &amp; water",IF(OR(ISNUMBER(SEARCH("health",P891)),ISNUMBER(SEARCH("hospital",P891)),ISNUMBER(SEARCH("medicine",P891))),"Public health",IF(OR(ISNUMBER(SEARCH("employee",P891)),ISNUMBER(SEARCH("labour",P891)),ISNUMBER(SEARCH("worker",P891)),ISNUMBER(SEARCH("salary",P891))),"Labour &amp; employment",IF(OR(ISNUMBER(SEARCH("rti",P891)),ISNUMBER(SEARCH("transparency",P891)),ISNUMBER(SEARCH("corruption",P891)),ISNUMBER(SEARCH("governance",P891))),"Governance &amp; transparency",IF(OR(ISNUMBER(SEARCH("police",P891)),ISNUMBER(SEARCH("detention",P891)),ISNUMBER(SEARCH("civil rights",P891)),ISNUMBER(SEARCH("justice",P891))),"Civil rights &amp; justice",IF(OR(ISNUMBER(SEARCH("road",P891)),ISNUMBER(SEARCH("utility",P891)),ISNUMBER(SEARCH("infrastructure",P891)),ISNUMBER(SEARCH("public service",P891))),"Infrastructure &amp; public services","Other"))))))))))))</x:f>
      </x:c>
      <x:c r="J891" s="16" t="str">
        <x:f>IF(A891="","",IF(OR(ISNUMBER(SEARCH("fatal",Q891)),ISNUMBER(SEARCH("death",Q891)),ISNUMBER(SEARCH("riot",Q891)),ISNUMBER(SEARCH("curfew",Q891)),ISNUMBER(SEARCH("internet shutdown",Q891))),5,MIN(4,1+IF(H891&gt;=7,1,0)+IF(OR(ISNUMBER(SEARCH("hunger strike",Q891)),ISNUMBER(SEARCH("blockade",Q891)),ISNUMBER(SEARCH("strike",Q891)),ISNUMBER(SEARCH("jal satyagraha",Q891)),ISNUMBER(SEARCH("survey",Q891)),ISNUMBER(SEARCH("human chain",Q891)),ISNUMBER(SEARCH("march",Q891))),1,0)+IF(OR(ISNUMBER(SEARCH("fir",Q891)),ISNUMBER(SEARCH("confrontation",Q891)),ISNUMBER(SEARCH("violence",Q891)),ISNUMBER(SEARCH("detention",Q891)),ISNUMBER(SEARCH("arrest",Q891)),ISNUMBER(SEARCH("demolition",Q891)),ISNUMBER(SEARCH("injury",Q891))),1,0)+IF(OR(D891="Ongoing",D891="Unresolved"),1,0))))</x:f>
      </x:c>
      <x:c r="K891" s="16" t="str">
        <x:f>IF(J891="","",IF(J891=1,"Limited",IF(J891=2,"Local",IF(J891=3,"Significant",IF(J891=4,"High","Critical")))))</x:f>
      </x:c>
      <x:c r="L891" s="16" t="str">
        <x:f>IF(A891="","",Events!U890)</x:f>
      </x:c>
      <x:c r="M891" s="16" t="str">
        <x:f>IF(A891="","",Events!V890)</x:f>
      </x:c>
      <x:c r="N891" s="16" t="str">
        <x:f>IF(A891="","",Events!Q890)</x:f>
      </x:c>
      <x:c r="O891" s="16" t="str">
        <x:f>IF(A891="","",Events!R890)</x:f>
      </x:c>
      <x:c r="P891" s="16" t="str">
        <x:f>IF(A891="","",LOWER(Events!B890&amp;" "&amp;Events!D890&amp;" "&amp;Events!K890))</x:f>
      </x:c>
      <x:c r="Q891" s="16" t="str">
        <x:f>IF(A891="","",LOWER(Events!C890&amp;" "&amp;Events!K890&amp;" "&amp;Events!T890))</x:f>
      </x:c>
      <x:c r="R891" s="16" t="str">
        <x:f>IF(A891="","",IF(ISNUMBER(SEARCH("Occurrence verified",E891)),"Occurrence verified",E891))</x:f>
      </x:c>
      <x:c r="S891" s="79" t="str">
        <x:f>IF(A891="","",Events!X890)</x:f>
      </x:c>
      <x:c r="Z891" s="79" t="str">
        <x:f>IF(A891="","",Events!AD890)</x:f>
      </x:c>
      <x:c r="AA891" s="79" t="str">
        <x:f>IF(A891="","",Events!AE890)</x:f>
      </x:c>
    </x:row>
    <x:row r="892">
      <x:c r="A892" s="16" t="str">
        <x:f>IF(Events!A891="","",Events!A891)</x:f>
      </x:c>
      <x:c r="B892" s="16" t="str">
        <x:f>IF(A892="","",Events!B891)</x:f>
      </x:c>
      <x:c r="C892" s="16" t="str">
        <x:f>IF(A892="","",Events!E891)</x:f>
      </x:c>
      <x:c r="D892" s="16" t="str">
        <x:f>IF(A892="","",Events!J891)</x:f>
      </x:c>
      <x:c r="E892" s="16" t="str">
        <x:f>IF(A892="","",Events!N891)</x:f>
      </x:c>
      <x:c r="F892" s="109" t="str">
        <x:f>IF(OR(A892="",Events!H891=""),"",Events!H891)</x:f>
      </x:c>
      <x:c r="G892" s="109" t="str">
        <x:f>IF(A892="","",IF(Events!I891&lt;&gt;"",Events!I891,IF(Events!S891&lt;&gt;"",Events!S891,"")))</x:f>
      </x:c>
      <x:c r="H892" s="16" t="str">
        <x:f>IF(A892="","",Events!W891)</x:f>
      </x:c>
      <x:c r="I892" s="16" t="str">
        <x:f>IF(A892="","",IF(Events!Y891&lt;&gt;"",Events!Y891,IF(OR(ISNUMBER(SEARCH("education",P892)),ISNUMBER(SEARCH("exam",P892)),ISNUMBER(SEARCH("school",P892))),"Education",IF(OR(ISNUMBER(SEARCH("trade agreement",P892)),ISNUMBER(SEARCH("economic",P892)),ISNUMBER(SEARCH("import",P892))),"Trade &amp; economic policy",IF(OR(ISNUMBER(SEARCH("land acquisition",P892)),ISNUMBER(SEARCH("rehabilitation",P892)),ISNUMBER(SEARCH("displacement",P892)),ISNUMBER(SEARCH("township",P892))),"Land &amp; rehabilitation",IF(OR(ISNUMBER(SEARCH("forest",P892)),ISNUMBER(SEARCH("environment",P892)),ISNUMBER(SEARCH("ecological",P892)),ISNUMBER(SEARCH("biodiversity",P892)),ISNUMBER(SEARCH("green cover",P892))),"Environment",IF(OR(ISNUMBER(SEARCH("irrigation",P892)),ISNUMBER(SEARCH("water",P892)),ISNUMBER(SEARCH("crop",P892)),ISNUMBER(SEARCH("farmer",P892)),ISNUMBER(SEARCH("agriculture",P892))),"Agriculture &amp; water",IF(OR(ISNUMBER(SEARCH("health",P892)),ISNUMBER(SEARCH("hospital",P892)),ISNUMBER(SEARCH("medicine",P892))),"Public health",IF(OR(ISNUMBER(SEARCH("employee",P892)),ISNUMBER(SEARCH("labour",P892)),ISNUMBER(SEARCH("worker",P892)),ISNUMBER(SEARCH("salary",P892))),"Labour &amp; employment",IF(OR(ISNUMBER(SEARCH("rti",P892)),ISNUMBER(SEARCH("transparency",P892)),ISNUMBER(SEARCH("corruption",P892)),ISNUMBER(SEARCH("governance",P892))),"Governance &amp; transparency",IF(OR(ISNUMBER(SEARCH("police",P892)),ISNUMBER(SEARCH("detention",P892)),ISNUMBER(SEARCH("civil rights",P892)),ISNUMBER(SEARCH("justice",P892))),"Civil rights &amp; justice",IF(OR(ISNUMBER(SEARCH("road",P892)),ISNUMBER(SEARCH("utility",P892)),ISNUMBER(SEARCH("infrastructure",P892)),ISNUMBER(SEARCH("public service",P892))),"Infrastructure &amp; public services","Other"))))))))))))</x:f>
      </x:c>
      <x:c r="J892" s="16" t="str">
        <x:f>IF(A892="","",IF(OR(ISNUMBER(SEARCH("fatal",Q892)),ISNUMBER(SEARCH("death",Q892)),ISNUMBER(SEARCH("riot",Q892)),ISNUMBER(SEARCH("curfew",Q892)),ISNUMBER(SEARCH("internet shutdown",Q892))),5,MIN(4,1+IF(H892&gt;=7,1,0)+IF(OR(ISNUMBER(SEARCH("hunger strike",Q892)),ISNUMBER(SEARCH("blockade",Q892)),ISNUMBER(SEARCH("strike",Q892)),ISNUMBER(SEARCH("jal satyagraha",Q892)),ISNUMBER(SEARCH("survey",Q892)),ISNUMBER(SEARCH("human chain",Q892)),ISNUMBER(SEARCH("march",Q892))),1,0)+IF(OR(ISNUMBER(SEARCH("fir",Q892)),ISNUMBER(SEARCH("confrontation",Q892)),ISNUMBER(SEARCH("violence",Q892)),ISNUMBER(SEARCH("detention",Q892)),ISNUMBER(SEARCH("arrest",Q892)),ISNUMBER(SEARCH("demolition",Q892)),ISNUMBER(SEARCH("injury",Q892))),1,0)+IF(OR(D892="Ongoing",D892="Unresolved"),1,0))))</x:f>
      </x:c>
      <x:c r="K892" s="16" t="str">
        <x:f>IF(J892="","",IF(J892=1,"Limited",IF(J892=2,"Local",IF(J892=3,"Significant",IF(J892=4,"High","Critical")))))</x:f>
      </x:c>
      <x:c r="L892" s="16" t="str">
        <x:f>IF(A892="","",Events!U891)</x:f>
      </x:c>
      <x:c r="M892" s="16" t="str">
        <x:f>IF(A892="","",Events!V891)</x:f>
      </x:c>
      <x:c r="N892" s="16" t="str">
        <x:f>IF(A892="","",Events!Q891)</x:f>
      </x:c>
      <x:c r="O892" s="16" t="str">
        <x:f>IF(A892="","",Events!R891)</x:f>
      </x:c>
      <x:c r="P892" s="16" t="str">
        <x:f>IF(A892="","",LOWER(Events!B891&amp;" "&amp;Events!D891&amp;" "&amp;Events!K891))</x:f>
      </x:c>
      <x:c r="Q892" s="16" t="str">
        <x:f>IF(A892="","",LOWER(Events!C891&amp;" "&amp;Events!K891&amp;" "&amp;Events!T891))</x:f>
      </x:c>
      <x:c r="R892" s="16" t="str">
        <x:f>IF(A892="","",IF(ISNUMBER(SEARCH("Occurrence verified",E892)),"Occurrence verified",E892))</x:f>
      </x:c>
      <x:c r="S892" s="79" t="str">
        <x:f>IF(A892="","",Events!X891)</x:f>
      </x:c>
      <x:c r="Z892" s="79" t="str">
        <x:f>IF(A892="","",Events!AD891)</x:f>
      </x:c>
      <x:c r="AA892" s="79" t="str">
        <x:f>IF(A892="","",Events!AE891)</x:f>
      </x:c>
    </x:row>
    <x:row r="893">
      <x:c r="A893" s="16" t="str">
        <x:f>IF(Events!A892="","",Events!A892)</x:f>
      </x:c>
      <x:c r="B893" s="16" t="str">
        <x:f>IF(A893="","",Events!B892)</x:f>
      </x:c>
      <x:c r="C893" s="16" t="str">
        <x:f>IF(A893="","",Events!E892)</x:f>
      </x:c>
      <x:c r="D893" s="16" t="str">
        <x:f>IF(A893="","",Events!J892)</x:f>
      </x:c>
      <x:c r="E893" s="16" t="str">
        <x:f>IF(A893="","",Events!N892)</x:f>
      </x:c>
      <x:c r="F893" s="109" t="str">
        <x:f>IF(OR(A893="",Events!H892=""),"",Events!H892)</x:f>
      </x:c>
      <x:c r="G893" s="109" t="str">
        <x:f>IF(A893="","",IF(Events!I892&lt;&gt;"",Events!I892,IF(Events!S892&lt;&gt;"",Events!S892,"")))</x:f>
      </x:c>
      <x:c r="H893" s="16" t="str">
        <x:f>IF(A893="","",Events!W892)</x:f>
      </x:c>
      <x:c r="I893" s="16" t="str">
        <x:f>IF(A893="","",IF(Events!Y892&lt;&gt;"",Events!Y892,IF(OR(ISNUMBER(SEARCH("education",P893)),ISNUMBER(SEARCH("exam",P893)),ISNUMBER(SEARCH("school",P893))),"Education",IF(OR(ISNUMBER(SEARCH("trade agreement",P893)),ISNUMBER(SEARCH("economic",P893)),ISNUMBER(SEARCH("import",P893))),"Trade &amp; economic policy",IF(OR(ISNUMBER(SEARCH("land acquisition",P893)),ISNUMBER(SEARCH("rehabilitation",P893)),ISNUMBER(SEARCH("displacement",P893)),ISNUMBER(SEARCH("township",P893))),"Land &amp; rehabilitation",IF(OR(ISNUMBER(SEARCH("forest",P893)),ISNUMBER(SEARCH("environment",P893)),ISNUMBER(SEARCH("ecological",P893)),ISNUMBER(SEARCH("biodiversity",P893)),ISNUMBER(SEARCH("green cover",P893))),"Environment",IF(OR(ISNUMBER(SEARCH("irrigation",P893)),ISNUMBER(SEARCH("water",P893)),ISNUMBER(SEARCH("crop",P893)),ISNUMBER(SEARCH("farmer",P893)),ISNUMBER(SEARCH("agriculture",P893))),"Agriculture &amp; water",IF(OR(ISNUMBER(SEARCH("health",P893)),ISNUMBER(SEARCH("hospital",P893)),ISNUMBER(SEARCH("medicine",P893))),"Public health",IF(OR(ISNUMBER(SEARCH("employee",P893)),ISNUMBER(SEARCH("labour",P893)),ISNUMBER(SEARCH("worker",P893)),ISNUMBER(SEARCH("salary",P893))),"Labour &amp; employment",IF(OR(ISNUMBER(SEARCH("rti",P893)),ISNUMBER(SEARCH("transparency",P893)),ISNUMBER(SEARCH("corruption",P893)),ISNUMBER(SEARCH("governance",P893))),"Governance &amp; transparency",IF(OR(ISNUMBER(SEARCH("police",P893)),ISNUMBER(SEARCH("detention",P893)),ISNUMBER(SEARCH("civil rights",P893)),ISNUMBER(SEARCH("justice",P893))),"Civil rights &amp; justice",IF(OR(ISNUMBER(SEARCH("road",P893)),ISNUMBER(SEARCH("utility",P893)),ISNUMBER(SEARCH("infrastructure",P893)),ISNUMBER(SEARCH("public service",P893))),"Infrastructure &amp; public services","Other"))))))))))))</x:f>
      </x:c>
      <x:c r="J893" s="16" t="str">
        <x:f>IF(A893="","",IF(OR(ISNUMBER(SEARCH("fatal",Q893)),ISNUMBER(SEARCH("death",Q893)),ISNUMBER(SEARCH("riot",Q893)),ISNUMBER(SEARCH("curfew",Q893)),ISNUMBER(SEARCH("internet shutdown",Q893))),5,MIN(4,1+IF(H893&gt;=7,1,0)+IF(OR(ISNUMBER(SEARCH("hunger strike",Q893)),ISNUMBER(SEARCH("blockade",Q893)),ISNUMBER(SEARCH("strike",Q893)),ISNUMBER(SEARCH("jal satyagraha",Q893)),ISNUMBER(SEARCH("survey",Q893)),ISNUMBER(SEARCH("human chain",Q893)),ISNUMBER(SEARCH("march",Q893))),1,0)+IF(OR(ISNUMBER(SEARCH("fir",Q893)),ISNUMBER(SEARCH("confrontation",Q893)),ISNUMBER(SEARCH("violence",Q893)),ISNUMBER(SEARCH("detention",Q893)),ISNUMBER(SEARCH("arrest",Q893)),ISNUMBER(SEARCH("demolition",Q893)),ISNUMBER(SEARCH("injury",Q893))),1,0)+IF(OR(D893="Ongoing",D893="Unresolved"),1,0))))</x:f>
      </x:c>
      <x:c r="K893" s="16" t="str">
        <x:f>IF(J893="","",IF(J893=1,"Limited",IF(J893=2,"Local",IF(J893=3,"Significant",IF(J893=4,"High","Critical")))))</x:f>
      </x:c>
      <x:c r="L893" s="16" t="str">
        <x:f>IF(A893="","",Events!U892)</x:f>
      </x:c>
      <x:c r="M893" s="16" t="str">
        <x:f>IF(A893="","",Events!V892)</x:f>
      </x:c>
      <x:c r="N893" s="16" t="str">
        <x:f>IF(A893="","",Events!Q892)</x:f>
      </x:c>
      <x:c r="O893" s="16" t="str">
        <x:f>IF(A893="","",Events!R892)</x:f>
      </x:c>
      <x:c r="P893" s="16" t="str">
        <x:f>IF(A893="","",LOWER(Events!B892&amp;" "&amp;Events!D892&amp;" "&amp;Events!K892))</x:f>
      </x:c>
      <x:c r="Q893" s="16" t="str">
        <x:f>IF(A893="","",LOWER(Events!C892&amp;" "&amp;Events!K892&amp;" "&amp;Events!T892))</x:f>
      </x:c>
      <x:c r="R893" s="16" t="str">
        <x:f>IF(A893="","",IF(ISNUMBER(SEARCH("Occurrence verified",E893)),"Occurrence verified",E893))</x:f>
      </x:c>
      <x:c r="S893" s="79" t="str">
        <x:f>IF(A893="","",Events!X892)</x:f>
      </x:c>
      <x:c r="Z893" s="79" t="str">
        <x:f>IF(A893="","",Events!AD892)</x:f>
      </x:c>
      <x:c r="AA893" s="79" t="str">
        <x:f>IF(A893="","",Events!AE892)</x:f>
      </x:c>
    </x:row>
    <x:row r="894">
      <x:c r="A894" s="16" t="str">
        <x:f>IF(Events!A893="","",Events!A893)</x:f>
      </x:c>
      <x:c r="B894" s="16" t="str">
        <x:f>IF(A894="","",Events!B893)</x:f>
      </x:c>
      <x:c r="C894" s="16" t="str">
        <x:f>IF(A894="","",Events!E893)</x:f>
      </x:c>
      <x:c r="D894" s="16" t="str">
        <x:f>IF(A894="","",Events!J893)</x:f>
      </x:c>
      <x:c r="E894" s="16" t="str">
        <x:f>IF(A894="","",Events!N893)</x:f>
      </x:c>
      <x:c r="F894" s="109" t="str">
        <x:f>IF(OR(A894="",Events!H893=""),"",Events!H893)</x:f>
      </x:c>
      <x:c r="G894" s="109" t="str">
        <x:f>IF(A894="","",IF(Events!I893&lt;&gt;"",Events!I893,IF(Events!S893&lt;&gt;"",Events!S893,"")))</x:f>
      </x:c>
      <x:c r="H894" s="16" t="str">
        <x:f>IF(A894="","",Events!W893)</x:f>
      </x:c>
      <x:c r="I894" s="16" t="str">
        <x:f>IF(A894="","",IF(Events!Y893&lt;&gt;"",Events!Y893,IF(OR(ISNUMBER(SEARCH("education",P894)),ISNUMBER(SEARCH("exam",P894)),ISNUMBER(SEARCH("school",P894))),"Education",IF(OR(ISNUMBER(SEARCH("trade agreement",P894)),ISNUMBER(SEARCH("economic",P894)),ISNUMBER(SEARCH("import",P894))),"Trade &amp; economic policy",IF(OR(ISNUMBER(SEARCH("land acquisition",P894)),ISNUMBER(SEARCH("rehabilitation",P894)),ISNUMBER(SEARCH("displacement",P894)),ISNUMBER(SEARCH("township",P894))),"Land &amp; rehabilitation",IF(OR(ISNUMBER(SEARCH("forest",P894)),ISNUMBER(SEARCH("environment",P894)),ISNUMBER(SEARCH("ecological",P894)),ISNUMBER(SEARCH("biodiversity",P894)),ISNUMBER(SEARCH("green cover",P894))),"Environment",IF(OR(ISNUMBER(SEARCH("irrigation",P894)),ISNUMBER(SEARCH("water",P894)),ISNUMBER(SEARCH("crop",P894)),ISNUMBER(SEARCH("farmer",P894)),ISNUMBER(SEARCH("agriculture",P894))),"Agriculture &amp; water",IF(OR(ISNUMBER(SEARCH("health",P894)),ISNUMBER(SEARCH("hospital",P894)),ISNUMBER(SEARCH("medicine",P894))),"Public health",IF(OR(ISNUMBER(SEARCH("employee",P894)),ISNUMBER(SEARCH("labour",P894)),ISNUMBER(SEARCH("worker",P894)),ISNUMBER(SEARCH("salary",P894))),"Labour &amp; employment",IF(OR(ISNUMBER(SEARCH("rti",P894)),ISNUMBER(SEARCH("transparency",P894)),ISNUMBER(SEARCH("corruption",P894)),ISNUMBER(SEARCH("governance",P894))),"Governance &amp; transparency",IF(OR(ISNUMBER(SEARCH("police",P894)),ISNUMBER(SEARCH("detention",P894)),ISNUMBER(SEARCH("civil rights",P894)),ISNUMBER(SEARCH("justice",P894))),"Civil rights &amp; justice",IF(OR(ISNUMBER(SEARCH("road",P894)),ISNUMBER(SEARCH("utility",P894)),ISNUMBER(SEARCH("infrastructure",P894)),ISNUMBER(SEARCH("public service",P894))),"Infrastructure &amp; public services","Other"))))))))))))</x:f>
      </x:c>
      <x:c r="J894" s="16" t="str">
        <x:f>IF(A894="","",IF(OR(ISNUMBER(SEARCH("fatal",Q894)),ISNUMBER(SEARCH("death",Q894)),ISNUMBER(SEARCH("riot",Q894)),ISNUMBER(SEARCH("curfew",Q894)),ISNUMBER(SEARCH("internet shutdown",Q894))),5,MIN(4,1+IF(H894&gt;=7,1,0)+IF(OR(ISNUMBER(SEARCH("hunger strike",Q894)),ISNUMBER(SEARCH("blockade",Q894)),ISNUMBER(SEARCH("strike",Q894)),ISNUMBER(SEARCH("jal satyagraha",Q894)),ISNUMBER(SEARCH("survey",Q894)),ISNUMBER(SEARCH("human chain",Q894)),ISNUMBER(SEARCH("march",Q894))),1,0)+IF(OR(ISNUMBER(SEARCH("fir",Q894)),ISNUMBER(SEARCH("confrontation",Q894)),ISNUMBER(SEARCH("violence",Q894)),ISNUMBER(SEARCH("detention",Q894)),ISNUMBER(SEARCH("arrest",Q894)),ISNUMBER(SEARCH("demolition",Q894)),ISNUMBER(SEARCH("injury",Q894))),1,0)+IF(OR(D894="Ongoing",D894="Unresolved"),1,0))))</x:f>
      </x:c>
      <x:c r="K894" s="16" t="str">
        <x:f>IF(J894="","",IF(J894=1,"Limited",IF(J894=2,"Local",IF(J894=3,"Significant",IF(J894=4,"High","Critical")))))</x:f>
      </x:c>
      <x:c r="L894" s="16" t="str">
        <x:f>IF(A894="","",Events!U893)</x:f>
      </x:c>
      <x:c r="M894" s="16" t="str">
        <x:f>IF(A894="","",Events!V893)</x:f>
      </x:c>
      <x:c r="N894" s="16" t="str">
        <x:f>IF(A894="","",Events!Q893)</x:f>
      </x:c>
      <x:c r="O894" s="16" t="str">
        <x:f>IF(A894="","",Events!R893)</x:f>
      </x:c>
      <x:c r="P894" s="16" t="str">
        <x:f>IF(A894="","",LOWER(Events!B893&amp;" "&amp;Events!D893&amp;" "&amp;Events!K893))</x:f>
      </x:c>
      <x:c r="Q894" s="16" t="str">
        <x:f>IF(A894="","",LOWER(Events!C893&amp;" "&amp;Events!K893&amp;" "&amp;Events!T893))</x:f>
      </x:c>
      <x:c r="R894" s="16" t="str">
        <x:f>IF(A894="","",IF(ISNUMBER(SEARCH("Occurrence verified",E894)),"Occurrence verified",E894))</x:f>
      </x:c>
      <x:c r="S894" s="79" t="str">
        <x:f>IF(A894="","",Events!X893)</x:f>
      </x:c>
      <x:c r="Z894" s="79" t="str">
        <x:f>IF(A894="","",Events!AD893)</x:f>
      </x:c>
      <x:c r="AA894" s="79" t="str">
        <x:f>IF(A894="","",Events!AE893)</x:f>
      </x:c>
    </x:row>
    <x:row r="895">
      <x:c r="A895" s="16" t="str">
        <x:f>IF(Events!A894="","",Events!A894)</x:f>
      </x:c>
      <x:c r="B895" s="16" t="str">
        <x:f>IF(A895="","",Events!B894)</x:f>
      </x:c>
      <x:c r="C895" s="16" t="str">
        <x:f>IF(A895="","",Events!E894)</x:f>
      </x:c>
      <x:c r="D895" s="16" t="str">
        <x:f>IF(A895="","",Events!J894)</x:f>
      </x:c>
      <x:c r="E895" s="16" t="str">
        <x:f>IF(A895="","",Events!N894)</x:f>
      </x:c>
      <x:c r="F895" s="109" t="str">
        <x:f>IF(OR(A895="",Events!H894=""),"",Events!H894)</x:f>
      </x:c>
      <x:c r="G895" s="109" t="str">
        <x:f>IF(A895="","",IF(Events!I894&lt;&gt;"",Events!I894,IF(Events!S894&lt;&gt;"",Events!S894,"")))</x:f>
      </x:c>
      <x:c r="H895" s="16" t="str">
        <x:f>IF(A895="","",Events!W894)</x:f>
      </x:c>
      <x:c r="I895" s="16" t="str">
        <x:f>IF(A895="","",IF(Events!Y894&lt;&gt;"",Events!Y894,IF(OR(ISNUMBER(SEARCH("education",P895)),ISNUMBER(SEARCH("exam",P895)),ISNUMBER(SEARCH("school",P895))),"Education",IF(OR(ISNUMBER(SEARCH("trade agreement",P895)),ISNUMBER(SEARCH("economic",P895)),ISNUMBER(SEARCH("import",P895))),"Trade &amp; economic policy",IF(OR(ISNUMBER(SEARCH("land acquisition",P895)),ISNUMBER(SEARCH("rehabilitation",P895)),ISNUMBER(SEARCH("displacement",P895)),ISNUMBER(SEARCH("township",P895))),"Land &amp; rehabilitation",IF(OR(ISNUMBER(SEARCH("forest",P895)),ISNUMBER(SEARCH("environment",P895)),ISNUMBER(SEARCH("ecological",P895)),ISNUMBER(SEARCH("biodiversity",P895)),ISNUMBER(SEARCH("green cover",P895))),"Environment",IF(OR(ISNUMBER(SEARCH("irrigation",P895)),ISNUMBER(SEARCH("water",P895)),ISNUMBER(SEARCH("crop",P895)),ISNUMBER(SEARCH("farmer",P895)),ISNUMBER(SEARCH("agriculture",P895))),"Agriculture &amp; water",IF(OR(ISNUMBER(SEARCH("health",P895)),ISNUMBER(SEARCH("hospital",P895)),ISNUMBER(SEARCH("medicine",P895))),"Public health",IF(OR(ISNUMBER(SEARCH("employee",P895)),ISNUMBER(SEARCH("labour",P895)),ISNUMBER(SEARCH("worker",P895)),ISNUMBER(SEARCH("salary",P895))),"Labour &amp; employment",IF(OR(ISNUMBER(SEARCH("rti",P895)),ISNUMBER(SEARCH("transparency",P895)),ISNUMBER(SEARCH("corruption",P895)),ISNUMBER(SEARCH("governance",P895))),"Governance &amp; transparency",IF(OR(ISNUMBER(SEARCH("police",P895)),ISNUMBER(SEARCH("detention",P895)),ISNUMBER(SEARCH("civil rights",P895)),ISNUMBER(SEARCH("justice",P895))),"Civil rights &amp; justice",IF(OR(ISNUMBER(SEARCH("road",P895)),ISNUMBER(SEARCH("utility",P895)),ISNUMBER(SEARCH("infrastructure",P895)),ISNUMBER(SEARCH("public service",P895))),"Infrastructure &amp; public services","Other"))))))))))))</x:f>
      </x:c>
      <x:c r="J895" s="16" t="str">
        <x:f>IF(A895="","",IF(OR(ISNUMBER(SEARCH("fatal",Q895)),ISNUMBER(SEARCH("death",Q895)),ISNUMBER(SEARCH("riot",Q895)),ISNUMBER(SEARCH("curfew",Q895)),ISNUMBER(SEARCH("internet shutdown",Q895))),5,MIN(4,1+IF(H895&gt;=7,1,0)+IF(OR(ISNUMBER(SEARCH("hunger strike",Q895)),ISNUMBER(SEARCH("blockade",Q895)),ISNUMBER(SEARCH("strike",Q895)),ISNUMBER(SEARCH("jal satyagraha",Q895)),ISNUMBER(SEARCH("survey",Q895)),ISNUMBER(SEARCH("human chain",Q895)),ISNUMBER(SEARCH("march",Q895))),1,0)+IF(OR(ISNUMBER(SEARCH("fir",Q895)),ISNUMBER(SEARCH("confrontation",Q895)),ISNUMBER(SEARCH("violence",Q895)),ISNUMBER(SEARCH("detention",Q895)),ISNUMBER(SEARCH("arrest",Q895)),ISNUMBER(SEARCH("demolition",Q895)),ISNUMBER(SEARCH("injury",Q895))),1,0)+IF(OR(D895="Ongoing",D895="Unresolved"),1,0))))</x:f>
      </x:c>
      <x:c r="K895" s="16" t="str">
        <x:f>IF(J895="","",IF(J895=1,"Limited",IF(J895=2,"Local",IF(J895=3,"Significant",IF(J895=4,"High","Critical")))))</x:f>
      </x:c>
      <x:c r="L895" s="16" t="str">
        <x:f>IF(A895="","",Events!U894)</x:f>
      </x:c>
      <x:c r="M895" s="16" t="str">
        <x:f>IF(A895="","",Events!V894)</x:f>
      </x:c>
      <x:c r="N895" s="16" t="str">
        <x:f>IF(A895="","",Events!Q894)</x:f>
      </x:c>
      <x:c r="O895" s="16" t="str">
        <x:f>IF(A895="","",Events!R894)</x:f>
      </x:c>
      <x:c r="P895" s="16" t="str">
        <x:f>IF(A895="","",LOWER(Events!B894&amp;" "&amp;Events!D894&amp;" "&amp;Events!K894))</x:f>
      </x:c>
      <x:c r="Q895" s="16" t="str">
        <x:f>IF(A895="","",LOWER(Events!C894&amp;" "&amp;Events!K894&amp;" "&amp;Events!T894))</x:f>
      </x:c>
      <x:c r="R895" s="16" t="str">
        <x:f>IF(A895="","",IF(ISNUMBER(SEARCH("Occurrence verified",E895)),"Occurrence verified",E895))</x:f>
      </x:c>
      <x:c r="S895" s="79" t="str">
        <x:f>IF(A895="","",Events!X894)</x:f>
      </x:c>
      <x:c r="Z895" s="79" t="str">
        <x:f>IF(A895="","",Events!AD894)</x:f>
      </x:c>
      <x:c r="AA895" s="79" t="str">
        <x:f>IF(A895="","",Events!AE894)</x:f>
      </x:c>
    </x:row>
    <x:row r="896">
      <x:c r="A896" s="16" t="str">
        <x:f>IF(Events!A895="","",Events!A895)</x:f>
      </x:c>
      <x:c r="B896" s="16" t="str">
        <x:f>IF(A896="","",Events!B895)</x:f>
      </x:c>
      <x:c r="C896" s="16" t="str">
        <x:f>IF(A896="","",Events!E895)</x:f>
      </x:c>
      <x:c r="D896" s="16" t="str">
        <x:f>IF(A896="","",Events!J895)</x:f>
      </x:c>
      <x:c r="E896" s="16" t="str">
        <x:f>IF(A896="","",Events!N895)</x:f>
      </x:c>
      <x:c r="F896" s="109" t="str">
        <x:f>IF(OR(A896="",Events!H895=""),"",Events!H895)</x:f>
      </x:c>
      <x:c r="G896" s="109" t="str">
        <x:f>IF(A896="","",IF(Events!I895&lt;&gt;"",Events!I895,IF(Events!S895&lt;&gt;"",Events!S895,"")))</x:f>
      </x:c>
      <x:c r="H896" s="16" t="str">
        <x:f>IF(A896="","",Events!W895)</x:f>
      </x:c>
      <x:c r="I896" s="16" t="str">
        <x:f>IF(A896="","",IF(Events!Y895&lt;&gt;"",Events!Y895,IF(OR(ISNUMBER(SEARCH("education",P896)),ISNUMBER(SEARCH("exam",P896)),ISNUMBER(SEARCH("school",P896))),"Education",IF(OR(ISNUMBER(SEARCH("trade agreement",P896)),ISNUMBER(SEARCH("economic",P896)),ISNUMBER(SEARCH("import",P896))),"Trade &amp; economic policy",IF(OR(ISNUMBER(SEARCH("land acquisition",P896)),ISNUMBER(SEARCH("rehabilitation",P896)),ISNUMBER(SEARCH("displacement",P896)),ISNUMBER(SEARCH("township",P896))),"Land &amp; rehabilitation",IF(OR(ISNUMBER(SEARCH("forest",P896)),ISNUMBER(SEARCH("environment",P896)),ISNUMBER(SEARCH("ecological",P896)),ISNUMBER(SEARCH("biodiversity",P896)),ISNUMBER(SEARCH("green cover",P896))),"Environment",IF(OR(ISNUMBER(SEARCH("irrigation",P896)),ISNUMBER(SEARCH("water",P896)),ISNUMBER(SEARCH("crop",P896)),ISNUMBER(SEARCH("farmer",P896)),ISNUMBER(SEARCH("agriculture",P896))),"Agriculture &amp; water",IF(OR(ISNUMBER(SEARCH("health",P896)),ISNUMBER(SEARCH("hospital",P896)),ISNUMBER(SEARCH("medicine",P896))),"Public health",IF(OR(ISNUMBER(SEARCH("employee",P896)),ISNUMBER(SEARCH("labour",P896)),ISNUMBER(SEARCH("worker",P896)),ISNUMBER(SEARCH("salary",P896))),"Labour &amp; employment",IF(OR(ISNUMBER(SEARCH("rti",P896)),ISNUMBER(SEARCH("transparency",P896)),ISNUMBER(SEARCH("corruption",P896)),ISNUMBER(SEARCH("governance",P896))),"Governance &amp; transparency",IF(OR(ISNUMBER(SEARCH("police",P896)),ISNUMBER(SEARCH("detention",P896)),ISNUMBER(SEARCH("civil rights",P896)),ISNUMBER(SEARCH("justice",P896))),"Civil rights &amp; justice",IF(OR(ISNUMBER(SEARCH("road",P896)),ISNUMBER(SEARCH("utility",P896)),ISNUMBER(SEARCH("infrastructure",P896)),ISNUMBER(SEARCH("public service",P896))),"Infrastructure &amp; public services","Other"))))))))))))</x:f>
      </x:c>
      <x:c r="J896" s="16" t="str">
        <x:f>IF(A896="","",IF(OR(ISNUMBER(SEARCH("fatal",Q896)),ISNUMBER(SEARCH("death",Q896)),ISNUMBER(SEARCH("riot",Q896)),ISNUMBER(SEARCH("curfew",Q896)),ISNUMBER(SEARCH("internet shutdown",Q896))),5,MIN(4,1+IF(H896&gt;=7,1,0)+IF(OR(ISNUMBER(SEARCH("hunger strike",Q896)),ISNUMBER(SEARCH("blockade",Q896)),ISNUMBER(SEARCH("strike",Q896)),ISNUMBER(SEARCH("jal satyagraha",Q896)),ISNUMBER(SEARCH("survey",Q896)),ISNUMBER(SEARCH("human chain",Q896)),ISNUMBER(SEARCH("march",Q896))),1,0)+IF(OR(ISNUMBER(SEARCH("fir",Q896)),ISNUMBER(SEARCH("confrontation",Q896)),ISNUMBER(SEARCH("violence",Q896)),ISNUMBER(SEARCH("detention",Q896)),ISNUMBER(SEARCH("arrest",Q896)),ISNUMBER(SEARCH("demolition",Q896)),ISNUMBER(SEARCH("injury",Q896))),1,0)+IF(OR(D896="Ongoing",D896="Unresolved"),1,0))))</x:f>
      </x:c>
      <x:c r="K896" s="16" t="str">
        <x:f>IF(J896="","",IF(J896=1,"Limited",IF(J896=2,"Local",IF(J896=3,"Significant",IF(J896=4,"High","Critical")))))</x:f>
      </x:c>
      <x:c r="L896" s="16" t="str">
        <x:f>IF(A896="","",Events!U895)</x:f>
      </x:c>
      <x:c r="M896" s="16" t="str">
        <x:f>IF(A896="","",Events!V895)</x:f>
      </x:c>
      <x:c r="N896" s="16" t="str">
        <x:f>IF(A896="","",Events!Q895)</x:f>
      </x:c>
      <x:c r="O896" s="16" t="str">
        <x:f>IF(A896="","",Events!R895)</x:f>
      </x:c>
      <x:c r="P896" s="16" t="str">
        <x:f>IF(A896="","",LOWER(Events!B895&amp;" "&amp;Events!D895&amp;" "&amp;Events!K895))</x:f>
      </x:c>
      <x:c r="Q896" s="16" t="str">
        <x:f>IF(A896="","",LOWER(Events!C895&amp;" "&amp;Events!K895&amp;" "&amp;Events!T895))</x:f>
      </x:c>
      <x:c r="R896" s="16" t="str">
        <x:f>IF(A896="","",IF(ISNUMBER(SEARCH("Occurrence verified",E896)),"Occurrence verified",E896))</x:f>
      </x:c>
      <x:c r="S896" s="79" t="str">
        <x:f>IF(A896="","",Events!X895)</x:f>
      </x:c>
      <x:c r="Z896" s="79" t="str">
        <x:f>IF(A896="","",Events!AD895)</x:f>
      </x:c>
      <x:c r="AA896" s="79" t="str">
        <x:f>IF(A896="","",Events!AE895)</x:f>
      </x:c>
    </x:row>
    <x:row r="897">
      <x:c r="A897" s="16" t="str">
        <x:f>IF(Events!A896="","",Events!A896)</x:f>
      </x:c>
      <x:c r="B897" s="16" t="str">
        <x:f>IF(A897="","",Events!B896)</x:f>
      </x:c>
      <x:c r="C897" s="16" t="str">
        <x:f>IF(A897="","",Events!E896)</x:f>
      </x:c>
      <x:c r="D897" s="16" t="str">
        <x:f>IF(A897="","",Events!J896)</x:f>
      </x:c>
      <x:c r="E897" s="16" t="str">
        <x:f>IF(A897="","",Events!N896)</x:f>
      </x:c>
      <x:c r="F897" s="109" t="str">
        <x:f>IF(OR(A897="",Events!H896=""),"",Events!H896)</x:f>
      </x:c>
      <x:c r="G897" s="109" t="str">
        <x:f>IF(A897="","",IF(Events!I896&lt;&gt;"",Events!I896,IF(Events!S896&lt;&gt;"",Events!S896,"")))</x:f>
      </x:c>
      <x:c r="H897" s="16" t="str">
        <x:f>IF(A897="","",Events!W896)</x:f>
      </x:c>
      <x:c r="I897" s="16" t="str">
        <x:f>IF(A897="","",IF(Events!Y896&lt;&gt;"",Events!Y896,IF(OR(ISNUMBER(SEARCH("education",P897)),ISNUMBER(SEARCH("exam",P897)),ISNUMBER(SEARCH("school",P897))),"Education",IF(OR(ISNUMBER(SEARCH("trade agreement",P897)),ISNUMBER(SEARCH("economic",P897)),ISNUMBER(SEARCH("import",P897))),"Trade &amp; economic policy",IF(OR(ISNUMBER(SEARCH("land acquisition",P897)),ISNUMBER(SEARCH("rehabilitation",P897)),ISNUMBER(SEARCH("displacement",P897)),ISNUMBER(SEARCH("township",P897))),"Land &amp; rehabilitation",IF(OR(ISNUMBER(SEARCH("forest",P897)),ISNUMBER(SEARCH("environment",P897)),ISNUMBER(SEARCH("ecological",P897)),ISNUMBER(SEARCH("biodiversity",P897)),ISNUMBER(SEARCH("green cover",P897))),"Environment",IF(OR(ISNUMBER(SEARCH("irrigation",P897)),ISNUMBER(SEARCH("water",P897)),ISNUMBER(SEARCH("crop",P897)),ISNUMBER(SEARCH("farmer",P897)),ISNUMBER(SEARCH("agriculture",P897))),"Agriculture &amp; water",IF(OR(ISNUMBER(SEARCH("health",P897)),ISNUMBER(SEARCH("hospital",P897)),ISNUMBER(SEARCH("medicine",P897))),"Public health",IF(OR(ISNUMBER(SEARCH("employee",P897)),ISNUMBER(SEARCH("labour",P897)),ISNUMBER(SEARCH("worker",P897)),ISNUMBER(SEARCH("salary",P897))),"Labour &amp; employment",IF(OR(ISNUMBER(SEARCH("rti",P897)),ISNUMBER(SEARCH("transparency",P897)),ISNUMBER(SEARCH("corruption",P897)),ISNUMBER(SEARCH("governance",P897))),"Governance &amp; transparency",IF(OR(ISNUMBER(SEARCH("police",P897)),ISNUMBER(SEARCH("detention",P897)),ISNUMBER(SEARCH("civil rights",P897)),ISNUMBER(SEARCH("justice",P897))),"Civil rights &amp; justice",IF(OR(ISNUMBER(SEARCH("road",P897)),ISNUMBER(SEARCH("utility",P897)),ISNUMBER(SEARCH("infrastructure",P897)),ISNUMBER(SEARCH("public service",P897))),"Infrastructure &amp; public services","Other"))))))))))))</x:f>
      </x:c>
      <x:c r="J897" s="16" t="str">
        <x:f>IF(A897="","",IF(OR(ISNUMBER(SEARCH("fatal",Q897)),ISNUMBER(SEARCH("death",Q897)),ISNUMBER(SEARCH("riot",Q897)),ISNUMBER(SEARCH("curfew",Q897)),ISNUMBER(SEARCH("internet shutdown",Q897))),5,MIN(4,1+IF(H897&gt;=7,1,0)+IF(OR(ISNUMBER(SEARCH("hunger strike",Q897)),ISNUMBER(SEARCH("blockade",Q897)),ISNUMBER(SEARCH("strike",Q897)),ISNUMBER(SEARCH("jal satyagraha",Q897)),ISNUMBER(SEARCH("survey",Q897)),ISNUMBER(SEARCH("human chain",Q897)),ISNUMBER(SEARCH("march",Q897))),1,0)+IF(OR(ISNUMBER(SEARCH("fir",Q897)),ISNUMBER(SEARCH("confrontation",Q897)),ISNUMBER(SEARCH("violence",Q897)),ISNUMBER(SEARCH("detention",Q897)),ISNUMBER(SEARCH("arrest",Q897)),ISNUMBER(SEARCH("demolition",Q897)),ISNUMBER(SEARCH("injury",Q897))),1,0)+IF(OR(D897="Ongoing",D897="Unresolved"),1,0))))</x:f>
      </x:c>
      <x:c r="K897" s="16" t="str">
        <x:f>IF(J897="","",IF(J897=1,"Limited",IF(J897=2,"Local",IF(J897=3,"Significant",IF(J897=4,"High","Critical")))))</x:f>
      </x:c>
      <x:c r="L897" s="16" t="str">
        <x:f>IF(A897="","",Events!U896)</x:f>
      </x:c>
      <x:c r="M897" s="16" t="str">
        <x:f>IF(A897="","",Events!V896)</x:f>
      </x:c>
      <x:c r="N897" s="16" t="str">
        <x:f>IF(A897="","",Events!Q896)</x:f>
      </x:c>
      <x:c r="O897" s="16" t="str">
        <x:f>IF(A897="","",Events!R896)</x:f>
      </x:c>
      <x:c r="P897" s="16" t="str">
        <x:f>IF(A897="","",LOWER(Events!B896&amp;" "&amp;Events!D896&amp;" "&amp;Events!K896))</x:f>
      </x:c>
      <x:c r="Q897" s="16" t="str">
        <x:f>IF(A897="","",LOWER(Events!C896&amp;" "&amp;Events!K896&amp;" "&amp;Events!T896))</x:f>
      </x:c>
      <x:c r="R897" s="16" t="str">
        <x:f>IF(A897="","",IF(ISNUMBER(SEARCH("Occurrence verified",E897)),"Occurrence verified",E897))</x:f>
      </x:c>
      <x:c r="S897" s="79" t="str">
        <x:f>IF(A897="","",Events!X896)</x:f>
      </x:c>
      <x:c r="Z897" s="79" t="str">
        <x:f>IF(A897="","",Events!AD896)</x:f>
      </x:c>
      <x:c r="AA897" s="79" t="str">
        <x:f>IF(A897="","",Events!AE896)</x:f>
      </x:c>
    </x:row>
    <x:row r="898">
      <x:c r="A898" s="16" t="str">
        <x:f>IF(Events!A897="","",Events!A897)</x:f>
      </x:c>
      <x:c r="B898" s="16" t="str">
        <x:f>IF(A898="","",Events!B897)</x:f>
      </x:c>
      <x:c r="C898" s="16" t="str">
        <x:f>IF(A898="","",Events!E897)</x:f>
      </x:c>
      <x:c r="D898" s="16" t="str">
        <x:f>IF(A898="","",Events!J897)</x:f>
      </x:c>
      <x:c r="E898" s="16" t="str">
        <x:f>IF(A898="","",Events!N897)</x:f>
      </x:c>
      <x:c r="F898" s="109" t="str">
        <x:f>IF(OR(A898="",Events!H897=""),"",Events!H897)</x:f>
      </x:c>
      <x:c r="G898" s="109" t="str">
        <x:f>IF(A898="","",IF(Events!I897&lt;&gt;"",Events!I897,IF(Events!S897&lt;&gt;"",Events!S897,"")))</x:f>
      </x:c>
      <x:c r="H898" s="16" t="str">
        <x:f>IF(A898="","",Events!W897)</x:f>
      </x:c>
      <x:c r="I898" s="16" t="str">
        <x:f>IF(A898="","",IF(Events!Y897&lt;&gt;"",Events!Y897,IF(OR(ISNUMBER(SEARCH("education",P898)),ISNUMBER(SEARCH("exam",P898)),ISNUMBER(SEARCH("school",P898))),"Education",IF(OR(ISNUMBER(SEARCH("trade agreement",P898)),ISNUMBER(SEARCH("economic",P898)),ISNUMBER(SEARCH("import",P898))),"Trade &amp; economic policy",IF(OR(ISNUMBER(SEARCH("land acquisition",P898)),ISNUMBER(SEARCH("rehabilitation",P898)),ISNUMBER(SEARCH("displacement",P898)),ISNUMBER(SEARCH("township",P898))),"Land &amp; rehabilitation",IF(OR(ISNUMBER(SEARCH("forest",P898)),ISNUMBER(SEARCH("environment",P898)),ISNUMBER(SEARCH("ecological",P898)),ISNUMBER(SEARCH("biodiversity",P898)),ISNUMBER(SEARCH("green cover",P898))),"Environment",IF(OR(ISNUMBER(SEARCH("irrigation",P898)),ISNUMBER(SEARCH("water",P898)),ISNUMBER(SEARCH("crop",P898)),ISNUMBER(SEARCH("farmer",P898)),ISNUMBER(SEARCH("agriculture",P898))),"Agriculture &amp; water",IF(OR(ISNUMBER(SEARCH("health",P898)),ISNUMBER(SEARCH("hospital",P898)),ISNUMBER(SEARCH("medicine",P898))),"Public health",IF(OR(ISNUMBER(SEARCH("employee",P898)),ISNUMBER(SEARCH("labour",P898)),ISNUMBER(SEARCH("worker",P898)),ISNUMBER(SEARCH("salary",P898))),"Labour &amp; employment",IF(OR(ISNUMBER(SEARCH("rti",P898)),ISNUMBER(SEARCH("transparency",P898)),ISNUMBER(SEARCH("corruption",P898)),ISNUMBER(SEARCH("governance",P898))),"Governance &amp; transparency",IF(OR(ISNUMBER(SEARCH("police",P898)),ISNUMBER(SEARCH("detention",P898)),ISNUMBER(SEARCH("civil rights",P898)),ISNUMBER(SEARCH("justice",P898))),"Civil rights &amp; justice",IF(OR(ISNUMBER(SEARCH("road",P898)),ISNUMBER(SEARCH("utility",P898)),ISNUMBER(SEARCH("infrastructure",P898)),ISNUMBER(SEARCH("public service",P898))),"Infrastructure &amp; public services","Other"))))))))))))</x:f>
      </x:c>
      <x:c r="J898" s="16" t="str">
        <x:f>IF(A898="","",IF(OR(ISNUMBER(SEARCH("fatal",Q898)),ISNUMBER(SEARCH("death",Q898)),ISNUMBER(SEARCH("riot",Q898)),ISNUMBER(SEARCH("curfew",Q898)),ISNUMBER(SEARCH("internet shutdown",Q898))),5,MIN(4,1+IF(H898&gt;=7,1,0)+IF(OR(ISNUMBER(SEARCH("hunger strike",Q898)),ISNUMBER(SEARCH("blockade",Q898)),ISNUMBER(SEARCH("strike",Q898)),ISNUMBER(SEARCH("jal satyagraha",Q898)),ISNUMBER(SEARCH("survey",Q898)),ISNUMBER(SEARCH("human chain",Q898)),ISNUMBER(SEARCH("march",Q898))),1,0)+IF(OR(ISNUMBER(SEARCH("fir",Q898)),ISNUMBER(SEARCH("confrontation",Q898)),ISNUMBER(SEARCH("violence",Q898)),ISNUMBER(SEARCH("detention",Q898)),ISNUMBER(SEARCH("arrest",Q898)),ISNUMBER(SEARCH("demolition",Q898)),ISNUMBER(SEARCH("injury",Q898))),1,0)+IF(OR(D898="Ongoing",D898="Unresolved"),1,0))))</x:f>
      </x:c>
      <x:c r="K898" s="16" t="str">
        <x:f>IF(J898="","",IF(J898=1,"Limited",IF(J898=2,"Local",IF(J898=3,"Significant",IF(J898=4,"High","Critical")))))</x:f>
      </x:c>
      <x:c r="L898" s="16" t="str">
        <x:f>IF(A898="","",Events!U897)</x:f>
      </x:c>
      <x:c r="M898" s="16" t="str">
        <x:f>IF(A898="","",Events!V897)</x:f>
      </x:c>
      <x:c r="N898" s="16" t="str">
        <x:f>IF(A898="","",Events!Q897)</x:f>
      </x:c>
      <x:c r="O898" s="16" t="str">
        <x:f>IF(A898="","",Events!R897)</x:f>
      </x:c>
      <x:c r="P898" s="16" t="str">
        <x:f>IF(A898="","",LOWER(Events!B897&amp;" "&amp;Events!D897&amp;" "&amp;Events!K897))</x:f>
      </x:c>
      <x:c r="Q898" s="16" t="str">
        <x:f>IF(A898="","",LOWER(Events!C897&amp;" "&amp;Events!K897&amp;" "&amp;Events!T897))</x:f>
      </x:c>
      <x:c r="R898" s="16" t="str">
        <x:f>IF(A898="","",IF(ISNUMBER(SEARCH("Occurrence verified",E898)),"Occurrence verified",E898))</x:f>
      </x:c>
      <x:c r="S898" s="79" t="str">
        <x:f>IF(A898="","",Events!X897)</x:f>
      </x:c>
      <x:c r="Z898" s="79" t="str">
        <x:f>IF(A898="","",Events!AD897)</x:f>
      </x:c>
      <x:c r="AA898" s="79" t="str">
        <x:f>IF(A898="","",Events!AE897)</x:f>
      </x:c>
    </x:row>
    <x:row r="899">
      <x:c r="A899" s="16" t="str">
        <x:f>IF(Events!A898="","",Events!A898)</x:f>
      </x:c>
      <x:c r="B899" s="16" t="str">
        <x:f>IF(A899="","",Events!B898)</x:f>
      </x:c>
      <x:c r="C899" s="16" t="str">
        <x:f>IF(A899="","",Events!E898)</x:f>
      </x:c>
      <x:c r="D899" s="16" t="str">
        <x:f>IF(A899="","",Events!J898)</x:f>
      </x:c>
      <x:c r="E899" s="16" t="str">
        <x:f>IF(A899="","",Events!N898)</x:f>
      </x:c>
      <x:c r="F899" s="109" t="str">
        <x:f>IF(OR(A899="",Events!H898=""),"",Events!H898)</x:f>
      </x:c>
      <x:c r="G899" s="109" t="str">
        <x:f>IF(A899="","",IF(Events!I898&lt;&gt;"",Events!I898,IF(Events!S898&lt;&gt;"",Events!S898,"")))</x:f>
      </x:c>
      <x:c r="H899" s="16" t="str">
        <x:f>IF(A899="","",Events!W898)</x:f>
      </x:c>
      <x:c r="I899" s="16" t="str">
        <x:f>IF(A899="","",IF(Events!Y898&lt;&gt;"",Events!Y898,IF(OR(ISNUMBER(SEARCH("education",P899)),ISNUMBER(SEARCH("exam",P899)),ISNUMBER(SEARCH("school",P899))),"Education",IF(OR(ISNUMBER(SEARCH("trade agreement",P899)),ISNUMBER(SEARCH("economic",P899)),ISNUMBER(SEARCH("import",P899))),"Trade &amp; economic policy",IF(OR(ISNUMBER(SEARCH("land acquisition",P899)),ISNUMBER(SEARCH("rehabilitation",P899)),ISNUMBER(SEARCH("displacement",P899)),ISNUMBER(SEARCH("township",P899))),"Land &amp; rehabilitation",IF(OR(ISNUMBER(SEARCH("forest",P899)),ISNUMBER(SEARCH("environment",P899)),ISNUMBER(SEARCH("ecological",P899)),ISNUMBER(SEARCH("biodiversity",P899)),ISNUMBER(SEARCH("green cover",P899))),"Environment",IF(OR(ISNUMBER(SEARCH("irrigation",P899)),ISNUMBER(SEARCH("water",P899)),ISNUMBER(SEARCH("crop",P899)),ISNUMBER(SEARCH("farmer",P899)),ISNUMBER(SEARCH("agriculture",P899))),"Agriculture &amp; water",IF(OR(ISNUMBER(SEARCH("health",P899)),ISNUMBER(SEARCH("hospital",P899)),ISNUMBER(SEARCH("medicine",P899))),"Public health",IF(OR(ISNUMBER(SEARCH("employee",P899)),ISNUMBER(SEARCH("labour",P899)),ISNUMBER(SEARCH("worker",P899)),ISNUMBER(SEARCH("salary",P899))),"Labour &amp; employment",IF(OR(ISNUMBER(SEARCH("rti",P899)),ISNUMBER(SEARCH("transparency",P899)),ISNUMBER(SEARCH("corruption",P899)),ISNUMBER(SEARCH("governance",P899))),"Governance &amp; transparency",IF(OR(ISNUMBER(SEARCH("police",P899)),ISNUMBER(SEARCH("detention",P899)),ISNUMBER(SEARCH("civil rights",P899)),ISNUMBER(SEARCH("justice",P899))),"Civil rights &amp; justice",IF(OR(ISNUMBER(SEARCH("road",P899)),ISNUMBER(SEARCH("utility",P899)),ISNUMBER(SEARCH("infrastructure",P899)),ISNUMBER(SEARCH("public service",P899))),"Infrastructure &amp; public services","Other"))))))))))))</x:f>
      </x:c>
      <x:c r="J899" s="16" t="str">
        <x:f>IF(A899="","",IF(OR(ISNUMBER(SEARCH("fatal",Q899)),ISNUMBER(SEARCH("death",Q899)),ISNUMBER(SEARCH("riot",Q899)),ISNUMBER(SEARCH("curfew",Q899)),ISNUMBER(SEARCH("internet shutdown",Q899))),5,MIN(4,1+IF(H899&gt;=7,1,0)+IF(OR(ISNUMBER(SEARCH("hunger strike",Q899)),ISNUMBER(SEARCH("blockade",Q899)),ISNUMBER(SEARCH("strike",Q899)),ISNUMBER(SEARCH("jal satyagraha",Q899)),ISNUMBER(SEARCH("survey",Q899)),ISNUMBER(SEARCH("human chain",Q899)),ISNUMBER(SEARCH("march",Q899))),1,0)+IF(OR(ISNUMBER(SEARCH("fir",Q899)),ISNUMBER(SEARCH("confrontation",Q899)),ISNUMBER(SEARCH("violence",Q899)),ISNUMBER(SEARCH("detention",Q899)),ISNUMBER(SEARCH("arrest",Q899)),ISNUMBER(SEARCH("demolition",Q899)),ISNUMBER(SEARCH("injury",Q899))),1,0)+IF(OR(D899="Ongoing",D899="Unresolved"),1,0))))</x:f>
      </x:c>
      <x:c r="K899" s="16" t="str">
        <x:f>IF(J899="","",IF(J899=1,"Limited",IF(J899=2,"Local",IF(J899=3,"Significant",IF(J899=4,"High","Critical")))))</x:f>
      </x:c>
      <x:c r="L899" s="16" t="str">
        <x:f>IF(A899="","",Events!U898)</x:f>
      </x:c>
      <x:c r="M899" s="16" t="str">
        <x:f>IF(A899="","",Events!V898)</x:f>
      </x:c>
      <x:c r="N899" s="16" t="str">
        <x:f>IF(A899="","",Events!Q898)</x:f>
      </x:c>
      <x:c r="O899" s="16" t="str">
        <x:f>IF(A899="","",Events!R898)</x:f>
      </x:c>
      <x:c r="P899" s="16" t="str">
        <x:f>IF(A899="","",LOWER(Events!B898&amp;" "&amp;Events!D898&amp;" "&amp;Events!K898))</x:f>
      </x:c>
      <x:c r="Q899" s="16" t="str">
        <x:f>IF(A899="","",LOWER(Events!C898&amp;" "&amp;Events!K898&amp;" "&amp;Events!T898))</x:f>
      </x:c>
      <x:c r="R899" s="16" t="str">
        <x:f>IF(A899="","",IF(ISNUMBER(SEARCH("Occurrence verified",E899)),"Occurrence verified",E899))</x:f>
      </x:c>
      <x:c r="S899" s="79" t="str">
        <x:f>IF(A899="","",Events!X898)</x:f>
      </x:c>
      <x:c r="Z899" s="79" t="str">
        <x:f>IF(A899="","",Events!AD898)</x:f>
      </x:c>
      <x:c r="AA899" s="79" t="str">
        <x:f>IF(A899="","",Events!AE898)</x:f>
      </x:c>
    </x:row>
    <x:row r="900">
      <x:c r="A900" s="16" t="str">
        <x:f>IF(Events!A899="","",Events!A899)</x:f>
      </x:c>
      <x:c r="B900" s="16" t="str">
        <x:f>IF(A900="","",Events!B899)</x:f>
      </x:c>
      <x:c r="C900" s="16" t="str">
        <x:f>IF(A900="","",Events!E899)</x:f>
      </x:c>
      <x:c r="D900" s="16" t="str">
        <x:f>IF(A900="","",Events!J899)</x:f>
      </x:c>
      <x:c r="E900" s="16" t="str">
        <x:f>IF(A900="","",Events!N899)</x:f>
      </x:c>
      <x:c r="F900" s="109" t="str">
        <x:f>IF(OR(A900="",Events!H899=""),"",Events!H899)</x:f>
      </x:c>
      <x:c r="G900" s="109" t="str">
        <x:f>IF(A900="","",IF(Events!I899&lt;&gt;"",Events!I899,IF(Events!S899&lt;&gt;"",Events!S899,"")))</x:f>
      </x:c>
      <x:c r="H900" s="16" t="str">
        <x:f>IF(A900="","",Events!W899)</x:f>
      </x:c>
      <x:c r="I900" s="16" t="str">
        <x:f>IF(A900="","",IF(Events!Y899&lt;&gt;"",Events!Y899,IF(OR(ISNUMBER(SEARCH("education",P900)),ISNUMBER(SEARCH("exam",P900)),ISNUMBER(SEARCH("school",P900))),"Education",IF(OR(ISNUMBER(SEARCH("trade agreement",P900)),ISNUMBER(SEARCH("economic",P900)),ISNUMBER(SEARCH("import",P900))),"Trade &amp; economic policy",IF(OR(ISNUMBER(SEARCH("land acquisition",P900)),ISNUMBER(SEARCH("rehabilitation",P900)),ISNUMBER(SEARCH("displacement",P900)),ISNUMBER(SEARCH("township",P900))),"Land &amp; rehabilitation",IF(OR(ISNUMBER(SEARCH("forest",P900)),ISNUMBER(SEARCH("environment",P900)),ISNUMBER(SEARCH("ecological",P900)),ISNUMBER(SEARCH("biodiversity",P900)),ISNUMBER(SEARCH("green cover",P900))),"Environment",IF(OR(ISNUMBER(SEARCH("irrigation",P900)),ISNUMBER(SEARCH("water",P900)),ISNUMBER(SEARCH("crop",P900)),ISNUMBER(SEARCH("farmer",P900)),ISNUMBER(SEARCH("agriculture",P900))),"Agriculture &amp; water",IF(OR(ISNUMBER(SEARCH("health",P900)),ISNUMBER(SEARCH("hospital",P900)),ISNUMBER(SEARCH("medicine",P900))),"Public health",IF(OR(ISNUMBER(SEARCH("employee",P900)),ISNUMBER(SEARCH("labour",P900)),ISNUMBER(SEARCH("worker",P900)),ISNUMBER(SEARCH("salary",P900))),"Labour &amp; employment",IF(OR(ISNUMBER(SEARCH("rti",P900)),ISNUMBER(SEARCH("transparency",P900)),ISNUMBER(SEARCH("corruption",P900)),ISNUMBER(SEARCH("governance",P900))),"Governance &amp; transparency",IF(OR(ISNUMBER(SEARCH("police",P900)),ISNUMBER(SEARCH("detention",P900)),ISNUMBER(SEARCH("civil rights",P900)),ISNUMBER(SEARCH("justice",P900))),"Civil rights &amp; justice",IF(OR(ISNUMBER(SEARCH("road",P900)),ISNUMBER(SEARCH("utility",P900)),ISNUMBER(SEARCH("infrastructure",P900)),ISNUMBER(SEARCH("public service",P900))),"Infrastructure &amp; public services","Other"))))))))))))</x:f>
      </x:c>
      <x:c r="J900" s="16" t="str">
        <x:f>IF(A900="","",IF(OR(ISNUMBER(SEARCH("fatal",Q900)),ISNUMBER(SEARCH("death",Q900)),ISNUMBER(SEARCH("riot",Q900)),ISNUMBER(SEARCH("curfew",Q900)),ISNUMBER(SEARCH("internet shutdown",Q900))),5,MIN(4,1+IF(H900&gt;=7,1,0)+IF(OR(ISNUMBER(SEARCH("hunger strike",Q900)),ISNUMBER(SEARCH("blockade",Q900)),ISNUMBER(SEARCH("strike",Q900)),ISNUMBER(SEARCH("jal satyagraha",Q900)),ISNUMBER(SEARCH("survey",Q900)),ISNUMBER(SEARCH("human chain",Q900)),ISNUMBER(SEARCH("march",Q900))),1,0)+IF(OR(ISNUMBER(SEARCH("fir",Q900)),ISNUMBER(SEARCH("confrontation",Q900)),ISNUMBER(SEARCH("violence",Q900)),ISNUMBER(SEARCH("detention",Q900)),ISNUMBER(SEARCH("arrest",Q900)),ISNUMBER(SEARCH("demolition",Q900)),ISNUMBER(SEARCH("injury",Q900))),1,0)+IF(OR(D900="Ongoing",D900="Unresolved"),1,0))))</x:f>
      </x:c>
      <x:c r="K900" s="16" t="str">
        <x:f>IF(J900="","",IF(J900=1,"Limited",IF(J900=2,"Local",IF(J900=3,"Significant",IF(J900=4,"High","Critical")))))</x:f>
      </x:c>
      <x:c r="L900" s="16" t="str">
        <x:f>IF(A900="","",Events!U899)</x:f>
      </x:c>
      <x:c r="M900" s="16" t="str">
        <x:f>IF(A900="","",Events!V899)</x:f>
      </x:c>
      <x:c r="N900" s="16" t="str">
        <x:f>IF(A900="","",Events!Q899)</x:f>
      </x:c>
      <x:c r="O900" s="16" t="str">
        <x:f>IF(A900="","",Events!R899)</x:f>
      </x:c>
      <x:c r="P900" s="16" t="str">
        <x:f>IF(A900="","",LOWER(Events!B899&amp;" "&amp;Events!D899&amp;" "&amp;Events!K899))</x:f>
      </x:c>
      <x:c r="Q900" s="16" t="str">
        <x:f>IF(A900="","",LOWER(Events!C899&amp;" "&amp;Events!K899&amp;" "&amp;Events!T899))</x:f>
      </x:c>
      <x:c r="R900" s="16" t="str">
        <x:f>IF(A900="","",IF(ISNUMBER(SEARCH("Occurrence verified",E900)),"Occurrence verified",E900))</x:f>
      </x:c>
      <x:c r="S900" s="79" t="str">
        <x:f>IF(A900="","",Events!X899)</x:f>
      </x:c>
      <x:c r="Z900" s="79" t="str">
        <x:f>IF(A900="","",Events!AD899)</x:f>
      </x:c>
      <x:c r="AA900" s="79" t="str">
        <x:f>IF(A900="","",Events!AE899)</x:f>
      </x:c>
    </x:row>
    <x:row r="901">
      <x:c r="A901" s="16" t="str">
        <x:f>IF(Events!A900="","",Events!A900)</x:f>
      </x:c>
      <x:c r="B901" s="16" t="str">
        <x:f>IF(A901="","",Events!B900)</x:f>
      </x:c>
      <x:c r="C901" s="16" t="str">
        <x:f>IF(A901="","",Events!E900)</x:f>
      </x:c>
      <x:c r="D901" s="16" t="str">
        <x:f>IF(A901="","",Events!J900)</x:f>
      </x:c>
      <x:c r="E901" s="16" t="str">
        <x:f>IF(A901="","",Events!N900)</x:f>
      </x:c>
      <x:c r="F901" s="109" t="str">
        <x:f>IF(OR(A901="",Events!H900=""),"",Events!H900)</x:f>
      </x:c>
      <x:c r="G901" s="109" t="str">
        <x:f>IF(A901="","",IF(Events!I900&lt;&gt;"",Events!I900,IF(Events!S900&lt;&gt;"",Events!S900,"")))</x:f>
      </x:c>
      <x:c r="H901" s="16" t="str">
        <x:f>IF(A901="","",Events!W900)</x:f>
      </x:c>
      <x:c r="I901" s="16" t="str">
        <x:f>IF(A901="","",IF(Events!Y900&lt;&gt;"",Events!Y900,IF(OR(ISNUMBER(SEARCH("education",P901)),ISNUMBER(SEARCH("exam",P901)),ISNUMBER(SEARCH("school",P901))),"Education",IF(OR(ISNUMBER(SEARCH("trade agreement",P901)),ISNUMBER(SEARCH("economic",P901)),ISNUMBER(SEARCH("import",P901))),"Trade &amp; economic policy",IF(OR(ISNUMBER(SEARCH("land acquisition",P901)),ISNUMBER(SEARCH("rehabilitation",P901)),ISNUMBER(SEARCH("displacement",P901)),ISNUMBER(SEARCH("township",P901))),"Land &amp; rehabilitation",IF(OR(ISNUMBER(SEARCH("forest",P901)),ISNUMBER(SEARCH("environment",P901)),ISNUMBER(SEARCH("ecological",P901)),ISNUMBER(SEARCH("biodiversity",P901)),ISNUMBER(SEARCH("green cover",P901))),"Environment",IF(OR(ISNUMBER(SEARCH("irrigation",P901)),ISNUMBER(SEARCH("water",P901)),ISNUMBER(SEARCH("crop",P901)),ISNUMBER(SEARCH("farmer",P901)),ISNUMBER(SEARCH("agriculture",P901))),"Agriculture &amp; water",IF(OR(ISNUMBER(SEARCH("health",P901)),ISNUMBER(SEARCH("hospital",P901)),ISNUMBER(SEARCH("medicine",P901))),"Public health",IF(OR(ISNUMBER(SEARCH("employee",P901)),ISNUMBER(SEARCH("labour",P901)),ISNUMBER(SEARCH("worker",P901)),ISNUMBER(SEARCH("salary",P901))),"Labour &amp; employment",IF(OR(ISNUMBER(SEARCH("rti",P901)),ISNUMBER(SEARCH("transparency",P901)),ISNUMBER(SEARCH("corruption",P901)),ISNUMBER(SEARCH("governance",P901))),"Governance &amp; transparency",IF(OR(ISNUMBER(SEARCH("police",P901)),ISNUMBER(SEARCH("detention",P901)),ISNUMBER(SEARCH("civil rights",P901)),ISNUMBER(SEARCH("justice",P901))),"Civil rights &amp; justice",IF(OR(ISNUMBER(SEARCH("road",P901)),ISNUMBER(SEARCH("utility",P901)),ISNUMBER(SEARCH("infrastructure",P901)),ISNUMBER(SEARCH("public service",P901))),"Infrastructure &amp; public services","Other"))))))))))))</x:f>
      </x:c>
      <x:c r="J901" s="16" t="str">
        <x:f>IF(A901="","",IF(OR(ISNUMBER(SEARCH("fatal",Q901)),ISNUMBER(SEARCH("death",Q901)),ISNUMBER(SEARCH("riot",Q901)),ISNUMBER(SEARCH("curfew",Q901)),ISNUMBER(SEARCH("internet shutdown",Q901))),5,MIN(4,1+IF(H901&gt;=7,1,0)+IF(OR(ISNUMBER(SEARCH("hunger strike",Q901)),ISNUMBER(SEARCH("blockade",Q901)),ISNUMBER(SEARCH("strike",Q901)),ISNUMBER(SEARCH("jal satyagraha",Q901)),ISNUMBER(SEARCH("survey",Q901)),ISNUMBER(SEARCH("human chain",Q901)),ISNUMBER(SEARCH("march",Q901))),1,0)+IF(OR(ISNUMBER(SEARCH("fir",Q901)),ISNUMBER(SEARCH("confrontation",Q901)),ISNUMBER(SEARCH("violence",Q901)),ISNUMBER(SEARCH("detention",Q901)),ISNUMBER(SEARCH("arrest",Q901)),ISNUMBER(SEARCH("demolition",Q901)),ISNUMBER(SEARCH("injury",Q901))),1,0)+IF(OR(D901="Ongoing",D901="Unresolved"),1,0))))</x:f>
      </x:c>
      <x:c r="K901" s="16" t="str">
        <x:f>IF(J901="","",IF(J901=1,"Limited",IF(J901=2,"Local",IF(J901=3,"Significant",IF(J901=4,"High","Critical")))))</x:f>
      </x:c>
      <x:c r="L901" s="16" t="str">
        <x:f>IF(A901="","",Events!U900)</x:f>
      </x:c>
      <x:c r="M901" s="16" t="str">
        <x:f>IF(A901="","",Events!V900)</x:f>
      </x:c>
      <x:c r="N901" s="16" t="str">
        <x:f>IF(A901="","",Events!Q900)</x:f>
      </x:c>
      <x:c r="O901" s="16" t="str">
        <x:f>IF(A901="","",Events!R900)</x:f>
      </x:c>
      <x:c r="P901" s="16" t="str">
        <x:f>IF(A901="","",LOWER(Events!B900&amp;" "&amp;Events!D900&amp;" "&amp;Events!K900))</x:f>
      </x:c>
      <x:c r="Q901" s="16" t="str">
        <x:f>IF(A901="","",LOWER(Events!C900&amp;" "&amp;Events!K900&amp;" "&amp;Events!T900))</x:f>
      </x:c>
      <x:c r="R901" s="16" t="str">
        <x:f>IF(A901="","",IF(ISNUMBER(SEARCH("Occurrence verified",E901)),"Occurrence verified",E901))</x:f>
      </x:c>
      <x:c r="S901" s="79" t="str">
        <x:f>IF(A901="","",Events!X900)</x:f>
      </x:c>
      <x:c r="Z901" s="79" t="str">
        <x:f>IF(A901="","",Events!AD900)</x:f>
      </x:c>
      <x:c r="AA901" s="79" t="str">
        <x:f>IF(A901="","",Events!AE900)</x:f>
      </x:c>
    </x:row>
    <x:row r="902">
      <x:c r="A902" s="16" t="str">
        <x:f>IF(Events!A901="","",Events!A901)</x:f>
      </x:c>
      <x:c r="B902" s="16" t="str">
        <x:f>IF(A902="","",Events!B901)</x:f>
      </x:c>
      <x:c r="C902" s="16" t="str">
        <x:f>IF(A902="","",Events!E901)</x:f>
      </x:c>
      <x:c r="D902" s="16" t="str">
        <x:f>IF(A902="","",Events!J901)</x:f>
      </x:c>
      <x:c r="E902" s="16" t="str">
        <x:f>IF(A902="","",Events!N901)</x:f>
      </x:c>
      <x:c r="F902" s="109" t="str">
        <x:f>IF(OR(A902="",Events!H901=""),"",Events!H901)</x:f>
      </x:c>
      <x:c r="G902" s="109" t="str">
        <x:f>IF(A902="","",IF(Events!I901&lt;&gt;"",Events!I901,IF(Events!S901&lt;&gt;"",Events!S901,"")))</x:f>
      </x:c>
      <x:c r="H902" s="16" t="str">
        <x:f>IF(A902="","",Events!W901)</x:f>
      </x:c>
      <x:c r="I902" s="16" t="str">
        <x:f>IF(A902="","",IF(Events!Y901&lt;&gt;"",Events!Y901,IF(OR(ISNUMBER(SEARCH("education",P902)),ISNUMBER(SEARCH("exam",P902)),ISNUMBER(SEARCH("school",P902))),"Education",IF(OR(ISNUMBER(SEARCH("trade agreement",P902)),ISNUMBER(SEARCH("economic",P902)),ISNUMBER(SEARCH("import",P902))),"Trade &amp; economic policy",IF(OR(ISNUMBER(SEARCH("land acquisition",P902)),ISNUMBER(SEARCH("rehabilitation",P902)),ISNUMBER(SEARCH("displacement",P902)),ISNUMBER(SEARCH("township",P902))),"Land &amp; rehabilitation",IF(OR(ISNUMBER(SEARCH("forest",P902)),ISNUMBER(SEARCH("environment",P902)),ISNUMBER(SEARCH("ecological",P902)),ISNUMBER(SEARCH("biodiversity",P902)),ISNUMBER(SEARCH("green cover",P902))),"Environment",IF(OR(ISNUMBER(SEARCH("irrigation",P902)),ISNUMBER(SEARCH("water",P902)),ISNUMBER(SEARCH("crop",P902)),ISNUMBER(SEARCH("farmer",P902)),ISNUMBER(SEARCH("agriculture",P902))),"Agriculture &amp; water",IF(OR(ISNUMBER(SEARCH("health",P902)),ISNUMBER(SEARCH("hospital",P902)),ISNUMBER(SEARCH("medicine",P902))),"Public health",IF(OR(ISNUMBER(SEARCH("employee",P902)),ISNUMBER(SEARCH("labour",P902)),ISNUMBER(SEARCH("worker",P902)),ISNUMBER(SEARCH("salary",P902))),"Labour &amp; employment",IF(OR(ISNUMBER(SEARCH("rti",P902)),ISNUMBER(SEARCH("transparency",P902)),ISNUMBER(SEARCH("corruption",P902)),ISNUMBER(SEARCH("governance",P902))),"Governance &amp; transparency",IF(OR(ISNUMBER(SEARCH("police",P902)),ISNUMBER(SEARCH("detention",P902)),ISNUMBER(SEARCH("civil rights",P902)),ISNUMBER(SEARCH("justice",P902))),"Civil rights &amp; justice",IF(OR(ISNUMBER(SEARCH("road",P902)),ISNUMBER(SEARCH("utility",P902)),ISNUMBER(SEARCH("infrastructure",P902)),ISNUMBER(SEARCH("public service",P902))),"Infrastructure &amp; public services","Other"))))))))))))</x:f>
      </x:c>
      <x:c r="J902" s="16" t="str">
        <x:f>IF(A902="","",IF(OR(ISNUMBER(SEARCH("fatal",Q902)),ISNUMBER(SEARCH("death",Q902)),ISNUMBER(SEARCH("riot",Q902)),ISNUMBER(SEARCH("curfew",Q902)),ISNUMBER(SEARCH("internet shutdown",Q902))),5,MIN(4,1+IF(H902&gt;=7,1,0)+IF(OR(ISNUMBER(SEARCH("hunger strike",Q902)),ISNUMBER(SEARCH("blockade",Q902)),ISNUMBER(SEARCH("strike",Q902)),ISNUMBER(SEARCH("jal satyagraha",Q902)),ISNUMBER(SEARCH("survey",Q902)),ISNUMBER(SEARCH("human chain",Q902)),ISNUMBER(SEARCH("march",Q902))),1,0)+IF(OR(ISNUMBER(SEARCH("fir",Q902)),ISNUMBER(SEARCH("confrontation",Q902)),ISNUMBER(SEARCH("violence",Q902)),ISNUMBER(SEARCH("detention",Q902)),ISNUMBER(SEARCH("arrest",Q902)),ISNUMBER(SEARCH("demolition",Q902)),ISNUMBER(SEARCH("injury",Q902))),1,0)+IF(OR(D902="Ongoing",D902="Unresolved"),1,0))))</x:f>
      </x:c>
      <x:c r="K902" s="16" t="str">
        <x:f>IF(J902="","",IF(J902=1,"Limited",IF(J902=2,"Local",IF(J902=3,"Significant",IF(J902=4,"High","Critical")))))</x:f>
      </x:c>
      <x:c r="L902" s="16" t="str">
        <x:f>IF(A902="","",Events!U901)</x:f>
      </x:c>
      <x:c r="M902" s="16" t="str">
        <x:f>IF(A902="","",Events!V901)</x:f>
      </x:c>
      <x:c r="N902" s="16" t="str">
        <x:f>IF(A902="","",Events!Q901)</x:f>
      </x:c>
      <x:c r="O902" s="16" t="str">
        <x:f>IF(A902="","",Events!R901)</x:f>
      </x:c>
      <x:c r="P902" s="16" t="str">
        <x:f>IF(A902="","",LOWER(Events!B901&amp;" "&amp;Events!D901&amp;" "&amp;Events!K901))</x:f>
      </x:c>
      <x:c r="Q902" s="16" t="str">
        <x:f>IF(A902="","",LOWER(Events!C901&amp;" "&amp;Events!K901&amp;" "&amp;Events!T901))</x:f>
      </x:c>
      <x:c r="R902" s="16" t="str">
        <x:f>IF(A902="","",IF(ISNUMBER(SEARCH("Occurrence verified",E902)),"Occurrence verified",E902))</x:f>
      </x:c>
      <x:c r="S902" s="79" t="str">
        <x:f>IF(A902="","",Events!X901)</x:f>
      </x:c>
      <x:c r="Z902" s="79" t="str">
        <x:f>IF(A902="","",Events!AD901)</x:f>
      </x:c>
      <x:c r="AA902" s="79" t="str">
        <x:f>IF(A902="","",Events!AE901)</x:f>
      </x:c>
    </x:row>
    <x:row r="903">
      <x:c r="A903" s="16" t="str">
        <x:f>IF(Events!A902="","",Events!A902)</x:f>
      </x:c>
      <x:c r="B903" s="16" t="str">
        <x:f>IF(A903="","",Events!B902)</x:f>
      </x:c>
      <x:c r="C903" s="16" t="str">
        <x:f>IF(A903="","",Events!E902)</x:f>
      </x:c>
      <x:c r="D903" s="16" t="str">
        <x:f>IF(A903="","",Events!J902)</x:f>
      </x:c>
      <x:c r="E903" s="16" t="str">
        <x:f>IF(A903="","",Events!N902)</x:f>
      </x:c>
      <x:c r="F903" s="109" t="str">
        <x:f>IF(OR(A903="",Events!H902=""),"",Events!H902)</x:f>
      </x:c>
      <x:c r="G903" s="109" t="str">
        <x:f>IF(A903="","",IF(Events!I902&lt;&gt;"",Events!I902,IF(Events!S902&lt;&gt;"",Events!S902,"")))</x:f>
      </x:c>
      <x:c r="H903" s="16" t="str">
        <x:f>IF(A903="","",Events!W902)</x:f>
      </x:c>
      <x:c r="I903" s="16" t="str">
        <x:f>IF(A903="","",IF(Events!Y902&lt;&gt;"",Events!Y902,IF(OR(ISNUMBER(SEARCH("education",P903)),ISNUMBER(SEARCH("exam",P903)),ISNUMBER(SEARCH("school",P903))),"Education",IF(OR(ISNUMBER(SEARCH("trade agreement",P903)),ISNUMBER(SEARCH("economic",P903)),ISNUMBER(SEARCH("import",P903))),"Trade &amp; economic policy",IF(OR(ISNUMBER(SEARCH("land acquisition",P903)),ISNUMBER(SEARCH("rehabilitation",P903)),ISNUMBER(SEARCH("displacement",P903)),ISNUMBER(SEARCH("township",P903))),"Land &amp; rehabilitation",IF(OR(ISNUMBER(SEARCH("forest",P903)),ISNUMBER(SEARCH("environment",P903)),ISNUMBER(SEARCH("ecological",P903)),ISNUMBER(SEARCH("biodiversity",P903)),ISNUMBER(SEARCH("green cover",P903))),"Environment",IF(OR(ISNUMBER(SEARCH("irrigation",P903)),ISNUMBER(SEARCH("water",P903)),ISNUMBER(SEARCH("crop",P903)),ISNUMBER(SEARCH("farmer",P903)),ISNUMBER(SEARCH("agriculture",P903))),"Agriculture &amp; water",IF(OR(ISNUMBER(SEARCH("health",P903)),ISNUMBER(SEARCH("hospital",P903)),ISNUMBER(SEARCH("medicine",P903))),"Public health",IF(OR(ISNUMBER(SEARCH("employee",P903)),ISNUMBER(SEARCH("labour",P903)),ISNUMBER(SEARCH("worker",P903)),ISNUMBER(SEARCH("salary",P903))),"Labour &amp; employment",IF(OR(ISNUMBER(SEARCH("rti",P903)),ISNUMBER(SEARCH("transparency",P903)),ISNUMBER(SEARCH("corruption",P903)),ISNUMBER(SEARCH("governance",P903))),"Governance &amp; transparency",IF(OR(ISNUMBER(SEARCH("police",P903)),ISNUMBER(SEARCH("detention",P903)),ISNUMBER(SEARCH("civil rights",P903)),ISNUMBER(SEARCH("justice",P903))),"Civil rights &amp; justice",IF(OR(ISNUMBER(SEARCH("road",P903)),ISNUMBER(SEARCH("utility",P903)),ISNUMBER(SEARCH("infrastructure",P903)),ISNUMBER(SEARCH("public service",P903))),"Infrastructure &amp; public services","Other"))))))))))))</x:f>
      </x:c>
      <x:c r="J903" s="16" t="str">
        <x:f>IF(A903="","",IF(OR(ISNUMBER(SEARCH("fatal",Q903)),ISNUMBER(SEARCH("death",Q903)),ISNUMBER(SEARCH("riot",Q903)),ISNUMBER(SEARCH("curfew",Q903)),ISNUMBER(SEARCH("internet shutdown",Q903))),5,MIN(4,1+IF(H903&gt;=7,1,0)+IF(OR(ISNUMBER(SEARCH("hunger strike",Q903)),ISNUMBER(SEARCH("blockade",Q903)),ISNUMBER(SEARCH("strike",Q903)),ISNUMBER(SEARCH("jal satyagraha",Q903)),ISNUMBER(SEARCH("survey",Q903)),ISNUMBER(SEARCH("human chain",Q903)),ISNUMBER(SEARCH("march",Q903))),1,0)+IF(OR(ISNUMBER(SEARCH("fir",Q903)),ISNUMBER(SEARCH("confrontation",Q903)),ISNUMBER(SEARCH("violence",Q903)),ISNUMBER(SEARCH("detention",Q903)),ISNUMBER(SEARCH("arrest",Q903)),ISNUMBER(SEARCH("demolition",Q903)),ISNUMBER(SEARCH("injury",Q903))),1,0)+IF(OR(D903="Ongoing",D903="Unresolved"),1,0))))</x:f>
      </x:c>
      <x:c r="K903" s="16" t="str">
        <x:f>IF(J903="","",IF(J903=1,"Limited",IF(J903=2,"Local",IF(J903=3,"Significant",IF(J903=4,"High","Critical")))))</x:f>
      </x:c>
      <x:c r="L903" s="16" t="str">
        <x:f>IF(A903="","",Events!U902)</x:f>
      </x:c>
      <x:c r="M903" s="16" t="str">
        <x:f>IF(A903="","",Events!V902)</x:f>
      </x:c>
      <x:c r="N903" s="16" t="str">
        <x:f>IF(A903="","",Events!Q902)</x:f>
      </x:c>
      <x:c r="O903" s="16" t="str">
        <x:f>IF(A903="","",Events!R902)</x:f>
      </x:c>
      <x:c r="P903" s="16" t="str">
        <x:f>IF(A903="","",LOWER(Events!B902&amp;" "&amp;Events!D902&amp;" "&amp;Events!K902))</x:f>
      </x:c>
      <x:c r="Q903" s="16" t="str">
        <x:f>IF(A903="","",LOWER(Events!C902&amp;" "&amp;Events!K902&amp;" "&amp;Events!T902))</x:f>
      </x:c>
      <x:c r="R903" s="16" t="str">
        <x:f>IF(A903="","",IF(ISNUMBER(SEARCH("Occurrence verified",E903)),"Occurrence verified",E903))</x:f>
      </x:c>
      <x:c r="S903" s="79" t="str">
        <x:f>IF(A903="","",Events!X902)</x:f>
      </x:c>
      <x:c r="Z903" s="79" t="str">
        <x:f>IF(A903="","",Events!AD902)</x:f>
      </x:c>
      <x:c r="AA903" s="79" t="str">
        <x:f>IF(A903="","",Events!AE902)</x:f>
      </x:c>
    </x:row>
    <x:row r="904">
      <x:c r="A904" s="16" t="str">
        <x:f>IF(Events!A903="","",Events!A903)</x:f>
      </x:c>
      <x:c r="B904" s="16" t="str">
        <x:f>IF(A904="","",Events!B903)</x:f>
      </x:c>
      <x:c r="C904" s="16" t="str">
        <x:f>IF(A904="","",Events!E903)</x:f>
      </x:c>
      <x:c r="D904" s="16" t="str">
        <x:f>IF(A904="","",Events!J903)</x:f>
      </x:c>
      <x:c r="E904" s="16" t="str">
        <x:f>IF(A904="","",Events!N903)</x:f>
      </x:c>
      <x:c r="F904" s="109" t="str">
        <x:f>IF(OR(A904="",Events!H903=""),"",Events!H903)</x:f>
      </x:c>
      <x:c r="G904" s="109" t="str">
        <x:f>IF(A904="","",IF(Events!I903&lt;&gt;"",Events!I903,IF(Events!S903&lt;&gt;"",Events!S903,"")))</x:f>
      </x:c>
      <x:c r="H904" s="16" t="str">
        <x:f>IF(A904="","",Events!W903)</x:f>
      </x:c>
      <x:c r="I904" s="16" t="str">
        <x:f>IF(A904="","",IF(Events!Y903&lt;&gt;"",Events!Y903,IF(OR(ISNUMBER(SEARCH("education",P904)),ISNUMBER(SEARCH("exam",P904)),ISNUMBER(SEARCH("school",P904))),"Education",IF(OR(ISNUMBER(SEARCH("trade agreement",P904)),ISNUMBER(SEARCH("economic",P904)),ISNUMBER(SEARCH("import",P904))),"Trade &amp; economic policy",IF(OR(ISNUMBER(SEARCH("land acquisition",P904)),ISNUMBER(SEARCH("rehabilitation",P904)),ISNUMBER(SEARCH("displacement",P904)),ISNUMBER(SEARCH("township",P904))),"Land &amp; rehabilitation",IF(OR(ISNUMBER(SEARCH("forest",P904)),ISNUMBER(SEARCH("environment",P904)),ISNUMBER(SEARCH("ecological",P904)),ISNUMBER(SEARCH("biodiversity",P904)),ISNUMBER(SEARCH("green cover",P904))),"Environment",IF(OR(ISNUMBER(SEARCH("irrigation",P904)),ISNUMBER(SEARCH("water",P904)),ISNUMBER(SEARCH("crop",P904)),ISNUMBER(SEARCH("farmer",P904)),ISNUMBER(SEARCH("agriculture",P904))),"Agriculture &amp; water",IF(OR(ISNUMBER(SEARCH("health",P904)),ISNUMBER(SEARCH("hospital",P904)),ISNUMBER(SEARCH("medicine",P904))),"Public health",IF(OR(ISNUMBER(SEARCH("employee",P904)),ISNUMBER(SEARCH("labour",P904)),ISNUMBER(SEARCH("worker",P904)),ISNUMBER(SEARCH("salary",P904))),"Labour &amp; employment",IF(OR(ISNUMBER(SEARCH("rti",P904)),ISNUMBER(SEARCH("transparency",P904)),ISNUMBER(SEARCH("corruption",P904)),ISNUMBER(SEARCH("governance",P904))),"Governance &amp; transparency",IF(OR(ISNUMBER(SEARCH("police",P904)),ISNUMBER(SEARCH("detention",P904)),ISNUMBER(SEARCH("civil rights",P904)),ISNUMBER(SEARCH("justice",P904))),"Civil rights &amp; justice",IF(OR(ISNUMBER(SEARCH("road",P904)),ISNUMBER(SEARCH("utility",P904)),ISNUMBER(SEARCH("infrastructure",P904)),ISNUMBER(SEARCH("public service",P904))),"Infrastructure &amp; public services","Other"))))))))))))</x:f>
      </x:c>
      <x:c r="J904" s="16" t="str">
        <x:f>IF(A904="","",IF(OR(ISNUMBER(SEARCH("fatal",Q904)),ISNUMBER(SEARCH("death",Q904)),ISNUMBER(SEARCH("riot",Q904)),ISNUMBER(SEARCH("curfew",Q904)),ISNUMBER(SEARCH("internet shutdown",Q904))),5,MIN(4,1+IF(H904&gt;=7,1,0)+IF(OR(ISNUMBER(SEARCH("hunger strike",Q904)),ISNUMBER(SEARCH("blockade",Q904)),ISNUMBER(SEARCH("strike",Q904)),ISNUMBER(SEARCH("jal satyagraha",Q904)),ISNUMBER(SEARCH("survey",Q904)),ISNUMBER(SEARCH("human chain",Q904)),ISNUMBER(SEARCH("march",Q904))),1,0)+IF(OR(ISNUMBER(SEARCH("fir",Q904)),ISNUMBER(SEARCH("confrontation",Q904)),ISNUMBER(SEARCH("violence",Q904)),ISNUMBER(SEARCH("detention",Q904)),ISNUMBER(SEARCH("arrest",Q904)),ISNUMBER(SEARCH("demolition",Q904)),ISNUMBER(SEARCH("injury",Q904))),1,0)+IF(OR(D904="Ongoing",D904="Unresolved"),1,0))))</x:f>
      </x:c>
      <x:c r="K904" s="16" t="str">
        <x:f>IF(J904="","",IF(J904=1,"Limited",IF(J904=2,"Local",IF(J904=3,"Significant",IF(J904=4,"High","Critical")))))</x:f>
      </x:c>
      <x:c r="L904" s="16" t="str">
        <x:f>IF(A904="","",Events!U903)</x:f>
      </x:c>
      <x:c r="M904" s="16" t="str">
        <x:f>IF(A904="","",Events!V903)</x:f>
      </x:c>
      <x:c r="N904" s="16" t="str">
        <x:f>IF(A904="","",Events!Q903)</x:f>
      </x:c>
      <x:c r="O904" s="16" t="str">
        <x:f>IF(A904="","",Events!R903)</x:f>
      </x:c>
      <x:c r="P904" s="16" t="str">
        <x:f>IF(A904="","",LOWER(Events!B903&amp;" "&amp;Events!D903&amp;" "&amp;Events!K903))</x:f>
      </x:c>
      <x:c r="Q904" s="16" t="str">
        <x:f>IF(A904="","",LOWER(Events!C903&amp;" "&amp;Events!K903&amp;" "&amp;Events!T903))</x:f>
      </x:c>
      <x:c r="R904" s="16" t="str">
        <x:f>IF(A904="","",IF(ISNUMBER(SEARCH("Occurrence verified",E904)),"Occurrence verified",E904))</x:f>
      </x:c>
      <x:c r="S904" s="79" t="str">
        <x:f>IF(A904="","",Events!X903)</x:f>
      </x:c>
      <x:c r="Z904" s="79" t="str">
        <x:f>IF(A904="","",Events!AD903)</x:f>
      </x:c>
      <x:c r="AA904" s="79" t="str">
        <x:f>IF(A904="","",Events!AE903)</x:f>
      </x:c>
    </x:row>
    <x:row r="905">
      <x:c r="A905" s="16" t="str">
        <x:f>IF(Events!A904="","",Events!A904)</x:f>
      </x:c>
      <x:c r="B905" s="16" t="str">
        <x:f>IF(A905="","",Events!B904)</x:f>
      </x:c>
      <x:c r="C905" s="16" t="str">
        <x:f>IF(A905="","",Events!E904)</x:f>
      </x:c>
      <x:c r="D905" s="16" t="str">
        <x:f>IF(A905="","",Events!J904)</x:f>
      </x:c>
      <x:c r="E905" s="16" t="str">
        <x:f>IF(A905="","",Events!N904)</x:f>
      </x:c>
      <x:c r="F905" s="109" t="str">
        <x:f>IF(OR(A905="",Events!H904=""),"",Events!H904)</x:f>
      </x:c>
      <x:c r="G905" s="109" t="str">
        <x:f>IF(A905="","",IF(Events!I904&lt;&gt;"",Events!I904,IF(Events!S904&lt;&gt;"",Events!S904,"")))</x:f>
      </x:c>
      <x:c r="H905" s="16" t="str">
        <x:f>IF(A905="","",Events!W904)</x:f>
      </x:c>
      <x:c r="I905" s="16" t="str">
        <x:f>IF(A905="","",IF(Events!Y904&lt;&gt;"",Events!Y904,IF(OR(ISNUMBER(SEARCH("education",P905)),ISNUMBER(SEARCH("exam",P905)),ISNUMBER(SEARCH("school",P905))),"Education",IF(OR(ISNUMBER(SEARCH("trade agreement",P905)),ISNUMBER(SEARCH("economic",P905)),ISNUMBER(SEARCH("import",P905))),"Trade &amp; economic policy",IF(OR(ISNUMBER(SEARCH("land acquisition",P905)),ISNUMBER(SEARCH("rehabilitation",P905)),ISNUMBER(SEARCH("displacement",P905)),ISNUMBER(SEARCH("township",P905))),"Land &amp; rehabilitation",IF(OR(ISNUMBER(SEARCH("forest",P905)),ISNUMBER(SEARCH("environment",P905)),ISNUMBER(SEARCH("ecological",P905)),ISNUMBER(SEARCH("biodiversity",P905)),ISNUMBER(SEARCH("green cover",P905))),"Environment",IF(OR(ISNUMBER(SEARCH("irrigation",P905)),ISNUMBER(SEARCH("water",P905)),ISNUMBER(SEARCH("crop",P905)),ISNUMBER(SEARCH("farmer",P905)),ISNUMBER(SEARCH("agriculture",P905))),"Agriculture &amp; water",IF(OR(ISNUMBER(SEARCH("health",P905)),ISNUMBER(SEARCH("hospital",P905)),ISNUMBER(SEARCH("medicine",P905))),"Public health",IF(OR(ISNUMBER(SEARCH("employee",P905)),ISNUMBER(SEARCH("labour",P905)),ISNUMBER(SEARCH("worker",P905)),ISNUMBER(SEARCH("salary",P905))),"Labour &amp; employment",IF(OR(ISNUMBER(SEARCH("rti",P905)),ISNUMBER(SEARCH("transparency",P905)),ISNUMBER(SEARCH("corruption",P905)),ISNUMBER(SEARCH("governance",P905))),"Governance &amp; transparency",IF(OR(ISNUMBER(SEARCH("police",P905)),ISNUMBER(SEARCH("detention",P905)),ISNUMBER(SEARCH("civil rights",P905)),ISNUMBER(SEARCH("justice",P905))),"Civil rights &amp; justice",IF(OR(ISNUMBER(SEARCH("road",P905)),ISNUMBER(SEARCH("utility",P905)),ISNUMBER(SEARCH("infrastructure",P905)),ISNUMBER(SEARCH("public service",P905))),"Infrastructure &amp; public services","Other"))))))))))))</x:f>
      </x:c>
      <x:c r="J905" s="16" t="str">
        <x:f>IF(A905="","",IF(OR(ISNUMBER(SEARCH("fatal",Q905)),ISNUMBER(SEARCH("death",Q905)),ISNUMBER(SEARCH("riot",Q905)),ISNUMBER(SEARCH("curfew",Q905)),ISNUMBER(SEARCH("internet shutdown",Q905))),5,MIN(4,1+IF(H905&gt;=7,1,0)+IF(OR(ISNUMBER(SEARCH("hunger strike",Q905)),ISNUMBER(SEARCH("blockade",Q905)),ISNUMBER(SEARCH("strike",Q905)),ISNUMBER(SEARCH("jal satyagraha",Q905)),ISNUMBER(SEARCH("survey",Q905)),ISNUMBER(SEARCH("human chain",Q905)),ISNUMBER(SEARCH("march",Q905))),1,0)+IF(OR(ISNUMBER(SEARCH("fir",Q905)),ISNUMBER(SEARCH("confrontation",Q905)),ISNUMBER(SEARCH("violence",Q905)),ISNUMBER(SEARCH("detention",Q905)),ISNUMBER(SEARCH("arrest",Q905)),ISNUMBER(SEARCH("demolition",Q905)),ISNUMBER(SEARCH("injury",Q905))),1,0)+IF(OR(D905="Ongoing",D905="Unresolved"),1,0))))</x:f>
      </x:c>
      <x:c r="K905" s="16" t="str">
        <x:f>IF(J905="","",IF(J905=1,"Limited",IF(J905=2,"Local",IF(J905=3,"Significant",IF(J905=4,"High","Critical")))))</x:f>
      </x:c>
      <x:c r="L905" s="16" t="str">
        <x:f>IF(A905="","",Events!U904)</x:f>
      </x:c>
      <x:c r="M905" s="16" t="str">
        <x:f>IF(A905="","",Events!V904)</x:f>
      </x:c>
      <x:c r="N905" s="16" t="str">
        <x:f>IF(A905="","",Events!Q904)</x:f>
      </x:c>
      <x:c r="O905" s="16" t="str">
        <x:f>IF(A905="","",Events!R904)</x:f>
      </x:c>
      <x:c r="P905" s="16" t="str">
        <x:f>IF(A905="","",LOWER(Events!B904&amp;" "&amp;Events!D904&amp;" "&amp;Events!K904))</x:f>
      </x:c>
      <x:c r="Q905" s="16" t="str">
        <x:f>IF(A905="","",LOWER(Events!C904&amp;" "&amp;Events!K904&amp;" "&amp;Events!T904))</x:f>
      </x:c>
      <x:c r="R905" s="16" t="str">
        <x:f>IF(A905="","",IF(ISNUMBER(SEARCH("Occurrence verified",E905)),"Occurrence verified",E905))</x:f>
      </x:c>
      <x:c r="S905" s="79" t="str">
        <x:f>IF(A905="","",Events!X904)</x:f>
      </x:c>
      <x:c r="Z905" s="79" t="str">
        <x:f>IF(A905="","",Events!AD904)</x:f>
      </x:c>
      <x:c r="AA905" s="79" t="str">
        <x:f>IF(A905="","",Events!AE904)</x:f>
      </x:c>
    </x:row>
    <x:row r="906">
      <x:c r="A906" s="16" t="str">
        <x:f>IF(Events!A905="","",Events!A905)</x:f>
      </x:c>
      <x:c r="B906" s="16" t="str">
        <x:f>IF(A906="","",Events!B905)</x:f>
      </x:c>
      <x:c r="C906" s="16" t="str">
        <x:f>IF(A906="","",Events!E905)</x:f>
      </x:c>
      <x:c r="D906" s="16" t="str">
        <x:f>IF(A906="","",Events!J905)</x:f>
      </x:c>
      <x:c r="E906" s="16" t="str">
        <x:f>IF(A906="","",Events!N905)</x:f>
      </x:c>
      <x:c r="F906" s="109" t="str">
        <x:f>IF(OR(A906="",Events!H905=""),"",Events!H905)</x:f>
      </x:c>
      <x:c r="G906" s="109" t="str">
        <x:f>IF(A906="","",IF(Events!I905&lt;&gt;"",Events!I905,IF(Events!S905&lt;&gt;"",Events!S905,"")))</x:f>
      </x:c>
      <x:c r="H906" s="16" t="str">
        <x:f>IF(A906="","",Events!W905)</x:f>
      </x:c>
      <x:c r="I906" s="16" t="str">
        <x:f>IF(A906="","",IF(Events!Y905&lt;&gt;"",Events!Y905,IF(OR(ISNUMBER(SEARCH("education",P906)),ISNUMBER(SEARCH("exam",P906)),ISNUMBER(SEARCH("school",P906))),"Education",IF(OR(ISNUMBER(SEARCH("trade agreement",P906)),ISNUMBER(SEARCH("economic",P906)),ISNUMBER(SEARCH("import",P906))),"Trade &amp; economic policy",IF(OR(ISNUMBER(SEARCH("land acquisition",P906)),ISNUMBER(SEARCH("rehabilitation",P906)),ISNUMBER(SEARCH("displacement",P906)),ISNUMBER(SEARCH("township",P906))),"Land &amp; rehabilitation",IF(OR(ISNUMBER(SEARCH("forest",P906)),ISNUMBER(SEARCH("environment",P906)),ISNUMBER(SEARCH("ecological",P906)),ISNUMBER(SEARCH("biodiversity",P906)),ISNUMBER(SEARCH("green cover",P906))),"Environment",IF(OR(ISNUMBER(SEARCH("irrigation",P906)),ISNUMBER(SEARCH("water",P906)),ISNUMBER(SEARCH("crop",P906)),ISNUMBER(SEARCH("farmer",P906)),ISNUMBER(SEARCH("agriculture",P906))),"Agriculture &amp; water",IF(OR(ISNUMBER(SEARCH("health",P906)),ISNUMBER(SEARCH("hospital",P906)),ISNUMBER(SEARCH("medicine",P906))),"Public health",IF(OR(ISNUMBER(SEARCH("employee",P906)),ISNUMBER(SEARCH("labour",P906)),ISNUMBER(SEARCH("worker",P906)),ISNUMBER(SEARCH("salary",P906))),"Labour &amp; employment",IF(OR(ISNUMBER(SEARCH("rti",P906)),ISNUMBER(SEARCH("transparency",P906)),ISNUMBER(SEARCH("corruption",P906)),ISNUMBER(SEARCH("governance",P906))),"Governance &amp; transparency",IF(OR(ISNUMBER(SEARCH("police",P906)),ISNUMBER(SEARCH("detention",P906)),ISNUMBER(SEARCH("civil rights",P906)),ISNUMBER(SEARCH("justice",P906))),"Civil rights &amp; justice",IF(OR(ISNUMBER(SEARCH("road",P906)),ISNUMBER(SEARCH("utility",P906)),ISNUMBER(SEARCH("infrastructure",P906)),ISNUMBER(SEARCH("public service",P906))),"Infrastructure &amp; public services","Other"))))))))))))</x:f>
      </x:c>
      <x:c r="J906" s="16" t="str">
        <x:f>IF(A906="","",IF(OR(ISNUMBER(SEARCH("fatal",Q906)),ISNUMBER(SEARCH("death",Q906)),ISNUMBER(SEARCH("riot",Q906)),ISNUMBER(SEARCH("curfew",Q906)),ISNUMBER(SEARCH("internet shutdown",Q906))),5,MIN(4,1+IF(H906&gt;=7,1,0)+IF(OR(ISNUMBER(SEARCH("hunger strike",Q906)),ISNUMBER(SEARCH("blockade",Q906)),ISNUMBER(SEARCH("strike",Q906)),ISNUMBER(SEARCH("jal satyagraha",Q906)),ISNUMBER(SEARCH("survey",Q906)),ISNUMBER(SEARCH("human chain",Q906)),ISNUMBER(SEARCH("march",Q906))),1,0)+IF(OR(ISNUMBER(SEARCH("fir",Q906)),ISNUMBER(SEARCH("confrontation",Q906)),ISNUMBER(SEARCH("violence",Q906)),ISNUMBER(SEARCH("detention",Q906)),ISNUMBER(SEARCH("arrest",Q906)),ISNUMBER(SEARCH("demolition",Q906)),ISNUMBER(SEARCH("injury",Q906))),1,0)+IF(OR(D906="Ongoing",D906="Unresolved"),1,0))))</x:f>
      </x:c>
      <x:c r="K906" s="16" t="str">
        <x:f>IF(J906="","",IF(J906=1,"Limited",IF(J906=2,"Local",IF(J906=3,"Significant",IF(J906=4,"High","Critical")))))</x:f>
      </x:c>
      <x:c r="L906" s="16" t="str">
        <x:f>IF(A906="","",Events!U905)</x:f>
      </x:c>
      <x:c r="M906" s="16" t="str">
        <x:f>IF(A906="","",Events!V905)</x:f>
      </x:c>
      <x:c r="N906" s="16" t="str">
        <x:f>IF(A906="","",Events!Q905)</x:f>
      </x:c>
      <x:c r="O906" s="16" t="str">
        <x:f>IF(A906="","",Events!R905)</x:f>
      </x:c>
      <x:c r="P906" s="16" t="str">
        <x:f>IF(A906="","",LOWER(Events!B905&amp;" "&amp;Events!D905&amp;" "&amp;Events!K905))</x:f>
      </x:c>
      <x:c r="Q906" s="16" t="str">
        <x:f>IF(A906="","",LOWER(Events!C905&amp;" "&amp;Events!K905&amp;" "&amp;Events!T905))</x:f>
      </x:c>
      <x:c r="R906" s="16" t="str">
        <x:f>IF(A906="","",IF(ISNUMBER(SEARCH("Occurrence verified",E906)),"Occurrence verified",E906))</x:f>
      </x:c>
      <x:c r="S906" s="79" t="str">
        <x:f>IF(A906="","",Events!X905)</x:f>
      </x:c>
      <x:c r="Z906" s="79" t="str">
        <x:f>IF(A906="","",Events!AD905)</x:f>
      </x:c>
      <x:c r="AA906" s="79" t="str">
        <x:f>IF(A906="","",Events!AE905)</x:f>
      </x:c>
    </x:row>
    <x:row r="907">
      <x:c r="A907" s="16" t="str">
        <x:f>IF(Events!A906="","",Events!A906)</x:f>
      </x:c>
      <x:c r="B907" s="16" t="str">
        <x:f>IF(A907="","",Events!B906)</x:f>
      </x:c>
      <x:c r="C907" s="16" t="str">
        <x:f>IF(A907="","",Events!E906)</x:f>
      </x:c>
      <x:c r="D907" s="16" t="str">
        <x:f>IF(A907="","",Events!J906)</x:f>
      </x:c>
      <x:c r="E907" s="16" t="str">
        <x:f>IF(A907="","",Events!N906)</x:f>
      </x:c>
      <x:c r="F907" s="109" t="str">
        <x:f>IF(OR(A907="",Events!H906=""),"",Events!H906)</x:f>
      </x:c>
      <x:c r="G907" s="109" t="str">
        <x:f>IF(A907="","",IF(Events!I906&lt;&gt;"",Events!I906,IF(Events!S906&lt;&gt;"",Events!S906,"")))</x:f>
      </x:c>
      <x:c r="H907" s="16" t="str">
        <x:f>IF(A907="","",Events!W906)</x:f>
      </x:c>
      <x:c r="I907" s="16" t="str">
        <x:f>IF(A907="","",IF(Events!Y906&lt;&gt;"",Events!Y906,IF(OR(ISNUMBER(SEARCH("education",P907)),ISNUMBER(SEARCH("exam",P907)),ISNUMBER(SEARCH("school",P907))),"Education",IF(OR(ISNUMBER(SEARCH("trade agreement",P907)),ISNUMBER(SEARCH("economic",P907)),ISNUMBER(SEARCH("import",P907))),"Trade &amp; economic policy",IF(OR(ISNUMBER(SEARCH("land acquisition",P907)),ISNUMBER(SEARCH("rehabilitation",P907)),ISNUMBER(SEARCH("displacement",P907)),ISNUMBER(SEARCH("township",P907))),"Land &amp; rehabilitation",IF(OR(ISNUMBER(SEARCH("forest",P907)),ISNUMBER(SEARCH("environment",P907)),ISNUMBER(SEARCH("ecological",P907)),ISNUMBER(SEARCH("biodiversity",P907)),ISNUMBER(SEARCH("green cover",P907))),"Environment",IF(OR(ISNUMBER(SEARCH("irrigation",P907)),ISNUMBER(SEARCH("water",P907)),ISNUMBER(SEARCH("crop",P907)),ISNUMBER(SEARCH("farmer",P907)),ISNUMBER(SEARCH("agriculture",P907))),"Agriculture &amp; water",IF(OR(ISNUMBER(SEARCH("health",P907)),ISNUMBER(SEARCH("hospital",P907)),ISNUMBER(SEARCH("medicine",P907))),"Public health",IF(OR(ISNUMBER(SEARCH("employee",P907)),ISNUMBER(SEARCH("labour",P907)),ISNUMBER(SEARCH("worker",P907)),ISNUMBER(SEARCH("salary",P907))),"Labour &amp; employment",IF(OR(ISNUMBER(SEARCH("rti",P907)),ISNUMBER(SEARCH("transparency",P907)),ISNUMBER(SEARCH("corruption",P907)),ISNUMBER(SEARCH("governance",P907))),"Governance &amp; transparency",IF(OR(ISNUMBER(SEARCH("police",P907)),ISNUMBER(SEARCH("detention",P907)),ISNUMBER(SEARCH("civil rights",P907)),ISNUMBER(SEARCH("justice",P907))),"Civil rights &amp; justice",IF(OR(ISNUMBER(SEARCH("road",P907)),ISNUMBER(SEARCH("utility",P907)),ISNUMBER(SEARCH("infrastructure",P907)),ISNUMBER(SEARCH("public service",P907))),"Infrastructure &amp; public services","Other"))))))))))))</x:f>
      </x:c>
      <x:c r="J907" s="16" t="str">
        <x:f>IF(A907="","",IF(OR(ISNUMBER(SEARCH("fatal",Q907)),ISNUMBER(SEARCH("death",Q907)),ISNUMBER(SEARCH("riot",Q907)),ISNUMBER(SEARCH("curfew",Q907)),ISNUMBER(SEARCH("internet shutdown",Q907))),5,MIN(4,1+IF(H907&gt;=7,1,0)+IF(OR(ISNUMBER(SEARCH("hunger strike",Q907)),ISNUMBER(SEARCH("blockade",Q907)),ISNUMBER(SEARCH("strike",Q907)),ISNUMBER(SEARCH("jal satyagraha",Q907)),ISNUMBER(SEARCH("survey",Q907)),ISNUMBER(SEARCH("human chain",Q907)),ISNUMBER(SEARCH("march",Q907))),1,0)+IF(OR(ISNUMBER(SEARCH("fir",Q907)),ISNUMBER(SEARCH("confrontation",Q907)),ISNUMBER(SEARCH("violence",Q907)),ISNUMBER(SEARCH("detention",Q907)),ISNUMBER(SEARCH("arrest",Q907)),ISNUMBER(SEARCH("demolition",Q907)),ISNUMBER(SEARCH("injury",Q907))),1,0)+IF(OR(D907="Ongoing",D907="Unresolved"),1,0))))</x:f>
      </x:c>
      <x:c r="K907" s="16" t="str">
        <x:f>IF(J907="","",IF(J907=1,"Limited",IF(J907=2,"Local",IF(J907=3,"Significant",IF(J907=4,"High","Critical")))))</x:f>
      </x:c>
      <x:c r="L907" s="16" t="str">
        <x:f>IF(A907="","",Events!U906)</x:f>
      </x:c>
      <x:c r="M907" s="16" t="str">
        <x:f>IF(A907="","",Events!V906)</x:f>
      </x:c>
      <x:c r="N907" s="16" t="str">
        <x:f>IF(A907="","",Events!Q906)</x:f>
      </x:c>
      <x:c r="O907" s="16" t="str">
        <x:f>IF(A907="","",Events!R906)</x:f>
      </x:c>
      <x:c r="P907" s="16" t="str">
        <x:f>IF(A907="","",LOWER(Events!B906&amp;" "&amp;Events!D906&amp;" "&amp;Events!K906))</x:f>
      </x:c>
      <x:c r="Q907" s="16" t="str">
        <x:f>IF(A907="","",LOWER(Events!C906&amp;" "&amp;Events!K906&amp;" "&amp;Events!T906))</x:f>
      </x:c>
      <x:c r="R907" s="16" t="str">
        <x:f>IF(A907="","",IF(ISNUMBER(SEARCH("Occurrence verified",E907)),"Occurrence verified",E907))</x:f>
      </x:c>
      <x:c r="S907" s="79" t="str">
        <x:f>IF(A907="","",Events!X906)</x:f>
      </x:c>
      <x:c r="Z907" s="79" t="str">
        <x:f>IF(A907="","",Events!AD906)</x:f>
      </x:c>
      <x:c r="AA907" s="79" t="str">
        <x:f>IF(A907="","",Events!AE906)</x:f>
      </x:c>
    </x:row>
    <x:row r="908">
      <x:c r="A908" s="16" t="str">
        <x:f>IF(Events!A907="","",Events!A907)</x:f>
      </x:c>
      <x:c r="B908" s="16" t="str">
        <x:f>IF(A908="","",Events!B907)</x:f>
      </x:c>
      <x:c r="C908" s="16" t="str">
        <x:f>IF(A908="","",Events!E907)</x:f>
      </x:c>
      <x:c r="D908" s="16" t="str">
        <x:f>IF(A908="","",Events!J907)</x:f>
      </x:c>
      <x:c r="E908" s="16" t="str">
        <x:f>IF(A908="","",Events!N907)</x:f>
      </x:c>
      <x:c r="F908" s="109" t="str">
        <x:f>IF(OR(A908="",Events!H907=""),"",Events!H907)</x:f>
      </x:c>
      <x:c r="G908" s="109" t="str">
        <x:f>IF(A908="","",IF(Events!I907&lt;&gt;"",Events!I907,IF(Events!S907&lt;&gt;"",Events!S907,"")))</x:f>
      </x:c>
      <x:c r="H908" s="16" t="str">
        <x:f>IF(A908="","",Events!W907)</x:f>
      </x:c>
      <x:c r="I908" s="16" t="str">
        <x:f>IF(A908="","",IF(Events!Y907&lt;&gt;"",Events!Y907,IF(OR(ISNUMBER(SEARCH("education",P908)),ISNUMBER(SEARCH("exam",P908)),ISNUMBER(SEARCH("school",P908))),"Education",IF(OR(ISNUMBER(SEARCH("trade agreement",P908)),ISNUMBER(SEARCH("economic",P908)),ISNUMBER(SEARCH("import",P908))),"Trade &amp; economic policy",IF(OR(ISNUMBER(SEARCH("land acquisition",P908)),ISNUMBER(SEARCH("rehabilitation",P908)),ISNUMBER(SEARCH("displacement",P908)),ISNUMBER(SEARCH("township",P908))),"Land &amp; rehabilitation",IF(OR(ISNUMBER(SEARCH("forest",P908)),ISNUMBER(SEARCH("environment",P908)),ISNUMBER(SEARCH("ecological",P908)),ISNUMBER(SEARCH("biodiversity",P908)),ISNUMBER(SEARCH("green cover",P908))),"Environment",IF(OR(ISNUMBER(SEARCH("irrigation",P908)),ISNUMBER(SEARCH("water",P908)),ISNUMBER(SEARCH("crop",P908)),ISNUMBER(SEARCH("farmer",P908)),ISNUMBER(SEARCH("agriculture",P908))),"Agriculture &amp; water",IF(OR(ISNUMBER(SEARCH("health",P908)),ISNUMBER(SEARCH("hospital",P908)),ISNUMBER(SEARCH("medicine",P908))),"Public health",IF(OR(ISNUMBER(SEARCH("employee",P908)),ISNUMBER(SEARCH("labour",P908)),ISNUMBER(SEARCH("worker",P908)),ISNUMBER(SEARCH("salary",P908))),"Labour &amp; employment",IF(OR(ISNUMBER(SEARCH("rti",P908)),ISNUMBER(SEARCH("transparency",P908)),ISNUMBER(SEARCH("corruption",P908)),ISNUMBER(SEARCH("governance",P908))),"Governance &amp; transparency",IF(OR(ISNUMBER(SEARCH("police",P908)),ISNUMBER(SEARCH("detention",P908)),ISNUMBER(SEARCH("civil rights",P908)),ISNUMBER(SEARCH("justice",P908))),"Civil rights &amp; justice",IF(OR(ISNUMBER(SEARCH("road",P908)),ISNUMBER(SEARCH("utility",P908)),ISNUMBER(SEARCH("infrastructure",P908)),ISNUMBER(SEARCH("public service",P908))),"Infrastructure &amp; public services","Other"))))))))))))</x:f>
      </x:c>
      <x:c r="J908" s="16" t="str">
        <x:f>IF(A908="","",IF(OR(ISNUMBER(SEARCH("fatal",Q908)),ISNUMBER(SEARCH("death",Q908)),ISNUMBER(SEARCH("riot",Q908)),ISNUMBER(SEARCH("curfew",Q908)),ISNUMBER(SEARCH("internet shutdown",Q908))),5,MIN(4,1+IF(H908&gt;=7,1,0)+IF(OR(ISNUMBER(SEARCH("hunger strike",Q908)),ISNUMBER(SEARCH("blockade",Q908)),ISNUMBER(SEARCH("strike",Q908)),ISNUMBER(SEARCH("jal satyagraha",Q908)),ISNUMBER(SEARCH("survey",Q908)),ISNUMBER(SEARCH("human chain",Q908)),ISNUMBER(SEARCH("march",Q908))),1,0)+IF(OR(ISNUMBER(SEARCH("fir",Q908)),ISNUMBER(SEARCH("confrontation",Q908)),ISNUMBER(SEARCH("violence",Q908)),ISNUMBER(SEARCH("detention",Q908)),ISNUMBER(SEARCH("arrest",Q908)),ISNUMBER(SEARCH("demolition",Q908)),ISNUMBER(SEARCH("injury",Q908))),1,0)+IF(OR(D908="Ongoing",D908="Unresolved"),1,0))))</x:f>
      </x:c>
      <x:c r="K908" s="16" t="str">
        <x:f>IF(J908="","",IF(J908=1,"Limited",IF(J908=2,"Local",IF(J908=3,"Significant",IF(J908=4,"High","Critical")))))</x:f>
      </x:c>
      <x:c r="L908" s="16" t="str">
        <x:f>IF(A908="","",Events!U907)</x:f>
      </x:c>
      <x:c r="M908" s="16" t="str">
        <x:f>IF(A908="","",Events!V907)</x:f>
      </x:c>
      <x:c r="N908" s="16" t="str">
        <x:f>IF(A908="","",Events!Q907)</x:f>
      </x:c>
      <x:c r="O908" s="16" t="str">
        <x:f>IF(A908="","",Events!R907)</x:f>
      </x:c>
      <x:c r="P908" s="16" t="str">
        <x:f>IF(A908="","",LOWER(Events!B907&amp;" "&amp;Events!D907&amp;" "&amp;Events!K907))</x:f>
      </x:c>
      <x:c r="Q908" s="16" t="str">
        <x:f>IF(A908="","",LOWER(Events!C907&amp;" "&amp;Events!K907&amp;" "&amp;Events!T907))</x:f>
      </x:c>
      <x:c r="R908" s="16" t="str">
        <x:f>IF(A908="","",IF(ISNUMBER(SEARCH("Occurrence verified",E908)),"Occurrence verified",E908))</x:f>
      </x:c>
      <x:c r="S908" s="79" t="str">
        <x:f>IF(A908="","",Events!X907)</x:f>
      </x:c>
      <x:c r="Z908" s="79" t="str">
        <x:f>IF(A908="","",Events!AD907)</x:f>
      </x:c>
      <x:c r="AA908" s="79" t="str">
        <x:f>IF(A908="","",Events!AE907)</x:f>
      </x:c>
    </x:row>
    <x:row r="909">
      <x:c r="A909" s="16" t="str">
        <x:f>IF(Events!A908="","",Events!A908)</x:f>
      </x:c>
      <x:c r="B909" s="16" t="str">
        <x:f>IF(A909="","",Events!B908)</x:f>
      </x:c>
      <x:c r="C909" s="16" t="str">
        <x:f>IF(A909="","",Events!E908)</x:f>
      </x:c>
      <x:c r="D909" s="16" t="str">
        <x:f>IF(A909="","",Events!J908)</x:f>
      </x:c>
      <x:c r="E909" s="16" t="str">
        <x:f>IF(A909="","",Events!N908)</x:f>
      </x:c>
      <x:c r="F909" s="109" t="str">
        <x:f>IF(OR(A909="",Events!H908=""),"",Events!H908)</x:f>
      </x:c>
      <x:c r="G909" s="109" t="str">
        <x:f>IF(A909="","",IF(Events!I908&lt;&gt;"",Events!I908,IF(Events!S908&lt;&gt;"",Events!S908,"")))</x:f>
      </x:c>
      <x:c r="H909" s="16" t="str">
        <x:f>IF(A909="","",Events!W908)</x:f>
      </x:c>
      <x:c r="I909" s="16" t="str">
        <x:f>IF(A909="","",IF(Events!Y908&lt;&gt;"",Events!Y908,IF(OR(ISNUMBER(SEARCH("education",P909)),ISNUMBER(SEARCH("exam",P909)),ISNUMBER(SEARCH("school",P909))),"Education",IF(OR(ISNUMBER(SEARCH("trade agreement",P909)),ISNUMBER(SEARCH("economic",P909)),ISNUMBER(SEARCH("import",P909))),"Trade &amp; economic policy",IF(OR(ISNUMBER(SEARCH("land acquisition",P909)),ISNUMBER(SEARCH("rehabilitation",P909)),ISNUMBER(SEARCH("displacement",P909)),ISNUMBER(SEARCH("township",P909))),"Land &amp; rehabilitation",IF(OR(ISNUMBER(SEARCH("forest",P909)),ISNUMBER(SEARCH("environment",P909)),ISNUMBER(SEARCH("ecological",P909)),ISNUMBER(SEARCH("biodiversity",P909)),ISNUMBER(SEARCH("green cover",P909))),"Environment",IF(OR(ISNUMBER(SEARCH("irrigation",P909)),ISNUMBER(SEARCH("water",P909)),ISNUMBER(SEARCH("crop",P909)),ISNUMBER(SEARCH("farmer",P909)),ISNUMBER(SEARCH("agriculture",P909))),"Agriculture &amp; water",IF(OR(ISNUMBER(SEARCH("health",P909)),ISNUMBER(SEARCH("hospital",P909)),ISNUMBER(SEARCH("medicine",P909))),"Public health",IF(OR(ISNUMBER(SEARCH("employee",P909)),ISNUMBER(SEARCH("labour",P909)),ISNUMBER(SEARCH("worker",P909)),ISNUMBER(SEARCH("salary",P909))),"Labour &amp; employment",IF(OR(ISNUMBER(SEARCH("rti",P909)),ISNUMBER(SEARCH("transparency",P909)),ISNUMBER(SEARCH("corruption",P909)),ISNUMBER(SEARCH("governance",P909))),"Governance &amp; transparency",IF(OR(ISNUMBER(SEARCH("police",P909)),ISNUMBER(SEARCH("detention",P909)),ISNUMBER(SEARCH("civil rights",P909)),ISNUMBER(SEARCH("justice",P909))),"Civil rights &amp; justice",IF(OR(ISNUMBER(SEARCH("road",P909)),ISNUMBER(SEARCH("utility",P909)),ISNUMBER(SEARCH("infrastructure",P909)),ISNUMBER(SEARCH("public service",P909))),"Infrastructure &amp; public services","Other"))))))))))))</x:f>
      </x:c>
      <x:c r="J909" s="16" t="str">
        <x:f>IF(A909="","",IF(OR(ISNUMBER(SEARCH("fatal",Q909)),ISNUMBER(SEARCH("death",Q909)),ISNUMBER(SEARCH("riot",Q909)),ISNUMBER(SEARCH("curfew",Q909)),ISNUMBER(SEARCH("internet shutdown",Q909))),5,MIN(4,1+IF(H909&gt;=7,1,0)+IF(OR(ISNUMBER(SEARCH("hunger strike",Q909)),ISNUMBER(SEARCH("blockade",Q909)),ISNUMBER(SEARCH("strike",Q909)),ISNUMBER(SEARCH("jal satyagraha",Q909)),ISNUMBER(SEARCH("survey",Q909)),ISNUMBER(SEARCH("human chain",Q909)),ISNUMBER(SEARCH("march",Q909))),1,0)+IF(OR(ISNUMBER(SEARCH("fir",Q909)),ISNUMBER(SEARCH("confrontation",Q909)),ISNUMBER(SEARCH("violence",Q909)),ISNUMBER(SEARCH("detention",Q909)),ISNUMBER(SEARCH("arrest",Q909)),ISNUMBER(SEARCH("demolition",Q909)),ISNUMBER(SEARCH("injury",Q909))),1,0)+IF(OR(D909="Ongoing",D909="Unresolved"),1,0))))</x:f>
      </x:c>
      <x:c r="K909" s="16" t="str">
        <x:f>IF(J909="","",IF(J909=1,"Limited",IF(J909=2,"Local",IF(J909=3,"Significant",IF(J909=4,"High","Critical")))))</x:f>
      </x:c>
      <x:c r="L909" s="16" t="str">
        <x:f>IF(A909="","",Events!U908)</x:f>
      </x:c>
      <x:c r="M909" s="16" t="str">
        <x:f>IF(A909="","",Events!V908)</x:f>
      </x:c>
      <x:c r="N909" s="16" t="str">
        <x:f>IF(A909="","",Events!Q908)</x:f>
      </x:c>
      <x:c r="O909" s="16" t="str">
        <x:f>IF(A909="","",Events!R908)</x:f>
      </x:c>
      <x:c r="P909" s="16" t="str">
        <x:f>IF(A909="","",LOWER(Events!B908&amp;" "&amp;Events!D908&amp;" "&amp;Events!K908))</x:f>
      </x:c>
      <x:c r="Q909" s="16" t="str">
        <x:f>IF(A909="","",LOWER(Events!C908&amp;" "&amp;Events!K908&amp;" "&amp;Events!T908))</x:f>
      </x:c>
      <x:c r="R909" s="16" t="str">
        <x:f>IF(A909="","",IF(ISNUMBER(SEARCH("Occurrence verified",E909)),"Occurrence verified",E909))</x:f>
      </x:c>
      <x:c r="S909" s="79" t="str">
        <x:f>IF(A909="","",Events!X908)</x:f>
      </x:c>
      <x:c r="Z909" s="79" t="str">
        <x:f>IF(A909="","",Events!AD908)</x:f>
      </x:c>
      <x:c r="AA909" s="79" t="str">
        <x:f>IF(A909="","",Events!AE908)</x:f>
      </x:c>
    </x:row>
    <x:row r="910">
      <x:c r="A910" s="16" t="str">
        <x:f>IF(Events!A909="","",Events!A909)</x:f>
      </x:c>
      <x:c r="B910" s="16" t="str">
        <x:f>IF(A910="","",Events!B909)</x:f>
      </x:c>
      <x:c r="C910" s="16" t="str">
        <x:f>IF(A910="","",Events!E909)</x:f>
      </x:c>
      <x:c r="D910" s="16" t="str">
        <x:f>IF(A910="","",Events!J909)</x:f>
      </x:c>
      <x:c r="E910" s="16" t="str">
        <x:f>IF(A910="","",Events!N909)</x:f>
      </x:c>
      <x:c r="F910" s="109" t="str">
        <x:f>IF(OR(A910="",Events!H909=""),"",Events!H909)</x:f>
      </x:c>
      <x:c r="G910" s="109" t="str">
        <x:f>IF(A910="","",IF(Events!I909&lt;&gt;"",Events!I909,IF(Events!S909&lt;&gt;"",Events!S909,"")))</x:f>
      </x:c>
      <x:c r="H910" s="16" t="str">
        <x:f>IF(A910="","",Events!W909)</x:f>
      </x:c>
      <x:c r="I910" s="16" t="str">
        <x:f>IF(A910="","",IF(Events!Y909&lt;&gt;"",Events!Y909,IF(OR(ISNUMBER(SEARCH("education",P910)),ISNUMBER(SEARCH("exam",P910)),ISNUMBER(SEARCH("school",P910))),"Education",IF(OR(ISNUMBER(SEARCH("trade agreement",P910)),ISNUMBER(SEARCH("economic",P910)),ISNUMBER(SEARCH("import",P910))),"Trade &amp; economic policy",IF(OR(ISNUMBER(SEARCH("land acquisition",P910)),ISNUMBER(SEARCH("rehabilitation",P910)),ISNUMBER(SEARCH("displacement",P910)),ISNUMBER(SEARCH("township",P910))),"Land &amp; rehabilitation",IF(OR(ISNUMBER(SEARCH("forest",P910)),ISNUMBER(SEARCH("environment",P910)),ISNUMBER(SEARCH("ecological",P910)),ISNUMBER(SEARCH("biodiversity",P910)),ISNUMBER(SEARCH("green cover",P910))),"Environment",IF(OR(ISNUMBER(SEARCH("irrigation",P910)),ISNUMBER(SEARCH("water",P910)),ISNUMBER(SEARCH("crop",P910)),ISNUMBER(SEARCH("farmer",P910)),ISNUMBER(SEARCH("agriculture",P910))),"Agriculture &amp; water",IF(OR(ISNUMBER(SEARCH("health",P910)),ISNUMBER(SEARCH("hospital",P910)),ISNUMBER(SEARCH("medicine",P910))),"Public health",IF(OR(ISNUMBER(SEARCH("employee",P910)),ISNUMBER(SEARCH("labour",P910)),ISNUMBER(SEARCH("worker",P910)),ISNUMBER(SEARCH("salary",P910))),"Labour &amp; employment",IF(OR(ISNUMBER(SEARCH("rti",P910)),ISNUMBER(SEARCH("transparency",P910)),ISNUMBER(SEARCH("corruption",P910)),ISNUMBER(SEARCH("governance",P910))),"Governance &amp; transparency",IF(OR(ISNUMBER(SEARCH("police",P910)),ISNUMBER(SEARCH("detention",P910)),ISNUMBER(SEARCH("civil rights",P910)),ISNUMBER(SEARCH("justice",P910))),"Civil rights &amp; justice",IF(OR(ISNUMBER(SEARCH("road",P910)),ISNUMBER(SEARCH("utility",P910)),ISNUMBER(SEARCH("infrastructure",P910)),ISNUMBER(SEARCH("public service",P910))),"Infrastructure &amp; public services","Other"))))))))))))</x:f>
      </x:c>
      <x:c r="J910" s="16" t="str">
        <x:f>IF(A910="","",IF(OR(ISNUMBER(SEARCH("fatal",Q910)),ISNUMBER(SEARCH("death",Q910)),ISNUMBER(SEARCH("riot",Q910)),ISNUMBER(SEARCH("curfew",Q910)),ISNUMBER(SEARCH("internet shutdown",Q910))),5,MIN(4,1+IF(H910&gt;=7,1,0)+IF(OR(ISNUMBER(SEARCH("hunger strike",Q910)),ISNUMBER(SEARCH("blockade",Q910)),ISNUMBER(SEARCH("strike",Q910)),ISNUMBER(SEARCH("jal satyagraha",Q910)),ISNUMBER(SEARCH("survey",Q910)),ISNUMBER(SEARCH("human chain",Q910)),ISNUMBER(SEARCH("march",Q910))),1,0)+IF(OR(ISNUMBER(SEARCH("fir",Q910)),ISNUMBER(SEARCH("confrontation",Q910)),ISNUMBER(SEARCH("violence",Q910)),ISNUMBER(SEARCH("detention",Q910)),ISNUMBER(SEARCH("arrest",Q910)),ISNUMBER(SEARCH("demolition",Q910)),ISNUMBER(SEARCH("injury",Q910))),1,0)+IF(OR(D910="Ongoing",D910="Unresolved"),1,0))))</x:f>
      </x:c>
      <x:c r="K910" s="16" t="str">
        <x:f>IF(J910="","",IF(J910=1,"Limited",IF(J910=2,"Local",IF(J910=3,"Significant",IF(J910=4,"High","Critical")))))</x:f>
      </x:c>
      <x:c r="L910" s="16" t="str">
        <x:f>IF(A910="","",Events!U909)</x:f>
      </x:c>
      <x:c r="M910" s="16" t="str">
        <x:f>IF(A910="","",Events!V909)</x:f>
      </x:c>
      <x:c r="N910" s="16" t="str">
        <x:f>IF(A910="","",Events!Q909)</x:f>
      </x:c>
      <x:c r="O910" s="16" t="str">
        <x:f>IF(A910="","",Events!R909)</x:f>
      </x:c>
      <x:c r="P910" s="16" t="str">
        <x:f>IF(A910="","",LOWER(Events!B909&amp;" "&amp;Events!D909&amp;" "&amp;Events!K909))</x:f>
      </x:c>
      <x:c r="Q910" s="16" t="str">
        <x:f>IF(A910="","",LOWER(Events!C909&amp;" "&amp;Events!K909&amp;" "&amp;Events!T909))</x:f>
      </x:c>
      <x:c r="R910" s="16" t="str">
        <x:f>IF(A910="","",IF(ISNUMBER(SEARCH("Occurrence verified",E910)),"Occurrence verified",E910))</x:f>
      </x:c>
      <x:c r="S910" s="79" t="str">
        <x:f>IF(A910="","",Events!X909)</x:f>
      </x:c>
      <x:c r="Z910" s="79" t="str">
        <x:f>IF(A910="","",Events!AD909)</x:f>
      </x:c>
      <x:c r="AA910" s="79" t="str">
        <x:f>IF(A910="","",Events!AE909)</x:f>
      </x:c>
    </x:row>
    <x:row r="911">
      <x:c r="A911" s="16" t="str">
        <x:f>IF(Events!A910="","",Events!A910)</x:f>
      </x:c>
      <x:c r="B911" s="16" t="str">
        <x:f>IF(A911="","",Events!B910)</x:f>
      </x:c>
      <x:c r="C911" s="16" t="str">
        <x:f>IF(A911="","",Events!E910)</x:f>
      </x:c>
      <x:c r="D911" s="16" t="str">
        <x:f>IF(A911="","",Events!J910)</x:f>
      </x:c>
      <x:c r="E911" s="16" t="str">
        <x:f>IF(A911="","",Events!N910)</x:f>
      </x:c>
      <x:c r="F911" s="109" t="str">
        <x:f>IF(OR(A911="",Events!H910=""),"",Events!H910)</x:f>
      </x:c>
      <x:c r="G911" s="109" t="str">
        <x:f>IF(A911="","",IF(Events!I910&lt;&gt;"",Events!I910,IF(Events!S910&lt;&gt;"",Events!S910,"")))</x:f>
      </x:c>
      <x:c r="H911" s="16" t="str">
        <x:f>IF(A911="","",Events!W910)</x:f>
      </x:c>
      <x:c r="I911" s="16" t="str">
        <x:f>IF(A911="","",IF(Events!Y910&lt;&gt;"",Events!Y910,IF(OR(ISNUMBER(SEARCH("education",P911)),ISNUMBER(SEARCH("exam",P911)),ISNUMBER(SEARCH("school",P911))),"Education",IF(OR(ISNUMBER(SEARCH("trade agreement",P911)),ISNUMBER(SEARCH("economic",P911)),ISNUMBER(SEARCH("import",P911))),"Trade &amp; economic policy",IF(OR(ISNUMBER(SEARCH("land acquisition",P911)),ISNUMBER(SEARCH("rehabilitation",P911)),ISNUMBER(SEARCH("displacement",P911)),ISNUMBER(SEARCH("township",P911))),"Land &amp; rehabilitation",IF(OR(ISNUMBER(SEARCH("forest",P911)),ISNUMBER(SEARCH("environment",P911)),ISNUMBER(SEARCH("ecological",P911)),ISNUMBER(SEARCH("biodiversity",P911)),ISNUMBER(SEARCH("green cover",P911))),"Environment",IF(OR(ISNUMBER(SEARCH("irrigation",P911)),ISNUMBER(SEARCH("water",P911)),ISNUMBER(SEARCH("crop",P911)),ISNUMBER(SEARCH("farmer",P911)),ISNUMBER(SEARCH("agriculture",P911))),"Agriculture &amp; water",IF(OR(ISNUMBER(SEARCH("health",P911)),ISNUMBER(SEARCH("hospital",P911)),ISNUMBER(SEARCH("medicine",P911))),"Public health",IF(OR(ISNUMBER(SEARCH("employee",P911)),ISNUMBER(SEARCH("labour",P911)),ISNUMBER(SEARCH("worker",P911)),ISNUMBER(SEARCH("salary",P911))),"Labour &amp; employment",IF(OR(ISNUMBER(SEARCH("rti",P911)),ISNUMBER(SEARCH("transparency",P911)),ISNUMBER(SEARCH("corruption",P911)),ISNUMBER(SEARCH("governance",P911))),"Governance &amp; transparency",IF(OR(ISNUMBER(SEARCH("police",P911)),ISNUMBER(SEARCH("detention",P911)),ISNUMBER(SEARCH("civil rights",P911)),ISNUMBER(SEARCH("justice",P911))),"Civil rights &amp; justice",IF(OR(ISNUMBER(SEARCH("road",P911)),ISNUMBER(SEARCH("utility",P911)),ISNUMBER(SEARCH("infrastructure",P911)),ISNUMBER(SEARCH("public service",P911))),"Infrastructure &amp; public services","Other"))))))))))))</x:f>
      </x:c>
      <x:c r="J911" s="16" t="str">
        <x:f>IF(A911="","",IF(OR(ISNUMBER(SEARCH("fatal",Q911)),ISNUMBER(SEARCH("death",Q911)),ISNUMBER(SEARCH("riot",Q911)),ISNUMBER(SEARCH("curfew",Q911)),ISNUMBER(SEARCH("internet shutdown",Q911))),5,MIN(4,1+IF(H911&gt;=7,1,0)+IF(OR(ISNUMBER(SEARCH("hunger strike",Q911)),ISNUMBER(SEARCH("blockade",Q911)),ISNUMBER(SEARCH("strike",Q911)),ISNUMBER(SEARCH("jal satyagraha",Q911)),ISNUMBER(SEARCH("survey",Q911)),ISNUMBER(SEARCH("human chain",Q911)),ISNUMBER(SEARCH("march",Q911))),1,0)+IF(OR(ISNUMBER(SEARCH("fir",Q911)),ISNUMBER(SEARCH("confrontation",Q911)),ISNUMBER(SEARCH("violence",Q911)),ISNUMBER(SEARCH("detention",Q911)),ISNUMBER(SEARCH("arrest",Q911)),ISNUMBER(SEARCH("demolition",Q911)),ISNUMBER(SEARCH("injury",Q911))),1,0)+IF(OR(D911="Ongoing",D911="Unresolved"),1,0))))</x:f>
      </x:c>
      <x:c r="K911" s="16" t="str">
        <x:f>IF(J911="","",IF(J911=1,"Limited",IF(J911=2,"Local",IF(J911=3,"Significant",IF(J911=4,"High","Critical")))))</x:f>
      </x:c>
      <x:c r="L911" s="16" t="str">
        <x:f>IF(A911="","",Events!U910)</x:f>
      </x:c>
      <x:c r="M911" s="16" t="str">
        <x:f>IF(A911="","",Events!V910)</x:f>
      </x:c>
      <x:c r="N911" s="16" t="str">
        <x:f>IF(A911="","",Events!Q910)</x:f>
      </x:c>
      <x:c r="O911" s="16" t="str">
        <x:f>IF(A911="","",Events!R910)</x:f>
      </x:c>
      <x:c r="P911" s="16" t="str">
        <x:f>IF(A911="","",LOWER(Events!B910&amp;" "&amp;Events!D910&amp;" "&amp;Events!K910))</x:f>
      </x:c>
      <x:c r="Q911" s="16" t="str">
        <x:f>IF(A911="","",LOWER(Events!C910&amp;" "&amp;Events!K910&amp;" "&amp;Events!T910))</x:f>
      </x:c>
      <x:c r="R911" s="16" t="str">
        <x:f>IF(A911="","",IF(ISNUMBER(SEARCH("Occurrence verified",E911)),"Occurrence verified",E911))</x:f>
      </x:c>
      <x:c r="S911" s="79" t="str">
        <x:f>IF(A911="","",Events!X910)</x:f>
      </x:c>
      <x:c r="Z911" s="79" t="str">
        <x:f>IF(A911="","",Events!AD910)</x:f>
      </x:c>
      <x:c r="AA911" s="79" t="str">
        <x:f>IF(A911="","",Events!AE910)</x:f>
      </x:c>
    </x:row>
    <x:row r="912">
      <x:c r="A912" s="16" t="str">
        <x:f>IF(Events!A911="","",Events!A911)</x:f>
      </x:c>
      <x:c r="B912" s="16" t="str">
        <x:f>IF(A912="","",Events!B911)</x:f>
      </x:c>
      <x:c r="C912" s="16" t="str">
        <x:f>IF(A912="","",Events!E911)</x:f>
      </x:c>
      <x:c r="D912" s="16" t="str">
        <x:f>IF(A912="","",Events!J911)</x:f>
      </x:c>
      <x:c r="E912" s="16" t="str">
        <x:f>IF(A912="","",Events!N911)</x:f>
      </x:c>
      <x:c r="F912" s="109" t="str">
        <x:f>IF(OR(A912="",Events!H911=""),"",Events!H911)</x:f>
      </x:c>
      <x:c r="G912" s="109" t="str">
        <x:f>IF(A912="","",IF(Events!I911&lt;&gt;"",Events!I911,IF(Events!S911&lt;&gt;"",Events!S911,"")))</x:f>
      </x:c>
      <x:c r="H912" s="16" t="str">
        <x:f>IF(A912="","",Events!W911)</x:f>
      </x:c>
      <x:c r="I912" s="16" t="str">
        <x:f>IF(A912="","",IF(Events!Y911&lt;&gt;"",Events!Y911,IF(OR(ISNUMBER(SEARCH("education",P912)),ISNUMBER(SEARCH("exam",P912)),ISNUMBER(SEARCH("school",P912))),"Education",IF(OR(ISNUMBER(SEARCH("trade agreement",P912)),ISNUMBER(SEARCH("economic",P912)),ISNUMBER(SEARCH("import",P912))),"Trade &amp; economic policy",IF(OR(ISNUMBER(SEARCH("land acquisition",P912)),ISNUMBER(SEARCH("rehabilitation",P912)),ISNUMBER(SEARCH("displacement",P912)),ISNUMBER(SEARCH("township",P912))),"Land &amp; rehabilitation",IF(OR(ISNUMBER(SEARCH("forest",P912)),ISNUMBER(SEARCH("environment",P912)),ISNUMBER(SEARCH("ecological",P912)),ISNUMBER(SEARCH("biodiversity",P912)),ISNUMBER(SEARCH("green cover",P912))),"Environment",IF(OR(ISNUMBER(SEARCH("irrigation",P912)),ISNUMBER(SEARCH("water",P912)),ISNUMBER(SEARCH("crop",P912)),ISNUMBER(SEARCH("farmer",P912)),ISNUMBER(SEARCH("agriculture",P912))),"Agriculture &amp; water",IF(OR(ISNUMBER(SEARCH("health",P912)),ISNUMBER(SEARCH("hospital",P912)),ISNUMBER(SEARCH("medicine",P912))),"Public health",IF(OR(ISNUMBER(SEARCH("employee",P912)),ISNUMBER(SEARCH("labour",P912)),ISNUMBER(SEARCH("worker",P912)),ISNUMBER(SEARCH("salary",P912))),"Labour &amp; employment",IF(OR(ISNUMBER(SEARCH("rti",P912)),ISNUMBER(SEARCH("transparency",P912)),ISNUMBER(SEARCH("corruption",P912)),ISNUMBER(SEARCH("governance",P912))),"Governance &amp; transparency",IF(OR(ISNUMBER(SEARCH("police",P912)),ISNUMBER(SEARCH("detention",P912)),ISNUMBER(SEARCH("civil rights",P912)),ISNUMBER(SEARCH("justice",P912))),"Civil rights &amp; justice",IF(OR(ISNUMBER(SEARCH("road",P912)),ISNUMBER(SEARCH("utility",P912)),ISNUMBER(SEARCH("infrastructure",P912)),ISNUMBER(SEARCH("public service",P912))),"Infrastructure &amp; public services","Other"))))))))))))</x:f>
      </x:c>
      <x:c r="J912" s="16" t="str">
        <x:f>IF(A912="","",IF(OR(ISNUMBER(SEARCH("fatal",Q912)),ISNUMBER(SEARCH("death",Q912)),ISNUMBER(SEARCH("riot",Q912)),ISNUMBER(SEARCH("curfew",Q912)),ISNUMBER(SEARCH("internet shutdown",Q912))),5,MIN(4,1+IF(H912&gt;=7,1,0)+IF(OR(ISNUMBER(SEARCH("hunger strike",Q912)),ISNUMBER(SEARCH("blockade",Q912)),ISNUMBER(SEARCH("strike",Q912)),ISNUMBER(SEARCH("jal satyagraha",Q912)),ISNUMBER(SEARCH("survey",Q912)),ISNUMBER(SEARCH("human chain",Q912)),ISNUMBER(SEARCH("march",Q912))),1,0)+IF(OR(ISNUMBER(SEARCH("fir",Q912)),ISNUMBER(SEARCH("confrontation",Q912)),ISNUMBER(SEARCH("violence",Q912)),ISNUMBER(SEARCH("detention",Q912)),ISNUMBER(SEARCH("arrest",Q912)),ISNUMBER(SEARCH("demolition",Q912)),ISNUMBER(SEARCH("injury",Q912))),1,0)+IF(OR(D912="Ongoing",D912="Unresolved"),1,0))))</x:f>
      </x:c>
      <x:c r="K912" s="16" t="str">
        <x:f>IF(J912="","",IF(J912=1,"Limited",IF(J912=2,"Local",IF(J912=3,"Significant",IF(J912=4,"High","Critical")))))</x:f>
      </x:c>
      <x:c r="L912" s="16" t="str">
        <x:f>IF(A912="","",Events!U911)</x:f>
      </x:c>
      <x:c r="M912" s="16" t="str">
        <x:f>IF(A912="","",Events!V911)</x:f>
      </x:c>
      <x:c r="N912" s="16" t="str">
        <x:f>IF(A912="","",Events!Q911)</x:f>
      </x:c>
      <x:c r="O912" s="16" t="str">
        <x:f>IF(A912="","",Events!R911)</x:f>
      </x:c>
      <x:c r="P912" s="16" t="str">
        <x:f>IF(A912="","",LOWER(Events!B911&amp;" "&amp;Events!D911&amp;" "&amp;Events!K911))</x:f>
      </x:c>
      <x:c r="Q912" s="16" t="str">
        <x:f>IF(A912="","",LOWER(Events!C911&amp;" "&amp;Events!K911&amp;" "&amp;Events!T911))</x:f>
      </x:c>
      <x:c r="R912" s="16" t="str">
        <x:f>IF(A912="","",IF(ISNUMBER(SEARCH("Occurrence verified",E912)),"Occurrence verified",E912))</x:f>
      </x:c>
      <x:c r="S912" s="79" t="str">
        <x:f>IF(A912="","",Events!X911)</x:f>
      </x:c>
      <x:c r="Z912" s="79" t="str">
        <x:f>IF(A912="","",Events!AD911)</x:f>
      </x:c>
      <x:c r="AA912" s="79" t="str">
        <x:f>IF(A912="","",Events!AE911)</x:f>
      </x:c>
    </x:row>
    <x:row r="913">
      <x:c r="A913" s="16" t="str">
        <x:f>IF(Events!A912="","",Events!A912)</x:f>
      </x:c>
      <x:c r="B913" s="16" t="str">
        <x:f>IF(A913="","",Events!B912)</x:f>
      </x:c>
      <x:c r="C913" s="16" t="str">
        <x:f>IF(A913="","",Events!E912)</x:f>
      </x:c>
      <x:c r="D913" s="16" t="str">
        <x:f>IF(A913="","",Events!J912)</x:f>
      </x:c>
      <x:c r="E913" s="16" t="str">
        <x:f>IF(A913="","",Events!N912)</x:f>
      </x:c>
      <x:c r="F913" s="109" t="str">
        <x:f>IF(OR(A913="",Events!H912=""),"",Events!H912)</x:f>
      </x:c>
      <x:c r="G913" s="109" t="str">
        <x:f>IF(A913="","",IF(Events!I912&lt;&gt;"",Events!I912,IF(Events!S912&lt;&gt;"",Events!S912,"")))</x:f>
      </x:c>
      <x:c r="H913" s="16" t="str">
        <x:f>IF(A913="","",Events!W912)</x:f>
      </x:c>
      <x:c r="I913" s="16" t="str">
        <x:f>IF(A913="","",IF(Events!Y912&lt;&gt;"",Events!Y912,IF(OR(ISNUMBER(SEARCH("education",P913)),ISNUMBER(SEARCH("exam",P913)),ISNUMBER(SEARCH("school",P913))),"Education",IF(OR(ISNUMBER(SEARCH("trade agreement",P913)),ISNUMBER(SEARCH("economic",P913)),ISNUMBER(SEARCH("import",P913))),"Trade &amp; economic policy",IF(OR(ISNUMBER(SEARCH("land acquisition",P913)),ISNUMBER(SEARCH("rehabilitation",P913)),ISNUMBER(SEARCH("displacement",P913)),ISNUMBER(SEARCH("township",P913))),"Land &amp; rehabilitation",IF(OR(ISNUMBER(SEARCH("forest",P913)),ISNUMBER(SEARCH("environment",P913)),ISNUMBER(SEARCH("ecological",P913)),ISNUMBER(SEARCH("biodiversity",P913)),ISNUMBER(SEARCH("green cover",P913))),"Environment",IF(OR(ISNUMBER(SEARCH("irrigation",P913)),ISNUMBER(SEARCH("water",P913)),ISNUMBER(SEARCH("crop",P913)),ISNUMBER(SEARCH("farmer",P913)),ISNUMBER(SEARCH("agriculture",P913))),"Agriculture &amp; water",IF(OR(ISNUMBER(SEARCH("health",P913)),ISNUMBER(SEARCH("hospital",P913)),ISNUMBER(SEARCH("medicine",P913))),"Public health",IF(OR(ISNUMBER(SEARCH("employee",P913)),ISNUMBER(SEARCH("labour",P913)),ISNUMBER(SEARCH("worker",P913)),ISNUMBER(SEARCH("salary",P913))),"Labour &amp; employment",IF(OR(ISNUMBER(SEARCH("rti",P913)),ISNUMBER(SEARCH("transparency",P913)),ISNUMBER(SEARCH("corruption",P913)),ISNUMBER(SEARCH("governance",P913))),"Governance &amp; transparency",IF(OR(ISNUMBER(SEARCH("police",P913)),ISNUMBER(SEARCH("detention",P913)),ISNUMBER(SEARCH("civil rights",P913)),ISNUMBER(SEARCH("justice",P913))),"Civil rights &amp; justice",IF(OR(ISNUMBER(SEARCH("road",P913)),ISNUMBER(SEARCH("utility",P913)),ISNUMBER(SEARCH("infrastructure",P913)),ISNUMBER(SEARCH("public service",P913))),"Infrastructure &amp; public services","Other"))))))))))))</x:f>
      </x:c>
      <x:c r="J913" s="16" t="str">
        <x:f>IF(A913="","",IF(OR(ISNUMBER(SEARCH("fatal",Q913)),ISNUMBER(SEARCH("death",Q913)),ISNUMBER(SEARCH("riot",Q913)),ISNUMBER(SEARCH("curfew",Q913)),ISNUMBER(SEARCH("internet shutdown",Q913))),5,MIN(4,1+IF(H913&gt;=7,1,0)+IF(OR(ISNUMBER(SEARCH("hunger strike",Q913)),ISNUMBER(SEARCH("blockade",Q913)),ISNUMBER(SEARCH("strike",Q913)),ISNUMBER(SEARCH("jal satyagraha",Q913)),ISNUMBER(SEARCH("survey",Q913)),ISNUMBER(SEARCH("human chain",Q913)),ISNUMBER(SEARCH("march",Q913))),1,0)+IF(OR(ISNUMBER(SEARCH("fir",Q913)),ISNUMBER(SEARCH("confrontation",Q913)),ISNUMBER(SEARCH("violence",Q913)),ISNUMBER(SEARCH("detention",Q913)),ISNUMBER(SEARCH("arrest",Q913)),ISNUMBER(SEARCH("demolition",Q913)),ISNUMBER(SEARCH("injury",Q913))),1,0)+IF(OR(D913="Ongoing",D913="Unresolved"),1,0))))</x:f>
      </x:c>
      <x:c r="K913" s="16" t="str">
        <x:f>IF(J913="","",IF(J913=1,"Limited",IF(J913=2,"Local",IF(J913=3,"Significant",IF(J913=4,"High","Critical")))))</x:f>
      </x:c>
      <x:c r="L913" s="16" t="str">
        <x:f>IF(A913="","",Events!U912)</x:f>
      </x:c>
      <x:c r="M913" s="16" t="str">
        <x:f>IF(A913="","",Events!V912)</x:f>
      </x:c>
      <x:c r="N913" s="16" t="str">
        <x:f>IF(A913="","",Events!Q912)</x:f>
      </x:c>
      <x:c r="O913" s="16" t="str">
        <x:f>IF(A913="","",Events!R912)</x:f>
      </x:c>
      <x:c r="P913" s="16" t="str">
        <x:f>IF(A913="","",LOWER(Events!B912&amp;" "&amp;Events!D912&amp;" "&amp;Events!K912))</x:f>
      </x:c>
      <x:c r="Q913" s="16" t="str">
        <x:f>IF(A913="","",LOWER(Events!C912&amp;" "&amp;Events!K912&amp;" "&amp;Events!T912))</x:f>
      </x:c>
      <x:c r="R913" s="16" t="str">
        <x:f>IF(A913="","",IF(ISNUMBER(SEARCH("Occurrence verified",E913)),"Occurrence verified",E913))</x:f>
      </x:c>
      <x:c r="S913" s="79" t="str">
        <x:f>IF(A913="","",Events!X912)</x:f>
      </x:c>
      <x:c r="Z913" s="79" t="str">
        <x:f>IF(A913="","",Events!AD912)</x:f>
      </x:c>
      <x:c r="AA913" s="79" t="str">
        <x:f>IF(A913="","",Events!AE912)</x:f>
      </x:c>
    </x:row>
    <x:row r="914">
      <x:c r="A914" s="16" t="str">
        <x:f>IF(Events!A913="","",Events!A913)</x:f>
      </x:c>
      <x:c r="B914" s="16" t="str">
        <x:f>IF(A914="","",Events!B913)</x:f>
      </x:c>
      <x:c r="C914" s="16" t="str">
        <x:f>IF(A914="","",Events!E913)</x:f>
      </x:c>
      <x:c r="D914" s="16" t="str">
        <x:f>IF(A914="","",Events!J913)</x:f>
      </x:c>
      <x:c r="E914" s="16" t="str">
        <x:f>IF(A914="","",Events!N913)</x:f>
      </x:c>
      <x:c r="F914" s="109" t="str">
        <x:f>IF(OR(A914="",Events!H913=""),"",Events!H913)</x:f>
      </x:c>
      <x:c r="G914" s="109" t="str">
        <x:f>IF(A914="","",IF(Events!I913&lt;&gt;"",Events!I913,IF(Events!S913&lt;&gt;"",Events!S913,"")))</x:f>
      </x:c>
      <x:c r="H914" s="16" t="str">
        <x:f>IF(A914="","",Events!W913)</x:f>
      </x:c>
      <x:c r="I914" s="16" t="str">
        <x:f>IF(A914="","",IF(Events!Y913&lt;&gt;"",Events!Y913,IF(OR(ISNUMBER(SEARCH("education",P914)),ISNUMBER(SEARCH("exam",P914)),ISNUMBER(SEARCH("school",P914))),"Education",IF(OR(ISNUMBER(SEARCH("trade agreement",P914)),ISNUMBER(SEARCH("economic",P914)),ISNUMBER(SEARCH("import",P914))),"Trade &amp; economic policy",IF(OR(ISNUMBER(SEARCH("land acquisition",P914)),ISNUMBER(SEARCH("rehabilitation",P914)),ISNUMBER(SEARCH("displacement",P914)),ISNUMBER(SEARCH("township",P914))),"Land &amp; rehabilitation",IF(OR(ISNUMBER(SEARCH("forest",P914)),ISNUMBER(SEARCH("environment",P914)),ISNUMBER(SEARCH("ecological",P914)),ISNUMBER(SEARCH("biodiversity",P914)),ISNUMBER(SEARCH("green cover",P914))),"Environment",IF(OR(ISNUMBER(SEARCH("irrigation",P914)),ISNUMBER(SEARCH("water",P914)),ISNUMBER(SEARCH("crop",P914)),ISNUMBER(SEARCH("farmer",P914)),ISNUMBER(SEARCH("agriculture",P914))),"Agriculture &amp; water",IF(OR(ISNUMBER(SEARCH("health",P914)),ISNUMBER(SEARCH("hospital",P914)),ISNUMBER(SEARCH("medicine",P914))),"Public health",IF(OR(ISNUMBER(SEARCH("employee",P914)),ISNUMBER(SEARCH("labour",P914)),ISNUMBER(SEARCH("worker",P914)),ISNUMBER(SEARCH("salary",P914))),"Labour &amp; employment",IF(OR(ISNUMBER(SEARCH("rti",P914)),ISNUMBER(SEARCH("transparency",P914)),ISNUMBER(SEARCH("corruption",P914)),ISNUMBER(SEARCH("governance",P914))),"Governance &amp; transparency",IF(OR(ISNUMBER(SEARCH("police",P914)),ISNUMBER(SEARCH("detention",P914)),ISNUMBER(SEARCH("civil rights",P914)),ISNUMBER(SEARCH("justice",P914))),"Civil rights &amp; justice",IF(OR(ISNUMBER(SEARCH("road",P914)),ISNUMBER(SEARCH("utility",P914)),ISNUMBER(SEARCH("infrastructure",P914)),ISNUMBER(SEARCH("public service",P914))),"Infrastructure &amp; public services","Other"))))))))))))</x:f>
      </x:c>
      <x:c r="J914" s="16" t="str">
        <x:f>IF(A914="","",IF(OR(ISNUMBER(SEARCH("fatal",Q914)),ISNUMBER(SEARCH("death",Q914)),ISNUMBER(SEARCH("riot",Q914)),ISNUMBER(SEARCH("curfew",Q914)),ISNUMBER(SEARCH("internet shutdown",Q914))),5,MIN(4,1+IF(H914&gt;=7,1,0)+IF(OR(ISNUMBER(SEARCH("hunger strike",Q914)),ISNUMBER(SEARCH("blockade",Q914)),ISNUMBER(SEARCH("strike",Q914)),ISNUMBER(SEARCH("jal satyagraha",Q914)),ISNUMBER(SEARCH("survey",Q914)),ISNUMBER(SEARCH("human chain",Q914)),ISNUMBER(SEARCH("march",Q914))),1,0)+IF(OR(ISNUMBER(SEARCH("fir",Q914)),ISNUMBER(SEARCH("confrontation",Q914)),ISNUMBER(SEARCH("violence",Q914)),ISNUMBER(SEARCH("detention",Q914)),ISNUMBER(SEARCH("arrest",Q914)),ISNUMBER(SEARCH("demolition",Q914)),ISNUMBER(SEARCH("injury",Q914))),1,0)+IF(OR(D914="Ongoing",D914="Unresolved"),1,0))))</x:f>
      </x:c>
      <x:c r="K914" s="16" t="str">
        <x:f>IF(J914="","",IF(J914=1,"Limited",IF(J914=2,"Local",IF(J914=3,"Significant",IF(J914=4,"High","Critical")))))</x:f>
      </x:c>
      <x:c r="L914" s="16" t="str">
        <x:f>IF(A914="","",Events!U913)</x:f>
      </x:c>
      <x:c r="M914" s="16" t="str">
        <x:f>IF(A914="","",Events!V913)</x:f>
      </x:c>
      <x:c r="N914" s="16" t="str">
        <x:f>IF(A914="","",Events!Q913)</x:f>
      </x:c>
      <x:c r="O914" s="16" t="str">
        <x:f>IF(A914="","",Events!R913)</x:f>
      </x:c>
      <x:c r="P914" s="16" t="str">
        <x:f>IF(A914="","",LOWER(Events!B913&amp;" "&amp;Events!D913&amp;" "&amp;Events!K913))</x:f>
      </x:c>
      <x:c r="Q914" s="16" t="str">
        <x:f>IF(A914="","",LOWER(Events!C913&amp;" "&amp;Events!K913&amp;" "&amp;Events!T913))</x:f>
      </x:c>
      <x:c r="R914" s="16" t="str">
        <x:f>IF(A914="","",IF(ISNUMBER(SEARCH("Occurrence verified",E914)),"Occurrence verified",E914))</x:f>
      </x:c>
      <x:c r="S914" s="79" t="str">
        <x:f>IF(A914="","",Events!X913)</x:f>
      </x:c>
      <x:c r="Z914" s="79" t="str">
        <x:f>IF(A914="","",Events!AD913)</x:f>
      </x:c>
      <x:c r="AA914" s="79" t="str">
        <x:f>IF(A914="","",Events!AE913)</x:f>
      </x:c>
    </x:row>
    <x:row r="915">
      <x:c r="A915" s="16" t="str">
        <x:f>IF(Events!A914="","",Events!A914)</x:f>
      </x:c>
      <x:c r="B915" s="16" t="str">
        <x:f>IF(A915="","",Events!B914)</x:f>
      </x:c>
      <x:c r="C915" s="16" t="str">
        <x:f>IF(A915="","",Events!E914)</x:f>
      </x:c>
      <x:c r="D915" s="16" t="str">
        <x:f>IF(A915="","",Events!J914)</x:f>
      </x:c>
      <x:c r="E915" s="16" t="str">
        <x:f>IF(A915="","",Events!N914)</x:f>
      </x:c>
      <x:c r="F915" s="109" t="str">
        <x:f>IF(OR(A915="",Events!H914=""),"",Events!H914)</x:f>
      </x:c>
      <x:c r="G915" s="109" t="str">
        <x:f>IF(A915="","",IF(Events!I914&lt;&gt;"",Events!I914,IF(Events!S914&lt;&gt;"",Events!S914,"")))</x:f>
      </x:c>
      <x:c r="H915" s="16" t="str">
        <x:f>IF(A915="","",Events!W914)</x:f>
      </x:c>
      <x:c r="I915" s="16" t="str">
        <x:f>IF(A915="","",IF(Events!Y914&lt;&gt;"",Events!Y914,IF(OR(ISNUMBER(SEARCH("education",P915)),ISNUMBER(SEARCH("exam",P915)),ISNUMBER(SEARCH("school",P915))),"Education",IF(OR(ISNUMBER(SEARCH("trade agreement",P915)),ISNUMBER(SEARCH("economic",P915)),ISNUMBER(SEARCH("import",P915))),"Trade &amp; economic policy",IF(OR(ISNUMBER(SEARCH("land acquisition",P915)),ISNUMBER(SEARCH("rehabilitation",P915)),ISNUMBER(SEARCH("displacement",P915)),ISNUMBER(SEARCH("township",P915))),"Land &amp; rehabilitation",IF(OR(ISNUMBER(SEARCH("forest",P915)),ISNUMBER(SEARCH("environment",P915)),ISNUMBER(SEARCH("ecological",P915)),ISNUMBER(SEARCH("biodiversity",P915)),ISNUMBER(SEARCH("green cover",P915))),"Environment",IF(OR(ISNUMBER(SEARCH("irrigation",P915)),ISNUMBER(SEARCH("water",P915)),ISNUMBER(SEARCH("crop",P915)),ISNUMBER(SEARCH("farmer",P915)),ISNUMBER(SEARCH("agriculture",P915))),"Agriculture &amp; water",IF(OR(ISNUMBER(SEARCH("health",P915)),ISNUMBER(SEARCH("hospital",P915)),ISNUMBER(SEARCH("medicine",P915))),"Public health",IF(OR(ISNUMBER(SEARCH("employee",P915)),ISNUMBER(SEARCH("labour",P915)),ISNUMBER(SEARCH("worker",P915)),ISNUMBER(SEARCH("salary",P915))),"Labour &amp; employment",IF(OR(ISNUMBER(SEARCH("rti",P915)),ISNUMBER(SEARCH("transparency",P915)),ISNUMBER(SEARCH("corruption",P915)),ISNUMBER(SEARCH("governance",P915))),"Governance &amp; transparency",IF(OR(ISNUMBER(SEARCH("police",P915)),ISNUMBER(SEARCH("detention",P915)),ISNUMBER(SEARCH("civil rights",P915)),ISNUMBER(SEARCH("justice",P915))),"Civil rights &amp; justice",IF(OR(ISNUMBER(SEARCH("road",P915)),ISNUMBER(SEARCH("utility",P915)),ISNUMBER(SEARCH("infrastructure",P915)),ISNUMBER(SEARCH("public service",P915))),"Infrastructure &amp; public services","Other"))))))))))))</x:f>
      </x:c>
      <x:c r="J915" s="16" t="str">
        <x:f>IF(A915="","",IF(OR(ISNUMBER(SEARCH("fatal",Q915)),ISNUMBER(SEARCH("death",Q915)),ISNUMBER(SEARCH("riot",Q915)),ISNUMBER(SEARCH("curfew",Q915)),ISNUMBER(SEARCH("internet shutdown",Q915))),5,MIN(4,1+IF(H915&gt;=7,1,0)+IF(OR(ISNUMBER(SEARCH("hunger strike",Q915)),ISNUMBER(SEARCH("blockade",Q915)),ISNUMBER(SEARCH("strike",Q915)),ISNUMBER(SEARCH("jal satyagraha",Q915)),ISNUMBER(SEARCH("survey",Q915)),ISNUMBER(SEARCH("human chain",Q915)),ISNUMBER(SEARCH("march",Q915))),1,0)+IF(OR(ISNUMBER(SEARCH("fir",Q915)),ISNUMBER(SEARCH("confrontation",Q915)),ISNUMBER(SEARCH("violence",Q915)),ISNUMBER(SEARCH("detention",Q915)),ISNUMBER(SEARCH("arrest",Q915)),ISNUMBER(SEARCH("demolition",Q915)),ISNUMBER(SEARCH("injury",Q915))),1,0)+IF(OR(D915="Ongoing",D915="Unresolved"),1,0))))</x:f>
      </x:c>
      <x:c r="K915" s="16" t="str">
        <x:f>IF(J915="","",IF(J915=1,"Limited",IF(J915=2,"Local",IF(J915=3,"Significant",IF(J915=4,"High","Critical")))))</x:f>
      </x:c>
      <x:c r="L915" s="16" t="str">
        <x:f>IF(A915="","",Events!U914)</x:f>
      </x:c>
      <x:c r="M915" s="16" t="str">
        <x:f>IF(A915="","",Events!V914)</x:f>
      </x:c>
      <x:c r="N915" s="16" t="str">
        <x:f>IF(A915="","",Events!Q914)</x:f>
      </x:c>
      <x:c r="O915" s="16" t="str">
        <x:f>IF(A915="","",Events!R914)</x:f>
      </x:c>
      <x:c r="P915" s="16" t="str">
        <x:f>IF(A915="","",LOWER(Events!B914&amp;" "&amp;Events!D914&amp;" "&amp;Events!K914))</x:f>
      </x:c>
      <x:c r="Q915" s="16" t="str">
        <x:f>IF(A915="","",LOWER(Events!C914&amp;" "&amp;Events!K914&amp;" "&amp;Events!T914))</x:f>
      </x:c>
      <x:c r="R915" s="16" t="str">
        <x:f>IF(A915="","",IF(ISNUMBER(SEARCH("Occurrence verified",E915)),"Occurrence verified",E915))</x:f>
      </x:c>
      <x:c r="S915" s="79" t="str">
        <x:f>IF(A915="","",Events!X914)</x:f>
      </x:c>
      <x:c r="Z915" s="79" t="str">
        <x:f>IF(A915="","",Events!AD914)</x:f>
      </x:c>
      <x:c r="AA915" s="79" t="str">
        <x:f>IF(A915="","",Events!AE914)</x:f>
      </x:c>
    </x:row>
    <x:row r="916">
      <x:c r="A916" s="16" t="str">
        <x:f>IF(Events!A915="","",Events!A915)</x:f>
      </x:c>
      <x:c r="B916" s="16" t="str">
        <x:f>IF(A916="","",Events!B915)</x:f>
      </x:c>
      <x:c r="C916" s="16" t="str">
        <x:f>IF(A916="","",Events!E915)</x:f>
      </x:c>
      <x:c r="D916" s="16" t="str">
        <x:f>IF(A916="","",Events!J915)</x:f>
      </x:c>
      <x:c r="E916" s="16" t="str">
        <x:f>IF(A916="","",Events!N915)</x:f>
      </x:c>
      <x:c r="F916" s="109" t="str">
        <x:f>IF(OR(A916="",Events!H915=""),"",Events!H915)</x:f>
      </x:c>
      <x:c r="G916" s="109" t="str">
        <x:f>IF(A916="","",IF(Events!I915&lt;&gt;"",Events!I915,IF(Events!S915&lt;&gt;"",Events!S915,"")))</x:f>
      </x:c>
      <x:c r="H916" s="16" t="str">
        <x:f>IF(A916="","",Events!W915)</x:f>
      </x:c>
      <x:c r="I916" s="16" t="str">
        <x:f>IF(A916="","",IF(Events!Y915&lt;&gt;"",Events!Y915,IF(OR(ISNUMBER(SEARCH("education",P916)),ISNUMBER(SEARCH("exam",P916)),ISNUMBER(SEARCH("school",P916))),"Education",IF(OR(ISNUMBER(SEARCH("trade agreement",P916)),ISNUMBER(SEARCH("economic",P916)),ISNUMBER(SEARCH("import",P916))),"Trade &amp; economic policy",IF(OR(ISNUMBER(SEARCH("land acquisition",P916)),ISNUMBER(SEARCH("rehabilitation",P916)),ISNUMBER(SEARCH("displacement",P916)),ISNUMBER(SEARCH("township",P916))),"Land &amp; rehabilitation",IF(OR(ISNUMBER(SEARCH("forest",P916)),ISNUMBER(SEARCH("environment",P916)),ISNUMBER(SEARCH("ecological",P916)),ISNUMBER(SEARCH("biodiversity",P916)),ISNUMBER(SEARCH("green cover",P916))),"Environment",IF(OR(ISNUMBER(SEARCH("irrigation",P916)),ISNUMBER(SEARCH("water",P916)),ISNUMBER(SEARCH("crop",P916)),ISNUMBER(SEARCH("farmer",P916)),ISNUMBER(SEARCH("agriculture",P916))),"Agriculture &amp; water",IF(OR(ISNUMBER(SEARCH("health",P916)),ISNUMBER(SEARCH("hospital",P916)),ISNUMBER(SEARCH("medicine",P916))),"Public health",IF(OR(ISNUMBER(SEARCH("employee",P916)),ISNUMBER(SEARCH("labour",P916)),ISNUMBER(SEARCH("worker",P916)),ISNUMBER(SEARCH("salary",P916))),"Labour &amp; employment",IF(OR(ISNUMBER(SEARCH("rti",P916)),ISNUMBER(SEARCH("transparency",P916)),ISNUMBER(SEARCH("corruption",P916)),ISNUMBER(SEARCH("governance",P916))),"Governance &amp; transparency",IF(OR(ISNUMBER(SEARCH("police",P916)),ISNUMBER(SEARCH("detention",P916)),ISNUMBER(SEARCH("civil rights",P916)),ISNUMBER(SEARCH("justice",P916))),"Civil rights &amp; justice",IF(OR(ISNUMBER(SEARCH("road",P916)),ISNUMBER(SEARCH("utility",P916)),ISNUMBER(SEARCH("infrastructure",P916)),ISNUMBER(SEARCH("public service",P916))),"Infrastructure &amp; public services","Other"))))))))))))</x:f>
      </x:c>
      <x:c r="J916" s="16" t="str">
        <x:f>IF(A916="","",IF(OR(ISNUMBER(SEARCH("fatal",Q916)),ISNUMBER(SEARCH("death",Q916)),ISNUMBER(SEARCH("riot",Q916)),ISNUMBER(SEARCH("curfew",Q916)),ISNUMBER(SEARCH("internet shutdown",Q916))),5,MIN(4,1+IF(H916&gt;=7,1,0)+IF(OR(ISNUMBER(SEARCH("hunger strike",Q916)),ISNUMBER(SEARCH("blockade",Q916)),ISNUMBER(SEARCH("strike",Q916)),ISNUMBER(SEARCH("jal satyagraha",Q916)),ISNUMBER(SEARCH("survey",Q916)),ISNUMBER(SEARCH("human chain",Q916)),ISNUMBER(SEARCH("march",Q916))),1,0)+IF(OR(ISNUMBER(SEARCH("fir",Q916)),ISNUMBER(SEARCH("confrontation",Q916)),ISNUMBER(SEARCH("violence",Q916)),ISNUMBER(SEARCH("detention",Q916)),ISNUMBER(SEARCH("arrest",Q916)),ISNUMBER(SEARCH("demolition",Q916)),ISNUMBER(SEARCH("injury",Q916))),1,0)+IF(OR(D916="Ongoing",D916="Unresolved"),1,0))))</x:f>
      </x:c>
      <x:c r="K916" s="16" t="str">
        <x:f>IF(J916="","",IF(J916=1,"Limited",IF(J916=2,"Local",IF(J916=3,"Significant",IF(J916=4,"High","Critical")))))</x:f>
      </x:c>
      <x:c r="L916" s="16" t="str">
        <x:f>IF(A916="","",Events!U915)</x:f>
      </x:c>
      <x:c r="M916" s="16" t="str">
        <x:f>IF(A916="","",Events!V915)</x:f>
      </x:c>
      <x:c r="N916" s="16" t="str">
        <x:f>IF(A916="","",Events!Q915)</x:f>
      </x:c>
      <x:c r="O916" s="16" t="str">
        <x:f>IF(A916="","",Events!R915)</x:f>
      </x:c>
      <x:c r="P916" s="16" t="str">
        <x:f>IF(A916="","",LOWER(Events!B915&amp;" "&amp;Events!D915&amp;" "&amp;Events!K915))</x:f>
      </x:c>
      <x:c r="Q916" s="16" t="str">
        <x:f>IF(A916="","",LOWER(Events!C915&amp;" "&amp;Events!K915&amp;" "&amp;Events!T915))</x:f>
      </x:c>
      <x:c r="R916" s="16" t="str">
        <x:f>IF(A916="","",IF(ISNUMBER(SEARCH("Occurrence verified",E916)),"Occurrence verified",E916))</x:f>
      </x:c>
      <x:c r="S916" s="79" t="str">
        <x:f>IF(A916="","",Events!X915)</x:f>
      </x:c>
      <x:c r="Z916" s="79" t="str">
        <x:f>IF(A916="","",Events!AD915)</x:f>
      </x:c>
      <x:c r="AA916" s="79" t="str">
        <x:f>IF(A916="","",Events!AE915)</x:f>
      </x:c>
    </x:row>
    <x:row r="917">
      <x:c r="A917" s="16" t="str">
        <x:f>IF(Events!A916="","",Events!A916)</x:f>
      </x:c>
      <x:c r="B917" s="16" t="str">
        <x:f>IF(A917="","",Events!B916)</x:f>
      </x:c>
      <x:c r="C917" s="16" t="str">
        <x:f>IF(A917="","",Events!E916)</x:f>
      </x:c>
      <x:c r="D917" s="16" t="str">
        <x:f>IF(A917="","",Events!J916)</x:f>
      </x:c>
      <x:c r="E917" s="16" t="str">
        <x:f>IF(A917="","",Events!N916)</x:f>
      </x:c>
      <x:c r="F917" s="109" t="str">
        <x:f>IF(OR(A917="",Events!H916=""),"",Events!H916)</x:f>
      </x:c>
      <x:c r="G917" s="109" t="str">
        <x:f>IF(A917="","",IF(Events!I916&lt;&gt;"",Events!I916,IF(Events!S916&lt;&gt;"",Events!S916,"")))</x:f>
      </x:c>
      <x:c r="H917" s="16" t="str">
        <x:f>IF(A917="","",Events!W916)</x:f>
      </x:c>
      <x:c r="I917" s="16" t="str">
        <x:f>IF(A917="","",IF(Events!Y916&lt;&gt;"",Events!Y916,IF(OR(ISNUMBER(SEARCH("education",P917)),ISNUMBER(SEARCH("exam",P917)),ISNUMBER(SEARCH("school",P917))),"Education",IF(OR(ISNUMBER(SEARCH("trade agreement",P917)),ISNUMBER(SEARCH("economic",P917)),ISNUMBER(SEARCH("import",P917))),"Trade &amp; economic policy",IF(OR(ISNUMBER(SEARCH("land acquisition",P917)),ISNUMBER(SEARCH("rehabilitation",P917)),ISNUMBER(SEARCH("displacement",P917)),ISNUMBER(SEARCH("township",P917))),"Land &amp; rehabilitation",IF(OR(ISNUMBER(SEARCH("forest",P917)),ISNUMBER(SEARCH("environment",P917)),ISNUMBER(SEARCH("ecological",P917)),ISNUMBER(SEARCH("biodiversity",P917)),ISNUMBER(SEARCH("green cover",P917))),"Environment",IF(OR(ISNUMBER(SEARCH("irrigation",P917)),ISNUMBER(SEARCH("water",P917)),ISNUMBER(SEARCH("crop",P917)),ISNUMBER(SEARCH("farmer",P917)),ISNUMBER(SEARCH("agriculture",P917))),"Agriculture &amp; water",IF(OR(ISNUMBER(SEARCH("health",P917)),ISNUMBER(SEARCH("hospital",P917)),ISNUMBER(SEARCH("medicine",P917))),"Public health",IF(OR(ISNUMBER(SEARCH("employee",P917)),ISNUMBER(SEARCH("labour",P917)),ISNUMBER(SEARCH("worker",P917)),ISNUMBER(SEARCH("salary",P917))),"Labour &amp; employment",IF(OR(ISNUMBER(SEARCH("rti",P917)),ISNUMBER(SEARCH("transparency",P917)),ISNUMBER(SEARCH("corruption",P917)),ISNUMBER(SEARCH("governance",P917))),"Governance &amp; transparency",IF(OR(ISNUMBER(SEARCH("police",P917)),ISNUMBER(SEARCH("detention",P917)),ISNUMBER(SEARCH("civil rights",P917)),ISNUMBER(SEARCH("justice",P917))),"Civil rights &amp; justice",IF(OR(ISNUMBER(SEARCH("road",P917)),ISNUMBER(SEARCH("utility",P917)),ISNUMBER(SEARCH("infrastructure",P917)),ISNUMBER(SEARCH("public service",P917))),"Infrastructure &amp; public services","Other"))))))))))))</x:f>
      </x:c>
      <x:c r="J917" s="16" t="str">
        <x:f>IF(A917="","",IF(OR(ISNUMBER(SEARCH("fatal",Q917)),ISNUMBER(SEARCH("death",Q917)),ISNUMBER(SEARCH("riot",Q917)),ISNUMBER(SEARCH("curfew",Q917)),ISNUMBER(SEARCH("internet shutdown",Q917))),5,MIN(4,1+IF(H917&gt;=7,1,0)+IF(OR(ISNUMBER(SEARCH("hunger strike",Q917)),ISNUMBER(SEARCH("blockade",Q917)),ISNUMBER(SEARCH("strike",Q917)),ISNUMBER(SEARCH("jal satyagraha",Q917)),ISNUMBER(SEARCH("survey",Q917)),ISNUMBER(SEARCH("human chain",Q917)),ISNUMBER(SEARCH("march",Q917))),1,0)+IF(OR(ISNUMBER(SEARCH("fir",Q917)),ISNUMBER(SEARCH("confrontation",Q917)),ISNUMBER(SEARCH("violence",Q917)),ISNUMBER(SEARCH("detention",Q917)),ISNUMBER(SEARCH("arrest",Q917)),ISNUMBER(SEARCH("demolition",Q917)),ISNUMBER(SEARCH("injury",Q917))),1,0)+IF(OR(D917="Ongoing",D917="Unresolved"),1,0))))</x:f>
      </x:c>
      <x:c r="K917" s="16" t="str">
        <x:f>IF(J917="","",IF(J917=1,"Limited",IF(J917=2,"Local",IF(J917=3,"Significant",IF(J917=4,"High","Critical")))))</x:f>
      </x:c>
      <x:c r="L917" s="16" t="str">
        <x:f>IF(A917="","",Events!U916)</x:f>
      </x:c>
      <x:c r="M917" s="16" t="str">
        <x:f>IF(A917="","",Events!V916)</x:f>
      </x:c>
      <x:c r="N917" s="16" t="str">
        <x:f>IF(A917="","",Events!Q916)</x:f>
      </x:c>
      <x:c r="O917" s="16" t="str">
        <x:f>IF(A917="","",Events!R916)</x:f>
      </x:c>
      <x:c r="P917" s="16" t="str">
        <x:f>IF(A917="","",LOWER(Events!B916&amp;" "&amp;Events!D916&amp;" "&amp;Events!K916))</x:f>
      </x:c>
      <x:c r="Q917" s="16" t="str">
        <x:f>IF(A917="","",LOWER(Events!C916&amp;" "&amp;Events!K916&amp;" "&amp;Events!T916))</x:f>
      </x:c>
      <x:c r="R917" s="16" t="str">
        <x:f>IF(A917="","",IF(ISNUMBER(SEARCH("Occurrence verified",E917)),"Occurrence verified",E917))</x:f>
      </x:c>
      <x:c r="S917" s="79" t="str">
        <x:f>IF(A917="","",Events!X916)</x:f>
      </x:c>
      <x:c r="Z917" s="79" t="str">
        <x:f>IF(A917="","",Events!AD916)</x:f>
      </x:c>
      <x:c r="AA917" s="79" t="str">
        <x:f>IF(A917="","",Events!AE916)</x:f>
      </x:c>
    </x:row>
    <x:row r="918">
      <x:c r="A918" s="16" t="str">
        <x:f>IF(Events!A917="","",Events!A917)</x:f>
      </x:c>
      <x:c r="B918" s="16" t="str">
        <x:f>IF(A918="","",Events!B917)</x:f>
      </x:c>
      <x:c r="C918" s="16" t="str">
        <x:f>IF(A918="","",Events!E917)</x:f>
      </x:c>
      <x:c r="D918" s="16" t="str">
        <x:f>IF(A918="","",Events!J917)</x:f>
      </x:c>
      <x:c r="E918" s="16" t="str">
        <x:f>IF(A918="","",Events!N917)</x:f>
      </x:c>
      <x:c r="F918" s="109" t="str">
        <x:f>IF(OR(A918="",Events!H917=""),"",Events!H917)</x:f>
      </x:c>
      <x:c r="G918" s="109" t="str">
        <x:f>IF(A918="","",IF(Events!I917&lt;&gt;"",Events!I917,IF(Events!S917&lt;&gt;"",Events!S917,"")))</x:f>
      </x:c>
      <x:c r="H918" s="16" t="str">
        <x:f>IF(A918="","",Events!W917)</x:f>
      </x:c>
      <x:c r="I918" s="16" t="str">
        <x:f>IF(A918="","",IF(Events!Y917&lt;&gt;"",Events!Y917,IF(OR(ISNUMBER(SEARCH("education",P918)),ISNUMBER(SEARCH("exam",P918)),ISNUMBER(SEARCH("school",P918))),"Education",IF(OR(ISNUMBER(SEARCH("trade agreement",P918)),ISNUMBER(SEARCH("economic",P918)),ISNUMBER(SEARCH("import",P918))),"Trade &amp; economic policy",IF(OR(ISNUMBER(SEARCH("land acquisition",P918)),ISNUMBER(SEARCH("rehabilitation",P918)),ISNUMBER(SEARCH("displacement",P918)),ISNUMBER(SEARCH("township",P918))),"Land &amp; rehabilitation",IF(OR(ISNUMBER(SEARCH("forest",P918)),ISNUMBER(SEARCH("environment",P918)),ISNUMBER(SEARCH("ecological",P918)),ISNUMBER(SEARCH("biodiversity",P918)),ISNUMBER(SEARCH("green cover",P918))),"Environment",IF(OR(ISNUMBER(SEARCH("irrigation",P918)),ISNUMBER(SEARCH("water",P918)),ISNUMBER(SEARCH("crop",P918)),ISNUMBER(SEARCH("farmer",P918)),ISNUMBER(SEARCH("agriculture",P918))),"Agriculture &amp; water",IF(OR(ISNUMBER(SEARCH("health",P918)),ISNUMBER(SEARCH("hospital",P918)),ISNUMBER(SEARCH("medicine",P918))),"Public health",IF(OR(ISNUMBER(SEARCH("employee",P918)),ISNUMBER(SEARCH("labour",P918)),ISNUMBER(SEARCH("worker",P918)),ISNUMBER(SEARCH("salary",P918))),"Labour &amp; employment",IF(OR(ISNUMBER(SEARCH("rti",P918)),ISNUMBER(SEARCH("transparency",P918)),ISNUMBER(SEARCH("corruption",P918)),ISNUMBER(SEARCH("governance",P918))),"Governance &amp; transparency",IF(OR(ISNUMBER(SEARCH("police",P918)),ISNUMBER(SEARCH("detention",P918)),ISNUMBER(SEARCH("civil rights",P918)),ISNUMBER(SEARCH("justice",P918))),"Civil rights &amp; justice",IF(OR(ISNUMBER(SEARCH("road",P918)),ISNUMBER(SEARCH("utility",P918)),ISNUMBER(SEARCH("infrastructure",P918)),ISNUMBER(SEARCH("public service",P918))),"Infrastructure &amp; public services","Other"))))))))))))</x:f>
      </x:c>
      <x:c r="J918" s="16" t="str">
        <x:f>IF(A918="","",IF(OR(ISNUMBER(SEARCH("fatal",Q918)),ISNUMBER(SEARCH("death",Q918)),ISNUMBER(SEARCH("riot",Q918)),ISNUMBER(SEARCH("curfew",Q918)),ISNUMBER(SEARCH("internet shutdown",Q918))),5,MIN(4,1+IF(H918&gt;=7,1,0)+IF(OR(ISNUMBER(SEARCH("hunger strike",Q918)),ISNUMBER(SEARCH("blockade",Q918)),ISNUMBER(SEARCH("strike",Q918)),ISNUMBER(SEARCH("jal satyagraha",Q918)),ISNUMBER(SEARCH("survey",Q918)),ISNUMBER(SEARCH("human chain",Q918)),ISNUMBER(SEARCH("march",Q918))),1,0)+IF(OR(ISNUMBER(SEARCH("fir",Q918)),ISNUMBER(SEARCH("confrontation",Q918)),ISNUMBER(SEARCH("violence",Q918)),ISNUMBER(SEARCH("detention",Q918)),ISNUMBER(SEARCH("arrest",Q918)),ISNUMBER(SEARCH("demolition",Q918)),ISNUMBER(SEARCH("injury",Q918))),1,0)+IF(OR(D918="Ongoing",D918="Unresolved"),1,0))))</x:f>
      </x:c>
      <x:c r="K918" s="16" t="str">
        <x:f>IF(J918="","",IF(J918=1,"Limited",IF(J918=2,"Local",IF(J918=3,"Significant",IF(J918=4,"High","Critical")))))</x:f>
      </x:c>
      <x:c r="L918" s="16" t="str">
        <x:f>IF(A918="","",Events!U917)</x:f>
      </x:c>
      <x:c r="M918" s="16" t="str">
        <x:f>IF(A918="","",Events!V917)</x:f>
      </x:c>
      <x:c r="N918" s="16" t="str">
        <x:f>IF(A918="","",Events!Q917)</x:f>
      </x:c>
      <x:c r="O918" s="16" t="str">
        <x:f>IF(A918="","",Events!R917)</x:f>
      </x:c>
      <x:c r="P918" s="16" t="str">
        <x:f>IF(A918="","",LOWER(Events!B917&amp;" "&amp;Events!D917&amp;" "&amp;Events!K917))</x:f>
      </x:c>
      <x:c r="Q918" s="16" t="str">
        <x:f>IF(A918="","",LOWER(Events!C917&amp;" "&amp;Events!K917&amp;" "&amp;Events!T917))</x:f>
      </x:c>
      <x:c r="R918" s="16" t="str">
        <x:f>IF(A918="","",IF(ISNUMBER(SEARCH("Occurrence verified",E918)),"Occurrence verified",E918))</x:f>
      </x:c>
      <x:c r="S918" s="79" t="str">
        <x:f>IF(A918="","",Events!X917)</x:f>
      </x:c>
      <x:c r="Z918" s="79" t="str">
        <x:f>IF(A918="","",Events!AD917)</x:f>
      </x:c>
      <x:c r="AA918" s="79" t="str">
        <x:f>IF(A918="","",Events!AE917)</x:f>
      </x:c>
    </x:row>
    <x:row r="919">
      <x:c r="A919" s="16" t="str">
        <x:f>IF(Events!A918="","",Events!A918)</x:f>
      </x:c>
      <x:c r="B919" s="16" t="str">
        <x:f>IF(A919="","",Events!B918)</x:f>
      </x:c>
      <x:c r="C919" s="16" t="str">
        <x:f>IF(A919="","",Events!E918)</x:f>
      </x:c>
      <x:c r="D919" s="16" t="str">
        <x:f>IF(A919="","",Events!J918)</x:f>
      </x:c>
      <x:c r="E919" s="16" t="str">
        <x:f>IF(A919="","",Events!N918)</x:f>
      </x:c>
      <x:c r="F919" s="109" t="str">
        <x:f>IF(OR(A919="",Events!H918=""),"",Events!H918)</x:f>
      </x:c>
      <x:c r="G919" s="109" t="str">
        <x:f>IF(A919="","",IF(Events!I918&lt;&gt;"",Events!I918,IF(Events!S918&lt;&gt;"",Events!S918,"")))</x:f>
      </x:c>
      <x:c r="H919" s="16" t="str">
        <x:f>IF(A919="","",Events!W918)</x:f>
      </x:c>
      <x:c r="I919" s="16" t="str">
        <x:f>IF(A919="","",IF(Events!Y918&lt;&gt;"",Events!Y918,IF(OR(ISNUMBER(SEARCH("education",P919)),ISNUMBER(SEARCH("exam",P919)),ISNUMBER(SEARCH("school",P919))),"Education",IF(OR(ISNUMBER(SEARCH("trade agreement",P919)),ISNUMBER(SEARCH("economic",P919)),ISNUMBER(SEARCH("import",P919))),"Trade &amp; economic policy",IF(OR(ISNUMBER(SEARCH("land acquisition",P919)),ISNUMBER(SEARCH("rehabilitation",P919)),ISNUMBER(SEARCH("displacement",P919)),ISNUMBER(SEARCH("township",P919))),"Land &amp; rehabilitation",IF(OR(ISNUMBER(SEARCH("forest",P919)),ISNUMBER(SEARCH("environment",P919)),ISNUMBER(SEARCH("ecological",P919)),ISNUMBER(SEARCH("biodiversity",P919)),ISNUMBER(SEARCH("green cover",P919))),"Environment",IF(OR(ISNUMBER(SEARCH("irrigation",P919)),ISNUMBER(SEARCH("water",P919)),ISNUMBER(SEARCH("crop",P919)),ISNUMBER(SEARCH("farmer",P919)),ISNUMBER(SEARCH("agriculture",P919))),"Agriculture &amp; water",IF(OR(ISNUMBER(SEARCH("health",P919)),ISNUMBER(SEARCH("hospital",P919)),ISNUMBER(SEARCH("medicine",P919))),"Public health",IF(OR(ISNUMBER(SEARCH("employee",P919)),ISNUMBER(SEARCH("labour",P919)),ISNUMBER(SEARCH("worker",P919)),ISNUMBER(SEARCH("salary",P919))),"Labour &amp; employment",IF(OR(ISNUMBER(SEARCH("rti",P919)),ISNUMBER(SEARCH("transparency",P919)),ISNUMBER(SEARCH("corruption",P919)),ISNUMBER(SEARCH("governance",P919))),"Governance &amp; transparency",IF(OR(ISNUMBER(SEARCH("police",P919)),ISNUMBER(SEARCH("detention",P919)),ISNUMBER(SEARCH("civil rights",P919)),ISNUMBER(SEARCH("justice",P919))),"Civil rights &amp; justice",IF(OR(ISNUMBER(SEARCH("road",P919)),ISNUMBER(SEARCH("utility",P919)),ISNUMBER(SEARCH("infrastructure",P919)),ISNUMBER(SEARCH("public service",P919))),"Infrastructure &amp; public services","Other"))))))))))))</x:f>
      </x:c>
      <x:c r="J919" s="16" t="str">
        <x:f>IF(A919="","",IF(OR(ISNUMBER(SEARCH("fatal",Q919)),ISNUMBER(SEARCH("death",Q919)),ISNUMBER(SEARCH("riot",Q919)),ISNUMBER(SEARCH("curfew",Q919)),ISNUMBER(SEARCH("internet shutdown",Q919))),5,MIN(4,1+IF(H919&gt;=7,1,0)+IF(OR(ISNUMBER(SEARCH("hunger strike",Q919)),ISNUMBER(SEARCH("blockade",Q919)),ISNUMBER(SEARCH("strike",Q919)),ISNUMBER(SEARCH("jal satyagraha",Q919)),ISNUMBER(SEARCH("survey",Q919)),ISNUMBER(SEARCH("human chain",Q919)),ISNUMBER(SEARCH("march",Q919))),1,0)+IF(OR(ISNUMBER(SEARCH("fir",Q919)),ISNUMBER(SEARCH("confrontation",Q919)),ISNUMBER(SEARCH("violence",Q919)),ISNUMBER(SEARCH("detention",Q919)),ISNUMBER(SEARCH("arrest",Q919)),ISNUMBER(SEARCH("demolition",Q919)),ISNUMBER(SEARCH("injury",Q919))),1,0)+IF(OR(D919="Ongoing",D919="Unresolved"),1,0))))</x:f>
      </x:c>
      <x:c r="K919" s="16" t="str">
        <x:f>IF(J919="","",IF(J919=1,"Limited",IF(J919=2,"Local",IF(J919=3,"Significant",IF(J919=4,"High","Critical")))))</x:f>
      </x:c>
      <x:c r="L919" s="16" t="str">
        <x:f>IF(A919="","",Events!U918)</x:f>
      </x:c>
      <x:c r="M919" s="16" t="str">
        <x:f>IF(A919="","",Events!V918)</x:f>
      </x:c>
      <x:c r="N919" s="16" t="str">
        <x:f>IF(A919="","",Events!Q918)</x:f>
      </x:c>
      <x:c r="O919" s="16" t="str">
        <x:f>IF(A919="","",Events!R918)</x:f>
      </x:c>
      <x:c r="P919" s="16" t="str">
        <x:f>IF(A919="","",LOWER(Events!B918&amp;" "&amp;Events!D918&amp;" "&amp;Events!K918))</x:f>
      </x:c>
      <x:c r="Q919" s="16" t="str">
        <x:f>IF(A919="","",LOWER(Events!C918&amp;" "&amp;Events!K918&amp;" "&amp;Events!T918))</x:f>
      </x:c>
      <x:c r="R919" s="16" t="str">
        <x:f>IF(A919="","",IF(ISNUMBER(SEARCH("Occurrence verified",E919)),"Occurrence verified",E919))</x:f>
      </x:c>
      <x:c r="S919" s="79" t="str">
        <x:f>IF(A919="","",Events!X918)</x:f>
      </x:c>
      <x:c r="Z919" s="79" t="str">
        <x:f>IF(A919="","",Events!AD918)</x:f>
      </x:c>
      <x:c r="AA919" s="79" t="str">
        <x:f>IF(A919="","",Events!AE918)</x:f>
      </x:c>
    </x:row>
    <x:row r="920">
      <x:c r="A920" s="16" t="str">
        <x:f>IF(Events!A919="","",Events!A919)</x:f>
      </x:c>
      <x:c r="B920" s="16" t="str">
        <x:f>IF(A920="","",Events!B919)</x:f>
      </x:c>
      <x:c r="C920" s="16" t="str">
        <x:f>IF(A920="","",Events!E919)</x:f>
      </x:c>
      <x:c r="D920" s="16" t="str">
        <x:f>IF(A920="","",Events!J919)</x:f>
      </x:c>
      <x:c r="E920" s="16" t="str">
        <x:f>IF(A920="","",Events!N919)</x:f>
      </x:c>
      <x:c r="F920" s="109" t="str">
        <x:f>IF(OR(A920="",Events!H919=""),"",Events!H919)</x:f>
      </x:c>
      <x:c r="G920" s="109" t="str">
        <x:f>IF(A920="","",IF(Events!I919&lt;&gt;"",Events!I919,IF(Events!S919&lt;&gt;"",Events!S919,"")))</x:f>
      </x:c>
      <x:c r="H920" s="16" t="str">
        <x:f>IF(A920="","",Events!W919)</x:f>
      </x:c>
      <x:c r="I920" s="16" t="str">
        <x:f>IF(A920="","",IF(Events!Y919&lt;&gt;"",Events!Y919,IF(OR(ISNUMBER(SEARCH("education",P920)),ISNUMBER(SEARCH("exam",P920)),ISNUMBER(SEARCH("school",P920))),"Education",IF(OR(ISNUMBER(SEARCH("trade agreement",P920)),ISNUMBER(SEARCH("economic",P920)),ISNUMBER(SEARCH("import",P920))),"Trade &amp; economic policy",IF(OR(ISNUMBER(SEARCH("land acquisition",P920)),ISNUMBER(SEARCH("rehabilitation",P920)),ISNUMBER(SEARCH("displacement",P920)),ISNUMBER(SEARCH("township",P920))),"Land &amp; rehabilitation",IF(OR(ISNUMBER(SEARCH("forest",P920)),ISNUMBER(SEARCH("environment",P920)),ISNUMBER(SEARCH("ecological",P920)),ISNUMBER(SEARCH("biodiversity",P920)),ISNUMBER(SEARCH("green cover",P920))),"Environment",IF(OR(ISNUMBER(SEARCH("irrigation",P920)),ISNUMBER(SEARCH("water",P920)),ISNUMBER(SEARCH("crop",P920)),ISNUMBER(SEARCH("farmer",P920)),ISNUMBER(SEARCH("agriculture",P920))),"Agriculture &amp; water",IF(OR(ISNUMBER(SEARCH("health",P920)),ISNUMBER(SEARCH("hospital",P920)),ISNUMBER(SEARCH("medicine",P920))),"Public health",IF(OR(ISNUMBER(SEARCH("employee",P920)),ISNUMBER(SEARCH("labour",P920)),ISNUMBER(SEARCH("worker",P920)),ISNUMBER(SEARCH("salary",P920))),"Labour &amp; employment",IF(OR(ISNUMBER(SEARCH("rti",P920)),ISNUMBER(SEARCH("transparency",P920)),ISNUMBER(SEARCH("corruption",P920)),ISNUMBER(SEARCH("governance",P920))),"Governance &amp; transparency",IF(OR(ISNUMBER(SEARCH("police",P920)),ISNUMBER(SEARCH("detention",P920)),ISNUMBER(SEARCH("civil rights",P920)),ISNUMBER(SEARCH("justice",P920))),"Civil rights &amp; justice",IF(OR(ISNUMBER(SEARCH("road",P920)),ISNUMBER(SEARCH("utility",P920)),ISNUMBER(SEARCH("infrastructure",P920)),ISNUMBER(SEARCH("public service",P920))),"Infrastructure &amp; public services","Other"))))))))))))</x:f>
      </x:c>
      <x:c r="J920" s="16" t="str">
        <x:f>IF(A920="","",IF(OR(ISNUMBER(SEARCH("fatal",Q920)),ISNUMBER(SEARCH("death",Q920)),ISNUMBER(SEARCH("riot",Q920)),ISNUMBER(SEARCH("curfew",Q920)),ISNUMBER(SEARCH("internet shutdown",Q920))),5,MIN(4,1+IF(H920&gt;=7,1,0)+IF(OR(ISNUMBER(SEARCH("hunger strike",Q920)),ISNUMBER(SEARCH("blockade",Q920)),ISNUMBER(SEARCH("strike",Q920)),ISNUMBER(SEARCH("jal satyagraha",Q920)),ISNUMBER(SEARCH("survey",Q920)),ISNUMBER(SEARCH("human chain",Q920)),ISNUMBER(SEARCH("march",Q920))),1,0)+IF(OR(ISNUMBER(SEARCH("fir",Q920)),ISNUMBER(SEARCH("confrontation",Q920)),ISNUMBER(SEARCH("violence",Q920)),ISNUMBER(SEARCH("detention",Q920)),ISNUMBER(SEARCH("arrest",Q920)),ISNUMBER(SEARCH("demolition",Q920)),ISNUMBER(SEARCH("injury",Q920))),1,0)+IF(OR(D920="Ongoing",D920="Unresolved"),1,0))))</x:f>
      </x:c>
      <x:c r="K920" s="16" t="str">
        <x:f>IF(J920="","",IF(J920=1,"Limited",IF(J920=2,"Local",IF(J920=3,"Significant",IF(J920=4,"High","Critical")))))</x:f>
      </x:c>
      <x:c r="L920" s="16" t="str">
        <x:f>IF(A920="","",Events!U919)</x:f>
      </x:c>
      <x:c r="M920" s="16" t="str">
        <x:f>IF(A920="","",Events!V919)</x:f>
      </x:c>
      <x:c r="N920" s="16" t="str">
        <x:f>IF(A920="","",Events!Q919)</x:f>
      </x:c>
      <x:c r="O920" s="16" t="str">
        <x:f>IF(A920="","",Events!R919)</x:f>
      </x:c>
      <x:c r="P920" s="16" t="str">
        <x:f>IF(A920="","",LOWER(Events!B919&amp;" "&amp;Events!D919&amp;" "&amp;Events!K919))</x:f>
      </x:c>
      <x:c r="Q920" s="16" t="str">
        <x:f>IF(A920="","",LOWER(Events!C919&amp;" "&amp;Events!K919&amp;" "&amp;Events!T919))</x:f>
      </x:c>
      <x:c r="R920" s="16" t="str">
        <x:f>IF(A920="","",IF(ISNUMBER(SEARCH("Occurrence verified",E920)),"Occurrence verified",E920))</x:f>
      </x:c>
      <x:c r="S920" s="79" t="str">
        <x:f>IF(A920="","",Events!X919)</x:f>
      </x:c>
      <x:c r="Z920" s="79" t="str">
        <x:f>IF(A920="","",Events!AD919)</x:f>
      </x:c>
      <x:c r="AA920" s="79" t="str">
        <x:f>IF(A920="","",Events!AE919)</x:f>
      </x:c>
    </x:row>
    <x:row r="921">
      <x:c r="A921" s="16" t="str">
        <x:f>IF(Events!A920="","",Events!A920)</x:f>
      </x:c>
      <x:c r="B921" s="16" t="str">
        <x:f>IF(A921="","",Events!B920)</x:f>
      </x:c>
      <x:c r="C921" s="16" t="str">
        <x:f>IF(A921="","",Events!E920)</x:f>
      </x:c>
      <x:c r="D921" s="16" t="str">
        <x:f>IF(A921="","",Events!J920)</x:f>
      </x:c>
      <x:c r="E921" s="16" t="str">
        <x:f>IF(A921="","",Events!N920)</x:f>
      </x:c>
      <x:c r="F921" s="109" t="str">
        <x:f>IF(OR(A921="",Events!H920=""),"",Events!H920)</x:f>
      </x:c>
      <x:c r="G921" s="109" t="str">
        <x:f>IF(A921="","",IF(Events!I920&lt;&gt;"",Events!I920,IF(Events!S920&lt;&gt;"",Events!S920,"")))</x:f>
      </x:c>
      <x:c r="H921" s="16" t="str">
        <x:f>IF(A921="","",Events!W920)</x:f>
      </x:c>
      <x:c r="I921" s="16" t="str">
        <x:f>IF(A921="","",IF(Events!Y920&lt;&gt;"",Events!Y920,IF(OR(ISNUMBER(SEARCH("education",P921)),ISNUMBER(SEARCH("exam",P921)),ISNUMBER(SEARCH("school",P921))),"Education",IF(OR(ISNUMBER(SEARCH("trade agreement",P921)),ISNUMBER(SEARCH("economic",P921)),ISNUMBER(SEARCH("import",P921))),"Trade &amp; economic policy",IF(OR(ISNUMBER(SEARCH("land acquisition",P921)),ISNUMBER(SEARCH("rehabilitation",P921)),ISNUMBER(SEARCH("displacement",P921)),ISNUMBER(SEARCH("township",P921))),"Land &amp; rehabilitation",IF(OR(ISNUMBER(SEARCH("forest",P921)),ISNUMBER(SEARCH("environment",P921)),ISNUMBER(SEARCH("ecological",P921)),ISNUMBER(SEARCH("biodiversity",P921)),ISNUMBER(SEARCH("green cover",P921))),"Environment",IF(OR(ISNUMBER(SEARCH("irrigation",P921)),ISNUMBER(SEARCH("water",P921)),ISNUMBER(SEARCH("crop",P921)),ISNUMBER(SEARCH("farmer",P921)),ISNUMBER(SEARCH("agriculture",P921))),"Agriculture &amp; water",IF(OR(ISNUMBER(SEARCH("health",P921)),ISNUMBER(SEARCH("hospital",P921)),ISNUMBER(SEARCH("medicine",P921))),"Public health",IF(OR(ISNUMBER(SEARCH("employee",P921)),ISNUMBER(SEARCH("labour",P921)),ISNUMBER(SEARCH("worker",P921)),ISNUMBER(SEARCH("salary",P921))),"Labour &amp; employment",IF(OR(ISNUMBER(SEARCH("rti",P921)),ISNUMBER(SEARCH("transparency",P921)),ISNUMBER(SEARCH("corruption",P921)),ISNUMBER(SEARCH("governance",P921))),"Governance &amp; transparency",IF(OR(ISNUMBER(SEARCH("police",P921)),ISNUMBER(SEARCH("detention",P921)),ISNUMBER(SEARCH("civil rights",P921)),ISNUMBER(SEARCH("justice",P921))),"Civil rights &amp; justice",IF(OR(ISNUMBER(SEARCH("road",P921)),ISNUMBER(SEARCH("utility",P921)),ISNUMBER(SEARCH("infrastructure",P921)),ISNUMBER(SEARCH("public service",P921))),"Infrastructure &amp; public services","Other"))))))))))))</x:f>
      </x:c>
      <x:c r="J921" s="16" t="str">
        <x:f>IF(A921="","",IF(OR(ISNUMBER(SEARCH("fatal",Q921)),ISNUMBER(SEARCH("death",Q921)),ISNUMBER(SEARCH("riot",Q921)),ISNUMBER(SEARCH("curfew",Q921)),ISNUMBER(SEARCH("internet shutdown",Q921))),5,MIN(4,1+IF(H921&gt;=7,1,0)+IF(OR(ISNUMBER(SEARCH("hunger strike",Q921)),ISNUMBER(SEARCH("blockade",Q921)),ISNUMBER(SEARCH("strike",Q921)),ISNUMBER(SEARCH("jal satyagraha",Q921)),ISNUMBER(SEARCH("survey",Q921)),ISNUMBER(SEARCH("human chain",Q921)),ISNUMBER(SEARCH("march",Q921))),1,0)+IF(OR(ISNUMBER(SEARCH("fir",Q921)),ISNUMBER(SEARCH("confrontation",Q921)),ISNUMBER(SEARCH("violence",Q921)),ISNUMBER(SEARCH("detention",Q921)),ISNUMBER(SEARCH("arrest",Q921)),ISNUMBER(SEARCH("demolition",Q921)),ISNUMBER(SEARCH("injury",Q921))),1,0)+IF(OR(D921="Ongoing",D921="Unresolved"),1,0))))</x:f>
      </x:c>
      <x:c r="K921" s="16" t="str">
        <x:f>IF(J921="","",IF(J921=1,"Limited",IF(J921=2,"Local",IF(J921=3,"Significant",IF(J921=4,"High","Critical")))))</x:f>
      </x:c>
      <x:c r="L921" s="16" t="str">
        <x:f>IF(A921="","",Events!U920)</x:f>
      </x:c>
      <x:c r="M921" s="16" t="str">
        <x:f>IF(A921="","",Events!V920)</x:f>
      </x:c>
      <x:c r="N921" s="16" t="str">
        <x:f>IF(A921="","",Events!Q920)</x:f>
      </x:c>
      <x:c r="O921" s="16" t="str">
        <x:f>IF(A921="","",Events!R920)</x:f>
      </x:c>
      <x:c r="P921" s="16" t="str">
        <x:f>IF(A921="","",LOWER(Events!B920&amp;" "&amp;Events!D920&amp;" "&amp;Events!K920))</x:f>
      </x:c>
      <x:c r="Q921" s="16" t="str">
        <x:f>IF(A921="","",LOWER(Events!C920&amp;" "&amp;Events!K920&amp;" "&amp;Events!T920))</x:f>
      </x:c>
      <x:c r="R921" s="16" t="str">
        <x:f>IF(A921="","",IF(ISNUMBER(SEARCH("Occurrence verified",E921)),"Occurrence verified",E921))</x:f>
      </x:c>
      <x:c r="S921" s="79" t="str">
        <x:f>IF(A921="","",Events!X920)</x:f>
      </x:c>
      <x:c r="Z921" s="79" t="str">
        <x:f>IF(A921="","",Events!AD920)</x:f>
      </x:c>
      <x:c r="AA921" s="79" t="str">
        <x:f>IF(A921="","",Events!AE920)</x:f>
      </x:c>
    </x:row>
    <x:row r="922">
      <x:c r="A922" s="16" t="str">
        <x:f>IF(Events!A921="","",Events!A921)</x:f>
      </x:c>
      <x:c r="B922" s="16" t="str">
        <x:f>IF(A922="","",Events!B921)</x:f>
      </x:c>
      <x:c r="C922" s="16" t="str">
        <x:f>IF(A922="","",Events!E921)</x:f>
      </x:c>
      <x:c r="D922" s="16" t="str">
        <x:f>IF(A922="","",Events!J921)</x:f>
      </x:c>
      <x:c r="E922" s="16" t="str">
        <x:f>IF(A922="","",Events!N921)</x:f>
      </x:c>
      <x:c r="F922" s="109" t="str">
        <x:f>IF(OR(A922="",Events!H921=""),"",Events!H921)</x:f>
      </x:c>
      <x:c r="G922" s="109" t="str">
        <x:f>IF(A922="","",IF(Events!I921&lt;&gt;"",Events!I921,IF(Events!S921&lt;&gt;"",Events!S921,"")))</x:f>
      </x:c>
      <x:c r="H922" s="16" t="str">
        <x:f>IF(A922="","",Events!W921)</x:f>
      </x:c>
      <x:c r="I922" s="16" t="str">
        <x:f>IF(A922="","",IF(Events!Y921&lt;&gt;"",Events!Y921,IF(OR(ISNUMBER(SEARCH("education",P922)),ISNUMBER(SEARCH("exam",P922)),ISNUMBER(SEARCH("school",P922))),"Education",IF(OR(ISNUMBER(SEARCH("trade agreement",P922)),ISNUMBER(SEARCH("economic",P922)),ISNUMBER(SEARCH("import",P922))),"Trade &amp; economic policy",IF(OR(ISNUMBER(SEARCH("land acquisition",P922)),ISNUMBER(SEARCH("rehabilitation",P922)),ISNUMBER(SEARCH("displacement",P922)),ISNUMBER(SEARCH("township",P922))),"Land &amp; rehabilitation",IF(OR(ISNUMBER(SEARCH("forest",P922)),ISNUMBER(SEARCH("environment",P922)),ISNUMBER(SEARCH("ecological",P922)),ISNUMBER(SEARCH("biodiversity",P922)),ISNUMBER(SEARCH("green cover",P922))),"Environment",IF(OR(ISNUMBER(SEARCH("irrigation",P922)),ISNUMBER(SEARCH("water",P922)),ISNUMBER(SEARCH("crop",P922)),ISNUMBER(SEARCH("farmer",P922)),ISNUMBER(SEARCH("agriculture",P922))),"Agriculture &amp; water",IF(OR(ISNUMBER(SEARCH("health",P922)),ISNUMBER(SEARCH("hospital",P922)),ISNUMBER(SEARCH("medicine",P922))),"Public health",IF(OR(ISNUMBER(SEARCH("employee",P922)),ISNUMBER(SEARCH("labour",P922)),ISNUMBER(SEARCH("worker",P922)),ISNUMBER(SEARCH("salary",P922))),"Labour &amp; employment",IF(OR(ISNUMBER(SEARCH("rti",P922)),ISNUMBER(SEARCH("transparency",P922)),ISNUMBER(SEARCH("corruption",P922)),ISNUMBER(SEARCH("governance",P922))),"Governance &amp; transparency",IF(OR(ISNUMBER(SEARCH("police",P922)),ISNUMBER(SEARCH("detention",P922)),ISNUMBER(SEARCH("civil rights",P922)),ISNUMBER(SEARCH("justice",P922))),"Civil rights &amp; justice",IF(OR(ISNUMBER(SEARCH("road",P922)),ISNUMBER(SEARCH("utility",P922)),ISNUMBER(SEARCH("infrastructure",P922)),ISNUMBER(SEARCH("public service",P922))),"Infrastructure &amp; public services","Other"))))))))))))</x:f>
      </x:c>
      <x:c r="J922" s="16" t="str">
        <x:f>IF(A922="","",IF(OR(ISNUMBER(SEARCH("fatal",Q922)),ISNUMBER(SEARCH("death",Q922)),ISNUMBER(SEARCH("riot",Q922)),ISNUMBER(SEARCH("curfew",Q922)),ISNUMBER(SEARCH("internet shutdown",Q922))),5,MIN(4,1+IF(H922&gt;=7,1,0)+IF(OR(ISNUMBER(SEARCH("hunger strike",Q922)),ISNUMBER(SEARCH("blockade",Q922)),ISNUMBER(SEARCH("strike",Q922)),ISNUMBER(SEARCH("jal satyagraha",Q922)),ISNUMBER(SEARCH("survey",Q922)),ISNUMBER(SEARCH("human chain",Q922)),ISNUMBER(SEARCH("march",Q922))),1,0)+IF(OR(ISNUMBER(SEARCH("fir",Q922)),ISNUMBER(SEARCH("confrontation",Q922)),ISNUMBER(SEARCH("violence",Q922)),ISNUMBER(SEARCH("detention",Q922)),ISNUMBER(SEARCH("arrest",Q922)),ISNUMBER(SEARCH("demolition",Q922)),ISNUMBER(SEARCH("injury",Q922))),1,0)+IF(OR(D922="Ongoing",D922="Unresolved"),1,0))))</x:f>
      </x:c>
      <x:c r="K922" s="16" t="str">
        <x:f>IF(J922="","",IF(J922=1,"Limited",IF(J922=2,"Local",IF(J922=3,"Significant",IF(J922=4,"High","Critical")))))</x:f>
      </x:c>
      <x:c r="L922" s="16" t="str">
        <x:f>IF(A922="","",Events!U921)</x:f>
      </x:c>
      <x:c r="M922" s="16" t="str">
        <x:f>IF(A922="","",Events!V921)</x:f>
      </x:c>
      <x:c r="N922" s="16" t="str">
        <x:f>IF(A922="","",Events!Q921)</x:f>
      </x:c>
      <x:c r="O922" s="16" t="str">
        <x:f>IF(A922="","",Events!R921)</x:f>
      </x:c>
      <x:c r="P922" s="16" t="str">
        <x:f>IF(A922="","",LOWER(Events!B921&amp;" "&amp;Events!D921&amp;" "&amp;Events!K921))</x:f>
      </x:c>
      <x:c r="Q922" s="16" t="str">
        <x:f>IF(A922="","",LOWER(Events!C921&amp;" "&amp;Events!K921&amp;" "&amp;Events!T921))</x:f>
      </x:c>
      <x:c r="R922" s="16" t="str">
        <x:f>IF(A922="","",IF(ISNUMBER(SEARCH("Occurrence verified",E922)),"Occurrence verified",E922))</x:f>
      </x:c>
      <x:c r="S922" s="79" t="str">
        <x:f>IF(A922="","",Events!X921)</x:f>
      </x:c>
      <x:c r="Z922" s="79" t="str">
        <x:f>IF(A922="","",Events!AD921)</x:f>
      </x:c>
      <x:c r="AA922" s="79" t="str">
        <x:f>IF(A922="","",Events!AE921)</x:f>
      </x:c>
    </x:row>
    <x:row r="923">
      <x:c r="A923" s="16" t="str">
        <x:f>IF(Events!A922="","",Events!A922)</x:f>
      </x:c>
      <x:c r="B923" s="16" t="str">
        <x:f>IF(A923="","",Events!B922)</x:f>
      </x:c>
      <x:c r="C923" s="16" t="str">
        <x:f>IF(A923="","",Events!E922)</x:f>
      </x:c>
      <x:c r="D923" s="16" t="str">
        <x:f>IF(A923="","",Events!J922)</x:f>
      </x:c>
      <x:c r="E923" s="16" t="str">
        <x:f>IF(A923="","",Events!N922)</x:f>
      </x:c>
      <x:c r="F923" s="109" t="str">
        <x:f>IF(OR(A923="",Events!H922=""),"",Events!H922)</x:f>
      </x:c>
      <x:c r="G923" s="109" t="str">
        <x:f>IF(A923="","",IF(Events!I922&lt;&gt;"",Events!I922,IF(Events!S922&lt;&gt;"",Events!S922,"")))</x:f>
      </x:c>
      <x:c r="H923" s="16" t="str">
        <x:f>IF(A923="","",Events!W922)</x:f>
      </x:c>
      <x:c r="I923" s="16" t="str">
        <x:f>IF(A923="","",IF(Events!Y922&lt;&gt;"",Events!Y922,IF(OR(ISNUMBER(SEARCH("education",P923)),ISNUMBER(SEARCH("exam",P923)),ISNUMBER(SEARCH("school",P923))),"Education",IF(OR(ISNUMBER(SEARCH("trade agreement",P923)),ISNUMBER(SEARCH("economic",P923)),ISNUMBER(SEARCH("import",P923))),"Trade &amp; economic policy",IF(OR(ISNUMBER(SEARCH("land acquisition",P923)),ISNUMBER(SEARCH("rehabilitation",P923)),ISNUMBER(SEARCH("displacement",P923)),ISNUMBER(SEARCH("township",P923))),"Land &amp; rehabilitation",IF(OR(ISNUMBER(SEARCH("forest",P923)),ISNUMBER(SEARCH("environment",P923)),ISNUMBER(SEARCH("ecological",P923)),ISNUMBER(SEARCH("biodiversity",P923)),ISNUMBER(SEARCH("green cover",P923))),"Environment",IF(OR(ISNUMBER(SEARCH("irrigation",P923)),ISNUMBER(SEARCH("water",P923)),ISNUMBER(SEARCH("crop",P923)),ISNUMBER(SEARCH("farmer",P923)),ISNUMBER(SEARCH("agriculture",P923))),"Agriculture &amp; water",IF(OR(ISNUMBER(SEARCH("health",P923)),ISNUMBER(SEARCH("hospital",P923)),ISNUMBER(SEARCH("medicine",P923))),"Public health",IF(OR(ISNUMBER(SEARCH("employee",P923)),ISNUMBER(SEARCH("labour",P923)),ISNUMBER(SEARCH("worker",P923)),ISNUMBER(SEARCH("salary",P923))),"Labour &amp; employment",IF(OR(ISNUMBER(SEARCH("rti",P923)),ISNUMBER(SEARCH("transparency",P923)),ISNUMBER(SEARCH("corruption",P923)),ISNUMBER(SEARCH("governance",P923))),"Governance &amp; transparency",IF(OR(ISNUMBER(SEARCH("police",P923)),ISNUMBER(SEARCH("detention",P923)),ISNUMBER(SEARCH("civil rights",P923)),ISNUMBER(SEARCH("justice",P923))),"Civil rights &amp; justice",IF(OR(ISNUMBER(SEARCH("road",P923)),ISNUMBER(SEARCH("utility",P923)),ISNUMBER(SEARCH("infrastructure",P923)),ISNUMBER(SEARCH("public service",P923))),"Infrastructure &amp; public services","Other"))))))))))))</x:f>
      </x:c>
      <x:c r="J923" s="16" t="str">
        <x:f>IF(A923="","",IF(OR(ISNUMBER(SEARCH("fatal",Q923)),ISNUMBER(SEARCH("death",Q923)),ISNUMBER(SEARCH("riot",Q923)),ISNUMBER(SEARCH("curfew",Q923)),ISNUMBER(SEARCH("internet shutdown",Q923))),5,MIN(4,1+IF(H923&gt;=7,1,0)+IF(OR(ISNUMBER(SEARCH("hunger strike",Q923)),ISNUMBER(SEARCH("blockade",Q923)),ISNUMBER(SEARCH("strike",Q923)),ISNUMBER(SEARCH("jal satyagraha",Q923)),ISNUMBER(SEARCH("survey",Q923)),ISNUMBER(SEARCH("human chain",Q923)),ISNUMBER(SEARCH("march",Q923))),1,0)+IF(OR(ISNUMBER(SEARCH("fir",Q923)),ISNUMBER(SEARCH("confrontation",Q923)),ISNUMBER(SEARCH("violence",Q923)),ISNUMBER(SEARCH("detention",Q923)),ISNUMBER(SEARCH("arrest",Q923)),ISNUMBER(SEARCH("demolition",Q923)),ISNUMBER(SEARCH("injury",Q923))),1,0)+IF(OR(D923="Ongoing",D923="Unresolved"),1,0))))</x:f>
      </x:c>
      <x:c r="K923" s="16" t="str">
        <x:f>IF(J923="","",IF(J923=1,"Limited",IF(J923=2,"Local",IF(J923=3,"Significant",IF(J923=4,"High","Critical")))))</x:f>
      </x:c>
      <x:c r="L923" s="16" t="str">
        <x:f>IF(A923="","",Events!U922)</x:f>
      </x:c>
      <x:c r="M923" s="16" t="str">
        <x:f>IF(A923="","",Events!V922)</x:f>
      </x:c>
      <x:c r="N923" s="16" t="str">
        <x:f>IF(A923="","",Events!Q922)</x:f>
      </x:c>
      <x:c r="O923" s="16" t="str">
        <x:f>IF(A923="","",Events!R922)</x:f>
      </x:c>
      <x:c r="P923" s="16" t="str">
        <x:f>IF(A923="","",LOWER(Events!B922&amp;" "&amp;Events!D922&amp;" "&amp;Events!K922))</x:f>
      </x:c>
      <x:c r="Q923" s="16" t="str">
        <x:f>IF(A923="","",LOWER(Events!C922&amp;" "&amp;Events!K922&amp;" "&amp;Events!T922))</x:f>
      </x:c>
      <x:c r="R923" s="16" t="str">
        <x:f>IF(A923="","",IF(ISNUMBER(SEARCH("Occurrence verified",E923)),"Occurrence verified",E923))</x:f>
      </x:c>
      <x:c r="S923" s="79" t="str">
        <x:f>IF(A923="","",Events!X922)</x:f>
      </x:c>
      <x:c r="Z923" s="79" t="str">
        <x:f>IF(A923="","",Events!AD922)</x:f>
      </x:c>
      <x:c r="AA923" s="79" t="str">
        <x:f>IF(A923="","",Events!AE922)</x:f>
      </x:c>
    </x:row>
    <x:row r="924">
      <x:c r="A924" s="16" t="str">
        <x:f>IF(Events!A923="","",Events!A923)</x:f>
      </x:c>
      <x:c r="B924" s="16" t="str">
        <x:f>IF(A924="","",Events!B923)</x:f>
      </x:c>
      <x:c r="C924" s="16" t="str">
        <x:f>IF(A924="","",Events!E923)</x:f>
      </x:c>
      <x:c r="D924" s="16" t="str">
        <x:f>IF(A924="","",Events!J923)</x:f>
      </x:c>
      <x:c r="E924" s="16" t="str">
        <x:f>IF(A924="","",Events!N923)</x:f>
      </x:c>
      <x:c r="F924" s="109" t="str">
        <x:f>IF(OR(A924="",Events!H923=""),"",Events!H923)</x:f>
      </x:c>
      <x:c r="G924" s="109" t="str">
        <x:f>IF(A924="","",IF(Events!I923&lt;&gt;"",Events!I923,IF(Events!S923&lt;&gt;"",Events!S923,"")))</x:f>
      </x:c>
      <x:c r="H924" s="16" t="str">
        <x:f>IF(A924="","",Events!W923)</x:f>
      </x:c>
      <x:c r="I924" s="16" t="str">
        <x:f>IF(A924="","",IF(Events!Y923&lt;&gt;"",Events!Y923,IF(OR(ISNUMBER(SEARCH("education",P924)),ISNUMBER(SEARCH("exam",P924)),ISNUMBER(SEARCH("school",P924))),"Education",IF(OR(ISNUMBER(SEARCH("trade agreement",P924)),ISNUMBER(SEARCH("economic",P924)),ISNUMBER(SEARCH("import",P924))),"Trade &amp; economic policy",IF(OR(ISNUMBER(SEARCH("land acquisition",P924)),ISNUMBER(SEARCH("rehabilitation",P924)),ISNUMBER(SEARCH("displacement",P924)),ISNUMBER(SEARCH("township",P924))),"Land &amp; rehabilitation",IF(OR(ISNUMBER(SEARCH("forest",P924)),ISNUMBER(SEARCH("environment",P924)),ISNUMBER(SEARCH("ecological",P924)),ISNUMBER(SEARCH("biodiversity",P924)),ISNUMBER(SEARCH("green cover",P924))),"Environment",IF(OR(ISNUMBER(SEARCH("irrigation",P924)),ISNUMBER(SEARCH("water",P924)),ISNUMBER(SEARCH("crop",P924)),ISNUMBER(SEARCH("farmer",P924)),ISNUMBER(SEARCH("agriculture",P924))),"Agriculture &amp; water",IF(OR(ISNUMBER(SEARCH("health",P924)),ISNUMBER(SEARCH("hospital",P924)),ISNUMBER(SEARCH("medicine",P924))),"Public health",IF(OR(ISNUMBER(SEARCH("employee",P924)),ISNUMBER(SEARCH("labour",P924)),ISNUMBER(SEARCH("worker",P924)),ISNUMBER(SEARCH("salary",P924))),"Labour &amp; employment",IF(OR(ISNUMBER(SEARCH("rti",P924)),ISNUMBER(SEARCH("transparency",P924)),ISNUMBER(SEARCH("corruption",P924)),ISNUMBER(SEARCH("governance",P924))),"Governance &amp; transparency",IF(OR(ISNUMBER(SEARCH("police",P924)),ISNUMBER(SEARCH("detention",P924)),ISNUMBER(SEARCH("civil rights",P924)),ISNUMBER(SEARCH("justice",P924))),"Civil rights &amp; justice",IF(OR(ISNUMBER(SEARCH("road",P924)),ISNUMBER(SEARCH("utility",P924)),ISNUMBER(SEARCH("infrastructure",P924)),ISNUMBER(SEARCH("public service",P924))),"Infrastructure &amp; public services","Other"))))))))))))</x:f>
      </x:c>
      <x:c r="J924" s="16" t="str">
        <x:f>IF(A924="","",IF(OR(ISNUMBER(SEARCH("fatal",Q924)),ISNUMBER(SEARCH("death",Q924)),ISNUMBER(SEARCH("riot",Q924)),ISNUMBER(SEARCH("curfew",Q924)),ISNUMBER(SEARCH("internet shutdown",Q924))),5,MIN(4,1+IF(H924&gt;=7,1,0)+IF(OR(ISNUMBER(SEARCH("hunger strike",Q924)),ISNUMBER(SEARCH("blockade",Q924)),ISNUMBER(SEARCH("strike",Q924)),ISNUMBER(SEARCH("jal satyagraha",Q924)),ISNUMBER(SEARCH("survey",Q924)),ISNUMBER(SEARCH("human chain",Q924)),ISNUMBER(SEARCH("march",Q924))),1,0)+IF(OR(ISNUMBER(SEARCH("fir",Q924)),ISNUMBER(SEARCH("confrontation",Q924)),ISNUMBER(SEARCH("violence",Q924)),ISNUMBER(SEARCH("detention",Q924)),ISNUMBER(SEARCH("arrest",Q924)),ISNUMBER(SEARCH("demolition",Q924)),ISNUMBER(SEARCH("injury",Q924))),1,0)+IF(OR(D924="Ongoing",D924="Unresolved"),1,0))))</x:f>
      </x:c>
      <x:c r="K924" s="16" t="str">
        <x:f>IF(J924="","",IF(J924=1,"Limited",IF(J924=2,"Local",IF(J924=3,"Significant",IF(J924=4,"High","Critical")))))</x:f>
      </x:c>
      <x:c r="L924" s="16" t="str">
        <x:f>IF(A924="","",Events!U923)</x:f>
      </x:c>
      <x:c r="M924" s="16" t="str">
        <x:f>IF(A924="","",Events!V923)</x:f>
      </x:c>
      <x:c r="N924" s="16" t="str">
        <x:f>IF(A924="","",Events!Q923)</x:f>
      </x:c>
      <x:c r="O924" s="16" t="str">
        <x:f>IF(A924="","",Events!R923)</x:f>
      </x:c>
      <x:c r="P924" s="16" t="str">
        <x:f>IF(A924="","",LOWER(Events!B923&amp;" "&amp;Events!D923&amp;" "&amp;Events!K923))</x:f>
      </x:c>
      <x:c r="Q924" s="16" t="str">
        <x:f>IF(A924="","",LOWER(Events!C923&amp;" "&amp;Events!K923&amp;" "&amp;Events!T923))</x:f>
      </x:c>
      <x:c r="R924" s="16" t="str">
        <x:f>IF(A924="","",IF(ISNUMBER(SEARCH("Occurrence verified",E924)),"Occurrence verified",E924))</x:f>
      </x:c>
      <x:c r="S924" s="79" t="str">
        <x:f>IF(A924="","",Events!X923)</x:f>
      </x:c>
      <x:c r="Z924" s="79" t="str">
        <x:f>IF(A924="","",Events!AD923)</x:f>
      </x:c>
      <x:c r="AA924" s="79" t="str">
        <x:f>IF(A924="","",Events!AE923)</x:f>
      </x:c>
    </x:row>
    <x:row r="925">
      <x:c r="A925" s="16" t="str">
        <x:f>IF(Events!A924="","",Events!A924)</x:f>
      </x:c>
      <x:c r="B925" s="16" t="str">
        <x:f>IF(A925="","",Events!B924)</x:f>
      </x:c>
      <x:c r="C925" s="16" t="str">
        <x:f>IF(A925="","",Events!E924)</x:f>
      </x:c>
      <x:c r="D925" s="16" t="str">
        <x:f>IF(A925="","",Events!J924)</x:f>
      </x:c>
      <x:c r="E925" s="16" t="str">
        <x:f>IF(A925="","",Events!N924)</x:f>
      </x:c>
      <x:c r="F925" s="109" t="str">
        <x:f>IF(OR(A925="",Events!H924=""),"",Events!H924)</x:f>
      </x:c>
      <x:c r="G925" s="109" t="str">
        <x:f>IF(A925="","",IF(Events!I924&lt;&gt;"",Events!I924,IF(Events!S924&lt;&gt;"",Events!S924,"")))</x:f>
      </x:c>
      <x:c r="H925" s="16" t="str">
        <x:f>IF(A925="","",Events!W924)</x:f>
      </x:c>
      <x:c r="I925" s="16" t="str">
        <x:f>IF(A925="","",IF(Events!Y924&lt;&gt;"",Events!Y924,IF(OR(ISNUMBER(SEARCH("education",P925)),ISNUMBER(SEARCH("exam",P925)),ISNUMBER(SEARCH("school",P925))),"Education",IF(OR(ISNUMBER(SEARCH("trade agreement",P925)),ISNUMBER(SEARCH("economic",P925)),ISNUMBER(SEARCH("import",P925))),"Trade &amp; economic policy",IF(OR(ISNUMBER(SEARCH("land acquisition",P925)),ISNUMBER(SEARCH("rehabilitation",P925)),ISNUMBER(SEARCH("displacement",P925)),ISNUMBER(SEARCH("township",P925))),"Land &amp; rehabilitation",IF(OR(ISNUMBER(SEARCH("forest",P925)),ISNUMBER(SEARCH("environment",P925)),ISNUMBER(SEARCH("ecological",P925)),ISNUMBER(SEARCH("biodiversity",P925)),ISNUMBER(SEARCH("green cover",P925))),"Environment",IF(OR(ISNUMBER(SEARCH("irrigation",P925)),ISNUMBER(SEARCH("water",P925)),ISNUMBER(SEARCH("crop",P925)),ISNUMBER(SEARCH("farmer",P925)),ISNUMBER(SEARCH("agriculture",P925))),"Agriculture &amp; water",IF(OR(ISNUMBER(SEARCH("health",P925)),ISNUMBER(SEARCH("hospital",P925)),ISNUMBER(SEARCH("medicine",P925))),"Public health",IF(OR(ISNUMBER(SEARCH("employee",P925)),ISNUMBER(SEARCH("labour",P925)),ISNUMBER(SEARCH("worker",P925)),ISNUMBER(SEARCH("salary",P925))),"Labour &amp; employment",IF(OR(ISNUMBER(SEARCH("rti",P925)),ISNUMBER(SEARCH("transparency",P925)),ISNUMBER(SEARCH("corruption",P925)),ISNUMBER(SEARCH("governance",P925))),"Governance &amp; transparency",IF(OR(ISNUMBER(SEARCH("police",P925)),ISNUMBER(SEARCH("detention",P925)),ISNUMBER(SEARCH("civil rights",P925)),ISNUMBER(SEARCH("justice",P925))),"Civil rights &amp; justice",IF(OR(ISNUMBER(SEARCH("road",P925)),ISNUMBER(SEARCH("utility",P925)),ISNUMBER(SEARCH("infrastructure",P925)),ISNUMBER(SEARCH("public service",P925))),"Infrastructure &amp; public services","Other"))))))))))))</x:f>
      </x:c>
      <x:c r="J925" s="16" t="str">
        <x:f>IF(A925="","",IF(OR(ISNUMBER(SEARCH("fatal",Q925)),ISNUMBER(SEARCH("death",Q925)),ISNUMBER(SEARCH("riot",Q925)),ISNUMBER(SEARCH("curfew",Q925)),ISNUMBER(SEARCH("internet shutdown",Q925))),5,MIN(4,1+IF(H925&gt;=7,1,0)+IF(OR(ISNUMBER(SEARCH("hunger strike",Q925)),ISNUMBER(SEARCH("blockade",Q925)),ISNUMBER(SEARCH("strike",Q925)),ISNUMBER(SEARCH("jal satyagraha",Q925)),ISNUMBER(SEARCH("survey",Q925)),ISNUMBER(SEARCH("human chain",Q925)),ISNUMBER(SEARCH("march",Q925))),1,0)+IF(OR(ISNUMBER(SEARCH("fir",Q925)),ISNUMBER(SEARCH("confrontation",Q925)),ISNUMBER(SEARCH("violence",Q925)),ISNUMBER(SEARCH("detention",Q925)),ISNUMBER(SEARCH("arrest",Q925)),ISNUMBER(SEARCH("demolition",Q925)),ISNUMBER(SEARCH("injury",Q925))),1,0)+IF(OR(D925="Ongoing",D925="Unresolved"),1,0))))</x:f>
      </x:c>
      <x:c r="K925" s="16" t="str">
        <x:f>IF(J925="","",IF(J925=1,"Limited",IF(J925=2,"Local",IF(J925=3,"Significant",IF(J925=4,"High","Critical")))))</x:f>
      </x:c>
      <x:c r="L925" s="16" t="str">
        <x:f>IF(A925="","",Events!U924)</x:f>
      </x:c>
      <x:c r="M925" s="16" t="str">
        <x:f>IF(A925="","",Events!V924)</x:f>
      </x:c>
      <x:c r="N925" s="16" t="str">
        <x:f>IF(A925="","",Events!Q924)</x:f>
      </x:c>
      <x:c r="O925" s="16" t="str">
        <x:f>IF(A925="","",Events!R924)</x:f>
      </x:c>
      <x:c r="P925" s="16" t="str">
        <x:f>IF(A925="","",LOWER(Events!B924&amp;" "&amp;Events!D924&amp;" "&amp;Events!K924))</x:f>
      </x:c>
      <x:c r="Q925" s="16" t="str">
        <x:f>IF(A925="","",LOWER(Events!C924&amp;" "&amp;Events!K924&amp;" "&amp;Events!T924))</x:f>
      </x:c>
      <x:c r="R925" s="16" t="str">
        <x:f>IF(A925="","",IF(ISNUMBER(SEARCH("Occurrence verified",E925)),"Occurrence verified",E925))</x:f>
      </x:c>
      <x:c r="S925" s="79" t="str">
        <x:f>IF(A925="","",Events!X924)</x:f>
      </x:c>
      <x:c r="Z925" s="79" t="str">
        <x:f>IF(A925="","",Events!AD924)</x:f>
      </x:c>
      <x:c r="AA925" s="79" t="str">
        <x:f>IF(A925="","",Events!AE924)</x:f>
      </x:c>
    </x:row>
    <x:row r="926">
      <x:c r="A926" s="16" t="str">
        <x:f>IF(Events!A925="","",Events!A925)</x:f>
      </x:c>
      <x:c r="B926" s="16" t="str">
        <x:f>IF(A926="","",Events!B925)</x:f>
      </x:c>
      <x:c r="C926" s="16" t="str">
        <x:f>IF(A926="","",Events!E925)</x:f>
      </x:c>
      <x:c r="D926" s="16" t="str">
        <x:f>IF(A926="","",Events!J925)</x:f>
      </x:c>
      <x:c r="E926" s="16" t="str">
        <x:f>IF(A926="","",Events!N925)</x:f>
      </x:c>
      <x:c r="F926" s="109" t="str">
        <x:f>IF(OR(A926="",Events!H925=""),"",Events!H925)</x:f>
      </x:c>
      <x:c r="G926" s="109" t="str">
        <x:f>IF(A926="","",IF(Events!I925&lt;&gt;"",Events!I925,IF(Events!S925&lt;&gt;"",Events!S925,"")))</x:f>
      </x:c>
      <x:c r="H926" s="16" t="str">
        <x:f>IF(A926="","",Events!W925)</x:f>
      </x:c>
      <x:c r="I926" s="16" t="str">
        <x:f>IF(A926="","",IF(Events!Y925&lt;&gt;"",Events!Y925,IF(OR(ISNUMBER(SEARCH("education",P926)),ISNUMBER(SEARCH("exam",P926)),ISNUMBER(SEARCH("school",P926))),"Education",IF(OR(ISNUMBER(SEARCH("trade agreement",P926)),ISNUMBER(SEARCH("economic",P926)),ISNUMBER(SEARCH("import",P926))),"Trade &amp; economic policy",IF(OR(ISNUMBER(SEARCH("land acquisition",P926)),ISNUMBER(SEARCH("rehabilitation",P926)),ISNUMBER(SEARCH("displacement",P926)),ISNUMBER(SEARCH("township",P926))),"Land &amp; rehabilitation",IF(OR(ISNUMBER(SEARCH("forest",P926)),ISNUMBER(SEARCH("environment",P926)),ISNUMBER(SEARCH("ecological",P926)),ISNUMBER(SEARCH("biodiversity",P926)),ISNUMBER(SEARCH("green cover",P926))),"Environment",IF(OR(ISNUMBER(SEARCH("irrigation",P926)),ISNUMBER(SEARCH("water",P926)),ISNUMBER(SEARCH("crop",P926)),ISNUMBER(SEARCH("farmer",P926)),ISNUMBER(SEARCH("agriculture",P926))),"Agriculture &amp; water",IF(OR(ISNUMBER(SEARCH("health",P926)),ISNUMBER(SEARCH("hospital",P926)),ISNUMBER(SEARCH("medicine",P926))),"Public health",IF(OR(ISNUMBER(SEARCH("employee",P926)),ISNUMBER(SEARCH("labour",P926)),ISNUMBER(SEARCH("worker",P926)),ISNUMBER(SEARCH("salary",P926))),"Labour &amp; employment",IF(OR(ISNUMBER(SEARCH("rti",P926)),ISNUMBER(SEARCH("transparency",P926)),ISNUMBER(SEARCH("corruption",P926)),ISNUMBER(SEARCH("governance",P926))),"Governance &amp; transparency",IF(OR(ISNUMBER(SEARCH("police",P926)),ISNUMBER(SEARCH("detention",P926)),ISNUMBER(SEARCH("civil rights",P926)),ISNUMBER(SEARCH("justice",P926))),"Civil rights &amp; justice",IF(OR(ISNUMBER(SEARCH("road",P926)),ISNUMBER(SEARCH("utility",P926)),ISNUMBER(SEARCH("infrastructure",P926)),ISNUMBER(SEARCH("public service",P926))),"Infrastructure &amp; public services","Other"))))))))))))</x:f>
      </x:c>
      <x:c r="J926" s="16" t="str">
        <x:f>IF(A926="","",IF(OR(ISNUMBER(SEARCH("fatal",Q926)),ISNUMBER(SEARCH("death",Q926)),ISNUMBER(SEARCH("riot",Q926)),ISNUMBER(SEARCH("curfew",Q926)),ISNUMBER(SEARCH("internet shutdown",Q926))),5,MIN(4,1+IF(H926&gt;=7,1,0)+IF(OR(ISNUMBER(SEARCH("hunger strike",Q926)),ISNUMBER(SEARCH("blockade",Q926)),ISNUMBER(SEARCH("strike",Q926)),ISNUMBER(SEARCH("jal satyagraha",Q926)),ISNUMBER(SEARCH("survey",Q926)),ISNUMBER(SEARCH("human chain",Q926)),ISNUMBER(SEARCH("march",Q926))),1,0)+IF(OR(ISNUMBER(SEARCH("fir",Q926)),ISNUMBER(SEARCH("confrontation",Q926)),ISNUMBER(SEARCH("violence",Q926)),ISNUMBER(SEARCH("detention",Q926)),ISNUMBER(SEARCH("arrest",Q926)),ISNUMBER(SEARCH("demolition",Q926)),ISNUMBER(SEARCH("injury",Q926))),1,0)+IF(OR(D926="Ongoing",D926="Unresolved"),1,0))))</x:f>
      </x:c>
      <x:c r="K926" s="16" t="str">
        <x:f>IF(J926="","",IF(J926=1,"Limited",IF(J926=2,"Local",IF(J926=3,"Significant",IF(J926=4,"High","Critical")))))</x:f>
      </x:c>
      <x:c r="L926" s="16" t="str">
        <x:f>IF(A926="","",Events!U925)</x:f>
      </x:c>
      <x:c r="M926" s="16" t="str">
        <x:f>IF(A926="","",Events!V925)</x:f>
      </x:c>
      <x:c r="N926" s="16" t="str">
        <x:f>IF(A926="","",Events!Q925)</x:f>
      </x:c>
      <x:c r="O926" s="16" t="str">
        <x:f>IF(A926="","",Events!R925)</x:f>
      </x:c>
      <x:c r="P926" s="16" t="str">
        <x:f>IF(A926="","",LOWER(Events!B925&amp;" "&amp;Events!D925&amp;" "&amp;Events!K925))</x:f>
      </x:c>
      <x:c r="Q926" s="16" t="str">
        <x:f>IF(A926="","",LOWER(Events!C925&amp;" "&amp;Events!K925&amp;" "&amp;Events!T925))</x:f>
      </x:c>
      <x:c r="R926" s="16" t="str">
        <x:f>IF(A926="","",IF(ISNUMBER(SEARCH("Occurrence verified",E926)),"Occurrence verified",E926))</x:f>
      </x:c>
      <x:c r="S926" s="79" t="str">
        <x:f>IF(A926="","",Events!X925)</x:f>
      </x:c>
      <x:c r="Z926" s="79" t="str">
        <x:f>IF(A926="","",Events!AD925)</x:f>
      </x:c>
      <x:c r="AA926" s="79" t="str">
        <x:f>IF(A926="","",Events!AE925)</x:f>
      </x:c>
    </x:row>
    <x:row r="927">
      <x:c r="A927" s="16" t="str">
        <x:f>IF(Events!A926="","",Events!A926)</x:f>
      </x:c>
      <x:c r="B927" s="16" t="str">
        <x:f>IF(A927="","",Events!B926)</x:f>
      </x:c>
      <x:c r="C927" s="16" t="str">
        <x:f>IF(A927="","",Events!E926)</x:f>
      </x:c>
      <x:c r="D927" s="16" t="str">
        <x:f>IF(A927="","",Events!J926)</x:f>
      </x:c>
      <x:c r="E927" s="16" t="str">
        <x:f>IF(A927="","",Events!N926)</x:f>
      </x:c>
      <x:c r="F927" s="109" t="str">
        <x:f>IF(OR(A927="",Events!H926=""),"",Events!H926)</x:f>
      </x:c>
      <x:c r="G927" s="109" t="str">
        <x:f>IF(A927="","",IF(Events!I926&lt;&gt;"",Events!I926,IF(Events!S926&lt;&gt;"",Events!S926,"")))</x:f>
      </x:c>
      <x:c r="H927" s="16" t="str">
        <x:f>IF(A927="","",Events!W926)</x:f>
      </x:c>
      <x:c r="I927" s="16" t="str">
        <x:f>IF(A927="","",IF(Events!Y926&lt;&gt;"",Events!Y926,IF(OR(ISNUMBER(SEARCH("education",P927)),ISNUMBER(SEARCH("exam",P927)),ISNUMBER(SEARCH("school",P927))),"Education",IF(OR(ISNUMBER(SEARCH("trade agreement",P927)),ISNUMBER(SEARCH("economic",P927)),ISNUMBER(SEARCH("import",P927))),"Trade &amp; economic policy",IF(OR(ISNUMBER(SEARCH("land acquisition",P927)),ISNUMBER(SEARCH("rehabilitation",P927)),ISNUMBER(SEARCH("displacement",P927)),ISNUMBER(SEARCH("township",P927))),"Land &amp; rehabilitation",IF(OR(ISNUMBER(SEARCH("forest",P927)),ISNUMBER(SEARCH("environment",P927)),ISNUMBER(SEARCH("ecological",P927)),ISNUMBER(SEARCH("biodiversity",P927)),ISNUMBER(SEARCH("green cover",P927))),"Environment",IF(OR(ISNUMBER(SEARCH("irrigation",P927)),ISNUMBER(SEARCH("water",P927)),ISNUMBER(SEARCH("crop",P927)),ISNUMBER(SEARCH("farmer",P927)),ISNUMBER(SEARCH("agriculture",P927))),"Agriculture &amp; water",IF(OR(ISNUMBER(SEARCH("health",P927)),ISNUMBER(SEARCH("hospital",P927)),ISNUMBER(SEARCH("medicine",P927))),"Public health",IF(OR(ISNUMBER(SEARCH("employee",P927)),ISNUMBER(SEARCH("labour",P927)),ISNUMBER(SEARCH("worker",P927)),ISNUMBER(SEARCH("salary",P927))),"Labour &amp; employment",IF(OR(ISNUMBER(SEARCH("rti",P927)),ISNUMBER(SEARCH("transparency",P927)),ISNUMBER(SEARCH("corruption",P927)),ISNUMBER(SEARCH("governance",P927))),"Governance &amp; transparency",IF(OR(ISNUMBER(SEARCH("police",P927)),ISNUMBER(SEARCH("detention",P927)),ISNUMBER(SEARCH("civil rights",P927)),ISNUMBER(SEARCH("justice",P927))),"Civil rights &amp; justice",IF(OR(ISNUMBER(SEARCH("road",P927)),ISNUMBER(SEARCH("utility",P927)),ISNUMBER(SEARCH("infrastructure",P927)),ISNUMBER(SEARCH("public service",P927))),"Infrastructure &amp; public services","Other"))))))))))))</x:f>
      </x:c>
      <x:c r="J927" s="16" t="str">
        <x:f>IF(A927="","",IF(OR(ISNUMBER(SEARCH("fatal",Q927)),ISNUMBER(SEARCH("death",Q927)),ISNUMBER(SEARCH("riot",Q927)),ISNUMBER(SEARCH("curfew",Q927)),ISNUMBER(SEARCH("internet shutdown",Q927))),5,MIN(4,1+IF(H927&gt;=7,1,0)+IF(OR(ISNUMBER(SEARCH("hunger strike",Q927)),ISNUMBER(SEARCH("blockade",Q927)),ISNUMBER(SEARCH("strike",Q927)),ISNUMBER(SEARCH("jal satyagraha",Q927)),ISNUMBER(SEARCH("survey",Q927)),ISNUMBER(SEARCH("human chain",Q927)),ISNUMBER(SEARCH("march",Q927))),1,0)+IF(OR(ISNUMBER(SEARCH("fir",Q927)),ISNUMBER(SEARCH("confrontation",Q927)),ISNUMBER(SEARCH("violence",Q927)),ISNUMBER(SEARCH("detention",Q927)),ISNUMBER(SEARCH("arrest",Q927)),ISNUMBER(SEARCH("demolition",Q927)),ISNUMBER(SEARCH("injury",Q927))),1,0)+IF(OR(D927="Ongoing",D927="Unresolved"),1,0))))</x:f>
      </x:c>
      <x:c r="K927" s="16" t="str">
        <x:f>IF(J927="","",IF(J927=1,"Limited",IF(J927=2,"Local",IF(J927=3,"Significant",IF(J927=4,"High","Critical")))))</x:f>
      </x:c>
      <x:c r="L927" s="16" t="str">
        <x:f>IF(A927="","",Events!U926)</x:f>
      </x:c>
      <x:c r="M927" s="16" t="str">
        <x:f>IF(A927="","",Events!V926)</x:f>
      </x:c>
      <x:c r="N927" s="16" t="str">
        <x:f>IF(A927="","",Events!Q926)</x:f>
      </x:c>
      <x:c r="O927" s="16" t="str">
        <x:f>IF(A927="","",Events!R926)</x:f>
      </x:c>
      <x:c r="P927" s="16" t="str">
        <x:f>IF(A927="","",LOWER(Events!B926&amp;" "&amp;Events!D926&amp;" "&amp;Events!K926))</x:f>
      </x:c>
      <x:c r="Q927" s="16" t="str">
        <x:f>IF(A927="","",LOWER(Events!C926&amp;" "&amp;Events!K926&amp;" "&amp;Events!T926))</x:f>
      </x:c>
      <x:c r="R927" s="16" t="str">
        <x:f>IF(A927="","",IF(ISNUMBER(SEARCH("Occurrence verified",E927)),"Occurrence verified",E927))</x:f>
      </x:c>
      <x:c r="S927" s="79" t="str">
        <x:f>IF(A927="","",Events!X926)</x:f>
      </x:c>
      <x:c r="Z927" s="79" t="str">
        <x:f>IF(A927="","",Events!AD926)</x:f>
      </x:c>
      <x:c r="AA927" s="79" t="str">
        <x:f>IF(A927="","",Events!AE926)</x:f>
      </x:c>
    </x:row>
    <x:row r="928">
      <x:c r="A928" s="16" t="str">
        <x:f>IF(Events!A927="","",Events!A927)</x:f>
      </x:c>
      <x:c r="B928" s="16" t="str">
        <x:f>IF(A928="","",Events!B927)</x:f>
      </x:c>
      <x:c r="C928" s="16" t="str">
        <x:f>IF(A928="","",Events!E927)</x:f>
      </x:c>
      <x:c r="D928" s="16" t="str">
        <x:f>IF(A928="","",Events!J927)</x:f>
      </x:c>
      <x:c r="E928" s="16" t="str">
        <x:f>IF(A928="","",Events!N927)</x:f>
      </x:c>
      <x:c r="F928" s="109" t="str">
        <x:f>IF(OR(A928="",Events!H927=""),"",Events!H927)</x:f>
      </x:c>
      <x:c r="G928" s="109" t="str">
        <x:f>IF(A928="","",IF(Events!I927&lt;&gt;"",Events!I927,IF(Events!S927&lt;&gt;"",Events!S927,"")))</x:f>
      </x:c>
      <x:c r="H928" s="16" t="str">
        <x:f>IF(A928="","",Events!W927)</x:f>
      </x:c>
      <x:c r="I928" s="16" t="str">
        <x:f>IF(A928="","",IF(Events!Y927&lt;&gt;"",Events!Y927,IF(OR(ISNUMBER(SEARCH("education",P928)),ISNUMBER(SEARCH("exam",P928)),ISNUMBER(SEARCH("school",P928))),"Education",IF(OR(ISNUMBER(SEARCH("trade agreement",P928)),ISNUMBER(SEARCH("economic",P928)),ISNUMBER(SEARCH("import",P928))),"Trade &amp; economic policy",IF(OR(ISNUMBER(SEARCH("land acquisition",P928)),ISNUMBER(SEARCH("rehabilitation",P928)),ISNUMBER(SEARCH("displacement",P928)),ISNUMBER(SEARCH("township",P928))),"Land &amp; rehabilitation",IF(OR(ISNUMBER(SEARCH("forest",P928)),ISNUMBER(SEARCH("environment",P928)),ISNUMBER(SEARCH("ecological",P928)),ISNUMBER(SEARCH("biodiversity",P928)),ISNUMBER(SEARCH("green cover",P928))),"Environment",IF(OR(ISNUMBER(SEARCH("irrigation",P928)),ISNUMBER(SEARCH("water",P928)),ISNUMBER(SEARCH("crop",P928)),ISNUMBER(SEARCH("farmer",P928)),ISNUMBER(SEARCH("agriculture",P928))),"Agriculture &amp; water",IF(OR(ISNUMBER(SEARCH("health",P928)),ISNUMBER(SEARCH("hospital",P928)),ISNUMBER(SEARCH("medicine",P928))),"Public health",IF(OR(ISNUMBER(SEARCH("employee",P928)),ISNUMBER(SEARCH("labour",P928)),ISNUMBER(SEARCH("worker",P928)),ISNUMBER(SEARCH("salary",P928))),"Labour &amp; employment",IF(OR(ISNUMBER(SEARCH("rti",P928)),ISNUMBER(SEARCH("transparency",P928)),ISNUMBER(SEARCH("corruption",P928)),ISNUMBER(SEARCH("governance",P928))),"Governance &amp; transparency",IF(OR(ISNUMBER(SEARCH("police",P928)),ISNUMBER(SEARCH("detention",P928)),ISNUMBER(SEARCH("civil rights",P928)),ISNUMBER(SEARCH("justice",P928))),"Civil rights &amp; justice",IF(OR(ISNUMBER(SEARCH("road",P928)),ISNUMBER(SEARCH("utility",P928)),ISNUMBER(SEARCH("infrastructure",P928)),ISNUMBER(SEARCH("public service",P928))),"Infrastructure &amp; public services","Other"))))))))))))</x:f>
      </x:c>
      <x:c r="J928" s="16" t="str">
        <x:f>IF(A928="","",IF(OR(ISNUMBER(SEARCH("fatal",Q928)),ISNUMBER(SEARCH("death",Q928)),ISNUMBER(SEARCH("riot",Q928)),ISNUMBER(SEARCH("curfew",Q928)),ISNUMBER(SEARCH("internet shutdown",Q928))),5,MIN(4,1+IF(H928&gt;=7,1,0)+IF(OR(ISNUMBER(SEARCH("hunger strike",Q928)),ISNUMBER(SEARCH("blockade",Q928)),ISNUMBER(SEARCH("strike",Q928)),ISNUMBER(SEARCH("jal satyagraha",Q928)),ISNUMBER(SEARCH("survey",Q928)),ISNUMBER(SEARCH("human chain",Q928)),ISNUMBER(SEARCH("march",Q928))),1,0)+IF(OR(ISNUMBER(SEARCH("fir",Q928)),ISNUMBER(SEARCH("confrontation",Q928)),ISNUMBER(SEARCH("violence",Q928)),ISNUMBER(SEARCH("detention",Q928)),ISNUMBER(SEARCH("arrest",Q928)),ISNUMBER(SEARCH("demolition",Q928)),ISNUMBER(SEARCH("injury",Q928))),1,0)+IF(OR(D928="Ongoing",D928="Unresolved"),1,0))))</x:f>
      </x:c>
      <x:c r="K928" s="16" t="str">
        <x:f>IF(J928="","",IF(J928=1,"Limited",IF(J928=2,"Local",IF(J928=3,"Significant",IF(J928=4,"High","Critical")))))</x:f>
      </x:c>
      <x:c r="L928" s="16" t="str">
        <x:f>IF(A928="","",Events!U927)</x:f>
      </x:c>
      <x:c r="M928" s="16" t="str">
        <x:f>IF(A928="","",Events!V927)</x:f>
      </x:c>
      <x:c r="N928" s="16" t="str">
        <x:f>IF(A928="","",Events!Q927)</x:f>
      </x:c>
      <x:c r="O928" s="16" t="str">
        <x:f>IF(A928="","",Events!R927)</x:f>
      </x:c>
      <x:c r="P928" s="16" t="str">
        <x:f>IF(A928="","",LOWER(Events!B927&amp;" "&amp;Events!D927&amp;" "&amp;Events!K927))</x:f>
      </x:c>
      <x:c r="Q928" s="16" t="str">
        <x:f>IF(A928="","",LOWER(Events!C927&amp;" "&amp;Events!K927&amp;" "&amp;Events!T927))</x:f>
      </x:c>
      <x:c r="R928" s="16" t="str">
        <x:f>IF(A928="","",IF(ISNUMBER(SEARCH("Occurrence verified",E928)),"Occurrence verified",E928))</x:f>
      </x:c>
      <x:c r="S928" s="79" t="str">
        <x:f>IF(A928="","",Events!X927)</x:f>
      </x:c>
      <x:c r="Z928" s="79" t="str">
        <x:f>IF(A928="","",Events!AD927)</x:f>
      </x:c>
      <x:c r="AA928" s="79" t="str">
        <x:f>IF(A928="","",Events!AE927)</x:f>
      </x:c>
    </x:row>
    <x:row r="929">
      <x:c r="A929" s="16" t="str">
        <x:f>IF(Events!A928="","",Events!A928)</x:f>
      </x:c>
      <x:c r="B929" s="16" t="str">
        <x:f>IF(A929="","",Events!B928)</x:f>
      </x:c>
      <x:c r="C929" s="16" t="str">
        <x:f>IF(A929="","",Events!E928)</x:f>
      </x:c>
      <x:c r="D929" s="16" t="str">
        <x:f>IF(A929="","",Events!J928)</x:f>
      </x:c>
      <x:c r="E929" s="16" t="str">
        <x:f>IF(A929="","",Events!N928)</x:f>
      </x:c>
      <x:c r="F929" s="109" t="str">
        <x:f>IF(OR(A929="",Events!H928=""),"",Events!H928)</x:f>
      </x:c>
      <x:c r="G929" s="109" t="str">
        <x:f>IF(A929="","",IF(Events!I928&lt;&gt;"",Events!I928,IF(Events!S928&lt;&gt;"",Events!S928,"")))</x:f>
      </x:c>
      <x:c r="H929" s="16" t="str">
        <x:f>IF(A929="","",Events!W928)</x:f>
      </x:c>
      <x:c r="I929" s="16" t="str">
        <x:f>IF(A929="","",IF(Events!Y928&lt;&gt;"",Events!Y928,IF(OR(ISNUMBER(SEARCH("education",P929)),ISNUMBER(SEARCH("exam",P929)),ISNUMBER(SEARCH("school",P929))),"Education",IF(OR(ISNUMBER(SEARCH("trade agreement",P929)),ISNUMBER(SEARCH("economic",P929)),ISNUMBER(SEARCH("import",P929))),"Trade &amp; economic policy",IF(OR(ISNUMBER(SEARCH("land acquisition",P929)),ISNUMBER(SEARCH("rehabilitation",P929)),ISNUMBER(SEARCH("displacement",P929)),ISNUMBER(SEARCH("township",P929))),"Land &amp; rehabilitation",IF(OR(ISNUMBER(SEARCH("forest",P929)),ISNUMBER(SEARCH("environment",P929)),ISNUMBER(SEARCH("ecological",P929)),ISNUMBER(SEARCH("biodiversity",P929)),ISNUMBER(SEARCH("green cover",P929))),"Environment",IF(OR(ISNUMBER(SEARCH("irrigation",P929)),ISNUMBER(SEARCH("water",P929)),ISNUMBER(SEARCH("crop",P929)),ISNUMBER(SEARCH("farmer",P929)),ISNUMBER(SEARCH("agriculture",P929))),"Agriculture &amp; water",IF(OR(ISNUMBER(SEARCH("health",P929)),ISNUMBER(SEARCH("hospital",P929)),ISNUMBER(SEARCH("medicine",P929))),"Public health",IF(OR(ISNUMBER(SEARCH("employee",P929)),ISNUMBER(SEARCH("labour",P929)),ISNUMBER(SEARCH("worker",P929)),ISNUMBER(SEARCH("salary",P929))),"Labour &amp; employment",IF(OR(ISNUMBER(SEARCH("rti",P929)),ISNUMBER(SEARCH("transparency",P929)),ISNUMBER(SEARCH("corruption",P929)),ISNUMBER(SEARCH("governance",P929))),"Governance &amp; transparency",IF(OR(ISNUMBER(SEARCH("police",P929)),ISNUMBER(SEARCH("detention",P929)),ISNUMBER(SEARCH("civil rights",P929)),ISNUMBER(SEARCH("justice",P929))),"Civil rights &amp; justice",IF(OR(ISNUMBER(SEARCH("road",P929)),ISNUMBER(SEARCH("utility",P929)),ISNUMBER(SEARCH("infrastructure",P929)),ISNUMBER(SEARCH("public service",P929))),"Infrastructure &amp; public services","Other"))))))))))))</x:f>
      </x:c>
      <x:c r="J929" s="16" t="str">
        <x:f>IF(A929="","",IF(OR(ISNUMBER(SEARCH("fatal",Q929)),ISNUMBER(SEARCH("death",Q929)),ISNUMBER(SEARCH("riot",Q929)),ISNUMBER(SEARCH("curfew",Q929)),ISNUMBER(SEARCH("internet shutdown",Q929))),5,MIN(4,1+IF(H929&gt;=7,1,0)+IF(OR(ISNUMBER(SEARCH("hunger strike",Q929)),ISNUMBER(SEARCH("blockade",Q929)),ISNUMBER(SEARCH("strike",Q929)),ISNUMBER(SEARCH("jal satyagraha",Q929)),ISNUMBER(SEARCH("survey",Q929)),ISNUMBER(SEARCH("human chain",Q929)),ISNUMBER(SEARCH("march",Q929))),1,0)+IF(OR(ISNUMBER(SEARCH("fir",Q929)),ISNUMBER(SEARCH("confrontation",Q929)),ISNUMBER(SEARCH("violence",Q929)),ISNUMBER(SEARCH("detention",Q929)),ISNUMBER(SEARCH("arrest",Q929)),ISNUMBER(SEARCH("demolition",Q929)),ISNUMBER(SEARCH("injury",Q929))),1,0)+IF(OR(D929="Ongoing",D929="Unresolved"),1,0))))</x:f>
      </x:c>
      <x:c r="K929" s="16" t="str">
        <x:f>IF(J929="","",IF(J929=1,"Limited",IF(J929=2,"Local",IF(J929=3,"Significant",IF(J929=4,"High","Critical")))))</x:f>
      </x:c>
      <x:c r="L929" s="16" t="str">
        <x:f>IF(A929="","",Events!U928)</x:f>
      </x:c>
      <x:c r="M929" s="16" t="str">
        <x:f>IF(A929="","",Events!V928)</x:f>
      </x:c>
      <x:c r="N929" s="16" t="str">
        <x:f>IF(A929="","",Events!Q928)</x:f>
      </x:c>
      <x:c r="O929" s="16" t="str">
        <x:f>IF(A929="","",Events!R928)</x:f>
      </x:c>
      <x:c r="P929" s="16" t="str">
        <x:f>IF(A929="","",LOWER(Events!B928&amp;" "&amp;Events!D928&amp;" "&amp;Events!K928))</x:f>
      </x:c>
      <x:c r="Q929" s="16" t="str">
        <x:f>IF(A929="","",LOWER(Events!C928&amp;" "&amp;Events!K928&amp;" "&amp;Events!T928))</x:f>
      </x:c>
      <x:c r="R929" s="16" t="str">
        <x:f>IF(A929="","",IF(ISNUMBER(SEARCH("Occurrence verified",E929)),"Occurrence verified",E929))</x:f>
      </x:c>
      <x:c r="S929" s="79" t="str">
        <x:f>IF(A929="","",Events!X928)</x:f>
      </x:c>
      <x:c r="Z929" s="79" t="str">
        <x:f>IF(A929="","",Events!AD928)</x:f>
      </x:c>
      <x:c r="AA929" s="79" t="str">
        <x:f>IF(A929="","",Events!AE928)</x:f>
      </x:c>
    </x:row>
    <x:row r="930">
      <x:c r="A930" s="16" t="str">
        <x:f>IF(Events!A929="","",Events!A929)</x:f>
      </x:c>
      <x:c r="B930" s="16" t="str">
        <x:f>IF(A930="","",Events!B929)</x:f>
      </x:c>
      <x:c r="C930" s="16" t="str">
        <x:f>IF(A930="","",Events!E929)</x:f>
      </x:c>
      <x:c r="D930" s="16" t="str">
        <x:f>IF(A930="","",Events!J929)</x:f>
      </x:c>
      <x:c r="E930" s="16" t="str">
        <x:f>IF(A930="","",Events!N929)</x:f>
      </x:c>
      <x:c r="F930" s="109" t="str">
        <x:f>IF(OR(A930="",Events!H929=""),"",Events!H929)</x:f>
      </x:c>
      <x:c r="G930" s="109" t="str">
        <x:f>IF(A930="","",IF(Events!I929&lt;&gt;"",Events!I929,IF(Events!S929&lt;&gt;"",Events!S929,"")))</x:f>
      </x:c>
      <x:c r="H930" s="16" t="str">
        <x:f>IF(A930="","",Events!W929)</x:f>
      </x:c>
      <x:c r="I930" s="16" t="str">
        <x:f>IF(A930="","",IF(Events!Y929&lt;&gt;"",Events!Y929,IF(OR(ISNUMBER(SEARCH("education",P930)),ISNUMBER(SEARCH("exam",P930)),ISNUMBER(SEARCH("school",P930))),"Education",IF(OR(ISNUMBER(SEARCH("trade agreement",P930)),ISNUMBER(SEARCH("economic",P930)),ISNUMBER(SEARCH("import",P930))),"Trade &amp; economic policy",IF(OR(ISNUMBER(SEARCH("land acquisition",P930)),ISNUMBER(SEARCH("rehabilitation",P930)),ISNUMBER(SEARCH("displacement",P930)),ISNUMBER(SEARCH("township",P930))),"Land &amp; rehabilitation",IF(OR(ISNUMBER(SEARCH("forest",P930)),ISNUMBER(SEARCH("environment",P930)),ISNUMBER(SEARCH("ecological",P930)),ISNUMBER(SEARCH("biodiversity",P930)),ISNUMBER(SEARCH("green cover",P930))),"Environment",IF(OR(ISNUMBER(SEARCH("irrigation",P930)),ISNUMBER(SEARCH("water",P930)),ISNUMBER(SEARCH("crop",P930)),ISNUMBER(SEARCH("farmer",P930)),ISNUMBER(SEARCH("agriculture",P930))),"Agriculture &amp; water",IF(OR(ISNUMBER(SEARCH("health",P930)),ISNUMBER(SEARCH("hospital",P930)),ISNUMBER(SEARCH("medicine",P930))),"Public health",IF(OR(ISNUMBER(SEARCH("employee",P930)),ISNUMBER(SEARCH("labour",P930)),ISNUMBER(SEARCH("worker",P930)),ISNUMBER(SEARCH("salary",P930))),"Labour &amp; employment",IF(OR(ISNUMBER(SEARCH("rti",P930)),ISNUMBER(SEARCH("transparency",P930)),ISNUMBER(SEARCH("corruption",P930)),ISNUMBER(SEARCH("governance",P930))),"Governance &amp; transparency",IF(OR(ISNUMBER(SEARCH("police",P930)),ISNUMBER(SEARCH("detention",P930)),ISNUMBER(SEARCH("civil rights",P930)),ISNUMBER(SEARCH("justice",P930))),"Civil rights &amp; justice",IF(OR(ISNUMBER(SEARCH("road",P930)),ISNUMBER(SEARCH("utility",P930)),ISNUMBER(SEARCH("infrastructure",P930)),ISNUMBER(SEARCH("public service",P930))),"Infrastructure &amp; public services","Other"))))))))))))</x:f>
      </x:c>
      <x:c r="J930" s="16" t="str">
        <x:f>IF(A930="","",IF(OR(ISNUMBER(SEARCH("fatal",Q930)),ISNUMBER(SEARCH("death",Q930)),ISNUMBER(SEARCH("riot",Q930)),ISNUMBER(SEARCH("curfew",Q930)),ISNUMBER(SEARCH("internet shutdown",Q930))),5,MIN(4,1+IF(H930&gt;=7,1,0)+IF(OR(ISNUMBER(SEARCH("hunger strike",Q930)),ISNUMBER(SEARCH("blockade",Q930)),ISNUMBER(SEARCH("strike",Q930)),ISNUMBER(SEARCH("jal satyagraha",Q930)),ISNUMBER(SEARCH("survey",Q930)),ISNUMBER(SEARCH("human chain",Q930)),ISNUMBER(SEARCH("march",Q930))),1,0)+IF(OR(ISNUMBER(SEARCH("fir",Q930)),ISNUMBER(SEARCH("confrontation",Q930)),ISNUMBER(SEARCH("violence",Q930)),ISNUMBER(SEARCH("detention",Q930)),ISNUMBER(SEARCH("arrest",Q930)),ISNUMBER(SEARCH("demolition",Q930)),ISNUMBER(SEARCH("injury",Q930))),1,0)+IF(OR(D930="Ongoing",D930="Unresolved"),1,0))))</x:f>
      </x:c>
      <x:c r="K930" s="16" t="str">
        <x:f>IF(J930="","",IF(J930=1,"Limited",IF(J930=2,"Local",IF(J930=3,"Significant",IF(J930=4,"High","Critical")))))</x:f>
      </x:c>
      <x:c r="L930" s="16" t="str">
        <x:f>IF(A930="","",Events!U929)</x:f>
      </x:c>
      <x:c r="M930" s="16" t="str">
        <x:f>IF(A930="","",Events!V929)</x:f>
      </x:c>
      <x:c r="N930" s="16" t="str">
        <x:f>IF(A930="","",Events!Q929)</x:f>
      </x:c>
      <x:c r="O930" s="16" t="str">
        <x:f>IF(A930="","",Events!R929)</x:f>
      </x:c>
      <x:c r="P930" s="16" t="str">
        <x:f>IF(A930="","",LOWER(Events!B929&amp;" "&amp;Events!D929&amp;" "&amp;Events!K929))</x:f>
      </x:c>
      <x:c r="Q930" s="16" t="str">
        <x:f>IF(A930="","",LOWER(Events!C929&amp;" "&amp;Events!K929&amp;" "&amp;Events!T929))</x:f>
      </x:c>
      <x:c r="R930" s="16" t="str">
        <x:f>IF(A930="","",IF(ISNUMBER(SEARCH("Occurrence verified",E930)),"Occurrence verified",E930))</x:f>
      </x:c>
      <x:c r="S930" s="79" t="str">
        <x:f>IF(A930="","",Events!X929)</x:f>
      </x:c>
      <x:c r="Z930" s="79" t="str">
        <x:f>IF(A930="","",Events!AD929)</x:f>
      </x:c>
      <x:c r="AA930" s="79" t="str">
        <x:f>IF(A930="","",Events!AE929)</x:f>
      </x:c>
    </x:row>
    <x:row r="931">
      <x:c r="A931" s="16" t="str">
        <x:f>IF(Events!A930="","",Events!A930)</x:f>
      </x:c>
      <x:c r="B931" s="16" t="str">
        <x:f>IF(A931="","",Events!B930)</x:f>
      </x:c>
      <x:c r="C931" s="16" t="str">
        <x:f>IF(A931="","",Events!E930)</x:f>
      </x:c>
      <x:c r="D931" s="16" t="str">
        <x:f>IF(A931="","",Events!J930)</x:f>
      </x:c>
      <x:c r="E931" s="16" t="str">
        <x:f>IF(A931="","",Events!N930)</x:f>
      </x:c>
      <x:c r="F931" s="109" t="str">
        <x:f>IF(OR(A931="",Events!H930=""),"",Events!H930)</x:f>
      </x:c>
      <x:c r="G931" s="109" t="str">
        <x:f>IF(A931="","",IF(Events!I930&lt;&gt;"",Events!I930,IF(Events!S930&lt;&gt;"",Events!S930,"")))</x:f>
      </x:c>
      <x:c r="H931" s="16" t="str">
        <x:f>IF(A931="","",Events!W930)</x:f>
      </x:c>
      <x:c r="I931" s="16" t="str">
        <x:f>IF(A931="","",IF(Events!Y930&lt;&gt;"",Events!Y930,IF(OR(ISNUMBER(SEARCH("education",P931)),ISNUMBER(SEARCH("exam",P931)),ISNUMBER(SEARCH("school",P931))),"Education",IF(OR(ISNUMBER(SEARCH("trade agreement",P931)),ISNUMBER(SEARCH("economic",P931)),ISNUMBER(SEARCH("import",P931))),"Trade &amp; economic policy",IF(OR(ISNUMBER(SEARCH("land acquisition",P931)),ISNUMBER(SEARCH("rehabilitation",P931)),ISNUMBER(SEARCH("displacement",P931)),ISNUMBER(SEARCH("township",P931))),"Land &amp; rehabilitation",IF(OR(ISNUMBER(SEARCH("forest",P931)),ISNUMBER(SEARCH("environment",P931)),ISNUMBER(SEARCH("ecological",P931)),ISNUMBER(SEARCH("biodiversity",P931)),ISNUMBER(SEARCH("green cover",P931))),"Environment",IF(OR(ISNUMBER(SEARCH("irrigation",P931)),ISNUMBER(SEARCH("water",P931)),ISNUMBER(SEARCH("crop",P931)),ISNUMBER(SEARCH("farmer",P931)),ISNUMBER(SEARCH("agriculture",P931))),"Agriculture &amp; water",IF(OR(ISNUMBER(SEARCH("health",P931)),ISNUMBER(SEARCH("hospital",P931)),ISNUMBER(SEARCH("medicine",P931))),"Public health",IF(OR(ISNUMBER(SEARCH("employee",P931)),ISNUMBER(SEARCH("labour",P931)),ISNUMBER(SEARCH("worker",P931)),ISNUMBER(SEARCH("salary",P931))),"Labour &amp; employment",IF(OR(ISNUMBER(SEARCH("rti",P931)),ISNUMBER(SEARCH("transparency",P931)),ISNUMBER(SEARCH("corruption",P931)),ISNUMBER(SEARCH("governance",P931))),"Governance &amp; transparency",IF(OR(ISNUMBER(SEARCH("police",P931)),ISNUMBER(SEARCH("detention",P931)),ISNUMBER(SEARCH("civil rights",P931)),ISNUMBER(SEARCH("justice",P931))),"Civil rights &amp; justice",IF(OR(ISNUMBER(SEARCH("road",P931)),ISNUMBER(SEARCH("utility",P931)),ISNUMBER(SEARCH("infrastructure",P931)),ISNUMBER(SEARCH("public service",P931))),"Infrastructure &amp; public services","Other"))))))))))))</x:f>
      </x:c>
      <x:c r="J931" s="16" t="str">
        <x:f>IF(A931="","",IF(OR(ISNUMBER(SEARCH("fatal",Q931)),ISNUMBER(SEARCH("death",Q931)),ISNUMBER(SEARCH("riot",Q931)),ISNUMBER(SEARCH("curfew",Q931)),ISNUMBER(SEARCH("internet shutdown",Q931))),5,MIN(4,1+IF(H931&gt;=7,1,0)+IF(OR(ISNUMBER(SEARCH("hunger strike",Q931)),ISNUMBER(SEARCH("blockade",Q931)),ISNUMBER(SEARCH("strike",Q931)),ISNUMBER(SEARCH("jal satyagraha",Q931)),ISNUMBER(SEARCH("survey",Q931)),ISNUMBER(SEARCH("human chain",Q931)),ISNUMBER(SEARCH("march",Q931))),1,0)+IF(OR(ISNUMBER(SEARCH("fir",Q931)),ISNUMBER(SEARCH("confrontation",Q931)),ISNUMBER(SEARCH("violence",Q931)),ISNUMBER(SEARCH("detention",Q931)),ISNUMBER(SEARCH("arrest",Q931)),ISNUMBER(SEARCH("demolition",Q931)),ISNUMBER(SEARCH("injury",Q931))),1,0)+IF(OR(D931="Ongoing",D931="Unresolved"),1,0))))</x:f>
      </x:c>
      <x:c r="K931" s="16" t="str">
        <x:f>IF(J931="","",IF(J931=1,"Limited",IF(J931=2,"Local",IF(J931=3,"Significant",IF(J931=4,"High","Critical")))))</x:f>
      </x:c>
      <x:c r="L931" s="16" t="str">
        <x:f>IF(A931="","",Events!U930)</x:f>
      </x:c>
      <x:c r="M931" s="16" t="str">
        <x:f>IF(A931="","",Events!V930)</x:f>
      </x:c>
      <x:c r="N931" s="16" t="str">
        <x:f>IF(A931="","",Events!Q930)</x:f>
      </x:c>
      <x:c r="O931" s="16" t="str">
        <x:f>IF(A931="","",Events!R930)</x:f>
      </x:c>
      <x:c r="P931" s="16" t="str">
        <x:f>IF(A931="","",LOWER(Events!B930&amp;" "&amp;Events!D930&amp;" "&amp;Events!K930))</x:f>
      </x:c>
      <x:c r="Q931" s="16" t="str">
        <x:f>IF(A931="","",LOWER(Events!C930&amp;" "&amp;Events!K930&amp;" "&amp;Events!T930))</x:f>
      </x:c>
      <x:c r="R931" s="16" t="str">
        <x:f>IF(A931="","",IF(ISNUMBER(SEARCH("Occurrence verified",E931)),"Occurrence verified",E931))</x:f>
      </x:c>
      <x:c r="S931" s="79" t="str">
        <x:f>IF(A931="","",Events!X930)</x:f>
      </x:c>
      <x:c r="Z931" s="79" t="str">
        <x:f>IF(A931="","",Events!AD930)</x:f>
      </x:c>
      <x:c r="AA931" s="79" t="str">
        <x:f>IF(A931="","",Events!AE930)</x:f>
      </x:c>
    </x:row>
    <x:row r="932">
      <x:c r="A932" s="16" t="str">
        <x:f>IF(Events!A931="","",Events!A931)</x:f>
      </x:c>
      <x:c r="B932" s="16" t="str">
        <x:f>IF(A932="","",Events!B931)</x:f>
      </x:c>
      <x:c r="C932" s="16" t="str">
        <x:f>IF(A932="","",Events!E931)</x:f>
      </x:c>
      <x:c r="D932" s="16" t="str">
        <x:f>IF(A932="","",Events!J931)</x:f>
      </x:c>
      <x:c r="E932" s="16" t="str">
        <x:f>IF(A932="","",Events!N931)</x:f>
      </x:c>
      <x:c r="F932" s="109" t="str">
        <x:f>IF(OR(A932="",Events!H931=""),"",Events!H931)</x:f>
      </x:c>
      <x:c r="G932" s="109" t="str">
        <x:f>IF(A932="","",IF(Events!I931&lt;&gt;"",Events!I931,IF(Events!S931&lt;&gt;"",Events!S931,"")))</x:f>
      </x:c>
      <x:c r="H932" s="16" t="str">
        <x:f>IF(A932="","",Events!W931)</x:f>
      </x:c>
      <x:c r="I932" s="16" t="str">
        <x:f>IF(A932="","",IF(Events!Y931&lt;&gt;"",Events!Y931,IF(OR(ISNUMBER(SEARCH("education",P932)),ISNUMBER(SEARCH("exam",P932)),ISNUMBER(SEARCH("school",P932))),"Education",IF(OR(ISNUMBER(SEARCH("trade agreement",P932)),ISNUMBER(SEARCH("economic",P932)),ISNUMBER(SEARCH("import",P932))),"Trade &amp; economic policy",IF(OR(ISNUMBER(SEARCH("land acquisition",P932)),ISNUMBER(SEARCH("rehabilitation",P932)),ISNUMBER(SEARCH("displacement",P932)),ISNUMBER(SEARCH("township",P932))),"Land &amp; rehabilitation",IF(OR(ISNUMBER(SEARCH("forest",P932)),ISNUMBER(SEARCH("environment",P932)),ISNUMBER(SEARCH("ecological",P932)),ISNUMBER(SEARCH("biodiversity",P932)),ISNUMBER(SEARCH("green cover",P932))),"Environment",IF(OR(ISNUMBER(SEARCH("irrigation",P932)),ISNUMBER(SEARCH("water",P932)),ISNUMBER(SEARCH("crop",P932)),ISNUMBER(SEARCH("farmer",P932)),ISNUMBER(SEARCH("agriculture",P932))),"Agriculture &amp; water",IF(OR(ISNUMBER(SEARCH("health",P932)),ISNUMBER(SEARCH("hospital",P932)),ISNUMBER(SEARCH("medicine",P932))),"Public health",IF(OR(ISNUMBER(SEARCH("employee",P932)),ISNUMBER(SEARCH("labour",P932)),ISNUMBER(SEARCH("worker",P932)),ISNUMBER(SEARCH("salary",P932))),"Labour &amp; employment",IF(OR(ISNUMBER(SEARCH("rti",P932)),ISNUMBER(SEARCH("transparency",P932)),ISNUMBER(SEARCH("corruption",P932)),ISNUMBER(SEARCH("governance",P932))),"Governance &amp; transparency",IF(OR(ISNUMBER(SEARCH("police",P932)),ISNUMBER(SEARCH("detention",P932)),ISNUMBER(SEARCH("civil rights",P932)),ISNUMBER(SEARCH("justice",P932))),"Civil rights &amp; justice",IF(OR(ISNUMBER(SEARCH("road",P932)),ISNUMBER(SEARCH("utility",P932)),ISNUMBER(SEARCH("infrastructure",P932)),ISNUMBER(SEARCH("public service",P932))),"Infrastructure &amp; public services","Other"))))))))))))</x:f>
      </x:c>
      <x:c r="J932" s="16" t="str">
        <x:f>IF(A932="","",IF(OR(ISNUMBER(SEARCH("fatal",Q932)),ISNUMBER(SEARCH("death",Q932)),ISNUMBER(SEARCH("riot",Q932)),ISNUMBER(SEARCH("curfew",Q932)),ISNUMBER(SEARCH("internet shutdown",Q932))),5,MIN(4,1+IF(H932&gt;=7,1,0)+IF(OR(ISNUMBER(SEARCH("hunger strike",Q932)),ISNUMBER(SEARCH("blockade",Q932)),ISNUMBER(SEARCH("strike",Q932)),ISNUMBER(SEARCH("jal satyagraha",Q932)),ISNUMBER(SEARCH("survey",Q932)),ISNUMBER(SEARCH("human chain",Q932)),ISNUMBER(SEARCH("march",Q932))),1,0)+IF(OR(ISNUMBER(SEARCH("fir",Q932)),ISNUMBER(SEARCH("confrontation",Q932)),ISNUMBER(SEARCH("violence",Q932)),ISNUMBER(SEARCH("detention",Q932)),ISNUMBER(SEARCH("arrest",Q932)),ISNUMBER(SEARCH("demolition",Q932)),ISNUMBER(SEARCH("injury",Q932))),1,0)+IF(OR(D932="Ongoing",D932="Unresolved"),1,0))))</x:f>
      </x:c>
      <x:c r="K932" s="16" t="str">
        <x:f>IF(J932="","",IF(J932=1,"Limited",IF(J932=2,"Local",IF(J932=3,"Significant",IF(J932=4,"High","Critical")))))</x:f>
      </x:c>
      <x:c r="L932" s="16" t="str">
        <x:f>IF(A932="","",Events!U931)</x:f>
      </x:c>
      <x:c r="M932" s="16" t="str">
        <x:f>IF(A932="","",Events!V931)</x:f>
      </x:c>
      <x:c r="N932" s="16" t="str">
        <x:f>IF(A932="","",Events!Q931)</x:f>
      </x:c>
      <x:c r="O932" s="16" t="str">
        <x:f>IF(A932="","",Events!R931)</x:f>
      </x:c>
      <x:c r="P932" s="16" t="str">
        <x:f>IF(A932="","",LOWER(Events!B931&amp;" "&amp;Events!D931&amp;" "&amp;Events!K931))</x:f>
      </x:c>
      <x:c r="Q932" s="16" t="str">
        <x:f>IF(A932="","",LOWER(Events!C931&amp;" "&amp;Events!K931&amp;" "&amp;Events!T931))</x:f>
      </x:c>
      <x:c r="R932" s="16" t="str">
        <x:f>IF(A932="","",IF(ISNUMBER(SEARCH("Occurrence verified",E932)),"Occurrence verified",E932))</x:f>
      </x:c>
      <x:c r="S932" s="79" t="str">
        <x:f>IF(A932="","",Events!X931)</x:f>
      </x:c>
      <x:c r="Z932" s="79" t="str">
        <x:f>IF(A932="","",Events!AD931)</x:f>
      </x:c>
      <x:c r="AA932" s="79" t="str">
        <x:f>IF(A932="","",Events!AE931)</x:f>
      </x:c>
    </x:row>
    <x:row r="933">
      <x:c r="A933" s="16" t="str">
        <x:f>IF(Events!A932="","",Events!A932)</x:f>
      </x:c>
      <x:c r="B933" s="16" t="str">
        <x:f>IF(A933="","",Events!B932)</x:f>
      </x:c>
      <x:c r="C933" s="16" t="str">
        <x:f>IF(A933="","",Events!E932)</x:f>
      </x:c>
      <x:c r="D933" s="16" t="str">
        <x:f>IF(A933="","",Events!J932)</x:f>
      </x:c>
      <x:c r="E933" s="16" t="str">
        <x:f>IF(A933="","",Events!N932)</x:f>
      </x:c>
      <x:c r="F933" s="109" t="str">
        <x:f>IF(OR(A933="",Events!H932=""),"",Events!H932)</x:f>
      </x:c>
      <x:c r="G933" s="109" t="str">
        <x:f>IF(A933="","",IF(Events!I932&lt;&gt;"",Events!I932,IF(Events!S932&lt;&gt;"",Events!S932,"")))</x:f>
      </x:c>
      <x:c r="H933" s="16" t="str">
        <x:f>IF(A933="","",Events!W932)</x:f>
      </x:c>
      <x:c r="I933" s="16" t="str">
        <x:f>IF(A933="","",IF(Events!Y932&lt;&gt;"",Events!Y932,IF(OR(ISNUMBER(SEARCH("education",P933)),ISNUMBER(SEARCH("exam",P933)),ISNUMBER(SEARCH("school",P933))),"Education",IF(OR(ISNUMBER(SEARCH("trade agreement",P933)),ISNUMBER(SEARCH("economic",P933)),ISNUMBER(SEARCH("import",P933))),"Trade &amp; economic policy",IF(OR(ISNUMBER(SEARCH("land acquisition",P933)),ISNUMBER(SEARCH("rehabilitation",P933)),ISNUMBER(SEARCH("displacement",P933)),ISNUMBER(SEARCH("township",P933))),"Land &amp; rehabilitation",IF(OR(ISNUMBER(SEARCH("forest",P933)),ISNUMBER(SEARCH("environment",P933)),ISNUMBER(SEARCH("ecological",P933)),ISNUMBER(SEARCH("biodiversity",P933)),ISNUMBER(SEARCH("green cover",P933))),"Environment",IF(OR(ISNUMBER(SEARCH("irrigation",P933)),ISNUMBER(SEARCH("water",P933)),ISNUMBER(SEARCH("crop",P933)),ISNUMBER(SEARCH("farmer",P933)),ISNUMBER(SEARCH("agriculture",P933))),"Agriculture &amp; water",IF(OR(ISNUMBER(SEARCH("health",P933)),ISNUMBER(SEARCH("hospital",P933)),ISNUMBER(SEARCH("medicine",P933))),"Public health",IF(OR(ISNUMBER(SEARCH("employee",P933)),ISNUMBER(SEARCH("labour",P933)),ISNUMBER(SEARCH("worker",P933)),ISNUMBER(SEARCH("salary",P933))),"Labour &amp; employment",IF(OR(ISNUMBER(SEARCH("rti",P933)),ISNUMBER(SEARCH("transparency",P933)),ISNUMBER(SEARCH("corruption",P933)),ISNUMBER(SEARCH("governance",P933))),"Governance &amp; transparency",IF(OR(ISNUMBER(SEARCH("police",P933)),ISNUMBER(SEARCH("detention",P933)),ISNUMBER(SEARCH("civil rights",P933)),ISNUMBER(SEARCH("justice",P933))),"Civil rights &amp; justice",IF(OR(ISNUMBER(SEARCH("road",P933)),ISNUMBER(SEARCH("utility",P933)),ISNUMBER(SEARCH("infrastructure",P933)),ISNUMBER(SEARCH("public service",P933))),"Infrastructure &amp; public services","Other"))))))))))))</x:f>
      </x:c>
      <x:c r="J933" s="16" t="str">
        <x:f>IF(A933="","",IF(OR(ISNUMBER(SEARCH("fatal",Q933)),ISNUMBER(SEARCH("death",Q933)),ISNUMBER(SEARCH("riot",Q933)),ISNUMBER(SEARCH("curfew",Q933)),ISNUMBER(SEARCH("internet shutdown",Q933))),5,MIN(4,1+IF(H933&gt;=7,1,0)+IF(OR(ISNUMBER(SEARCH("hunger strike",Q933)),ISNUMBER(SEARCH("blockade",Q933)),ISNUMBER(SEARCH("strike",Q933)),ISNUMBER(SEARCH("jal satyagraha",Q933)),ISNUMBER(SEARCH("survey",Q933)),ISNUMBER(SEARCH("human chain",Q933)),ISNUMBER(SEARCH("march",Q933))),1,0)+IF(OR(ISNUMBER(SEARCH("fir",Q933)),ISNUMBER(SEARCH("confrontation",Q933)),ISNUMBER(SEARCH("violence",Q933)),ISNUMBER(SEARCH("detention",Q933)),ISNUMBER(SEARCH("arrest",Q933)),ISNUMBER(SEARCH("demolition",Q933)),ISNUMBER(SEARCH("injury",Q933))),1,0)+IF(OR(D933="Ongoing",D933="Unresolved"),1,0))))</x:f>
      </x:c>
      <x:c r="K933" s="16" t="str">
        <x:f>IF(J933="","",IF(J933=1,"Limited",IF(J933=2,"Local",IF(J933=3,"Significant",IF(J933=4,"High","Critical")))))</x:f>
      </x:c>
      <x:c r="L933" s="16" t="str">
        <x:f>IF(A933="","",Events!U932)</x:f>
      </x:c>
      <x:c r="M933" s="16" t="str">
        <x:f>IF(A933="","",Events!V932)</x:f>
      </x:c>
      <x:c r="N933" s="16" t="str">
        <x:f>IF(A933="","",Events!Q932)</x:f>
      </x:c>
      <x:c r="O933" s="16" t="str">
        <x:f>IF(A933="","",Events!R932)</x:f>
      </x:c>
      <x:c r="P933" s="16" t="str">
        <x:f>IF(A933="","",LOWER(Events!B932&amp;" "&amp;Events!D932&amp;" "&amp;Events!K932))</x:f>
      </x:c>
      <x:c r="Q933" s="16" t="str">
        <x:f>IF(A933="","",LOWER(Events!C932&amp;" "&amp;Events!K932&amp;" "&amp;Events!T932))</x:f>
      </x:c>
      <x:c r="R933" s="16" t="str">
        <x:f>IF(A933="","",IF(ISNUMBER(SEARCH("Occurrence verified",E933)),"Occurrence verified",E933))</x:f>
      </x:c>
      <x:c r="S933" s="79" t="str">
        <x:f>IF(A933="","",Events!X932)</x:f>
      </x:c>
      <x:c r="Z933" s="79" t="str">
        <x:f>IF(A933="","",Events!AD932)</x:f>
      </x:c>
      <x:c r="AA933" s="79" t="str">
        <x:f>IF(A933="","",Events!AE932)</x:f>
      </x:c>
    </x:row>
    <x:row r="934">
      <x:c r="A934" s="16" t="str">
        <x:f>IF(Events!A933="","",Events!A933)</x:f>
      </x:c>
      <x:c r="B934" s="16" t="str">
        <x:f>IF(A934="","",Events!B933)</x:f>
      </x:c>
      <x:c r="C934" s="16" t="str">
        <x:f>IF(A934="","",Events!E933)</x:f>
      </x:c>
      <x:c r="D934" s="16" t="str">
        <x:f>IF(A934="","",Events!J933)</x:f>
      </x:c>
      <x:c r="E934" s="16" t="str">
        <x:f>IF(A934="","",Events!N933)</x:f>
      </x:c>
      <x:c r="F934" s="109" t="str">
        <x:f>IF(OR(A934="",Events!H933=""),"",Events!H933)</x:f>
      </x:c>
      <x:c r="G934" s="109" t="str">
        <x:f>IF(A934="","",IF(Events!I933&lt;&gt;"",Events!I933,IF(Events!S933&lt;&gt;"",Events!S933,"")))</x:f>
      </x:c>
      <x:c r="H934" s="16" t="str">
        <x:f>IF(A934="","",Events!W933)</x:f>
      </x:c>
      <x:c r="I934" s="16" t="str">
        <x:f>IF(A934="","",IF(Events!Y933&lt;&gt;"",Events!Y933,IF(OR(ISNUMBER(SEARCH("education",P934)),ISNUMBER(SEARCH("exam",P934)),ISNUMBER(SEARCH("school",P934))),"Education",IF(OR(ISNUMBER(SEARCH("trade agreement",P934)),ISNUMBER(SEARCH("economic",P934)),ISNUMBER(SEARCH("import",P934))),"Trade &amp; economic policy",IF(OR(ISNUMBER(SEARCH("land acquisition",P934)),ISNUMBER(SEARCH("rehabilitation",P934)),ISNUMBER(SEARCH("displacement",P934)),ISNUMBER(SEARCH("township",P934))),"Land &amp; rehabilitation",IF(OR(ISNUMBER(SEARCH("forest",P934)),ISNUMBER(SEARCH("environment",P934)),ISNUMBER(SEARCH("ecological",P934)),ISNUMBER(SEARCH("biodiversity",P934)),ISNUMBER(SEARCH("green cover",P934))),"Environment",IF(OR(ISNUMBER(SEARCH("irrigation",P934)),ISNUMBER(SEARCH("water",P934)),ISNUMBER(SEARCH("crop",P934)),ISNUMBER(SEARCH("farmer",P934)),ISNUMBER(SEARCH("agriculture",P934))),"Agriculture &amp; water",IF(OR(ISNUMBER(SEARCH("health",P934)),ISNUMBER(SEARCH("hospital",P934)),ISNUMBER(SEARCH("medicine",P934))),"Public health",IF(OR(ISNUMBER(SEARCH("employee",P934)),ISNUMBER(SEARCH("labour",P934)),ISNUMBER(SEARCH("worker",P934)),ISNUMBER(SEARCH("salary",P934))),"Labour &amp; employment",IF(OR(ISNUMBER(SEARCH("rti",P934)),ISNUMBER(SEARCH("transparency",P934)),ISNUMBER(SEARCH("corruption",P934)),ISNUMBER(SEARCH("governance",P934))),"Governance &amp; transparency",IF(OR(ISNUMBER(SEARCH("police",P934)),ISNUMBER(SEARCH("detention",P934)),ISNUMBER(SEARCH("civil rights",P934)),ISNUMBER(SEARCH("justice",P934))),"Civil rights &amp; justice",IF(OR(ISNUMBER(SEARCH("road",P934)),ISNUMBER(SEARCH("utility",P934)),ISNUMBER(SEARCH("infrastructure",P934)),ISNUMBER(SEARCH("public service",P934))),"Infrastructure &amp; public services","Other"))))))))))))</x:f>
      </x:c>
      <x:c r="J934" s="16" t="str">
        <x:f>IF(A934="","",IF(OR(ISNUMBER(SEARCH("fatal",Q934)),ISNUMBER(SEARCH("death",Q934)),ISNUMBER(SEARCH("riot",Q934)),ISNUMBER(SEARCH("curfew",Q934)),ISNUMBER(SEARCH("internet shutdown",Q934))),5,MIN(4,1+IF(H934&gt;=7,1,0)+IF(OR(ISNUMBER(SEARCH("hunger strike",Q934)),ISNUMBER(SEARCH("blockade",Q934)),ISNUMBER(SEARCH("strike",Q934)),ISNUMBER(SEARCH("jal satyagraha",Q934)),ISNUMBER(SEARCH("survey",Q934)),ISNUMBER(SEARCH("human chain",Q934)),ISNUMBER(SEARCH("march",Q934))),1,0)+IF(OR(ISNUMBER(SEARCH("fir",Q934)),ISNUMBER(SEARCH("confrontation",Q934)),ISNUMBER(SEARCH("violence",Q934)),ISNUMBER(SEARCH("detention",Q934)),ISNUMBER(SEARCH("arrest",Q934)),ISNUMBER(SEARCH("demolition",Q934)),ISNUMBER(SEARCH("injury",Q934))),1,0)+IF(OR(D934="Ongoing",D934="Unresolved"),1,0))))</x:f>
      </x:c>
      <x:c r="K934" s="16" t="str">
        <x:f>IF(J934="","",IF(J934=1,"Limited",IF(J934=2,"Local",IF(J934=3,"Significant",IF(J934=4,"High","Critical")))))</x:f>
      </x:c>
      <x:c r="L934" s="16" t="str">
        <x:f>IF(A934="","",Events!U933)</x:f>
      </x:c>
      <x:c r="M934" s="16" t="str">
        <x:f>IF(A934="","",Events!V933)</x:f>
      </x:c>
      <x:c r="N934" s="16" t="str">
        <x:f>IF(A934="","",Events!Q933)</x:f>
      </x:c>
      <x:c r="O934" s="16" t="str">
        <x:f>IF(A934="","",Events!R933)</x:f>
      </x:c>
      <x:c r="P934" s="16" t="str">
        <x:f>IF(A934="","",LOWER(Events!B933&amp;" "&amp;Events!D933&amp;" "&amp;Events!K933))</x:f>
      </x:c>
      <x:c r="Q934" s="16" t="str">
        <x:f>IF(A934="","",LOWER(Events!C933&amp;" "&amp;Events!K933&amp;" "&amp;Events!T933))</x:f>
      </x:c>
      <x:c r="R934" s="16" t="str">
        <x:f>IF(A934="","",IF(ISNUMBER(SEARCH("Occurrence verified",E934)),"Occurrence verified",E934))</x:f>
      </x:c>
      <x:c r="S934" s="79" t="str">
        <x:f>IF(A934="","",Events!X933)</x:f>
      </x:c>
      <x:c r="Z934" s="79" t="str">
        <x:f>IF(A934="","",Events!AD933)</x:f>
      </x:c>
      <x:c r="AA934" s="79" t="str">
        <x:f>IF(A934="","",Events!AE933)</x:f>
      </x:c>
    </x:row>
    <x:row r="935">
      <x:c r="A935" s="16" t="str">
        <x:f>IF(Events!A934="","",Events!A934)</x:f>
      </x:c>
      <x:c r="B935" s="16" t="str">
        <x:f>IF(A935="","",Events!B934)</x:f>
      </x:c>
      <x:c r="C935" s="16" t="str">
        <x:f>IF(A935="","",Events!E934)</x:f>
      </x:c>
      <x:c r="D935" s="16" t="str">
        <x:f>IF(A935="","",Events!J934)</x:f>
      </x:c>
      <x:c r="E935" s="16" t="str">
        <x:f>IF(A935="","",Events!N934)</x:f>
      </x:c>
      <x:c r="F935" s="109" t="str">
        <x:f>IF(OR(A935="",Events!H934=""),"",Events!H934)</x:f>
      </x:c>
      <x:c r="G935" s="109" t="str">
        <x:f>IF(A935="","",IF(Events!I934&lt;&gt;"",Events!I934,IF(Events!S934&lt;&gt;"",Events!S934,"")))</x:f>
      </x:c>
      <x:c r="H935" s="16" t="str">
        <x:f>IF(A935="","",Events!W934)</x:f>
      </x:c>
      <x:c r="I935" s="16" t="str">
        <x:f>IF(A935="","",IF(Events!Y934&lt;&gt;"",Events!Y934,IF(OR(ISNUMBER(SEARCH("education",P935)),ISNUMBER(SEARCH("exam",P935)),ISNUMBER(SEARCH("school",P935))),"Education",IF(OR(ISNUMBER(SEARCH("trade agreement",P935)),ISNUMBER(SEARCH("economic",P935)),ISNUMBER(SEARCH("import",P935))),"Trade &amp; economic policy",IF(OR(ISNUMBER(SEARCH("land acquisition",P935)),ISNUMBER(SEARCH("rehabilitation",P935)),ISNUMBER(SEARCH("displacement",P935)),ISNUMBER(SEARCH("township",P935))),"Land &amp; rehabilitation",IF(OR(ISNUMBER(SEARCH("forest",P935)),ISNUMBER(SEARCH("environment",P935)),ISNUMBER(SEARCH("ecological",P935)),ISNUMBER(SEARCH("biodiversity",P935)),ISNUMBER(SEARCH("green cover",P935))),"Environment",IF(OR(ISNUMBER(SEARCH("irrigation",P935)),ISNUMBER(SEARCH("water",P935)),ISNUMBER(SEARCH("crop",P935)),ISNUMBER(SEARCH("farmer",P935)),ISNUMBER(SEARCH("agriculture",P935))),"Agriculture &amp; water",IF(OR(ISNUMBER(SEARCH("health",P935)),ISNUMBER(SEARCH("hospital",P935)),ISNUMBER(SEARCH("medicine",P935))),"Public health",IF(OR(ISNUMBER(SEARCH("employee",P935)),ISNUMBER(SEARCH("labour",P935)),ISNUMBER(SEARCH("worker",P935)),ISNUMBER(SEARCH("salary",P935))),"Labour &amp; employment",IF(OR(ISNUMBER(SEARCH("rti",P935)),ISNUMBER(SEARCH("transparency",P935)),ISNUMBER(SEARCH("corruption",P935)),ISNUMBER(SEARCH("governance",P935))),"Governance &amp; transparency",IF(OR(ISNUMBER(SEARCH("police",P935)),ISNUMBER(SEARCH("detention",P935)),ISNUMBER(SEARCH("civil rights",P935)),ISNUMBER(SEARCH("justice",P935))),"Civil rights &amp; justice",IF(OR(ISNUMBER(SEARCH("road",P935)),ISNUMBER(SEARCH("utility",P935)),ISNUMBER(SEARCH("infrastructure",P935)),ISNUMBER(SEARCH("public service",P935))),"Infrastructure &amp; public services","Other"))))))))))))</x:f>
      </x:c>
      <x:c r="J935" s="16" t="str">
        <x:f>IF(A935="","",IF(OR(ISNUMBER(SEARCH("fatal",Q935)),ISNUMBER(SEARCH("death",Q935)),ISNUMBER(SEARCH("riot",Q935)),ISNUMBER(SEARCH("curfew",Q935)),ISNUMBER(SEARCH("internet shutdown",Q935))),5,MIN(4,1+IF(H935&gt;=7,1,0)+IF(OR(ISNUMBER(SEARCH("hunger strike",Q935)),ISNUMBER(SEARCH("blockade",Q935)),ISNUMBER(SEARCH("strike",Q935)),ISNUMBER(SEARCH("jal satyagraha",Q935)),ISNUMBER(SEARCH("survey",Q935)),ISNUMBER(SEARCH("human chain",Q935)),ISNUMBER(SEARCH("march",Q935))),1,0)+IF(OR(ISNUMBER(SEARCH("fir",Q935)),ISNUMBER(SEARCH("confrontation",Q935)),ISNUMBER(SEARCH("violence",Q935)),ISNUMBER(SEARCH("detention",Q935)),ISNUMBER(SEARCH("arrest",Q935)),ISNUMBER(SEARCH("demolition",Q935)),ISNUMBER(SEARCH("injury",Q935))),1,0)+IF(OR(D935="Ongoing",D935="Unresolved"),1,0))))</x:f>
      </x:c>
      <x:c r="K935" s="16" t="str">
        <x:f>IF(J935="","",IF(J935=1,"Limited",IF(J935=2,"Local",IF(J935=3,"Significant",IF(J935=4,"High","Critical")))))</x:f>
      </x:c>
      <x:c r="L935" s="16" t="str">
        <x:f>IF(A935="","",Events!U934)</x:f>
      </x:c>
      <x:c r="M935" s="16" t="str">
        <x:f>IF(A935="","",Events!V934)</x:f>
      </x:c>
      <x:c r="N935" s="16" t="str">
        <x:f>IF(A935="","",Events!Q934)</x:f>
      </x:c>
      <x:c r="O935" s="16" t="str">
        <x:f>IF(A935="","",Events!R934)</x:f>
      </x:c>
      <x:c r="P935" s="16" t="str">
        <x:f>IF(A935="","",LOWER(Events!B934&amp;" "&amp;Events!D934&amp;" "&amp;Events!K934))</x:f>
      </x:c>
      <x:c r="Q935" s="16" t="str">
        <x:f>IF(A935="","",LOWER(Events!C934&amp;" "&amp;Events!K934&amp;" "&amp;Events!T934))</x:f>
      </x:c>
      <x:c r="R935" s="16" t="str">
        <x:f>IF(A935="","",IF(ISNUMBER(SEARCH("Occurrence verified",E935)),"Occurrence verified",E935))</x:f>
      </x:c>
      <x:c r="S935" s="79" t="str">
        <x:f>IF(A935="","",Events!X934)</x:f>
      </x:c>
      <x:c r="Z935" s="79" t="str">
        <x:f>IF(A935="","",Events!AD934)</x:f>
      </x:c>
      <x:c r="AA935" s="79" t="str">
        <x:f>IF(A935="","",Events!AE934)</x:f>
      </x:c>
    </x:row>
    <x:row r="936">
      <x:c r="A936" s="16" t="str">
        <x:f>IF(Events!A935="","",Events!A935)</x:f>
      </x:c>
      <x:c r="B936" s="16" t="str">
        <x:f>IF(A936="","",Events!B935)</x:f>
      </x:c>
      <x:c r="C936" s="16" t="str">
        <x:f>IF(A936="","",Events!E935)</x:f>
      </x:c>
      <x:c r="D936" s="16" t="str">
        <x:f>IF(A936="","",Events!J935)</x:f>
      </x:c>
      <x:c r="E936" s="16" t="str">
        <x:f>IF(A936="","",Events!N935)</x:f>
      </x:c>
      <x:c r="F936" s="109" t="str">
        <x:f>IF(OR(A936="",Events!H935=""),"",Events!H935)</x:f>
      </x:c>
      <x:c r="G936" s="109" t="str">
        <x:f>IF(A936="","",IF(Events!I935&lt;&gt;"",Events!I935,IF(Events!S935&lt;&gt;"",Events!S935,"")))</x:f>
      </x:c>
      <x:c r="H936" s="16" t="str">
        <x:f>IF(A936="","",Events!W935)</x:f>
      </x:c>
      <x:c r="I936" s="16" t="str">
        <x:f>IF(A936="","",IF(Events!Y935&lt;&gt;"",Events!Y935,IF(OR(ISNUMBER(SEARCH("education",P936)),ISNUMBER(SEARCH("exam",P936)),ISNUMBER(SEARCH("school",P936))),"Education",IF(OR(ISNUMBER(SEARCH("trade agreement",P936)),ISNUMBER(SEARCH("economic",P936)),ISNUMBER(SEARCH("import",P936))),"Trade &amp; economic policy",IF(OR(ISNUMBER(SEARCH("land acquisition",P936)),ISNUMBER(SEARCH("rehabilitation",P936)),ISNUMBER(SEARCH("displacement",P936)),ISNUMBER(SEARCH("township",P936))),"Land &amp; rehabilitation",IF(OR(ISNUMBER(SEARCH("forest",P936)),ISNUMBER(SEARCH("environment",P936)),ISNUMBER(SEARCH("ecological",P936)),ISNUMBER(SEARCH("biodiversity",P936)),ISNUMBER(SEARCH("green cover",P936))),"Environment",IF(OR(ISNUMBER(SEARCH("irrigation",P936)),ISNUMBER(SEARCH("water",P936)),ISNUMBER(SEARCH("crop",P936)),ISNUMBER(SEARCH("farmer",P936)),ISNUMBER(SEARCH("agriculture",P936))),"Agriculture &amp; water",IF(OR(ISNUMBER(SEARCH("health",P936)),ISNUMBER(SEARCH("hospital",P936)),ISNUMBER(SEARCH("medicine",P936))),"Public health",IF(OR(ISNUMBER(SEARCH("employee",P936)),ISNUMBER(SEARCH("labour",P936)),ISNUMBER(SEARCH("worker",P936)),ISNUMBER(SEARCH("salary",P936))),"Labour &amp; employment",IF(OR(ISNUMBER(SEARCH("rti",P936)),ISNUMBER(SEARCH("transparency",P936)),ISNUMBER(SEARCH("corruption",P936)),ISNUMBER(SEARCH("governance",P936))),"Governance &amp; transparency",IF(OR(ISNUMBER(SEARCH("police",P936)),ISNUMBER(SEARCH("detention",P936)),ISNUMBER(SEARCH("civil rights",P936)),ISNUMBER(SEARCH("justice",P936))),"Civil rights &amp; justice",IF(OR(ISNUMBER(SEARCH("road",P936)),ISNUMBER(SEARCH("utility",P936)),ISNUMBER(SEARCH("infrastructure",P936)),ISNUMBER(SEARCH("public service",P936))),"Infrastructure &amp; public services","Other"))))))))))))</x:f>
      </x:c>
      <x:c r="J936" s="16" t="str">
        <x:f>IF(A936="","",IF(OR(ISNUMBER(SEARCH("fatal",Q936)),ISNUMBER(SEARCH("death",Q936)),ISNUMBER(SEARCH("riot",Q936)),ISNUMBER(SEARCH("curfew",Q936)),ISNUMBER(SEARCH("internet shutdown",Q936))),5,MIN(4,1+IF(H936&gt;=7,1,0)+IF(OR(ISNUMBER(SEARCH("hunger strike",Q936)),ISNUMBER(SEARCH("blockade",Q936)),ISNUMBER(SEARCH("strike",Q936)),ISNUMBER(SEARCH("jal satyagraha",Q936)),ISNUMBER(SEARCH("survey",Q936)),ISNUMBER(SEARCH("human chain",Q936)),ISNUMBER(SEARCH("march",Q936))),1,0)+IF(OR(ISNUMBER(SEARCH("fir",Q936)),ISNUMBER(SEARCH("confrontation",Q936)),ISNUMBER(SEARCH("violence",Q936)),ISNUMBER(SEARCH("detention",Q936)),ISNUMBER(SEARCH("arrest",Q936)),ISNUMBER(SEARCH("demolition",Q936)),ISNUMBER(SEARCH("injury",Q936))),1,0)+IF(OR(D936="Ongoing",D936="Unresolved"),1,0))))</x:f>
      </x:c>
      <x:c r="K936" s="16" t="str">
        <x:f>IF(J936="","",IF(J936=1,"Limited",IF(J936=2,"Local",IF(J936=3,"Significant",IF(J936=4,"High","Critical")))))</x:f>
      </x:c>
      <x:c r="L936" s="16" t="str">
        <x:f>IF(A936="","",Events!U935)</x:f>
      </x:c>
      <x:c r="M936" s="16" t="str">
        <x:f>IF(A936="","",Events!V935)</x:f>
      </x:c>
      <x:c r="N936" s="16" t="str">
        <x:f>IF(A936="","",Events!Q935)</x:f>
      </x:c>
      <x:c r="O936" s="16" t="str">
        <x:f>IF(A936="","",Events!R935)</x:f>
      </x:c>
      <x:c r="P936" s="16" t="str">
        <x:f>IF(A936="","",LOWER(Events!B935&amp;" "&amp;Events!D935&amp;" "&amp;Events!K935))</x:f>
      </x:c>
      <x:c r="Q936" s="16" t="str">
        <x:f>IF(A936="","",LOWER(Events!C935&amp;" "&amp;Events!K935&amp;" "&amp;Events!T935))</x:f>
      </x:c>
      <x:c r="R936" s="16" t="str">
        <x:f>IF(A936="","",IF(ISNUMBER(SEARCH("Occurrence verified",E936)),"Occurrence verified",E936))</x:f>
      </x:c>
      <x:c r="S936" s="79" t="str">
        <x:f>IF(A936="","",Events!X935)</x:f>
      </x:c>
      <x:c r="Z936" s="79" t="str">
        <x:f>IF(A936="","",Events!AD935)</x:f>
      </x:c>
      <x:c r="AA936" s="79" t="str">
        <x:f>IF(A936="","",Events!AE935)</x:f>
      </x:c>
    </x:row>
    <x:row r="937">
      <x:c r="A937" s="16" t="str">
        <x:f>IF(Events!A936="","",Events!A936)</x:f>
      </x:c>
      <x:c r="B937" s="16" t="str">
        <x:f>IF(A937="","",Events!B936)</x:f>
      </x:c>
      <x:c r="C937" s="16" t="str">
        <x:f>IF(A937="","",Events!E936)</x:f>
      </x:c>
      <x:c r="D937" s="16" t="str">
        <x:f>IF(A937="","",Events!J936)</x:f>
      </x:c>
      <x:c r="E937" s="16" t="str">
        <x:f>IF(A937="","",Events!N936)</x:f>
      </x:c>
      <x:c r="F937" s="109" t="str">
        <x:f>IF(OR(A937="",Events!H936=""),"",Events!H936)</x:f>
      </x:c>
      <x:c r="G937" s="109" t="str">
        <x:f>IF(A937="","",IF(Events!I936&lt;&gt;"",Events!I936,IF(Events!S936&lt;&gt;"",Events!S936,"")))</x:f>
      </x:c>
      <x:c r="H937" s="16" t="str">
        <x:f>IF(A937="","",Events!W936)</x:f>
      </x:c>
      <x:c r="I937" s="16" t="str">
        <x:f>IF(A937="","",IF(Events!Y936&lt;&gt;"",Events!Y936,IF(OR(ISNUMBER(SEARCH("education",P937)),ISNUMBER(SEARCH("exam",P937)),ISNUMBER(SEARCH("school",P937))),"Education",IF(OR(ISNUMBER(SEARCH("trade agreement",P937)),ISNUMBER(SEARCH("economic",P937)),ISNUMBER(SEARCH("import",P937))),"Trade &amp; economic policy",IF(OR(ISNUMBER(SEARCH("land acquisition",P937)),ISNUMBER(SEARCH("rehabilitation",P937)),ISNUMBER(SEARCH("displacement",P937)),ISNUMBER(SEARCH("township",P937))),"Land &amp; rehabilitation",IF(OR(ISNUMBER(SEARCH("forest",P937)),ISNUMBER(SEARCH("environment",P937)),ISNUMBER(SEARCH("ecological",P937)),ISNUMBER(SEARCH("biodiversity",P937)),ISNUMBER(SEARCH("green cover",P937))),"Environment",IF(OR(ISNUMBER(SEARCH("irrigation",P937)),ISNUMBER(SEARCH("water",P937)),ISNUMBER(SEARCH("crop",P937)),ISNUMBER(SEARCH("farmer",P937)),ISNUMBER(SEARCH("agriculture",P937))),"Agriculture &amp; water",IF(OR(ISNUMBER(SEARCH("health",P937)),ISNUMBER(SEARCH("hospital",P937)),ISNUMBER(SEARCH("medicine",P937))),"Public health",IF(OR(ISNUMBER(SEARCH("employee",P937)),ISNUMBER(SEARCH("labour",P937)),ISNUMBER(SEARCH("worker",P937)),ISNUMBER(SEARCH("salary",P937))),"Labour &amp; employment",IF(OR(ISNUMBER(SEARCH("rti",P937)),ISNUMBER(SEARCH("transparency",P937)),ISNUMBER(SEARCH("corruption",P937)),ISNUMBER(SEARCH("governance",P937))),"Governance &amp; transparency",IF(OR(ISNUMBER(SEARCH("police",P937)),ISNUMBER(SEARCH("detention",P937)),ISNUMBER(SEARCH("civil rights",P937)),ISNUMBER(SEARCH("justice",P937))),"Civil rights &amp; justice",IF(OR(ISNUMBER(SEARCH("road",P937)),ISNUMBER(SEARCH("utility",P937)),ISNUMBER(SEARCH("infrastructure",P937)),ISNUMBER(SEARCH("public service",P937))),"Infrastructure &amp; public services","Other"))))))))))))</x:f>
      </x:c>
      <x:c r="J937" s="16" t="str">
        <x:f>IF(A937="","",IF(OR(ISNUMBER(SEARCH("fatal",Q937)),ISNUMBER(SEARCH("death",Q937)),ISNUMBER(SEARCH("riot",Q937)),ISNUMBER(SEARCH("curfew",Q937)),ISNUMBER(SEARCH("internet shutdown",Q937))),5,MIN(4,1+IF(H937&gt;=7,1,0)+IF(OR(ISNUMBER(SEARCH("hunger strike",Q937)),ISNUMBER(SEARCH("blockade",Q937)),ISNUMBER(SEARCH("strike",Q937)),ISNUMBER(SEARCH("jal satyagraha",Q937)),ISNUMBER(SEARCH("survey",Q937)),ISNUMBER(SEARCH("human chain",Q937)),ISNUMBER(SEARCH("march",Q937))),1,0)+IF(OR(ISNUMBER(SEARCH("fir",Q937)),ISNUMBER(SEARCH("confrontation",Q937)),ISNUMBER(SEARCH("violence",Q937)),ISNUMBER(SEARCH("detention",Q937)),ISNUMBER(SEARCH("arrest",Q937)),ISNUMBER(SEARCH("demolition",Q937)),ISNUMBER(SEARCH("injury",Q937))),1,0)+IF(OR(D937="Ongoing",D937="Unresolved"),1,0))))</x:f>
      </x:c>
      <x:c r="K937" s="16" t="str">
        <x:f>IF(J937="","",IF(J937=1,"Limited",IF(J937=2,"Local",IF(J937=3,"Significant",IF(J937=4,"High","Critical")))))</x:f>
      </x:c>
      <x:c r="L937" s="16" t="str">
        <x:f>IF(A937="","",Events!U936)</x:f>
      </x:c>
      <x:c r="M937" s="16" t="str">
        <x:f>IF(A937="","",Events!V936)</x:f>
      </x:c>
      <x:c r="N937" s="16" t="str">
        <x:f>IF(A937="","",Events!Q936)</x:f>
      </x:c>
      <x:c r="O937" s="16" t="str">
        <x:f>IF(A937="","",Events!R936)</x:f>
      </x:c>
      <x:c r="P937" s="16" t="str">
        <x:f>IF(A937="","",LOWER(Events!B936&amp;" "&amp;Events!D936&amp;" "&amp;Events!K936))</x:f>
      </x:c>
      <x:c r="Q937" s="16" t="str">
        <x:f>IF(A937="","",LOWER(Events!C936&amp;" "&amp;Events!K936&amp;" "&amp;Events!T936))</x:f>
      </x:c>
      <x:c r="R937" s="16" t="str">
        <x:f>IF(A937="","",IF(ISNUMBER(SEARCH("Occurrence verified",E937)),"Occurrence verified",E937))</x:f>
      </x:c>
      <x:c r="S937" s="79" t="str">
        <x:f>IF(A937="","",Events!X936)</x:f>
      </x:c>
      <x:c r="Z937" s="79" t="str">
        <x:f>IF(A937="","",Events!AD936)</x:f>
      </x:c>
      <x:c r="AA937" s="79" t="str">
        <x:f>IF(A937="","",Events!AE936)</x:f>
      </x:c>
    </x:row>
    <x:row r="938">
      <x:c r="A938" s="16" t="str">
        <x:f>IF(Events!A937="","",Events!A937)</x:f>
      </x:c>
      <x:c r="B938" s="16" t="str">
        <x:f>IF(A938="","",Events!B937)</x:f>
      </x:c>
      <x:c r="C938" s="16" t="str">
        <x:f>IF(A938="","",Events!E937)</x:f>
      </x:c>
      <x:c r="D938" s="16" t="str">
        <x:f>IF(A938="","",Events!J937)</x:f>
      </x:c>
      <x:c r="E938" s="16" t="str">
        <x:f>IF(A938="","",Events!N937)</x:f>
      </x:c>
      <x:c r="F938" s="109" t="str">
        <x:f>IF(OR(A938="",Events!H937=""),"",Events!H937)</x:f>
      </x:c>
      <x:c r="G938" s="109" t="str">
        <x:f>IF(A938="","",IF(Events!I937&lt;&gt;"",Events!I937,IF(Events!S937&lt;&gt;"",Events!S937,"")))</x:f>
      </x:c>
      <x:c r="H938" s="16" t="str">
        <x:f>IF(A938="","",Events!W937)</x:f>
      </x:c>
      <x:c r="I938" s="16" t="str">
        <x:f>IF(A938="","",IF(Events!Y937&lt;&gt;"",Events!Y937,IF(OR(ISNUMBER(SEARCH("education",P938)),ISNUMBER(SEARCH("exam",P938)),ISNUMBER(SEARCH("school",P938))),"Education",IF(OR(ISNUMBER(SEARCH("trade agreement",P938)),ISNUMBER(SEARCH("economic",P938)),ISNUMBER(SEARCH("import",P938))),"Trade &amp; economic policy",IF(OR(ISNUMBER(SEARCH("land acquisition",P938)),ISNUMBER(SEARCH("rehabilitation",P938)),ISNUMBER(SEARCH("displacement",P938)),ISNUMBER(SEARCH("township",P938))),"Land &amp; rehabilitation",IF(OR(ISNUMBER(SEARCH("forest",P938)),ISNUMBER(SEARCH("environment",P938)),ISNUMBER(SEARCH("ecological",P938)),ISNUMBER(SEARCH("biodiversity",P938)),ISNUMBER(SEARCH("green cover",P938))),"Environment",IF(OR(ISNUMBER(SEARCH("irrigation",P938)),ISNUMBER(SEARCH("water",P938)),ISNUMBER(SEARCH("crop",P938)),ISNUMBER(SEARCH("farmer",P938)),ISNUMBER(SEARCH("agriculture",P938))),"Agriculture &amp; water",IF(OR(ISNUMBER(SEARCH("health",P938)),ISNUMBER(SEARCH("hospital",P938)),ISNUMBER(SEARCH("medicine",P938))),"Public health",IF(OR(ISNUMBER(SEARCH("employee",P938)),ISNUMBER(SEARCH("labour",P938)),ISNUMBER(SEARCH("worker",P938)),ISNUMBER(SEARCH("salary",P938))),"Labour &amp; employment",IF(OR(ISNUMBER(SEARCH("rti",P938)),ISNUMBER(SEARCH("transparency",P938)),ISNUMBER(SEARCH("corruption",P938)),ISNUMBER(SEARCH("governance",P938))),"Governance &amp; transparency",IF(OR(ISNUMBER(SEARCH("police",P938)),ISNUMBER(SEARCH("detention",P938)),ISNUMBER(SEARCH("civil rights",P938)),ISNUMBER(SEARCH("justice",P938))),"Civil rights &amp; justice",IF(OR(ISNUMBER(SEARCH("road",P938)),ISNUMBER(SEARCH("utility",P938)),ISNUMBER(SEARCH("infrastructure",P938)),ISNUMBER(SEARCH("public service",P938))),"Infrastructure &amp; public services","Other"))))))))))))</x:f>
      </x:c>
      <x:c r="J938" s="16" t="str">
        <x:f>IF(A938="","",IF(OR(ISNUMBER(SEARCH("fatal",Q938)),ISNUMBER(SEARCH("death",Q938)),ISNUMBER(SEARCH("riot",Q938)),ISNUMBER(SEARCH("curfew",Q938)),ISNUMBER(SEARCH("internet shutdown",Q938))),5,MIN(4,1+IF(H938&gt;=7,1,0)+IF(OR(ISNUMBER(SEARCH("hunger strike",Q938)),ISNUMBER(SEARCH("blockade",Q938)),ISNUMBER(SEARCH("strike",Q938)),ISNUMBER(SEARCH("jal satyagraha",Q938)),ISNUMBER(SEARCH("survey",Q938)),ISNUMBER(SEARCH("human chain",Q938)),ISNUMBER(SEARCH("march",Q938))),1,0)+IF(OR(ISNUMBER(SEARCH("fir",Q938)),ISNUMBER(SEARCH("confrontation",Q938)),ISNUMBER(SEARCH("violence",Q938)),ISNUMBER(SEARCH("detention",Q938)),ISNUMBER(SEARCH("arrest",Q938)),ISNUMBER(SEARCH("demolition",Q938)),ISNUMBER(SEARCH("injury",Q938))),1,0)+IF(OR(D938="Ongoing",D938="Unresolved"),1,0))))</x:f>
      </x:c>
      <x:c r="K938" s="16" t="str">
        <x:f>IF(J938="","",IF(J938=1,"Limited",IF(J938=2,"Local",IF(J938=3,"Significant",IF(J938=4,"High","Critical")))))</x:f>
      </x:c>
      <x:c r="L938" s="16" t="str">
        <x:f>IF(A938="","",Events!U937)</x:f>
      </x:c>
      <x:c r="M938" s="16" t="str">
        <x:f>IF(A938="","",Events!V937)</x:f>
      </x:c>
      <x:c r="N938" s="16" t="str">
        <x:f>IF(A938="","",Events!Q937)</x:f>
      </x:c>
      <x:c r="O938" s="16" t="str">
        <x:f>IF(A938="","",Events!R937)</x:f>
      </x:c>
      <x:c r="P938" s="16" t="str">
        <x:f>IF(A938="","",LOWER(Events!B937&amp;" "&amp;Events!D937&amp;" "&amp;Events!K937))</x:f>
      </x:c>
      <x:c r="Q938" s="16" t="str">
        <x:f>IF(A938="","",LOWER(Events!C937&amp;" "&amp;Events!K937&amp;" "&amp;Events!T937))</x:f>
      </x:c>
      <x:c r="R938" s="16" t="str">
        <x:f>IF(A938="","",IF(ISNUMBER(SEARCH("Occurrence verified",E938)),"Occurrence verified",E938))</x:f>
      </x:c>
      <x:c r="S938" s="79" t="str">
        <x:f>IF(A938="","",Events!X937)</x:f>
      </x:c>
      <x:c r="Z938" s="79" t="str">
        <x:f>IF(A938="","",Events!AD937)</x:f>
      </x:c>
      <x:c r="AA938" s="79" t="str">
        <x:f>IF(A938="","",Events!AE937)</x:f>
      </x:c>
    </x:row>
    <x:row r="939">
      <x:c r="A939" s="16" t="str">
        <x:f>IF(Events!A938="","",Events!A938)</x:f>
      </x:c>
      <x:c r="B939" s="16" t="str">
        <x:f>IF(A939="","",Events!B938)</x:f>
      </x:c>
      <x:c r="C939" s="16" t="str">
        <x:f>IF(A939="","",Events!E938)</x:f>
      </x:c>
      <x:c r="D939" s="16" t="str">
        <x:f>IF(A939="","",Events!J938)</x:f>
      </x:c>
      <x:c r="E939" s="16" t="str">
        <x:f>IF(A939="","",Events!N938)</x:f>
      </x:c>
      <x:c r="F939" s="109" t="str">
        <x:f>IF(OR(A939="",Events!H938=""),"",Events!H938)</x:f>
      </x:c>
      <x:c r="G939" s="109" t="str">
        <x:f>IF(A939="","",IF(Events!I938&lt;&gt;"",Events!I938,IF(Events!S938&lt;&gt;"",Events!S938,"")))</x:f>
      </x:c>
      <x:c r="H939" s="16" t="str">
        <x:f>IF(A939="","",Events!W938)</x:f>
      </x:c>
      <x:c r="I939" s="16" t="str">
        <x:f>IF(A939="","",IF(Events!Y938&lt;&gt;"",Events!Y938,IF(OR(ISNUMBER(SEARCH("education",P939)),ISNUMBER(SEARCH("exam",P939)),ISNUMBER(SEARCH("school",P939))),"Education",IF(OR(ISNUMBER(SEARCH("trade agreement",P939)),ISNUMBER(SEARCH("economic",P939)),ISNUMBER(SEARCH("import",P939))),"Trade &amp; economic policy",IF(OR(ISNUMBER(SEARCH("land acquisition",P939)),ISNUMBER(SEARCH("rehabilitation",P939)),ISNUMBER(SEARCH("displacement",P939)),ISNUMBER(SEARCH("township",P939))),"Land &amp; rehabilitation",IF(OR(ISNUMBER(SEARCH("forest",P939)),ISNUMBER(SEARCH("environment",P939)),ISNUMBER(SEARCH("ecological",P939)),ISNUMBER(SEARCH("biodiversity",P939)),ISNUMBER(SEARCH("green cover",P939))),"Environment",IF(OR(ISNUMBER(SEARCH("irrigation",P939)),ISNUMBER(SEARCH("water",P939)),ISNUMBER(SEARCH("crop",P939)),ISNUMBER(SEARCH("farmer",P939)),ISNUMBER(SEARCH("agriculture",P939))),"Agriculture &amp; water",IF(OR(ISNUMBER(SEARCH("health",P939)),ISNUMBER(SEARCH("hospital",P939)),ISNUMBER(SEARCH("medicine",P939))),"Public health",IF(OR(ISNUMBER(SEARCH("employee",P939)),ISNUMBER(SEARCH("labour",P939)),ISNUMBER(SEARCH("worker",P939)),ISNUMBER(SEARCH("salary",P939))),"Labour &amp; employment",IF(OR(ISNUMBER(SEARCH("rti",P939)),ISNUMBER(SEARCH("transparency",P939)),ISNUMBER(SEARCH("corruption",P939)),ISNUMBER(SEARCH("governance",P939))),"Governance &amp; transparency",IF(OR(ISNUMBER(SEARCH("police",P939)),ISNUMBER(SEARCH("detention",P939)),ISNUMBER(SEARCH("civil rights",P939)),ISNUMBER(SEARCH("justice",P939))),"Civil rights &amp; justice",IF(OR(ISNUMBER(SEARCH("road",P939)),ISNUMBER(SEARCH("utility",P939)),ISNUMBER(SEARCH("infrastructure",P939)),ISNUMBER(SEARCH("public service",P939))),"Infrastructure &amp; public services","Other"))))))))))))</x:f>
      </x:c>
      <x:c r="J939" s="16" t="str">
        <x:f>IF(A939="","",IF(OR(ISNUMBER(SEARCH("fatal",Q939)),ISNUMBER(SEARCH("death",Q939)),ISNUMBER(SEARCH("riot",Q939)),ISNUMBER(SEARCH("curfew",Q939)),ISNUMBER(SEARCH("internet shutdown",Q939))),5,MIN(4,1+IF(H939&gt;=7,1,0)+IF(OR(ISNUMBER(SEARCH("hunger strike",Q939)),ISNUMBER(SEARCH("blockade",Q939)),ISNUMBER(SEARCH("strike",Q939)),ISNUMBER(SEARCH("jal satyagraha",Q939)),ISNUMBER(SEARCH("survey",Q939)),ISNUMBER(SEARCH("human chain",Q939)),ISNUMBER(SEARCH("march",Q939))),1,0)+IF(OR(ISNUMBER(SEARCH("fir",Q939)),ISNUMBER(SEARCH("confrontation",Q939)),ISNUMBER(SEARCH("violence",Q939)),ISNUMBER(SEARCH("detention",Q939)),ISNUMBER(SEARCH("arrest",Q939)),ISNUMBER(SEARCH("demolition",Q939)),ISNUMBER(SEARCH("injury",Q939))),1,0)+IF(OR(D939="Ongoing",D939="Unresolved"),1,0))))</x:f>
      </x:c>
      <x:c r="K939" s="16" t="str">
        <x:f>IF(J939="","",IF(J939=1,"Limited",IF(J939=2,"Local",IF(J939=3,"Significant",IF(J939=4,"High","Critical")))))</x:f>
      </x:c>
      <x:c r="L939" s="16" t="str">
        <x:f>IF(A939="","",Events!U938)</x:f>
      </x:c>
      <x:c r="M939" s="16" t="str">
        <x:f>IF(A939="","",Events!V938)</x:f>
      </x:c>
      <x:c r="N939" s="16" t="str">
        <x:f>IF(A939="","",Events!Q938)</x:f>
      </x:c>
      <x:c r="O939" s="16" t="str">
        <x:f>IF(A939="","",Events!R938)</x:f>
      </x:c>
      <x:c r="P939" s="16" t="str">
        <x:f>IF(A939="","",LOWER(Events!B938&amp;" "&amp;Events!D938&amp;" "&amp;Events!K938))</x:f>
      </x:c>
      <x:c r="Q939" s="16" t="str">
        <x:f>IF(A939="","",LOWER(Events!C938&amp;" "&amp;Events!K938&amp;" "&amp;Events!T938))</x:f>
      </x:c>
      <x:c r="R939" s="16" t="str">
        <x:f>IF(A939="","",IF(ISNUMBER(SEARCH("Occurrence verified",E939)),"Occurrence verified",E939))</x:f>
      </x:c>
      <x:c r="S939" s="79" t="str">
        <x:f>IF(A939="","",Events!X938)</x:f>
      </x:c>
      <x:c r="Z939" s="79" t="str">
        <x:f>IF(A939="","",Events!AD938)</x:f>
      </x:c>
      <x:c r="AA939" s="79" t="str">
        <x:f>IF(A939="","",Events!AE938)</x:f>
      </x:c>
    </x:row>
    <x:row r="940">
      <x:c r="A940" s="16" t="str">
        <x:f>IF(Events!A939="","",Events!A939)</x:f>
      </x:c>
      <x:c r="B940" s="16" t="str">
        <x:f>IF(A940="","",Events!B939)</x:f>
      </x:c>
      <x:c r="C940" s="16" t="str">
        <x:f>IF(A940="","",Events!E939)</x:f>
      </x:c>
      <x:c r="D940" s="16" t="str">
        <x:f>IF(A940="","",Events!J939)</x:f>
      </x:c>
      <x:c r="E940" s="16" t="str">
        <x:f>IF(A940="","",Events!N939)</x:f>
      </x:c>
      <x:c r="F940" s="109" t="str">
        <x:f>IF(OR(A940="",Events!H939=""),"",Events!H939)</x:f>
      </x:c>
      <x:c r="G940" s="109" t="str">
        <x:f>IF(A940="","",IF(Events!I939&lt;&gt;"",Events!I939,IF(Events!S939&lt;&gt;"",Events!S939,"")))</x:f>
      </x:c>
      <x:c r="H940" s="16" t="str">
        <x:f>IF(A940="","",Events!W939)</x:f>
      </x:c>
      <x:c r="I940" s="16" t="str">
        <x:f>IF(A940="","",IF(Events!Y939&lt;&gt;"",Events!Y939,IF(OR(ISNUMBER(SEARCH("education",P940)),ISNUMBER(SEARCH("exam",P940)),ISNUMBER(SEARCH("school",P940))),"Education",IF(OR(ISNUMBER(SEARCH("trade agreement",P940)),ISNUMBER(SEARCH("economic",P940)),ISNUMBER(SEARCH("import",P940))),"Trade &amp; economic policy",IF(OR(ISNUMBER(SEARCH("land acquisition",P940)),ISNUMBER(SEARCH("rehabilitation",P940)),ISNUMBER(SEARCH("displacement",P940)),ISNUMBER(SEARCH("township",P940))),"Land &amp; rehabilitation",IF(OR(ISNUMBER(SEARCH("forest",P940)),ISNUMBER(SEARCH("environment",P940)),ISNUMBER(SEARCH("ecological",P940)),ISNUMBER(SEARCH("biodiversity",P940)),ISNUMBER(SEARCH("green cover",P940))),"Environment",IF(OR(ISNUMBER(SEARCH("irrigation",P940)),ISNUMBER(SEARCH("water",P940)),ISNUMBER(SEARCH("crop",P940)),ISNUMBER(SEARCH("farmer",P940)),ISNUMBER(SEARCH("agriculture",P940))),"Agriculture &amp; water",IF(OR(ISNUMBER(SEARCH("health",P940)),ISNUMBER(SEARCH("hospital",P940)),ISNUMBER(SEARCH("medicine",P940))),"Public health",IF(OR(ISNUMBER(SEARCH("employee",P940)),ISNUMBER(SEARCH("labour",P940)),ISNUMBER(SEARCH("worker",P940)),ISNUMBER(SEARCH("salary",P940))),"Labour &amp; employment",IF(OR(ISNUMBER(SEARCH("rti",P940)),ISNUMBER(SEARCH("transparency",P940)),ISNUMBER(SEARCH("corruption",P940)),ISNUMBER(SEARCH("governance",P940))),"Governance &amp; transparency",IF(OR(ISNUMBER(SEARCH("police",P940)),ISNUMBER(SEARCH("detention",P940)),ISNUMBER(SEARCH("civil rights",P940)),ISNUMBER(SEARCH("justice",P940))),"Civil rights &amp; justice",IF(OR(ISNUMBER(SEARCH("road",P940)),ISNUMBER(SEARCH("utility",P940)),ISNUMBER(SEARCH("infrastructure",P940)),ISNUMBER(SEARCH("public service",P940))),"Infrastructure &amp; public services","Other"))))))))))))</x:f>
      </x:c>
      <x:c r="J940" s="16" t="str">
        <x:f>IF(A940="","",IF(OR(ISNUMBER(SEARCH("fatal",Q940)),ISNUMBER(SEARCH("death",Q940)),ISNUMBER(SEARCH("riot",Q940)),ISNUMBER(SEARCH("curfew",Q940)),ISNUMBER(SEARCH("internet shutdown",Q940))),5,MIN(4,1+IF(H940&gt;=7,1,0)+IF(OR(ISNUMBER(SEARCH("hunger strike",Q940)),ISNUMBER(SEARCH("blockade",Q940)),ISNUMBER(SEARCH("strike",Q940)),ISNUMBER(SEARCH("jal satyagraha",Q940)),ISNUMBER(SEARCH("survey",Q940)),ISNUMBER(SEARCH("human chain",Q940)),ISNUMBER(SEARCH("march",Q940))),1,0)+IF(OR(ISNUMBER(SEARCH("fir",Q940)),ISNUMBER(SEARCH("confrontation",Q940)),ISNUMBER(SEARCH("violence",Q940)),ISNUMBER(SEARCH("detention",Q940)),ISNUMBER(SEARCH("arrest",Q940)),ISNUMBER(SEARCH("demolition",Q940)),ISNUMBER(SEARCH("injury",Q940))),1,0)+IF(OR(D940="Ongoing",D940="Unresolved"),1,0))))</x:f>
      </x:c>
      <x:c r="K940" s="16" t="str">
        <x:f>IF(J940="","",IF(J940=1,"Limited",IF(J940=2,"Local",IF(J940=3,"Significant",IF(J940=4,"High","Critical")))))</x:f>
      </x:c>
      <x:c r="L940" s="16" t="str">
        <x:f>IF(A940="","",Events!U939)</x:f>
      </x:c>
      <x:c r="M940" s="16" t="str">
        <x:f>IF(A940="","",Events!V939)</x:f>
      </x:c>
      <x:c r="N940" s="16" t="str">
        <x:f>IF(A940="","",Events!Q939)</x:f>
      </x:c>
      <x:c r="O940" s="16" t="str">
        <x:f>IF(A940="","",Events!R939)</x:f>
      </x:c>
      <x:c r="P940" s="16" t="str">
        <x:f>IF(A940="","",LOWER(Events!B939&amp;" "&amp;Events!D939&amp;" "&amp;Events!K939))</x:f>
      </x:c>
      <x:c r="Q940" s="16" t="str">
        <x:f>IF(A940="","",LOWER(Events!C939&amp;" "&amp;Events!K939&amp;" "&amp;Events!T939))</x:f>
      </x:c>
      <x:c r="R940" s="16" t="str">
        <x:f>IF(A940="","",IF(ISNUMBER(SEARCH("Occurrence verified",E940)),"Occurrence verified",E940))</x:f>
      </x:c>
      <x:c r="S940" s="79" t="str">
        <x:f>IF(A940="","",Events!X939)</x:f>
      </x:c>
      <x:c r="Z940" s="79" t="str">
        <x:f>IF(A940="","",Events!AD939)</x:f>
      </x:c>
      <x:c r="AA940" s="79" t="str">
        <x:f>IF(A940="","",Events!AE939)</x:f>
      </x:c>
    </x:row>
    <x:row r="941">
      <x:c r="A941" s="16" t="str">
        <x:f>IF(Events!A940="","",Events!A940)</x:f>
      </x:c>
      <x:c r="B941" s="16" t="str">
        <x:f>IF(A941="","",Events!B940)</x:f>
      </x:c>
      <x:c r="C941" s="16" t="str">
        <x:f>IF(A941="","",Events!E940)</x:f>
      </x:c>
      <x:c r="D941" s="16" t="str">
        <x:f>IF(A941="","",Events!J940)</x:f>
      </x:c>
      <x:c r="E941" s="16" t="str">
        <x:f>IF(A941="","",Events!N940)</x:f>
      </x:c>
      <x:c r="F941" s="109" t="str">
        <x:f>IF(OR(A941="",Events!H940=""),"",Events!H940)</x:f>
      </x:c>
      <x:c r="G941" s="109" t="str">
        <x:f>IF(A941="","",IF(Events!I940&lt;&gt;"",Events!I940,IF(Events!S940&lt;&gt;"",Events!S940,"")))</x:f>
      </x:c>
      <x:c r="H941" s="16" t="str">
        <x:f>IF(A941="","",Events!W940)</x:f>
      </x:c>
      <x:c r="I941" s="16" t="str">
        <x:f>IF(A941="","",IF(Events!Y940&lt;&gt;"",Events!Y940,IF(OR(ISNUMBER(SEARCH("education",P941)),ISNUMBER(SEARCH("exam",P941)),ISNUMBER(SEARCH("school",P941))),"Education",IF(OR(ISNUMBER(SEARCH("trade agreement",P941)),ISNUMBER(SEARCH("economic",P941)),ISNUMBER(SEARCH("import",P941))),"Trade &amp; economic policy",IF(OR(ISNUMBER(SEARCH("land acquisition",P941)),ISNUMBER(SEARCH("rehabilitation",P941)),ISNUMBER(SEARCH("displacement",P941)),ISNUMBER(SEARCH("township",P941))),"Land &amp; rehabilitation",IF(OR(ISNUMBER(SEARCH("forest",P941)),ISNUMBER(SEARCH("environment",P941)),ISNUMBER(SEARCH("ecological",P941)),ISNUMBER(SEARCH("biodiversity",P941)),ISNUMBER(SEARCH("green cover",P941))),"Environment",IF(OR(ISNUMBER(SEARCH("irrigation",P941)),ISNUMBER(SEARCH("water",P941)),ISNUMBER(SEARCH("crop",P941)),ISNUMBER(SEARCH("farmer",P941)),ISNUMBER(SEARCH("agriculture",P941))),"Agriculture &amp; water",IF(OR(ISNUMBER(SEARCH("health",P941)),ISNUMBER(SEARCH("hospital",P941)),ISNUMBER(SEARCH("medicine",P941))),"Public health",IF(OR(ISNUMBER(SEARCH("employee",P941)),ISNUMBER(SEARCH("labour",P941)),ISNUMBER(SEARCH("worker",P941)),ISNUMBER(SEARCH("salary",P941))),"Labour &amp; employment",IF(OR(ISNUMBER(SEARCH("rti",P941)),ISNUMBER(SEARCH("transparency",P941)),ISNUMBER(SEARCH("corruption",P941)),ISNUMBER(SEARCH("governance",P941))),"Governance &amp; transparency",IF(OR(ISNUMBER(SEARCH("police",P941)),ISNUMBER(SEARCH("detention",P941)),ISNUMBER(SEARCH("civil rights",P941)),ISNUMBER(SEARCH("justice",P941))),"Civil rights &amp; justice",IF(OR(ISNUMBER(SEARCH("road",P941)),ISNUMBER(SEARCH("utility",P941)),ISNUMBER(SEARCH("infrastructure",P941)),ISNUMBER(SEARCH("public service",P941))),"Infrastructure &amp; public services","Other"))))))))))))</x:f>
      </x:c>
      <x:c r="J941" s="16" t="str">
        <x:f>IF(A941="","",IF(OR(ISNUMBER(SEARCH("fatal",Q941)),ISNUMBER(SEARCH("death",Q941)),ISNUMBER(SEARCH("riot",Q941)),ISNUMBER(SEARCH("curfew",Q941)),ISNUMBER(SEARCH("internet shutdown",Q941))),5,MIN(4,1+IF(H941&gt;=7,1,0)+IF(OR(ISNUMBER(SEARCH("hunger strike",Q941)),ISNUMBER(SEARCH("blockade",Q941)),ISNUMBER(SEARCH("strike",Q941)),ISNUMBER(SEARCH("jal satyagraha",Q941)),ISNUMBER(SEARCH("survey",Q941)),ISNUMBER(SEARCH("human chain",Q941)),ISNUMBER(SEARCH("march",Q941))),1,0)+IF(OR(ISNUMBER(SEARCH("fir",Q941)),ISNUMBER(SEARCH("confrontation",Q941)),ISNUMBER(SEARCH("violence",Q941)),ISNUMBER(SEARCH("detention",Q941)),ISNUMBER(SEARCH("arrest",Q941)),ISNUMBER(SEARCH("demolition",Q941)),ISNUMBER(SEARCH("injury",Q941))),1,0)+IF(OR(D941="Ongoing",D941="Unresolved"),1,0))))</x:f>
      </x:c>
      <x:c r="K941" s="16" t="str">
        <x:f>IF(J941="","",IF(J941=1,"Limited",IF(J941=2,"Local",IF(J941=3,"Significant",IF(J941=4,"High","Critical")))))</x:f>
      </x:c>
      <x:c r="L941" s="16" t="str">
        <x:f>IF(A941="","",Events!U940)</x:f>
      </x:c>
      <x:c r="M941" s="16" t="str">
        <x:f>IF(A941="","",Events!V940)</x:f>
      </x:c>
      <x:c r="N941" s="16" t="str">
        <x:f>IF(A941="","",Events!Q940)</x:f>
      </x:c>
      <x:c r="O941" s="16" t="str">
        <x:f>IF(A941="","",Events!R940)</x:f>
      </x:c>
      <x:c r="P941" s="16" t="str">
        <x:f>IF(A941="","",LOWER(Events!B940&amp;" "&amp;Events!D940&amp;" "&amp;Events!K940))</x:f>
      </x:c>
      <x:c r="Q941" s="16" t="str">
        <x:f>IF(A941="","",LOWER(Events!C940&amp;" "&amp;Events!K940&amp;" "&amp;Events!T940))</x:f>
      </x:c>
      <x:c r="R941" s="16" t="str">
        <x:f>IF(A941="","",IF(ISNUMBER(SEARCH("Occurrence verified",E941)),"Occurrence verified",E941))</x:f>
      </x:c>
      <x:c r="S941" s="79" t="str">
        <x:f>IF(A941="","",Events!X940)</x:f>
      </x:c>
      <x:c r="Z941" s="79" t="str">
        <x:f>IF(A941="","",Events!AD940)</x:f>
      </x:c>
      <x:c r="AA941" s="79" t="str">
        <x:f>IF(A941="","",Events!AE940)</x:f>
      </x:c>
    </x:row>
    <x:row r="942">
      <x:c r="A942" s="16" t="str">
        <x:f>IF(Events!A941="","",Events!A941)</x:f>
      </x:c>
      <x:c r="B942" s="16" t="str">
        <x:f>IF(A942="","",Events!B941)</x:f>
      </x:c>
      <x:c r="C942" s="16" t="str">
        <x:f>IF(A942="","",Events!E941)</x:f>
      </x:c>
      <x:c r="D942" s="16" t="str">
        <x:f>IF(A942="","",Events!J941)</x:f>
      </x:c>
      <x:c r="E942" s="16" t="str">
        <x:f>IF(A942="","",Events!N941)</x:f>
      </x:c>
      <x:c r="F942" s="109" t="str">
        <x:f>IF(OR(A942="",Events!H941=""),"",Events!H941)</x:f>
      </x:c>
      <x:c r="G942" s="109" t="str">
        <x:f>IF(A942="","",IF(Events!I941&lt;&gt;"",Events!I941,IF(Events!S941&lt;&gt;"",Events!S941,"")))</x:f>
      </x:c>
      <x:c r="H942" s="16" t="str">
        <x:f>IF(A942="","",Events!W941)</x:f>
      </x:c>
      <x:c r="I942" s="16" t="str">
        <x:f>IF(A942="","",IF(Events!Y941&lt;&gt;"",Events!Y941,IF(OR(ISNUMBER(SEARCH("education",P942)),ISNUMBER(SEARCH("exam",P942)),ISNUMBER(SEARCH("school",P942))),"Education",IF(OR(ISNUMBER(SEARCH("trade agreement",P942)),ISNUMBER(SEARCH("economic",P942)),ISNUMBER(SEARCH("import",P942))),"Trade &amp; economic policy",IF(OR(ISNUMBER(SEARCH("land acquisition",P942)),ISNUMBER(SEARCH("rehabilitation",P942)),ISNUMBER(SEARCH("displacement",P942)),ISNUMBER(SEARCH("township",P942))),"Land &amp; rehabilitation",IF(OR(ISNUMBER(SEARCH("forest",P942)),ISNUMBER(SEARCH("environment",P942)),ISNUMBER(SEARCH("ecological",P942)),ISNUMBER(SEARCH("biodiversity",P942)),ISNUMBER(SEARCH("green cover",P942))),"Environment",IF(OR(ISNUMBER(SEARCH("irrigation",P942)),ISNUMBER(SEARCH("water",P942)),ISNUMBER(SEARCH("crop",P942)),ISNUMBER(SEARCH("farmer",P942)),ISNUMBER(SEARCH("agriculture",P942))),"Agriculture &amp; water",IF(OR(ISNUMBER(SEARCH("health",P942)),ISNUMBER(SEARCH("hospital",P942)),ISNUMBER(SEARCH("medicine",P942))),"Public health",IF(OR(ISNUMBER(SEARCH("employee",P942)),ISNUMBER(SEARCH("labour",P942)),ISNUMBER(SEARCH("worker",P942)),ISNUMBER(SEARCH("salary",P942))),"Labour &amp; employment",IF(OR(ISNUMBER(SEARCH("rti",P942)),ISNUMBER(SEARCH("transparency",P942)),ISNUMBER(SEARCH("corruption",P942)),ISNUMBER(SEARCH("governance",P942))),"Governance &amp; transparency",IF(OR(ISNUMBER(SEARCH("police",P942)),ISNUMBER(SEARCH("detention",P942)),ISNUMBER(SEARCH("civil rights",P942)),ISNUMBER(SEARCH("justice",P942))),"Civil rights &amp; justice",IF(OR(ISNUMBER(SEARCH("road",P942)),ISNUMBER(SEARCH("utility",P942)),ISNUMBER(SEARCH("infrastructure",P942)),ISNUMBER(SEARCH("public service",P942))),"Infrastructure &amp; public services","Other"))))))))))))</x:f>
      </x:c>
      <x:c r="J942" s="16" t="str">
        <x:f>IF(A942="","",IF(OR(ISNUMBER(SEARCH("fatal",Q942)),ISNUMBER(SEARCH("death",Q942)),ISNUMBER(SEARCH("riot",Q942)),ISNUMBER(SEARCH("curfew",Q942)),ISNUMBER(SEARCH("internet shutdown",Q942))),5,MIN(4,1+IF(H942&gt;=7,1,0)+IF(OR(ISNUMBER(SEARCH("hunger strike",Q942)),ISNUMBER(SEARCH("blockade",Q942)),ISNUMBER(SEARCH("strike",Q942)),ISNUMBER(SEARCH("jal satyagraha",Q942)),ISNUMBER(SEARCH("survey",Q942)),ISNUMBER(SEARCH("human chain",Q942)),ISNUMBER(SEARCH("march",Q942))),1,0)+IF(OR(ISNUMBER(SEARCH("fir",Q942)),ISNUMBER(SEARCH("confrontation",Q942)),ISNUMBER(SEARCH("violence",Q942)),ISNUMBER(SEARCH("detention",Q942)),ISNUMBER(SEARCH("arrest",Q942)),ISNUMBER(SEARCH("demolition",Q942)),ISNUMBER(SEARCH("injury",Q942))),1,0)+IF(OR(D942="Ongoing",D942="Unresolved"),1,0))))</x:f>
      </x:c>
      <x:c r="K942" s="16" t="str">
        <x:f>IF(J942="","",IF(J942=1,"Limited",IF(J942=2,"Local",IF(J942=3,"Significant",IF(J942=4,"High","Critical")))))</x:f>
      </x:c>
      <x:c r="L942" s="16" t="str">
        <x:f>IF(A942="","",Events!U941)</x:f>
      </x:c>
      <x:c r="M942" s="16" t="str">
        <x:f>IF(A942="","",Events!V941)</x:f>
      </x:c>
      <x:c r="N942" s="16" t="str">
        <x:f>IF(A942="","",Events!Q941)</x:f>
      </x:c>
      <x:c r="O942" s="16" t="str">
        <x:f>IF(A942="","",Events!R941)</x:f>
      </x:c>
      <x:c r="P942" s="16" t="str">
        <x:f>IF(A942="","",LOWER(Events!B941&amp;" "&amp;Events!D941&amp;" "&amp;Events!K941))</x:f>
      </x:c>
      <x:c r="Q942" s="16" t="str">
        <x:f>IF(A942="","",LOWER(Events!C941&amp;" "&amp;Events!K941&amp;" "&amp;Events!T941))</x:f>
      </x:c>
      <x:c r="R942" s="16" t="str">
        <x:f>IF(A942="","",IF(ISNUMBER(SEARCH("Occurrence verified",E942)),"Occurrence verified",E942))</x:f>
      </x:c>
      <x:c r="S942" s="79" t="str">
        <x:f>IF(A942="","",Events!X941)</x:f>
      </x:c>
      <x:c r="Z942" s="79" t="str">
        <x:f>IF(A942="","",Events!AD941)</x:f>
      </x:c>
      <x:c r="AA942" s="79" t="str">
        <x:f>IF(A942="","",Events!AE941)</x:f>
      </x:c>
    </x:row>
    <x:row r="943">
      <x:c r="A943" s="16" t="str">
        <x:f>IF(Events!A942="","",Events!A942)</x:f>
      </x:c>
      <x:c r="B943" s="16" t="str">
        <x:f>IF(A943="","",Events!B942)</x:f>
      </x:c>
      <x:c r="C943" s="16" t="str">
        <x:f>IF(A943="","",Events!E942)</x:f>
      </x:c>
      <x:c r="D943" s="16" t="str">
        <x:f>IF(A943="","",Events!J942)</x:f>
      </x:c>
      <x:c r="E943" s="16" t="str">
        <x:f>IF(A943="","",Events!N942)</x:f>
      </x:c>
      <x:c r="F943" s="109" t="str">
        <x:f>IF(OR(A943="",Events!H942=""),"",Events!H942)</x:f>
      </x:c>
      <x:c r="G943" s="109" t="str">
        <x:f>IF(A943="","",IF(Events!I942&lt;&gt;"",Events!I942,IF(Events!S942&lt;&gt;"",Events!S942,"")))</x:f>
      </x:c>
      <x:c r="H943" s="16" t="str">
        <x:f>IF(A943="","",Events!W942)</x:f>
      </x:c>
      <x:c r="I943" s="16" t="str">
        <x:f>IF(A943="","",IF(Events!Y942&lt;&gt;"",Events!Y942,IF(OR(ISNUMBER(SEARCH("education",P943)),ISNUMBER(SEARCH("exam",P943)),ISNUMBER(SEARCH("school",P943))),"Education",IF(OR(ISNUMBER(SEARCH("trade agreement",P943)),ISNUMBER(SEARCH("economic",P943)),ISNUMBER(SEARCH("import",P943))),"Trade &amp; economic policy",IF(OR(ISNUMBER(SEARCH("land acquisition",P943)),ISNUMBER(SEARCH("rehabilitation",P943)),ISNUMBER(SEARCH("displacement",P943)),ISNUMBER(SEARCH("township",P943))),"Land &amp; rehabilitation",IF(OR(ISNUMBER(SEARCH("forest",P943)),ISNUMBER(SEARCH("environment",P943)),ISNUMBER(SEARCH("ecological",P943)),ISNUMBER(SEARCH("biodiversity",P943)),ISNUMBER(SEARCH("green cover",P943))),"Environment",IF(OR(ISNUMBER(SEARCH("irrigation",P943)),ISNUMBER(SEARCH("water",P943)),ISNUMBER(SEARCH("crop",P943)),ISNUMBER(SEARCH("farmer",P943)),ISNUMBER(SEARCH("agriculture",P943))),"Agriculture &amp; water",IF(OR(ISNUMBER(SEARCH("health",P943)),ISNUMBER(SEARCH("hospital",P943)),ISNUMBER(SEARCH("medicine",P943))),"Public health",IF(OR(ISNUMBER(SEARCH("employee",P943)),ISNUMBER(SEARCH("labour",P943)),ISNUMBER(SEARCH("worker",P943)),ISNUMBER(SEARCH("salary",P943))),"Labour &amp; employment",IF(OR(ISNUMBER(SEARCH("rti",P943)),ISNUMBER(SEARCH("transparency",P943)),ISNUMBER(SEARCH("corruption",P943)),ISNUMBER(SEARCH("governance",P943))),"Governance &amp; transparency",IF(OR(ISNUMBER(SEARCH("police",P943)),ISNUMBER(SEARCH("detention",P943)),ISNUMBER(SEARCH("civil rights",P943)),ISNUMBER(SEARCH("justice",P943))),"Civil rights &amp; justice",IF(OR(ISNUMBER(SEARCH("road",P943)),ISNUMBER(SEARCH("utility",P943)),ISNUMBER(SEARCH("infrastructure",P943)),ISNUMBER(SEARCH("public service",P943))),"Infrastructure &amp; public services","Other"))))))))))))</x:f>
      </x:c>
      <x:c r="J943" s="16" t="str">
        <x:f>IF(A943="","",IF(OR(ISNUMBER(SEARCH("fatal",Q943)),ISNUMBER(SEARCH("death",Q943)),ISNUMBER(SEARCH("riot",Q943)),ISNUMBER(SEARCH("curfew",Q943)),ISNUMBER(SEARCH("internet shutdown",Q943))),5,MIN(4,1+IF(H943&gt;=7,1,0)+IF(OR(ISNUMBER(SEARCH("hunger strike",Q943)),ISNUMBER(SEARCH("blockade",Q943)),ISNUMBER(SEARCH("strike",Q943)),ISNUMBER(SEARCH("jal satyagraha",Q943)),ISNUMBER(SEARCH("survey",Q943)),ISNUMBER(SEARCH("human chain",Q943)),ISNUMBER(SEARCH("march",Q943))),1,0)+IF(OR(ISNUMBER(SEARCH("fir",Q943)),ISNUMBER(SEARCH("confrontation",Q943)),ISNUMBER(SEARCH("violence",Q943)),ISNUMBER(SEARCH("detention",Q943)),ISNUMBER(SEARCH("arrest",Q943)),ISNUMBER(SEARCH("demolition",Q943)),ISNUMBER(SEARCH("injury",Q943))),1,0)+IF(OR(D943="Ongoing",D943="Unresolved"),1,0))))</x:f>
      </x:c>
      <x:c r="K943" s="16" t="str">
        <x:f>IF(J943="","",IF(J943=1,"Limited",IF(J943=2,"Local",IF(J943=3,"Significant",IF(J943=4,"High","Critical")))))</x:f>
      </x:c>
      <x:c r="L943" s="16" t="str">
        <x:f>IF(A943="","",Events!U942)</x:f>
      </x:c>
      <x:c r="M943" s="16" t="str">
        <x:f>IF(A943="","",Events!V942)</x:f>
      </x:c>
      <x:c r="N943" s="16" t="str">
        <x:f>IF(A943="","",Events!Q942)</x:f>
      </x:c>
      <x:c r="O943" s="16" t="str">
        <x:f>IF(A943="","",Events!R942)</x:f>
      </x:c>
      <x:c r="P943" s="16" t="str">
        <x:f>IF(A943="","",LOWER(Events!B942&amp;" "&amp;Events!D942&amp;" "&amp;Events!K942))</x:f>
      </x:c>
      <x:c r="Q943" s="16" t="str">
        <x:f>IF(A943="","",LOWER(Events!C942&amp;" "&amp;Events!K942&amp;" "&amp;Events!T942))</x:f>
      </x:c>
      <x:c r="R943" s="16" t="str">
        <x:f>IF(A943="","",IF(ISNUMBER(SEARCH("Occurrence verified",E943)),"Occurrence verified",E943))</x:f>
      </x:c>
      <x:c r="S943" s="79" t="str">
        <x:f>IF(A943="","",Events!X942)</x:f>
      </x:c>
      <x:c r="Z943" s="79" t="str">
        <x:f>IF(A943="","",Events!AD942)</x:f>
      </x:c>
      <x:c r="AA943" s="79" t="str">
        <x:f>IF(A943="","",Events!AE942)</x:f>
      </x:c>
    </x:row>
    <x:row r="944">
      <x:c r="A944" s="16" t="str">
        <x:f>IF(Events!A943="","",Events!A943)</x:f>
      </x:c>
      <x:c r="B944" s="16" t="str">
        <x:f>IF(A944="","",Events!B943)</x:f>
      </x:c>
      <x:c r="C944" s="16" t="str">
        <x:f>IF(A944="","",Events!E943)</x:f>
      </x:c>
      <x:c r="D944" s="16" t="str">
        <x:f>IF(A944="","",Events!J943)</x:f>
      </x:c>
      <x:c r="E944" s="16" t="str">
        <x:f>IF(A944="","",Events!N943)</x:f>
      </x:c>
      <x:c r="F944" s="109" t="str">
        <x:f>IF(OR(A944="",Events!H943=""),"",Events!H943)</x:f>
      </x:c>
      <x:c r="G944" s="109" t="str">
        <x:f>IF(A944="","",IF(Events!I943&lt;&gt;"",Events!I943,IF(Events!S943&lt;&gt;"",Events!S943,"")))</x:f>
      </x:c>
      <x:c r="H944" s="16" t="str">
        <x:f>IF(A944="","",Events!W943)</x:f>
      </x:c>
      <x:c r="I944" s="16" t="str">
        <x:f>IF(A944="","",IF(Events!Y943&lt;&gt;"",Events!Y943,IF(OR(ISNUMBER(SEARCH("education",P944)),ISNUMBER(SEARCH("exam",P944)),ISNUMBER(SEARCH("school",P944))),"Education",IF(OR(ISNUMBER(SEARCH("trade agreement",P944)),ISNUMBER(SEARCH("economic",P944)),ISNUMBER(SEARCH("import",P944))),"Trade &amp; economic policy",IF(OR(ISNUMBER(SEARCH("land acquisition",P944)),ISNUMBER(SEARCH("rehabilitation",P944)),ISNUMBER(SEARCH("displacement",P944)),ISNUMBER(SEARCH("township",P944))),"Land &amp; rehabilitation",IF(OR(ISNUMBER(SEARCH("forest",P944)),ISNUMBER(SEARCH("environment",P944)),ISNUMBER(SEARCH("ecological",P944)),ISNUMBER(SEARCH("biodiversity",P944)),ISNUMBER(SEARCH("green cover",P944))),"Environment",IF(OR(ISNUMBER(SEARCH("irrigation",P944)),ISNUMBER(SEARCH("water",P944)),ISNUMBER(SEARCH("crop",P944)),ISNUMBER(SEARCH("farmer",P944)),ISNUMBER(SEARCH("agriculture",P944))),"Agriculture &amp; water",IF(OR(ISNUMBER(SEARCH("health",P944)),ISNUMBER(SEARCH("hospital",P944)),ISNUMBER(SEARCH("medicine",P944))),"Public health",IF(OR(ISNUMBER(SEARCH("employee",P944)),ISNUMBER(SEARCH("labour",P944)),ISNUMBER(SEARCH("worker",P944)),ISNUMBER(SEARCH("salary",P944))),"Labour &amp; employment",IF(OR(ISNUMBER(SEARCH("rti",P944)),ISNUMBER(SEARCH("transparency",P944)),ISNUMBER(SEARCH("corruption",P944)),ISNUMBER(SEARCH("governance",P944))),"Governance &amp; transparency",IF(OR(ISNUMBER(SEARCH("police",P944)),ISNUMBER(SEARCH("detention",P944)),ISNUMBER(SEARCH("civil rights",P944)),ISNUMBER(SEARCH("justice",P944))),"Civil rights &amp; justice",IF(OR(ISNUMBER(SEARCH("road",P944)),ISNUMBER(SEARCH("utility",P944)),ISNUMBER(SEARCH("infrastructure",P944)),ISNUMBER(SEARCH("public service",P944))),"Infrastructure &amp; public services","Other"))))))))))))</x:f>
      </x:c>
      <x:c r="J944" s="16" t="str">
        <x:f>IF(A944="","",IF(OR(ISNUMBER(SEARCH("fatal",Q944)),ISNUMBER(SEARCH("death",Q944)),ISNUMBER(SEARCH("riot",Q944)),ISNUMBER(SEARCH("curfew",Q944)),ISNUMBER(SEARCH("internet shutdown",Q944))),5,MIN(4,1+IF(H944&gt;=7,1,0)+IF(OR(ISNUMBER(SEARCH("hunger strike",Q944)),ISNUMBER(SEARCH("blockade",Q944)),ISNUMBER(SEARCH("strike",Q944)),ISNUMBER(SEARCH("jal satyagraha",Q944)),ISNUMBER(SEARCH("survey",Q944)),ISNUMBER(SEARCH("human chain",Q944)),ISNUMBER(SEARCH("march",Q944))),1,0)+IF(OR(ISNUMBER(SEARCH("fir",Q944)),ISNUMBER(SEARCH("confrontation",Q944)),ISNUMBER(SEARCH("violence",Q944)),ISNUMBER(SEARCH("detention",Q944)),ISNUMBER(SEARCH("arrest",Q944)),ISNUMBER(SEARCH("demolition",Q944)),ISNUMBER(SEARCH("injury",Q944))),1,0)+IF(OR(D944="Ongoing",D944="Unresolved"),1,0))))</x:f>
      </x:c>
      <x:c r="K944" s="16" t="str">
        <x:f>IF(J944="","",IF(J944=1,"Limited",IF(J944=2,"Local",IF(J944=3,"Significant",IF(J944=4,"High","Critical")))))</x:f>
      </x:c>
      <x:c r="L944" s="16" t="str">
        <x:f>IF(A944="","",Events!U943)</x:f>
      </x:c>
      <x:c r="M944" s="16" t="str">
        <x:f>IF(A944="","",Events!V943)</x:f>
      </x:c>
      <x:c r="N944" s="16" t="str">
        <x:f>IF(A944="","",Events!Q943)</x:f>
      </x:c>
      <x:c r="O944" s="16" t="str">
        <x:f>IF(A944="","",Events!R943)</x:f>
      </x:c>
      <x:c r="P944" s="16" t="str">
        <x:f>IF(A944="","",LOWER(Events!B943&amp;" "&amp;Events!D943&amp;" "&amp;Events!K943))</x:f>
      </x:c>
      <x:c r="Q944" s="16" t="str">
        <x:f>IF(A944="","",LOWER(Events!C943&amp;" "&amp;Events!K943&amp;" "&amp;Events!T943))</x:f>
      </x:c>
      <x:c r="R944" s="16" t="str">
        <x:f>IF(A944="","",IF(ISNUMBER(SEARCH("Occurrence verified",E944)),"Occurrence verified",E944))</x:f>
      </x:c>
      <x:c r="S944" s="79" t="str">
        <x:f>IF(A944="","",Events!X943)</x:f>
      </x:c>
      <x:c r="Z944" s="79" t="str">
        <x:f>IF(A944="","",Events!AD943)</x:f>
      </x:c>
      <x:c r="AA944" s="79" t="str">
        <x:f>IF(A944="","",Events!AE943)</x:f>
      </x:c>
    </x:row>
    <x:row r="945">
      <x:c r="A945" s="16" t="str">
        <x:f>IF(Events!A944="","",Events!A944)</x:f>
      </x:c>
      <x:c r="B945" s="16" t="str">
        <x:f>IF(A945="","",Events!B944)</x:f>
      </x:c>
      <x:c r="C945" s="16" t="str">
        <x:f>IF(A945="","",Events!E944)</x:f>
      </x:c>
      <x:c r="D945" s="16" t="str">
        <x:f>IF(A945="","",Events!J944)</x:f>
      </x:c>
      <x:c r="E945" s="16" t="str">
        <x:f>IF(A945="","",Events!N944)</x:f>
      </x:c>
      <x:c r="F945" s="109" t="str">
        <x:f>IF(OR(A945="",Events!H944=""),"",Events!H944)</x:f>
      </x:c>
      <x:c r="G945" s="109" t="str">
        <x:f>IF(A945="","",IF(Events!I944&lt;&gt;"",Events!I944,IF(Events!S944&lt;&gt;"",Events!S944,"")))</x:f>
      </x:c>
      <x:c r="H945" s="16" t="str">
        <x:f>IF(A945="","",Events!W944)</x:f>
      </x:c>
      <x:c r="I945" s="16" t="str">
        <x:f>IF(A945="","",IF(Events!Y944&lt;&gt;"",Events!Y944,IF(OR(ISNUMBER(SEARCH("education",P945)),ISNUMBER(SEARCH("exam",P945)),ISNUMBER(SEARCH("school",P945))),"Education",IF(OR(ISNUMBER(SEARCH("trade agreement",P945)),ISNUMBER(SEARCH("economic",P945)),ISNUMBER(SEARCH("import",P945))),"Trade &amp; economic policy",IF(OR(ISNUMBER(SEARCH("land acquisition",P945)),ISNUMBER(SEARCH("rehabilitation",P945)),ISNUMBER(SEARCH("displacement",P945)),ISNUMBER(SEARCH("township",P945))),"Land &amp; rehabilitation",IF(OR(ISNUMBER(SEARCH("forest",P945)),ISNUMBER(SEARCH("environment",P945)),ISNUMBER(SEARCH("ecological",P945)),ISNUMBER(SEARCH("biodiversity",P945)),ISNUMBER(SEARCH("green cover",P945))),"Environment",IF(OR(ISNUMBER(SEARCH("irrigation",P945)),ISNUMBER(SEARCH("water",P945)),ISNUMBER(SEARCH("crop",P945)),ISNUMBER(SEARCH("farmer",P945)),ISNUMBER(SEARCH("agriculture",P945))),"Agriculture &amp; water",IF(OR(ISNUMBER(SEARCH("health",P945)),ISNUMBER(SEARCH("hospital",P945)),ISNUMBER(SEARCH("medicine",P945))),"Public health",IF(OR(ISNUMBER(SEARCH("employee",P945)),ISNUMBER(SEARCH("labour",P945)),ISNUMBER(SEARCH("worker",P945)),ISNUMBER(SEARCH("salary",P945))),"Labour &amp; employment",IF(OR(ISNUMBER(SEARCH("rti",P945)),ISNUMBER(SEARCH("transparency",P945)),ISNUMBER(SEARCH("corruption",P945)),ISNUMBER(SEARCH("governance",P945))),"Governance &amp; transparency",IF(OR(ISNUMBER(SEARCH("police",P945)),ISNUMBER(SEARCH("detention",P945)),ISNUMBER(SEARCH("civil rights",P945)),ISNUMBER(SEARCH("justice",P945))),"Civil rights &amp; justice",IF(OR(ISNUMBER(SEARCH("road",P945)),ISNUMBER(SEARCH("utility",P945)),ISNUMBER(SEARCH("infrastructure",P945)),ISNUMBER(SEARCH("public service",P945))),"Infrastructure &amp; public services","Other"))))))))))))</x:f>
      </x:c>
      <x:c r="J945" s="16" t="str">
        <x:f>IF(A945="","",IF(OR(ISNUMBER(SEARCH("fatal",Q945)),ISNUMBER(SEARCH("death",Q945)),ISNUMBER(SEARCH("riot",Q945)),ISNUMBER(SEARCH("curfew",Q945)),ISNUMBER(SEARCH("internet shutdown",Q945))),5,MIN(4,1+IF(H945&gt;=7,1,0)+IF(OR(ISNUMBER(SEARCH("hunger strike",Q945)),ISNUMBER(SEARCH("blockade",Q945)),ISNUMBER(SEARCH("strike",Q945)),ISNUMBER(SEARCH("jal satyagraha",Q945)),ISNUMBER(SEARCH("survey",Q945)),ISNUMBER(SEARCH("human chain",Q945)),ISNUMBER(SEARCH("march",Q945))),1,0)+IF(OR(ISNUMBER(SEARCH("fir",Q945)),ISNUMBER(SEARCH("confrontation",Q945)),ISNUMBER(SEARCH("violence",Q945)),ISNUMBER(SEARCH("detention",Q945)),ISNUMBER(SEARCH("arrest",Q945)),ISNUMBER(SEARCH("demolition",Q945)),ISNUMBER(SEARCH("injury",Q945))),1,0)+IF(OR(D945="Ongoing",D945="Unresolved"),1,0))))</x:f>
      </x:c>
      <x:c r="K945" s="16" t="str">
        <x:f>IF(J945="","",IF(J945=1,"Limited",IF(J945=2,"Local",IF(J945=3,"Significant",IF(J945=4,"High","Critical")))))</x:f>
      </x:c>
      <x:c r="L945" s="16" t="str">
        <x:f>IF(A945="","",Events!U944)</x:f>
      </x:c>
      <x:c r="M945" s="16" t="str">
        <x:f>IF(A945="","",Events!V944)</x:f>
      </x:c>
      <x:c r="N945" s="16" t="str">
        <x:f>IF(A945="","",Events!Q944)</x:f>
      </x:c>
      <x:c r="O945" s="16" t="str">
        <x:f>IF(A945="","",Events!R944)</x:f>
      </x:c>
      <x:c r="P945" s="16" t="str">
        <x:f>IF(A945="","",LOWER(Events!B944&amp;" "&amp;Events!D944&amp;" "&amp;Events!K944))</x:f>
      </x:c>
      <x:c r="Q945" s="16" t="str">
        <x:f>IF(A945="","",LOWER(Events!C944&amp;" "&amp;Events!K944&amp;" "&amp;Events!T944))</x:f>
      </x:c>
      <x:c r="R945" s="16" t="str">
        <x:f>IF(A945="","",IF(ISNUMBER(SEARCH("Occurrence verified",E945)),"Occurrence verified",E945))</x:f>
      </x:c>
      <x:c r="S945" s="79" t="str">
        <x:f>IF(A945="","",Events!X944)</x:f>
      </x:c>
      <x:c r="Z945" s="79" t="str">
        <x:f>IF(A945="","",Events!AD944)</x:f>
      </x:c>
      <x:c r="AA945" s="79" t="str">
        <x:f>IF(A945="","",Events!AE944)</x:f>
      </x:c>
    </x:row>
    <x:row r="946">
      <x:c r="A946" s="16" t="str">
        <x:f>IF(Events!A945="","",Events!A945)</x:f>
      </x:c>
      <x:c r="B946" s="16" t="str">
        <x:f>IF(A946="","",Events!B945)</x:f>
      </x:c>
      <x:c r="C946" s="16" t="str">
        <x:f>IF(A946="","",Events!E945)</x:f>
      </x:c>
      <x:c r="D946" s="16" t="str">
        <x:f>IF(A946="","",Events!J945)</x:f>
      </x:c>
      <x:c r="E946" s="16" t="str">
        <x:f>IF(A946="","",Events!N945)</x:f>
      </x:c>
      <x:c r="F946" s="109" t="str">
        <x:f>IF(OR(A946="",Events!H945=""),"",Events!H945)</x:f>
      </x:c>
      <x:c r="G946" s="109" t="str">
        <x:f>IF(A946="","",IF(Events!I945&lt;&gt;"",Events!I945,IF(Events!S945&lt;&gt;"",Events!S945,"")))</x:f>
      </x:c>
      <x:c r="H946" s="16" t="str">
        <x:f>IF(A946="","",Events!W945)</x:f>
      </x:c>
      <x:c r="I946" s="16" t="str">
        <x:f>IF(A946="","",IF(Events!Y945&lt;&gt;"",Events!Y945,IF(OR(ISNUMBER(SEARCH("education",P946)),ISNUMBER(SEARCH("exam",P946)),ISNUMBER(SEARCH("school",P946))),"Education",IF(OR(ISNUMBER(SEARCH("trade agreement",P946)),ISNUMBER(SEARCH("economic",P946)),ISNUMBER(SEARCH("import",P946))),"Trade &amp; economic policy",IF(OR(ISNUMBER(SEARCH("land acquisition",P946)),ISNUMBER(SEARCH("rehabilitation",P946)),ISNUMBER(SEARCH("displacement",P946)),ISNUMBER(SEARCH("township",P946))),"Land &amp; rehabilitation",IF(OR(ISNUMBER(SEARCH("forest",P946)),ISNUMBER(SEARCH("environment",P946)),ISNUMBER(SEARCH("ecological",P946)),ISNUMBER(SEARCH("biodiversity",P946)),ISNUMBER(SEARCH("green cover",P946))),"Environment",IF(OR(ISNUMBER(SEARCH("irrigation",P946)),ISNUMBER(SEARCH("water",P946)),ISNUMBER(SEARCH("crop",P946)),ISNUMBER(SEARCH("farmer",P946)),ISNUMBER(SEARCH("agriculture",P946))),"Agriculture &amp; water",IF(OR(ISNUMBER(SEARCH("health",P946)),ISNUMBER(SEARCH("hospital",P946)),ISNUMBER(SEARCH("medicine",P946))),"Public health",IF(OR(ISNUMBER(SEARCH("employee",P946)),ISNUMBER(SEARCH("labour",P946)),ISNUMBER(SEARCH("worker",P946)),ISNUMBER(SEARCH("salary",P946))),"Labour &amp; employment",IF(OR(ISNUMBER(SEARCH("rti",P946)),ISNUMBER(SEARCH("transparency",P946)),ISNUMBER(SEARCH("corruption",P946)),ISNUMBER(SEARCH("governance",P946))),"Governance &amp; transparency",IF(OR(ISNUMBER(SEARCH("police",P946)),ISNUMBER(SEARCH("detention",P946)),ISNUMBER(SEARCH("civil rights",P946)),ISNUMBER(SEARCH("justice",P946))),"Civil rights &amp; justice",IF(OR(ISNUMBER(SEARCH("road",P946)),ISNUMBER(SEARCH("utility",P946)),ISNUMBER(SEARCH("infrastructure",P946)),ISNUMBER(SEARCH("public service",P946))),"Infrastructure &amp; public services","Other"))))))))))))</x:f>
      </x:c>
      <x:c r="J946" s="16" t="str">
        <x:f>IF(A946="","",IF(OR(ISNUMBER(SEARCH("fatal",Q946)),ISNUMBER(SEARCH("death",Q946)),ISNUMBER(SEARCH("riot",Q946)),ISNUMBER(SEARCH("curfew",Q946)),ISNUMBER(SEARCH("internet shutdown",Q946))),5,MIN(4,1+IF(H946&gt;=7,1,0)+IF(OR(ISNUMBER(SEARCH("hunger strike",Q946)),ISNUMBER(SEARCH("blockade",Q946)),ISNUMBER(SEARCH("strike",Q946)),ISNUMBER(SEARCH("jal satyagraha",Q946)),ISNUMBER(SEARCH("survey",Q946)),ISNUMBER(SEARCH("human chain",Q946)),ISNUMBER(SEARCH("march",Q946))),1,0)+IF(OR(ISNUMBER(SEARCH("fir",Q946)),ISNUMBER(SEARCH("confrontation",Q946)),ISNUMBER(SEARCH("violence",Q946)),ISNUMBER(SEARCH("detention",Q946)),ISNUMBER(SEARCH("arrest",Q946)),ISNUMBER(SEARCH("demolition",Q946)),ISNUMBER(SEARCH("injury",Q946))),1,0)+IF(OR(D946="Ongoing",D946="Unresolved"),1,0))))</x:f>
      </x:c>
      <x:c r="K946" s="16" t="str">
        <x:f>IF(J946="","",IF(J946=1,"Limited",IF(J946=2,"Local",IF(J946=3,"Significant",IF(J946=4,"High","Critical")))))</x:f>
      </x:c>
      <x:c r="L946" s="16" t="str">
        <x:f>IF(A946="","",Events!U945)</x:f>
      </x:c>
      <x:c r="M946" s="16" t="str">
        <x:f>IF(A946="","",Events!V945)</x:f>
      </x:c>
      <x:c r="N946" s="16" t="str">
        <x:f>IF(A946="","",Events!Q945)</x:f>
      </x:c>
      <x:c r="O946" s="16" t="str">
        <x:f>IF(A946="","",Events!R945)</x:f>
      </x:c>
      <x:c r="P946" s="16" t="str">
        <x:f>IF(A946="","",LOWER(Events!B945&amp;" "&amp;Events!D945&amp;" "&amp;Events!K945))</x:f>
      </x:c>
      <x:c r="Q946" s="16" t="str">
        <x:f>IF(A946="","",LOWER(Events!C945&amp;" "&amp;Events!K945&amp;" "&amp;Events!T945))</x:f>
      </x:c>
      <x:c r="R946" s="16" t="str">
        <x:f>IF(A946="","",IF(ISNUMBER(SEARCH("Occurrence verified",E946)),"Occurrence verified",E946))</x:f>
      </x:c>
      <x:c r="S946" s="79" t="str">
        <x:f>IF(A946="","",Events!X945)</x:f>
      </x:c>
      <x:c r="Z946" s="79" t="str">
        <x:f>IF(A946="","",Events!AD945)</x:f>
      </x:c>
      <x:c r="AA946" s="79" t="str">
        <x:f>IF(A946="","",Events!AE945)</x:f>
      </x:c>
    </x:row>
    <x:row r="947">
      <x:c r="A947" s="16" t="str">
        <x:f>IF(Events!A946="","",Events!A946)</x:f>
      </x:c>
      <x:c r="B947" s="16" t="str">
        <x:f>IF(A947="","",Events!B946)</x:f>
      </x:c>
      <x:c r="C947" s="16" t="str">
        <x:f>IF(A947="","",Events!E946)</x:f>
      </x:c>
      <x:c r="D947" s="16" t="str">
        <x:f>IF(A947="","",Events!J946)</x:f>
      </x:c>
      <x:c r="E947" s="16" t="str">
        <x:f>IF(A947="","",Events!N946)</x:f>
      </x:c>
      <x:c r="F947" s="109" t="str">
        <x:f>IF(OR(A947="",Events!H946=""),"",Events!H946)</x:f>
      </x:c>
      <x:c r="G947" s="109" t="str">
        <x:f>IF(A947="","",IF(Events!I946&lt;&gt;"",Events!I946,IF(Events!S946&lt;&gt;"",Events!S946,"")))</x:f>
      </x:c>
      <x:c r="H947" s="16" t="str">
        <x:f>IF(A947="","",Events!W946)</x:f>
      </x:c>
      <x:c r="I947" s="16" t="str">
        <x:f>IF(A947="","",IF(Events!Y946&lt;&gt;"",Events!Y946,IF(OR(ISNUMBER(SEARCH("education",P947)),ISNUMBER(SEARCH("exam",P947)),ISNUMBER(SEARCH("school",P947))),"Education",IF(OR(ISNUMBER(SEARCH("trade agreement",P947)),ISNUMBER(SEARCH("economic",P947)),ISNUMBER(SEARCH("import",P947))),"Trade &amp; economic policy",IF(OR(ISNUMBER(SEARCH("land acquisition",P947)),ISNUMBER(SEARCH("rehabilitation",P947)),ISNUMBER(SEARCH("displacement",P947)),ISNUMBER(SEARCH("township",P947))),"Land &amp; rehabilitation",IF(OR(ISNUMBER(SEARCH("forest",P947)),ISNUMBER(SEARCH("environment",P947)),ISNUMBER(SEARCH("ecological",P947)),ISNUMBER(SEARCH("biodiversity",P947)),ISNUMBER(SEARCH("green cover",P947))),"Environment",IF(OR(ISNUMBER(SEARCH("irrigation",P947)),ISNUMBER(SEARCH("water",P947)),ISNUMBER(SEARCH("crop",P947)),ISNUMBER(SEARCH("farmer",P947)),ISNUMBER(SEARCH("agriculture",P947))),"Agriculture &amp; water",IF(OR(ISNUMBER(SEARCH("health",P947)),ISNUMBER(SEARCH("hospital",P947)),ISNUMBER(SEARCH("medicine",P947))),"Public health",IF(OR(ISNUMBER(SEARCH("employee",P947)),ISNUMBER(SEARCH("labour",P947)),ISNUMBER(SEARCH("worker",P947)),ISNUMBER(SEARCH("salary",P947))),"Labour &amp; employment",IF(OR(ISNUMBER(SEARCH("rti",P947)),ISNUMBER(SEARCH("transparency",P947)),ISNUMBER(SEARCH("corruption",P947)),ISNUMBER(SEARCH("governance",P947))),"Governance &amp; transparency",IF(OR(ISNUMBER(SEARCH("police",P947)),ISNUMBER(SEARCH("detention",P947)),ISNUMBER(SEARCH("civil rights",P947)),ISNUMBER(SEARCH("justice",P947))),"Civil rights &amp; justice",IF(OR(ISNUMBER(SEARCH("road",P947)),ISNUMBER(SEARCH("utility",P947)),ISNUMBER(SEARCH("infrastructure",P947)),ISNUMBER(SEARCH("public service",P947))),"Infrastructure &amp; public services","Other"))))))))))))</x:f>
      </x:c>
      <x:c r="J947" s="16" t="str">
        <x:f>IF(A947="","",IF(OR(ISNUMBER(SEARCH("fatal",Q947)),ISNUMBER(SEARCH("death",Q947)),ISNUMBER(SEARCH("riot",Q947)),ISNUMBER(SEARCH("curfew",Q947)),ISNUMBER(SEARCH("internet shutdown",Q947))),5,MIN(4,1+IF(H947&gt;=7,1,0)+IF(OR(ISNUMBER(SEARCH("hunger strike",Q947)),ISNUMBER(SEARCH("blockade",Q947)),ISNUMBER(SEARCH("strike",Q947)),ISNUMBER(SEARCH("jal satyagraha",Q947)),ISNUMBER(SEARCH("survey",Q947)),ISNUMBER(SEARCH("human chain",Q947)),ISNUMBER(SEARCH("march",Q947))),1,0)+IF(OR(ISNUMBER(SEARCH("fir",Q947)),ISNUMBER(SEARCH("confrontation",Q947)),ISNUMBER(SEARCH("violence",Q947)),ISNUMBER(SEARCH("detention",Q947)),ISNUMBER(SEARCH("arrest",Q947)),ISNUMBER(SEARCH("demolition",Q947)),ISNUMBER(SEARCH("injury",Q947))),1,0)+IF(OR(D947="Ongoing",D947="Unresolved"),1,0))))</x:f>
      </x:c>
      <x:c r="K947" s="16" t="str">
        <x:f>IF(J947="","",IF(J947=1,"Limited",IF(J947=2,"Local",IF(J947=3,"Significant",IF(J947=4,"High","Critical")))))</x:f>
      </x:c>
      <x:c r="L947" s="16" t="str">
        <x:f>IF(A947="","",Events!U946)</x:f>
      </x:c>
      <x:c r="M947" s="16" t="str">
        <x:f>IF(A947="","",Events!V946)</x:f>
      </x:c>
      <x:c r="N947" s="16" t="str">
        <x:f>IF(A947="","",Events!Q946)</x:f>
      </x:c>
      <x:c r="O947" s="16" t="str">
        <x:f>IF(A947="","",Events!R946)</x:f>
      </x:c>
      <x:c r="P947" s="16" t="str">
        <x:f>IF(A947="","",LOWER(Events!B946&amp;" "&amp;Events!D946&amp;" "&amp;Events!K946))</x:f>
      </x:c>
      <x:c r="Q947" s="16" t="str">
        <x:f>IF(A947="","",LOWER(Events!C946&amp;" "&amp;Events!K946&amp;" "&amp;Events!T946))</x:f>
      </x:c>
      <x:c r="R947" s="16" t="str">
        <x:f>IF(A947="","",IF(ISNUMBER(SEARCH("Occurrence verified",E947)),"Occurrence verified",E947))</x:f>
      </x:c>
      <x:c r="S947" s="79" t="str">
        <x:f>IF(A947="","",Events!X946)</x:f>
      </x:c>
      <x:c r="Z947" s="79" t="str">
        <x:f>IF(A947="","",Events!AD946)</x:f>
      </x:c>
      <x:c r="AA947" s="79" t="str">
        <x:f>IF(A947="","",Events!AE946)</x:f>
      </x:c>
    </x:row>
    <x:row r="948">
      <x:c r="A948" s="16" t="str">
        <x:f>IF(Events!A947="","",Events!A947)</x:f>
      </x:c>
      <x:c r="B948" s="16" t="str">
        <x:f>IF(A948="","",Events!B947)</x:f>
      </x:c>
      <x:c r="C948" s="16" t="str">
        <x:f>IF(A948="","",Events!E947)</x:f>
      </x:c>
      <x:c r="D948" s="16" t="str">
        <x:f>IF(A948="","",Events!J947)</x:f>
      </x:c>
      <x:c r="E948" s="16" t="str">
        <x:f>IF(A948="","",Events!N947)</x:f>
      </x:c>
      <x:c r="F948" s="109" t="str">
        <x:f>IF(OR(A948="",Events!H947=""),"",Events!H947)</x:f>
      </x:c>
      <x:c r="G948" s="109" t="str">
        <x:f>IF(A948="","",IF(Events!I947&lt;&gt;"",Events!I947,IF(Events!S947&lt;&gt;"",Events!S947,"")))</x:f>
      </x:c>
      <x:c r="H948" s="16" t="str">
        <x:f>IF(A948="","",Events!W947)</x:f>
      </x:c>
      <x:c r="I948" s="16" t="str">
        <x:f>IF(A948="","",IF(Events!Y947&lt;&gt;"",Events!Y947,IF(OR(ISNUMBER(SEARCH("education",P948)),ISNUMBER(SEARCH("exam",P948)),ISNUMBER(SEARCH("school",P948))),"Education",IF(OR(ISNUMBER(SEARCH("trade agreement",P948)),ISNUMBER(SEARCH("economic",P948)),ISNUMBER(SEARCH("import",P948))),"Trade &amp; economic policy",IF(OR(ISNUMBER(SEARCH("land acquisition",P948)),ISNUMBER(SEARCH("rehabilitation",P948)),ISNUMBER(SEARCH("displacement",P948)),ISNUMBER(SEARCH("township",P948))),"Land &amp; rehabilitation",IF(OR(ISNUMBER(SEARCH("forest",P948)),ISNUMBER(SEARCH("environment",P948)),ISNUMBER(SEARCH("ecological",P948)),ISNUMBER(SEARCH("biodiversity",P948)),ISNUMBER(SEARCH("green cover",P948))),"Environment",IF(OR(ISNUMBER(SEARCH("irrigation",P948)),ISNUMBER(SEARCH("water",P948)),ISNUMBER(SEARCH("crop",P948)),ISNUMBER(SEARCH("farmer",P948)),ISNUMBER(SEARCH("agriculture",P948))),"Agriculture &amp; water",IF(OR(ISNUMBER(SEARCH("health",P948)),ISNUMBER(SEARCH("hospital",P948)),ISNUMBER(SEARCH("medicine",P948))),"Public health",IF(OR(ISNUMBER(SEARCH("employee",P948)),ISNUMBER(SEARCH("labour",P948)),ISNUMBER(SEARCH("worker",P948)),ISNUMBER(SEARCH("salary",P948))),"Labour &amp; employment",IF(OR(ISNUMBER(SEARCH("rti",P948)),ISNUMBER(SEARCH("transparency",P948)),ISNUMBER(SEARCH("corruption",P948)),ISNUMBER(SEARCH("governance",P948))),"Governance &amp; transparency",IF(OR(ISNUMBER(SEARCH("police",P948)),ISNUMBER(SEARCH("detention",P948)),ISNUMBER(SEARCH("civil rights",P948)),ISNUMBER(SEARCH("justice",P948))),"Civil rights &amp; justice",IF(OR(ISNUMBER(SEARCH("road",P948)),ISNUMBER(SEARCH("utility",P948)),ISNUMBER(SEARCH("infrastructure",P948)),ISNUMBER(SEARCH("public service",P948))),"Infrastructure &amp; public services","Other"))))))))))))</x:f>
      </x:c>
      <x:c r="J948" s="16" t="str">
        <x:f>IF(A948="","",IF(OR(ISNUMBER(SEARCH("fatal",Q948)),ISNUMBER(SEARCH("death",Q948)),ISNUMBER(SEARCH("riot",Q948)),ISNUMBER(SEARCH("curfew",Q948)),ISNUMBER(SEARCH("internet shutdown",Q948))),5,MIN(4,1+IF(H948&gt;=7,1,0)+IF(OR(ISNUMBER(SEARCH("hunger strike",Q948)),ISNUMBER(SEARCH("blockade",Q948)),ISNUMBER(SEARCH("strike",Q948)),ISNUMBER(SEARCH("jal satyagraha",Q948)),ISNUMBER(SEARCH("survey",Q948)),ISNUMBER(SEARCH("human chain",Q948)),ISNUMBER(SEARCH("march",Q948))),1,0)+IF(OR(ISNUMBER(SEARCH("fir",Q948)),ISNUMBER(SEARCH("confrontation",Q948)),ISNUMBER(SEARCH("violence",Q948)),ISNUMBER(SEARCH("detention",Q948)),ISNUMBER(SEARCH("arrest",Q948)),ISNUMBER(SEARCH("demolition",Q948)),ISNUMBER(SEARCH("injury",Q948))),1,0)+IF(OR(D948="Ongoing",D948="Unresolved"),1,0))))</x:f>
      </x:c>
      <x:c r="K948" s="16" t="str">
        <x:f>IF(J948="","",IF(J948=1,"Limited",IF(J948=2,"Local",IF(J948=3,"Significant",IF(J948=4,"High","Critical")))))</x:f>
      </x:c>
      <x:c r="L948" s="16" t="str">
        <x:f>IF(A948="","",Events!U947)</x:f>
      </x:c>
      <x:c r="M948" s="16" t="str">
        <x:f>IF(A948="","",Events!V947)</x:f>
      </x:c>
      <x:c r="N948" s="16" t="str">
        <x:f>IF(A948="","",Events!Q947)</x:f>
      </x:c>
      <x:c r="O948" s="16" t="str">
        <x:f>IF(A948="","",Events!R947)</x:f>
      </x:c>
      <x:c r="P948" s="16" t="str">
        <x:f>IF(A948="","",LOWER(Events!B947&amp;" "&amp;Events!D947&amp;" "&amp;Events!K947))</x:f>
      </x:c>
      <x:c r="Q948" s="16" t="str">
        <x:f>IF(A948="","",LOWER(Events!C947&amp;" "&amp;Events!K947&amp;" "&amp;Events!T947))</x:f>
      </x:c>
      <x:c r="R948" s="16" t="str">
        <x:f>IF(A948="","",IF(ISNUMBER(SEARCH("Occurrence verified",E948)),"Occurrence verified",E948))</x:f>
      </x:c>
      <x:c r="S948" s="79" t="str">
        <x:f>IF(A948="","",Events!X947)</x:f>
      </x:c>
      <x:c r="Z948" s="79" t="str">
        <x:f>IF(A948="","",Events!AD947)</x:f>
      </x:c>
      <x:c r="AA948" s="79" t="str">
        <x:f>IF(A948="","",Events!AE947)</x:f>
      </x:c>
    </x:row>
    <x:row r="949">
      <x:c r="A949" s="16" t="str">
        <x:f>IF(Events!A948="","",Events!A948)</x:f>
      </x:c>
      <x:c r="B949" s="16" t="str">
        <x:f>IF(A949="","",Events!B948)</x:f>
      </x:c>
      <x:c r="C949" s="16" t="str">
        <x:f>IF(A949="","",Events!E948)</x:f>
      </x:c>
      <x:c r="D949" s="16" t="str">
        <x:f>IF(A949="","",Events!J948)</x:f>
      </x:c>
      <x:c r="E949" s="16" t="str">
        <x:f>IF(A949="","",Events!N948)</x:f>
      </x:c>
      <x:c r="F949" s="109" t="str">
        <x:f>IF(OR(A949="",Events!H948=""),"",Events!H948)</x:f>
      </x:c>
      <x:c r="G949" s="109" t="str">
        <x:f>IF(A949="","",IF(Events!I948&lt;&gt;"",Events!I948,IF(Events!S948&lt;&gt;"",Events!S948,"")))</x:f>
      </x:c>
      <x:c r="H949" s="16" t="str">
        <x:f>IF(A949="","",Events!W948)</x:f>
      </x:c>
      <x:c r="I949" s="16" t="str">
        <x:f>IF(A949="","",IF(Events!Y948&lt;&gt;"",Events!Y948,IF(OR(ISNUMBER(SEARCH("education",P949)),ISNUMBER(SEARCH("exam",P949)),ISNUMBER(SEARCH("school",P949))),"Education",IF(OR(ISNUMBER(SEARCH("trade agreement",P949)),ISNUMBER(SEARCH("economic",P949)),ISNUMBER(SEARCH("import",P949))),"Trade &amp; economic policy",IF(OR(ISNUMBER(SEARCH("land acquisition",P949)),ISNUMBER(SEARCH("rehabilitation",P949)),ISNUMBER(SEARCH("displacement",P949)),ISNUMBER(SEARCH("township",P949))),"Land &amp; rehabilitation",IF(OR(ISNUMBER(SEARCH("forest",P949)),ISNUMBER(SEARCH("environment",P949)),ISNUMBER(SEARCH("ecological",P949)),ISNUMBER(SEARCH("biodiversity",P949)),ISNUMBER(SEARCH("green cover",P949))),"Environment",IF(OR(ISNUMBER(SEARCH("irrigation",P949)),ISNUMBER(SEARCH("water",P949)),ISNUMBER(SEARCH("crop",P949)),ISNUMBER(SEARCH("farmer",P949)),ISNUMBER(SEARCH("agriculture",P949))),"Agriculture &amp; water",IF(OR(ISNUMBER(SEARCH("health",P949)),ISNUMBER(SEARCH("hospital",P949)),ISNUMBER(SEARCH("medicine",P949))),"Public health",IF(OR(ISNUMBER(SEARCH("employee",P949)),ISNUMBER(SEARCH("labour",P949)),ISNUMBER(SEARCH("worker",P949)),ISNUMBER(SEARCH("salary",P949))),"Labour &amp; employment",IF(OR(ISNUMBER(SEARCH("rti",P949)),ISNUMBER(SEARCH("transparency",P949)),ISNUMBER(SEARCH("corruption",P949)),ISNUMBER(SEARCH("governance",P949))),"Governance &amp; transparency",IF(OR(ISNUMBER(SEARCH("police",P949)),ISNUMBER(SEARCH("detention",P949)),ISNUMBER(SEARCH("civil rights",P949)),ISNUMBER(SEARCH("justice",P949))),"Civil rights &amp; justice",IF(OR(ISNUMBER(SEARCH("road",P949)),ISNUMBER(SEARCH("utility",P949)),ISNUMBER(SEARCH("infrastructure",P949)),ISNUMBER(SEARCH("public service",P949))),"Infrastructure &amp; public services","Other"))))))))))))</x:f>
      </x:c>
      <x:c r="J949" s="16" t="str">
        <x:f>IF(A949="","",IF(OR(ISNUMBER(SEARCH("fatal",Q949)),ISNUMBER(SEARCH("death",Q949)),ISNUMBER(SEARCH("riot",Q949)),ISNUMBER(SEARCH("curfew",Q949)),ISNUMBER(SEARCH("internet shutdown",Q949))),5,MIN(4,1+IF(H949&gt;=7,1,0)+IF(OR(ISNUMBER(SEARCH("hunger strike",Q949)),ISNUMBER(SEARCH("blockade",Q949)),ISNUMBER(SEARCH("strike",Q949)),ISNUMBER(SEARCH("jal satyagraha",Q949)),ISNUMBER(SEARCH("survey",Q949)),ISNUMBER(SEARCH("human chain",Q949)),ISNUMBER(SEARCH("march",Q949))),1,0)+IF(OR(ISNUMBER(SEARCH("fir",Q949)),ISNUMBER(SEARCH("confrontation",Q949)),ISNUMBER(SEARCH("violence",Q949)),ISNUMBER(SEARCH("detention",Q949)),ISNUMBER(SEARCH("arrest",Q949)),ISNUMBER(SEARCH("demolition",Q949)),ISNUMBER(SEARCH("injury",Q949))),1,0)+IF(OR(D949="Ongoing",D949="Unresolved"),1,0))))</x:f>
      </x:c>
      <x:c r="K949" s="16" t="str">
        <x:f>IF(J949="","",IF(J949=1,"Limited",IF(J949=2,"Local",IF(J949=3,"Significant",IF(J949=4,"High","Critical")))))</x:f>
      </x:c>
      <x:c r="L949" s="16" t="str">
        <x:f>IF(A949="","",Events!U948)</x:f>
      </x:c>
      <x:c r="M949" s="16" t="str">
        <x:f>IF(A949="","",Events!V948)</x:f>
      </x:c>
      <x:c r="N949" s="16" t="str">
        <x:f>IF(A949="","",Events!Q948)</x:f>
      </x:c>
      <x:c r="O949" s="16" t="str">
        <x:f>IF(A949="","",Events!R948)</x:f>
      </x:c>
      <x:c r="P949" s="16" t="str">
        <x:f>IF(A949="","",LOWER(Events!B948&amp;" "&amp;Events!D948&amp;" "&amp;Events!K948))</x:f>
      </x:c>
      <x:c r="Q949" s="16" t="str">
        <x:f>IF(A949="","",LOWER(Events!C948&amp;" "&amp;Events!K948&amp;" "&amp;Events!T948))</x:f>
      </x:c>
      <x:c r="R949" s="16" t="str">
        <x:f>IF(A949="","",IF(ISNUMBER(SEARCH("Occurrence verified",E949)),"Occurrence verified",E949))</x:f>
      </x:c>
      <x:c r="S949" s="79" t="str">
        <x:f>IF(A949="","",Events!X948)</x:f>
      </x:c>
      <x:c r="Z949" s="79" t="str">
        <x:f>IF(A949="","",Events!AD948)</x:f>
      </x:c>
      <x:c r="AA949" s="79" t="str">
        <x:f>IF(A949="","",Events!AE948)</x:f>
      </x:c>
    </x:row>
    <x:row r="950">
      <x:c r="A950" s="16" t="str">
        <x:f>IF(Events!A949="","",Events!A949)</x:f>
      </x:c>
      <x:c r="B950" s="16" t="str">
        <x:f>IF(A950="","",Events!B949)</x:f>
      </x:c>
      <x:c r="C950" s="16" t="str">
        <x:f>IF(A950="","",Events!E949)</x:f>
      </x:c>
      <x:c r="D950" s="16" t="str">
        <x:f>IF(A950="","",Events!J949)</x:f>
      </x:c>
      <x:c r="E950" s="16" t="str">
        <x:f>IF(A950="","",Events!N949)</x:f>
      </x:c>
      <x:c r="F950" s="109" t="str">
        <x:f>IF(OR(A950="",Events!H949=""),"",Events!H949)</x:f>
      </x:c>
      <x:c r="G950" s="109" t="str">
        <x:f>IF(A950="","",IF(Events!I949&lt;&gt;"",Events!I949,IF(Events!S949&lt;&gt;"",Events!S949,"")))</x:f>
      </x:c>
      <x:c r="H950" s="16" t="str">
        <x:f>IF(A950="","",Events!W949)</x:f>
      </x:c>
      <x:c r="I950" s="16" t="str">
        <x:f>IF(A950="","",IF(Events!Y949&lt;&gt;"",Events!Y949,IF(OR(ISNUMBER(SEARCH("education",P950)),ISNUMBER(SEARCH("exam",P950)),ISNUMBER(SEARCH("school",P950))),"Education",IF(OR(ISNUMBER(SEARCH("trade agreement",P950)),ISNUMBER(SEARCH("economic",P950)),ISNUMBER(SEARCH("import",P950))),"Trade &amp; economic policy",IF(OR(ISNUMBER(SEARCH("land acquisition",P950)),ISNUMBER(SEARCH("rehabilitation",P950)),ISNUMBER(SEARCH("displacement",P950)),ISNUMBER(SEARCH("township",P950))),"Land &amp; rehabilitation",IF(OR(ISNUMBER(SEARCH("forest",P950)),ISNUMBER(SEARCH("environment",P950)),ISNUMBER(SEARCH("ecological",P950)),ISNUMBER(SEARCH("biodiversity",P950)),ISNUMBER(SEARCH("green cover",P950))),"Environment",IF(OR(ISNUMBER(SEARCH("irrigation",P950)),ISNUMBER(SEARCH("water",P950)),ISNUMBER(SEARCH("crop",P950)),ISNUMBER(SEARCH("farmer",P950)),ISNUMBER(SEARCH("agriculture",P950))),"Agriculture &amp; water",IF(OR(ISNUMBER(SEARCH("health",P950)),ISNUMBER(SEARCH("hospital",P950)),ISNUMBER(SEARCH("medicine",P950))),"Public health",IF(OR(ISNUMBER(SEARCH("employee",P950)),ISNUMBER(SEARCH("labour",P950)),ISNUMBER(SEARCH("worker",P950)),ISNUMBER(SEARCH("salary",P950))),"Labour &amp; employment",IF(OR(ISNUMBER(SEARCH("rti",P950)),ISNUMBER(SEARCH("transparency",P950)),ISNUMBER(SEARCH("corruption",P950)),ISNUMBER(SEARCH("governance",P950))),"Governance &amp; transparency",IF(OR(ISNUMBER(SEARCH("police",P950)),ISNUMBER(SEARCH("detention",P950)),ISNUMBER(SEARCH("civil rights",P950)),ISNUMBER(SEARCH("justice",P950))),"Civil rights &amp; justice",IF(OR(ISNUMBER(SEARCH("road",P950)),ISNUMBER(SEARCH("utility",P950)),ISNUMBER(SEARCH("infrastructure",P950)),ISNUMBER(SEARCH("public service",P950))),"Infrastructure &amp; public services","Other"))))))))))))</x:f>
      </x:c>
      <x:c r="J950" s="16" t="str">
        <x:f>IF(A950="","",IF(OR(ISNUMBER(SEARCH("fatal",Q950)),ISNUMBER(SEARCH("death",Q950)),ISNUMBER(SEARCH("riot",Q950)),ISNUMBER(SEARCH("curfew",Q950)),ISNUMBER(SEARCH("internet shutdown",Q950))),5,MIN(4,1+IF(H950&gt;=7,1,0)+IF(OR(ISNUMBER(SEARCH("hunger strike",Q950)),ISNUMBER(SEARCH("blockade",Q950)),ISNUMBER(SEARCH("strike",Q950)),ISNUMBER(SEARCH("jal satyagraha",Q950)),ISNUMBER(SEARCH("survey",Q950)),ISNUMBER(SEARCH("human chain",Q950)),ISNUMBER(SEARCH("march",Q950))),1,0)+IF(OR(ISNUMBER(SEARCH("fir",Q950)),ISNUMBER(SEARCH("confrontation",Q950)),ISNUMBER(SEARCH("violence",Q950)),ISNUMBER(SEARCH("detention",Q950)),ISNUMBER(SEARCH("arrest",Q950)),ISNUMBER(SEARCH("demolition",Q950)),ISNUMBER(SEARCH("injury",Q950))),1,0)+IF(OR(D950="Ongoing",D950="Unresolved"),1,0))))</x:f>
      </x:c>
      <x:c r="K950" s="16" t="str">
        <x:f>IF(J950="","",IF(J950=1,"Limited",IF(J950=2,"Local",IF(J950=3,"Significant",IF(J950=4,"High","Critical")))))</x:f>
      </x:c>
      <x:c r="L950" s="16" t="str">
        <x:f>IF(A950="","",Events!U949)</x:f>
      </x:c>
      <x:c r="M950" s="16" t="str">
        <x:f>IF(A950="","",Events!V949)</x:f>
      </x:c>
      <x:c r="N950" s="16" t="str">
        <x:f>IF(A950="","",Events!Q949)</x:f>
      </x:c>
      <x:c r="O950" s="16" t="str">
        <x:f>IF(A950="","",Events!R949)</x:f>
      </x:c>
      <x:c r="P950" s="16" t="str">
        <x:f>IF(A950="","",LOWER(Events!B949&amp;" "&amp;Events!D949&amp;" "&amp;Events!K949))</x:f>
      </x:c>
      <x:c r="Q950" s="16" t="str">
        <x:f>IF(A950="","",LOWER(Events!C949&amp;" "&amp;Events!K949&amp;" "&amp;Events!T949))</x:f>
      </x:c>
      <x:c r="R950" s="16" t="str">
        <x:f>IF(A950="","",IF(ISNUMBER(SEARCH("Occurrence verified",E950)),"Occurrence verified",E950))</x:f>
      </x:c>
      <x:c r="S950" s="79" t="str">
        <x:f>IF(A950="","",Events!X949)</x:f>
      </x:c>
      <x:c r="Z950" s="79" t="str">
        <x:f>IF(A950="","",Events!AD949)</x:f>
      </x:c>
      <x:c r="AA950" s="79" t="str">
        <x:f>IF(A950="","",Events!AE949)</x:f>
      </x:c>
    </x:row>
    <x:row r="951">
      <x:c r="A951" s="16" t="str">
        <x:f>IF(Events!A950="","",Events!A950)</x:f>
      </x:c>
      <x:c r="B951" s="16" t="str">
        <x:f>IF(A951="","",Events!B950)</x:f>
      </x:c>
      <x:c r="C951" s="16" t="str">
        <x:f>IF(A951="","",Events!E950)</x:f>
      </x:c>
      <x:c r="D951" s="16" t="str">
        <x:f>IF(A951="","",Events!J950)</x:f>
      </x:c>
      <x:c r="E951" s="16" t="str">
        <x:f>IF(A951="","",Events!N950)</x:f>
      </x:c>
      <x:c r="F951" s="109" t="str">
        <x:f>IF(OR(A951="",Events!H950=""),"",Events!H950)</x:f>
      </x:c>
      <x:c r="G951" s="109" t="str">
        <x:f>IF(A951="","",IF(Events!I950&lt;&gt;"",Events!I950,IF(Events!S950&lt;&gt;"",Events!S950,"")))</x:f>
      </x:c>
      <x:c r="H951" s="16" t="str">
        <x:f>IF(A951="","",Events!W950)</x:f>
      </x:c>
      <x:c r="I951" s="16" t="str">
        <x:f>IF(A951="","",IF(Events!Y950&lt;&gt;"",Events!Y950,IF(OR(ISNUMBER(SEARCH("education",P951)),ISNUMBER(SEARCH("exam",P951)),ISNUMBER(SEARCH("school",P951))),"Education",IF(OR(ISNUMBER(SEARCH("trade agreement",P951)),ISNUMBER(SEARCH("economic",P951)),ISNUMBER(SEARCH("import",P951))),"Trade &amp; economic policy",IF(OR(ISNUMBER(SEARCH("land acquisition",P951)),ISNUMBER(SEARCH("rehabilitation",P951)),ISNUMBER(SEARCH("displacement",P951)),ISNUMBER(SEARCH("township",P951))),"Land &amp; rehabilitation",IF(OR(ISNUMBER(SEARCH("forest",P951)),ISNUMBER(SEARCH("environment",P951)),ISNUMBER(SEARCH("ecological",P951)),ISNUMBER(SEARCH("biodiversity",P951)),ISNUMBER(SEARCH("green cover",P951))),"Environment",IF(OR(ISNUMBER(SEARCH("irrigation",P951)),ISNUMBER(SEARCH("water",P951)),ISNUMBER(SEARCH("crop",P951)),ISNUMBER(SEARCH("farmer",P951)),ISNUMBER(SEARCH("agriculture",P951))),"Agriculture &amp; water",IF(OR(ISNUMBER(SEARCH("health",P951)),ISNUMBER(SEARCH("hospital",P951)),ISNUMBER(SEARCH("medicine",P951))),"Public health",IF(OR(ISNUMBER(SEARCH("employee",P951)),ISNUMBER(SEARCH("labour",P951)),ISNUMBER(SEARCH("worker",P951)),ISNUMBER(SEARCH("salary",P951))),"Labour &amp; employment",IF(OR(ISNUMBER(SEARCH("rti",P951)),ISNUMBER(SEARCH("transparency",P951)),ISNUMBER(SEARCH("corruption",P951)),ISNUMBER(SEARCH("governance",P951))),"Governance &amp; transparency",IF(OR(ISNUMBER(SEARCH("police",P951)),ISNUMBER(SEARCH("detention",P951)),ISNUMBER(SEARCH("civil rights",P951)),ISNUMBER(SEARCH("justice",P951))),"Civil rights &amp; justice",IF(OR(ISNUMBER(SEARCH("road",P951)),ISNUMBER(SEARCH("utility",P951)),ISNUMBER(SEARCH("infrastructure",P951)),ISNUMBER(SEARCH("public service",P951))),"Infrastructure &amp; public services","Other"))))))))))))</x:f>
      </x:c>
      <x:c r="J951" s="16" t="str">
        <x:f>IF(A951="","",IF(OR(ISNUMBER(SEARCH("fatal",Q951)),ISNUMBER(SEARCH("death",Q951)),ISNUMBER(SEARCH("riot",Q951)),ISNUMBER(SEARCH("curfew",Q951)),ISNUMBER(SEARCH("internet shutdown",Q951))),5,MIN(4,1+IF(H951&gt;=7,1,0)+IF(OR(ISNUMBER(SEARCH("hunger strike",Q951)),ISNUMBER(SEARCH("blockade",Q951)),ISNUMBER(SEARCH("strike",Q951)),ISNUMBER(SEARCH("jal satyagraha",Q951)),ISNUMBER(SEARCH("survey",Q951)),ISNUMBER(SEARCH("human chain",Q951)),ISNUMBER(SEARCH("march",Q951))),1,0)+IF(OR(ISNUMBER(SEARCH("fir",Q951)),ISNUMBER(SEARCH("confrontation",Q951)),ISNUMBER(SEARCH("violence",Q951)),ISNUMBER(SEARCH("detention",Q951)),ISNUMBER(SEARCH("arrest",Q951)),ISNUMBER(SEARCH("demolition",Q951)),ISNUMBER(SEARCH("injury",Q951))),1,0)+IF(OR(D951="Ongoing",D951="Unresolved"),1,0))))</x:f>
      </x:c>
      <x:c r="K951" s="16" t="str">
        <x:f>IF(J951="","",IF(J951=1,"Limited",IF(J951=2,"Local",IF(J951=3,"Significant",IF(J951=4,"High","Critical")))))</x:f>
      </x:c>
      <x:c r="L951" s="16" t="str">
        <x:f>IF(A951="","",Events!U950)</x:f>
      </x:c>
      <x:c r="M951" s="16" t="str">
        <x:f>IF(A951="","",Events!V950)</x:f>
      </x:c>
      <x:c r="N951" s="16" t="str">
        <x:f>IF(A951="","",Events!Q950)</x:f>
      </x:c>
      <x:c r="O951" s="16" t="str">
        <x:f>IF(A951="","",Events!R950)</x:f>
      </x:c>
      <x:c r="P951" s="16" t="str">
        <x:f>IF(A951="","",LOWER(Events!B950&amp;" "&amp;Events!D950&amp;" "&amp;Events!K950))</x:f>
      </x:c>
      <x:c r="Q951" s="16" t="str">
        <x:f>IF(A951="","",LOWER(Events!C950&amp;" "&amp;Events!K950&amp;" "&amp;Events!T950))</x:f>
      </x:c>
      <x:c r="R951" s="16" t="str">
        <x:f>IF(A951="","",IF(ISNUMBER(SEARCH("Occurrence verified",E951)),"Occurrence verified",E951))</x:f>
      </x:c>
      <x:c r="S951" s="79" t="str">
        <x:f>IF(A951="","",Events!X950)</x:f>
      </x:c>
      <x:c r="Z951" s="79" t="str">
        <x:f>IF(A951="","",Events!AD950)</x:f>
      </x:c>
      <x:c r="AA951" s="79" t="str">
        <x:f>IF(A951="","",Events!AE950)</x:f>
      </x:c>
    </x:row>
    <x:row r="952">
      <x:c r="A952" s="16" t="str">
        <x:f>IF(Events!A951="","",Events!A951)</x:f>
      </x:c>
      <x:c r="B952" s="16" t="str">
        <x:f>IF(A952="","",Events!B951)</x:f>
      </x:c>
      <x:c r="C952" s="16" t="str">
        <x:f>IF(A952="","",Events!E951)</x:f>
      </x:c>
      <x:c r="D952" s="16" t="str">
        <x:f>IF(A952="","",Events!J951)</x:f>
      </x:c>
      <x:c r="E952" s="16" t="str">
        <x:f>IF(A952="","",Events!N951)</x:f>
      </x:c>
      <x:c r="F952" s="109" t="str">
        <x:f>IF(OR(A952="",Events!H951=""),"",Events!H951)</x:f>
      </x:c>
      <x:c r="G952" s="109" t="str">
        <x:f>IF(A952="","",IF(Events!I951&lt;&gt;"",Events!I951,IF(Events!S951&lt;&gt;"",Events!S951,"")))</x:f>
      </x:c>
      <x:c r="H952" s="16" t="str">
        <x:f>IF(A952="","",Events!W951)</x:f>
      </x:c>
      <x:c r="I952" s="16" t="str">
        <x:f>IF(A952="","",IF(Events!Y951&lt;&gt;"",Events!Y951,IF(OR(ISNUMBER(SEARCH("education",P952)),ISNUMBER(SEARCH("exam",P952)),ISNUMBER(SEARCH("school",P952))),"Education",IF(OR(ISNUMBER(SEARCH("trade agreement",P952)),ISNUMBER(SEARCH("economic",P952)),ISNUMBER(SEARCH("import",P952))),"Trade &amp; economic policy",IF(OR(ISNUMBER(SEARCH("land acquisition",P952)),ISNUMBER(SEARCH("rehabilitation",P952)),ISNUMBER(SEARCH("displacement",P952)),ISNUMBER(SEARCH("township",P952))),"Land &amp; rehabilitation",IF(OR(ISNUMBER(SEARCH("forest",P952)),ISNUMBER(SEARCH("environment",P952)),ISNUMBER(SEARCH("ecological",P952)),ISNUMBER(SEARCH("biodiversity",P952)),ISNUMBER(SEARCH("green cover",P952))),"Environment",IF(OR(ISNUMBER(SEARCH("irrigation",P952)),ISNUMBER(SEARCH("water",P952)),ISNUMBER(SEARCH("crop",P952)),ISNUMBER(SEARCH("farmer",P952)),ISNUMBER(SEARCH("agriculture",P952))),"Agriculture &amp; water",IF(OR(ISNUMBER(SEARCH("health",P952)),ISNUMBER(SEARCH("hospital",P952)),ISNUMBER(SEARCH("medicine",P952))),"Public health",IF(OR(ISNUMBER(SEARCH("employee",P952)),ISNUMBER(SEARCH("labour",P952)),ISNUMBER(SEARCH("worker",P952)),ISNUMBER(SEARCH("salary",P952))),"Labour &amp; employment",IF(OR(ISNUMBER(SEARCH("rti",P952)),ISNUMBER(SEARCH("transparency",P952)),ISNUMBER(SEARCH("corruption",P952)),ISNUMBER(SEARCH("governance",P952))),"Governance &amp; transparency",IF(OR(ISNUMBER(SEARCH("police",P952)),ISNUMBER(SEARCH("detention",P952)),ISNUMBER(SEARCH("civil rights",P952)),ISNUMBER(SEARCH("justice",P952))),"Civil rights &amp; justice",IF(OR(ISNUMBER(SEARCH("road",P952)),ISNUMBER(SEARCH("utility",P952)),ISNUMBER(SEARCH("infrastructure",P952)),ISNUMBER(SEARCH("public service",P952))),"Infrastructure &amp; public services","Other"))))))))))))</x:f>
      </x:c>
      <x:c r="J952" s="16" t="str">
        <x:f>IF(A952="","",IF(OR(ISNUMBER(SEARCH("fatal",Q952)),ISNUMBER(SEARCH("death",Q952)),ISNUMBER(SEARCH("riot",Q952)),ISNUMBER(SEARCH("curfew",Q952)),ISNUMBER(SEARCH("internet shutdown",Q952))),5,MIN(4,1+IF(H952&gt;=7,1,0)+IF(OR(ISNUMBER(SEARCH("hunger strike",Q952)),ISNUMBER(SEARCH("blockade",Q952)),ISNUMBER(SEARCH("strike",Q952)),ISNUMBER(SEARCH("jal satyagraha",Q952)),ISNUMBER(SEARCH("survey",Q952)),ISNUMBER(SEARCH("human chain",Q952)),ISNUMBER(SEARCH("march",Q952))),1,0)+IF(OR(ISNUMBER(SEARCH("fir",Q952)),ISNUMBER(SEARCH("confrontation",Q952)),ISNUMBER(SEARCH("violence",Q952)),ISNUMBER(SEARCH("detention",Q952)),ISNUMBER(SEARCH("arrest",Q952)),ISNUMBER(SEARCH("demolition",Q952)),ISNUMBER(SEARCH("injury",Q952))),1,0)+IF(OR(D952="Ongoing",D952="Unresolved"),1,0))))</x:f>
      </x:c>
      <x:c r="K952" s="16" t="str">
        <x:f>IF(J952="","",IF(J952=1,"Limited",IF(J952=2,"Local",IF(J952=3,"Significant",IF(J952=4,"High","Critical")))))</x:f>
      </x:c>
      <x:c r="L952" s="16" t="str">
        <x:f>IF(A952="","",Events!U951)</x:f>
      </x:c>
      <x:c r="M952" s="16" t="str">
        <x:f>IF(A952="","",Events!V951)</x:f>
      </x:c>
      <x:c r="N952" s="16" t="str">
        <x:f>IF(A952="","",Events!Q951)</x:f>
      </x:c>
      <x:c r="O952" s="16" t="str">
        <x:f>IF(A952="","",Events!R951)</x:f>
      </x:c>
      <x:c r="P952" s="16" t="str">
        <x:f>IF(A952="","",LOWER(Events!B951&amp;" "&amp;Events!D951&amp;" "&amp;Events!K951))</x:f>
      </x:c>
      <x:c r="Q952" s="16" t="str">
        <x:f>IF(A952="","",LOWER(Events!C951&amp;" "&amp;Events!K951&amp;" "&amp;Events!T951))</x:f>
      </x:c>
      <x:c r="R952" s="16" t="str">
        <x:f>IF(A952="","",IF(ISNUMBER(SEARCH("Occurrence verified",E952)),"Occurrence verified",E952))</x:f>
      </x:c>
      <x:c r="S952" s="79" t="str">
        <x:f>IF(A952="","",Events!X951)</x:f>
      </x:c>
      <x:c r="Z952" s="79" t="str">
        <x:f>IF(A952="","",Events!AD951)</x:f>
      </x:c>
      <x:c r="AA952" s="79" t="str">
        <x:f>IF(A952="","",Events!AE951)</x:f>
      </x:c>
    </x:row>
    <x:row r="953">
      <x:c r="A953" s="16" t="str">
        <x:f>IF(Events!A952="","",Events!A952)</x:f>
      </x:c>
      <x:c r="B953" s="16" t="str">
        <x:f>IF(A953="","",Events!B952)</x:f>
      </x:c>
      <x:c r="C953" s="16" t="str">
        <x:f>IF(A953="","",Events!E952)</x:f>
      </x:c>
      <x:c r="D953" s="16" t="str">
        <x:f>IF(A953="","",Events!J952)</x:f>
      </x:c>
      <x:c r="E953" s="16" t="str">
        <x:f>IF(A953="","",Events!N952)</x:f>
      </x:c>
      <x:c r="F953" s="109" t="str">
        <x:f>IF(OR(A953="",Events!H952=""),"",Events!H952)</x:f>
      </x:c>
      <x:c r="G953" s="109" t="str">
        <x:f>IF(A953="","",IF(Events!I952&lt;&gt;"",Events!I952,IF(Events!S952&lt;&gt;"",Events!S952,"")))</x:f>
      </x:c>
      <x:c r="H953" s="16" t="str">
        <x:f>IF(A953="","",Events!W952)</x:f>
      </x:c>
      <x:c r="I953" s="16" t="str">
        <x:f>IF(A953="","",IF(Events!Y952&lt;&gt;"",Events!Y952,IF(OR(ISNUMBER(SEARCH("education",P953)),ISNUMBER(SEARCH("exam",P953)),ISNUMBER(SEARCH("school",P953))),"Education",IF(OR(ISNUMBER(SEARCH("trade agreement",P953)),ISNUMBER(SEARCH("economic",P953)),ISNUMBER(SEARCH("import",P953))),"Trade &amp; economic policy",IF(OR(ISNUMBER(SEARCH("land acquisition",P953)),ISNUMBER(SEARCH("rehabilitation",P953)),ISNUMBER(SEARCH("displacement",P953)),ISNUMBER(SEARCH("township",P953))),"Land &amp; rehabilitation",IF(OR(ISNUMBER(SEARCH("forest",P953)),ISNUMBER(SEARCH("environment",P953)),ISNUMBER(SEARCH("ecological",P953)),ISNUMBER(SEARCH("biodiversity",P953)),ISNUMBER(SEARCH("green cover",P953))),"Environment",IF(OR(ISNUMBER(SEARCH("irrigation",P953)),ISNUMBER(SEARCH("water",P953)),ISNUMBER(SEARCH("crop",P953)),ISNUMBER(SEARCH("farmer",P953)),ISNUMBER(SEARCH("agriculture",P953))),"Agriculture &amp; water",IF(OR(ISNUMBER(SEARCH("health",P953)),ISNUMBER(SEARCH("hospital",P953)),ISNUMBER(SEARCH("medicine",P953))),"Public health",IF(OR(ISNUMBER(SEARCH("employee",P953)),ISNUMBER(SEARCH("labour",P953)),ISNUMBER(SEARCH("worker",P953)),ISNUMBER(SEARCH("salary",P953))),"Labour &amp; employment",IF(OR(ISNUMBER(SEARCH("rti",P953)),ISNUMBER(SEARCH("transparency",P953)),ISNUMBER(SEARCH("corruption",P953)),ISNUMBER(SEARCH("governance",P953))),"Governance &amp; transparency",IF(OR(ISNUMBER(SEARCH("police",P953)),ISNUMBER(SEARCH("detention",P953)),ISNUMBER(SEARCH("civil rights",P953)),ISNUMBER(SEARCH("justice",P953))),"Civil rights &amp; justice",IF(OR(ISNUMBER(SEARCH("road",P953)),ISNUMBER(SEARCH("utility",P953)),ISNUMBER(SEARCH("infrastructure",P953)),ISNUMBER(SEARCH("public service",P953))),"Infrastructure &amp; public services","Other"))))))))))))</x:f>
      </x:c>
      <x:c r="J953" s="16" t="str">
        <x:f>IF(A953="","",IF(OR(ISNUMBER(SEARCH("fatal",Q953)),ISNUMBER(SEARCH("death",Q953)),ISNUMBER(SEARCH("riot",Q953)),ISNUMBER(SEARCH("curfew",Q953)),ISNUMBER(SEARCH("internet shutdown",Q953))),5,MIN(4,1+IF(H953&gt;=7,1,0)+IF(OR(ISNUMBER(SEARCH("hunger strike",Q953)),ISNUMBER(SEARCH("blockade",Q953)),ISNUMBER(SEARCH("strike",Q953)),ISNUMBER(SEARCH("jal satyagraha",Q953)),ISNUMBER(SEARCH("survey",Q953)),ISNUMBER(SEARCH("human chain",Q953)),ISNUMBER(SEARCH("march",Q953))),1,0)+IF(OR(ISNUMBER(SEARCH("fir",Q953)),ISNUMBER(SEARCH("confrontation",Q953)),ISNUMBER(SEARCH("violence",Q953)),ISNUMBER(SEARCH("detention",Q953)),ISNUMBER(SEARCH("arrest",Q953)),ISNUMBER(SEARCH("demolition",Q953)),ISNUMBER(SEARCH("injury",Q953))),1,0)+IF(OR(D953="Ongoing",D953="Unresolved"),1,0))))</x:f>
      </x:c>
      <x:c r="K953" s="16" t="str">
        <x:f>IF(J953="","",IF(J953=1,"Limited",IF(J953=2,"Local",IF(J953=3,"Significant",IF(J953=4,"High","Critical")))))</x:f>
      </x:c>
      <x:c r="L953" s="16" t="str">
        <x:f>IF(A953="","",Events!U952)</x:f>
      </x:c>
      <x:c r="M953" s="16" t="str">
        <x:f>IF(A953="","",Events!V952)</x:f>
      </x:c>
      <x:c r="N953" s="16" t="str">
        <x:f>IF(A953="","",Events!Q952)</x:f>
      </x:c>
      <x:c r="O953" s="16" t="str">
        <x:f>IF(A953="","",Events!R952)</x:f>
      </x:c>
      <x:c r="P953" s="16" t="str">
        <x:f>IF(A953="","",LOWER(Events!B952&amp;" "&amp;Events!D952&amp;" "&amp;Events!K952))</x:f>
      </x:c>
      <x:c r="Q953" s="16" t="str">
        <x:f>IF(A953="","",LOWER(Events!C952&amp;" "&amp;Events!K952&amp;" "&amp;Events!T952))</x:f>
      </x:c>
      <x:c r="R953" s="16" t="str">
        <x:f>IF(A953="","",IF(ISNUMBER(SEARCH("Occurrence verified",E953)),"Occurrence verified",E953))</x:f>
      </x:c>
      <x:c r="S953" s="79" t="str">
        <x:f>IF(A953="","",Events!X952)</x:f>
      </x:c>
      <x:c r="Z953" s="79" t="str">
        <x:f>IF(A953="","",Events!AD952)</x:f>
      </x:c>
      <x:c r="AA953" s="79" t="str">
        <x:f>IF(A953="","",Events!AE952)</x:f>
      </x:c>
    </x:row>
    <x:row r="954">
      <x:c r="A954" s="16" t="str">
        <x:f>IF(Events!A953="","",Events!A953)</x:f>
      </x:c>
      <x:c r="B954" s="16" t="str">
        <x:f>IF(A954="","",Events!B953)</x:f>
      </x:c>
      <x:c r="C954" s="16" t="str">
        <x:f>IF(A954="","",Events!E953)</x:f>
      </x:c>
      <x:c r="D954" s="16" t="str">
        <x:f>IF(A954="","",Events!J953)</x:f>
      </x:c>
      <x:c r="E954" s="16" t="str">
        <x:f>IF(A954="","",Events!N953)</x:f>
      </x:c>
      <x:c r="F954" s="109" t="str">
        <x:f>IF(OR(A954="",Events!H953=""),"",Events!H953)</x:f>
      </x:c>
      <x:c r="G954" s="109" t="str">
        <x:f>IF(A954="","",IF(Events!I953&lt;&gt;"",Events!I953,IF(Events!S953&lt;&gt;"",Events!S953,"")))</x:f>
      </x:c>
      <x:c r="H954" s="16" t="str">
        <x:f>IF(A954="","",Events!W953)</x:f>
      </x:c>
      <x:c r="I954" s="16" t="str">
        <x:f>IF(A954="","",IF(Events!Y953&lt;&gt;"",Events!Y953,IF(OR(ISNUMBER(SEARCH("education",P954)),ISNUMBER(SEARCH("exam",P954)),ISNUMBER(SEARCH("school",P954))),"Education",IF(OR(ISNUMBER(SEARCH("trade agreement",P954)),ISNUMBER(SEARCH("economic",P954)),ISNUMBER(SEARCH("import",P954))),"Trade &amp; economic policy",IF(OR(ISNUMBER(SEARCH("land acquisition",P954)),ISNUMBER(SEARCH("rehabilitation",P954)),ISNUMBER(SEARCH("displacement",P954)),ISNUMBER(SEARCH("township",P954))),"Land &amp; rehabilitation",IF(OR(ISNUMBER(SEARCH("forest",P954)),ISNUMBER(SEARCH("environment",P954)),ISNUMBER(SEARCH("ecological",P954)),ISNUMBER(SEARCH("biodiversity",P954)),ISNUMBER(SEARCH("green cover",P954))),"Environment",IF(OR(ISNUMBER(SEARCH("irrigation",P954)),ISNUMBER(SEARCH("water",P954)),ISNUMBER(SEARCH("crop",P954)),ISNUMBER(SEARCH("farmer",P954)),ISNUMBER(SEARCH("agriculture",P954))),"Agriculture &amp; water",IF(OR(ISNUMBER(SEARCH("health",P954)),ISNUMBER(SEARCH("hospital",P954)),ISNUMBER(SEARCH("medicine",P954))),"Public health",IF(OR(ISNUMBER(SEARCH("employee",P954)),ISNUMBER(SEARCH("labour",P954)),ISNUMBER(SEARCH("worker",P954)),ISNUMBER(SEARCH("salary",P954))),"Labour &amp; employment",IF(OR(ISNUMBER(SEARCH("rti",P954)),ISNUMBER(SEARCH("transparency",P954)),ISNUMBER(SEARCH("corruption",P954)),ISNUMBER(SEARCH("governance",P954))),"Governance &amp; transparency",IF(OR(ISNUMBER(SEARCH("police",P954)),ISNUMBER(SEARCH("detention",P954)),ISNUMBER(SEARCH("civil rights",P954)),ISNUMBER(SEARCH("justice",P954))),"Civil rights &amp; justice",IF(OR(ISNUMBER(SEARCH("road",P954)),ISNUMBER(SEARCH("utility",P954)),ISNUMBER(SEARCH("infrastructure",P954)),ISNUMBER(SEARCH("public service",P954))),"Infrastructure &amp; public services","Other"))))))))))))</x:f>
      </x:c>
      <x:c r="J954" s="16" t="str">
        <x:f>IF(A954="","",IF(OR(ISNUMBER(SEARCH("fatal",Q954)),ISNUMBER(SEARCH("death",Q954)),ISNUMBER(SEARCH("riot",Q954)),ISNUMBER(SEARCH("curfew",Q954)),ISNUMBER(SEARCH("internet shutdown",Q954))),5,MIN(4,1+IF(H954&gt;=7,1,0)+IF(OR(ISNUMBER(SEARCH("hunger strike",Q954)),ISNUMBER(SEARCH("blockade",Q954)),ISNUMBER(SEARCH("strike",Q954)),ISNUMBER(SEARCH("jal satyagraha",Q954)),ISNUMBER(SEARCH("survey",Q954)),ISNUMBER(SEARCH("human chain",Q954)),ISNUMBER(SEARCH("march",Q954))),1,0)+IF(OR(ISNUMBER(SEARCH("fir",Q954)),ISNUMBER(SEARCH("confrontation",Q954)),ISNUMBER(SEARCH("violence",Q954)),ISNUMBER(SEARCH("detention",Q954)),ISNUMBER(SEARCH("arrest",Q954)),ISNUMBER(SEARCH("demolition",Q954)),ISNUMBER(SEARCH("injury",Q954))),1,0)+IF(OR(D954="Ongoing",D954="Unresolved"),1,0))))</x:f>
      </x:c>
      <x:c r="K954" s="16" t="str">
        <x:f>IF(J954="","",IF(J954=1,"Limited",IF(J954=2,"Local",IF(J954=3,"Significant",IF(J954=4,"High","Critical")))))</x:f>
      </x:c>
      <x:c r="L954" s="16" t="str">
        <x:f>IF(A954="","",Events!U953)</x:f>
      </x:c>
      <x:c r="M954" s="16" t="str">
        <x:f>IF(A954="","",Events!V953)</x:f>
      </x:c>
      <x:c r="N954" s="16" t="str">
        <x:f>IF(A954="","",Events!Q953)</x:f>
      </x:c>
      <x:c r="O954" s="16" t="str">
        <x:f>IF(A954="","",Events!R953)</x:f>
      </x:c>
      <x:c r="P954" s="16" t="str">
        <x:f>IF(A954="","",LOWER(Events!B953&amp;" "&amp;Events!D953&amp;" "&amp;Events!K953))</x:f>
      </x:c>
      <x:c r="Q954" s="16" t="str">
        <x:f>IF(A954="","",LOWER(Events!C953&amp;" "&amp;Events!K953&amp;" "&amp;Events!T953))</x:f>
      </x:c>
      <x:c r="R954" s="16" t="str">
        <x:f>IF(A954="","",IF(ISNUMBER(SEARCH("Occurrence verified",E954)),"Occurrence verified",E954))</x:f>
      </x:c>
      <x:c r="S954" s="79" t="str">
        <x:f>IF(A954="","",Events!X953)</x:f>
      </x:c>
      <x:c r="Z954" s="79" t="str">
        <x:f>IF(A954="","",Events!AD953)</x:f>
      </x:c>
      <x:c r="AA954" s="79" t="str">
        <x:f>IF(A954="","",Events!AE953)</x:f>
      </x:c>
    </x:row>
    <x:row r="955">
      <x:c r="A955" s="16" t="str">
        <x:f>IF(Events!A954="","",Events!A954)</x:f>
      </x:c>
      <x:c r="B955" s="16" t="str">
        <x:f>IF(A955="","",Events!B954)</x:f>
      </x:c>
      <x:c r="C955" s="16" t="str">
        <x:f>IF(A955="","",Events!E954)</x:f>
      </x:c>
      <x:c r="D955" s="16" t="str">
        <x:f>IF(A955="","",Events!J954)</x:f>
      </x:c>
      <x:c r="E955" s="16" t="str">
        <x:f>IF(A955="","",Events!N954)</x:f>
      </x:c>
      <x:c r="F955" s="109" t="str">
        <x:f>IF(OR(A955="",Events!H954=""),"",Events!H954)</x:f>
      </x:c>
      <x:c r="G955" s="109" t="str">
        <x:f>IF(A955="","",IF(Events!I954&lt;&gt;"",Events!I954,IF(Events!S954&lt;&gt;"",Events!S954,"")))</x:f>
      </x:c>
      <x:c r="H955" s="16" t="str">
        <x:f>IF(A955="","",Events!W954)</x:f>
      </x:c>
      <x:c r="I955" s="16" t="str">
        <x:f>IF(A955="","",IF(Events!Y954&lt;&gt;"",Events!Y954,IF(OR(ISNUMBER(SEARCH("education",P955)),ISNUMBER(SEARCH("exam",P955)),ISNUMBER(SEARCH("school",P955))),"Education",IF(OR(ISNUMBER(SEARCH("trade agreement",P955)),ISNUMBER(SEARCH("economic",P955)),ISNUMBER(SEARCH("import",P955))),"Trade &amp; economic policy",IF(OR(ISNUMBER(SEARCH("land acquisition",P955)),ISNUMBER(SEARCH("rehabilitation",P955)),ISNUMBER(SEARCH("displacement",P955)),ISNUMBER(SEARCH("township",P955))),"Land &amp; rehabilitation",IF(OR(ISNUMBER(SEARCH("forest",P955)),ISNUMBER(SEARCH("environment",P955)),ISNUMBER(SEARCH("ecological",P955)),ISNUMBER(SEARCH("biodiversity",P955)),ISNUMBER(SEARCH("green cover",P955))),"Environment",IF(OR(ISNUMBER(SEARCH("irrigation",P955)),ISNUMBER(SEARCH("water",P955)),ISNUMBER(SEARCH("crop",P955)),ISNUMBER(SEARCH("farmer",P955)),ISNUMBER(SEARCH("agriculture",P955))),"Agriculture &amp; water",IF(OR(ISNUMBER(SEARCH("health",P955)),ISNUMBER(SEARCH("hospital",P955)),ISNUMBER(SEARCH("medicine",P955))),"Public health",IF(OR(ISNUMBER(SEARCH("employee",P955)),ISNUMBER(SEARCH("labour",P955)),ISNUMBER(SEARCH("worker",P955)),ISNUMBER(SEARCH("salary",P955))),"Labour &amp; employment",IF(OR(ISNUMBER(SEARCH("rti",P955)),ISNUMBER(SEARCH("transparency",P955)),ISNUMBER(SEARCH("corruption",P955)),ISNUMBER(SEARCH("governance",P955))),"Governance &amp; transparency",IF(OR(ISNUMBER(SEARCH("police",P955)),ISNUMBER(SEARCH("detention",P955)),ISNUMBER(SEARCH("civil rights",P955)),ISNUMBER(SEARCH("justice",P955))),"Civil rights &amp; justice",IF(OR(ISNUMBER(SEARCH("road",P955)),ISNUMBER(SEARCH("utility",P955)),ISNUMBER(SEARCH("infrastructure",P955)),ISNUMBER(SEARCH("public service",P955))),"Infrastructure &amp; public services","Other"))))))))))))</x:f>
      </x:c>
      <x:c r="J955" s="16" t="str">
        <x:f>IF(A955="","",IF(OR(ISNUMBER(SEARCH("fatal",Q955)),ISNUMBER(SEARCH("death",Q955)),ISNUMBER(SEARCH("riot",Q955)),ISNUMBER(SEARCH("curfew",Q955)),ISNUMBER(SEARCH("internet shutdown",Q955))),5,MIN(4,1+IF(H955&gt;=7,1,0)+IF(OR(ISNUMBER(SEARCH("hunger strike",Q955)),ISNUMBER(SEARCH("blockade",Q955)),ISNUMBER(SEARCH("strike",Q955)),ISNUMBER(SEARCH("jal satyagraha",Q955)),ISNUMBER(SEARCH("survey",Q955)),ISNUMBER(SEARCH("human chain",Q955)),ISNUMBER(SEARCH("march",Q955))),1,0)+IF(OR(ISNUMBER(SEARCH("fir",Q955)),ISNUMBER(SEARCH("confrontation",Q955)),ISNUMBER(SEARCH("violence",Q955)),ISNUMBER(SEARCH("detention",Q955)),ISNUMBER(SEARCH("arrest",Q955)),ISNUMBER(SEARCH("demolition",Q955)),ISNUMBER(SEARCH("injury",Q955))),1,0)+IF(OR(D955="Ongoing",D955="Unresolved"),1,0))))</x:f>
      </x:c>
      <x:c r="K955" s="16" t="str">
        <x:f>IF(J955="","",IF(J955=1,"Limited",IF(J955=2,"Local",IF(J955=3,"Significant",IF(J955=4,"High","Critical")))))</x:f>
      </x:c>
      <x:c r="L955" s="16" t="str">
        <x:f>IF(A955="","",Events!U954)</x:f>
      </x:c>
      <x:c r="M955" s="16" t="str">
        <x:f>IF(A955="","",Events!V954)</x:f>
      </x:c>
      <x:c r="N955" s="16" t="str">
        <x:f>IF(A955="","",Events!Q954)</x:f>
      </x:c>
      <x:c r="O955" s="16" t="str">
        <x:f>IF(A955="","",Events!R954)</x:f>
      </x:c>
      <x:c r="P955" s="16" t="str">
        <x:f>IF(A955="","",LOWER(Events!B954&amp;" "&amp;Events!D954&amp;" "&amp;Events!K954))</x:f>
      </x:c>
      <x:c r="Q955" s="16" t="str">
        <x:f>IF(A955="","",LOWER(Events!C954&amp;" "&amp;Events!K954&amp;" "&amp;Events!T954))</x:f>
      </x:c>
      <x:c r="R955" s="16" t="str">
        <x:f>IF(A955="","",IF(ISNUMBER(SEARCH("Occurrence verified",E955)),"Occurrence verified",E955))</x:f>
      </x:c>
      <x:c r="S955" s="79" t="str">
        <x:f>IF(A955="","",Events!X954)</x:f>
      </x:c>
      <x:c r="Z955" s="79" t="str">
        <x:f>IF(A955="","",Events!AD954)</x:f>
      </x:c>
      <x:c r="AA955" s="79" t="str">
        <x:f>IF(A955="","",Events!AE954)</x:f>
      </x:c>
    </x:row>
    <x:row r="956">
      <x:c r="A956" s="16" t="str">
        <x:f>IF(Events!A955="","",Events!A955)</x:f>
      </x:c>
      <x:c r="B956" s="16" t="str">
        <x:f>IF(A956="","",Events!B955)</x:f>
      </x:c>
      <x:c r="C956" s="16" t="str">
        <x:f>IF(A956="","",Events!E955)</x:f>
      </x:c>
      <x:c r="D956" s="16" t="str">
        <x:f>IF(A956="","",Events!J955)</x:f>
      </x:c>
      <x:c r="E956" s="16" t="str">
        <x:f>IF(A956="","",Events!N955)</x:f>
      </x:c>
      <x:c r="F956" s="109" t="str">
        <x:f>IF(OR(A956="",Events!H955=""),"",Events!H955)</x:f>
      </x:c>
      <x:c r="G956" s="109" t="str">
        <x:f>IF(A956="","",IF(Events!I955&lt;&gt;"",Events!I955,IF(Events!S955&lt;&gt;"",Events!S955,"")))</x:f>
      </x:c>
      <x:c r="H956" s="16" t="str">
        <x:f>IF(A956="","",Events!W955)</x:f>
      </x:c>
      <x:c r="I956" s="16" t="str">
        <x:f>IF(A956="","",IF(Events!Y955&lt;&gt;"",Events!Y955,IF(OR(ISNUMBER(SEARCH("education",P956)),ISNUMBER(SEARCH("exam",P956)),ISNUMBER(SEARCH("school",P956))),"Education",IF(OR(ISNUMBER(SEARCH("trade agreement",P956)),ISNUMBER(SEARCH("economic",P956)),ISNUMBER(SEARCH("import",P956))),"Trade &amp; economic policy",IF(OR(ISNUMBER(SEARCH("land acquisition",P956)),ISNUMBER(SEARCH("rehabilitation",P956)),ISNUMBER(SEARCH("displacement",P956)),ISNUMBER(SEARCH("township",P956))),"Land &amp; rehabilitation",IF(OR(ISNUMBER(SEARCH("forest",P956)),ISNUMBER(SEARCH("environment",P956)),ISNUMBER(SEARCH("ecological",P956)),ISNUMBER(SEARCH("biodiversity",P956)),ISNUMBER(SEARCH("green cover",P956))),"Environment",IF(OR(ISNUMBER(SEARCH("irrigation",P956)),ISNUMBER(SEARCH("water",P956)),ISNUMBER(SEARCH("crop",P956)),ISNUMBER(SEARCH("farmer",P956)),ISNUMBER(SEARCH("agriculture",P956))),"Agriculture &amp; water",IF(OR(ISNUMBER(SEARCH("health",P956)),ISNUMBER(SEARCH("hospital",P956)),ISNUMBER(SEARCH("medicine",P956))),"Public health",IF(OR(ISNUMBER(SEARCH("employee",P956)),ISNUMBER(SEARCH("labour",P956)),ISNUMBER(SEARCH("worker",P956)),ISNUMBER(SEARCH("salary",P956))),"Labour &amp; employment",IF(OR(ISNUMBER(SEARCH("rti",P956)),ISNUMBER(SEARCH("transparency",P956)),ISNUMBER(SEARCH("corruption",P956)),ISNUMBER(SEARCH("governance",P956))),"Governance &amp; transparency",IF(OR(ISNUMBER(SEARCH("police",P956)),ISNUMBER(SEARCH("detention",P956)),ISNUMBER(SEARCH("civil rights",P956)),ISNUMBER(SEARCH("justice",P956))),"Civil rights &amp; justice",IF(OR(ISNUMBER(SEARCH("road",P956)),ISNUMBER(SEARCH("utility",P956)),ISNUMBER(SEARCH("infrastructure",P956)),ISNUMBER(SEARCH("public service",P956))),"Infrastructure &amp; public services","Other"))))))))))))</x:f>
      </x:c>
      <x:c r="J956" s="16" t="str">
        <x:f>IF(A956="","",IF(OR(ISNUMBER(SEARCH("fatal",Q956)),ISNUMBER(SEARCH("death",Q956)),ISNUMBER(SEARCH("riot",Q956)),ISNUMBER(SEARCH("curfew",Q956)),ISNUMBER(SEARCH("internet shutdown",Q956))),5,MIN(4,1+IF(H956&gt;=7,1,0)+IF(OR(ISNUMBER(SEARCH("hunger strike",Q956)),ISNUMBER(SEARCH("blockade",Q956)),ISNUMBER(SEARCH("strike",Q956)),ISNUMBER(SEARCH("jal satyagraha",Q956)),ISNUMBER(SEARCH("survey",Q956)),ISNUMBER(SEARCH("human chain",Q956)),ISNUMBER(SEARCH("march",Q956))),1,0)+IF(OR(ISNUMBER(SEARCH("fir",Q956)),ISNUMBER(SEARCH("confrontation",Q956)),ISNUMBER(SEARCH("violence",Q956)),ISNUMBER(SEARCH("detention",Q956)),ISNUMBER(SEARCH("arrest",Q956)),ISNUMBER(SEARCH("demolition",Q956)),ISNUMBER(SEARCH("injury",Q956))),1,0)+IF(OR(D956="Ongoing",D956="Unresolved"),1,0))))</x:f>
      </x:c>
      <x:c r="K956" s="16" t="str">
        <x:f>IF(J956="","",IF(J956=1,"Limited",IF(J956=2,"Local",IF(J956=3,"Significant",IF(J956=4,"High","Critical")))))</x:f>
      </x:c>
      <x:c r="L956" s="16" t="str">
        <x:f>IF(A956="","",Events!U955)</x:f>
      </x:c>
      <x:c r="M956" s="16" t="str">
        <x:f>IF(A956="","",Events!V955)</x:f>
      </x:c>
      <x:c r="N956" s="16" t="str">
        <x:f>IF(A956="","",Events!Q955)</x:f>
      </x:c>
      <x:c r="O956" s="16" t="str">
        <x:f>IF(A956="","",Events!R955)</x:f>
      </x:c>
      <x:c r="P956" s="16" t="str">
        <x:f>IF(A956="","",LOWER(Events!B955&amp;" "&amp;Events!D955&amp;" "&amp;Events!K955))</x:f>
      </x:c>
      <x:c r="Q956" s="16" t="str">
        <x:f>IF(A956="","",LOWER(Events!C955&amp;" "&amp;Events!K955&amp;" "&amp;Events!T955))</x:f>
      </x:c>
      <x:c r="R956" s="16" t="str">
        <x:f>IF(A956="","",IF(ISNUMBER(SEARCH("Occurrence verified",E956)),"Occurrence verified",E956))</x:f>
      </x:c>
      <x:c r="S956" s="79" t="str">
        <x:f>IF(A956="","",Events!X955)</x:f>
      </x:c>
      <x:c r="Z956" s="79" t="str">
        <x:f>IF(A956="","",Events!AD955)</x:f>
      </x:c>
      <x:c r="AA956" s="79" t="str">
        <x:f>IF(A956="","",Events!AE955)</x:f>
      </x:c>
    </x:row>
    <x:row r="957">
      <x:c r="A957" s="16" t="str">
        <x:f>IF(Events!A956="","",Events!A956)</x:f>
      </x:c>
      <x:c r="B957" s="16" t="str">
        <x:f>IF(A957="","",Events!B956)</x:f>
      </x:c>
      <x:c r="C957" s="16" t="str">
        <x:f>IF(A957="","",Events!E956)</x:f>
      </x:c>
      <x:c r="D957" s="16" t="str">
        <x:f>IF(A957="","",Events!J956)</x:f>
      </x:c>
      <x:c r="E957" s="16" t="str">
        <x:f>IF(A957="","",Events!N956)</x:f>
      </x:c>
      <x:c r="F957" s="109" t="str">
        <x:f>IF(OR(A957="",Events!H956=""),"",Events!H956)</x:f>
      </x:c>
      <x:c r="G957" s="109" t="str">
        <x:f>IF(A957="","",IF(Events!I956&lt;&gt;"",Events!I956,IF(Events!S956&lt;&gt;"",Events!S956,"")))</x:f>
      </x:c>
      <x:c r="H957" s="16" t="str">
        <x:f>IF(A957="","",Events!W956)</x:f>
      </x:c>
      <x:c r="I957" s="16" t="str">
        <x:f>IF(A957="","",IF(Events!Y956&lt;&gt;"",Events!Y956,IF(OR(ISNUMBER(SEARCH("education",P957)),ISNUMBER(SEARCH("exam",P957)),ISNUMBER(SEARCH("school",P957))),"Education",IF(OR(ISNUMBER(SEARCH("trade agreement",P957)),ISNUMBER(SEARCH("economic",P957)),ISNUMBER(SEARCH("import",P957))),"Trade &amp; economic policy",IF(OR(ISNUMBER(SEARCH("land acquisition",P957)),ISNUMBER(SEARCH("rehabilitation",P957)),ISNUMBER(SEARCH("displacement",P957)),ISNUMBER(SEARCH("township",P957))),"Land &amp; rehabilitation",IF(OR(ISNUMBER(SEARCH("forest",P957)),ISNUMBER(SEARCH("environment",P957)),ISNUMBER(SEARCH("ecological",P957)),ISNUMBER(SEARCH("biodiversity",P957)),ISNUMBER(SEARCH("green cover",P957))),"Environment",IF(OR(ISNUMBER(SEARCH("irrigation",P957)),ISNUMBER(SEARCH("water",P957)),ISNUMBER(SEARCH("crop",P957)),ISNUMBER(SEARCH("farmer",P957)),ISNUMBER(SEARCH("agriculture",P957))),"Agriculture &amp; water",IF(OR(ISNUMBER(SEARCH("health",P957)),ISNUMBER(SEARCH("hospital",P957)),ISNUMBER(SEARCH("medicine",P957))),"Public health",IF(OR(ISNUMBER(SEARCH("employee",P957)),ISNUMBER(SEARCH("labour",P957)),ISNUMBER(SEARCH("worker",P957)),ISNUMBER(SEARCH("salary",P957))),"Labour &amp; employment",IF(OR(ISNUMBER(SEARCH("rti",P957)),ISNUMBER(SEARCH("transparency",P957)),ISNUMBER(SEARCH("corruption",P957)),ISNUMBER(SEARCH("governance",P957))),"Governance &amp; transparency",IF(OR(ISNUMBER(SEARCH("police",P957)),ISNUMBER(SEARCH("detention",P957)),ISNUMBER(SEARCH("civil rights",P957)),ISNUMBER(SEARCH("justice",P957))),"Civil rights &amp; justice",IF(OR(ISNUMBER(SEARCH("road",P957)),ISNUMBER(SEARCH("utility",P957)),ISNUMBER(SEARCH("infrastructure",P957)),ISNUMBER(SEARCH("public service",P957))),"Infrastructure &amp; public services","Other"))))))))))))</x:f>
      </x:c>
      <x:c r="J957" s="16" t="str">
        <x:f>IF(A957="","",IF(OR(ISNUMBER(SEARCH("fatal",Q957)),ISNUMBER(SEARCH("death",Q957)),ISNUMBER(SEARCH("riot",Q957)),ISNUMBER(SEARCH("curfew",Q957)),ISNUMBER(SEARCH("internet shutdown",Q957))),5,MIN(4,1+IF(H957&gt;=7,1,0)+IF(OR(ISNUMBER(SEARCH("hunger strike",Q957)),ISNUMBER(SEARCH("blockade",Q957)),ISNUMBER(SEARCH("strike",Q957)),ISNUMBER(SEARCH("jal satyagraha",Q957)),ISNUMBER(SEARCH("survey",Q957)),ISNUMBER(SEARCH("human chain",Q957)),ISNUMBER(SEARCH("march",Q957))),1,0)+IF(OR(ISNUMBER(SEARCH("fir",Q957)),ISNUMBER(SEARCH("confrontation",Q957)),ISNUMBER(SEARCH("violence",Q957)),ISNUMBER(SEARCH("detention",Q957)),ISNUMBER(SEARCH("arrest",Q957)),ISNUMBER(SEARCH("demolition",Q957)),ISNUMBER(SEARCH("injury",Q957))),1,0)+IF(OR(D957="Ongoing",D957="Unresolved"),1,0))))</x:f>
      </x:c>
      <x:c r="K957" s="16" t="str">
        <x:f>IF(J957="","",IF(J957=1,"Limited",IF(J957=2,"Local",IF(J957=3,"Significant",IF(J957=4,"High","Critical")))))</x:f>
      </x:c>
      <x:c r="L957" s="16" t="str">
        <x:f>IF(A957="","",Events!U956)</x:f>
      </x:c>
      <x:c r="M957" s="16" t="str">
        <x:f>IF(A957="","",Events!V956)</x:f>
      </x:c>
      <x:c r="N957" s="16" t="str">
        <x:f>IF(A957="","",Events!Q956)</x:f>
      </x:c>
      <x:c r="O957" s="16" t="str">
        <x:f>IF(A957="","",Events!R956)</x:f>
      </x:c>
      <x:c r="P957" s="16" t="str">
        <x:f>IF(A957="","",LOWER(Events!B956&amp;" "&amp;Events!D956&amp;" "&amp;Events!K956))</x:f>
      </x:c>
      <x:c r="Q957" s="16" t="str">
        <x:f>IF(A957="","",LOWER(Events!C956&amp;" "&amp;Events!K956&amp;" "&amp;Events!T956))</x:f>
      </x:c>
      <x:c r="R957" s="16" t="str">
        <x:f>IF(A957="","",IF(ISNUMBER(SEARCH("Occurrence verified",E957)),"Occurrence verified",E957))</x:f>
      </x:c>
      <x:c r="S957" s="79" t="str">
        <x:f>IF(A957="","",Events!X956)</x:f>
      </x:c>
      <x:c r="Z957" s="79" t="str">
        <x:f>IF(A957="","",Events!AD956)</x:f>
      </x:c>
      <x:c r="AA957" s="79" t="str">
        <x:f>IF(A957="","",Events!AE956)</x:f>
      </x:c>
    </x:row>
    <x:row r="958">
      <x:c r="A958" s="16" t="str">
        <x:f>IF(Events!A957="","",Events!A957)</x:f>
      </x:c>
      <x:c r="B958" s="16" t="str">
        <x:f>IF(A958="","",Events!B957)</x:f>
      </x:c>
      <x:c r="C958" s="16" t="str">
        <x:f>IF(A958="","",Events!E957)</x:f>
      </x:c>
      <x:c r="D958" s="16" t="str">
        <x:f>IF(A958="","",Events!J957)</x:f>
      </x:c>
      <x:c r="E958" s="16" t="str">
        <x:f>IF(A958="","",Events!N957)</x:f>
      </x:c>
      <x:c r="F958" s="109" t="str">
        <x:f>IF(OR(A958="",Events!H957=""),"",Events!H957)</x:f>
      </x:c>
      <x:c r="G958" s="109" t="str">
        <x:f>IF(A958="","",IF(Events!I957&lt;&gt;"",Events!I957,IF(Events!S957&lt;&gt;"",Events!S957,"")))</x:f>
      </x:c>
      <x:c r="H958" s="16" t="str">
        <x:f>IF(A958="","",Events!W957)</x:f>
      </x:c>
      <x:c r="I958" s="16" t="str">
        <x:f>IF(A958="","",IF(Events!Y957&lt;&gt;"",Events!Y957,IF(OR(ISNUMBER(SEARCH("education",P958)),ISNUMBER(SEARCH("exam",P958)),ISNUMBER(SEARCH("school",P958))),"Education",IF(OR(ISNUMBER(SEARCH("trade agreement",P958)),ISNUMBER(SEARCH("economic",P958)),ISNUMBER(SEARCH("import",P958))),"Trade &amp; economic policy",IF(OR(ISNUMBER(SEARCH("land acquisition",P958)),ISNUMBER(SEARCH("rehabilitation",P958)),ISNUMBER(SEARCH("displacement",P958)),ISNUMBER(SEARCH("township",P958))),"Land &amp; rehabilitation",IF(OR(ISNUMBER(SEARCH("forest",P958)),ISNUMBER(SEARCH("environment",P958)),ISNUMBER(SEARCH("ecological",P958)),ISNUMBER(SEARCH("biodiversity",P958)),ISNUMBER(SEARCH("green cover",P958))),"Environment",IF(OR(ISNUMBER(SEARCH("irrigation",P958)),ISNUMBER(SEARCH("water",P958)),ISNUMBER(SEARCH("crop",P958)),ISNUMBER(SEARCH("farmer",P958)),ISNUMBER(SEARCH("agriculture",P958))),"Agriculture &amp; water",IF(OR(ISNUMBER(SEARCH("health",P958)),ISNUMBER(SEARCH("hospital",P958)),ISNUMBER(SEARCH("medicine",P958))),"Public health",IF(OR(ISNUMBER(SEARCH("employee",P958)),ISNUMBER(SEARCH("labour",P958)),ISNUMBER(SEARCH("worker",P958)),ISNUMBER(SEARCH("salary",P958))),"Labour &amp; employment",IF(OR(ISNUMBER(SEARCH("rti",P958)),ISNUMBER(SEARCH("transparency",P958)),ISNUMBER(SEARCH("corruption",P958)),ISNUMBER(SEARCH("governance",P958))),"Governance &amp; transparency",IF(OR(ISNUMBER(SEARCH("police",P958)),ISNUMBER(SEARCH("detention",P958)),ISNUMBER(SEARCH("civil rights",P958)),ISNUMBER(SEARCH("justice",P958))),"Civil rights &amp; justice",IF(OR(ISNUMBER(SEARCH("road",P958)),ISNUMBER(SEARCH("utility",P958)),ISNUMBER(SEARCH("infrastructure",P958)),ISNUMBER(SEARCH("public service",P958))),"Infrastructure &amp; public services","Other"))))))))))))</x:f>
      </x:c>
      <x:c r="J958" s="16" t="str">
        <x:f>IF(A958="","",IF(OR(ISNUMBER(SEARCH("fatal",Q958)),ISNUMBER(SEARCH("death",Q958)),ISNUMBER(SEARCH("riot",Q958)),ISNUMBER(SEARCH("curfew",Q958)),ISNUMBER(SEARCH("internet shutdown",Q958))),5,MIN(4,1+IF(H958&gt;=7,1,0)+IF(OR(ISNUMBER(SEARCH("hunger strike",Q958)),ISNUMBER(SEARCH("blockade",Q958)),ISNUMBER(SEARCH("strike",Q958)),ISNUMBER(SEARCH("jal satyagraha",Q958)),ISNUMBER(SEARCH("survey",Q958)),ISNUMBER(SEARCH("human chain",Q958)),ISNUMBER(SEARCH("march",Q958))),1,0)+IF(OR(ISNUMBER(SEARCH("fir",Q958)),ISNUMBER(SEARCH("confrontation",Q958)),ISNUMBER(SEARCH("violence",Q958)),ISNUMBER(SEARCH("detention",Q958)),ISNUMBER(SEARCH("arrest",Q958)),ISNUMBER(SEARCH("demolition",Q958)),ISNUMBER(SEARCH("injury",Q958))),1,0)+IF(OR(D958="Ongoing",D958="Unresolved"),1,0))))</x:f>
      </x:c>
      <x:c r="K958" s="16" t="str">
        <x:f>IF(J958="","",IF(J958=1,"Limited",IF(J958=2,"Local",IF(J958=3,"Significant",IF(J958=4,"High","Critical")))))</x:f>
      </x:c>
      <x:c r="L958" s="16" t="str">
        <x:f>IF(A958="","",Events!U957)</x:f>
      </x:c>
      <x:c r="M958" s="16" t="str">
        <x:f>IF(A958="","",Events!V957)</x:f>
      </x:c>
      <x:c r="N958" s="16" t="str">
        <x:f>IF(A958="","",Events!Q957)</x:f>
      </x:c>
      <x:c r="O958" s="16" t="str">
        <x:f>IF(A958="","",Events!R957)</x:f>
      </x:c>
      <x:c r="P958" s="16" t="str">
        <x:f>IF(A958="","",LOWER(Events!B957&amp;" "&amp;Events!D957&amp;" "&amp;Events!K957))</x:f>
      </x:c>
      <x:c r="Q958" s="16" t="str">
        <x:f>IF(A958="","",LOWER(Events!C957&amp;" "&amp;Events!K957&amp;" "&amp;Events!T957))</x:f>
      </x:c>
      <x:c r="R958" s="16" t="str">
        <x:f>IF(A958="","",IF(ISNUMBER(SEARCH("Occurrence verified",E958)),"Occurrence verified",E958))</x:f>
      </x:c>
      <x:c r="S958" s="79" t="str">
        <x:f>IF(A958="","",Events!X957)</x:f>
      </x:c>
      <x:c r="Z958" s="79" t="str">
        <x:f>IF(A958="","",Events!AD957)</x:f>
      </x:c>
      <x:c r="AA958" s="79" t="str">
        <x:f>IF(A958="","",Events!AE957)</x:f>
      </x:c>
    </x:row>
    <x:row r="959">
      <x:c r="A959" s="16" t="str">
        <x:f>IF(Events!A958="","",Events!A958)</x:f>
      </x:c>
      <x:c r="B959" s="16" t="str">
        <x:f>IF(A959="","",Events!B958)</x:f>
      </x:c>
      <x:c r="C959" s="16" t="str">
        <x:f>IF(A959="","",Events!E958)</x:f>
      </x:c>
      <x:c r="D959" s="16" t="str">
        <x:f>IF(A959="","",Events!J958)</x:f>
      </x:c>
      <x:c r="E959" s="16" t="str">
        <x:f>IF(A959="","",Events!N958)</x:f>
      </x:c>
      <x:c r="F959" s="109" t="str">
        <x:f>IF(OR(A959="",Events!H958=""),"",Events!H958)</x:f>
      </x:c>
      <x:c r="G959" s="109" t="str">
        <x:f>IF(A959="","",IF(Events!I958&lt;&gt;"",Events!I958,IF(Events!S958&lt;&gt;"",Events!S958,"")))</x:f>
      </x:c>
      <x:c r="H959" s="16" t="str">
        <x:f>IF(A959="","",Events!W958)</x:f>
      </x:c>
      <x:c r="I959" s="16" t="str">
        <x:f>IF(A959="","",IF(Events!Y958&lt;&gt;"",Events!Y958,IF(OR(ISNUMBER(SEARCH("education",P959)),ISNUMBER(SEARCH("exam",P959)),ISNUMBER(SEARCH("school",P959))),"Education",IF(OR(ISNUMBER(SEARCH("trade agreement",P959)),ISNUMBER(SEARCH("economic",P959)),ISNUMBER(SEARCH("import",P959))),"Trade &amp; economic policy",IF(OR(ISNUMBER(SEARCH("land acquisition",P959)),ISNUMBER(SEARCH("rehabilitation",P959)),ISNUMBER(SEARCH("displacement",P959)),ISNUMBER(SEARCH("township",P959))),"Land &amp; rehabilitation",IF(OR(ISNUMBER(SEARCH("forest",P959)),ISNUMBER(SEARCH("environment",P959)),ISNUMBER(SEARCH("ecological",P959)),ISNUMBER(SEARCH("biodiversity",P959)),ISNUMBER(SEARCH("green cover",P959))),"Environment",IF(OR(ISNUMBER(SEARCH("irrigation",P959)),ISNUMBER(SEARCH("water",P959)),ISNUMBER(SEARCH("crop",P959)),ISNUMBER(SEARCH("farmer",P959)),ISNUMBER(SEARCH("agriculture",P959))),"Agriculture &amp; water",IF(OR(ISNUMBER(SEARCH("health",P959)),ISNUMBER(SEARCH("hospital",P959)),ISNUMBER(SEARCH("medicine",P959))),"Public health",IF(OR(ISNUMBER(SEARCH("employee",P959)),ISNUMBER(SEARCH("labour",P959)),ISNUMBER(SEARCH("worker",P959)),ISNUMBER(SEARCH("salary",P959))),"Labour &amp; employment",IF(OR(ISNUMBER(SEARCH("rti",P959)),ISNUMBER(SEARCH("transparency",P959)),ISNUMBER(SEARCH("corruption",P959)),ISNUMBER(SEARCH("governance",P959))),"Governance &amp; transparency",IF(OR(ISNUMBER(SEARCH("police",P959)),ISNUMBER(SEARCH("detention",P959)),ISNUMBER(SEARCH("civil rights",P959)),ISNUMBER(SEARCH("justice",P959))),"Civil rights &amp; justice",IF(OR(ISNUMBER(SEARCH("road",P959)),ISNUMBER(SEARCH("utility",P959)),ISNUMBER(SEARCH("infrastructure",P959)),ISNUMBER(SEARCH("public service",P959))),"Infrastructure &amp; public services","Other"))))))))))))</x:f>
      </x:c>
      <x:c r="J959" s="16" t="str">
        <x:f>IF(A959="","",IF(OR(ISNUMBER(SEARCH("fatal",Q959)),ISNUMBER(SEARCH("death",Q959)),ISNUMBER(SEARCH("riot",Q959)),ISNUMBER(SEARCH("curfew",Q959)),ISNUMBER(SEARCH("internet shutdown",Q959))),5,MIN(4,1+IF(H959&gt;=7,1,0)+IF(OR(ISNUMBER(SEARCH("hunger strike",Q959)),ISNUMBER(SEARCH("blockade",Q959)),ISNUMBER(SEARCH("strike",Q959)),ISNUMBER(SEARCH("jal satyagraha",Q959)),ISNUMBER(SEARCH("survey",Q959)),ISNUMBER(SEARCH("human chain",Q959)),ISNUMBER(SEARCH("march",Q959))),1,0)+IF(OR(ISNUMBER(SEARCH("fir",Q959)),ISNUMBER(SEARCH("confrontation",Q959)),ISNUMBER(SEARCH("violence",Q959)),ISNUMBER(SEARCH("detention",Q959)),ISNUMBER(SEARCH("arrest",Q959)),ISNUMBER(SEARCH("demolition",Q959)),ISNUMBER(SEARCH("injury",Q959))),1,0)+IF(OR(D959="Ongoing",D959="Unresolved"),1,0))))</x:f>
      </x:c>
      <x:c r="K959" s="16" t="str">
        <x:f>IF(J959="","",IF(J959=1,"Limited",IF(J959=2,"Local",IF(J959=3,"Significant",IF(J959=4,"High","Critical")))))</x:f>
      </x:c>
      <x:c r="L959" s="16" t="str">
        <x:f>IF(A959="","",Events!U958)</x:f>
      </x:c>
      <x:c r="M959" s="16" t="str">
        <x:f>IF(A959="","",Events!V958)</x:f>
      </x:c>
      <x:c r="N959" s="16" t="str">
        <x:f>IF(A959="","",Events!Q958)</x:f>
      </x:c>
      <x:c r="O959" s="16" t="str">
        <x:f>IF(A959="","",Events!R958)</x:f>
      </x:c>
      <x:c r="P959" s="16" t="str">
        <x:f>IF(A959="","",LOWER(Events!B958&amp;" "&amp;Events!D958&amp;" "&amp;Events!K958))</x:f>
      </x:c>
      <x:c r="Q959" s="16" t="str">
        <x:f>IF(A959="","",LOWER(Events!C958&amp;" "&amp;Events!K958&amp;" "&amp;Events!T958))</x:f>
      </x:c>
      <x:c r="R959" s="16" t="str">
        <x:f>IF(A959="","",IF(ISNUMBER(SEARCH("Occurrence verified",E959)),"Occurrence verified",E959))</x:f>
      </x:c>
      <x:c r="S959" s="79" t="str">
        <x:f>IF(A959="","",Events!X958)</x:f>
      </x:c>
      <x:c r="Z959" s="79" t="str">
        <x:f>IF(A959="","",Events!AD958)</x:f>
      </x:c>
      <x:c r="AA959" s="79" t="str">
        <x:f>IF(A959="","",Events!AE958)</x:f>
      </x:c>
    </x:row>
    <x:row r="960">
      <x:c r="A960" s="16" t="str">
        <x:f>IF(Events!A959="","",Events!A959)</x:f>
      </x:c>
      <x:c r="B960" s="16" t="str">
        <x:f>IF(A960="","",Events!B959)</x:f>
      </x:c>
      <x:c r="C960" s="16" t="str">
        <x:f>IF(A960="","",Events!E959)</x:f>
      </x:c>
      <x:c r="D960" s="16" t="str">
        <x:f>IF(A960="","",Events!J959)</x:f>
      </x:c>
      <x:c r="E960" s="16" t="str">
        <x:f>IF(A960="","",Events!N959)</x:f>
      </x:c>
      <x:c r="F960" s="109" t="str">
        <x:f>IF(OR(A960="",Events!H959=""),"",Events!H959)</x:f>
      </x:c>
      <x:c r="G960" s="109" t="str">
        <x:f>IF(A960="","",IF(Events!I959&lt;&gt;"",Events!I959,IF(Events!S959&lt;&gt;"",Events!S959,"")))</x:f>
      </x:c>
      <x:c r="H960" s="16" t="str">
        <x:f>IF(A960="","",Events!W959)</x:f>
      </x:c>
      <x:c r="I960" s="16" t="str">
        <x:f>IF(A960="","",IF(Events!Y959&lt;&gt;"",Events!Y959,IF(OR(ISNUMBER(SEARCH("education",P960)),ISNUMBER(SEARCH("exam",P960)),ISNUMBER(SEARCH("school",P960))),"Education",IF(OR(ISNUMBER(SEARCH("trade agreement",P960)),ISNUMBER(SEARCH("economic",P960)),ISNUMBER(SEARCH("import",P960))),"Trade &amp; economic policy",IF(OR(ISNUMBER(SEARCH("land acquisition",P960)),ISNUMBER(SEARCH("rehabilitation",P960)),ISNUMBER(SEARCH("displacement",P960)),ISNUMBER(SEARCH("township",P960))),"Land &amp; rehabilitation",IF(OR(ISNUMBER(SEARCH("forest",P960)),ISNUMBER(SEARCH("environment",P960)),ISNUMBER(SEARCH("ecological",P960)),ISNUMBER(SEARCH("biodiversity",P960)),ISNUMBER(SEARCH("green cover",P960))),"Environment",IF(OR(ISNUMBER(SEARCH("irrigation",P960)),ISNUMBER(SEARCH("water",P960)),ISNUMBER(SEARCH("crop",P960)),ISNUMBER(SEARCH("farmer",P960)),ISNUMBER(SEARCH("agriculture",P960))),"Agriculture &amp; water",IF(OR(ISNUMBER(SEARCH("health",P960)),ISNUMBER(SEARCH("hospital",P960)),ISNUMBER(SEARCH("medicine",P960))),"Public health",IF(OR(ISNUMBER(SEARCH("employee",P960)),ISNUMBER(SEARCH("labour",P960)),ISNUMBER(SEARCH("worker",P960)),ISNUMBER(SEARCH("salary",P960))),"Labour &amp; employment",IF(OR(ISNUMBER(SEARCH("rti",P960)),ISNUMBER(SEARCH("transparency",P960)),ISNUMBER(SEARCH("corruption",P960)),ISNUMBER(SEARCH("governance",P960))),"Governance &amp; transparency",IF(OR(ISNUMBER(SEARCH("police",P960)),ISNUMBER(SEARCH("detention",P960)),ISNUMBER(SEARCH("civil rights",P960)),ISNUMBER(SEARCH("justice",P960))),"Civil rights &amp; justice",IF(OR(ISNUMBER(SEARCH("road",P960)),ISNUMBER(SEARCH("utility",P960)),ISNUMBER(SEARCH("infrastructure",P960)),ISNUMBER(SEARCH("public service",P960))),"Infrastructure &amp; public services","Other"))))))))))))</x:f>
      </x:c>
      <x:c r="J960" s="16" t="str">
        <x:f>IF(A960="","",IF(OR(ISNUMBER(SEARCH("fatal",Q960)),ISNUMBER(SEARCH("death",Q960)),ISNUMBER(SEARCH("riot",Q960)),ISNUMBER(SEARCH("curfew",Q960)),ISNUMBER(SEARCH("internet shutdown",Q960))),5,MIN(4,1+IF(H960&gt;=7,1,0)+IF(OR(ISNUMBER(SEARCH("hunger strike",Q960)),ISNUMBER(SEARCH("blockade",Q960)),ISNUMBER(SEARCH("strike",Q960)),ISNUMBER(SEARCH("jal satyagraha",Q960)),ISNUMBER(SEARCH("survey",Q960)),ISNUMBER(SEARCH("human chain",Q960)),ISNUMBER(SEARCH("march",Q960))),1,0)+IF(OR(ISNUMBER(SEARCH("fir",Q960)),ISNUMBER(SEARCH("confrontation",Q960)),ISNUMBER(SEARCH("violence",Q960)),ISNUMBER(SEARCH("detention",Q960)),ISNUMBER(SEARCH("arrest",Q960)),ISNUMBER(SEARCH("demolition",Q960)),ISNUMBER(SEARCH("injury",Q960))),1,0)+IF(OR(D960="Ongoing",D960="Unresolved"),1,0))))</x:f>
      </x:c>
      <x:c r="K960" s="16" t="str">
        <x:f>IF(J960="","",IF(J960=1,"Limited",IF(J960=2,"Local",IF(J960=3,"Significant",IF(J960=4,"High","Critical")))))</x:f>
      </x:c>
      <x:c r="L960" s="16" t="str">
        <x:f>IF(A960="","",Events!U959)</x:f>
      </x:c>
      <x:c r="M960" s="16" t="str">
        <x:f>IF(A960="","",Events!V959)</x:f>
      </x:c>
      <x:c r="N960" s="16" t="str">
        <x:f>IF(A960="","",Events!Q959)</x:f>
      </x:c>
      <x:c r="O960" s="16" t="str">
        <x:f>IF(A960="","",Events!R959)</x:f>
      </x:c>
      <x:c r="P960" s="16" t="str">
        <x:f>IF(A960="","",LOWER(Events!B959&amp;" "&amp;Events!D959&amp;" "&amp;Events!K959))</x:f>
      </x:c>
      <x:c r="Q960" s="16" t="str">
        <x:f>IF(A960="","",LOWER(Events!C959&amp;" "&amp;Events!K959&amp;" "&amp;Events!T959))</x:f>
      </x:c>
      <x:c r="R960" s="16" t="str">
        <x:f>IF(A960="","",IF(ISNUMBER(SEARCH("Occurrence verified",E960)),"Occurrence verified",E960))</x:f>
      </x:c>
      <x:c r="S960" s="79" t="str">
        <x:f>IF(A960="","",Events!X959)</x:f>
      </x:c>
      <x:c r="Z960" s="79" t="str">
        <x:f>IF(A960="","",Events!AD959)</x:f>
      </x:c>
      <x:c r="AA960" s="79" t="str">
        <x:f>IF(A960="","",Events!AE959)</x:f>
      </x:c>
    </x:row>
    <x:row r="961">
      <x:c r="A961" s="16" t="str">
        <x:f>IF(Events!A960="","",Events!A960)</x:f>
      </x:c>
      <x:c r="B961" s="16" t="str">
        <x:f>IF(A961="","",Events!B960)</x:f>
      </x:c>
      <x:c r="C961" s="16" t="str">
        <x:f>IF(A961="","",Events!E960)</x:f>
      </x:c>
      <x:c r="D961" s="16" t="str">
        <x:f>IF(A961="","",Events!J960)</x:f>
      </x:c>
      <x:c r="E961" s="16" t="str">
        <x:f>IF(A961="","",Events!N960)</x:f>
      </x:c>
      <x:c r="F961" s="109" t="str">
        <x:f>IF(OR(A961="",Events!H960=""),"",Events!H960)</x:f>
      </x:c>
      <x:c r="G961" s="109" t="str">
        <x:f>IF(A961="","",IF(Events!I960&lt;&gt;"",Events!I960,IF(Events!S960&lt;&gt;"",Events!S960,"")))</x:f>
      </x:c>
      <x:c r="H961" s="16" t="str">
        <x:f>IF(A961="","",Events!W960)</x:f>
      </x:c>
      <x:c r="I961" s="16" t="str">
        <x:f>IF(A961="","",IF(Events!Y960&lt;&gt;"",Events!Y960,IF(OR(ISNUMBER(SEARCH("education",P961)),ISNUMBER(SEARCH("exam",P961)),ISNUMBER(SEARCH("school",P961))),"Education",IF(OR(ISNUMBER(SEARCH("trade agreement",P961)),ISNUMBER(SEARCH("economic",P961)),ISNUMBER(SEARCH("import",P961))),"Trade &amp; economic policy",IF(OR(ISNUMBER(SEARCH("land acquisition",P961)),ISNUMBER(SEARCH("rehabilitation",P961)),ISNUMBER(SEARCH("displacement",P961)),ISNUMBER(SEARCH("township",P961))),"Land &amp; rehabilitation",IF(OR(ISNUMBER(SEARCH("forest",P961)),ISNUMBER(SEARCH("environment",P961)),ISNUMBER(SEARCH("ecological",P961)),ISNUMBER(SEARCH("biodiversity",P961)),ISNUMBER(SEARCH("green cover",P961))),"Environment",IF(OR(ISNUMBER(SEARCH("irrigation",P961)),ISNUMBER(SEARCH("water",P961)),ISNUMBER(SEARCH("crop",P961)),ISNUMBER(SEARCH("farmer",P961)),ISNUMBER(SEARCH("agriculture",P961))),"Agriculture &amp; water",IF(OR(ISNUMBER(SEARCH("health",P961)),ISNUMBER(SEARCH("hospital",P961)),ISNUMBER(SEARCH("medicine",P961))),"Public health",IF(OR(ISNUMBER(SEARCH("employee",P961)),ISNUMBER(SEARCH("labour",P961)),ISNUMBER(SEARCH("worker",P961)),ISNUMBER(SEARCH("salary",P961))),"Labour &amp; employment",IF(OR(ISNUMBER(SEARCH("rti",P961)),ISNUMBER(SEARCH("transparency",P961)),ISNUMBER(SEARCH("corruption",P961)),ISNUMBER(SEARCH("governance",P961))),"Governance &amp; transparency",IF(OR(ISNUMBER(SEARCH("police",P961)),ISNUMBER(SEARCH("detention",P961)),ISNUMBER(SEARCH("civil rights",P961)),ISNUMBER(SEARCH("justice",P961))),"Civil rights &amp; justice",IF(OR(ISNUMBER(SEARCH("road",P961)),ISNUMBER(SEARCH("utility",P961)),ISNUMBER(SEARCH("infrastructure",P961)),ISNUMBER(SEARCH("public service",P961))),"Infrastructure &amp; public services","Other"))))))))))))</x:f>
      </x:c>
      <x:c r="J961" s="16" t="str">
        <x:f>IF(A961="","",IF(OR(ISNUMBER(SEARCH("fatal",Q961)),ISNUMBER(SEARCH("death",Q961)),ISNUMBER(SEARCH("riot",Q961)),ISNUMBER(SEARCH("curfew",Q961)),ISNUMBER(SEARCH("internet shutdown",Q961))),5,MIN(4,1+IF(H961&gt;=7,1,0)+IF(OR(ISNUMBER(SEARCH("hunger strike",Q961)),ISNUMBER(SEARCH("blockade",Q961)),ISNUMBER(SEARCH("strike",Q961)),ISNUMBER(SEARCH("jal satyagraha",Q961)),ISNUMBER(SEARCH("survey",Q961)),ISNUMBER(SEARCH("human chain",Q961)),ISNUMBER(SEARCH("march",Q961))),1,0)+IF(OR(ISNUMBER(SEARCH("fir",Q961)),ISNUMBER(SEARCH("confrontation",Q961)),ISNUMBER(SEARCH("violence",Q961)),ISNUMBER(SEARCH("detention",Q961)),ISNUMBER(SEARCH("arrest",Q961)),ISNUMBER(SEARCH("demolition",Q961)),ISNUMBER(SEARCH("injury",Q961))),1,0)+IF(OR(D961="Ongoing",D961="Unresolved"),1,0))))</x:f>
      </x:c>
      <x:c r="K961" s="16" t="str">
        <x:f>IF(J961="","",IF(J961=1,"Limited",IF(J961=2,"Local",IF(J961=3,"Significant",IF(J961=4,"High","Critical")))))</x:f>
      </x:c>
      <x:c r="L961" s="16" t="str">
        <x:f>IF(A961="","",Events!U960)</x:f>
      </x:c>
      <x:c r="M961" s="16" t="str">
        <x:f>IF(A961="","",Events!V960)</x:f>
      </x:c>
      <x:c r="N961" s="16" t="str">
        <x:f>IF(A961="","",Events!Q960)</x:f>
      </x:c>
      <x:c r="O961" s="16" t="str">
        <x:f>IF(A961="","",Events!R960)</x:f>
      </x:c>
      <x:c r="P961" s="16" t="str">
        <x:f>IF(A961="","",LOWER(Events!B960&amp;" "&amp;Events!D960&amp;" "&amp;Events!K960))</x:f>
      </x:c>
      <x:c r="Q961" s="16" t="str">
        <x:f>IF(A961="","",LOWER(Events!C960&amp;" "&amp;Events!K960&amp;" "&amp;Events!T960))</x:f>
      </x:c>
      <x:c r="R961" s="16" t="str">
        <x:f>IF(A961="","",IF(ISNUMBER(SEARCH("Occurrence verified",E961)),"Occurrence verified",E961))</x:f>
      </x:c>
      <x:c r="S961" s="79" t="str">
        <x:f>IF(A961="","",Events!X960)</x:f>
      </x:c>
      <x:c r="Z961" s="79" t="str">
        <x:f>IF(A961="","",Events!AD960)</x:f>
      </x:c>
      <x:c r="AA961" s="79" t="str">
        <x:f>IF(A961="","",Events!AE960)</x:f>
      </x:c>
    </x:row>
    <x:row r="962">
      <x:c r="A962" s="16" t="str">
        <x:f>IF(Events!A961="","",Events!A961)</x:f>
      </x:c>
      <x:c r="B962" s="16" t="str">
        <x:f>IF(A962="","",Events!B961)</x:f>
      </x:c>
      <x:c r="C962" s="16" t="str">
        <x:f>IF(A962="","",Events!E961)</x:f>
      </x:c>
      <x:c r="D962" s="16" t="str">
        <x:f>IF(A962="","",Events!J961)</x:f>
      </x:c>
      <x:c r="E962" s="16" t="str">
        <x:f>IF(A962="","",Events!N961)</x:f>
      </x:c>
      <x:c r="F962" s="109" t="str">
        <x:f>IF(OR(A962="",Events!H961=""),"",Events!H961)</x:f>
      </x:c>
      <x:c r="G962" s="109" t="str">
        <x:f>IF(A962="","",IF(Events!I961&lt;&gt;"",Events!I961,IF(Events!S961&lt;&gt;"",Events!S961,"")))</x:f>
      </x:c>
      <x:c r="H962" s="16" t="str">
        <x:f>IF(A962="","",Events!W961)</x:f>
      </x:c>
      <x:c r="I962" s="16" t="str">
        <x:f>IF(A962="","",IF(Events!Y961&lt;&gt;"",Events!Y961,IF(OR(ISNUMBER(SEARCH("education",P962)),ISNUMBER(SEARCH("exam",P962)),ISNUMBER(SEARCH("school",P962))),"Education",IF(OR(ISNUMBER(SEARCH("trade agreement",P962)),ISNUMBER(SEARCH("economic",P962)),ISNUMBER(SEARCH("import",P962))),"Trade &amp; economic policy",IF(OR(ISNUMBER(SEARCH("land acquisition",P962)),ISNUMBER(SEARCH("rehabilitation",P962)),ISNUMBER(SEARCH("displacement",P962)),ISNUMBER(SEARCH("township",P962))),"Land &amp; rehabilitation",IF(OR(ISNUMBER(SEARCH("forest",P962)),ISNUMBER(SEARCH("environment",P962)),ISNUMBER(SEARCH("ecological",P962)),ISNUMBER(SEARCH("biodiversity",P962)),ISNUMBER(SEARCH("green cover",P962))),"Environment",IF(OR(ISNUMBER(SEARCH("irrigation",P962)),ISNUMBER(SEARCH("water",P962)),ISNUMBER(SEARCH("crop",P962)),ISNUMBER(SEARCH("farmer",P962)),ISNUMBER(SEARCH("agriculture",P962))),"Agriculture &amp; water",IF(OR(ISNUMBER(SEARCH("health",P962)),ISNUMBER(SEARCH("hospital",P962)),ISNUMBER(SEARCH("medicine",P962))),"Public health",IF(OR(ISNUMBER(SEARCH("employee",P962)),ISNUMBER(SEARCH("labour",P962)),ISNUMBER(SEARCH("worker",P962)),ISNUMBER(SEARCH("salary",P962))),"Labour &amp; employment",IF(OR(ISNUMBER(SEARCH("rti",P962)),ISNUMBER(SEARCH("transparency",P962)),ISNUMBER(SEARCH("corruption",P962)),ISNUMBER(SEARCH("governance",P962))),"Governance &amp; transparency",IF(OR(ISNUMBER(SEARCH("police",P962)),ISNUMBER(SEARCH("detention",P962)),ISNUMBER(SEARCH("civil rights",P962)),ISNUMBER(SEARCH("justice",P962))),"Civil rights &amp; justice",IF(OR(ISNUMBER(SEARCH("road",P962)),ISNUMBER(SEARCH("utility",P962)),ISNUMBER(SEARCH("infrastructure",P962)),ISNUMBER(SEARCH("public service",P962))),"Infrastructure &amp; public services","Other"))))))))))))</x:f>
      </x:c>
      <x:c r="J962" s="16" t="str">
        <x:f>IF(A962="","",IF(OR(ISNUMBER(SEARCH("fatal",Q962)),ISNUMBER(SEARCH("death",Q962)),ISNUMBER(SEARCH("riot",Q962)),ISNUMBER(SEARCH("curfew",Q962)),ISNUMBER(SEARCH("internet shutdown",Q962))),5,MIN(4,1+IF(H962&gt;=7,1,0)+IF(OR(ISNUMBER(SEARCH("hunger strike",Q962)),ISNUMBER(SEARCH("blockade",Q962)),ISNUMBER(SEARCH("strike",Q962)),ISNUMBER(SEARCH("jal satyagraha",Q962)),ISNUMBER(SEARCH("survey",Q962)),ISNUMBER(SEARCH("human chain",Q962)),ISNUMBER(SEARCH("march",Q962))),1,0)+IF(OR(ISNUMBER(SEARCH("fir",Q962)),ISNUMBER(SEARCH("confrontation",Q962)),ISNUMBER(SEARCH("violence",Q962)),ISNUMBER(SEARCH("detention",Q962)),ISNUMBER(SEARCH("arrest",Q962)),ISNUMBER(SEARCH("demolition",Q962)),ISNUMBER(SEARCH("injury",Q962))),1,0)+IF(OR(D962="Ongoing",D962="Unresolved"),1,0))))</x:f>
      </x:c>
      <x:c r="K962" s="16" t="str">
        <x:f>IF(J962="","",IF(J962=1,"Limited",IF(J962=2,"Local",IF(J962=3,"Significant",IF(J962=4,"High","Critical")))))</x:f>
      </x:c>
      <x:c r="L962" s="16" t="str">
        <x:f>IF(A962="","",Events!U961)</x:f>
      </x:c>
      <x:c r="M962" s="16" t="str">
        <x:f>IF(A962="","",Events!V961)</x:f>
      </x:c>
      <x:c r="N962" s="16" t="str">
        <x:f>IF(A962="","",Events!Q961)</x:f>
      </x:c>
      <x:c r="O962" s="16" t="str">
        <x:f>IF(A962="","",Events!R961)</x:f>
      </x:c>
      <x:c r="P962" s="16" t="str">
        <x:f>IF(A962="","",LOWER(Events!B961&amp;" "&amp;Events!D961&amp;" "&amp;Events!K961))</x:f>
      </x:c>
      <x:c r="Q962" s="16" t="str">
        <x:f>IF(A962="","",LOWER(Events!C961&amp;" "&amp;Events!K961&amp;" "&amp;Events!T961))</x:f>
      </x:c>
      <x:c r="R962" s="16" t="str">
        <x:f>IF(A962="","",IF(ISNUMBER(SEARCH("Occurrence verified",E962)),"Occurrence verified",E962))</x:f>
      </x:c>
      <x:c r="S962" s="79" t="str">
        <x:f>IF(A962="","",Events!X961)</x:f>
      </x:c>
      <x:c r="Z962" s="79" t="str">
        <x:f>IF(A962="","",Events!AD961)</x:f>
      </x:c>
      <x:c r="AA962" s="79" t="str">
        <x:f>IF(A962="","",Events!AE961)</x:f>
      </x:c>
    </x:row>
    <x:row r="963">
      <x:c r="A963" s="16" t="str">
        <x:f>IF(Events!A962="","",Events!A962)</x:f>
      </x:c>
      <x:c r="B963" s="16" t="str">
        <x:f>IF(A963="","",Events!B962)</x:f>
      </x:c>
      <x:c r="C963" s="16" t="str">
        <x:f>IF(A963="","",Events!E962)</x:f>
      </x:c>
      <x:c r="D963" s="16" t="str">
        <x:f>IF(A963="","",Events!J962)</x:f>
      </x:c>
      <x:c r="E963" s="16" t="str">
        <x:f>IF(A963="","",Events!N962)</x:f>
      </x:c>
      <x:c r="F963" s="109" t="str">
        <x:f>IF(OR(A963="",Events!H962=""),"",Events!H962)</x:f>
      </x:c>
      <x:c r="G963" s="109" t="str">
        <x:f>IF(A963="","",IF(Events!I962&lt;&gt;"",Events!I962,IF(Events!S962&lt;&gt;"",Events!S962,"")))</x:f>
      </x:c>
      <x:c r="H963" s="16" t="str">
        <x:f>IF(A963="","",Events!W962)</x:f>
      </x:c>
      <x:c r="I963" s="16" t="str">
        <x:f>IF(A963="","",IF(Events!Y962&lt;&gt;"",Events!Y962,IF(OR(ISNUMBER(SEARCH("education",P963)),ISNUMBER(SEARCH("exam",P963)),ISNUMBER(SEARCH("school",P963))),"Education",IF(OR(ISNUMBER(SEARCH("trade agreement",P963)),ISNUMBER(SEARCH("economic",P963)),ISNUMBER(SEARCH("import",P963))),"Trade &amp; economic policy",IF(OR(ISNUMBER(SEARCH("land acquisition",P963)),ISNUMBER(SEARCH("rehabilitation",P963)),ISNUMBER(SEARCH("displacement",P963)),ISNUMBER(SEARCH("township",P963))),"Land &amp; rehabilitation",IF(OR(ISNUMBER(SEARCH("forest",P963)),ISNUMBER(SEARCH("environment",P963)),ISNUMBER(SEARCH("ecological",P963)),ISNUMBER(SEARCH("biodiversity",P963)),ISNUMBER(SEARCH("green cover",P963))),"Environment",IF(OR(ISNUMBER(SEARCH("irrigation",P963)),ISNUMBER(SEARCH("water",P963)),ISNUMBER(SEARCH("crop",P963)),ISNUMBER(SEARCH("farmer",P963)),ISNUMBER(SEARCH("agriculture",P963))),"Agriculture &amp; water",IF(OR(ISNUMBER(SEARCH("health",P963)),ISNUMBER(SEARCH("hospital",P963)),ISNUMBER(SEARCH("medicine",P963))),"Public health",IF(OR(ISNUMBER(SEARCH("employee",P963)),ISNUMBER(SEARCH("labour",P963)),ISNUMBER(SEARCH("worker",P963)),ISNUMBER(SEARCH("salary",P963))),"Labour &amp; employment",IF(OR(ISNUMBER(SEARCH("rti",P963)),ISNUMBER(SEARCH("transparency",P963)),ISNUMBER(SEARCH("corruption",P963)),ISNUMBER(SEARCH("governance",P963))),"Governance &amp; transparency",IF(OR(ISNUMBER(SEARCH("police",P963)),ISNUMBER(SEARCH("detention",P963)),ISNUMBER(SEARCH("civil rights",P963)),ISNUMBER(SEARCH("justice",P963))),"Civil rights &amp; justice",IF(OR(ISNUMBER(SEARCH("road",P963)),ISNUMBER(SEARCH("utility",P963)),ISNUMBER(SEARCH("infrastructure",P963)),ISNUMBER(SEARCH("public service",P963))),"Infrastructure &amp; public services","Other"))))))))))))</x:f>
      </x:c>
      <x:c r="J963" s="16" t="str">
        <x:f>IF(A963="","",IF(OR(ISNUMBER(SEARCH("fatal",Q963)),ISNUMBER(SEARCH("death",Q963)),ISNUMBER(SEARCH("riot",Q963)),ISNUMBER(SEARCH("curfew",Q963)),ISNUMBER(SEARCH("internet shutdown",Q963))),5,MIN(4,1+IF(H963&gt;=7,1,0)+IF(OR(ISNUMBER(SEARCH("hunger strike",Q963)),ISNUMBER(SEARCH("blockade",Q963)),ISNUMBER(SEARCH("strike",Q963)),ISNUMBER(SEARCH("jal satyagraha",Q963)),ISNUMBER(SEARCH("survey",Q963)),ISNUMBER(SEARCH("human chain",Q963)),ISNUMBER(SEARCH("march",Q963))),1,0)+IF(OR(ISNUMBER(SEARCH("fir",Q963)),ISNUMBER(SEARCH("confrontation",Q963)),ISNUMBER(SEARCH("violence",Q963)),ISNUMBER(SEARCH("detention",Q963)),ISNUMBER(SEARCH("arrest",Q963)),ISNUMBER(SEARCH("demolition",Q963)),ISNUMBER(SEARCH("injury",Q963))),1,0)+IF(OR(D963="Ongoing",D963="Unresolved"),1,0))))</x:f>
      </x:c>
      <x:c r="K963" s="16" t="str">
        <x:f>IF(J963="","",IF(J963=1,"Limited",IF(J963=2,"Local",IF(J963=3,"Significant",IF(J963=4,"High","Critical")))))</x:f>
      </x:c>
      <x:c r="L963" s="16" t="str">
        <x:f>IF(A963="","",Events!U962)</x:f>
      </x:c>
      <x:c r="M963" s="16" t="str">
        <x:f>IF(A963="","",Events!V962)</x:f>
      </x:c>
      <x:c r="N963" s="16" t="str">
        <x:f>IF(A963="","",Events!Q962)</x:f>
      </x:c>
      <x:c r="O963" s="16" t="str">
        <x:f>IF(A963="","",Events!R962)</x:f>
      </x:c>
      <x:c r="P963" s="16" t="str">
        <x:f>IF(A963="","",LOWER(Events!B962&amp;" "&amp;Events!D962&amp;" "&amp;Events!K962))</x:f>
      </x:c>
      <x:c r="Q963" s="16" t="str">
        <x:f>IF(A963="","",LOWER(Events!C962&amp;" "&amp;Events!K962&amp;" "&amp;Events!T962))</x:f>
      </x:c>
      <x:c r="R963" s="16" t="str">
        <x:f>IF(A963="","",IF(ISNUMBER(SEARCH("Occurrence verified",E963)),"Occurrence verified",E963))</x:f>
      </x:c>
      <x:c r="S963" s="79" t="str">
        <x:f>IF(A963="","",Events!X962)</x:f>
      </x:c>
      <x:c r="Z963" s="79" t="str">
        <x:f>IF(A963="","",Events!AD962)</x:f>
      </x:c>
      <x:c r="AA963" s="79" t="str">
        <x:f>IF(A963="","",Events!AE962)</x:f>
      </x:c>
    </x:row>
    <x:row r="964">
      <x:c r="A964" s="16" t="str">
        <x:f>IF(Events!A963="","",Events!A963)</x:f>
      </x:c>
      <x:c r="B964" s="16" t="str">
        <x:f>IF(A964="","",Events!B963)</x:f>
      </x:c>
      <x:c r="C964" s="16" t="str">
        <x:f>IF(A964="","",Events!E963)</x:f>
      </x:c>
      <x:c r="D964" s="16" t="str">
        <x:f>IF(A964="","",Events!J963)</x:f>
      </x:c>
      <x:c r="E964" s="16" t="str">
        <x:f>IF(A964="","",Events!N963)</x:f>
      </x:c>
      <x:c r="F964" s="109" t="str">
        <x:f>IF(OR(A964="",Events!H963=""),"",Events!H963)</x:f>
      </x:c>
      <x:c r="G964" s="109" t="str">
        <x:f>IF(A964="","",IF(Events!I963&lt;&gt;"",Events!I963,IF(Events!S963&lt;&gt;"",Events!S963,"")))</x:f>
      </x:c>
      <x:c r="H964" s="16" t="str">
        <x:f>IF(A964="","",Events!W963)</x:f>
      </x:c>
      <x:c r="I964" s="16" t="str">
        <x:f>IF(A964="","",IF(Events!Y963&lt;&gt;"",Events!Y963,IF(OR(ISNUMBER(SEARCH("education",P964)),ISNUMBER(SEARCH("exam",P964)),ISNUMBER(SEARCH("school",P964))),"Education",IF(OR(ISNUMBER(SEARCH("trade agreement",P964)),ISNUMBER(SEARCH("economic",P964)),ISNUMBER(SEARCH("import",P964))),"Trade &amp; economic policy",IF(OR(ISNUMBER(SEARCH("land acquisition",P964)),ISNUMBER(SEARCH("rehabilitation",P964)),ISNUMBER(SEARCH("displacement",P964)),ISNUMBER(SEARCH("township",P964))),"Land &amp; rehabilitation",IF(OR(ISNUMBER(SEARCH("forest",P964)),ISNUMBER(SEARCH("environment",P964)),ISNUMBER(SEARCH("ecological",P964)),ISNUMBER(SEARCH("biodiversity",P964)),ISNUMBER(SEARCH("green cover",P964))),"Environment",IF(OR(ISNUMBER(SEARCH("irrigation",P964)),ISNUMBER(SEARCH("water",P964)),ISNUMBER(SEARCH("crop",P964)),ISNUMBER(SEARCH("farmer",P964)),ISNUMBER(SEARCH("agriculture",P964))),"Agriculture &amp; water",IF(OR(ISNUMBER(SEARCH("health",P964)),ISNUMBER(SEARCH("hospital",P964)),ISNUMBER(SEARCH("medicine",P964))),"Public health",IF(OR(ISNUMBER(SEARCH("employee",P964)),ISNUMBER(SEARCH("labour",P964)),ISNUMBER(SEARCH("worker",P964)),ISNUMBER(SEARCH("salary",P964))),"Labour &amp; employment",IF(OR(ISNUMBER(SEARCH("rti",P964)),ISNUMBER(SEARCH("transparency",P964)),ISNUMBER(SEARCH("corruption",P964)),ISNUMBER(SEARCH("governance",P964))),"Governance &amp; transparency",IF(OR(ISNUMBER(SEARCH("police",P964)),ISNUMBER(SEARCH("detention",P964)),ISNUMBER(SEARCH("civil rights",P964)),ISNUMBER(SEARCH("justice",P964))),"Civil rights &amp; justice",IF(OR(ISNUMBER(SEARCH("road",P964)),ISNUMBER(SEARCH("utility",P964)),ISNUMBER(SEARCH("infrastructure",P964)),ISNUMBER(SEARCH("public service",P964))),"Infrastructure &amp; public services","Other"))))))))))))</x:f>
      </x:c>
      <x:c r="J964" s="16" t="str">
        <x:f>IF(A964="","",IF(OR(ISNUMBER(SEARCH("fatal",Q964)),ISNUMBER(SEARCH("death",Q964)),ISNUMBER(SEARCH("riot",Q964)),ISNUMBER(SEARCH("curfew",Q964)),ISNUMBER(SEARCH("internet shutdown",Q964))),5,MIN(4,1+IF(H964&gt;=7,1,0)+IF(OR(ISNUMBER(SEARCH("hunger strike",Q964)),ISNUMBER(SEARCH("blockade",Q964)),ISNUMBER(SEARCH("strike",Q964)),ISNUMBER(SEARCH("jal satyagraha",Q964)),ISNUMBER(SEARCH("survey",Q964)),ISNUMBER(SEARCH("human chain",Q964)),ISNUMBER(SEARCH("march",Q964))),1,0)+IF(OR(ISNUMBER(SEARCH("fir",Q964)),ISNUMBER(SEARCH("confrontation",Q964)),ISNUMBER(SEARCH("violence",Q964)),ISNUMBER(SEARCH("detention",Q964)),ISNUMBER(SEARCH("arrest",Q964)),ISNUMBER(SEARCH("demolition",Q964)),ISNUMBER(SEARCH("injury",Q964))),1,0)+IF(OR(D964="Ongoing",D964="Unresolved"),1,0))))</x:f>
      </x:c>
      <x:c r="K964" s="16" t="str">
        <x:f>IF(J964="","",IF(J964=1,"Limited",IF(J964=2,"Local",IF(J964=3,"Significant",IF(J964=4,"High","Critical")))))</x:f>
      </x:c>
      <x:c r="L964" s="16" t="str">
        <x:f>IF(A964="","",Events!U963)</x:f>
      </x:c>
      <x:c r="M964" s="16" t="str">
        <x:f>IF(A964="","",Events!V963)</x:f>
      </x:c>
      <x:c r="N964" s="16" t="str">
        <x:f>IF(A964="","",Events!Q963)</x:f>
      </x:c>
      <x:c r="O964" s="16" t="str">
        <x:f>IF(A964="","",Events!R963)</x:f>
      </x:c>
      <x:c r="P964" s="16" t="str">
        <x:f>IF(A964="","",LOWER(Events!B963&amp;" "&amp;Events!D963&amp;" "&amp;Events!K963))</x:f>
      </x:c>
      <x:c r="Q964" s="16" t="str">
        <x:f>IF(A964="","",LOWER(Events!C963&amp;" "&amp;Events!K963&amp;" "&amp;Events!T963))</x:f>
      </x:c>
      <x:c r="R964" s="16" t="str">
        <x:f>IF(A964="","",IF(ISNUMBER(SEARCH("Occurrence verified",E964)),"Occurrence verified",E964))</x:f>
      </x:c>
      <x:c r="S964" s="79" t="str">
        <x:f>IF(A964="","",Events!X963)</x:f>
      </x:c>
      <x:c r="Z964" s="79" t="str">
        <x:f>IF(A964="","",Events!AD963)</x:f>
      </x:c>
      <x:c r="AA964" s="79" t="str">
        <x:f>IF(A964="","",Events!AE963)</x:f>
      </x:c>
    </x:row>
    <x:row r="965">
      <x:c r="A965" s="16" t="str">
        <x:f>IF(Events!A964="","",Events!A964)</x:f>
      </x:c>
      <x:c r="B965" s="16" t="str">
        <x:f>IF(A965="","",Events!B964)</x:f>
      </x:c>
      <x:c r="C965" s="16" t="str">
        <x:f>IF(A965="","",Events!E964)</x:f>
      </x:c>
      <x:c r="D965" s="16" t="str">
        <x:f>IF(A965="","",Events!J964)</x:f>
      </x:c>
      <x:c r="E965" s="16" t="str">
        <x:f>IF(A965="","",Events!N964)</x:f>
      </x:c>
      <x:c r="F965" s="109" t="str">
        <x:f>IF(OR(A965="",Events!H964=""),"",Events!H964)</x:f>
      </x:c>
      <x:c r="G965" s="109" t="str">
        <x:f>IF(A965="","",IF(Events!I964&lt;&gt;"",Events!I964,IF(Events!S964&lt;&gt;"",Events!S964,"")))</x:f>
      </x:c>
      <x:c r="H965" s="16" t="str">
        <x:f>IF(A965="","",Events!W964)</x:f>
      </x:c>
      <x:c r="I965" s="16" t="str">
        <x:f>IF(A965="","",IF(Events!Y964&lt;&gt;"",Events!Y964,IF(OR(ISNUMBER(SEARCH("education",P965)),ISNUMBER(SEARCH("exam",P965)),ISNUMBER(SEARCH("school",P965))),"Education",IF(OR(ISNUMBER(SEARCH("trade agreement",P965)),ISNUMBER(SEARCH("economic",P965)),ISNUMBER(SEARCH("import",P965))),"Trade &amp; economic policy",IF(OR(ISNUMBER(SEARCH("land acquisition",P965)),ISNUMBER(SEARCH("rehabilitation",P965)),ISNUMBER(SEARCH("displacement",P965)),ISNUMBER(SEARCH("township",P965))),"Land &amp; rehabilitation",IF(OR(ISNUMBER(SEARCH("forest",P965)),ISNUMBER(SEARCH("environment",P965)),ISNUMBER(SEARCH("ecological",P965)),ISNUMBER(SEARCH("biodiversity",P965)),ISNUMBER(SEARCH("green cover",P965))),"Environment",IF(OR(ISNUMBER(SEARCH("irrigation",P965)),ISNUMBER(SEARCH("water",P965)),ISNUMBER(SEARCH("crop",P965)),ISNUMBER(SEARCH("farmer",P965)),ISNUMBER(SEARCH("agriculture",P965))),"Agriculture &amp; water",IF(OR(ISNUMBER(SEARCH("health",P965)),ISNUMBER(SEARCH("hospital",P965)),ISNUMBER(SEARCH("medicine",P965))),"Public health",IF(OR(ISNUMBER(SEARCH("employee",P965)),ISNUMBER(SEARCH("labour",P965)),ISNUMBER(SEARCH("worker",P965)),ISNUMBER(SEARCH("salary",P965))),"Labour &amp; employment",IF(OR(ISNUMBER(SEARCH("rti",P965)),ISNUMBER(SEARCH("transparency",P965)),ISNUMBER(SEARCH("corruption",P965)),ISNUMBER(SEARCH("governance",P965))),"Governance &amp; transparency",IF(OR(ISNUMBER(SEARCH("police",P965)),ISNUMBER(SEARCH("detention",P965)),ISNUMBER(SEARCH("civil rights",P965)),ISNUMBER(SEARCH("justice",P965))),"Civil rights &amp; justice",IF(OR(ISNUMBER(SEARCH("road",P965)),ISNUMBER(SEARCH("utility",P965)),ISNUMBER(SEARCH("infrastructure",P965)),ISNUMBER(SEARCH("public service",P965))),"Infrastructure &amp; public services","Other"))))))))))))</x:f>
      </x:c>
      <x:c r="J965" s="16" t="str">
        <x:f>IF(A965="","",IF(OR(ISNUMBER(SEARCH("fatal",Q965)),ISNUMBER(SEARCH("death",Q965)),ISNUMBER(SEARCH("riot",Q965)),ISNUMBER(SEARCH("curfew",Q965)),ISNUMBER(SEARCH("internet shutdown",Q965))),5,MIN(4,1+IF(H965&gt;=7,1,0)+IF(OR(ISNUMBER(SEARCH("hunger strike",Q965)),ISNUMBER(SEARCH("blockade",Q965)),ISNUMBER(SEARCH("strike",Q965)),ISNUMBER(SEARCH("jal satyagraha",Q965)),ISNUMBER(SEARCH("survey",Q965)),ISNUMBER(SEARCH("human chain",Q965)),ISNUMBER(SEARCH("march",Q965))),1,0)+IF(OR(ISNUMBER(SEARCH("fir",Q965)),ISNUMBER(SEARCH("confrontation",Q965)),ISNUMBER(SEARCH("violence",Q965)),ISNUMBER(SEARCH("detention",Q965)),ISNUMBER(SEARCH("arrest",Q965)),ISNUMBER(SEARCH("demolition",Q965)),ISNUMBER(SEARCH("injury",Q965))),1,0)+IF(OR(D965="Ongoing",D965="Unresolved"),1,0))))</x:f>
      </x:c>
      <x:c r="K965" s="16" t="str">
        <x:f>IF(J965="","",IF(J965=1,"Limited",IF(J965=2,"Local",IF(J965=3,"Significant",IF(J965=4,"High","Critical")))))</x:f>
      </x:c>
      <x:c r="L965" s="16" t="str">
        <x:f>IF(A965="","",Events!U964)</x:f>
      </x:c>
      <x:c r="M965" s="16" t="str">
        <x:f>IF(A965="","",Events!V964)</x:f>
      </x:c>
      <x:c r="N965" s="16" t="str">
        <x:f>IF(A965="","",Events!Q964)</x:f>
      </x:c>
      <x:c r="O965" s="16" t="str">
        <x:f>IF(A965="","",Events!R964)</x:f>
      </x:c>
      <x:c r="P965" s="16" t="str">
        <x:f>IF(A965="","",LOWER(Events!B964&amp;" "&amp;Events!D964&amp;" "&amp;Events!K964))</x:f>
      </x:c>
      <x:c r="Q965" s="16" t="str">
        <x:f>IF(A965="","",LOWER(Events!C964&amp;" "&amp;Events!K964&amp;" "&amp;Events!T964))</x:f>
      </x:c>
      <x:c r="R965" s="16" t="str">
        <x:f>IF(A965="","",IF(ISNUMBER(SEARCH("Occurrence verified",E965)),"Occurrence verified",E965))</x:f>
      </x:c>
      <x:c r="S965" s="79" t="str">
        <x:f>IF(A965="","",Events!X964)</x:f>
      </x:c>
      <x:c r="Z965" s="79" t="str">
        <x:f>IF(A965="","",Events!AD964)</x:f>
      </x:c>
      <x:c r="AA965" s="79" t="str">
        <x:f>IF(A965="","",Events!AE964)</x:f>
      </x:c>
    </x:row>
    <x:row r="966">
      <x:c r="A966" s="16" t="str">
        <x:f>IF(Events!A965="","",Events!A965)</x:f>
      </x:c>
      <x:c r="B966" s="16" t="str">
        <x:f>IF(A966="","",Events!B965)</x:f>
      </x:c>
      <x:c r="C966" s="16" t="str">
        <x:f>IF(A966="","",Events!E965)</x:f>
      </x:c>
      <x:c r="D966" s="16" t="str">
        <x:f>IF(A966="","",Events!J965)</x:f>
      </x:c>
      <x:c r="E966" s="16" t="str">
        <x:f>IF(A966="","",Events!N965)</x:f>
      </x:c>
      <x:c r="F966" s="109" t="str">
        <x:f>IF(OR(A966="",Events!H965=""),"",Events!H965)</x:f>
      </x:c>
      <x:c r="G966" s="109" t="str">
        <x:f>IF(A966="","",IF(Events!I965&lt;&gt;"",Events!I965,IF(Events!S965&lt;&gt;"",Events!S965,"")))</x:f>
      </x:c>
      <x:c r="H966" s="16" t="str">
        <x:f>IF(A966="","",Events!W965)</x:f>
      </x:c>
      <x:c r="I966" s="16" t="str">
        <x:f>IF(A966="","",IF(Events!Y965&lt;&gt;"",Events!Y965,IF(OR(ISNUMBER(SEARCH("education",P966)),ISNUMBER(SEARCH("exam",P966)),ISNUMBER(SEARCH("school",P966))),"Education",IF(OR(ISNUMBER(SEARCH("trade agreement",P966)),ISNUMBER(SEARCH("economic",P966)),ISNUMBER(SEARCH("import",P966))),"Trade &amp; economic policy",IF(OR(ISNUMBER(SEARCH("land acquisition",P966)),ISNUMBER(SEARCH("rehabilitation",P966)),ISNUMBER(SEARCH("displacement",P966)),ISNUMBER(SEARCH("township",P966))),"Land &amp; rehabilitation",IF(OR(ISNUMBER(SEARCH("forest",P966)),ISNUMBER(SEARCH("environment",P966)),ISNUMBER(SEARCH("ecological",P966)),ISNUMBER(SEARCH("biodiversity",P966)),ISNUMBER(SEARCH("green cover",P966))),"Environment",IF(OR(ISNUMBER(SEARCH("irrigation",P966)),ISNUMBER(SEARCH("water",P966)),ISNUMBER(SEARCH("crop",P966)),ISNUMBER(SEARCH("farmer",P966)),ISNUMBER(SEARCH("agriculture",P966))),"Agriculture &amp; water",IF(OR(ISNUMBER(SEARCH("health",P966)),ISNUMBER(SEARCH("hospital",P966)),ISNUMBER(SEARCH("medicine",P966))),"Public health",IF(OR(ISNUMBER(SEARCH("employee",P966)),ISNUMBER(SEARCH("labour",P966)),ISNUMBER(SEARCH("worker",P966)),ISNUMBER(SEARCH("salary",P966))),"Labour &amp; employment",IF(OR(ISNUMBER(SEARCH("rti",P966)),ISNUMBER(SEARCH("transparency",P966)),ISNUMBER(SEARCH("corruption",P966)),ISNUMBER(SEARCH("governance",P966))),"Governance &amp; transparency",IF(OR(ISNUMBER(SEARCH("police",P966)),ISNUMBER(SEARCH("detention",P966)),ISNUMBER(SEARCH("civil rights",P966)),ISNUMBER(SEARCH("justice",P966))),"Civil rights &amp; justice",IF(OR(ISNUMBER(SEARCH("road",P966)),ISNUMBER(SEARCH("utility",P966)),ISNUMBER(SEARCH("infrastructure",P966)),ISNUMBER(SEARCH("public service",P966))),"Infrastructure &amp; public services","Other"))))))))))))</x:f>
      </x:c>
      <x:c r="J966" s="16" t="str">
        <x:f>IF(A966="","",IF(OR(ISNUMBER(SEARCH("fatal",Q966)),ISNUMBER(SEARCH("death",Q966)),ISNUMBER(SEARCH("riot",Q966)),ISNUMBER(SEARCH("curfew",Q966)),ISNUMBER(SEARCH("internet shutdown",Q966))),5,MIN(4,1+IF(H966&gt;=7,1,0)+IF(OR(ISNUMBER(SEARCH("hunger strike",Q966)),ISNUMBER(SEARCH("blockade",Q966)),ISNUMBER(SEARCH("strike",Q966)),ISNUMBER(SEARCH("jal satyagraha",Q966)),ISNUMBER(SEARCH("survey",Q966)),ISNUMBER(SEARCH("human chain",Q966)),ISNUMBER(SEARCH("march",Q966))),1,0)+IF(OR(ISNUMBER(SEARCH("fir",Q966)),ISNUMBER(SEARCH("confrontation",Q966)),ISNUMBER(SEARCH("violence",Q966)),ISNUMBER(SEARCH("detention",Q966)),ISNUMBER(SEARCH("arrest",Q966)),ISNUMBER(SEARCH("demolition",Q966)),ISNUMBER(SEARCH("injury",Q966))),1,0)+IF(OR(D966="Ongoing",D966="Unresolved"),1,0))))</x:f>
      </x:c>
      <x:c r="K966" s="16" t="str">
        <x:f>IF(J966="","",IF(J966=1,"Limited",IF(J966=2,"Local",IF(J966=3,"Significant",IF(J966=4,"High","Critical")))))</x:f>
      </x:c>
      <x:c r="L966" s="16" t="str">
        <x:f>IF(A966="","",Events!U965)</x:f>
      </x:c>
      <x:c r="M966" s="16" t="str">
        <x:f>IF(A966="","",Events!V965)</x:f>
      </x:c>
      <x:c r="N966" s="16" t="str">
        <x:f>IF(A966="","",Events!Q965)</x:f>
      </x:c>
      <x:c r="O966" s="16" t="str">
        <x:f>IF(A966="","",Events!R965)</x:f>
      </x:c>
      <x:c r="P966" s="16" t="str">
        <x:f>IF(A966="","",LOWER(Events!B965&amp;" "&amp;Events!D965&amp;" "&amp;Events!K965))</x:f>
      </x:c>
      <x:c r="Q966" s="16" t="str">
        <x:f>IF(A966="","",LOWER(Events!C965&amp;" "&amp;Events!K965&amp;" "&amp;Events!T965))</x:f>
      </x:c>
      <x:c r="R966" s="16" t="str">
        <x:f>IF(A966="","",IF(ISNUMBER(SEARCH("Occurrence verified",E966)),"Occurrence verified",E966))</x:f>
      </x:c>
      <x:c r="S966" s="79" t="str">
        <x:f>IF(A966="","",Events!X965)</x:f>
      </x:c>
      <x:c r="Z966" s="79" t="str">
        <x:f>IF(A966="","",Events!AD965)</x:f>
      </x:c>
      <x:c r="AA966" s="79" t="str">
        <x:f>IF(A966="","",Events!AE965)</x:f>
      </x:c>
    </x:row>
    <x:row r="967">
      <x:c r="A967" s="16" t="str">
        <x:f>IF(Events!A966="","",Events!A966)</x:f>
      </x:c>
      <x:c r="B967" s="16" t="str">
        <x:f>IF(A967="","",Events!B966)</x:f>
      </x:c>
      <x:c r="C967" s="16" t="str">
        <x:f>IF(A967="","",Events!E966)</x:f>
      </x:c>
      <x:c r="D967" s="16" t="str">
        <x:f>IF(A967="","",Events!J966)</x:f>
      </x:c>
      <x:c r="E967" s="16" t="str">
        <x:f>IF(A967="","",Events!N966)</x:f>
      </x:c>
      <x:c r="F967" s="109" t="str">
        <x:f>IF(OR(A967="",Events!H966=""),"",Events!H966)</x:f>
      </x:c>
      <x:c r="G967" s="109" t="str">
        <x:f>IF(A967="","",IF(Events!I966&lt;&gt;"",Events!I966,IF(Events!S966&lt;&gt;"",Events!S966,"")))</x:f>
      </x:c>
      <x:c r="H967" s="16" t="str">
        <x:f>IF(A967="","",Events!W966)</x:f>
      </x:c>
      <x:c r="I967" s="16" t="str">
        <x:f>IF(A967="","",IF(Events!Y966&lt;&gt;"",Events!Y966,IF(OR(ISNUMBER(SEARCH("education",P967)),ISNUMBER(SEARCH("exam",P967)),ISNUMBER(SEARCH("school",P967))),"Education",IF(OR(ISNUMBER(SEARCH("trade agreement",P967)),ISNUMBER(SEARCH("economic",P967)),ISNUMBER(SEARCH("import",P967))),"Trade &amp; economic policy",IF(OR(ISNUMBER(SEARCH("land acquisition",P967)),ISNUMBER(SEARCH("rehabilitation",P967)),ISNUMBER(SEARCH("displacement",P967)),ISNUMBER(SEARCH("township",P967))),"Land &amp; rehabilitation",IF(OR(ISNUMBER(SEARCH("forest",P967)),ISNUMBER(SEARCH("environment",P967)),ISNUMBER(SEARCH("ecological",P967)),ISNUMBER(SEARCH("biodiversity",P967)),ISNUMBER(SEARCH("green cover",P967))),"Environment",IF(OR(ISNUMBER(SEARCH("irrigation",P967)),ISNUMBER(SEARCH("water",P967)),ISNUMBER(SEARCH("crop",P967)),ISNUMBER(SEARCH("farmer",P967)),ISNUMBER(SEARCH("agriculture",P967))),"Agriculture &amp; water",IF(OR(ISNUMBER(SEARCH("health",P967)),ISNUMBER(SEARCH("hospital",P967)),ISNUMBER(SEARCH("medicine",P967))),"Public health",IF(OR(ISNUMBER(SEARCH("employee",P967)),ISNUMBER(SEARCH("labour",P967)),ISNUMBER(SEARCH("worker",P967)),ISNUMBER(SEARCH("salary",P967))),"Labour &amp; employment",IF(OR(ISNUMBER(SEARCH("rti",P967)),ISNUMBER(SEARCH("transparency",P967)),ISNUMBER(SEARCH("corruption",P967)),ISNUMBER(SEARCH("governance",P967))),"Governance &amp; transparency",IF(OR(ISNUMBER(SEARCH("police",P967)),ISNUMBER(SEARCH("detention",P967)),ISNUMBER(SEARCH("civil rights",P967)),ISNUMBER(SEARCH("justice",P967))),"Civil rights &amp; justice",IF(OR(ISNUMBER(SEARCH("road",P967)),ISNUMBER(SEARCH("utility",P967)),ISNUMBER(SEARCH("infrastructure",P967)),ISNUMBER(SEARCH("public service",P967))),"Infrastructure &amp; public services","Other"))))))))))))</x:f>
      </x:c>
      <x:c r="J967" s="16" t="str">
        <x:f>IF(A967="","",IF(OR(ISNUMBER(SEARCH("fatal",Q967)),ISNUMBER(SEARCH("death",Q967)),ISNUMBER(SEARCH("riot",Q967)),ISNUMBER(SEARCH("curfew",Q967)),ISNUMBER(SEARCH("internet shutdown",Q967))),5,MIN(4,1+IF(H967&gt;=7,1,0)+IF(OR(ISNUMBER(SEARCH("hunger strike",Q967)),ISNUMBER(SEARCH("blockade",Q967)),ISNUMBER(SEARCH("strike",Q967)),ISNUMBER(SEARCH("jal satyagraha",Q967)),ISNUMBER(SEARCH("survey",Q967)),ISNUMBER(SEARCH("human chain",Q967)),ISNUMBER(SEARCH("march",Q967))),1,0)+IF(OR(ISNUMBER(SEARCH("fir",Q967)),ISNUMBER(SEARCH("confrontation",Q967)),ISNUMBER(SEARCH("violence",Q967)),ISNUMBER(SEARCH("detention",Q967)),ISNUMBER(SEARCH("arrest",Q967)),ISNUMBER(SEARCH("demolition",Q967)),ISNUMBER(SEARCH("injury",Q967))),1,0)+IF(OR(D967="Ongoing",D967="Unresolved"),1,0))))</x:f>
      </x:c>
      <x:c r="K967" s="16" t="str">
        <x:f>IF(J967="","",IF(J967=1,"Limited",IF(J967=2,"Local",IF(J967=3,"Significant",IF(J967=4,"High","Critical")))))</x:f>
      </x:c>
      <x:c r="L967" s="16" t="str">
        <x:f>IF(A967="","",Events!U966)</x:f>
      </x:c>
      <x:c r="M967" s="16" t="str">
        <x:f>IF(A967="","",Events!V966)</x:f>
      </x:c>
      <x:c r="N967" s="16" t="str">
        <x:f>IF(A967="","",Events!Q966)</x:f>
      </x:c>
      <x:c r="O967" s="16" t="str">
        <x:f>IF(A967="","",Events!R966)</x:f>
      </x:c>
      <x:c r="P967" s="16" t="str">
        <x:f>IF(A967="","",LOWER(Events!B966&amp;" "&amp;Events!D966&amp;" "&amp;Events!K966))</x:f>
      </x:c>
      <x:c r="Q967" s="16" t="str">
        <x:f>IF(A967="","",LOWER(Events!C966&amp;" "&amp;Events!K966&amp;" "&amp;Events!T966))</x:f>
      </x:c>
      <x:c r="R967" s="16" t="str">
        <x:f>IF(A967="","",IF(ISNUMBER(SEARCH("Occurrence verified",E967)),"Occurrence verified",E967))</x:f>
      </x:c>
      <x:c r="S967" s="79" t="str">
        <x:f>IF(A967="","",Events!X966)</x:f>
      </x:c>
      <x:c r="Z967" s="79" t="str">
        <x:f>IF(A967="","",Events!AD966)</x:f>
      </x:c>
      <x:c r="AA967" s="79" t="str">
        <x:f>IF(A967="","",Events!AE966)</x:f>
      </x:c>
    </x:row>
    <x:row r="968">
      <x:c r="A968" s="16" t="str">
        <x:f>IF(Events!A967="","",Events!A967)</x:f>
      </x:c>
      <x:c r="B968" s="16" t="str">
        <x:f>IF(A968="","",Events!B967)</x:f>
      </x:c>
      <x:c r="C968" s="16" t="str">
        <x:f>IF(A968="","",Events!E967)</x:f>
      </x:c>
      <x:c r="D968" s="16" t="str">
        <x:f>IF(A968="","",Events!J967)</x:f>
      </x:c>
      <x:c r="E968" s="16" t="str">
        <x:f>IF(A968="","",Events!N967)</x:f>
      </x:c>
      <x:c r="F968" s="109" t="str">
        <x:f>IF(OR(A968="",Events!H967=""),"",Events!H967)</x:f>
      </x:c>
      <x:c r="G968" s="109" t="str">
        <x:f>IF(A968="","",IF(Events!I967&lt;&gt;"",Events!I967,IF(Events!S967&lt;&gt;"",Events!S967,"")))</x:f>
      </x:c>
      <x:c r="H968" s="16" t="str">
        <x:f>IF(A968="","",Events!W967)</x:f>
      </x:c>
      <x:c r="I968" s="16" t="str">
        <x:f>IF(A968="","",IF(Events!Y967&lt;&gt;"",Events!Y967,IF(OR(ISNUMBER(SEARCH("education",P968)),ISNUMBER(SEARCH("exam",P968)),ISNUMBER(SEARCH("school",P968))),"Education",IF(OR(ISNUMBER(SEARCH("trade agreement",P968)),ISNUMBER(SEARCH("economic",P968)),ISNUMBER(SEARCH("import",P968))),"Trade &amp; economic policy",IF(OR(ISNUMBER(SEARCH("land acquisition",P968)),ISNUMBER(SEARCH("rehabilitation",P968)),ISNUMBER(SEARCH("displacement",P968)),ISNUMBER(SEARCH("township",P968))),"Land &amp; rehabilitation",IF(OR(ISNUMBER(SEARCH("forest",P968)),ISNUMBER(SEARCH("environment",P968)),ISNUMBER(SEARCH("ecological",P968)),ISNUMBER(SEARCH("biodiversity",P968)),ISNUMBER(SEARCH("green cover",P968))),"Environment",IF(OR(ISNUMBER(SEARCH("irrigation",P968)),ISNUMBER(SEARCH("water",P968)),ISNUMBER(SEARCH("crop",P968)),ISNUMBER(SEARCH("farmer",P968)),ISNUMBER(SEARCH("agriculture",P968))),"Agriculture &amp; water",IF(OR(ISNUMBER(SEARCH("health",P968)),ISNUMBER(SEARCH("hospital",P968)),ISNUMBER(SEARCH("medicine",P968))),"Public health",IF(OR(ISNUMBER(SEARCH("employee",P968)),ISNUMBER(SEARCH("labour",P968)),ISNUMBER(SEARCH("worker",P968)),ISNUMBER(SEARCH("salary",P968))),"Labour &amp; employment",IF(OR(ISNUMBER(SEARCH("rti",P968)),ISNUMBER(SEARCH("transparency",P968)),ISNUMBER(SEARCH("corruption",P968)),ISNUMBER(SEARCH("governance",P968))),"Governance &amp; transparency",IF(OR(ISNUMBER(SEARCH("police",P968)),ISNUMBER(SEARCH("detention",P968)),ISNUMBER(SEARCH("civil rights",P968)),ISNUMBER(SEARCH("justice",P968))),"Civil rights &amp; justice",IF(OR(ISNUMBER(SEARCH("road",P968)),ISNUMBER(SEARCH("utility",P968)),ISNUMBER(SEARCH("infrastructure",P968)),ISNUMBER(SEARCH("public service",P968))),"Infrastructure &amp; public services","Other"))))))))))))</x:f>
      </x:c>
      <x:c r="J968" s="16" t="str">
        <x:f>IF(A968="","",IF(OR(ISNUMBER(SEARCH("fatal",Q968)),ISNUMBER(SEARCH("death",Q968)),ISNUMBER(SEARCH("riot",Q968)),ISNUMBER(SEARCH("curfew",Q968)),ISNUMBER(SEARCH("internet shutdown",Q968))),5,MIN(4,1+IF(H968&gt;=7,1,0)+IF(OR(ISNUMBER(SEARCH("hunger strike",Q968)),ISNUMBER(SEARCH("blockade",Q968)),ISNUMBER(SEARCH("strike",Q968)),ISNUMBER(SEARCH("jal satyagraha",Q968)),ISNUMBER(SEARCH("survey",Q968)),ISNUMBER(SEARCH("human chain",Q968)),ISNUMBER(SEARCH("march",Q968))),1,0)+IF(OR(ISNUMBER(SEARCH("fir",Q968)),ISNUMBER(SEARCH("confrontation",Q968)),ISNUMBER(SEARCH("violence",Q968)),ISNUMBER(SEARCH("detention",Q968)),ISNUMBER(SEARCH("arrest",Q968)),ISNUMBER(SEARCH("demolition",Q968)),ISNUMBER(SEARCH("injury",Q968))),1,0)+IF(OR(D968="Ongoing",D968="Unresolved"),1,0))))</x:f>
      </x:c>
      <x:c r="K968" s="16" t="str">
        <x:f>IF(J968="","",IF(J968=1,"Limited",IF(J968=2,"Local",IF(J968=3,"Significant",IF(J968=4,"High","Critical")))))</x:f>
      </x:c>
      <x:c r="L968" s="16" t="str">
        <x:f>IF(A968="","",Events!U967)</x:f>
      </x:c>
      <x:c r="M968" s="16" t="str">
        <x:f>IF(A968="","",Events!V967)</x:f>
      </x:c>
      <x:c r="N968" s="16" t="str">
        <x:f>IF(A968="","",Events!Q967)</x:f>
      </x:c>
      <x:c r="O968" s="16" t="str">
        <x:f>IF(A968="","",Events!R967)</x:f>
      </x:c>
      <x:c r="P968" s="16" t="str">
        <x:f>IF(A968="","",LOWER(Events!B967&amp;" "&amp;Events!D967&amp;" "&amp;Events!K967))</x:f>
      </x:c>
      <x:c r="Q968" s="16" t="str">
        <x:f>IF(A968="","",LOWER(Events!C967&amp;" "&amp;Events!K967&amp;" "&amp;Events!T967))</x:f>
      </x:c>
      <x:c r="R968" s="16" t="str">
        <x:f>IF(A968="","",IF(ISNUMBER(SEARCH("Occurrence verified",E968)),"Occurrence verified",E968))</x:f>
      </x:c>
      <x:c r="S968" s="79" t="str">
        <x:f>IF(A968="","",Events!X967)</x:f>
      </x:c>
      <x:c r="Z968" s="79" t="str">
        <x:f>IF(A968="","",Events!AD967)</x:f>
      </x:c>
      <x:c r="AA968" s="79" t="str">
        <x:f>IF(A968="","",Events!AE967)</x:f>
      </x:c>
    </x:row>
    <x:row r="969">
      <x:c r="A969" s="16" t="str">
        <x:f>IF(Events!A968="","",Events!A968)</x:f>
      </x:c>
      <x:c r="B969" s="16" t="str">
        <x:f>IF(A969="","",Events!B968)</x:f>
      </x:c>
      <x:c r="C969" s="16" t="str">
        <x:f>IF(A969="","",Events!E968)</x:f>
      </x:c>
      <x:c r="D969" s="16" t="str">
        <x:f>IF(A969="","",Events!J968)</x:f>
      </x:c>
      <x:c r="E969" s="16" t="str">
        <x:f>IF(A969="","",Events!N968)</x:f>
      </x:c>
      <x:c r="F969" s="109" t="str">
        <x:f>IF(OR(A969="",Events!H968=""),"",Events!H968)</x:f>
      </x:c>
      <x:c r="G969" s="109" t="str">
        <x:f>IF(A969="","",IF(Events!I968&lt;&gt;"",Events!I968,IF(Events!S968&lt;&gt;"",Events!S968,"")))</x:f>
      </x:c>
      <x:c r="H969" s="16" t="str">
        <x:f>IF(A969="","",Events!W968)</x:f>
      </x:c>
      <x:c r="I969" s="16" t="str">
        <x:f>IF(A969="","",IF(Events!Y968&lt;&gt;"",Events!Y968,IF(OR(ISNUMBER(SEARCH("education",P969)),ISNUMBER(SEARCH("exam",P969)),ISNUMBER(SEARCH("school",P969))),"Education",IF(OR(ISNUMBER(SEARCH("trade agreement",P969)),ISNUMBER(SEARCH("economic",P969)),ISNUMBER(SEARCH("import",P969))),"Trade &amp; economic policy",IF(OR(ISNUMBER(SEARCH("land acquisition",P969)),ISNUMBER(SEARCH("rehabilitation",P969)),ISNUMBER(SEARCH("displacement",P969)),ISNUMBER(SEARCH("township",P969))),"Land &amp; rehabilitation",IF(OR(ISNUMBER(SEARCH("forest",P969)),ISNUMBER(SEARCH("environment",P969)),ISNUMBER(SEARCH("ecological",P969)),ISNUMBER(SEARCH("biodiversity",P969)),ISNUMBER(SEARCH("green cover",P969))),"Environment",IF(OR(ISNUMBER(SEARCH("irrigation",P969)),ISNUMBER(SEARCH("water",P969)),ISNUMBER(SEARCH("crop",P969)),ISNUMBER(SEARCH("farmer",P969)),ISNUMBER(SEARCH("agriculture",P969))),"Agriculture &amp; water",IF(OR(ISNUMBER(SEARCH("health",P969)),ISNUMBER(SEARCH("hospital",P969)),ISNUMBER(SEARCH("medicine",P969))),"Public health",IF(OR(ISNUMBER(SEARCH("employee",P969)),ISNUMBER(SEARCH("labour",P969)),ISNUMBER(SEARCH("worker",P969)),ISNUMBER(SEARCH("salary",P969))),"Labour &amp; employment",IF(OR(ISNUMBER(SEARCH("rti",P969)),ISNUMBER(SEARCH("transparency",P969)),ISNUMBER(SEARCH("corruption",P969)),ISNUMBER(SEARCH("governance",P969))),"Governance &amp; transparency",IF(OR(ISNUMBER(SEARCH("police",P969)),ISNUMBER(SEARCH("detention",P969)),ISNUMBER(SEARCH("civil rights",P969)),ISNUMBER(SEARCH("justice",P969))),"Civil rights &amp; justice",IF(OR(ISNUMBER(SEARCH("road",P969)),ISNUMBER(SEARCH("utility",P969)),ISNUMBER(SEARCH("infrastructure",P969)),ISNUMBER(SEARCH("public service",P969))),"Infrastructure &amp; public services","Other"))))))))))))</x:f>
      </x:c>
      <x:c r="J969" s="16" t="str">
        <x:f>IF(A969="","",IF(OR(ISNUMBER(SEARCH("fatal",Q969)),ISNUMBER(SEARCH("death",Q969)),ISNUMBER(SEARCH("riot",Q969)),ISNUMBER(SEARCH("curfew",Q969)),ISNUMBER(SEARCH("internet shutdown",Q969))),5,MIN(4,1+IF(H969&gt;=7,1,0)+IF(OR(ISNUMBER(SEARCH("hunger strike",Q969)),ISNUMBER(SEARCH("blockade",Q969)),ISNUMBER(SEARCH("strike",Q969)),ISNUMBER(SEARCH("jal satyagraha",Q969)),ISNUMBER(SEARCH("survey",Q969)),ISNUMBER(SEARCH("human chain",Q969)),ISNUMBER(SEARCH("march",Q969))),1,0)+IF(OR(ISNUMBER(SEARCH("fir",Q969)),ISNUMBER(SEARCH("confrontation",Q969)),ISNUMBER(SEARCH("violence",Q969)),ISNUMBER(SEARCH("detention",Q969)),ISNUMBER(SEARCH("arrest",Q969)),ISNUMBER(SEARCH("demolition",Q969)),ISNUMBER(SEARCH("injury",Q969))),1,0)+IF(OR(D969="Ongoing",D969="Unresolved"),1,0))))</x:f>
      </x:c>
      <x:c r="K969" s="16" t="str">
        <x:f>IF(J969="","",IF(J969=1,"Limited",IF(J969=2,"Local",IF(J969=3,"Significant",IF(J969=4,"High","Critical")))))</x:f>
      </x:c>
      <x:c r="L969" s="16" t="str">
        <x:f>IF(A969="","",Events!U968)</x:f>
      </x:c>
      <x:c r="M969" s="16" t="str">
        <x:f>IF(A969="","",Events!V968)</x:f>
      </x:c>
      <x:c r="N969" s="16" t="str">
        <x:f>IF(A969="","",Events!Q968)</x:f>
      </x:c>
      <x:c r="O969" s="16" t="str">
        <x:f>IF(A969="","",Events!R968)</x:f>
      </x:c>
      <x:c r="P969" s="16" t="str">
        <x:f>IF(A969="","",LOWER(Events!B968&amp;" "&amp;Events!D968&amp;" "&amp;Events!K968))</x:f>
      </x:c>
      <x:c r="Q969" s="16" t="str">
        <x:f>IF(A969="","",LOWER(Events!C968&amp;" "&amp;Events!K968&amp;" "&amp;Events!T968))</x:f>
      </x:c>
      <x:c r="R969" s="16" t="str">
        <x:f>IF(A969="","",IF(ISNUMBER(SEARCH("Occurrence verified",E969)),"Occurrence verified",E969))</x:f>
      </x:c>
      <x:c r="S969" s="79" t="str">
        <x:f>IF(A969="","",Events!X968)</x:f>
      </x:c>
      <x:c r="Z969" s="79" t="str">
        <x:f>IF(A969="","",Events!AD968)</x:f>
      </x:c>
      <x:c r="AA969" s="79" t="str">
        <x:f>IF(A969="","",Events!AE968)</x:f>
      </x:c>
    </x:row>
    <x:row r="970">
      <x:c r="A970" s="16" t="str">
        <x:f>IF(Events!A969="","",Events!A969)</x:f>
      </x:c>
      <x:c r="B970" s="16" t="str">
        <x:f>IF(A970="","",Events!B969)</x:f>
      </x:c>
      <x:c r="C970" s="16" t="str">
        <x:f>IF(A970="","",Events!E969)</x:f>
      </x:c>
      <x:c r="D970" s="16" t="str">
        <x:f>IF(A970="","",Events!J969)</x:f>
      </x:c>
      <x:c r="E970" s="16" t="str">
        <x:f>IF(A970="","",Events!N969)</x:f>
      </x:c>
      <x:c r="F970" s="109" t="str">
        <x:f>IF(OR(A970="",Events!H969=""),"",Events!H969)</x:f>
      </x:c>
      <x:c r="G970" s="109" t="str">
        <x:f>IF(A970="","",IF(Events!I969&lt;&gt;"",Events!I969,IF(Events!S969&lt;&gt;"",Events!S969,"")))</x:f>
      </x:c>
      <x:c r="H970" s="16" t="str">
        <x:f>IF(A970="","",Events!W969)</x:f>
      </x:c>
      <x:c r="I970" s="16" t="str">
        <x:f>IF(A970="","",IF(Events!Y969&lt;&gt;"",Events!Y969,IF(OR(ISNUMBER(SEARCH("education",P970)),ISNUMBER(SEARCH("exam",P970)),ISNUMBER(SEARCH("school",P970))),"Education",IF(OR(ISNUMBER(SEARCH("trade agreement",P970)),ISNUMBER(SEARCH("economic",P970)),ISNUMBER(SEARCH("import",P970))),"Trade &amp; economic policy",IF(OR(ISNUMBER(SEARCH("land acquisition",P970)),ISNUMBER(SEARCH("rehabilitation",P970)),ISNUMBER(SEARCH("displacement",P970)),ISNUMBER(SEARCH("township",P970))),"Land &amp; rehabilitation",IF(OR(ISNUMBER(SEARCH("forest",P970)),ISNUMBER(SEARCH("environment",P970)),ISNUMBER(SEARCH("ecological",P970)),ISNUMBER(SEARCH("biodiversity",P970)),ISNUMBER(SEARCH("green cover",P970))),"Environment",IF(OR(ISNUMBER(SEARCH("irrigation",P970)),ISNUMBER(SEARCH("water",P970)),ISNUMBER(SEARCH("crop",P970)),ISNUMBER(SEARCH("farmer",P970)),ISNUMBER(SEARCH("agriculture",P970))),"Agriculture &amp; water",IF(OR(ISNUMBER(SEARCH("health",P970)),ISNUMBER(SEARCH("hospital",P970)),ISNUMBER(SEARCH("medicine",P970))),"Public health",IF(OR(ISNUMBER(SEARCH("employee",P970)),ISNUMBER(SEARCH("labour",P970)),ISNUMBER(SEARCH("worker",P970)),ISNUMBER(SEARCH("salary",P970))),"Labour &amp; employment",IF(OR(ISNUMBER(SEARCH("rti",P970)),ISNUMBER(SEARCH("transparency",P970)),ISNUMBER(SEARCH("corruption",P970)),ISNUMBER(SEARCH("governance",P970))),"Governance &amp; transparency",IF(OR(ISNUMBER(SEARCH("police",P970)),ISNUMBER(SEARCH("detention",P970)),ISNUMBER(SEARCH("civil rights",P970)),ISNUMBER(SEARCH("justice",P970))),"Civil rights &amp; justice",IF(OR(ISNUMBER(SEARCH("road",P970)),ISNUMBER(SEARCH("utility",P970)),ISNUMBER(SEARCH("infrastructure",P970)),ISNUMBER(SEARCH("public service",P970))),"Infrastructure &amp; public services","Other"))))))))))))</x:f>
      </x:c>
      <x:c r="J970" s="16" t="str">
        <x:f>IF(A970="","",IF(OR(ISNUMBER(SEARCH("fatal",Q970)),ISNUMBER(SEARCH("death",Q970)),ISNUMBER(SEARCH("riot",Q970)),ISNUMBER(SEARCH("curfew",Q970)),ISNUMBER(SEARCH("internet shutdown",Q970))),5,MIN(4,1+IF(H970&gt;=7,1,0)+IF(OR(ISNUMBER(SEARCH("hunger strike",Q970)),ISNUMBER(SEARCH("blockade",Q970)),ISNUMBER(SEARCH("strike",Q970)),ISNUMBER(SEARCH("jal satyagraha",Q970)),ISNUMBER(SEARCH("survey",Q970)),ISNUMBER(SEARCH("human chain",Q970)),ISNUMBER(SEARCH("march",Q970))),1,0)+IF(OR(ISNUMBER(SEARCH("fir",Q970)),ISNUMBER(SEARCH("confrontation",Q970)),ISNUMBER(SEARCH("violence",Q970)),ISNUMBER(SEARCH("detention",Q970)),ISNUMBER(SEARCH("arrest",Q970)),ISNUMBER(SEARCH("demolition",Q970)),ISNUMBER(SEARCH("injury",Q970))),1,0)+IF(OR(D970="Ongoing",D970="Unresolved"),1,0))))</x:f>
      </x:c>
      <x:c r="K970" s="16" t="str">
        <x:f>IF(J970="","",IF(J970=1,"Limited",IF(J970=2,"Local",IF(J970=3,"Significant",IF(J970=4,"High","Critical")))))</x:f>
      </x:c>
      <x:c r="L970" s="16" t="str">
        <x:f>IF(A970="","",Events!U969)</x:f>
      </x:c>
      <x:c r="M970" s="16" t="str">
        <x:f>IF(A970="","",Events!V969)</x:f>
      </x:c>
      <x:c r="N970" s="16" t="str">
        <x:f>IF(A970="","",Events!Q969)</x:f>
      </x:c>
      <x:c r="O970" s="16" t="str">
        <x:f>IF(A970="","",Events!R969)</x:f>
      </x:c>
      <x:c r="P970" s="16" t="str">
        <x:f>IF(A970="","",LOWER(Events!B969&amp;" "&amp;Events!D969&amp;" "&amp;Events!K969))</x:f>
      </x:c>
      <x:c r="Q970" s="16" t="str">
        <x:f>IF(A970="","",LOWER(Events!C969&amp;" "&amp;Events!K969&amp;" "&amp;Events!T969))</x:f>
      </x:c>
      <x:c r="R970" s="16" t="str">
        <x:f>IF(A970="","",IF(ISNUMBER(SEARCH("Occurrence verified",E970)),"Occurrence verified",E970))</x:f>
      </x:c>
      <x:c r="S970" s="79" t="str">
        <x:f>IF(A970="","",Events!X969)</x:f>
      </x:c>
      <x:c r="Z970" s="79" t="str">
        <x:f>IF(A970="","",Events!AD969)</x:f>
      </x:c>
      <x:c r="AA970" s="79" t="str">
        <x:f>IF(A970="","",Events!AE969)</x:f>
      </x:c>
    </x:row>
    <x:row r="971">
      <x:c r="A971" s="16" t="str">
        <x:f>IF(Events!A970="","",Events!A970)</x:f>
      </x:c>
      <x:c r="B971" s="16" t="str">
        <x:f>IF(A971="","",Events!B970)</x:f>
      </x:c>
      <x:c r="C971" s="16" t="str">
        <x:f>IF(A971="","",Events!E970)</x:f>
      </x:c>
      <x:c r="D971" s="16" t="str">
        <x:f>IF(A971="","",Events!J970)</x:f>
      </x:c>
      <x:c r="E971" s="16" t="str">
        <x:f>IF(A971="","",Events!N970)</x:f>
      </x:c>
      <x:c r="F971" s="109" t="str">
        <x:f>IF(OR(A971="",Events!H970=""),"",Events!H970)</x:f>
      </x:c>
      <x:c r="G971" s="109" t="str">
        <x:f>IF(A971="","",IF(Events!I970&lt;&gt;"",Events!I970,IF(Events!S970&lt;&gt;"",Events!S970,"")))</x:f>
      </x:c>
      <x:c r="H971" s="16" t="str">
        <x:f>IF(A971="","",Events!W970)</x:f>
      </x:c>
      <x:c r="I971" s="16" t="str">
        <x:f>IF(A971="","",IF(Events!Y970&lt;&gt;"",Events!Y970,IF(OR(ISNUMBER(SEARCH("education",P971)),ISNUMBER(SEARCH("exam",P971)),ISNUMBER(SEARCH("school",P971))),"Education",IF(OR(ISNUMBER(SEARCH("trade agreement",P971)),ISNUMBER(SEARCH("economic",P971)),ISNUMBER(SEARCH("import",P971))),"Trade &amp; economic policy",IF(OR(ISNUMBER(SEARCH("land acquisition",P971)),ISNUMBER(SEARCH("rehabilitation",P971)),ISNUMBER(SEARCH("displacement",P971)),ISNUMBER(SEARCH("township",P971))),"Land &amp; rehabilitation",IF(OR(ISNUMBER(SEARCH("forest",P971)),ISNUMBER(SEARCH("environment",P971)),ISNUMBER(SEARCH("ecological",P971)),ISNUMBER(SEARCH("biodiversity",P971)),ISNUMBER(SEARCH("green cover",P971))),"Environment",IF(OR(ISNUMBER(SEARCH("irrigation",P971)),ISNUMBER(SEARCH("water",P971)),ISNUMBER(SEARCH("crop",P971)),ISNUMBER(SEARCH("farmer",P971)),ISNUMBER(SEARCH("agriculture",P971))),"Agriculture &amp; water",IF(OR(ISNUMBER(SEARCH("health",P971)),ISNUMBER(SEARCH("hospital",P971)),ISNUMBER(SEARCH("medicine",P971))),"Public health",IF(OR(ISNUMBER(SEARCH("employee",P971)),ISNUMBER(SEARCH("labour",P971)),ISNUMBER(SEARCH("worker",P971)),ISNUMBER(SEARCH("salary",P971))),"Labour &amp; employment",IF(OR(ISNUMBER(SEARCH("rti",P971)),ISNUMBER(SEARCH("transparency",P971)),ISNUMBER(SEARCH("corruption",P971)),ISNUMBER(SEARCH("governance",P971))),"Governance &amp; transparency",IF(OR(ISNUMBER(SEARCH("police",P971)),ISNUMBER(SEARCH("detention",P971)),ISNUMBER(SEARCH("civil rights",P971)),ISNUMBER(SEARCH("justice",P971))),"Civil rights &amp; justice",IF(OR(ISNUMBER(SEARCH("road",P971)),ISNUMBER(SEARCH("utility",P971)),ISNUMBER(SEARCH("infrastructure",P971)),ISNUMBER(SEARCH("public service",P971))),"Infrastructure &amp; public services","Other"))))))))))))</x:f>
      </x:c>
      <x:c r="J971" s="16" t="str">
        <x:f>IF(A971="","",IF(OR(ISNUMBER(SEARCH("fatal",Q971)),ISNUMBER(SEARCH("death",Q971)),ISNUMBER(SEARCH("riot",Q971)),ISNUMBER(SEARCH("curfew",Q971)),ISNUMBER(SEARCH("internet shutdown",Q971))),5,MIN(4,1+IF(H971&gt;=7,1,0)+IF(OR(ISNUMBER(SEARCH("hunger strike",Q971)),ISNUMBER(SEARCH("blockade",Q971)),ISNUMBER(SEARCH("strike",Q971)),ISNUMBER(SEARCH("jal satyagraha",Q971)),ISNUMBER(SEARCH("survey",Q971)),ISNUMBER(SEARCH("human chain",Q971)),ISNUMBER(SEARCH("march",Q971))),1,0)+IF(OR(ISNUMBER(SEARCH("fir",Q971)),ISNUMBER(SEARCH("confrontation",Q971)),ISNUMBER(SEARCH("violence",Q971)),ISNUMBER(SEARCH("detention",Q971)),ISNUMBER(SEARCH("arrest",Q971)),ISNUMBER(SEARCH("demolition",Q971)),ISNUMBER(SEARCH("injury",Q971))),1,0)+IF(OR(D971="Ongoing",D971="Unresolved"),1,0))))</x:f>
      </x:c>
      <x:c r="K971" s="16" t="str">
        <x:f>IF(J971="","",IF(J971=1,"Limited",IF(J971=2,"Local",IF(J971=3,"Significant",IF(J971=4,"High","Critical")))))</x:f>
      </x:c>
      <x:c r="L971" s="16" t="str">
        <x:f>IF(A971="","",Events!U970)</x:f>
      </x:c>
      <x:c r="M971" s="16" t="str">
        <x:f>IF(A971="","",Events!V970)</x:f>
      </x:c>
      <x:c r="N971" s="16" t="str">
        <x:f>IF(A971="","",Events!Q970)</x:f>
      </x:c>
      <x:c r="O971" s="16" t="str">
        <x:f>IF(A971="","",Events!R970)</x:f>
      </x:c>
      <x:c r="P971" s="16" t="str">
        <x:f>IF(A971="","",LOWER(Events!B970&amp;" "&amp;Events!D970&amp;" "&amp;Events!K970))</x:f>
      </x:c>
      <x:c r="Q971" s="16" t="str">
        <x:f>IF(A971="","",LOWER(Events!C970&amp;" "&amp;Events!K970&amp;" "&amp;Events!T970))</x:f>
      </x:c>
      <x:c r="R971" s="16" t="str">
        <x:f>IF(A971="","",IF(ISNUMBER(SEARCH("Occurrence verified",E971)),"Occurrence verified",E971))</x:f>
      </x:c>
      <x:c r="S971" s="79" t="str">
        <x:f>IF(A971="","",Events!X970)</x:f>
      </x:c>
      <x:c r="Z971" s="79" t="str">
        <x:f>IF(A971="","",Events!AD970)</x:f>
      </x:c>
      <x:c r="AA971" s="79" t="str">
        <x:f>IF(A971="","",Events!AE970)</x:f>
      </x:c>
    </x:row>
    <x:row r="972">
      <x:c r="A972" s="16" t="str">
        <x:f>IF(Events!A971="","",Events!A971)</x:f>
      </x:c>
      <x:c r="B972" s="16" t="str">
        <x:f>IF(A972="","",Events!B971)</x:f>
      </x:c>
      <x:c r="C972" s="16" t="str">
        <x:f>IF(A972="","",Events!E971)</x:f>
      </x:c>
      <x:c r="D972" s="16" t="str">
        <x:f>IF(A972="","",Events!J971)</x:f>
      </x:c>
      <x:c r="E972" s="16" t="str">
        <x:f>IF(A972="","",Events!N971)</x:f>
      </x:c>
      <x:c r="F972" s="109" t="str">
        <x:f>IF(OR(A972="",Events!H971=""),"",Events!H971)</x:f>
      </x:c>
      <x:c r="G972" s="109" t="str">
        <x:f>IF(A972="","",IF(Events!I971&lt;&gt;"",Events!I971,IF(Events!S971&lt;&gt;"",Events!S971,"")))</x:f>
      </x:c>
      <x:c r="H972" s="16" t="str">
        <x:f>IF(A972="","",Events!W971)</x:f>
      </x:c>
      <x:c r="I972" s="16" t="str">
        <x:f>IF(A972="","",IF(Events!Y971&lt;&gt;"",Events!Y971,IF(OR(ISNUMBER(SEARCH("education",P972)),ISNUMBER(SEARCH("exam",P972)),ISNUMBER(SEARCH("school",P972))),"Education",IF(OR(ISNUMBER(SEARCH("trade agreement",P972)),ISNUMBER(SEARCH("economic",P972)),ISNUMBER(SEARCH("import",P972))),"Trade &amp; economic policy",IF(OR(ISNUMBER(SEARCH("land acquisition",P972)),ISNUMBER(SEARCH("rehabilitation",P972)),ISNUMBER(SEARCH("displacement",P972)),ISNUMBER(SEARCH("township",P972))),"Land &amp; rehabilitation",IF(OR(ISNUMBER(SEARCH("forest",P972)),ISNUMBER(SEARCH("environment",P972)),ISNUMBER(SEARCH("ecological",P972)),ISNUMBER(SEARCH("biodiversity",P972)),ISNUMBER(SEARCH("green cover",P972))),"Environment",IF(OR(ISNUMBER(SEARCH("irrigation",P972)),ISNUMBER(SEARCH("water",P972)),ISNUMBER(SEARCH("crop",P972)),ISNUMBER(SEARCH("farmer",P972)),ISNUMBER(SEARCH("agriculture",P972))),"Agriculture &amp; water",IF(OR(ISNUMBER(SEARCH("health",P972)),ISNUMBER(SEARCH("hospital",P972)),ISNUMBER(SEARCH("medicine",P972))),"Public health",IF(OR(ISNUMBER(SEARCH("employee",P972)),ISNUMBER(SEARCH("labour",P972)),ISNUMBER(SEARCH("worker",P972)),ISNUMBER(SEARCH("salary",P972))),"Labour &amp; employment",IF(OR(ISNUMBER(SEARCH("rti",P972)),ISNUMBER(SEARCH("transparency",P972)),ISNUMBER(SEARCH("corruption",P972)),ISNUMBER(SEARCH("governance",P972))),"Governance &amp; transparency",IF(OR(ISNUMBER(SEARCH("police",P972)),ISNUMBER(SEARCH("detention",P972)),ISNUMBER(SEARCH("civil rights",P972)),ISNUMBER(SEARCH("justice",P972))),"Civil rights &amp; justice",IF(OR(ISNUMBER(SEARCH("road",P972)),ISNUMBER(SEARCH("utility",P972)),ISNUMBER(SEARCH("infrastructure",P972)),ISNUMBER(SEARCH("public service",P972))),"Infrastructure &amp; public services","Other"))))))))))))</x:f>
      </x:c>
      <x:c r="J972" s="16" t="str">
        <x:f>IF(A972="","",IF(OR(ISNUMBER(SEARCH("fatal",Q972)),ISNUMBER(SEARCH("death",Q972)),ISNUMBER(SEARCH("riot",Q972)),ISNUMBER(SEARCH("curfew",Q972)),ISNUMBER(SEARCH("internet shutdown",Q972))),5,MIN(4,1+IF(H972&gt;=7,1,0)+IF(OR(ISNUMBER(SEARCH("hunger strike",Q972)),ISNUMBER(SEARCH("blockade",Q972)),ISNUMBER(SEARCH("strike",Q972)),ISNUMBER(SEARCH("jal satyagraha",Q972)),ISNUMBER(SEARCH("survey",Q972)),ISNUMBER(SEARCH("human chain",Q972)),ISNUMBER(SEARCH("march",Q972))),1,0)+IF(OR(ISNUMBER(SEARCH("fir",Q972)),ISNUMBER(SEARCH("confrontation",Q972)),ISNUMBER(SEARCH("violence",Q972)),ISNUMBER(SEARCH("detention",Q972)),ISNUMBER(SEARCH("arrest",Q972)),ISNUMBER(SEARCH("demolition",Q972)),ISNUMBER(SEARCH("injury",Q972))),1,0)+IF(OR(D972="Ongoing",D972="Unresolved"),1,0))))</x:f>
      </x:c>
      <x:c r="K972" s="16" t="str">
        <x:f>IF(J972="","",IF(J972=1,"Limited",IF(J972=2,"Local",IF(J972=3,"Significant",IF(J972=4,"High","Critical")))))</x:f>
      </x:c>
      <x:c r="L972" s="16" t="str">
        <x:f>IF(A972="","",Events!U971)</x:f>
      </x:c>
      <x:c r="M972" s="16" t="str">
        <x:f>IF(A972="","",Events!V971)</x:f>
      </x:c>
      <x:c r="N972" s="16" t="str">
        <x:f>IF(A972="","",Events!Q971)</x:f>
      </x:c>
      <x:c r="O972" s="16" t="str">
        <x:f>IF(A972="","",Events!R971)</x:f>
      </x:c>
      <x:c r="P972" s="16" t="str">
        <x:f>IF(A972="","",LOWER(Events!B971&amp;" "&amp;Events!D971&amp;" "&amp;Events!K971))</x:f>
      </x:c>
      <x:c r="Q972" s="16" t="str">
        <x:f>IF(A972="","",LOWER(Events!C971&amp;" "&amp;Events!K971&amp;" "&amp;Events!T971))</x:f>
      </x:c>
      <x:c r="R972" s="16" t="str">
        <x:f>IF(A972="","",IF(ISNUMBER(SEARCH("Occurrence verified",E972)),"Occurrence verified",E972))</x:f>
      </x:c>
      <x:c r="S972" s="79" t="str">
        <x:f>IF(A972="","",Events!X971)</x:f>
      </x:c>
      <x:c r="Z972" s="79" t="str">
        <x:f>IF(A972="","",Events!AD971)</x:f>
      </x:c>
      <x:c r="AA972" s="79" t="str">
        <x:f>IF(A972="","",Events!AE971)</x:f>
      </x:c>
    </x:row>
    <x:row r="973">
      <x:c r="A973" s="16" t="str">
        <x:f>IF(Events!A972="","",Events!A972)</x:f>
      </x:c>
      <x:c r="B973" s="16" t="str">
        <x:f>IF(A973="","",Events!B972)</x:f>
      </x:c>
      <x:c r="C973" s="16" t="str">
        <x:f>IF(A973="","",Events!E972)</x:f>
      </x:c>
      <x:c r="D973" s="16" t="str">
        <x:f>IF(A973="","",Events!J972)</x:f>
      </x:c>
      <x:c r="E973" s="16" t="str">
        <x:f>IF(A973="","",Events!N972)</x:f>
      </x:c>
      <x:c r="F973" s="109" t="str">
        <x:f>IF(OR(A973="",Events!H972=""),"",Events!H972)</x:f>
      </x:c>
      <x:c r="G973" s="109" t="str">
        <x:f>IF(A973="","",IF(Events!I972&lt;&gt;"",Events!I972,IF(Events!S972&lt;&gt;"",Events!S972,"")))</x:f>
      </x:c>
      <x:c r="H973" s="16" t="str">
        <x:f>IF(A973="","",Events!W972)</x:f>
      </x:c>
      <x:c r="I973" s="16" t="str">
        <x:f>IF(A973="","",IF(Events!Y972&lt;&gt;"",Events!Y972,IF(OR(ISNUMBER(SEARCH("education",P973)),ISNUMBER(SEARCH("exam",P973)),ISNUMBER(SEARCH("school",P973))),"Education",IF(OR(ISNUMBER(SEARCH("trade agreement",P973)),ISNUMBER(SEARCH("economic",P973)),ISNUMBER(SEARCH("import",P973))),"Trade &amp; economic policy",IF(OR(ISNUMBER(SEARCH("land acquisition",P973)),ISNUMBER(SEARCH("rehabilitation",P973)),ISNUMBER(SEARCH("displacement",P973)),ISNUMBER(SEARCH("township",P973))),"Land &amp; rehabilitation",IF(OR(ISNUMBER(SEARCH("forest",P973)),ISNUMBER(SEARCH("environment",P973)),ISNUMBER(SEARCH("ecological",P973)),ISNUMBER(SEARCH("biodiversity",P973)),ISNUMBER(SEARCH("green cover",P973))),"Environment",IF(OR(ISNUMBER(SEARCH("irrigation",P973)),ISNUMBER(SEARCH("water",P973)),ISNUMBER(SEARCH("crop",P973)),ISNUMBER(SEARCH("farmer",P973)),ISNUMBER(SEARCH("agriculture",P973))),"Agriculture &amp; water",IF(OR(ISNUMBER(SEARCH("health",P973)),ISNUMBER(SEARCH("hospital",P973)),ISNUMBER(SEARCH("medicine",P973))),"Public health",IF(OR(ISNUMBER(SEARCH("employee",P973)),ISNUMBER(SEARCH("labour",P973)),ISNUMBER(SEARCH("worker",P973)),ISNUMBER(SEARCH("salary",P973))),"Labour &amp; employment",IF(OR(ISNUMBER(SEARCH("rti",P973)),ISNUMBER(SEARCH("transparency",P973)),ISNUMBER(SEARCH("corruption",P973)),ISNUMBER(SEARCH("governance",P973))),"Governance &amp; transparency",IF(OR(ISNUMBER(SEARCH("police",P973)),ISNUMBER(SEARCH("detention",P973)),ISNUMBER(SEARCH("civil rights",P973)),ISNUMBER(SEARCH("justice",P973))),"Civil rights &amp; justice",IF(OR(ISNUMBER(SEARCH("road",P973)),ISNUMBER(SEARCH("utility",P973)),ISNUMBER(SEARCH("infrastructure",P973)),ISNUMBER(SEARCH("public service",P973))),"Infrastructure &amp; public services","Other"))))))))))))</x:f>
      </x:c>
      <x:c r="J973" s="16" t="str">
        <x:f>IF(A973="","",IF(OR(ISNUMBER(SEARCH("fatal",Q973)),ISNUMBER(SEARCH("death",Q973)),ISNUMBER(SEARCH("riot",Q973)),ISNUMBER(SEARCH("curfew",Q973)),ISNUMBER(SEARCH("internet shutdown",Q973))),5,MIN(4,1+IF(H973&gt;=7,1,0)+IF(OR(ISNUMBER(SEARCH("hunger strike",Q973)),ISNUMBER(SEARCH("blockade",Q973)),ISNUMBER(SEARCH("strike",Q973)),ISNUMBER(SEARCH("jal satyagraha",Q973)),ISNUMBER(SEARCH("survey",Q973)),ISNUMBER(SEARCH("human chain",Q973)),ISNUMBER(SEARCH("march",Q973))),1,0)+IF(OR(ISNUMBER(SEARCH("fir",Q973)),ISNUMBER(SEARCH("confrontation",Q973)),ISNUMBER(SEARCH("violence",Q973)),ISNUMBER(SEARCH("detention",Q973)),ISNUMBER(SEARCH("arrest",Q973)),ISNUMBER(SEARCH("demolition",Q973)),ISNUMBER(SEARCH("injury",Q973))),1,0)+IF(OR(D973="Ongoing",D973="Unresolved"),1,0))))</x:f>
      </x:c>
      <x:c r="K973" s="16" t="str">
        <x:f>IF(J973="","",IF(J973=1,"Limited",IF(J973=2,"Local",IF(J973=3,"Significant",IF(J973=4,"High","Critical")))))</x:f>
      </x:c>
      <x:c r="L973" s="16" t="str">
        <x:f>IF(A973="","",Events!U972)</x:f>
      </x:c>
      <x:c r="M973" s="16" t="str">
        <x:f>IF(A973="","",Events!V972)</x:f>
      </x:c>
      <x:c r="N973" s="16" t="str">
        <x:f>IF(A973="","",Events!Q972)</x:f>
      </x:c>
      <x:c r="O973" s="16" t="str">
        <x:f>IF(A973="","",Events!R972)</x:f>
      </x:c>
      <x:c r="P973" s="16" t="str">
        <x:f>IF(A973="","",LOWER(Events!B972&amp;" "&amp;Events!D972&amp;" "&amp;Events!K972))</x:f>
      </x:c>
      <x:c r="Q973" s="16" t="str">
        <x:f>IF(A973="","",LOWER(Events!C972&amp;" "&amp;Events!K972&amp;" "&amp;Events!T972))</x:f>
      </x:c>
      <x:c r="R973" s="16" t="str">
        <x:f>IF(A973="","",IF(ISNUMBER(SEARCH("Occurrence verified",E973)),"Occurrence verified",E973))</x:f>
      </x:c>
      <x:c r="S973" s="79" t="str">
        <x:f>IF(A973="","",Events!X972)</x:f>
      </x:c>
      <x:c r="Z973" s="79" t="str">
        <x:f>IF(A973="","",Events!AD972)</x:f>
      </x:c>
      <x:c r="AA973" s="79" t="str">
        <x:f>IF(A973="","",Events!AE972)</x:f>
      </x:c>
    </x:row>
    <x:row r="974">
      <x:c r="A974" s="16" t="str">
        <x:f>IF(Events!A973="","",Events!A973)</x:f>
      </x:c>
      <x:c r="B974" s="16" t="str">
        <x:f>IF(A974="","",Events!B973)</x:f>
      </x:c>
      <x:c r="C974" s="16" t="str">
        <x:f>IF(A974="","",Events!E973)</x:f>
      </x:c>
      <x:c r="D974" s="16" t="str">
        <x:f>IF(A974="","",Events!J973)</x:f>
      </x:c>
      <x:c r="E974" s="16" t="str">
        <x:f>IF(A974="","",Events!N973)</x:f>
      </x:c>
      <x:c r="F974" s="109" t="str">
        <x:f>IF(OR(A974="",Events!H973=""),"",Events!H973)</x:f>
      </x:c>
      <x:c r="G974" s="109" t="str">
        <x:f>IF(A974="","",IF(Events!I973&lt;&gt;"",Events!I973,IF(Events!S973&lt;&gt;"",Events!S973,"")))</x:f>
      </x:c>
      <x:c r="H974" s="16" t="str">
        <x:f>IF(A974="","",Events!W973)</x:f>
      </x:c>
      <x:c r="I974" s="16" t="str">
        <x:f>IF(A974="","",IF(Events!Y973&lt;&gt;"",Events!Y973,IF(OR(ISNUMBER(SEARCH("education",P974)),ISNUMBER(SEARCH("exam",P974)),ISNUMBER(SEARCH("school",P974))),"Education",IF(OR(ISNUMBER(SEARCH("trade agreement",P974)),ISNUMBER(SEARCH("economic",P974)),ISNUMBER(SEARCH("import",P974))),"Trade &amp; economic policy",IF(OR(ISNUMBER(SEARCH("land acquisition",P974)),ISNUMBER(SEARCH("rehabilitation",P974)),ISNUMBER(SEARCH("displacement",P974)),ISNUMBER(SEARCH("township",P974))),"Land &amp; rehabilitation",IF(OR(ISNUMBER(SEARCH("forest",P974)),ISNUMBER(SEARCH("environment",P974)),ISNUMBER(SEARCH("ecological",P974)),ISNUMBER(SEARCH("biodiversity",P974)),ISNUMBER(SEARCH("green cover",P974))),"Environment",IF(OR(ISNUMBER(SEARCH("irrigation",P974)),ISNUMBER(SEARCH("water",P974)),ISNUMBER(SEARCH("crop",P974)),ISNUMBER(SEARCH("farmer",P974)),ISNUMBER(SEARCH("agriculture",P974))),"Agriculture &amp; water",IF(OR(ISNUMBER(SEARCH("health",P974)),ISNUMBER(SEARCH("hospital",P974)),ISNUMBER(SEARCH("medicine",P974))),"Public health",IF(OR(ISNUMBER(SEARCH("employee",P974)),ISNUMBER(SEARCH("labour",P974)),ISNUMBER(SEARCH("worker",P974)),ISNUMBER(SEARCH("salary",P974))),"Labour &amp; employment",IF(OR(ISNUMBER(SEARCH("rti",P974)),ISNUMBER(SEARCH("transparency",P974)),ISNUMBER(SEARCH("corruption",P974)),ISNUMBER(SEARCH("governance",P974))),"Governance &amp; transparency",IF(OR(ISNUMBER(SEARCH("police",P974)),ISNUMBER(SEARCH("detention",P974)),ISNUMBER(SEARCH("civil rights",P974)),ISNUMBER(SEARCH("justice",P974))),"Civil rights &amp; justice",IF(OR(ISNUMBER(SEARCH("road",P974)),ISNUMBER(SEARCH("utility",P974)),ISNUMBER(SEARCH("infrastructure",P974)),ISNUMBER(SEARCH("public service",P974))),"Infrastructure &amp; public services","Other"))))))))))))</x:f>
      </x:c>
      <x:c r="J974" s="16" t="str">
        <x:f>IF(A974="","",IF(OR(ISNUMBER(SEARCH("fatal",Q974)),ISNUMBER(SEARCH("death",Q974)),ISNUMBER(SEARCH("riot",Q974)),ISNUMBER(SEARCH("curfew",Q974)),ISNUMBER(SEARCH("internet shutdown",Q974))),5,MIN(4,1+IF(H974&gt;=7,1,0)+IF(OR(ISNUMBER(SEARCH("hunger strike",Q974)),ISNUMBER(SEARCH("blockade",Q974)),ISNUMBER(SEARCH("strike",Q974)),ISNUMBER(SEARCH("jal satyagraha",Q974)),ISNUMBER(SEARCH("survey",Q974)),ISNUMBER(SEARCH("human chain",Q974)),ISNUMBER(SEARCH("march",Q974))),1,0)+IF(OR(ISNUMBER(SEARCH("fir",Q974)),ISNUMBER(SEARCH("confrontation",Q974)),ISNUMBER(SEARCH("violence",Q974)),ISNUMBER(SEARCH("detention",Q974)),ISNUMBER(SEARCH("arrest",Q974)),ISNUMBER(SEARCH("demolition",Q974)),ISNUMBER(SEARCH("injury",Q974))),1,0)+IF(OR(D974="Ongoing",D974="Unresolved"),1,0))))</x:f>
      </x:c>
      <x:c r="K974" s="16" t="str">
        <x:f>IF(J974="","",IF(J974=1,"Limited",IF(J974=2,"Local",IF(J974=3,"Significant",IF(J974=4,"High","Critical")))))</x:f>
      </x:c>
      <x:c r="L974" s="16" t="str">
        <x:f>IF(A974="","",Events!U973)</x:f>
      </x:c>
      <x:c r="M974" s="16" t="str">
        <x:f>IF(A974="","",Events!V973)</x:f>
      </x:c>
      <x:c r="N974" s="16" t="str">
        <x:f>IF(A974="","",Events!Q973)</x:f>
      </x:c>
      <x:c r="O974" s="16" t="str">
        <x:f>IF(A974="","",Events!R973)</x:f>
      </x:c>
      <x:c r="P974" s="16" t="str">
        <x:f>IF(A974="","",LOWER(Events!B973&amp;" "&amp;Events!D973&amp;" "&amp;Events!K973))</x:f>
      </x:c>
      <x:c r="Q974" s="16" t="str">
        <x:f>IF(A974="","",LOWER(Events!C973&amp;" "&amp;Events!K973&amp;" "&amp;Events!T973))</x:f>
      </x:c>
      <x:c r="R974" s="16" t="str">
        <x:f>IF(A974="","",IF(ISNUMBER(SEARCH("Occurrence verified",E974)),"Occurrence verified",E974))</x:f>
      </x:c>
      <x:c r="S974" s="79" t="str">
        <x:f>IF(A974="","",Events!X973)</x:f>
      </x:c>
      <x:c r="Z974" s="79" t="str">
        <x:f>IF(A974="","",Events!AD973)</x:f>
      </x:c>
      <x:c r="AA974" s="79" t="str">
        <x:f>IF(A974="","",Events!AE973)</x:f>
      </x:c>
    </x:row>
    <x:row r="975">
      <x:c r="A975" s="16" t="str">
        <x:f>IF(Events!A974="","",Events!A974)</x:f>
      </x:c>
      <x:c r="B975" s="16" t="str">
        <x:f>IF(A975="","",Events!B974)</x:f>
      </x:c>
      <x:c r="C975" s="16" t="str">
        <x:f>IF(A975="","",Events!E974)</x:f>
      </x:c>
      <x:c r="D975" s="16" t="str">
        <x:f>IF(A975="","",Events!J974)</x:f>
      </x:c>
      <x:c r="E975" s="16" t="str">
        <x:f>IF(A975="","",Events!N974)</x:f>
      </x:c>
      <x:c r="F975" s="109" t="str">
        <x:f>IF(OR(A975="",Events!H974=""),"",Events!H974)</x:f>
      </x:c>
      <x:c r="G975" s="109" t="str">
        <x:f>IF(A975="","",IF(Events!I974&lt;&gt;"",Events!I974,IF(Events!S974&lt;&gt;"",Events!S974,"")))</x:f>
      </x:c>
      <x:c r="H975" s="16" t="str">
        <x:f>IF(A975="","",Events!W974)</x:f>
      </x:c>
      <x:c r="I975" s="16" t="str">
        <x:f>IF(A975="","",IF(Events!Y974&lt;&gt;"",Events!Y974,IF(OR(ISNUMBER(SEARCH("education",P975)),ISNUMBER(SEARCH("exam",P975)),ISNUMBER(SEARCH("school",P975))),"Education",IF(OR(ISNUMBER(SEARCH("trade agreement",P975)),ISNUMBER(SEARCH("economic",P975)),ISNUMBER(SEARCH("import",P975))),"Trade &amp; economic policy",IF(OR(ISNUMBER(SEARCH("land acquisition",P975)),ISNUMBER(SEARCH("rehabilitation",P975)),ISNUMBER(SEARCH("displacement",P975)),ISNUMBER(SEARCH("township",P975))),"Land &amp; rehabilitation",IF(OR(ISNUMBER(SEARCH("forest",P975)),ISNUMBER(SEARCH("environment",P975)),ISNUMBER(SEARCH("ecological",P975)),ISNUMBER(SEARCH("biodiversity",P975)),ISNUMBER(SEARCH("green cover",P975))),"Environment",IF(OR(ISNUMBER(SEARCH("irrigation",P975)),ISNUMBER(SEARCH("water",P975)),ISNUMBER(SEARCH("crop",P975)),ISNUMBER(SEARCH("farmer",P975)),ISNUMBER(SEARCH("agriculture",P975))),"Agriculture &amp; water",IF(OR(ISNUMBER(SEARCH("health",P975)),ISNUMBER(SEARCH("hospital",P975)),ISNUMBER(SEARCH("medicine",P975))),"Public health",IF(OR(ISNUMBER(SEARCH("employee",P975)),ISNUMBER(SEARCH("labour",P975)),ISNUMBER(SEARCH("worker",P975)),ISNUMBER(SEARCH("salary",P975))),"Labour &amp; employment",IF(OR(ISNUMBER(SEARCH("rti",P975)),ISNUMBER(SEARCH("transparency",P975)),ISNUMBER(SEARCH("corruption",P975)),ISNUMBER(SEARCH("governance",P975))),"Governance &amp; transparency",IF(OR(ISNUMBER(SEARCH("police",P975)),ISNUMBER(SEARCH("detention",P975)),ISNUMBER(SEARCH("civil rights",P975)),ISNUMBER(SEARCH("justice",P975))),"Civil rights &amp; justice",IF(OR(ISNUMBER(SEARCH("road",P975)),ISNUMBER(SEARCH("utility",P975)),ISNUMBER(SEARCH("infrastructure",P975)),ISNUMBER(SEARCH("public service",P975))),"Infrastructure &amp; public services","Other"))))))))))))</x:f>
      </x:c>
      <x:c r="J975" s="16" t="str">
        <x:f>IF(A975="","",IF(OR(ISNUMBER(SEARCH("fatal",Q975)),ISNUMBER(SEARCH("death",Q975)),ISNUMBER(SEARCH("riot",Q975)),ISNUMBER(SEARCH("curfew",Q975)),ISNUMBER(SEARCH("internet shutdown",Q975))),5,MIN(4,1+IF(H975&gt;=7,1,0)+IF(OR(ISNUMBER(SEARCH("hunger strike",Q975)),ISNUMBER(SEARCH("blockade",Q975)),ISNUMBER(SEARCH("strike",Q975)),ISNUMBER(SEARCH("jal satyagraha",Q975)),ISNUMBER(SEARCH("survey",Q975)),ISNUMBER(SEARCH("human chain",Q975)),ISNUMBER(SEARCH("march",Q975))),1,0)+IF(OR(ISNUMBER(SEARCH("fir",Q975)),ISNUMBER(SEARCH("confrontation",Q975)),ISNUMBER(SEARCH("violence",Q975)),ISNUMBER(SEARCH("detention",Q975)),ISNUMBER(SEARCH("arrest",Q975)),ISNUMBER(SEARCH("demolition",Q975)),ISNUMBER(SEARCH("injury",Q975))),1,0)+IF(OR(D975="Ongoing",D975="Unresolved"),1,0))))</x:f>
      </x:c>
      <x:c r="K975" s="16" t="str">
        <x:f>IF(J975="","",IF(J975=1,"Limited",IF(J975=2,"Local",IF(J975=3,"Significant",IF(J975=4,"High","Critical")))))</x:f>
      </x:c>
      <x:c r="L975" s="16" t="str">
        <x:f>IF(A975="","",Events!U974)</x:f>
      </x:c>
      <x:c r="M975" s="16" t="str">
        <x:f>IF(A975="","",Events!V974)</x:f>
      </x:c>
      <x:c r="N975" s="16" t="str">
        <x:f>IF(A975="","",Events!Q974)</x:f>
      </x:c>
      <x:c r="O975" s="16" t="str">
        <x:f>IF(A975="","",Events!R974)</x:f>
      </x:c>
      <x:c r="P975" s="16" t="str">
        <x:f>IF(A975="","",LOWER(Events!B974&amp;" "&amp;Events!D974&amp;" "&amp;Events!K974))</x:f>
      </x:c>
      <x:c r="Q975" s="16" t="str">
        <x:f>IF(A975="","",LOWER(Events!C974&amp;" "&amp;Events!K974&amp;" "&amp;Events!T974))</x:f>
      </x:c>
      <x:c r="R975" s="16" t="str">
        <x:f>IF(A975="","",IF(ISNUMBER(SEARCH("Occurrence verified",E975)),"Occurrence verified",E975))</x:f>
      </x:c>
      <x:c r="S975" s="79" t="str">
        <x:f>IF(A975="","",Events!X974)</x:f>
      </x:c>
      <x:c r="Z975" s="79" t="str">
        <x:f>IF(A975="","",Events!AD974)</x:f>
      </x:c>
      <x:c r="AA975" s="79" t="str">
        <x:f>IF(A975="","",Events!AE974)</x:f>
      </x:c>
    </x:row>
    <x:row r="976">
      <x:c r="A976" s="16" t="str">
        <x:f>IF(Events!A975="","",Events!A975)</x:f>
      </x:c>
      <x:c r="B976" s="16" t="str">
        <x:f>IF(A976="","",Events!B975)</x:f>
      </x:c>
      <x:c r="C976" s="16" t="str">
        <x:f>IF(A976="","",Events!E975)</x:f>
      </x:c>
      <x:c r="D976" s="16" t="str">
        <x:f>IF(A976="","",Events!J975)</x:f>
      </x:c>
      <x:c r="E976" s="16" t="str">
        <x:f>IF(A976="","",Events!N975)</x:f>
      </x:c>
      <x:c r="F976" s="109" t="str">
        <x:f>IF(OR(A976="",Events!H975=""),"",Events!H975)</x:f>
      </x:c>
      <x:c r="G976" s="109" t="str">
        <x:f>IF(A976="","",IF(Events!I975&lt;&gt;"",Events!I975,IF(Events!S975&lt;&gt;"",Events!S975,"")))</x:f>
      </x:c>
      <x:c r="H976" s="16" t="str">
        <x:f>IF(A976="","",Events!W975)</x:f>
      </x:c>
      <x:c r="I976" s="16" t="str">
        <x:f>IF(A976="","",IF(Events!Y975&lt;&gt;"",Events!Y975,IF(OR(ISNUMBER(SEARCH("education",P976)),ISNUMBER(SEARCH("exam",P976)),ISNUMBER(SEARCH("school",P976))),"Education",IF(OR(ISNUMBER(SEARCH("trade agreement",P976)),ISNUMBER(SEARCH("economic",P976)),ISNUMBER(SEARCH("import",P976))),"Trade &amp; economic policy",IF(OR(ISNUMBER(SEARCH("land acquisition",P976)),ISNUMBER(SEARCH("rehabilitation",P976)),ISNUMBER(SEARCH("displacement",P976)),ISNUMBER(SEARCH("township",P976))),"Land &amp; rehabilitation",IF(OR(ISNUMBER(SEARCH("forest",P976)),ISNUMBER(SEARCH("environment",P976)),ISNUMBER(SEARCH("ecological",P976)),ISNUMBER(SEARCH("biodiversity",P976)),ISNUMBER(SEARCH("green cover",P976))),"Environment",IF(OR(ISNUMBER(SEARCH("irrigation",P976)),ISNUMBER(SEARCH("water",P976)),ISNUMBER(SEARCH("crop",P976)),ISNUMBER(SEARCH("farmer",P976)),ISNUMBER(SEARCH("agriculture",P976))),"Agriculture &amp; water",IF(OR(ISNUMBER(SEARCH("health",P976)),ISNUMBER(SEARCH("hospital",P976)),ISNUMBER(SEARCH("medicine",P976))),"Public health",IF(OR(ISNUMBER(SEARCH("employee",P976)),ISNUMBER(SEARCH("labour",P976)),ISNUMBER(SEARCH("worker",P976)),ISNUMBER(SEARCH("salary",P976))),"Labour &amp; employment",IF(OR(ISNUMBER(SEARCH("rti",P976)),ISNUMBER(SEARCH("transparency",P976)),ISNUMBER(SEARCH("corruption",P976)),ISNUMBER(SEARCH("governance",P976))),"Governance &amp; transparency",IF(OR(ISNUMBER(SEARCH("police",P976)),ISNUMBER(SEARCH("detention",P976)),ISNUMBER(SEARCH("civil rights",P976)),ISNUMBER(SEARCH("justice",P976))),"Civil rights &amp; justice",IF(OR(ISNUMBER(SEARCH("road",P976)),ISNUMBER(SEARCH("utility",P976)),ISNUMBER(SEARCH("infrastructure",P976)),ISNUMBER(SEARCH("public service",P976))),"Infrastructure &amp; public services","Other"))))))))))))</x:f>
      </x:c>
      <x:c r="J976" s="16" t="str">
        <x:f>IF(A976="","",IF(OR(ISNUMBER(SEARCH("fatal",Q976)),ISNUMBER(SEARCH("death",Q976)),ISNUMBER(SEARCH("riot",Q976)),ISNUMBER(SEARCH("curfew",Q976)),ISNUMBER(SEARCH("internet shutdown",Q976))),5,MIN(4,1+IF(H976&gt;=7,1,0)+IF(OR(ISNUMBER(SEARCH("hunger strike",Q976)),ISNUMBER(SEARCH("blockade",Q976)),ISNUMBER(SEARCH("strike",Q976)),ISNUMBER(SEARCH("jal satyagraha",Q976)),ISNUMBER(SEARCH("survey",Q976)),ISNUMBER(SEARCH("human chain",Q976)),ISNUMBER(SEARCH("march",Q976))),1,0)+IF(OR(ISNUMBER(SEARCH("fir",Q976)),ISNUMBER(SEARCH("confrontation",Q976)),ISNUMBER(SEARCH("violence",Q976)),ISNUMBER(SEARCH("detention",Q976)),ISNUMBER(SEARCH("arrest",Q976)),ISNUMBER(SEARCH("demolition",Q976)),ISNUMBER(SEARCH("injury",Q976))),1,0)+IF(OR(D976="Ongoing",D976="Unresolved"),1,0))))</x:f>
      </x:c>
      <x:c r="K976" s="16" t="str">
        <x:f>IF(J976="","",IF(J976=1,"Limited",IF(J976=2,"Local",IF(J976=3,"Significant",IF(J976=4,"High","Critical")))))</x:f>
      </x:c>
      <x:c r="L976" s="16" t="str">
        <x:f>IF(A976="","",Events!U975)</x:f>
      </x:c>
      <x:c r="M976" s="16" t="str">
        <x:f>IF(A976="","",Events!V975)</x:f>
      </x:c>
      <x:c r="N976" s="16" t="str">
        <x:f>IF(A976="","",Events!Q975)</x:f>
      </x:c>
      <x:c r="O976" s="16" t="str">
        <x:f>IF(A976="","",Events!R975)</x:f>
      </x:c>
      <x:c r="P976" s="16" t="str">
        <x:f>IF(A976="","",LOWER(Events!B975&amp;" "&amp;Events!D975&amp;" "&amp;Events!K975))</x:f>
      </x:c>
      <x:c r="Q976" s="16" t="str">
        <x:f>IF(A976="","",LOWER(Events!C975&amp;" "&amp;Events!K975&amp;" "&amp;Events!T975))</x:f>
      </x:c>
      <x:c r="R976" s="16" t="str">
        <x:f>IF(A976="","",IF(ISNUMBER(SEARCH("Occurrence verified",E976)),"Occurrence verified",E976))</x:f>
      </x:c>
      <x:c r="S976" s="79" t="str">
        <x:f>IF(A976="","",Events!X975)</x:f>
      </x:c>
      <x:c r="Z976" s="79" t="str">
        <x:f>IF(A976="","",Events!AD975)</x:f>
      </x:c>
      <x:c r="AA976" s="79" t="str">
        <x:f>IF(A976="","",Events!AE975)</x:f>
      </x:c>
    </x:row>
    <x:row r="977">
      <x:c r="A977" s="16" t="str">
        <x:f>IF(Events!A976="","",Events!A976)</x:f>
      </x:c>
      <x:c r="B977" s="16" t="str">
        <x:f>IF(A977="","",Events!B976)</x:f>
      </x:c>
      <x:c r="C977" s="16" t="str">
        <x:f>IF(A977="","",Events!E976)</x:f>
      </x:c>
      <x:c r="D977" s="16" t="str">
        <x:f>IF(A977="","",Events!J976)</x:f>
      </x:c>
      <x:c r="E977" s="16" t="str">
        <x:f>IF(A977="","",Events!N976)</x:f>
      </x:c>
      <x:c r="F977" s="109" t="str">
        <x:f>IF(OR(A977="",Events!H976=""),"",Events!H976)</x:f>
      </x:c>
      <x:c r="G977" s="109" t="str">
        <x:f>IF(A977="","",IF(Events!I976&lt;&gt;"",Events!I976,IF(Events!S976&lt;&gt;"",Events!S976,"")))</x:f>
      </x:c>
      <x:c r="H977" s="16" t="str">
        <x:f>IF(A977="","",Events!W976)</x:f>
      </x:c>
      <x:c r="I977" s="16" t="str">
        <x:f>IF(A977="","",IF(Events!Y976&lt;&gt;"",Events!Y976,IF(OR(ISNUMBER(SEARCH("education",P977)),ISNUMBER(SEARCH("exam",P977)),ISNUMBER(SEARCH("school",P977))),"Education",IF(OR(ISNUMBER(SEARCH("trade agreement",P977)),ISNUMBER(SEARCH("economic",P977)),ISNUMBER(SEARCH("import",P977))),"Trade &amp; economic policy",IF(OR(ISNUMBER(SEARCH("land acquisition",P977)),ISNUMBER(SEARCH("rehabilitation",P977)),ISNUMBER(SEARCH("displacement",P977)),ISNUMBER(SEARCH("township",P977))),"Land &amp; rehabilitation",IF(OR(ISNUMBER(SEARCH("forest",P977)),ISNUMBER(SEARCH("environment",P977)),ISNUMBER(SEARCH("ecological",P977)),ISNUMBER(SEARCH("biodiversity",P977)),ISNUMBER(SEARCH("green cover",P977))),"Environment",IF(OR(ISNUMBER(SEARCH("irrigation",P977)),ISNUMBER(SEARCH("water",P977)),ISNUMBER(SEARCH("crop",P977)),ISNUMBER(SEARCH("farmer",P977)),ISNUMBER(SEARCH("agriculture",P977))),"Agriculture &amp; water",IF(OR(ISNUMBER(SEARCH("health",P977)),ISNUMBER(SEARCH("hospital",P977)),ISNUMBER(SEARCH("medicine",P977))),"Public health",IF(OR(ISNUMBER(SEARCH("employee",P977)),ISNUMBER(SEARCH("labour",P977)),ISNUMBER(SEARCH("worker",P977)),ISNUMBER(SEARCH("salary",P977))),"Labour &amp; employment",IF(OR(ISNUMBER(SEARCH("rti",P977)),ISNUMBER(SEARCH("transparency",P977)),ISNUMBER(SEARCH("corruption",P977)),ISNUMBER(SEARCH("governance",P977))),"Governance &amp; transparency",IF(OR(ISNUMBER(SEARCH("police",P977)),ISNUMBER(SEARCH("detention",P977)),ISNUMBER(SEARCH("civil rights",P977)),ISNUMBER(SEARCH("justice",P977))),"Civil rights &amp; justice",IF(OR(ISNUMBER(SEARCH("road",P977)),ISNUMBER(SEARCH("utility",P977)),ISNUMBER(SEARCH("infrastructure",P977)),ISNUMBER(SEARCH("public service",P977))),"Infrastructure &amp; public services","Other"))))))))))))</x:f>
      </x:c>
      <x:c r="J977" s="16" t="str">
        <x:f>IF(A977="","",IF(OR(ISNUMBER(SEARCH("fatal",Q977)),ISNUMBER(SEARCH("death",Q977)),ISNUMBER(SEARCH("riot",Q977)),ISNUMBER(SEARCH("curfew",Q977)),ISNUMBER(SEARCH("internet shutdown",Q977))),5,MIN(4,1+IF(H977&gt;=7,1,0)+IF(OR(ISNUMBER(SEARCH("hunger strike",Q977)),ISNUMBER(SEARCH("blockade",Q977)),ISNUMBER(SEARCH("strike",Q977)),ISNUMBER(SEARCH("jal satyagraha",Q977)),ISNUMBER(SEARCH("survey",Q977)),ISNUMBER(SEARCH("human chain",Q977)),ISNUMBER(SEARCH("march",Q977))),1,0)+IF(OR(ISNUMBER(SEARCH("fir",Q977)),ISNUMBER(SEARCH("confrontation",Q977)),ISNUMBER(SEARCH("violence",Q977)),ISNUMBER(SEARCH("detention",Q977)),ISNUMBER(SEARCH("arrest",Q977)),ISNUMBER(SEARCH("demolition",Q977)),ISNUMBER(SEARCH("injury",Q977))),1,0)+IF(OR(D977="Ongoing",D977="Unresolved"),1,0))))</x:f>
      </x:c>
      <x:c r="K977" s="16" t="str">
        <x:f>IF(J977="","",IF(J977=1,"Limited",IF(J977=2,"Local",IF(J977=3,"Significant",IF(J977=4,"High","Critical")))))</x:f>
      </x:c>
      <x:c r="L977" s="16" t="str">
        <x:f>IF(A977="","",Events!U976)</x:f>
      </x:c>
      <x:c r="M977" s="16" t="str">
        <x:f>IF(A977="","",Events!V976)</x:f>
      </x:c>
      <x:c r="N977" s="16" t="str">
        <x:f>IF(A977="","",Events!Q976)</x:f>
      </x:c>
      <x:c r="O977" s="16" t="str">
        <x:f>IF(A977="","",Events!R976)</x:f>
      </x:c>
      <x:c r="P977" s="16" t="str">
        <x:f>IF(A977="","",LOWER(Events!B976&amp;" "&amp;Events!D976&amp;" "&amp;Events!K976))</x:f>
      </x:c>
      <x:c r="Q977" s="16" t="str">
        <x:f>IF(A977="","",LOWER(Events!C976&amp;" "&amp;Events!K976&amp;" "&amp;Events!T976))</x:f>
      </x:c>
      <x:c r="R977" s="16" t="str">
        <x:f>IF(A977="","",IF(ISNUMBER(SEARCH("Occurrence verified",E977)),"Occurrence verified",E977))</x:f>
      </x:c>
      <x:c r="S977" s="79" t="str">
        <x:f>IF(A977="","",Events!X976)</x:f>
      </x:c>
      <x:c r="Z977" s="79" t="str">
        <x:f>IF(A977="","",Events!AD976)</x:f>
      </x:c>
      <x:c r="AA977" s="79" t="str">
        <x:f>IF(A977="","",Events!AE976)</x:f>
      </x:c>
    </x:row>
    <x:row r="978">
      <x:c r="A978" s="16" t="str">
        <x:f>IF(Events!A977="","",Events!A977)</x:f>
      </x:c>
      <x:c r="B978" s="16" t="str">
        <x:f>IF(A978="","",Events!B977)</x:f>
      </x:c>
      <x:c r="C978" s="16" t="str">
        <x:f>IF(A978="","",Events!E977)</x:f>
      </x:c>
      <x:c r="D978" s="16" t="str">
        <x:f>IF(A978="","",Events!J977)</x:f>
      </x:c>
      <x:c r="E978" s="16" t="str">
        <x:f>IF(A978="","",Events!N977)</x:f>
      </x:c>
      <x:c r="F978" s="109" t="str">
        <x:f>IF(OR(A978="",Events!H977=""),"",Events!H977)</x:f>
      </x:c>
      <x:c r="G978" s="109" t="str">
        <x:f>IF(A978="","",IF(Events!I977&lt;&gt;"",Events!I977,IF(Events!S977&lt;&gt;"",Events!S977,"")))</x:f>
      </x:c>
      <x:c r="H978" s="16" t="str">
        <x:f>IF(A978="","",Events!W977)</x:f>
      </x:c>
      <x:c r="I978" s="16" t="str">
        <x:f>IF(A978="","",IF(Events!Y977&lt;&gt;"",Events!Y977,IF(OR(ISNUMBER(SEARCH("education",P978)),ISNUMBER(SEARCH("exam",P978)),ISNUMBER(SEARCH("school",P978))),"Education",IF(OR(ISNUMBER(SEARCH("trade agreement",P978)),ISNUMBER(SEARCH("economic",P978)),ISNUMBER(SEARCH("import",P978))),"Trade &amp; economic policy",IF(OR(ISNUMBER(SEARCH("land acquisition",P978)),ISNUMBER(SEARCH("rehabilitation",P978)),ISNUMBER(SEARCH("displacement",P978)),ISNUMBER(SEARCH("township",P978))),"Land &amp; rehabilitation",IF(OR(ISNUMBER(SEARCH("forest",P978)),ISNUMBER(SEARCH("environment",P978)),ISNUMBER(SEARCH("ecological",P978)),ISNUMBER(SEARCH("biodiversity",P978)),ISNUMBER(SEARCH("green cover",P978))),"Environment",IF(OR(ISNUMBER(SEARCH("irrigation",P978)),ISNUMBER(SEARCH("water",P978)),ISNUMBER(SEARCH("crop",P978)),ISNUMBER(SEARCH("farmer",P978)),ISNUMBER(SEARCH("agriculture",P978))),"Agriculture &amp; water",IF(OR(ISNUMBER(SEARCH("health",P978)),ISNUMBER(SEARCH("hospital",P978)),ISNUMBER(SEARCH("medicine",P978))),"Public health",IF(OR(ISNUMBER(SEARCH("employee",P978)),ISNUMBER(SEARCH("labour",P978)),ISNUMBER(SEARCH("worker",P978)),ISNUMBER(SEARCH("salary",P978))),"Labour &amp; employment",IF(OR(ISNUMBER(SEARCH("rti",P978)),ISNUMBER(SEARCH("transparency",P978)),ISNUMBER(SEARCH("corruption",P978)),ISNUMBER(SEARCH("governance",P978))),"Governance &amp; transparency",IF(OR(ISNUMBER(SEARCH("police",P978)),ISNUMBER(SEARCH("detention",P978)),ISNUMBER(SEARCH("civil rights",P978)),ISNUMBER(SEARCH("justice",P978))),"Civil rights &amp; justice",IF(OR(ISNUMBER(SEARCH("road",P978)),ISNUMBER(SEARCH("utility",P978)),ISNUMBER(SEARCH("infrastructure",P978)),ISNUMBER(SEARCH("public service",P978))),"Infrastructure &amp; public services","Other"))))))))))))</x:f>
      </x:c>
      <x:c r="J978" s="16" t="str">
        <x:f>IF(A978="","",IF(OR(ISNUMBER(SEARCH("fatal",Q978)),ISNUMBER(SEARCH("death",Q978)),ISNUMBER(SEARCH("riot",Q978)),ISNUMBER(SEARCH("curfew",Q978)),ISNUMBER(SEARCH("internet shutdown",Q978))),5,MIN(4,1+IF(H978&gt;=7,1,0)+IF(OR(ISNUMBER(SEARCH("hunger strike",Q978)),ISNUMBER(SEARCH("blockade",Q978)),ISNUMBER(SEARCH("strike",Q978)),ISNUMBER(SEARCH("jal satyagraha",Q978)),ISNUMBER(SEARCH("survey",Q978)),ISNUMBER(SEARCH("human chain",Q978)),ISNUMBER(SEARCH("march",Q978))),1,0)+IF(OR(ISNUMBER(SEARCH("fir",Q978)),ISNUMBER(SEARCH("confrontation",Q978)),ISNUMBER(SEARCH("violence",Q978)),ISNUMBER(SEARCH("detention",Q978)),ISNUMBER(SEARCH("arrest",Q978)),ISNUMBER(SEARCH("demolition",Q978)),ISNUMBER(SEARCH("injury",Q978))),1,0)+IF(OR(D978="Ongoing",D978="Unresolved"),1,0))))</x:f>
      </x:c>
      <x:c r="K978" s="16" t="str">
        <x:f>IF(J978="","",IF(J978=1,"Limited",IF(J978=2,"Local",IF(J978=3,"Significant",IF(J978=4,"High","Critical")))))</x:f>
      </x:c>
      <x:c r="L978" s="16" t="str">
        <x:f>IF(A978="","",Events!U977)</x:f>
      </x:c>
      <x:c r="M978" s="16" t="str">
        <x:f>IF(A978="","",Events!V977)</x:f>
      </x:c>
      <x:c r="N978" s="16" t="str">
        <x:f>IF(A978="","",Events!Q977)</x:f>
      </x:c>
      <x:c r="O978" s="16" t="str">
        <x:f>IF(A978="","",Events!R977)</x:f>
      </x:c>
      <x:c r="P978" s="16" t="str">
        <x:f>IF(A978="","",LOWER(Events!B977&amp;" "&amp;Events!D977&amp;" "&amp;Events!K977))</x:f>
      </x:c>
      <x:c r="Q978" s="16" t="str">
        <x:f>IF(A978="","",LOWER(Events!C977&amp;" "&amp;Events!K977&amp;" "&amp;Events!T977))</x:f>
      </x:c>
      <x:c r="R978" s="16" t="str">
        <x:f>IF(A978="","",IF(ISNUMBER(SEARCH("Occurrence verified",E978)),"Occurrence verified",E978))</x:f>
      </x:c>
      <x:c r="S978" s="79" t="str">
        <x:f>IF(A978="","",Events!X977)</x:f>
      </x:c>
      <x:c r="Z978" s="79" t="str">
        <x:f>IF(A978="","",Events!AD977)</x:f>
      </x:c>
      <x:c r="AA978" s="79" t="str">
        <x:f>IF(A978="","",Events!AE977)</x:f>
      </x:c>
    </x:row>
    <x:row r="979">
      <x:c r="A979" s="16" t="str">
        <x:f>IF(Events!A978="","",Events!A978)</x:f>
      </x:c>
      <x:c r="B979" s="16" t="str">
        <x:f>IF(A979="","",Events!B978)</x:f>
      </x:c>
      <x:c r="C979" s="16" t="str">
        <x:f>IF(A979="","",Events!E978)</x:f>
      </x:c>
      <x:c r="D979" s="16" t="str">
        <x:f>IF(A979="","",Events!J978)</x:f>
      </x:c>
      <x:c r="E979" s="16" t="str">
        <x:f>IF(A979="","",Events!N978)</x:f>
      </x:c>
      <x:c r="F979" s="109" t="str">
        <x:f>IF(OR(A979="",Events!H978=""),"",Events!H978)</x:f>
      </x:c>
      <x:c r="G979" s="109" t="str">
        <x:f>IF(A979="","",IF(Events!I978&lt;&gt;"",Events!I978,IF(Events!S978&lt;&gt;"",Events!S978,"")))</x:f>
      </x:c>
      <x:c r="H979" s="16" t="str">
        <x:f>IF(A979="","",Events!W978)</x:f>
      </x:c>
      <x:c r="I979" s="16" t="str">
        <x:f>IF(A979="","",IF(Events!Y978&lt;&gt;"",Events!Y978,IF(OR(ISNUMBER(SEARCH("education",P979)),ISNUMBER(SEARCH("exam",P979)),ISNUMBER(SEARCH("school",P979))),"Education",IF(OR(ISNUMBER(SEARCH("trade agreement",P979)),ISNUMBER(SEARCH("economic",P979)),ISNUMBER(SEARCH("import",P979))),"Trade &amp; economic policy",IF(OR(ISNUMBER(SEARCH("land acquisition",P979)),ISNUMBER(SEARCH("rehabilitation",P979)),ISNUMBER(SEARCH("displacement",P979)),ISNUMBER(SEARCH("township",P979))),"Land &amp; rehabilitation",IF(OR(ISNUMBER(SEARCH("forest",P979)),ISNUMBER(SEARCH("environment",P979)),ISNUMBER(SEARCH("ecological",P979)),ISNUMBER(SEARCH("biodiversity",P979)),ISNUMBER(SEARCH("green cover",P979))),"Environment",IF(OR(ISNUMBER(SEARCH("irrigation",P979)),ISNUMBER(SEARCH("water",P979)),ISNUMBER(SEARCH("crop",P979)),ISNUMBER(SEARCH("farmer",P979)),ISNUMBER(SEARCH("agriculture",P979))),"Agriculture &amp; water",IF(OR(ISNUMBER(SEARCH("health",P979)),ISNUMBER(SEARCH("hospital",P979)),ISNUMBER(SEARCH("medicine",P979))),"Public health",IF(OR(ISNUMBER(SEARCH("employee",P979)),ISNUMBER(SEARCH("labour",P979)),ISNUMBER(SEARCH("worker",P979)),ISNUMBER(SEARCH("salary",P979))),"Labour &amp; employment",IF(OR(ISNUMBER(SEARCH("rti",P979)),ISNUMBER(SEARCH("transparency",P979)),ISNUMBER(SEARCH("corruption",P979)),ISNUMBER(SEARCH("governance",P979))),"Governance &amp; transparency",IF(OR(ISNUMBER(SEARCH("police",P979)),ISNUMBER(SEARCH("detention",P979)),ISNUMBER(SEARCH("civil rights",P979)),ISNUMBER(SEARCH("justice",P979))),"Civil rights &amp; justice",IF(OR(ISNUMBER(SEARCH("road",P979)),ISNUMBER(SEARCH("utility",P979)),ISNUMBER(SEARCH("infrastructure",P979)),ISNUMBER(SEARCH("public service",P979))),"Infrastructure &amp; public services","Other"))))))))))))</x:f>
      </x:c>
      <x:c r="J979" s="16" t="str">
        <x:f>IF(A979="","",IF(OR(ISNUMBER(SEARCH("fatal",Q979)),ISNUMBER(SEARCH("death",Q979)),ISNUMBER(SEARCH("riot",Q979)),ISNUMBER(SEARCH("curfew",Q979)),ISNUMBER(SEARCH("internet shutdown",Q979))),5,MIN(4,1+IF(H979&gt;=7,1,0)+IF(OR(ISNUMBER(SEARCH("hunger strike",Q979)),ISNUMBER(SEARCH("blockade",Q979)),ISNUMBER(SEARCH("strike",Q979)),ISNUMBER(SEARCH("jal satyagraha",Q979)),ISNUMBER(SEARCH("survey",Q979)),ISNUMBER(SEARCH("human chain",Q979)),ISNUMBER(SEARCH("march",Q979))),1,0)+IF(OR(ISNUMBER(SEARCH("fir",Q979)),ISNUMBER(SEARCH("confrontation",Q979)),ISNUMBER(SEARCH("violence",Q979)),ISNUMBER(SEARCH("detention",Q979)),ISNUMBER(SEARCH("arrest",Q979)),ISNUMBER(SEARCH("demolition",Q979)),ISNUMBER(SEARCH("injury",Q979))),1,0)+IF(OR(D979="Ongoing",D979="Unresolved"),1,0))))</x:f>
      </x:c>
      <x:c r="K979" s="16" t="str">
        <x:f>IF(J979="","",IF(J979=1,"Limited",IF(J979=2,"Local",IF(J979=3,"Significant",IF(J979=4,"High","Critical")))))</x:f>
      </x:c>
      <x:c r="L979" s="16" t="str">
        <x:f>IF(A979="","",Events!U978)</x:f>
      </x:c>
      <x:c r="M979" s="16" t="str">
        <x:f>IF(A979="","",Events!V978)</x:f>
      </x:c>
      <x:c r="N979" s="16" t="str">
        <x:f>IF(A979="","",Events!Q978)</x:f>
      </x:c>
      <x:c r="O979" s="16" t="str">
        <x:f>IF(A979="","",Events!R978)</x:f>
      </x:c>
      <x:c r="P979" s="16" t="str">
        <x:f>IF(A979="","",LOWER(Events!B978&amp;" "&amp;Events!D978&amp;" "&amp;Events!K978))</x:f>
      </x:c>
      <x:c r="Q979" s="16" t="str">
        <x:f>IF(A979="","",LOWER(Events!C978&amp;" "&amp;Events!K978&amp;" "&amp;Events!T978))</x:f>
      </x:c>
      <x:c r="R979" s="16" t="str">
        <x:f>IF(A979="","",IF(ISNUMBER(SEARCH("Occurrence verified",E979)),"Occurrence verified",E979))</x:f>
      </x:c>
      <x:c r="S979" s="79" t="str">
        <x:f>IF(A979="","",Events!X978)</x:f>
      </x:c>
      <x:c r="Z979" s="79" t="str">
        <x:f>IF(A979="","",Events!AD978)</x:f>
      </x:c>
      <x:c r="AA979" s="79" t="str">
        <x:f>IF(A979="","",Events!AE978)</x:f>
      </x:c>
    </x:row>
    <x:row r="980">
      <x:c r="A980" s="16" t="str">
        <x:f>IF(Events!A979="","",Events!A979)</x:f>
      </x:c>
      <x:c r="B980" s="16" t="str">
        <x:f>IF(A980="","",Events!B979)</x:f>
      </x:c>
      <x:c r="C980" s="16" t="str">
        <x:f>IF(A980="","",Events!E979)</x:f>
      </x:c>
      <x:c r="D980" s="16" t="str">
        <x:f>IF(A980="","",Events!J979)</x:f>
      </x:c>
      <x:c r="E980" s="16" t="str">
        <x:f>IF(A980="","",Events!N979)</x:f>
      </x:c>
      <x:c r="F980" s="109" t="str">
        <x:f>IF(OR(A980="",Events!H979=""),"",Events!H979)</x:f>
      </x:c>
      <x:c r="G980" s="109" t="str">
        <x:f>IF(A980="","",IF(Events!I979&lt;&gt;"",Events!I979,IF(Events!S979&lt;&gt;"",Events!S979,"")))</x:f>
      </x:c>
      <x:c r="H980" s="16" t="str">
        <x:f>IF(A980="","",Events!W979)</x:f>
      </x:c>
      <x:c r="I980" s="16" t="str">
        <x:f>IF(A980="","",IF(Events!Y979&lt;&gt;"",Events!Y979,IF(OR(ISNUMBER(SEARCH("education",P980)),ISNUMBER(SEARCH("exam",P980)),ISNUMBER(SEARCH("school",P980))),"Education",IF(OR(ISNUMBER(SEARCH("trade agreement",P980)),ISNUMBER(SEARCH("economic",P980)),ISNUMBER(SEARCH("import",P980))),"Trade &amp; economic policy",IF(OR(ISNUMBER(SEARCH("land acquisition",P980)),ISNUMBER(SEARCH("rehabilitation",P980)),ISNUMBER(SEARCH("displacement",P980)),ISNUMBER(SEARCH("township",P980))),"Land &amp; rehabilitation",IF(OR(ISNUMBER(SEARCH("forest",P980)),ISNUMBER(SEARCH("environment",P980)),ISNUMBER(SEARCH("ecological",P980)),ISNUMBER(SEARCH("biodiversity",P980)),ISNUMBER(SEARCH("green cover",P980))),"Environment",IF(OR(ISNUMBER(SEARCH("irrigation",P980)),ISNUMBER(SEARCH("water",P980)),ISNUMBER(SEARCH("crop",P980)),ISNUMBER(SEARCH("farmer",P980)),ISNUMBER(SEARCH("agriculture",P980))),"Agriculture &amp; water",IF(OR(ISNUMBER(SEARCH("health",P980)),ISNUMBER(SEARCH("hospital",P980)),ISNUMBER(SEARCH("medicine",P980))),"Public health",IF(OR(ISNUMBER(SEARCH("employee",P980)),ISNUMBER(SEARCH("labour",P980)),ISNUMBER(SEARCH("worker",P980)),ISNUMBER(SEARCH("salary",P980))),"Labour &amp; employment",IF(OR(ISNUMBER(SEARCH("rti",P980)),ISNUMBER(SEARCH("transparency",P980)),ISNUMBER(SEARCH("corruption",P980)),ISNUMBER(SEARCH("governance",P980))),"Governance &amp; transparency",IF(OR(ISNUMBER(SEARCH("police",P980)),ISNUMBER(SEARCH("detention",P980)),ISNUMBER(SEARCH("civil rights",P980)),ISNUMBER(SEARCH("justice",P980))),"Civil rights &amp; justice",IF(OR(ISNUMBER(SEARCH("road",P980)),ISNUMBER(SEARCH("utility",P980)),ISNUMBER(SEARCH("infrastructure",P980)),ISNUMBER(SEARCH("public service",P980))),"Infrastructure &amp; public services","Other"))))))))))))</x:f>
      </x:c>
      <x:c r="J980" s="16" t="str">
        <x:f>IF(A980="","",IF(OR(ISNUMBER(SEARCH("fatal",Q980)),ISNUMBER(SEARCH("death",Q980)),ISNUMBER(SEARCH("riot",Q980)),ISNUMBER(SEARCH("curfew",Q980)),ISNUMBER(SEARCH("internet shutdown",Q980))),5,MIN(4,1+IF(H980&gt;=7,1,0)+IF(OR(ISNUMBER(SEARCH("hunger strike",Q980)),ISNUMBER(SEARCH("blockade",Q980)),ISNUMBER(SEARCH("strike",Q980)),ISNUMBER(SEARCH("jal satyagraha",Q980)),ISNUMBER(SEARCH("survey",Q980)),ISNUMBER(SEARCH("human chain",Q980)),ISNUMBER(SEARCH("march",Q980))),1,0)+IF(OR(ISNUMBER(SEARCH("fir",Q980)),ISNUMBER(SEARCH("confrontation",Q980)),ISNUMBER(SEARCH("violence",Q980)),ISNUMBER(SEARCH("detention",Q980)),ISNUMBER(SEARCH("arrest",Q980)),ISNUMBER(SEARCH("demolition",Q980)),ISNUMBER(SEARCH("injury",Q980))),1,0)+IF(OR(D980="Ongoing",D980="Unresolved"),1,0))))</x:f>
      </x:c>
      <x:c r="K980" s="16" t="str">
        <x:f>IF(J980="","",IF(J980=1,"Limited",IF(J980=2,"Local",IF(J980=3,"Significant",IF(J980=4,"High","Critical")))))</x:f>
      </x:c>
      <x:c r="L980" s="16" t="str">
        <x:f>IF(A980="","",Events!U979)</x:f>
      </x:c>
      <x:c r="M980" s="16" t="str">
        <x:f>IF(A980="","",Events!V979)</x:f>
      </x:c>
      <x:c r="N980" s="16" t="str">
        <x:f>IF(A980="","",Events!Q979)</x:f>
      </x:c>
      <x:c r="O980" s="16" t="str">
        <x:f>IF(A980="","",Events!R979)</x:f>
      </x:c>
      <x:c r="P980" s="16" t="str">
        <x:f>IF(A980="","",LOWER(Events!B979&amp;" "&amp;Events!D979&amp;" "&amp;Events!K979))</x:f>
      </x:c>
      <x:c r="Q980" s="16" t="str">
        <x:f>IF(A980="","",LOWER(Events!C979&amp;" "&amp;Events!K979&amp;" "&amp;Events!T979))</x:f>
      </x:c>
      <x:c r="R980" s="16" t="str">
        <x:f>IF(A980="","",IF(ISNUMBER(SEARCH("Occurrence verified",E980)),"Occurrence verified",E980))</x:f>
      </x:c>
      <x:c r="S980" s="79" t="str">
        <x:f>IF(A980="","",Events!X979)</x:f>
      </x:c>
      <x:c r="Z980" s="79" t="str">
        <x:f>IF(A980="","",Events!AD979)</x:f>
      </x:c>
      <x:c r="AA980" s="79" t="str">
        <x:f>IF(A980="","",Events!AE979)</x:f>
      </x:c>
    </x:row>
    <x:row r="981">
      <x:c r="A981" s="16" t="str">
        <x:f>IF(Events!A980="","",Events!A980)</x:f>
      </x:c>
      <x:c r="B981" s="16" t="str">
        <x:f>IF(A981="","",Events!B980)</x:f>
      </x:c>
      <x:c r="C981" s="16" t="str">
        <x:f>IF(A981="","",Events!E980)</x:f>
      </x:c>
      <x:c r="D981" s="16" t="str">
        <x:f>IF(A981="","",Events!J980)</x:f>
      </x:c>
      <x:c r="E981" s="16" t="str">
        <x:f>IF(A981="","",Events!N980)</x:f>
      </x:c>
      <x:c r="F981" s="109" t="str">
        <x:f>IF(OR(A981="",Events!H980=""),"",Events!H980)</x:f>
      </x:c>
      <x:c r="G981" s="109" t="str">
        <x:f>IF(A981="","",IF(Events!I980&lt;&gt;"",Events!I980,IF(Events!S980&lt;&gt;"",Events!S980,"")))</x:f>
      </x:c>
      <x:c r="H981" s="16" t="str">
        <x:f>IF(A981="","",Events!W980)</x:f>
      </x:c>
      <x:c r="I981" s="16" t="str">
        <x:f>IF(A981="","",IF(Events!Y980&lt;&gt;"",Events!Y980,IF(OR(ISNUMBER(SEARCH("education",P981)),ISNUMBER(SEARCH("exam",P981)),ISNUMBER(SEARCH("school",P981))),"Education",IF(OR(ISNUMBER(SEARCH("trade agreement",P981)),ISNUMBER(SEARCH("economic",P981)),ISNUMBER(SEARCH("import",P981))),"Trade &amp; economic policy",IF(OR(ISNUMBER(SEARCH("land acquisition",P981)),ISNUMBER(SEARCH("rehabilitation",P981)),ISNUMBER(SEARCH("displacement",P981)),ISNUMBER(SEARCH("township",P981))),"Land &amp; rehabilitation",IF(OR(ISNUMBER(SEARCH("forest",P981)),ISNUMBER(SEARCH("environment",P981)),ISNUMBER(SEARCH("ecological",P981)),ISNUMBER(SEARCH("biodiversity",P981)),ISNUMBER(SEARCH("green cover",P981))),"Environment",IF(OR(ISNUMBER(SEARCH("irrigation",P981)),ISNUMBER(SEARCH("water",P981)),ISNUMBER(SEARCH("crop",P981)),ISNUMBER(SEARCH("farmer",P981)),ISNUMBER(SEARCH("agriculture",P981))),"Agriculture &amp; water",IF(OR(ISNUMBER(SEARCH("health",P981)),ISNUMBER(SEARCH("hospital",P981)),ISNUMBER(SEARCH("medicine",P981))),"Public health",IF(OR(ISNUMBER(SEARCH("employee",P981)),ISNUMBER(SEARCH("labour",P981)),ISNUMBER(SEARCH("worker",P981)),ISNUMBER(SEARCH("salary",P981))),"Labour &amp; employment",IF(OR(ISNUMBER(SEARCH("rti",P981)),ISNUMBER(SEARCH("transparency",P981)),ISNUMBER(SEARCH("corruption",P981)),ISNUMBER(SEARCH("governance",P981))),"Governance &amp; transparency",IF(OR(ISNUMBER(SEARCH("police",P981)),ISNUMBER(SEARCH("detention",P981)),ISNUMBER(SEARCH("civil rights",P981)),ISNUMBER(SEARCH("justice",P981))),"Civil rights &amp; justice",IF(OR(ISNUMBER(SEARCH("road",P981)),ISNUMBER(SEARCH("utility",P981)),ISNUMBER(SEARCH("infrastructure",P981)),ISNUMBER(SEARCH("public service",P981))),"Infrastructure &amp; public services","Other"))))))))))))</x:f>
      </x:c>
      <x:c r="J981" s="16" t="str">
        <x:f>IF(A981="","",IF(OR(ISNUMBER(SEARCH("fatal",Q981)),ISNUMBER(SEARCH("death",Q981)),ISNUMBER(SEARCH("riot",Q981)),ISNUMBER(SEARCH("curfew",Q981)),ISNUMBER(SEARCH("internet shutdown",Q981))),5,MIN(4,1+IF(H981&gt;=7,1,0)+IF(OR(ISNUMBER(SEARCH("hunger strike",Q981)),ISNUMBER(SEARCH("blockade",Q981)),ISNUMBER(SEARCH("strike",Q981)),ISNUMBER(SEARCH("jal satyagraha",Q981)),ISNUMBER(SEARCH("survey",Q981)),ISNUMBER(SEARCH("human chain",Q981)),ISNUMBER(SEARCH("march",Q981))),1,0)+IF(OR(ISNUMBER(SEARCH("fir",Q981)),ISNUMBER(SEARCH("confrontation",Q981)),ISNUMBER(SEARCH("violence",Q981)),ISNUMBER(SEARCH("detention",Q981)),ISNUMBER(SEARCH("arrest",Q981)),ISNUMBER(SEARCH("demolition",Q981)),ISNUMBER(SEARCH("injury",Q981))),1,0)+IF(OR(D981="Ongoing",D981="Unresolved"),1,0))))</x:f>
      </x:c>
      <x:c r="K981" s="16" t="str">
        <x:f>IF(J981="","",IF(J981=1,"Limited",IF(J981=2,"Local",IF(J981=3,"Significant",IF(J981=4,"High","Critical")))))</x:f>
      </x:c>
      <x:c r="L981" s="16" t="str">
        <x:f>IF(A981="","",Events!U980)</x:f>
      </x:c>
      <x:c r="M981" s="16" t="str">
        <x:f>IF(A981="","",Events!V980)</x:f>
      </x:c>
      <x:c r="N981" s="16" t="str">
        <x:f>IF(A981="","",Events!Q980)</x:f>
      </x:c>
      <x:c r="O981" s="16" t="str">
        <x:f>IF(A981="","",Events!R980)</x:f>
      </x:c>
      <x:c r="P981" s="16" t="str">
        <x:f>IF(A981="","",LOWER(Events!B980&amp;" "&amp;Events!D980&amp;" "&amp;Events!K980))</x:f>
      </x:c>
      <x:c r="Q981" s="16" t="str">
        <x:f>IF(A981="","",LOWER(Events!C980&amp;" "&amp;Events!K980&amp;" "&amp;Events!T980))</x:f>
      </x:c>
      <x:c r="R981" s="16" t="str">
        <x:f>IF(A981="","",IF(ISNUMBER(SEARCH("Occurrence verified",E981)),"Occurrence verified",E981))</x:f>
      </x:c>
      <x:c r="S981" s="79" t="str">
        <x:f>IF(A981="","",Events!X980)</x:f>
      </x:c>
      <x:c r="Z981" s="79" t="str">
        <x:f>IF(A981="","",Events!AD980)</x:f>
      </x:c>
      <x:c r="AA981" s="79" t="str">
        <x:f>IF(A981="","",Events!AE980)</x:f>
      </x:c>
    </x:row>
    <x:row r="982">
      <x:c r="A982" s="16" t="str">
        <x:f>IF(Events!A981="","",Events!A981)</x:f>
      </x:c>
      <x:c r="B982" s="16" t="str">
        <x:f>IF(A982="","",Events!B981)</x:f>
      </x:c>
      <x:c r="C982" s="16" t="str">
        <x:f>IF(A982="","",Events!E981)</x:f>
      </x:c>
      <x:c r="D982" s="16" t="str">
        <x:f>IF(A982="","",Events!J981)</x:f>
      </x:c>
      <x:c r="E982" s="16" t="str">
        <x:f>IF(A982="","",Events!N981)</x:f>
      </x:c>
      <x:c r="F982" s="109" t="str">
        <x:f>IF(OR(A982="",Events!H981=""),"",Events!H981)</x:f>
      </x:c>
      <x:c r="G982" s="109" t="str">
        <x:f>IF(A982="","",IF(Events!I981&lt;&gt;"",Events!I981,IF(Events!S981&lt;&gt;"",Events!S981,"")))</x:f>
      </x:c>
      <x:c r="H982" s="16" t="str">
        <x:f>IF(A982="","",Events!W981)</x:f>
      </x:c>
      <x:c r="I982" s="16" t="str">
        <x:f>IF(A982="","",IF(Events!Y981&lt;&gt;"",Events!Y981,IF(OR(ISNUMBER(SEARCH("education",P982)),ISNUMBER(SEARCH("exam",P982)),ISNUMBER(SEARCH("school",P982))),"Education",IF(OR(ISNUMBER(SEARCH("trade agreement",P982)),ISNUMBER(SEARCH("economic",P982)),ISNUMBER(SEARCH("import",P982))),"Trade &amp; economic policy",IF(OR(ISNUMBER(SEARCH("land acquisition",P982)),ISNUMBER(SEARCH("rehabilitation",P982)),ISNUMBER(SEARCH("displacement",P982)),ISNUMBER(SEARCH("township",P982))),"Land &amp; rehabilitation",IF(OR(ISNUMBER(SEARCH("forest",P982)),ISNUMBER(SEARCH("environment",P982)),ISNUMBER(SEARCH("ecological",P982)),ISNUMBER(SEARCH("biodiversity",P982)),ISNUMBER(SEARCH("green cover",P982))),"Environment",IF(OR(ISNUMBER(SEARCH("irrigation",P982)),ISNUMBER(SEARCH("water",P982)),ISNUMBER(SEARCH("crop",P982)),ISNUMBER(SEARCH("farmer",P982)),ISNUMBER(SEARCH("agriculture",P982))),"Agriculture &amp; water",IF(OR(ISNUMBER(SEARCH("health",P982)),ISNUMBER(SEARCH("hospital",P982)),ISNUMBER(SEARCH("medicine",P982))),"Public health",IF(OR(ISNUMBER(SEARCH("employee",P982)),ISNUMBER(SEARCH("labour",P982)),ISNUMBER(SEARCH("worker",P982)),ISNUMBER(SEARCH("salary",P982))),"Labour &amp; employment",IF(OR(ISNUMBER(SEARCH("rti",P982)),ISNUMBER(SEARCH("transparency",P982)),ISNUMBER(SEARCH("corruption",P982)),ISNUMBER(SEARCH("governance",P982))),"Governance &amp; transparency",IF(OR(ISNUMBER(SEARCH("police",P982)),ISNUMBER(SEARCH("detention",P982)),ISNUMBER(SEARCH("civil rights",P982)),ISNUMBER(SEARCH("justice",P982))),"Civil rights &amp; justice",IF(OR(ISNUMBER(SEARCH("road",P982)),ISNUMBER(SEARCH("utility",P982)),ISNUMBER(SEARCH("infrastructure",P982)),ISNUMBER(SEARCH("public service",P982))),"Infrastructure &amp; public services","Other"))))))))))))</x:f>
      </x:c>
      <x:c r="J982" s="16" t="str">
        <x:f>IF(A982="","",IF(OR(ISNUMBER(SEARCH("fatal",Q982)),ISNUMBER(SEARCH("death",Q982)),ISNUMBER(SEARCH("riot",Q982)),ISNUMBER(SEARCH("curfew",Q982)),ISNUMBER(SEARCH("internet shutdown",Q982))),5,MIN(4,1+IF(H982&gt;=7,1,0)+IF(OR(ISNUMBER(SEARCH("hunger strike",Q982)),ISNUMBER(SEARCH("blockade",Q982)),ISNUMBER(SEARCH("strike",Q982)),ISNUMBER(SEARCH("jal satyagraha",Q982)),ISNUMBER(SEARCH("survey",Q982)),ISNUMBER(SEARCH("human chain",Q982)),ISNUMBER(SEARCH("march",Q982))),1,0)+IF(OR(ISNUMBER(SEARCH("fir",Q982)),ISNUMBER(SEARCH("confrontation",Q982)),ISNUMBER(SEARCH("violence",Q982)),ISNUMBER(SEARCH("detention",Q982)),ISNUMBER(SEARCH("arrest",Q982)),ISNUMBER(SEARCH("demolition",Q982)),ISNUMBER(SEARCH("injury",Q982))),1,0)+IF(OR(D982="Ongoing",D982="Unresolved"),1,0))))</x:f>
      </x:c>
      <x:c r="K982" s="16" t="str">
        <x:f>IF(J982="","",IF(J982=1,"Limited",IF(J982=2,"Local",IF(J982=3,"Significant",IF(J982=4,"High","Critical")))))</x:f>
      </x:c>
      <x:c r="L982" s="16" t="str">
        <x:f>IF(A982="","",Events!U981)</x:f>
      </x:c>
      <x:c r="M982" s="16" t="str">
        <x:f>IF(A982="","",Events!V981)</x:f>
      </x:c>
      <x:c r="N982" s="16" t="str">
        <x:f>IF(A982="","",Events!Q981)</x:f>
      </x:c>
      <x:c r="O982" s="16" t="str">
        <x:f>IF(A982="","",Events!R981)</x:f>
      </x:c>
      <x:c r="P982" s="16" t="str">
        <x:f>IF(A982="","",LOWER(Events!B981&amp;" "&amp;Events!D981&amp;" "&amp;Events!K981))</x:f>
      </x:c>
      <x:c r="Q982" s="16" t="str">
        <x:f>IF(A982="","",LOWER(Events!C981&amp;" "&amp;Events!K981&amp;" "&amp;Events!T981))</x:f>
      </x:c>
      <x:c r="R982" s="16" t="str">
        <x:f>IF(A982="","",IF(ISNUMBER(SEARCH("Occurrence verified",E982)),"Occurrence verified",E982))</x:f>
      </x:c>
      <x:c r="S982" s="79" t="str">
        <x:f>IF(A982="","",Events!X981)</x:f>
      </x:c>
      <x:c r="Z982" s="79" t="str">
        <x:f>IF(A982="","",Events!AD981)</x:f>
      </x:c>
      <x:c r="AA982" s="79" t="str">
        <x:f>IF(A982="","",Events!AE981)</x:f>
      </x:c>
    </x:row>
    <x:row r="983">
      <x:c r="A983" s="16" t="str">
        <x:f>IF(Events!A982="","",Events!A982)</x:f>
      </x:c>
      <x:c r="B983" s="16" t="str">
        <x:f>IF(A983="","",Events!B982)</x:f>
      </x:c>
      <x:c r="C983" s="16" t="str">
        <x:f>IF(A983="","",Events!E982)</x:f>
      </x:c>
      <x:c r="D983" s="16" t="str">
        <x:f>IF(A983="","",Events!J982)</x:f>
      </x:c>
      <x:c r="E983" s="16" t="str">
        <x:f>IF(A983="","",Events!N982)</x:f>
      </x:c>
      <x:c r="F983" s="109" t="str">
        <x:f>IF(OR(A983="",Events!H982=""),"",Events!H982)</x:f>
      </x:c>
      <x:c r="G983" s="109" t="str">
        <x:f>IF(A983="","",IF(Events!I982&lt;&gt;"",Events!I982,IF(Events!S982&lt;&gt;"",Events!S982,"")))</x:f>
      </x:c>
      <x:c r="H983" s="16" t="str">
        <x:f>IF(A983="","",Events!W982)</x:f>
      </x:c>
      <x:c r="I983" s="16" t="str">
        <x:f>IF(A983="","",IF(Events!Y982&lt;&gt;"",Events!Y982,IF(OR(ISNUMBER(SEARCH("education",P983)),ISNUMBER(SEARCH("exam",P983)),ISNUMBER(SEARCH("school",P983))),"Education",IF(OR(ISNUMBER(SEARCH("trade agreement",P983)),ISNUMBER(SEARCH("economic",P983)),ISNUMBER(SEARCH("import",P983))),"Trade &amp; economic policy",IF(OR(ISNUMBER(SEARCH("land acquisition",P983)),ISNUMBER(SEARCH("rehabilitation",P983)),ISNUMBER(SEARCH("displacement",P983)),ISNUMBER(SEARCH("township",P983))),"Land &amp; rehabilitation",IF(OR(ISNUMBER(SEARCH("forest",P983)),ISNUMBER(SEARCH("environment",P983)),ISNUMBER(SEARCH("ecological",P983)),ISNUMBER(SEARCH("biodiversity",P983)),ISNUMBER(SEARCH("green cover",P983))),"Environment",IF(OR(ISNUMBER(SEARCH("irrigation",P983)),ISNUMBER(SEARCH("water",P983)),ISNUMBER(SEARCH("crop",P983)),ISNUMBER(SEARCH("farmer",P983)),ISNUMBER(SEARCH("agriculture",P983))),"Agriculture &amp; water",IF(OR(ISNUMBER(SEARCH("health",P983)),ISNUMBER(SEARCH("hospital",P983)),ISNUMBER(SEARCH("medicine",P983))),"Public health",IF(OR(ISNUMBER(SEARCH("employee",P983)),ISNUMBER(SEARCH("labour",P983)),ISNUMBER(SEARCH("worker",P983)),ISNUMBER(SEARCH("salary",P983))),"Labour &amp; employment",IF(OR(ISNUMBER(SEARCH("rti",P983)),ISNUMBER(SEARCH("transparency",P983)),ISNUMBER(SEARCH("corruption",P983)),ISNUMBER(SEARCH("governance",P983))),"Governance &amp; transparency",IF(OR(ISNUMBER(SEARCH("police",P983)),ISNUMBER(SEARCH("detention",P983)),ISNUMBER(SEARCH("civil rights",P983)),ISNUMBER(SEARCH("justice",P983))),"Civil rights &amp; justice",IF(OR(ISNUMBER(SEARCH("road",P983)),ISNUMBER(SEARCH("utility",P983)),ISNUMBER(SEARCH("infrastructure",P983)),ISNUMBER(SEARCH("public service",P983))),"Infrastructure &amp; public services","Other"))))))))))))</x:f>
      </x:c>
      <x:c r="J983" s="16" t="str">
        <x:f>IF(A983="","",IF(OR(ISNUMBER(SEARCH("fatal",Q983)),ISNUMBER(SEARCH("death",Q983)),ISNUMBER(SEARCH("riot",Q983)),ISNUMBER(SEARCH("curfew",Q983)),ISNUMBER(SEARCH("internet shutdown",Q983))),5,MIN(4,1+IF(H983&gt;=7,1,0)+IF(OR(ISNUMBER(SEARCH("hunger strike",Q983)),ISNUMBER(SEARCH("blockade",Q983)),ISNUMBER(SEARCH("strike",Q983)),ISNUMBER(SEARCH("jal satyagraha",Q983)),ISNUMBER(SEARCH("survey",Q983)),ISNUMBER(SEARCH("human chain",Q983)),ISNUMBER(SEARCH("march",Q983))),1,0)+IF(OR(ISNUMBER(SEARCH("fir",Q983)),ISNUMBER(SEARCH("confrontation",Q983)),ISNUMBER(SEARCH("violence",Q983)),ISNUMBER(SEARCH("detention",Q983)),ISNUMBER(SEARCH("arrest",Q983)),ISNUMBER(SEARCH("demolition",Q983)),ISNUMBER(SEARCH("injury",Q983))),1,0)+IF(OR(D983="Ongoing",D983="Unresolved"),1,0))))</x:f>
      </x:c>
      <x:c r="K983" s="16" t="str">
        <x:f>IF(J983="","",IF(J983=1,"Limited",IF(J983=2,"Local",IF(J983=3,"Significant",IF(J983=4,"High","Critical")))))</x:f>
      </x:c>
      <x:c r="L983" s="16" t="str">
        <x:f>IF(A983="","",Events!U982)</x:f>
      </x:c>
      <x:c r="M983" s="16" t="str">
        <x:f>IF(A983="","",Events!V982)</x:f>
      </x:c>
      <x:c r="N983" s="16" t="str">
        <x:f>IF(A983="","",Events!Q982)</x:f>
      </x:c>
      <x:c r="O983" s="16" t="str">
        <x:f>IF(A983="","",Events!R982)</x:f>
      </x:c>
      <x:c r="P983" s="16" t="str">
        <x:f>IF(A983="","",LOWER(Events!B982&amp;" "&amp;Events!D982&amp;" "&amp;Events!K982))</x:f>
      </x:c>
      <x:c r="Q983" s="16" t="str">
        <x:f>IF(A983="","",LOWER(Events!C982&amp;" "&amp;Events!K982&amp;" "&amp;Events!T982))</x:f>
      </x:c>
      <x:c r="R983" s="16" t="str">
        <x:f>IF(A983="","",IF(ISNUMBER(SEARCH("Occurrence verified",E983)),"Occurrence verified",E983))</x:f>
      </x:c>
      <x:c r="S983" s="79" t="str">
        <x:f>IF(A983="","",Events!X982)</x:f>
      </x:c>
      <x:c r="Z983" s="79" t="str">
        <x:f>IF(A983="","",Events!AD982)</x:f>
      </x:c>
      <x:c r="AA983" s="79" t="str">
        <x:f>IF(A983="","",Events!AE982)</x:f>
      </x:c>
    </x:row>
    <x:row r="984">
      <x:c r="A984" s="16" t="str">
        <x:f>IF(Events!A983="","",Events!A983)</x:f>
      </x:c>
      <x:c r="B984" s="16" t="str">
        <x:f>IF(A984="","",Events!B983)</x:f>
      </x:c>
      <x:c r="C984" s="16" t="str">
        <x:f>IF(A984="","",Events!E983)</x:f>
      </x:c>
      <x:c r="D984" s="16" t="str">
        <x:f>IF(A984="","",Events!J983)</x:f>
      </x:c>
      <x:c r="E984" s="16" t="str">
        <x:f>IF(A984="","",Events!N983)</x:f>
      </x:c>
      <x:c r="F984" s="109" t="str">
        <x:f>IF(OR(A984="",Events!H983=""),"",Events!H983)</x:f>
      </x:c>
      <x:c r="G984" s="109" t="str">
        <x:f>IF(A984="","",IF(Events!I983&lt;&gt;"",Events!I983,IF(Events!S983&lt;&gt;"",Events!S983,"")))</x:f>
      </x:c>
      <x:c r="H984" s="16" t="str">
        <x:f>IF(A984="","",Events!W983)</x:f>
      </x:c>
      <x:c r="I984" s="16" t="str">
        <x:f>IF(A984="","",IF(Events!Y983&lt;&gt;"",Events!Y983,IF(OR(ISNUMBER(SEARCH("education",P984)),ISNUMBER(SEARCH("exam",P984)),ISNUMBER(SEARCH("school",P984))),"Education",IF(OR(ISNUMBER(SEARCH("trade agreement",P984)),ISNUMBER(SEARCH("economic",P984)),ISNUMBER(SEARCH("import",P984))),"Trade &amp; economic policy",IF(OR(ISNUMBER(SEARCH("land acquisition",P984)),ISNUMBER(SEARCH("rehabilitation",P984)),ISNUMBER(SEARCH("displacement",P984)),ISNUMBER(SEARCH("township",P984))),"Land &amp; rehabilitation",IF(OR(ISNUMBER(SEARCH("forest",P984)),ISNUMBER(SEARCH("environment",P984)),ISNUMBER(SEARCH("ecological",P984)),ISNUMBER(SEARCH("biodiversity",P984)),ISNUMBER(SEARCH("green cover",P984))),"Environment",IF(OR(ISNUMBER(SEARCH("irrigation",P984)),ISNUMBER(SEARCH("water",P984)),ISNUMBER(SEARCH("crop",P984)),ISNUMBER(SEARCH("farmer",P984)),ISNUMBER(SEARCH("agriculture",P984))),"Agriculture &amp; water",IF(OR(ISNUMBER(SEARCH("health",P984)),ISNUMBER(SEARCH("hospital",P984)),ISNUMBER(SEARCH("medicine",P984))),"Public health",IF(OR(ISNUMBER(SEARCH("employee",P984)),ISNUMBER(SEARCH("labour",P984)),ISNUMBER(SEARCH("worker",P984)),ISNUMBER(SEARCH("salary",P984))),"Labour &amp; employment",IF(OR(ISNUMBER(SEARCH("rti",P984)),ISNUMBER(SEARCH("transparency",P984)),ISNUMBER(SEARCH("corruption",P984)),ISNUMBER(SEARCH("governance",P984))),"Governance &amp; transparency",IF(OR(ISNUMBER(SEARCH("police",P984)),ISNUMBER(SEARCH("detention",P984)),ISNUMBER(SEARCH("civil rights",P984)),ISNUMBER(SEARCH("justice",P984))),"Civil rights &amp; justice",IF(OR(ISNUMBER(SEARCH("road",P984)),ISNUMBER(SEARCH("utility",P984)),ISNUMBER(SEARCH("infrastructure",P984)),ISNUMBER(SEARCH("public service",P984))),"Infrastructure &amp; public services","Other"))))))))))))</x:f>
      </x:c>
      <x:c r="J984" s="16" t="str">
        <x:f>IF(A984="","",IF(OR(ISNUMBER(SEARCH("fatal",Q984)),ISNUMBER(SEARCH("death",Q984)),ISNUMBER(SEARCH("riot",Q984)),ISNUMBER(SEARCH("curfew",Q984)),ISNUMBER(SEARCH("internet shutdown",Q984))),5,MIN(4,1+IF(H984&gt;=7,1,0)+IF(OR(ISNUMBER(SEARCH("hunger strike",Q984)),ISNUMBER(SEARCH("blockade",Q984)),ISNUMBER(SEARCH("strike",Q984)),ISNUMBER(SEARCH("jal satyagraha",Q984)),ISNUMBER(SEARCH("survey",Q984)),ISNUMBER(SEARCH("human chain",Q984)),ISNUMBER(SEARCH("march",Q984))),1,0)+IF(OR(ISNUMBER(SEARCH("fir",Q984)),ISNUMBER(SEARCH("confrontation",Q984)),ISNUMBER(SEARCH("violence",Q984)),ISNUMBER(SEARCH("detention",Q984)),ISNUMBER(SEARCH("arrest",Q984)),ISNUMBER(SEARCH("demolition",Q984)),ISNUMBER(SEARCH("injury",Q984))),1,0)+IF(OR(D984="Ongoing",D984="Unresolved"),1,0))))</x:f>
      </x:c>
      <x:c r="K984" s="16" t="str">
        <x:f>IF(J984="","",IF(J984=1,"Limited",IF(J984=2,"Local",IF(J984=3,"Significant",IF(J984=4,"High","Critical")))))</x:f>
      </x:c>
      <x:c r="L984" s="16" t="str">
        <x:f>IF(A984="","",Events!U983)</x:f>
      </x:c>
      <x:c r="M984" s="16" t="str">
        <x:f>IF(A984="","",Events!V983)</x:f>
      </x:c>
      <x:c r="N984" s="16" t="str">
        <x:f>IF(A984="","",Events!Q983)</x:f>
      </x:c>
      <x:c r="O984" s="16" t="str">
        <x:f>IF(A984="","",Events!R983)</x:f>
      </x:c>
      <x:c r="P984" s="16" t="str">
        <x:f>IF(A984="","",LOWER(Events!B983&amp;" "&amp;Events!D983&amp;" "&amp;Events!K983))</x:f>
      </x:c>
      <x:c r="Q984" s="16" t="str">
        <x:f>IF(A984="","",LOWER(Events!C983&amp;" "&amp;Events!K983&amp;" "&amp;Events!T983))</x:f>
      </x:c>
      <x:c r="R984" s="16" t="str">
        <x:f>IF(A984="","",IF(ISNUMBER(SEARCH("Occurrence verified",E984)),"Occurrence verified",E984))</x:f>
      </x:c>
      <x:c r="S984" s="79" t="str">
        <x:f>IF(A984="","",Events!X983)</x:f>
      </x:c>
      <x:c r="Z984" s="79" t="str">
        <x:f>IF(A984="","",Events!AD983)</x:f>
      </x:c>
      <x:c r="AA984" s="79" t="str">
        <x:f>IF(A984="","",Events!AE983)</x:f>
      </x:c>
    </x:row>
    <x:row r="985">
      <x:c r="A985" s="16" t="str">
        <x:f>IF(Events!A984="","",Events!A984)</x:f>
      </x:c>
      <x:c r="B985" s="16" t="str">
        <x:f>IF(A985="","",Events!B984)</x:f>
      </x:c>
      <x:c r="C985" s="16" t="str">
        <x:f>IF(A985="","",Events!E984)</x:f>
      </x:c>
      <x:c r="D985" s="16" t="str">
        <x:f>IF(A985="","",Events!J984)</x:f>
      </x:c>
      <x:c r="E985" s="16" t="str">
        <x:f>IF(A985="","",Events!N984)</x:f>
      </x:c>
      <x:c r="F985" s="109" t="str">
        <x:f>IF(OR(A985="",Events!H984=""),"",Events!H984)</x:f>
      </x:c>
      <x:c r="G985" s="109" t="str">
        <x:f>IF(A985="","",IF(Events!I984&lt;&gt;"",Events!I984,IF(Events!S984&lt;&gt;"",Events!S984,"")))</x:f>
      </x:c>
      <x:c r="H985" s="16" t="str">
        <x:f>IF(A985="","",Events!W984)</x:f>
      </x:c>
      <x:c r="I985" s="16" t="str">
        <x:f>IF(A985="","",IF(Events!Y984&lt;&gt;"",Events!Y984,IF(OR(ISNUMBER(SEARCH("education",P985)),ISNUMBER(SEARCH("exam",P985)),ISNUMBER(SEARCH("school",P985))),"Education",IF(OR(ISNUMBER(SEARCH("trade agreement",P985)),ISNUMBER(SEARCH("economic",P985)),ISNUMBER(SEARCH("import",P985))),"Trade &amp; economic policy",IF(OR(ISNUMBER(SEARCH("land acquisition",P985)),ISNUMBER(SEARCH("rehabilitation",P985)),ISNUMBER(SEARCH("displacement",P985)),ISNUMBER(SEARCH("township",P985))),"Land &amp; rehabilitation",IF(OR(ISNUMBER(SEARCH("forest",P985)),ISNUMBER(SEARCH("environment",P985)),ISNUMBER(SEARCH("ecological",P985)),ISNUMBER(SEARCH("biodiversity",P985)),ISNUMBER(SEARCH("green cover",P985))),"Environment",IF(OR(ISNUMBER(SEARCH("irrigation",P985)),ISNUMBER(SEARCH("water",P985)),ISNUMBER(SEARCH("crop",P985)),ISNUMBER(SEARCH("farmer",P985)),ISNUMBER(SEARCH("agriculture",P985))),"Agriculture &amp; water",IF(OR(ISNUMBER(SEARCH("health",P985)),ISNUMBER(SEARCH("hospital",P985)),ISNUMBER(SEARCH("medicine",P985))),"Public health",IF(OR(ISNUMBER(SEARCH("employee",P985)),ISNUMBER(SEARCH("labour",P985)),ISNUMBER(SEARCH("worker",P985)),ISNUMBER(SEARCH("salary",P985))),"Labour &amp; employment",IF(OR(ISNUMBER(SEARCH("rti",P985)),ISNUMBER(SEARCH("transparency",P985)),ISNUMBER(SEARCH("corruption",P985)),ISNUMBER(SEARCH("governance",P985))),"Governance &amp; transparency",IF(OR(ISNUMBER(SEARCH("police",P985)),ISNUMBER(SEARCH("detention",P985)),ISNUMBER(SEARCH("civil rights",P985)),ISNUMBER(SEARCH("justice",P985))),"Civil rights &amp; justice",IF(OR(ISNUMBER(SEARCH("road",P985)),ISNUMBER(SEARCH("utility",P985)),ISNUMBER(SEARCH("infrastructure",P985)),ISNUMBER(SEARCH("public service",P985))),"Infrastructure &amp; public services","Other"))))))))))))</x:f>
      </x:c>
      <x:c r="J985" s="16" t="str">
        <x:f>IF(A985="","",IF(OR(ISNUMBER(SEARCH("fatal",Q985)),ISNUMBER(SEARCH("death",Q985)),ISNUMBER(SEARCH("riot",Q985)),ISNUMBER(SEARCH("curfew",Q985)),ISNUMBER(SEARCH("internet shutdown",Q985))),5,MIN(4,1+IF(H985&gt;=7,1,0)+IF(OR(ISNUMBER(SEARCH("hunger strike",Q985)),ISNUMBER(SEARCH("blockade",Q985)),ISNUMBER(SEARCH("strike",Q985)),ISNUMBER(SEARCH("jal satyagraha",Q985)),ISNUMBER(SEARCH("survey",Q985)),ISNUMBER(SEARCH("human chain",Q985)),ISNUMBER(SEARCH("march",Q985))),1,0)+IF(OR(ISNUMBER(SEARCH("fir",Q985)),ISNUMBER(SEARCH("confrontation",Q985)),ISNUMBER(SEARCH("violence",Q985)),ISNUMBER(SEARCH("detention",Q985)),ISNUMBER(SEARCH("arrest",Q985)),ISNUMBER(SEARCH("demolition",Q985)),ISNUMBER(SEARCH("injury",Q985))),1,0)+IF(OR(D985="Ongoing",D985="Unresolved"),1,0))))</x:f>
      </x:c>
      <x:c r="K985" s="16" t="str">
        <x:f>IF(J985="","",IF(J985=1,"Limited",IF(J985=2,"Local",IF(J985=3,"Significant",IF(J985=4,"High","Critical")))))</x:f>
      </x:c>
      <x:c r="L985" s="16" t="str">
        <x:f>IF(A985="","",Events!U984)</x:f>
      </x:c>
      <x:c r="M985" s="16" t="str">
        <x:f>IF(A985="","",Events!V984)</x:f>
      </x:c>
      <x:c r="N985" s="16" t="str">
        <x:f>IF(A985="","",Events!Q984)</x:f>
      </x:c>
      <x:c r="O985" s="16" t="str">
        <x:f>IF(A985="","",Events!R984)</x:f>
      </x:c>
      <x:c r="P985" s="16" t="str">
        <x:f>IF(A985="","",LOWER(Events!B984&amp;" "&amp;Events!D984&amp;" "&amp;Events!K984))</x:f>
      </x:c>
      <x:c r="Q985" s="16" t="str">
        <x:f>IF(A985="","",LOWER(Events!C984&amp;" "&amp;Events!K984&amp;" "&amp;Events!T984))</x:f>
      </x:c>
      <x:c r="R985" s="16" t="str">
        <x:f>IF(A985="","",IF(ISNUMBER(SEARCH("Occurrence verified",E985)),"Occurrence verified",E985))</x:f>
      </x:c>
      <x:c r="S985" s="79" t="str">
        <x:f>IF(A985="","",Events!X984)</x:f>
      </x:c>
      <x:c r="Z985" s="79" t="str">
        <x:f>IF(A985="","",Events!AD984)</x:f>
      </x:c>
      <x:c r="AA985" s="79" t="str">
        <x:f>IF(A985="","",Events!AE984)</x:f>
      </x:c>
    </x:row>
    <x:row r="986">
      <x:c r="A986" s="16" t="str">
        <x:f>IF(Events!A985="","",Events!A985)</x:f>
      </x:c>
      <x:c r="B986" s="16" t="str">
        <x:f>IF(A986="","",Events!B985)</x:f>
      </x:c>
      <x:c r="C986" s="16" t="str">
        <x:f>IF(A986="","",Events!E985)</x:f>
      </x:c>
      <x:c r="D986" s="16" t="str">
        <x:f>IF(A986="","",Events!J985)</x:f>
      </x:c>
      <x:c r="E986" s="16" t="str">
        <x:f>IF(A986="","",Events!N985)</x:f>
      </x:c>
      <x:c r="F986" s="109" t="str">
        <x:f>IF(OR(A986="",Events!H985=""),"",Events!H985)</x:f>
      </x:c>
      <x:c r="G986" s="109" t="str">
        <x:f>IF(A986="","",IF(Events!I985&lt;&gt;"",Events!I985,IF(Events!S985&lt;&gt;"",Events!S985,"")))</x:f>
      </x:c>
      <x:c r="H986" s="16" t="str">
        <x:f>IF(A986="","",Events!W985)</x:f>
      </x:c>
      <x:c r="I986" s="16" t="str">
        <x:f>IF(A986="","",IF(Events!Y985&lt;&gt;"",Events!Y985,IF(OR(ISNUMBER(SEARCH("education",P986)),ISNUMBER(SEARCH("exam",P986)),ISNUMBER(SEARCH("school",P986))),"Education",IF(OR(ISNUMBER(SEARCH("trade agreement",P986)),ISNUMBER(SEARCH("economic",P986)),ISNUMBER(SEARCH("import",P986))),"Trade &amp; economic policy",IF(OR(ISNUMBER(SEARCH("land acquisition",P986)),ISNUMBER(SEARCH("rehabilitation",P986)),ISNUMBER(SEARCH("displacement",P986)),ISNUMBER(SEARCH("township",P986))),"Land &amp; rehabilitation",IF(OR(ISNUMBER(SEARCH("forest",P986)),ISNUMBER(SEARCH("environment",P986)),ISNUMBER(SEARCH("ecological",P986)),ISNUMBER(SEARCH("biodiversity",P986)),ISNUMBER(SEARCH("green cover",P986))),"Environment",IF(OR(ISNUMBER(SEARCH("irrigation",P986)),ISNUMBER(SEARCH("water",P986)),ISNUMBER(SEARCH("crop",P986)),ISNUMBER(SEARCH("farmer",P986)),ISNUMBER(SEARCH("agriculture",P986))),"Agriculture &amp; water",IF(OR(ISNUMBER(SEARCH("health",P986)),ISNUMBER(SEARCH("hospital",P986)),ISNUMBER(SEARCH("medicine",P986))),"Public health",IF(OR(ISNUMBER(SEARCH("employee",P986)),ISNUMBER(SEARCH("labour",P986)),ISNUMBER(SEARCH("worker",P986)),ISNUMBER(SEARCH("salary",P986))),"Labour &amp; employment",IF(OR(ISNUMBER(SEARCH("rti",P986)),ISNUMBER(SEARCH("transparency",P986)),ISNUMBER(SEARCH("corruption",P986)),ISNUMBER(SEARCH("governance",P986))),"Governance &amp; transparency",IF(OR(ISNUMBER(SEARCH("police",P986)),ISNUMBER(SEARCH("detention",P986)),ISNUMBER(SEARCH("civil rights",P986)),ISNUMBER(SEARCH("justice",P986))),"Civil rights &amp; justice",IF(OR(ISNUMBER(SEARCH("road",P986)),ISNUMBER(SEARCH("utility",P986)),ISNUMBER(SEARCH("infrastructure",P986)),ISNUMBER(SEARCH("public service",P986))),"Infrastructure &amp; public services","Other"))))))))))))</x:f>
      </x:c>
      <x:c r="J986" s="16" t="str">
        <x:f>IF(A986="","",IF(OR(ISNUMBER(SEARCH("fatal",Q986)),ISNUMBER(SEARCH("death",Q986)),ISNUMBER(SEARCH("riot",Q986)),ISNUMBER(SEARCH("curfew",Q986)),ISNUMBER(SEARCH("internet shutdown",Q986))),5,MIN(4,1+IF(H986&gt;=7,1,0)+IF(OR(ISNUMBER(SEARCH("hunger strike",Q986)),ISNUMBER(SEARCH("blockade",Q986)),ISNUMBER(SEARCH("strike",Q986)),ISNUMBER(SEARCH("jal satyagraha",Q986)),ISNUMBER(SEARCH("survey",Q986)),ISNUMBER(SEARCH("human chain",Q986)),ISNUMBER(SEARCH("march",Q986))),1,0)+IF(OR(ISNUMBER(SEARCH("fir",Q986)),ISNUMBER(SEARCH("confrontation",Q986)),ISNUMBER(SEARCH("violence",Q986)),ISNUMBER(SEARCH("detention",Q986)),ISNUMBER(SEARCH("arrest",Q986)),ISNUMBER(SEARCH("demolition",Q986)),ISNUMBER(SEARCH("injury",Q986))),1,0)+IF(OR(D986="Ongoing",D986="Unresolved"),1,0))))</x:f>
      </x:c>
      <x:c r="K986" s="16" t="str">
        <x:f>IF(J986="","",IF(J986=1,"Limited",IF(J986=2,"Local",IF(J986=3,"Significant",IF(J986=4,"High","Critical")))))</x:f>
      </x:c>
      <x:c r="L986" s="16" t="str">
        <x:f>IF(A986="","",Events!U985)</x:f>
      </x:c>
      <x:c r="M986" s="16" t="str">
        <x:f>IF(A986="","",Events!V985)</x:f>
      </x:c>
      <x:c r="N986" s="16" t="str">
        <x:f>IF(A986="","",Events!Q985)</x:f>
      </x:c>
      <x:c r="O986" s="16" t="str">
        <x:f>IF(A986="","",Events!R985)</x:f>
      </x:c>
      <x:c r="P986" s="16" t="str">
        <x:f>IF(A986="","",LOWER(Events!B985&amp;" "&amp;Events!D985&amp;" "&amp;Events!K985))</x:f>
      </x:c>
      <x:c r="Q986" s="16" t="str">
        <x:f>IF(A986="","",LOWER(Events!C985&amp;" "&amp;Events!K985&amp;" "&amp;Events!T985))</x:f>
      </x:c>
      <x:c r="R986" s="16" t="str">
        <x:f>IF(A986="","",IF(ISNUMBER(SEARCH("Occurrence verified",E986)),"Occurrence verified",E986))</x:f>
      </x:c>
      <x:c r="S986" s="79" t="str">
        <x:f>IF(A986="","",Events!X985)</x:f>
      </x:c>
      <x:c r="Z986" s="79" t="str">
        <x:f>IF(A986="","",Events!AD985)</x:f>
      </x:c>
      <x:c r="AA986" s="79" t="str">
        <x:f>IF(A986="","",Events!AE985)</x:f>
      </x:c>
    </x:row>
    <x:row r="987">
      <x:c r="A987" s="16" t="str">
        <x:f>IF(Events!A986="","",Events!A986)</x:f>
      </x:c>
      <x:c r="B987" s="16" t="str">
        <x:f>IF(A987="","",Events!B986)</x:f>
      </x:c>
      <x:c r="C987" s="16" t="str">
        <x:f>IF(A987="","",Events!E986)</x:f>
      </x:c>
      <x:c r="D987" s="16" t="str">
        <x:f>IF(A987="","",Events!J986)</x:f>
      </x:c>
      <x:c r="E987" s="16" t="str">
        <x:f>IF(A987="","",Events!N986)</x:f>
      </x:c>
      <x:c r="F987" s="109" t="str">
        <x:f>IF(OR(A987="",Events!H986=""),"",Events!H986)</x:f>
      </x:c>
      <x:c r="G987" s="109" t="str">
        <x:f>IF(A987="","",IF(Events!I986&lt;&gt;"",Events!I986,IF(Events!S986&lt;&gt;"",Events!S986,"")))</x:f>
      </x:c>
      <x:c r="H987" s="16" t="str">
        <x:f>IF(A987="","",Events!W986)</x:f>
      </x:c>
      <x:c r="I987" s="16" t="str">
        <x:f>IF(A987="","",IF(Events!Y986&lt;&gt;"",Events!Y986,IF(OR(ISNUMBER(SEARCH("education",P987)),ISNUMBER(SEARCH("exam",P987)),ISNUMBER(SEARCH("school",P987))),"Education",IF(OR(ISNUMBER(SEARCH("trade agreement",P987)),ISNUMBER(SEARCH("economic",P987)),ISNUMBER(SEARCH("import",P987))),"Trade &amp; economic policy",IF(OR(ISNUMBER(SEARCH("land acquisition",P987)),ISNUMBER(SEARCH("rehabilitation",P987)),ISNUMBER(SEARCH("displacement",P987)),ISNUMBER(SEARCH("township",P987))),"Land &amp; rehabilitation",IF(OR(ISNUMBER(SEARCH("forest",P987)),ISNUMBER(SEARCH("environment",P987)),ISNUMBER(SEARCH("ecological",P987)),ISNUMBER(SEARCH("biodiversity",P987)),ISNUMBER(SEARCH("green cover",P987))),"Environment",IF(OR(ISNUMBER(SEARCH("irrigation",P987)),ISNUMBER(SEARCH("water",P987)),ISNUMBER(SEARCH("crop",P987)),ISNUMBER(SEARCH("farmer",P987)),ISNUMBER(SEARCH("agriculture",P987))),"Agriculture &amp; water",IF(OR(ISNUMBER(SEARCH("health",P987)),ISNUMBER(SEARCH("hospital",P987)),ISNUMBER(SEARCH("medicine",P987))),"Public health",IF(OR(ISNUMBER(SEARCH("employee",P987)),ISNUMBER(SEARCH("labour",P987)),ISNUMBER(SEARCH("worker",P987)),ISNUMBER(SEARCH("salary",P987))),"Labour &amp; employment",IF(OR(ISNUMBER(SEARCH("rti",P987)),ISNUMBER(SEARCH("transparency",P987)),ISNUMBER(SEARCH("corruption",P987)),ISNUMBER(SEARCH("governance",P987))),"Governance &amp; transparency",IF(OR(ISNUMBER(SEARCH("police",P987)),ISNUMBER(SEARCH("detention",P987)),ISNUMBER(SEARCH("civil rights",P987)),ISNUMBER(SEARCH("justice",P987))),"Civil rights &amp; justice",IF(OR(ISNUMBER(SEARCH("road",P987)),ISNUMBER(SEARCH("utility",P987)),ISNUMBER(SEARCH("infrastructure",P987)),ISNUMBER(SEARCH("public service",P987))),"Infrastructure &amp; public services","Other"))))))))))))</x:f>
      </x:c>
      <x:c r="J987" s="16" t="str">
        <x:f>IF(A987="","",IF(OR(ISNUMBER(SEARCH("fatal",Q987)),ISNUMBER(SEARCH("death",Q987)),ISNUMBER(SEARCH("riot",Q987)),ISNUMBER(SEARCH("curfew",Q987)),ISNUMBER(SEARCH("internet shutdown",Q987))),5,MIN(4,1+IF(H987&gt;=7,1,0)+IF(OR(ISNUMBER(SEARCH("hunger strike",Q987)),ISNUMBER(SEARCH("blockade",Q987)),ISNUMBER(SEARCH("strike",Q987)),ISNUMBER(SEARCH("jal satyagraha",Q987)),ISNUMBER(SEARCH("survey",Q987)),ISNUMBER(SEARCH("human chain",Q987)),ISNUMBER(SEARCH("march",Q987))),1,0)+IF(OR(ISNUMBER(SEARCH("fir",Q987)),ISNUMBER(SEARCH("confrontation",Q987)),ISNUMBER(SEARCH("violence",Q987)),ISNUMBER(SEARCH("detention",Q987)),ISNUMBER(SEARCH("arrest",Q987)),ISNUMBER(SEARCH("demolition",Q987)),ISNUMBER(SEARCH("injury",Q987))),1,0)+IF(OR(D987="Ongoing",D987="Unresolved"),1,0))))</x:f>
      </x:c>
      <x:c r="K987" s="16" t="str">
        <x:f>IF(J987="","",IF(J987=1,"Limited",IF(J987=2,"Local",IF(J987=3,"Significant",IF(J987=4,"High","Critical")))))</x:f>
      </x:c>
      <x:c r="L987" s="16" t="str">
        <x:f>IF(A987="","",Events!U986)</x:f>
      </x:c>
      <x:c r="M987" s="16" t="str">
        <x:f>IF(A987="","",Events!V986)</x:f>
      </x:c>
      <x:c r="N987" s="16" t="str">
        <x:f>IF(A987="","",Events!Q986)</x:f>
      </x:c>
      <x:c r="O987" s="16" t="str">
        <x:f>IF(A987="","",Events!R986)</x:f>
      </x:c>
      <x:c r="P987" s="16" t="str">
        <x:f>IF(A987="","",LOWER(Events!B986&amp;" "&amp;Events!D986&amp;" "&amp;Events!K986))</x:f>
      </x:c>
      <x:c r="Q987" s="16" t="str">
        <x:f>IF(A987="","",LOWER(Events!C986&amp;" "&amp;Events!K986&amp;" "&amp;Events!T986))</x:f>
      </x:c>
      <x:c r="R987" s="16" t="str">
        <x:f>IF(A987="","",IF(ISNUMBER(SEARCH("Occurrence verified",E987)),"Occurrence verified",E987))</x:f>
      </x:c>
      <x:c r="S987" s="79" t="str">
        <x:f>IF(A987="","",Events!X986)</x:f>
      </x:c>
      <x:c r="Z987" s="79" t="str">
        <x:f>IF(A987="","",Events!AD986)</x:f>
      </x:c>
      <x:c r="AA987" s="79" t="str">
        <x:f>IF(A987="","",Events!AE986)</x:f>
      </x:c>
    </x:row>
    <x:row r="988">
      <x:c r="A988" s="16" t="str">
        <x:f>IF(Events!A987="","",Events!A987)</x:f>
      </x:c>
      <x:c r="B988" s="16" t="str">
        <x:f>IF(A988="","",Events!B987)</x:f>
      </x:c>
      <x:c r="C988" s="16" t="str">
        <x:f>IF(A988="","",Events!E987)</x:f>
      </x:c>
      <x:c r="D988" s="16" t="str">
        <x:f>IF(A988="","",Events!J987)</x:f>
      </x:c>
      <x:c r="E988" s="16" t="str">
        <x:f>IF(A988="","",Events!N987)</x:f>
      </x:c>
      <x:c r="F988" s="109" t="str">
        <x:f>IF(OR(A988="",Events!H987=""),"",Events!H987)</x:f>
      </x:c>
      <x:c r="G988" s="109" t="str">
        <x:f>IF(A988="","",IF(Events!I987&lt;&gt;"",Events!I987,IF(Events!S987&lt;&gt;"",Events!S987,"")))</x:f>
      </x:c>
      <x:c r="H988" s="16" t="str">
        <x:f>IF(A988="","",Events!W987)</x:f>
      </x:c>
      <x:c r="I988" s="16" t="str">
        <x:f>IF(A988="","",IF(Events!Y987&lt;&gt;"",Events!Y987,IF(OR(ISNUMBER(SEARCH("education",P988)),ISNUMBER(SEARCH("exam",P988)),ISNUMBER(SEARCH("school",P988))),"Education",IF(OR(ISNUMBER(SEARCH("trade agreement",P988)),ISNUMBER(SEARCH("economic",P988)),ISNUMBER(SEARCH("import",P988))),"Trade &amp; economic policy",IF(OR(ISNUMBER(SEARCH("land acquisition",P988)),ISNUMBER(SEARCH("rehabilitation",P988)),ISNUMBER(SEARCH("displacement",P988)),ISNUMBER(SEARCH("township",P988))),"Land &amp; rehabilitation",IF(OR(ISNUMBER(SEARCH("forest",P988)),ISNUMBER(SEARCH("environment",P988)),ISNUMBER(SEARCH("ecological",P988)),ISNUMBER(SEARCH("biodiversity",P988)),ISNUMBER(SEARCH("green cover",P988))),"Environment",IF(OR(ISNUMBER(SEARCH("irrigation",P988)),ISNUMBER(SEARCH("water",P988)),ISNUMBER(SEARCH("crop",P988)),ISNUMBER(SEARCH("farmer",P988)),ISNUMBER(SEARCH("agriculture",P988))),"Agriculture &amp; water",IF(OR(ISNUMBER(SEARCH("health",P988)),ISNUMBER(SEARCH("hospital",P988)),ISNUMBER(SEARCH("medicine",P988))),"Public health",IF(OR(ISNUMBER(SEARCH("employee",P988)),ISNUMBER(SEARCH("labour",P988)),ISNUMBER(SEARCH("worker",P988)),ISNUMBER(SEARCH("salary",P988))),"Labour &amp; employment",IF(OR(ISNUMBER(SEARCH("rti",P988)),ISNUMBER(SEARCH("transparency",P988)),ISNUMBER(SEARCH("corruption",P988)),ISNUMBER(SEARCH("governance",P988))),"Governance &amp; transparency",IF(OR(ISNUMBER(SEARCH("police",P988)),ISNUMBER(SEARCH("detention",P988)),ISNUMBER(SEARCH("civil rights",P988)),ISNUMBER(SEARCH("justice",P988))),"Civil rights &amp; justice",IF(OR(ISNUMBER(SEARCH("road",P988)),ISNUMBER(SEARCH("utility",P988)),ISNUMBER(SEARCH("infrastructure",P988)),ISNUMBER(SEARCH("public service",P988))),"Infrastructure &amp; public services","Other"))))))))))))</x:f>
      </x:c>
      <x:c r="J988" s="16" t="str">
        <x:f>IF(A988="","",IF(OR(ISNUMBER(SEARCH("fatal",Q988)),ISNUMBER(SEARCH("death",Q988)),ISNUMBER(SEARCH("riot",Q988)),ISNUMBER(SEARCH("curfew",Q988)),ISNUMBER(SEARCH("internet shutdown",Q988))),5,MIN(4,1+IF(H988&gt;=7,1,0)+IF(OR(ISNUMBER(SEARCH("hunger strike",Q988)),ISNUMBER(SEARCH("blockade",Q988)),ISNUMBER(SEARCH("strike",Q988)),ISNUMBER(SEARCH("jal satyagraha",Q988)),ISNUMBER(SEARCH("survey",Q988)),ISNUMBER(SEARCH("human chain",Q988)),ISNUMBER(SEARCH("march",Q988))),1,0)+IF(OR(ISNUMBER(SEARCH("fir",Q988)),ISNUMBER(SEARCH("confrontation",Q988)),ISNUMBER(SEARCH("violence",Q988)),ISNUMBER(SEARCH("detention",Q988)),ISNUMBER(SEARCH("arrest",Q988)),ISNUMBER(SEARCH("demolition",Q988)),ISNUMBER(SEARCH("injury",Q988))),1,0)+IF(OR(D988="Ongoing",D988="Unresolved"),1,0))))</x:f>
      </x:c>
      <x:c r="K988" s="16" t="str">
        <x:f>IF(J988="","",IF(J988=1,"Limited",IF(J988=2,"Local",IF(J988=3,"Significant",IF(J988=4,"High","Critical")))))</x:f>
      </x:c>
      <x:c r="L988" s="16" t="str">
        <x:f>IF(A988="","",Events!U987)</x:f>
      </x:c>
      <x:c r="M988" s="16" t="str">
        <x:f>IF(A988="","",Events!V987)</x:f>
      </x:c>
      <x:c r="N988" s="16" t="str">
        <x:f>IF(A988="","",Events!Q987)</x:f>
      </x:c>
      <x:c r="O988" s="16" t="str">
        <x:f>IF(A988="","",Events!R987)</x:f>
      </x:c>
      <x:c r="P988" s="16" t="str">
        <x:f>IF(A988="","",LOWER(Events!B987&amp;" "&amp;Events!D987&amp;" "&amp;Events!K987))</x:f>
      </x:c>
      <x:c r="Q988" s="16" t="str">
        <x:f>IF(A988="","",LOWER(Events!C987&amp;" "&amp;Events!K987&amp;" "&amp;Events!T987))</x:f>
      </x:c>
      <x:c r="R988" s="16" t="str">
        <x:f>IF(A988="","",IF(ISNUMBER(SEARCH("Occurrence verified",E988)),"Occurrence verified",E988))</x:f>
      </x:c>
      <x:c r="S988" s="79" t="str">
        <x:f>IF(A988="","",Events!X987)</x:f>
      </x:c>
      <x:c r="Z988" s="79" t="str">
        <x:f>IF(A988="","",Events!AD987)</x:f>
      </x:c>
      <x:c r="AA988" s="79" t="str">
        <x:f>IF(A988="","",Events!AE987)</x:f>
      </x:c>
    </x:row>
    <x:row r="989">
      <x:c r="A989" s="16" t="str">
        <x:f>IF(Events!A988="","",Events!A988)</x:f>
      </x:c>
      <x:c r="B989" s="16" t="str">
        <x:f>IF(A989="","",Events!B988)</x:f>
      </x:c>
      <x:c r="C989" s="16" t="str">
        <x:f>IF(A989="","",Events!E988)</x:f>
      </x:c>
      <x:c r="D989" s="16" t="str">
        <x:f>IF(A989="","",Events!J988)</x:f>
      </x:c>
      <x:c r="E989" s="16" t="str">
        <x:f>IF(A989="","",Events!N988)</x:f>
      </x:c>
      <x:c r="F989" s="109" t="str">
        <x:f>IF(OR(A989="",Events!H988=""),"",Events!H988)</x:f>
      </x:c>
      <x:c r="G989" s="109" t="str">
        <x:f>IF(A989="","",IF(Events!I988&lt;&gt;"",Events!I988,IF(Events!S988&lt;&gt;"",Events!S988,"")))</x:f>
      </x:c>
      <x:c r="H989" s="16" t="str">
        <x:f>IF(A989="","",Events!W988)</x:f>
      </x:c>
      <x:c r="I989" s="16" t="str">
        <x:f>IF(A989="","",IF(Events!Y988&lt;&gt;"",Events!Y988,IF(OR(ISNUMBER(SEARCH("education",P989)),ISNUMBER(SEARCH("exam",P989)),ISNUMBER(SEARCH("school",P989))),"Education",IF(OR(ISNUMBER(SEARCH("trade agreement",P989)),ISNUMBER(SEARCH("economic",P989)),ISNUMBER(SEARCH("import",P989))),"Trade &amp; economic policy",IF(OR(ISNUMBER(SEARCH("land acquisition",P989)),ISNUMBER(SEARCH("rehabilitation",P989)),ISNUMBER(SEARCH("displacement",P989)),ISNUMBER(SEARCH("township",P989))),"Land &amp; rehabilitation",IF(OR(ISNUMBER(SEARCH("forest",P989)),ISNUMBER(SEARCH("environment",P989)),ISNUMBER(SEARCH("ecological",P989)),ISNUMBER(SEARCH("biodiversity",P989)),ISNUMBER(SEARCH("green cover",P989))),"Environment",IF(OR(ISNUMBER(SEARCH("irrigation",P989)),ISNUMBER(SEARCH("water",P989)),ISNUMBER(SEARCH("crop",P989)),ISNUMBER(SEARCH("farmer",P989)),ISNUMBER(SEARCH("agriculture",P989))),"Agriculture &amp; water",IF(OR(ISNUMBER(SEARCH("health",P989)),ISNUMBER(SEARCH("hospital",P989)),ISNUMBER(SEARCH("medicine",P989))),"Public health",IF(OR(ISNUMBER(SEARCH("employee",P989)),ISNUMBER(SEARCH("labour",P989)),ISNUMBER(SEARCH("worker",P989)),ISNUMBER(SEARCH("salary",P989))),"Labour &amp; employment",IF(OR(ISNUMBER(SEARCH("rti",P989)),ISNUMBER(SEARCH("transparency",P989)),ISNUMBER(SEARCH("corruption",P989)),ISNUMBER(SEARCH("governance",P989))),"Governance &amp; transparency",IF(OR(ISNUMBER(SEARCH("police",P989)),ISNUMBER(SEARCH("detention",P989)),ISNUMBER(SEARCH("civil rights",P989)),ISNUMBER(SEARCH("justice",P989))),"Civil rights &amp; justice",IF(OR(ISNUMBER(SEARCH("road",P989)),ISNUMBER(SEARCH("utility",P989)),ISNUMBER(SEARCH("infrastructure",P989)),ISNUMBER(SEARCH("public service",P989))),"Infrastructure &amp; public services","Other"))))))))))))</x:f>
      </x:c>
      <x:c r="J989" s="16" t="str">
        <x:f>IF(A989="","",IF(OR(ISNUMBER(SEARCH("fatal",Q989)),ISNUMBER(SEARCH("death",Q989)),ISNUMBER(SEARCH("riot",Q989)),ISNUMBER(SEARCH("curfew",Q989)),ISNUMBER(SEARCH("internet shutdown",Q989))),5,MIN(4,1+IF(H989&gt;=7,1,0)+IF(OR(ISNUMBER(SEARCH("hunger strike",Q989)),ISNUMBER(SEARCH("blockade",Q989)),ISNUMBER(SEARCH("strike",Q989)),ISNUMBER(SEARCH("jal satyagraha",Q989)),ISNUMBER(SEARCH("survey",Q989)),ISNUMBER(SEARCH("human chain",Q989)),ISNUMBER(SEARCH("march",Q989))),1,0)+IF(OR(ISNUMBER(SEARCH("fir",Q989)),ISNUMBER(SEARCH("confrontation",Q989)),ISNUMBER(SEARCH("violence",Q989)),ISNUMBER(SEARCH("detention",Q989)),ISNUMBER(SEARCH("arrest",Q989)),ISNUMBER(SEARCH("demolition",Q989)),ISNUMBER(SEARCH("injury",Q989))),1,0)+IF(OR(D989="Ongoing",D989="Unresolved"),1,0))))</x:f>
      </x:c>
      <x:c r="K989" s="16" t="str">
        <x:f>IF(J989="","",IF(J989=1,"Limited",IF(J989=2,"Local",IF(J989=3,"Significant",IF(J989=4,"High","Critical")))))</x:f>
      </x:c>
      <x:c r="L989" s="16" t="str">
        <x:f>IF(A989="","",Events!U988)</x:f>
      </x:c>
      <x:c r="M989" s="16" t="str">
        <x:f>IF(A989="","",Events!V988)</x:f>
      </x:c>
      <x:c r="N989" s="16" t="str">
        <x:f>IF(A989="","",Events!Q988)</x:f>
      </x:c>
      <x:c r="O989" s="16" t="str">
        <x:f>IF(A989="","",Events!R988)</x:f>
      </x:c>
      <x:c r="P989" s="16" t="str">
        <x:f>IF(A989="","",LOWER(Events!B988&amp;" "&amp;Events!D988&amp;" "&amp;Events!K988))</x:f>
      </x:c>
      <x:c r="Q989" s="16" t="str">
        <x:f>IF(A989="","",LOWER(Events!C988&amp;" "&amp;Events!K988&amp;" "&amp;Events!T988))</x:f>
      </x:c>
      <x:c r="R989" s="16" t="str">
        <x:f>IF(A989="","",IF(ISNUMBER(SEARCH("Occurrence verified",E989)),"Occurrence verified",E989))</x:f>
      </x:c>
      <x:c r="S989" s="79" t="str">
        <x:f>IF(A989="","",Events!X988)</x:f>
      </x:c>
      <x:c r="Z989" s="79" t="str">
        <x:f>IF(A989="","",Events!AD988)</x:f>
      </x:c>
      <x:c r="AA989" s="79" t="str">
        <x:f>IF(A989="","",Events!AE988)</x:f>
      </x:c>
    </x:row>
    <x:row r="990">
      <x:c r="A990" s="16" t="str">
        <x:f>IF(Events!A989="","",Events!A989)</x:f>
      </x:c>
      <x:c r="B990" s="16" t="str">
        <x:f>IF(A990="","",Events!B989)</x:f>
      </x:c>
      <x:c r="C990" s="16" t="str">
        <x:f>IF(A990="","",Events!E989)</x:f>
      </x:c>
      <x:c r="D990" s="16" t="str">
        <x:f>IF(A990="","",Events!J989)</x:f>
      </x:c>
      <x:c r="E990" s="16" t="str">
        <x:f>IF(A990="","",Events!N989)</x:f>
      </x:c>
      <x:c r="F990" s="109" t="str">
        <x:f>IF(OR(A990="",Events!H989=""),"",Events!H989)</x:f>
      </x:c>
      <x:c r="G990" s="109" t="str">
        <x:f>IF(A990="","",IF(Events!I989&lt;&gt;"",Events!I989,IF(Events!S989&lt;&gt;"",Events!S989,"")))</x:f>
      </x:c>
      <x:c r="H990" s="16" t="str">
        <x:f>IF(A990="","",Events!W989)</x:f>
      </x:c>
      <x:c r="I990" s="16" t="str">
        <x:f>IF(A990="","",IF(Events!Y989&lt;&gt;"",Events!Y989,IF(OR(ISNUMBER(SEARCH("education",P990)),ISNUMBER(SEARCH("exam",P990)),ISNUMBER(SEARCH("school",P990))),"Education",IF(OR(ISNUMBER(SEARCH("trade agreement",P990)),ISNUMBER(SEARCH("economic",P990)),ISNUMBER(SEARCH("import",P990))),"Trade &amp; economic policy",IF(OR(ISNUMBER(SEARCH("land acquisition",P990)),ISNUMBER(SEARCH("rehabilitation",P990)),ISNUMBER(SEARCH("displacement",P990)),ISNUMBER(SEARCH("township",P990))),"Land &amp; rehabilitation",IF(OR(ISNUMBER(SEARCH("forest",P990)),ISNUMBER(SEARCH("environment",P990)),ISNUMBER(SEARCH("ecological",P990)),ISNUMBER(SEARCH("biodiversity",P990)),ISNUMBER(SEARCH("green cover",P990))),"Environment",IF(OR(ISNUMBER(SEARCH("irrigation",P990)),ISNUMBER(SEARCH("water",P990)),ISNUMBER(SEARCH("crop",P990)),ISNUMBER(SEARCH("farmer",P990)),ISNUMBER(SEARCH("agriculture",P990))),"Agriculture &amp; water",IF(OR(ISNUMBER(SEARCH("health",P990)),ISNUMBER(SEARCH("hospital",P990)),ISNUMBER(SEARCH("medicine",P990))),"Public health",IF(OR(ISNUMBER(SEARCH("employee",P990)),ISNUMBER(SEARCH("labour",P990)),ISNUMBER(SEARCH("worker",P990)),ISNUMBER(SEARCH("salary",P990))),"Labour &amp; employment",IF(OR(ISNUMBER(SEARCH("rti",P990)),ISNUMBER(SEARCH("transparency",P990)),ISNUMBER(SEARCH("corruption",P990)),ISNUMBER(SEARCH("governance",P990))),"Governance &amp; transparency",IF(OR(ISNUMBER(SEARCH("police",P990)),ISNUMBER(SEARCH("detention",P990)),ISNUMBER(SEARCH("civil rights",P990)),ISNUMBER(SEARCH("justice",P990))),"Civil rights &amp; justice",IF(OR(ISNUMBER(SEARCH("road",P990)),ISNUMBER(SEARCH("utility",P990)),ISNUMBER(SEARCH("infrastructure",P990)),ISNUMBER(SEARCH("public service",P990))),"Infrastructure &amp; public services","Other"))))))))))))</x:f>
      </x:c>
      <x:c r="J990" s="16" t="str">
        <x:f>IF(A990="","",IF(OR(ISNUMBER(SEARCH("fatal",Q990)),ISNUMBER(SEARCH("death",Q990)),ISNUMBER(SEARCH("riot",Q990)),ISNUMBER(SEARCH("curfew",Q990)),ISNUMBER(SEARCH("internet shutdown",Q990))),5,MIN(4,1+IF(H990&gt;=7,1,0)+IF(OR(ISNUMBER(SEARCH("hunger strike",Q990)),ISNUMBER(SEARCH("blockade",Q990)),ISNUMBER(SEARCH("strike",Q990)),ISNUMBER(SEARCH("jal satyagraha",Q990)),ISNUMBER(SEARCH("survey",Q990)),ISNUMBER(SEARCH("human chain",Q990)),ISNUMBER(SEARCH("march",Q990))),1,0)+IF(OR(ISNUMBER(SEARCH("fir",Q990)),ISNUMBER(SEARCH("confrontation",Q990)),ISNUMBER(SEARCH("violence",Q990)),ISNUMBER(SEARCH("detention",Q990)),ISNUMBER(SEARCH("arrest",Q990)),ISNUMBER(SEARCH("demolition",Q990)),ISNUMBER(SEARCH("injury",Q990))),1,0)+IF(OR(D990="Ongoing",D990="Unresolved"),1,0))))</x:f>
      </x:c>
      <x:c r="K990" s="16" t="str">
        <x:f>IF(J990="","",IF(J990=1,"Limited",IF(J990=2,"Local",IF(J990=3,"Significant",IF(J990=4,"High","Critical")))))</x:f>
      </x:c>
      <x:c r="L990" s="16" t="str">
        <x:f>IF(A990="","",Events!U989)</x:f>
      </x:c>
      <x:c r="M990" s="16" t="str">
        <x:f>IF(A990="","",Events!V989)</x:f>
      </x:c>
      <x:c r="N990" s="16" t="str">
        <x:f>IF(A990="","",Events!Q989)</x:f>
      </x:c>
      <x:c r="O990" s="16" t="str">
        <x:f>IF(A990="","",Events!R989)</x:f>
      </x:c>
      <x:c r="P990" s="16" t="str">
        <x:f>IF(A990="","",LOWER(Events!B989&amp;" "&amp;Events!D989&amp;" "&amp;Events!K989))</x:f>
      </x:c>
      <x:c r="Q990" s="16" t="str">
        <x:f>IF(A990="","",LOWER(Events!C989&amp;" "&amp;Events!K989&amp;" "&amp;Events!T989))</x:f>
      </x:c>
      <x:c r="R990" s="16" t="str">
        <x:f>IF(A990="","",IF(ISNUMBER(SEARCH("Occurrence verified",E990)),"Occurrence verified",E990))</x:f>
      </x:c>
      <x:c r="S990" s="79" t="str">
        <x:f>IF(A990="","",Events!X989)</x:f>
      </x:c>
      <x:c r="Z990" s="79" t="str">
        <x:f>IF(A990="","",Events!AD989)</x:f>
      </x:c>
      <x:c r="AA990" s="79" t="str">
        <x:f>IF(A990="","",Events!AE989)</x:f>
      </x:c>
    </x:row>
    <x:row r="991">
      <x:c r="A991" s="16" t="str">
        <x:f>IF(Events!A990="","",Events!A990)</x:f>
      </x:c>
      <x:c r="B991" s="16" t="str">
        <x:f>IF(A991="","",Events!B990)</x:f>
      </x:c>
      <x:c r="C991" s="16" t="str">
        <x:f>IF(A991="","",Events!E990)</x:f>
      </x:c>
      <x:c r="D991" s="16" t="str">
        <x:f>IF(A991="","",Events!J990)</x:f>
      </x:c>
      <x:c r="E991" s="16" t="str">
        <x:f>IF(A991="","",Events!N990)</x:f>
      </x:c>
      <x:c r="F991" s="109" t="str">
        <x:f>IF(OR(A991="",Events!H990=""),"",Events!H990)</x:f>
      </x:c>
      <x:c r="G991" s="109" t="str">
        <x:f>IF(A991="","",IF(Events!I990&lt;&gt;"",Events!I990,IF(Events!S990&lt;&gt;"",Events!S990,"")))</x:f>
      </x:c>
      <x:c r="H991" s="16" t="str">
        <x:f>IF(A991="","",Events!W990)</x:f>
      </x:c>
      <x:c r="I991" s="16" t="str">
        <x:f>IF(A991="","",IF(Events!Y990&lt;&gt;"",Events!Y990,IF(OR(ISNUMBER(SEARCH("education",P991)),ISNUMBER(SEARCH("exam",P991)),ISNUMBER(SEARCH("school",P991))),"Education",IF(OR(ISNUMBER(SEARCH("trade agreement",P991)),ISNUMBER(SEARCH("economic",P991)),ISNUMBER(SEARCH("import",P991))),"Trade &amp; economic policy",IF(OR(ISNUMBER(SEARCH("land acquisition",P991)),ISNUMBER(SEARCH("rehabilitation",P991)),ISNUMBER(SEARCH("displacement",P991)),ISNUMBER(SEARCH("township",P991))),"Land &amp; rehabilitation",IF(OR(ISNUMBER(SEARCH("forest",P991)),ISNUMBER(SEARCH("environment",P991)),ISNUMBER(SEARCH("ecological",P991)),ISNUMBER(SEARCH("biodiversity",P991)),ISNUMBER(SEARCH("green cover",P991))),"Environment",IF(OR(ISNUMBER(SEARCH("irrigation",P991)),ISNUMBER(SEARCH("water",P991)),ISNUMBER(SEARCH("crop",P991)),ISNUMBER(SEARCH("farmer",P991)),ISNUMBER(SEARCH("agriculture",P991))),"Agriculture &amp; water",IF(OR(ISNUMBER(SEARCH("health",P991)),ISNUMBER(SEARCH("hospital",P991)),ISNUMBER(SEARCH("medicine",P991))),"Public health",IF(OR(ISNUMBER(SEARCH("employee",P991)),ISNUMBER(SEARCH("labour",P991)),ISNUMBER(SEARCH("worker",P991)),ISNUMBER(SEARCH("salary",P991))),"Labour &amp; employment",IF(OR(ISNUMBER(SEARCH("rti",P991)),ISNUMBER(SEARCH("transparency",P991)),ISNUMBER(SEARCH("corruption",P991)),ISNUMBER(SEARCH("governance",P991))),"Governance &amp; transparency",IF(OR(ISNUMBER(SEARCH("police",P991)),ISNUMBER(SEARCH("detention",P991)),ISNUMBER(SEARCH("civil rights",P991)),ISNUMBER(SEARCH("justice",P991))),"Civil rights &amp; justice",IF(OR(ISNUMBER(SEARCH("road",P991)),ISNUMBER(SEARCH("utility",P991)),ISNUMBER(SEARCH("infrastructure",P991)),ISNUMBER(SEARCH("public service",P991))),"Infrastructure &amp; public services","Other"))))))))))))</x:f>
      </x:c>
      <x:c r="J991" s="16" t="str">
        <x:f>IF(A991="","",IF(OR(ISNUMBER(SEARCH("fatal",Q991)),ISNUMBER(SEARCH("death",Q991)),ISNUMBER(SEARCH("riot",Q991)),ISNUMBER(SEARCH("curfew",Q991)),ISNUMBER(SEARCH("internet shutdown",Q991))),5,MIN(4,1+IF(H991&gt;=7,1,0)+IF(OR(ISNUMBER(SEARCH("hunger strike",Q991)),ISNUMBER(SEARCH("blockade",Q991)),ISNUMBER(SEARCH("strike",Q991)),ISNUMBER(SEARCH("jal satyagraha",Q991)),ISNUMBER(SEARCH("survey",Q991)),ISNUMBER(SEARCH("human chain",Q991)),ISNUMBER(SEARCH("march",Q991))),1,0)+IF(OR(ISNUMBER(SEARCH("fir",Q991)),ISNUMBER(SEARCH("confrontation",Q991)),ISNUMBER(SEARCH("violence",Q991)),ISNUMBER(SEARCH("detention",Q991)),ISNUMBER(SEARCH("arrest",Q991)),ISNUMBER(SEARCH("demolition",Q991)),ISNUMBER(SEARCH("injury",Q991))),1,0)+IF(OR(D991="Ongoing",D991="Unresolved"),1,0))))</x:f>
      </x:c>
      <x:c r="K991" s="16" t="str">
        <x:f>IF(J991="","",IF(J991=1,"Limited",IF(J991=2,"Local",IF(J991=3,"Significant",IF(J991=4,"High","Critical")))))</x:f>
      </x:c>
      <x:c r="L991" s="16" t="str">
        <x:f>IF(A991="","",Events!U990)</x:f>
      </x:c>
      <x:c r="M991" s="16" t="str">
        <x:f>IF(A991="","",Events!V990)</x:f>
      </x:c>
      <x:c r="N991" s="16" t="str">
        <x:f>IF(A991="","",Events!Q990)</x:f>
      </x:c>
      <x:c r="O991" s="16" t="str">
        <x:f>IF(A991="","",Events!R990)</x:f>
      </x:c>
      <x:c r="P991" s="16" t="str">
        <x:f>IF(A991="","",LOWER(Events!B990&amp;" "&amp;Events!D990&amp;" "&amp;Events!K990))</x:f>
      </x:c>
      <x:c r="Q991" s="16" t="str">
        <x:f>IF(A991="","",LOWER(Events!C990&amp;" "&amp;Events!K990&amp;" "&amp;Events!T990))</x:f>
      </x:c>
      <x:c r="R991" s="16" t="str">
        <x:f>IF(A991="","",IF(ISNUMBER(SEARCH("Occurrence verified",E991)),"Occurrence verified",E991))</x:f>
      </x:c>
      <x:c r="S991" s="79" t="str">
        <x:f>IF(A991="","",Events!X990)</x:f>
      </x:c>
      <x:c r="Z991" s="79" t="str">
        <x:f>IF(A991="","",Events!AD990)</x:f>
      </x:c>
      <x:c r="AA991" s="79" t="str">
        <x:f>IF(A991="","",Events!AE990)</x:f>
      </x:c>
    </x:row>
    <x:row r="992">
      <x:c r="A992" s="16" t="str">
        <x:f>IF(Events!A991="","",Events!A991)</x:f>
      </x:c>
      <x:c r="B992" s="16" t="str">
        <x:f>IF(A992="","",Events!B991)</x:f>
      </x:c>
      <x:c r="C992" s="16" t="str">
        <x:f>IF(A992="","",Events!E991)</x:f>
      </x:c>
      <x:c r="D992" s="16" t="str">
        <x:f>IF(A992="","",Events!J991)</x:f>
      </x:c>
      <x:c r="E992" s="16" t="str">
        <x:f>IF(A992="","",Events!N991)</x:f>
      </x:c>
      <x:c r="F992" s="109" t="str">
        <x:f>IF(OR(A992="",Events!H991=""),"",Events!H991)</x:f>
      </x:c>
      <x:c r="G992" s="109" t="str">
        <x:f>IF(A992="","",IF(Events!I991&lt;&gt;"",Events!I991,IF(Events!S991&lt;&gt;"",Events!S991,"")))</x:f>
      </x:c>
      <x:c r="H992" s="16" t="str">
        <x:f>IF(A992="","",Events!W991)</x:f>
      </x:c>
      <x:c r="I992" s="16" t="str">
        <x:f>IF(A992="","",IF(Events!Y991&lt;&gt;"",Events!Y991,IF(OR(ISNUMBER(SEARCH("education",P992)),ISNUMBER(SEARCH("exam",P992)),ISNUMBER(SEARCH("school",P992))),"Education",IF(OR(ISNUMBER(SEARCH("trade agreement",P992)),ISNUMBER(SEARCH("economic",P992)),ISNUMBER(SEARCH("import",P992))),"Trade &amp; economic policy",IF(OR(ISNUMBER(SEARCH("land acquisition",P992)),ISNUMBER(SEARCH("rehabilitation",P992)),ISNUMBER(SEARCH("displacement",P992)),ISNUMBER(SEARCH("township",P992))),"Land &amp; rehabilitation",IF(OR(ISNUMBER(SEARCH("forest",P992)),ISNUMBER(SEARCH("environment",P992)),ISNUMBER(SEARCH("ecological",P992)),ISNUMBER(SEARCH("biodiversity",P992)),ISNUMBER(SEARCH("green cover",P992))),"Environment",IF(OR(ISNUMBER(SEARCH("irrigation",P992)),ISNUMBER(SEARCH("water",P992)),ISNUMBER(SEARCH("crop",P992)),ISNUMBER(SEARCH("farmer",P992)),ISNUMBER(SEARCH("agriculture",P992))),"Agriculture &amp; water",IF(OR(ISNUMBER(SEARCH("health",P992)),ISNUMBER(SEARCH("hospital",P992)),ISNUMBER(SEARCH("medicine",P992))),"Public health",IF(OR(ISNUMBER(SEARCH("employee",P992)),ISNUMBER(SEARCH("labour",P992)),ISNUMBER(SEARCH("worker",P992)),ISNUMBER(SEARCH("salary",P992))),"Labour &amp; employment",IF(OR(ISNUMBER(SEARCH("rti",P992)),ISNUMBER(SEARCH("transparency",P992)),ISNUMBER(SEARCH("corruption",P992)),ISNUMBER(SEARCH("governance",P992))),"Governance &amp; transparency",IF(OR(ISNUMBER(SEARCH("police",P992)),ISNUMBER(SEARCH("detention",P992)),ISNUMBER(SEARCH("civil rights",P992)),ISNUMBER(SEARCH("justice",P992))),"Civil rights &amp; justice",IF(OR(ISNUMBER(SEARCH("road",P992)),ISNUMBER(SEARCH("utility",P992)),ISNUMBER(SEARCH("infrastructure",P992)),ISNUMBER(SEARCH("public service",P992))),"Infrastructure &amp; public services","Other"))))))))))))</x:f>
      </x:c>
      <x:c r="J992" s="16" t="str">
        <x:f>IF(A992="","",IF(OR(ISNUMBER(SEARCH("fatal",Q992)),ISNUMBER(SEARCH("death",Q992)),ISNUMBER(SEARCH("riot",Q992)),ISNUMBER(SEARCH("curfew",Q992)),ISNUMBER(SEARCH("internet shutdown",Q992))),5,MIN(4,1+IF(H992&gt;=7,1,0)+IF(OR(ISNUMBER(SEARCH("hunger strike",Q992)),ISNUMBER(SEARCH("blockade",Q992)),ISNUMBER(SEARCH("strike",Q992)),ISNUMBER(SEARCH("jal satyagraha",Q992)),ISNUMBER(SEARCH("survey",Q992)),ISNUMBER(SEARCH("human chain",Q992)),ISNUMBER(SEARCH("march",Q992))),1,0)+IF(OR(ISNUMBER(SEARCH("fir",Q992)),ISNUMBER(SEARCH("confrontation",Q992)),ISNUMBER(SEARCH("violence",Q992)),ISNUMBER(SEARCH("detention",Q992)),ISNUMBER(SEARCH("arrest",Q992)),ISNUMBER(SEARCH("demolition",Q992)),ISNUMBER(SEARCH("injury",Q992))),1,0)+IF(OR(D992="Ongoing",D992="Unresolved"),1,0))))</x:f>
      </x:c>
      <x:c r="K992" s="16" t="str">
        <x:f>IF(J992="","",IF(J992=1,"Limited",IF(J992=2,"Local",IF(J992=3,"Significant",IF(J992=4,"High","Critical")))))</x:f>
      </x:c>
      <x:c r="L992" s="16" t="str">
        <x:f>IF(A992="","",Events!U991)</x:f>
      </x:c>
      <x:c r="M992" s="16" t="str">
        <x:f>IF(A992="","",Events!V991)</x:f>
      </x:c>
      <x:c r="N992" s="16" t="str">
        <x:f>IF(A992="","",Events!Q991)</x:f>
      </x:c>
      <x:c r="O992" s="16" t="str">
        <x:f>IF(A992="","",Events!R991)</x:f>
      </x:c>
      <x:c r="P992" s="16" t="str">
        <x:f>IF(A992="","",LOWER(Events!B991&amp;" "&amp;Events!D991&amp;" "&amp;Events!K991))</x:f>
      </x:c>
      <x:c r="Q992" s="16" t="str">
        <x:f>IF(A992="","",LOWER(Events!C991&amp;" "&amp;Events!K991&amp;" "&amp;Events!T991))</x:f>
      </x:c>
      <x:c r="R992" s="16" t="str">
        <x:f>IF(A992="","",IF(ISNUMBER(SEARCH("Occurrence verified",E992)),"Occurrence verified",E992))</x:f>
      </x:c>
      <x:c r="S992" s="79" t="str">
        <x:f>IF(A992="","",Events!X991)</x:f>
      </x:c>
      <x:c r="Z992" s="79" t="str">
        <x:f>IF(A992="","",Events!AD991)</x:f>
      </x:c>
      <x:c r="AA992" s="79" t="str">
        <x:f>IF(A992="","",Events!AE991)</x:f>
      </x:c>
    </x:row>
    <x:row r="993">
      <x:c r="A993" s="16" t="str">
        <x:f>IF(Events!A992="","",Events!A992)</x:f>
      </x:c>
      <x:c r="B993" s="16" t="str">
        <x:f>IF(A993="","",Events!B992)</x:f>
      </x:c>
      <x:c r="C993" s="16" t="str">
        <x:f>IF(A993="","",Events!E992)</x:f>
      </x:c>
      <x:c r="D993" s="16" t="str">
        <x:f>IF(A993="","",Events!J992)</x:f>
      </x:c>
      <x:c r="E993" s="16" t="str">
        <x:f>IF(A993="","",Events!N992)</x:f>
      </x:c>
      <x:c r="F993" s="109" t="str">
        <x:f>IF(OR(A993="",Events!H992=""),"",Events!H992)</x:f>
      </x:c>
      <x:c r="G993" s="109" t="str">
        <x:f>IF(A993="","",IF(Events!I992&lt;&gt;"",Events!I992,IF(Events!S992&lt;&gt;"",Events!S992,"")))</x:f>
      </x:c>
      <x:c r="H993" s="16" t="str">
        <x:f>IF(A993="","",Events!W992)</x:f>
      </x:c>
      <x:c r="I993" s="16" t="str">
        <x:f>IF(A993="","",IF(Events!Y992&lt;&gt;"",Events!Y992,IF(OR(ISNUMBER(SEARCH("education",P993)),ISNUMBER(SEARCH("exam",P993)),ISNUMBER(SEARCH("school",P993))),"Education",IF(OR(ISNUMBER(SEARCH("trade agreement",P993)),ISNUMBER(SEARCH("economic",P993)),ISNUMBER(SEARCH("import",P993))),"Trade &amp; economic policy",IF(OR(ISNUMBER(SEARCH("land acquisition",P993)),ISNUMBER(SEARCH("rehabilitation",P993)),ISNUMBER(SEARCH("displacement",P993)),ISNUMBER(SEARCH("township",P993))),"Land &amp; rehabilitation",IF(OR(ISNUMBER(SEARCH("forest",P993)),ISNUMBER(SEARCH("environment",P993)),ISNUMBER(SEARCH("ecological",P993)),ISNUMBER(SEARCH("biodiversity",P993)),ISNUMBER(SEARCH("green cover",P993))),"Environment",IF(OR(ISNUMBER(SEARCH("irrigation",P993)),ISNUMBER(SEARCH("water",P993)),ISNUMBER(SEARCH("crop",P993)),ISNUMBER(SEARCH("farmer",P993)),ISNUMBER(SEARCH("agriculture",P993))),"Agriculture &amp; water",IF(OR(ISNUMBER(SEARCH("health",P993)),ISNUMBER(SEARCH("hospital",P993)),ISNUMBER(SEARCH("medicine",P993))),"Public health",IF(OR(ISNUMBER(SEARCH("employee",P993)),ISNUMBER(SEARCH("labour",P993)),ISNUMBER(SEARCH("worker",P993)),ISNUMBER(SEARCH("salary",P993))),"Labour &amp; employment",IF(OR(ISNUMBER(SEARCH("rti",P993)),ISNUMBER(SEARCH("transparency",P993)),ISNUMBER(SEARCH("corruption",P993)),ISNUMBER(SEARCH("governance",P993))),"Governance &amp; transparency",IF(OR(ISNUMBER(SEARCH("police",P993)),ISNUMBER(SEARCH("detention",P993)),ISNUMBER(SEARCH("civil rights",P993)),ISNUMBER(SEARCH("justice",P993))),"Civil rights &amp; justice",IF(OR(ISNUMBER(SEARCH("road",P993)),ISNUMBER(SEARCH("utility",P993)),ISNUMBER(SEARCH("infrastructure",P993)),ISNUMBER(SEARCH("public service",P993))),"Infrastructure &amp; public services","Other"))))))))))))</x:f>
      </x:c>
      <x:c r="J993" s="16" t="str">
        <x:f>IF(A993="","",IF(OR(ISNUMBER(SEARCH("fatal",Q993)),ISNUMBER(SEARCH("death",Q993)),ISNUMBER(SEARCH("riot",Q993)),ISNUMBER(SEARCH("curfew",Q993)),ISNUMBER(SEARCH("internet shutdown",Q993))),5,MIN(4,1+IF(H993&gt;=7,1,0)+IF(OR(ISNUMBER(SEARCH("hunger strike",Q993)),ISNUMBER(SEARCH("blockade",Q993)),ISNUMBER(SEARCH("strike",Q993)),ISNUMBER(SEARCH("jal satyagraha",Q993)),ISNUMBER(SEARCH("survey",Q993)),ISNUMBER(SEARCH("human chain",Q993)),ISNUMBER(SEARCH("march",Q993))),1,0)+IF(OR(ISNUMBER(SEARCH("fir",Q993)),ISNUMBER(SEARCH("confrontation",Q993)),ISNUMBER(SEARCH("violence",Q993)),ISNUMBER(SEARCH("detention",Q993)),ISNUMBER(SEARCH("arrest",Q993)),ISNUMBER(SEARCH("demolition",Q993)),ISNUMBER(SEARCH("injury",Q993))),1,0)+IF(OR(D993="Ongoing",D993="Unresolved"),1,0))))</x:f>
      </x:c>
      <x:c r="K993" s="16" t="str">
        <x:f>IF(J993="","",IF(J993=1,"Limited",IF(J993=2,"Local",IF(J993=3,"Significant",IF(J993=4,"High","Critical")))))</x:f>
      </x:c>
      <x:c r="L993" s="16" t="str">
        <x:f>IF(A993="","",Events!U992)</x:f>
      </x:c>
      <x:c r="M993" s="16" t="str">
        <x:f>IF(A993="","",Events!V992)</x:f>
      </x:c>
      <x:c r="N993" s="16" t="str">
        <x:f>IF(A993="","",Events!Q992)</x:f>
      </x:c>
      <x:c r="O993" s="16" t="str">
        <x:f>IF(A993="","",Events!R992)</x:f>
      </x:c>
      <x:c r="P993" s="16" t="str">
        <x:f>IF(A993="","",LOWER(Events!B992&amp;" "&amp;Events!D992&amp;" "&amp;Events!K992))</x:f>
      </x:c>
      <x:c r="Q993" s="16" t="str">
        <x:f>IF(A993="","",LOWER(Events!C992&amp;" "&amp;Events!K992&amp;" "&amp;Events!T992))</x:f>
      </x:c>
      <x:c r="R993" s="16" t="str">
        <x:f>IF(A993="","",IF(ISNUMBER(SEARCH("Occurrence verified",E993)),"Occurrence verified",E993))</x:f>
      </x:c>
      <x:c r="S993" s="79" t="str">
        <x:f>IF(A993="","",Events!X992)</x:f>
      </x:c>
      <x:c r="Z993" s="79" t="str">
        <x:f>IF(A993="","",Events!AD992)</x:f>
      </x:c>
      <x:c r="AA993" s="79" t="str">
        <x:f>IF(A993="","",Events!AE992)</x:f>
      </x:c>
    </x:row>
    <x:row r="994">
      <x:c r="A994" s="16" t="str">
        <x:f>IF(Events!A993="","",Events!A993)</x:f>
      </x:c>
      <x:c r="B994" s="16" t="str">
        <x:f>IF(A994="","",Events!B993)</x:f>
      </x:c>
      <x:c r="C994" s="16" t="str">
        <x:f>IF(A994="","",Events!E993)</x:f>
      </x:c>
      <x:c r="D994" s="16" t="str">
        <x:f>IF(A994="","",Events!J993)</x:f>
      </x:c>
      <x:c r="E994" s="16" t="str">
        <x:f>IF(A994="","",Events!N993)</x:f>
      </x:c>
      <x:c r="F994" s="109" t="str">
        <x:f>IF(OR(A994="",Events!H993=""),"",Events!H993)</x:f>
      </x:c>
      <x:c r="G994" s="109" t="str">
        <x:f>IF(A994="","",IF(Events!I993&lt;&gt;"",Events!I993,IF(Events!S993&lt;&gt;"",Events!S993,"")))</x:f>
      </x:c>
      <x:c r="H994" s="16" t="str">
        <x:f>IF(A994="","",Events!W993)</x:f>
      </x:c>
      <x:c r="I994" s="16" t="str">
        <x:f>IF(A994="","",IF(Events!Y993&lt;&gt;"",Events!Y993,IF(OR(ISNUMBER(SEARCH("education",P994)),ISNUMBER(SEARCH("exam",P994)),ISNUMBER(SEARCH("school",P994))),"Education",IF(OR(ISNUMBER(SEARCH("trade agreement",P994)),ISNUMBER(SEARCH("economic",P994)),ISNUMBER(SEARCH("import",P994))),"Trade &amp; economic policy",IF(OR(ISNUMBER(SEARCH("land acquisition",P994)),ISNUMBER(SEARCH("rehabilitation",P994)),ISNUMBER(SEARCH("displacement",P994)),ISNUMBER(SEARCH("township",P994))),"Land &amp; rehabilitation",IF(OR(ISNUMBER(SEARCH("forest",P994)),ISNUMBER(SEARCH("environment",P994)),ISNUMBER(SEARCH("ecological",P994)),ISNUMBER(SEARCH("biodiversity",P994)),ISNUMBER(SEARCH("green cover",P994))),"Environment",IF(OR(ISNUMBER(SEARCH("irrigation",P994)),ISNUMBER(SEARCH("water",P994)),ISNUMBER(SEARCH("crop",P994)),ISNUMBER(SEARCH("farmer",P994)),ISNUMBER(SEARCH("agriculture",P994))),"Agriculture &amp; water",IF(OR(ISNUMBER(SEARCH("health",P994)),ISNUMBER(SEARCH("hospital",P994)),ISNUMBER(SEARCH("medicine",P994))),"Public health",IF(OR(ISNUMBER(SEARCH("employee",P994)),ISNUMBER(SEARCH("labour",P994)),ISNUMBER(SEARCH("worker",P994)),ISNUMBER(SEARCH("salary",P994))),"Labour &amp; employment",IF(OR(ISNUMBER(SEARCH("rti",P994)),ISNUMBER(SEARCH("transparency",P994)),ISNUMBER(SEARCH("corruption",P994)),ISNUMBER(SEARCH("governance",P994))),"Governance &amp; transparency",IF(OR(ISNUMBER(SEARCH("police",P994)),ISNUMBER(SEARCH("detention",P994)),ISNUMBER(SEARCH("civil rights",P994)),ISNUMBER(SEARCH("justice",P994))),"Civil rights &amp; justice",IF(OR(ISNUMBER(SEARCH("road",P994)),ISNUMBER(SEARCH("utility",P994)),ISNUMBER(SEARCH("infrastructure",P994)),ISNUMBER(SEARCH("public service",P994))),"Infrastructure &amp; public services","Other"))))))))))))</x:f>
      </x:c>
      <x:c r="J994" s="16" t="str">
        <x:f>IF(A994="","",IF(OR(ISNUMBER(SEARCH("fatal",Q994)),ISNUMBER(SEARCH("death",Q994)),ISNUMBER(SEARCH("riot",Q994)),ISNUMBER(SEARCH("curfew",Q994)),ISNUMBER(SEARCH("internet shutdown",Q994))),5,MIN(4,1+IF(H994&gt;=7,1,0)+IF(OR(ISNUMBER(SEARCH("hunger strike",Q994)),ISNUMBER(SEARCH("blockade",Q994)),ISNUMBER(SEARCH("strike",Q994)),ISNUMBER(SEARCH("jal satyagraha",Q994)),ISNUMBER(SEARCH("survey",Q994)),ISNUMBER(SEARCH("human chain",Q994)),ISNUMBER(SEARCH("march",Q994))),1,0)+IF(OR(ISNUMBER(SEARCH("fir",Q994)),ISNUMBER(SEARCH("confrontation",Q994)),ISNUMBER(SEARCH("violence",Q994)),ISNUMBER(SEARCH("detention",Q994)),ISNUMBER(SEARCH("arrest",Q994)),ISNUMBER(SEARCH("demolition",Q994)),ISNUMBER(SEARCH("injury",Q994))),1,0)+IF(OR(D994="Ongoing",D994="Unresolved"),1,0))))</x:f>
      </x:c>
      <x:c r="K994" s="16" t="str">
        <x:f>IF(J994="","",IF(J994=1,"Limited",IF(J994=2,"Local",IF(J994=3,"Significant",IF(J994=4,"High","Critical")))))</x:f>
      </x:c>
      <x:c r="L994" s="16" t="str">
        <x:f>IF(A994="","",Events!U993)</x:f>
      </x:c>
      <x:c r="M994" s="16" t="str">
        <x:f>IF(A994="","",Events!V993)</x:f>
      </x:c>
      <x:c r="N994" s="16" t="str">
        <x:f>IF(A994="","",Events!Q993)</x:f>
      </x:c>
      <x:c r="O994" s="16" t="str">
        <x:f>IF(A994="","",Events!R993)</x:f>
      </x:c>
      <x:c r="P994" s="16" t="str">
        <x:f>IF(A994="","",LOWER(Events!B993&amp;" "&amp;Events!D993&amp;" "&amp;Events!K993))</x:f>
      </x:c>
      <x:c r="Q994" s="16" t="str">
        <x:f>IF(A994="","",LOWER(Events!C993&amp;" "&amp;Events!K993&amp;" "&amp;Events!T993))</x:f>
      </x:c>
      <x:c r="R994" s="16" t="str">
        <x:f>IF(A994="","",IF(ISNUMBER(SEARCH("Occurrence verified",E994)),"Occurrence verified",E994))</x:f>
      </x:c>
      <x:c r="S994" s="79" t="str">
        <x:f>IF(A994="","",Events!X993)</x:f>
      </x:c>
      <x:c r="Z994" s="79" t="str">
        <x:f>IF(A994="","",Events!AD993)</x:f>
      </x:c>
      <x:c r="AA994" s="79" t="str">
        <x:f>IF(A994="","",Events!AE993)</x:f>
      </x:c>
    </x:row>
    <x:row r="995">
      <x:c r="A995" s="16" t="str">
        <x:f>IF(Events!A994="","",Events!A994)</x:f>
      </x:c>
      <x:c r="B995" s="16" t="str">
        <x:f>IF(A995="","",Events!B994)</x:f>
      </x:c>
      <x:c r="C995" s="16" t="str">
        <x:f>IF(A995="","",Events!E994)</x:f>
      </x:c>
      <x:c r="D995" s="16" t="str">
        <x:f>IF(A995="","",Events!J994)</x:f>
      </x:c>
      <x:c r="E995" s="16" t="str">
        <x:f>IF(A995="","",Events!N994)</x:f>
      </x:c>
      <x:c r="F995" s="109" t="str">
        <x:f>IF(OR(A995="",Events!H994=""),"",Events!H994)</x:f>
      </x:c>
      <x:c r="G995" s="109" t="str">
        <x:f>IF(A995="","",IF(Events!I994&lt;&gt;"",Events!I994,IF(Events!S994&lt;&gt;"",Events!S994,"")))</x:f>
      </x:c>
      <x:c r="H995" s="16" t="str">
        <x:f>IF(A995="","",Events!W994)</x:f>
      </x:c>
      <x:c r="I995" s="16" t="str">
        <x:f>IF(A995="","",IF(Events!Y994&lt;&gt;"",Events!Y994,IF(OR(ISNUMBER(SEARCH("education",P995)),ISNUMBER(SEARCH("exam",P995)),ISNUMBER(SEARCH("school",P995))),"Education",IF(OR(ISNUMBER(SEARCH("trade agreement",P995)),ISNUMBER(SEARCH("economic",P995)),ISNUMBER(SEARCH("import",P995))),"Trade &amp; economic policy",IF(OR(ISNUMBER(SEARCH("land acquisition",P995)),ISNUMBER(SEARCH("rehabilitation",P995)),ISNUMBER(SEARCH("displacement",P995)),ISNUMBER(SEARCH("township",P995))),"Land &amp; rehabilitation",IF(OR(ISNUMBER(SEARCH("forest",P995)),ISNUMBER(SEARCH("environment",P995)),ISNUMBER(SEARCH("ecological",P995)),ISNUMBER(SEARCH("biodiversity",P995)),ISNUMBER(SEARCH("green cover",P995))),"Environment",IF(OR(ISNUMBER(SEARCH("irrigation",P995)),ISNUMBER(SEARCH("water",P995)),ISNUMBER(SEARCH("crop",P995)),ISNUMBER(SEARCH("farmer",P995)),ISNUMBER(SEARCH("agriculture",P995))),"Agriculture &amp; water",IF(OR(ISNUMBER(SEARCH("health",P995)),ISNUMBER(SEARCH("hospital",P995)),ISNUMBER(SEARCH("medicine",P995))),"Public health",IF(OR(ISNUMBER(SEARCH("employee",P995)),ISNUMBER(SEARCH("labour",P995)),ISNUMBER(SEARCH("worker",P995)),ISNUMBER(SEARCH("salary",P995))),"Labour &amp; employment",IF(OR(ISNUMBER(SEARCH("rti",P995)),ISNUMBER(SEARCH("transparency",P995)),ISNUMBER(SEARCH("corruption",P995)),ISNUMBER(SEARCH("governance",P995))),"Governance &amp; transparency",IF(OR(ISNUMBER(SEARCH("police",P995)),ISNUMBER(SEARCH("detention",P995)),ISNUMBER(SEARCH("civil rights",P995)),ISNUMBER(SEARCH("justice",P995))),"Civil rights &amp; justice",IF(OR(ISNUMBER(SEARCH("road",P995)),ISNUMBER(SEARCH("utility",P995)),ISNUMBER(SEARCH("infrastructure",P995)),ISNUMBER(SEARCH("public service",P995))),"Infrastructure &amp; public services","Other"))))))))))))</x:f>
      </x:c>
      <x:c r="J995" s="16" t="str">
        <x:f>IF(A995="","",IF(OR(ISNUMBER(SEARCH("fatal",Q995)),ISNUMBER(SEARCH("death",Q995)),ISNUMBER(SEARCH("riot",Q995)),ISNUMBER(SEARCH("curfew",Q995)),ISNUMBER(SEARCH("internet shutdown",Q995))),5,MIN(4,1+IF(H995&gt;=7,1,0)+IF(OR(ISNUMBER(SEARCH("hunger strike",Q995)),ISNUMBER(SEARCH("blockade",Q995)),ISNUMBER(SEARCH("strike",Q995)),ISNUMBER(SEARCH("jal satyagraha",Q995)),ISNUMBER(SEARCH("survey",Q995)),ISNUMBER(SEARCH("human chain",Q995)),ISNUMBER(SEARCH("march",Q995))),1,0)+IF(OR(ISNUMBER(SEARCH("fir",Q995)),ISNUMBER(SEARCH("confrontation",Q995)),ISNUMBER(SEARCH("violence",Q995)),ISNUMBER(SEARCH("detention",Q995)),ISNUMBER(SEARCH("arrest",Q995)),ISNUMBER(SEARCH("demolition",Q995)),ISNUMBER(SEARCH("injury",Q995))),1,0)+IF(OR(D995="Ongoing",D995="Unresolved"),1,0))))</x:f>
      </x:c>
      <x:c r="K995" s="16" t="str">
        <x:f>IF(J995="","",IF(J995=1,"Limited",IF(J995=2,"Local",IF(J995=3,"Significant",IF(J995=4,"High","Critical")))))</x:f>
      </x:c>
      <x:c r="L995" s="16" t="str">
        <x:f>IF(A995="","",Events!U994)</x:f>
      </x:c>
      <x:c r="M995" s="16" t="str">
        <x:f>IF(A995="","",Events!V994)</x:f>
      </x:c>
      <x:c r="N995" s="16" t="str">
        <x:f>IF(A995="","",Events!Q994)</x:f>
      </x:c>
      <x:c r="O995" s="16" t="str">
        <x:f>IF(A995="","",Events!R994)</x:f>
      </x:c>
      <x:c r="P995" s="16" t="str">
        <x:f>IF(A995="","",LOWER(Events!B994&amp;" "&amp;Events!D994&amp;" "&amp;Events!K994))</x:f>
      </x:c>
      <x:c r="Q995" s="16" t="str">
        <x:f>IF(A995="","",LOWER(Events!C994&amp;" "&amp;Events!K994&amp;" "&amp;Events!T994))</x:f>
      </x:c>
      <x:c r="R995" s="16" t="str">
        <x:f>IF(A995="","",IF(ISNUMBER(SEARCH("Occurrence verified",E995)),"Occurrence verified",E995))</x:f>
      </x:c>
      <x:c r="S995" s="79" t="str">
        <x:f>IF(A995="","",Events!X994)</x:f>
      </x:c>
      <x:c r="Z995" s="79" t="str">
        <x:f>IF(A995="","",Events!AD994)</x:f>
      </x:c>
      <x:c r="AA995" s="79" t="str">
        <x:f>IF(A995="","",Events!AE994)</x:f>
      </x:c>
    </x:row>
    <x:row r="996">
      <x:c r="A996" s="16" t="str">
        <x:f>IF(Events!A995="","",Events!A995)</x:f>
      </x:c>
      <x:c r="B996" s="16" t="str">
        <x:f>IF(A996="","",Events!B995)</x:f>
      </x:c>
      <x:c r="C996" s="16" t="str">
        <x:f>IF(A996="","",Events!E995)</x:f>
      </x:c>
      <x:c r="D996" s="16" t="str">
        <x:f>IF(A996="","",Events!J995)</x:f>
      </x:c>
      <x:c r="E996" s="16" t="str">
        <x:f>IF(A996="","",Events!N995)</x:f>
      </x:c>
      <x:c r="F996" s="109" t="str">
        <x:f>IF(OR(A996="",Events!H995=""),"",Events!H995)</x:f>
      </x:c>
      <x:c r="G996" s="109" t="str">
        <x:f>IF(A996="","",IF(Events!I995&lt;&gt;"",Events!I995,IF(Events!S995&lt;&gt;"",Events!S995,"")))</x:f>
      </x:c>
      <x:c r="H996" s="16" t="str">
        <x:f>IF(A996="","",Events!W995)</x:f>
      </x:c>
      <x:c r="I996" s="16" t="str">
        <x:f>IF(A996="","",IF(Events!Y995&lt;&gt;"",Events!Y995,IF(OR(ISNUMBER(SEARCH("education",P996)),ISNUMBER(SEARCH("exam",P996)),ISNUMBER(SEARCH("school",P996))),"Education",IF(OR(ISNUMBER(SEARCH("trade agreement",P996)),ISNUMBER(SEARCH("economic",P996)),ISNUMBER(SEARCH("import",P996))),"Trade &amp; economic policy",IF(OR(ISNUMBER(SEARCH("land acquisition",P996)),ISNUMBER(SEARCH("rehabilitation",P996)),ISNUMBER(SEARCH("displacement",P996)),ISNUMBER(SEARCH("township",P996))),"Land &amp; rehabilitation",IF(OR(ISNUMBER(SEARCH("forest",P996)),ISNUMBER(SEARCH("environment",P996)),ISNUMBER(SEARCH("ecological",P996)),ISNUMBER(SEARCH("biodiversity",P996)),ISNUMBER(SEARCH("green cover",P996))),"Environment",IF(OR(ISNUMBER(SEARCH("irrigation",P996)),ISNUMBER(SEARCH("water",P996)),ISNUMBER(SEARCH("crop",P996)),ISNUMBER(SEARCH("farmer",P996)),ISNUMBER(SEARCH("agriculture",P996))),"Agriculture &amp; water",IF(OR(ISNUMBER(SEARCH("health",P996)),ISNUMBER(SEARCH("hospital",P996)),ISNUMBER(SEARCH("medicine",P996))),"Public health",IF(OR(ISNUMBER(SEARCH("employee",P996)),ISNUMBER(SEARCH("labour",P996)),ISNUMBER(SEARCH("worker",P996)),ISNUMBER(SEARCH("salary",P996))),"Labour &amp; employment",IF(OR(ISNUMBER(SEARCH("rti",P996)),ISNUMBER(SEARCH("transparency",P996)),ISNUMBER(SEARCH("corruption",P996)),ISNUMBER(SEARCH("governance",P996))),"Governance &amp; transparency",IF(OR(ISNUMBER(SEARCH("police",P996)),ISNUMBER(SEARCH("detention",P996)),ISNUMBER(SEARCH("civil rights",P996)),ISNUMBER(SEARCH("justice",P996))),"Civil rights &amp; justice",IF(OR(ISNUMBER(SEARCH("road",P996)),ISNUMBER(SEARCH("utility",P996)),ISNUMBER(SEARCH("infrastructure",P996)),ISNUMBER(SEARCH("public service",P996))),"Infrastructure &amp; public services","Other"))))))))))))</x:f>
      </x:c>
      <x:c r="J996" s="16" t="str">
        <x:f>IF(A996="","",IF(OR(ISNUMBER(SEARCH("fatal",Q996)),ISNUMBER(SEARCH("death",Q996)),ISNUMBER(SEARCH("riot",Q996)),ISNUMBER(SEARCH("curfew",Q996)),ISNUMBER(SEARCH("internet shutdown",Q996))),5,MIN(4,1+IF(H996&gt;=7,1,0)+IF(OR(ISNUMBER(SEARCH("hunger strike",Q996)),ISNUMBER(SEARCH("blockade",Q996)),ISNUMBER(SEARCH("strike",Q996)),ISNUMBER(SEARCH("jal satyagraha",Q996)),ISNUMBER(SEARCH("survey",Q996)),ISNUMBER(SEARCH("human chain",Q996)),ISNUMBER(SEARCH("march",Q996))),1,0)+IF(OR(ISNUMBER(SEARCH("fir",Q996)),ISNUMBER(SEARCH("confrontation",Q996)),ISNUMBER(SEARCH("violence",Q996)),ISNUMBER(SEARCH("detention",Q996)),ISNUMBER(SEARCH("arrest",Q996)),ISNUMBER(SEARCH("demolition",Q996)),ISNUMBER(SEARCH("injury",Q996))),1,0)+IF(OR(D996="Ongoing",D996="Unresolved"),1,0))))</x:f>
      </x:c>
      <x:c r="K996" s="16" t="str">
        <x:f>IF(J996="","",IF(J996=1,"Limited",IF(J996=2,"Local",IF(J996=3,"Significant",IF(J996=4,"High","Critical")))))</x:f>
      </x:c>
      <x:c r="L996" s="16" t="str">
        <x:f>IF(A996="","",Events!U995)</x:f>
      </x:c>
      <x:c r="M996" s="16" t="str">
        <x:f>IF(A996="","",Events!V995)</x:f>
      </x:c>
      <x:c r="N996" s="16" t="str">
        <x:f>IF(A996="","",Events!Q995)</x:f>
      </x:c>
      <x:c r="O996" s="16" t="str">
        <x:f>IF(A996="","",Events!R995)</x:f>
      </x:c>
      <x:c r="P996" s="16" t="str">
        <x:f>IF(A996="","",LOWER(Events!B995&amp;" "&amp;Events!D995&amp;" "&amp;Events!K995))</x:f>
      </x:c>
      <x:c r="Q996" s="16" t="str">
        <x:f>IF(A996="","",LOWER(Events!C995&amp;" "&amp;Events!K995&amp;" "&amp;Events!T995))</x:f>
      </x:c>
      <x:c r="R996" s="16" t="str">
        <x:f>IF(A996="","",IF(ISNUMBER(SEARCH("Occurrence verified",E996)),"Occurrence verified",E996))</x:f>
      </x:c>
      <x:c r="S996" s="79" t="str">
        <x:f>IF(A996="","",Events!X995)</x:f>
      </x:c>
      <x:c r="Z996" s="79" t="str">
        <x:f>IF(A996="","",Events!AD995)</x:f>
      </x:c>
      <x:c r="AA996" s="79" t="str">
        <x:f>IF(A996="","",Events!AE995)</x:f>
      </x:c>
    </x:row>
    <x:row r="997">
      <x:c r="A997" s="16" t="str">
        <x:f>IF(Events!A996="","",Events!A996)</x:f>
      </x:c>
      <x:c r="B997" s="16" t="str">
        <x:f>IF(A997="","",Events!B996)</x:f>
      </x:c>
      <x:c r="C997" s="16" t="str">
        <x:f>IF(A997="","",Events!E996)</x:f>
      </x:c>
      <x:c r="D997" s="16" t="str">
        <x:f>IF(A997="","",Events!J996)</x:f>
      </x:c>
      <x:c r="E997" s="16" t="str">
        <x:f>IF(A997="","",Events!N996)</x:f>
      </x:c>
      <x:c r="F997" s="109" t="str">
        <x:f>IF(OR(A997="",Events!H996=""),"",Events!H996)</x:f>
      </x:c>
      <x:c r="G997" s="109" t="str">
        <x:f>IF(A997="","",IF(Events!I996&lt;&gt;"",Events!I996,IF(Events!S996&lt;&gt;"",Events!S996,"")))</x:f>
      </x:c>
      <x:c r="H997" s="16" t="str">
        <x:f>IF(A997="","",Events!W996)</x:f>
      </x:c>
      <x:c r="I997" s="16" t="str">
        <x:f>IF(A997="","",IF(Events!Y996&lt;&gt;"",Events!Y996,IF(OR(ISNUMBER(SEARCH("education",P997)),ISNUMBER(SEARCH("exam",P997)),ISNUMBER(SEARCH("school",P997))),"Education",IF(OR(ISNUMBER(SEARCH("trade agreement",P997)),ISNUMBER(SEARCH("economic",P997)),ISNUMBER(SEARCH("import",P997))),"Trade &amp; economic policy",IF(OR(ISNUMBER(SEARCH("land acquisition",P997)),ISNUMBER(SEARCH("rehabilitation",P997)),ISNUMBER(SEARCH("displacement",P997)),ISNUMBER(SEARCH("township",P997))),"Land &amp; rehabilitation",IF(OR(ISNUMBER(SEARCH("forest",P997)),ISNUMBER(SEARCH("environment",P997)),ISNUMBER(SEARCH("ecological",P997)),ISNUMBER(SEARCH("biodiversity",P997)),ISNUMBER(SEARCH("green cover",P997))),"Environment",IF(OR(ISNUMBER(SEARCH("irrigation",P997)),ISNUMBER(SEARCH("water",P997)),ISNUMBER(SEARCH("crop",P997)),ISNUMBER(SEARCH("farmer",P997)),ISNUMBER(SEARCH("agriculture",P997))),"Agriculture &amp; water",IF(OR(ISNUMBER(SEARCH("health",P997)),ISNUMBER(SEARCH("hospital",P997)),ISNUMBER(SEARCH("medicine",P997))),"Public health",IF(OR(ISNUMBER(SEARCH("employee",P997)),ISNUMBER(SEARCH("labour",P997)),ISNUMBER(SEARCH("worker",P997)),ISNUMBER(SEARCH("salary",P997))),"Labour &amp; employment",IF(OR(ISNUMBER(SEARCH("rti",P997)),ISNUMBER(SEARCH("transparency",P997)),ISNUMBER(SEARCH("corruption",P997)),ISNUMBER(SEARCH("governance",P997))),"Governance &amp; transparency",IF(OR(ISNUMBER(SEARCH("police",P997)),ISNUMBER(SEARCH("detention",P997)),ISNUMBER(SEARCH("civil rights",P997)),ISNUMBER(SEARCH("justice",P997))),"Civil rights &amp; justice",IF(OR(ISNUMBER(SEARCH("road",P997)),ISNUMBER(SEARCH("utility",P997)),ISNUMBER(SEARCH("infrastructure",P997)),ISNUMBER(SEARCH("public service",P997))),"Infrastructure &amp; public services","Other"))))))))))))</x:f>
      </x:c>
      <x:c r="J997" s="16" t="str">
        <x:f>IF(A997="","",IF(OR(ISNUMBER(SEARCH("fatal",Q997)),ISNUMBER(SEARCH("death",Q997)),ISNUMBER(SEARCH("riot",Q997)),ISNUMBER(SEARCH("curfew",Q997)),ISNUMBER(SEARCH("internet shutdown",Q997))),5,MIN(4,1+IF(H997&gt;=7,1,0)+IF(OR(ISNUMBER(SEARCH("hunger strike",Q997)),ISNUMBER(SEARCH("blockade",Q997)),ISNUMBER(SEARCH("strike",Q997)),ISNUMBER(SEARCH("jal satyagraha",Q997)),ISNUMBER(SEARCH("survey",Q997)),ISNUMBER(SEARCH("human chain",Q997)),ISNUMBER(SEARCH("march",Q997))),1,0)+IF(OR(ISNUMBER(SEARCH("fir",Q997)),ISNUMBER(SEARCH("confrontation",Q997)),ISNUMBER(SEARCH("violence",Q997)),ISNUMBER(SEARCH("detention",Q997)),ISNUMBER(SEARCH("arrest",Q997)),ISNUMBER(SEARCH("demolition",Q997)),ISNUMBER(SEARCH("injury",Q997))),1,0)+IF(OR(D997="Ongoing",D997="Unresolved"),1,0))))</x:f>
      </x:c>
      <x:c r="K997" s="16" t="str">
        <x:f>IF(J997="","",IF(J997=1,"Limited",IF(J997=2,"Local",IF(J997=3,"Significant",IF(J997=4,"High","Critical")))))</x:f>
      </x:c>
      <x:c r="L997" s="16" t="str">
        <x:f>IF(A997="","",Events!U996)</x:f>
      </x:c>
      <x:c r="M997" s="16" t="str">
        <x:f>IF(A997="","",Events!V996)</x:f>
      </x:c>
      <x:c r="N997" s="16" t="str">
        <x:f>IF(A997="","",Events!Q996)</x:f>
      </x:c>
      <x:c r="O997" s="16" t="str">
        <x:f>IF(A997="","",Events!R996)</x:f>
      </x:c>
      <x:c r="P997" s="16" t="str">
        <x:f>IF(A997="","",LOWER(Events!B996&amp;" "&amp;Events!D996&amp;" "&amp;Events!K996))</x:f>
      </x:c>
      <x:c r="Q997" s="16" t="str">
        <x:f>IF(A997="","",LOWER(Events!C996&amp;" "&amp;Events!K996&amp;" "&amp;Events!T996))</x:f>
      </x:c>
      <x:c r="R997" s="16" t="str">
        <x:f>IF(A997="","",IF(ISNUMBER(SEARCH("Occurrence verified",E997)),"Occurrence verified",E997))</x:f>
      </x:c>
      <x:c r="S997" s="79" t="str">
        <x:f>IF(A997="","",Events!X996)</x:f>
      </x:c>
      <x:c r="Z997" s="79" t="str">
        <x:f>IF(A997="","",Events!AD996)</x:f>
      </x:c>
      <x:c r="AA997" s="79" t="str">
        <x:f>IF(A997="","",Events!AE996)</x:f>
      </x:c>
    </x:row>
    <x:row r="998">
      <x:c r="A998" s="16" t="str">
        <x:f>IF(Events!A997="","",Events!A997)</x:f>
      </x:c>
      <x:c r="B998" s="16" t="str">
        <x:f>IF(A998="","",Events!B997)</x:f>
      </x:c>
      <x:c r="C998" s="16" t="str">
        <x:f>IF(A998="","",Events!E997)</x:f>
      </x:c>
      <x:c r="D998" s="16" t="str">
        <x:f>IF(A998="","",Events!J997)</x:f>
      </x:c>
      <x:c r="E998" s="16" t="str">
        <x:f>IF(A998="","",Events!N997)</x:f>
      </x:c>
      <x:c r="F998" s="109" t="str">
        <x:f>IF(OR(A998="",Events!H997=""),"",Events!H997)</x:f>
      </x:c>
      <x:c r="G998" s="109" t="str">
        <x:f>IF(A998="","",IF(Events!I997&lt;&gt;"",Events!I997,IF(Events!S997&lt;&gt;"",Events!S997,"")))</x:f>
      </x:c>
      <x:c r="H998" s="16" t="str">
        <x:f>IF(A998="","",Events!W997)</x:f>
      </x:c>
      <x:c r="I998" s="16" t="str">
        <x:f>IF(A998="","",IF(Events!Y997&lt;&gt;"",Events!Y997,IF(OR(ISNUMBER(SEARCH("education",P998)),ISNUMBER(SEARCH("exam",P998)),ISNUMBER(SEARCH("school",P998))),"Education",IF(OR(ISNUMBER(SEARCH("trade agreement",P998)),ISNUMBER(SEARCH("economic",P998)),ISNUMBER(SEARCH("import",P998))),"Trade &amp; economic policy",IF(OR(ISNUMBER(SEARCH("land acquisition",P998)),ISNUMBER(SEARCH("rehabilitation",P998)),ISNUMBER(SEARCH("displacement",P998)),ISNUMBER(SEARCH("township",P998))),"Land &amp; rehabilitation",IF(OR(ISNUMBER(SEARCH("forest",P998)),ISNUMBER(SEARCH("environment",P998)),ISNUMBER(SEARCH("ecological",P998)),ISNUMBER(SEARCH("biodiversity",P998)),ISNUMBER(SEARCH("green cover",P998))),"Environment",IF(OR(ISNUMBER(SEARCH("irrigation",P998)),ISNUMBER(SEARCH("water",P998)),ISNUMBER(SEARCH("crop",P998)),ISNUMBER(SEARCH("farmer",P998)),ISNUMBER(SEARCH("agriculture",P998))),"Agriculture &amp; water",IF(OR(ISNUMBER(SEARCH("health",P998)),ISNUMBER(SEARCH("hospital",P998)),ISNUMBER(SEARCH("medicine",P998))),"Public health",IF(OR(ISNUMBER(SEARCH("employee",P998)),ISNUMBER(SEARCH("labour",P998)),ISNUMBER(SEARCH("worker",P998)),ISNUMBER(SEARCH("salary",P998))),"Labour &amp; employment",IF(OR(ISNUMBER(SEARCH("rti",P998)),ISNUMBER(SEARCH("transparency",P998)),ISNUMBER(SEARCH("corruption",P998)),ISNUMBER(SEARCH("governance",P998))),"Governance &amp; transparency",IF(OR(ISNUMBER(SEARCH("police",P998)),ISNUMBER(SEARCH("detention",P998)),ISNUMBER(SEARCH("civil rights",P998)),ISNUMBER(SEARCH("justice",P998))),"Civil rights &amp; justice",IF(OR(ISNUMBER(SEARCH("road",P998)),ISNUMBER(SEARCH("utility",P998)),ISNUMBER(SEARCH("infrastructure",P998)),ISNUMBER(SEARCH("public service",P998))),"Infrastructure &amp; public services","Other"))))))))))))</x:f>
      </x:c>
      <x:c r="J998" s="16" t="str">
        <x:f>IF(A998="","",IF(OR(ISNUMBER(SEARCH("fatal",Q998)),ISNUMBER(SEARCH("death",Q998)),ISNUMBER(SEARCH("riot",Q998)),ISNUMBER(SEARCH("curfew",Q998)),ISNUMBER(SEARCH("internet shutdown",Q998))),5,MIN(4,1+IF(H998&gt;=7,1,0)+IF(OR(ISNUMBER(SEARCH("hunger strike",Q998)),ISNUMBER(SEARCH("blockade",Q998)),ISNUMBER(SEARCH("strike",Q998)),ISNUMBER(SEARCH("jal satyagraha",Q998)),ISNUMBER(SEARCH("survey",Q998)),ISNUMBER(SEARCH("human chain",Q998)),ISNUMBER(SEARCH("march",Q998))),1,0)+IF(OR(ISNUMBER(SEARCH("fir",Q998)),ISNUMBER(SEARCH("confrontation",Q998)),ISNUMBER(SEARCH("violence",Q998)),ISNUMBER(SEARCH("detention",Q998)),ISNUMBER(SEARCH("arrest",Q998)),ISNUMBER(SEARCH("demolition",Q998)),ISNUMBER(SEARCH("injury",Q998))),1,0)+IF(OR(D998="Ongoing",D998="Unresolved"),1,0))))</x:f>
      </x:c>
      <x:c r="K998" s="16" t="str">
        <x:f>IF(J998="","",IF(J998=1,"Limited",IF(J998=2,"Local",IF(J998=3,"Significant",IF(J998=4,"High","Critical")))))</x:f>
      </x:c>
      <x:c r="L998" s="16" t="str">
        <x:f>IF(A998="","",Events!U997)</x:f>
      </x:c>
      <x:c r="M998" s="16" t="str">
        <x:f>IF(A998="","",Events!V997)</x:f>
      </x:c>
      <x:c r="N998" s="16" t="str">
        <x:f>IF(A998="","",Events!Q997)</x:f>
      </x:c>
      <x:c r="O998" s="16" t="str">
        <x:f>IF(A998="","",Events!R997)</x:f>
      </x:c>
      <x:c r="P998" s="16" t="str">
        <x:f>IF(A998="","",LOWER(Events!B997&amp;" "&amp;Events!D997&amp;" "&amp;Events!K997))</x:f>
      </x:c>
      <x:c r="Q998" s="16" t="str">
        <x:f>IF(A998="","",LOWER(Events!C997&amp;" "&amp;Events!K997&amp;" "&amp;Events!T997))</x:f>
      </x:c>
      <x:c r="R998" s="16" t="str">
        <x:f>IF(A998="","",IF(ISNUMBER(SEARCH("Occurrence verified",E998)),"Occurrence verified",E998))</x:f>
      </x:c>
      <x:c r="S998" s="79" t="str">
        <x:f>IF(A998="","",Events!X997)</x:f>
      </x:c>
      <x:c r="Z998" s="79" t="str">
        <x:f>IF(A998="","",Events!AD997)</x:f>
      </x:c>
      <x:c r="AA998" s="79" t="str">
        <x:f>IF(A998="","",Events!AE997)</x:f>
      </x:c>
    </x:row>
    <x:row r="999">
      <x:c r="A999" s="16" t="str">
        <x:f>IF(Events!A998="","",Events!A998)</x:f>
      </x:c>
      <x:c r="B999" s="16" t="str">
        <x:f>IF(A999="","",Events!B998)</x:f>
      </x:c>
      <x:c r="C999" s="16" t="str">
        <x:f>IF(A999="","",Events!E998)</x:f>
      </x:c>
      <x:c r="D999" s="16" t="str">
        <x:f>IF(A999="","",Events!J998)</x:f>
      </x:c>
      <x:c r="E999" s="16" t="str">
        <x:f>IF(A999="","",Events!N998)</x:f>
      </x:c>
      <x:c r="F999" s="109" t="str">
        <x:f>IF(OR(A999="",Events!H998=""),"",Events!H998)</x:f>
      </x:c>
      <x:c r="G999" s="109" t="str">
        <x:f>IF(A999="","",IF(Events!I998&lt;&gt;"",Events!I998,IF(Events!S998&lt;&gt;"",Events!S998,"")))</x:f>
      </x:c>
      <x:c r="H999" s="16" t="str">
        <x:f>IF(A999="","",Events!W998)</x:f>
      </x:c>
      <x:c r="I999" s="16" t="str">
        <x:f>IF(A999="","",IF(Events!Y998&lt;&gt;"",Events!Y998,IF(OR(ISNUMBER(SEARCH("education",P999)),ISNUMBER(SEARCH("exam",P999)),ISNUMBER(SEARCH("school",P999))),"Education",IF(OR(ISNUMBER(SEARCH("trade agreement",P999)),ISNUMBER(SEARCH("economic",P999)),ISNUMBER(SEARCH("import",P999))),"Trade &amp; economic policy",IF(OR(ISNUMBER(SEARCH("land acquisition",P999)),ISNUMBER(SEARCH("rehabilitation",P999)),ISNUMBER(SEARCH("displacement",P999)),ISNUMBER(SEARCH("township",P999))),"Land &amp; rehabilitation",IF(OR(ISNUMBER(SEARCH("forest",P999)),ISNUMBER(SEARCH("environment",P999)),ISNUMBER(SEARCH("ecological",P999)),ISNUMBER(SEARCH("biodiversity",P999)),ISNUMBER(SEARCH("green cover",P999))),"Environment",IF(OR(ISNUMBER(SEARCH("irrigation",P999)),ISNUMBER(SEARCH("water",P999)),ISNUMBER(SEARCH("crop",P999)),ISNUMBER(SEARCH("farmer",P999)),ISNUMBER(SEARCH("agriculture",P999))),"Agriculture &amp; water",IF(OR(ISNUMBER(SEARCH("health",P999)),ISNUMBER(SEARCH("hospital",P999)),ISNUMBER(SEARCH("medicine",P999))),"Public health",IF(OR(ISNUMBER(SEARCH("employee",P999)),ISNUMBER(SEARCH("labour",P999)),ISNUMBER(SEARCH("worker",P999)),ISNUMBER(SEARCH("salary",P999))),"Labour &amp; employment",IF(OR(ISNUMBER(SEARCH("rti",P999)),ISNUMBER(SEARCH("transparency",P999)),ISNUMBER(SEARCH("corruption",P999)),ISNUMBER(SEARCH("governance",P999))),"Governance &amp; transparency",IF(OR(ISNUMBER(SEARCH("police",P999)),ISNUMBER(SEARCH("detention",P999)),ISNUMBER(SEARCH("civil rights",P999)),ISNUMBER(SEARCH("justice",P999))),"Civil rights &amp; justice",IF(OR(ISNUMBER(SEARCH("road",P999)),ISNUMBER(SEARCH("utility",P999)),ISNUMBER(SEARCH("infrastructure",P999)),ISNUMBER(SEARCH("public service",P999))),"Infrastructure &amp; public services","Other"))))))))))))</x:f>
      </x:c>
      <x:c r="J999" s="16" t="str">
        <x:f>IF(A999="","",IF(OR(ISNUMBER(SEARCH("fatal",Q999)),ISNUMBER(SEARCH("death",Q999)),ISNUMBER(SEARCH("riot",Q999)),ISNUMBER(SEARCH("curfew",Q999)),ISNUMBER(SEARCH("internet shutdown",Q999))),5,MIN(4,1+IF(H999&gt;=7,1,0)+IF(OR(ISNUMBER(SEARCH("hunger strike",Q999)),ISNUMBER(SEARCH("blockade",Q999)),ISNUMBER(SEARCH("strike",Q999)),ISNUMBER(SEARCH("jal satyagraha",Q999)),ISNUMBER(SEARCH("survey",Q999)),ISNUMBER(SEARCH("human chain",Q999)),ISNUMBER(SEARCH("march",Q999))),1,0)+IF(OR(ISNUMBER(SEARCH("fir",Q999)),ISNUMBER(SEARCH("confrontation",Q999)),ISNUMBER(SEARCH("violence",Q999)),ISNUMBER(SEARCH("detention",Q999)),ISNUMBER(SEARCH("arrest",Q999)),ISNUMBER(SEARCH("demolition",Q999)),ISNUMBER(SEARCH("injury",Q999))),1,0)+IF(OR(D999="Ongoing",D999="Unresolved"),1,0))))</x:f>
      </x:c>
      <x:c r="K999" s="16" t="str">
        <x:f>IF(J999="","",IF(J999=1,"Limited",IF(J999=2,"Local",IF(J999=3,"Significant",IF(J999=4,"High","Critical")))))</x:f>
      </x:c>
      <x:c r="L999" s="16" t="str">
        <x:f>IF(A999="","",Events!U998)</x:f>
      </x:c>
      <x:c r="M999" s="16" t="str">
        <x:f>IF(A999="","",Events!V998)</x:f>
      </x:c>
      <x:c r="N999" s="16" t="str">
        <x:f>IF(A999="","",Events!Q998)</x:f>
      </x:c>
      <x:c r="O999" s="16" t="str">
        <x:f>IF(A999="","",Events!R998)</x:f>
      </x:c>
      <x:c r="P999" s="16" t="str">
        <x:f>IF(A999="","",LOWER(Events!B998&amp;" "&amp;Events!D998&amp;" "&amp;Events!K998))</x:f>
      </x:c>
      <x:c r="Q999" s="16" t="str">
        <x:f>IF(A999="","",LOWER(Events!C998&amp;" "&amp;Events!K998&amp;" "&amp;Events!T998))</x:f>
      </x:c>
      <x:c r="R999" s="16" t="str">
        <x:f>IF(A999="","",IF(ISNUMBER(SEARCH("Occurrence verified",E999)),"Occurrence verified",E999))</x:f>
      </x:c>
      <x:c r="S999" s="79" t="str">
        <x:f>IF(A999="","",Events!X998)</x:f>
      </x:c>
      <x:c r="Z999" s="79" t="str">
        <x:f>IF(A999="","",Events!AD998)</x:f>
      </x:c>
      <x:c r="AA999" s="79" t="str">
        <x:f>IF(A999="","",Events!AE998)</x:f>
      </x:c>
    </x:row>
    <x:row r="1000">
      <x:c r="A1000" s="16" t="str">
        <x:f>IF(Events!A999="","",Events!A999)</x:f>
      </x:c>
      <x:c r="B1000" s="16" t="str">
        <x:f>IF(A1000="","",Events!B999)</x:f>
      </x:c>
      <x:c r="C1000" s="16" t="str">
        <x:f>IF(A1000="","",Events!E999)</x:f>
      </x:c>
      <x:c r="D1000" s="16" t="str">
        <x:f>IF(A1000="","",Events!J999)</x:f>
      </x:c>
      <x:c r="E1000" s="16" t="str">
        <x:f>IF(A1000="","",Events!N999)</x:f>
      </x:c>
      <x:c r="F1000" s="109" t="str">
        <x:f>IF(OR(A1000="",Events!H999=""),"",Events!H999)</x:f>
      </x:c>
      <x:c r="G1000" s="109" t="str">
        <x:f>IF(A1000="","",IF(Events!I999&lt;&gt;"",Events!I999,IF(Events!S999&lt;&gt;"",Events!S999,"")))</x:f>
      </x:c>
      <x:c r="H1000" s="16" t="str">
        <x:f>IF(A1000="","",Events!W999)</x:f>
      </x:c>
      <x:c r="I1000" s="16" t="str">
        <x:f>IF(A1000="","",IF(Events!Y999&lt;&gt;"",Events!Y999,IF(OR(ISNUMBER(SEARCH("education",P1000)),ISNUMBER(SEARCH("exam",P1000)),ISNUMBER(SEARCH("school",P1000))),"Education",IF(OR(ISNUMBER(SEARCH("trade agreement",P1000)),ISNUMBER(SEARCH("economic",P1000)),ISNUMBER(SEARCH("import",P1000))),"Trade &amp; economic policy",IF(OR(ISNUMBER(SEARCH("land acquisition",P1000)),ISNUMBER(SEARCH("rehabilitation",P1000)),ISNUMBER(SEARCH("displacement",P1000)),ISNUMBER(SEARCH("township",P1000))),"Land &amp; rehabilitation",IF(OR(ISNUMBER(SEARCH("forest",P1000)),ISNUMBER(SEARCH("environment",P1000)),ISNUMBER(SEARCH("ecological",P1000)),ISNUMBER(SEARCH("biodiversity",P1000)),ISNUMBER(SEARCH("green cover",P1000))),"Environment",IF(OR(ISNUMBER(SEARCH("irrigation",P1000)),ISNUMBER(SEARCH("water",P1000)),ISNUMBER(SEARCH("crop",P1000)),ISNUMBER(SEARCH("farmer",P1000)),ISNUMBER(SEARCH("agriculture",P1000))),"Agriculture &amp; water",IF(OR(ISNUMBER(SEARCH("health",P1000)),ISNUMBER(SEARCH("hospital",P1000)),ISNUMBER(SEARCH("medicine",P1000))),"Public health",IF(OR(ISNUMBER(SEARCH("employee",P1000)),ISNUMBER(SEARCH("labour",P1000)),ISNUMBER(SEARCH("worker",P1000)),ISNUMBER(SEARCH("salary",P1000))),"Labour &amp; employment",IF(OR(ISNUMBER(SEARCH("rti",P1000)),ISNUMBER(SEARCH("transparency",P1000)),ISNUMBER(SEARCH("corruption",P1000)),ISNUMBER(SEARCH("governance",P1000))),"Governance &amp; transparency",IF(OR(ISNUMBER(SEARCH("police",P1000)),ISNUMBER(SEARCH("detention",P1000)),ISNUMBER(SEARCH("civil rights",P1000)),ISNUMBER(SEARCH("justice",P1000))),"Civil rights &amp; justice",IF(OR(ISNUMBER(SEARCH("road",P1000)),ISNUMBER(SEARCH("utility",P1000)),ISNUMBER(SEARCH("infrastructure",P1000)),ISNUMBER(SEARCH("public service",P1000))),"Infrastructure &amp; public services","Other"))))))))))))</x:f>
      </x:c>
      <x:c r="J1000" s="16" t="str">
        <x:f>IF(A1000="","",IF(OR(ISNUMBER(SEARCH("fatal",Q1000)),ISNUMBER(SEARCH("death",Q1000)),ISNUMBER(SEARCH("riot",Q1000)),ISNUMBER(SEARCH("curfew",Q1000)),ISNUMBER(SEARCH("internet shutdown",Q1000))),5,MIN(4,1+IF(H1000&gt;=7,1,0)+IF(OR(ISNUMBER(SEARCH("hunger strike",Q1000)),ISNUMBER(SEARCH("blockade",Q1000)),ISNUMBER(SEARCH("strike",Q1000)),ISNUMBER(SEARCH("jal satyagraha",Q1000)),ISNUMBER(SEARCH("survey",Q1000)),ISNUMBER(SEARCH("human chain",Q1000)),ISNUMBER(SEARCH("march",Q1000))),1,0)+IF(OR(ISNUMBER(SEARCH("fir",Q1000)),ISNUMBER(SEARCH("confrontation",Q1000)),ISNUMBER(SEARCH("violence",Q1000)),ISNUMBER(SEARCH("detention",Q1000)),ISNUMBER(SEARCH("arrest",Q1000)),ISNUMBER(SEARCH("demolition",Q1000)),ISNUMBER(SEARCH("injury",Q1000))),1,0)+IF(OR(D1000="Ongoing",D1000="Unresolved"),1,0))))</x:f>
      </x:c>
      <x:c r="K1000" s="16" t="str">
        <x:f>IF(J1000="","",IF(J1000=1,"Limited",IF(J1000=2,"Local",IF(J1000=3,"Significant",IF(J1000=4,"High","Critical")))))</x:f>
      </x:c>
      <x:c r="L1000" s="16" t="str">
        <x:f>IF(A1000="","",Events!U999)</x:f>
      </x:c>
      <x:c r="M1000" s="16" t="str">
        <x:f>IF(A1000="","",Events!V999)</x:f>
      </x:c>
      <x:c r="N1000" s="16" t="str">
        <x:f>IF(A1000="","",Events!Q999)</x:f>
      </x:c>
      <x:c r="O1000" s="16" t="str">
        <x:f>IF(A1000="","",Events!R999)</x:f>
      </x:c>
      <x:c r="P1000" s="16" t="str">
        <x:f>IF(A1000="","",LOWER(Events!B999&amp;" "&amp;Events!D999&amp;" "&amp;Events!K999))</x:f>
      </x:c>
      <x:c r="Q1000" s="16" t="str">
        <x:f>IF(A1000="","",LOWER(Events!C999&amp;" "&amp;Events!K999&amp;" "&amp;Events!T999))</x:f>
      </x:c>
      <x:c r="R1000" s="16" t="str">
        <x:f>IF(A1000="","",IF(ISNUMBER(SEARCH("Occurrence verified",E1000)),"Occurrence verified",E1000))</x:f>
      </x:c>
      <x:c r="S1000" s="79" t="str">
        <x:f>IF(A1000="","",Events!X999)</x:f>
      </x:c>
      <x:c r="Z1000" s="79" t="str">
        <x:f>IF(A1000="","",Events!AD999)</x:f>
      </x:c>
      <x:c r="AA1000" s="79" t="str">
        <x:f>IF(A1000="","",Events!AE999)</x:f>
      </x:c>
    </x:row>
    <x:row r="1001">
      <x:c r="A1001" s="16" t="str">
        <x:f>IF(Events!A1000="","",Events!A1000)</x:f>
      </x:c>
      <x:c r="B1001" s="16" t="str">
        <x:f>IF(A1001="","",Events!B1000)</x:f>
      </x:c>
      <x:c r="C1001" s="16" t="str">
        <x:f>IF(A1001="","",Events!E1000)</x:f>
      </x:c>
      <x:c r="D1001" s="16" t="str">
        <x:f>IF(A1001="","",Events!J1000)</x:f>
      </x:c>
      <x:c r="E1001" s="16" t="str">
        <x:f>IF(A1001="","",Events!N1000)</x:f>
      </x:c>
      <x:c r="F1001" s="109" t="str">
        <x:f>IF(OR(A1001="",Events!H1000=""),"",Events!H1000)</x:f>
      </x:c>
      <x:c r="G1001" s="109" t="str">
        <x:f>IF(A1001="","",IF(Events!I1000&lt;&gt;"",Events!I1000,IF(Events!S1000&lt;&gt;"",Events!S1000,"")))</x:f>
      </x:c>
      <x:c r="H1001" s="16" t="str">
        <x:f>IF(A1001="","",Events!W1000)</x:f>
      </x:c>
      <x:c r="I1001" s="16" t="str">
        <x:f>IF(A1001="","",IF(Events!Y1000&lt;&gt;"",Events!Y1000,IF(OR(ISNUMBER(SEARCH("education",P1001)),ISNUMBER(SEARCH("exam",P1001)),ISNUMBER(SEARCH("school",P1001))),"Education",IF(OR(ISNUMBER(SEARCH("trade agreement",P1001)),ISNUMBER(SEARCH("economic",P1001)),ISNUMBER(SEARCH("import",P1001))),"Trade &amp; economic policy",IF(OR(ISNUMBER(SEARCH("land acquisition",P1001)),ISNUMBER(SEARCH("rehabilitation",P1001)),ISNUMBER(SEARCH("displacement",P1001)),ISNUMBER(SEARCH("township",P1001))),"Land &amp; rehabilitation",IF(OR(ISNUMBER(SEARCH("forest",P1001)),ISNUMBER(SEARCH("environment",P1001)),ISNUMBER(SEARCH("ecological",P1001)),ISNUMBER(SEARCH("biodiversity",P1001)),ISNUMBER(SEARCH("green cover",P1001))),"Environment",IF(OR(ISNUMBER(SEARCH("irrigation",P1001)),ISNUMBER(SEARCH("water",P1001)),ISNUMBER(SEARCH("crop",P1001)),ISNUMBER(SEARCH("farmer",P1001)),ISNUMBER(SEARCH("agriculture",P1001))),"Agriculture &amp; water",IF(OR(ISNUMBER(SEARCH("health",P1001)),ISNUMBER(SEARCH("hospital",P1001)),ISNUMBER(SEARCH("medicine",P1001))),"Public health",IF(OR(ISNUMBER(SEARCH("employee",P1001)),ISNUMBER(SEARCH("labour",P1001)),ISNUMBER(SEARCH("worker",P1001)),ISNUMBER(SEARCH("salary",P1001))),"Labour &amp; employment",IF(OR(ISNUMBER(SEARCH("rti",P1001)),ISNUMBER(SEARCH("transparency",P1001)),ISNUMBER(SEARCH("corruption",P1001)),ISNUMBER(SEARCH("governance",P1001))),"Governance &amp; transparency",IF(OR(ISNUMBER(SEARCH("police",P1001)),ISNUMBER(SEARCH("detention",P1001)),ISNUMBER(SEARCH("civil rights",P1001)),ISNUMBER(SEARCH("justice",P1001))),"Civil rights &amp; justice",IF(OR(ISNUMBER(SEARCH("road",P1001)),ISNUMBER(SEARCH("utility",P1001)),ISNUMBER(SEARCH("infrastructure",P1001)),ISNUMBER(SEARCH("public service",P1001))),"Infrastructure &amp; public services","Other"))))))))))))</x:f>
      </x:c>
      <x:c r="J1001" s="16" t="str">
        <x:f>IF(A1001="","",IF(OR(ISNUMBER(SEARCH("fatal",Q1001)),ISNUMBER(SEARCH("death",Q1001)),ISNUMBER(SEARCH("riot",Q1001)),ISNUMBER(SEARCH("curfew",Q1001)),ISNUMBER(SEARCH("internet shutdown",Q1001))),5,MIN(4,1+IF(H1001&gt;=7,1,0)+IF(OR(ISNUMBER(SEARCH("hunger strike",Q1001)),ISNUMBER(SEARCH("blockade",Q1001)),ISNUMBER(SEARCH("strike",Q1001)),ISNUMBER(SEARCH("jal satyagraha",Q1001)),ISNUMBER(SEARCH("survey",Q1001)),ISNUMBER(SEARCH("human chain",Q1001)),ISNUMBER(SEARCH("march",Q1001))),1,0)+IF(OR(ISNUMBER(SEARCH("fir",Q1001)),ISNUMBER(SEARCH("confrontation",Q1001)),ISNUMBER(SEARCH("violence",Q1001)),ISNUMBER(SEARCH("detention",Q1001)),ISNUMBER(SEARCH("arrest",Q1001)),ISNUMBER(SEARCH("demolition",Q1001)),ISNUMBER(SEARCH("injury",Q1001))),1,0)+IF(OR(D1001="Ongoing",D1001="Unresolved"),1,0))))</x:f>
      </x:c>
      <x:c r="K1001" s="16" t="str">
        <x:f>IF(J1001="","",IF(J1001=1,"Limited",IF(J1001=2,"Local",IF(J1001=3,"Significant",IF(J1001=4,"High","Critical")))))</x:f>
      </x:c>
      <x:c r="L1001" s="16" t="str">
        <x:f>IF(A1001="","",Events!U1000)</x:f>
      </x:c>
      <x:c r="M1001" s="16" t="str">
        <x:f>IF(A1001="","",Events!V1000)</x:f>
      </x:c>
      <x:c r="N1001" s="16" t="str">
        <x:f>IF(A1001="","",Events!Q1000)</x:f>
      </x:c>
      <x:c r="O1001" s="16" t="str">
        <x:f>IF(A1001="","",Events!R1000)</x:f>
      </x:c>
      <x:c r="P1001" s="16" t="str">
        <x:f>IF(A1001="","",LOWER(Events!B1000&amp;" "&amp;Events!D1000&amp;" "&amp;Events!K1000))</x:f>
      </x:c>
      <x:c r="Q1001" s="16" t="str">
        <x:f>IF(A1001="","",LOWER(Events!C1000&amp;" "&amp;Events!K1000&amp;" "&amp;Events!T1000))</x:f>
      </x:c>
      <x:c r="R1001" s="16" t="str">
        <x:f>IF(A1001="","",IF(ISNUMBER(SEARCH("Occurrence verified",E1001)),"Occurrence verified",E1001))</x:f>
      </x:c>
      <x:c r="S1001" s="79" t="str">
        <x:f>IF(A1001="","",Events!X1000)</x:f>
      </x:c>
      <x:c r="Z1001" s="79" t="str">
        <x:f>IF(A1001="","",Events!AD1000)</x:f>
      </x:c>
      <x:c r="AA1001" s="79" t="str">
        <x:f>IF(A1001="","",Events!AE1000)</x:f>
      </x:c>
    </x:row>
  </x:sheetData>
  <x:mergeCells>
    <x:mergeCell ref="A1:S2"/>
    <x:mergeCell ref="A3:S3"/>
  </x:mergeCells>
  <x:conditionalFormatting sqref="J6:J1001">
    <x:cfRule type="colorScale" priority="1">
      <x:colorScale>
        <x:cfvo type="min"/>
        <x:cfvo type="percentile" val="50"/>
        <x:cfvo type="max"/>
        <x:color rgb="FFE5F4E7"/>
        <x:color rgb="FFFFF4D6"/>
        <x:color rgb="FFFDE8E7"/>
      </x:colorScale>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7" hidden="0" customWidth="1"/>
    <x:col min="2" max="2" width="48" hidden="0" customWidth="1"/>
    <x:col min="3" max="3" width="48" hidden="0" customWidth="1"/>
    <x:col min="4" max="4" width="42" hidden="0" customWidth="1"/>
    <x:col min="5" max="5" width="43" hidden="0" customWidth="1"/>
    <x:col min="6" max="6" width="40" hidden="0" customWidth="1"/>
  </x:cols>
  <x:sheetData>
    <x:row r="1">
      <x:c r="A1" s="465" t="str">
        <x:v>India Observed — Verification Methodology</x:v>
      </x:c>
      <x:c r="B1" s="465"/>
      <x:c r="C1" s="465"/>
      <x:c r="D1" s="465"/>
      <x:c r="E1" s="465"/>
      <x:c r="F1" s="465"/>
    </x:row>
    <x:row r="2">
      <x:c r="A2" s="465"/>
      <x:c r="B2" s="465"/>
      <x:c r="C2" s="465"/>
      <x:c r="D2" s="465"/>
      <x:c r="E2" s="465"/>
      <x:c r="F2" s="465"/>
    </x:row>
    <x:row r="4">
      <x:c r="A4" s="16" t="str">
        <x:v>Version</x:v>
      </x:c>
      <x:c r="B4" s="16" t="str">
        <x:v>0.4</x:v>
      </x:c>
      <x:c r="C4" s="16" t="str">
        <x:v>Status</x:v>
      </x:c>
      <x:c r="D4" s="16" t="str">
        <x:v>Automated discovery and verification controls added</x:v>
      </x:c>
      <x:c r="E4" s="16" t="str">
        <x:v>Effective date</x:v>
      </x:c>
      <x:c r="F4" s="109" t="n">
        <x:v>46218</x:v>
      </x:c>
    </x:row>
    <x:row r="5">
      <x:c r="A5" s="16" t="str">
        <x:v>Owner</x:v>
      </x:c>
      <x:c r="B5" s="16" t="str">
        <x:v>Founder / Editor</x:v>
      </x:c>
      <x:c r="C5" s="16" t="str">
        <x:v>Applies to</x:v>
      </x:c>
      <x:c r="D5" s="16" t="str">
        <x:v>Civic movements and protest repository</x:v>
      </x:c>
      <x:c r="E5" s="16" t="str">
        <x:v>Geography</x:v>
      </x:c>
      <x:c r="F5" s="16" t="str">
        <x:v>India</x:v>
      </x:c>
    </x:row>
    <x:row r="6">
      <x:c r="A6" s="16" t="str">
        <x:v>Purpose</x:v>
      </x:c>
      <x:c r="B6" s="16" t="str">
        <x:v>Create a consistent, neutral and auditable basis for inclusion, claim verification and correction.</x:v>
      </x:c>
      <x:c r="C6" s="16"/>
      <x:c r="D6" s="16"/>
      <x:c r="E6" s="16"/>
      <x:c r="F6" s="16"/>
    </x:row>
    <x:row r="7">
      <x:c r="A7" s="16" t="str">
        <x:v>Core principle</x:v>
      </x:c>
      <x:c r="B7" s="16" t="str">
        <x:v>Use automation to maximise discovery recall and reduce clerical workload, but require source provenance, claim-level evidence, non-bypassable safety and publication gates, and accountable human approval for every public record.</x:v>
      </x:c>
      <x:c r="C7" s="16"/>
      <x:c r="D7" s="16"/>
      <x:c r="E7" s="16"/>
      <x:c r="F7" s="16"/>
    </x:row>
    <x:row r="9">
      <x:c r="A9" s="461" t="str">
        <x:v>Section</x:v>
      </x:c>
      <x:c r="B9" s="461" t="str">
        <x:v>Definition / Rule</x:v>
      </x:c>
      <x:c r="C9" s="461" t="str">
        <x:v>Operational Test</x:v>
      </x:c>
      <x:c r="D9" s="461" t="str">
        <x:v>Public Wording / Label</x:v>
      </x:c>
      <x:c r="E9" s="461" t="str">
        <x:v>Minimum Action Before Publication</x:v>
      </x:c>
      <x:c r="F9" s="461" t="str">
        <x:v>Important Limit</x:v>
      </x:c>
    </x:row>
    <x:row r="10">
      <x:c r="A10" s="466" t="str">
        <x:v>Primary source</x:v>
      </x:c>
      <x:c r="B10" s="467" t="str">
        <x:v>A record or statement created by an authority, court, organiser, direct witness, reporter or institution with first-hand involvement.</x:v>
      </x:c>
      <x:c r="C10" s="467" t="str">
        <x:v>Confirm the issuer, date, original location and whether the record is complete. Examples include government orders, court records, police advisories, official statements, organiser announcements, original media and direct interviews.</x:v>
      </x:c>
      <x:c r="D10" s="467" t="str">
        <x:v>According to the original order / statement / interview…</x:v>
      </x:c>
      <x:c r="E10" s="467" t="str">
        <x:v>Save the original URL or reference and record which specific claim it supports.</x:v>
      </x:c>
      <x:c r="F10" s="468" t="str">
        <x:v>A primary source may still be incomplete, self-interested or disputed.</x:v>
      </x:c>
    </x:row>
    <x:row r="11">
      <x:c r="A11" s="469" t="str">
        <x:v>Original media reporting</x:v>
      </x:c>
      <x:c r="B11" s="115" t="str">
        <x:v>Reporting based on a publisher's own fieldwork, named reporter, original footage, interviews or document review.</x:v>
      </x:c>
      <x:c r="C11" s="115" t="str">
        <x:v>Check for a named reporter, identifiable location, original photographs or video, direct quotations and independent reporting work.</x:v>
      </x:c>
      <x:c r="D11" s="115" t="str">
        <x:v>Reported by [publisher]; independently corroborated where applicable.</x:v>
      </x:c>
      <x:c r="E11" s="115" t="str">
        <x:v>Record the reporter, date, URL, source type and supported claims.</x:v>
      </x:c>
      <x:c r="F11" s="470" t="str">
        <x:v>Publication by a recognised outlet does not make every reported detail true.</x:v>
      </x:c>
    </x:row>
    <x:row r="12">
      <x:c r="A12" s="469" t="str">
        <x:v>Syndicated reporting</x:v>
      </x:c>
      <x:c r="B12" s="115" t="str">
        <x:v>Reporting copied or substantially derived from a news agency, press release or another publisher.</x:v>
      </x:c>
      <x:c r="C12" s="115" t="str">
        <x:v>Compare wording, photographs, bylines and quoted sources. Several reproductions of the same underlying report count as one source.</x:v>
      </x:c>
      <x:c r="D12" s="115" t="str">
        <x:v>Multiple publishers carried the same underlying report.</x:v>
      </x:c>
      <x:c r="E12" s="115" t="str">
        <x:v>Identify the earliest or original underlying source and classify copies as syndicated.</x:v>
      </x:c>
      <x:c r="F12" s="470" t="str">
        <x:v>Different headlines do not necessarily mean different reporting.</x:v>
      </x:c>
    </x:row>
    <x:row r="13">
      <x:c r="A13" s="469" t="str">
        <x:v>Unverified source</x:v>
      </x:c>
      <x:c r="B13" s="115" t="str">
        <x:v>Material without a traceable origin or enough context to establish date, location or authenticity.</x:v>
      </x:c>
      <x:c r="C13" s="115" t="str">
        <x:v>Includes cropped screenshots, reposted clips, anonymous messages, forwarded videos, undated footage and content without a verifiable original publisher.</x:v>
      </x:c>
      <x:c r="D13" s="115" t="str">
        <x:v>Unverified lead — not published as confirmation.</x:v>
      </x:c>
      <x:c r="E13" s="115" t="str">
        <x:v>Use only to identify further research; obtain an original or independent source.</x:v>
      </x:c>
      <x:c r="F13" s="470" t="str">
        <x:v>Virality, clarity or emotional force does not establish authenticity.</x:v>
      </x:c>
    </x:row>
    <x:row r="14">
      <x:c r="A14" s="469" t="str">
        <x:v>Reported</x:v>
      </x:c>
      <x:c r="B14" s="115" t="str">
        <x:v>One credible source has reported the event or claim.</x:v>
      </x:c>
      <x:c r="C14" s="115" t="str">
        <x:v>The source is identifiable and credible, but independent confirmation has not yet been located.</x:v>
      </x:c>
      <x:c r="D14" s="115" t="str">
        <x:v>Reported</x:v>
      </x:c>
      <x:c r="E14" s="115" t="str">
        <x:v>Attribute the information to the source and disclose that verification is continuing.</x:v>
      </x:c>
      <x:c r="F14" s="470" t="str">
        <x:v>Reported is weaker than corroborated or occurrence verified.</x:v>
      </x:c>
    </x:row>
    <x:row r="15">
      <x:c r="A15" s="469" t="str">
        <x:v>Corroborated</x:v>
      </x:c>
      <x:c r="B15" s="115" t="str">
        <x:v>Two genuinely independent credible sources support the same event or claim.</x:v>
      </x:c>
      <x:c r="C15" s="115" t="str">
        <x:v>Confirm that the sources performed separate reporting or rely on independent primary records.</x:v>
      </x:c>
      <x:c r="D15" s="115" t="str">
        <x:v>Corroborated</x:v>
      </x:c>
      <x:c r="E15" s="115" t="str">
        <x:v>Link both underlying sources and note any material differences.</x:v>
      </x:c>
      <x:c r="F15" s="470" t="str">
        <x:v>Corroboration supports a specific claim, not every claim in an article.</x:v>
      </x:c>
    </x:row>
    <x:row r="16">
      <x:c r="A16" s="469" t="str">
        <x:v>Occurrence verified</x:v>
      </x:c>
      <x:c r="B16" s="115" t="str">
        <x:v>Strong evidence establishes that the public event occurred at the stated general place and period.</x:v>
      </x:c>
      <x:c r="C16" s="115" t="str">
        <x:v>Use independent field reporting, original media, official acknowledgement or reliable geolocated evidence.</x:v>
      </x:c>
      <x:c r="D16" s="115" t="str">
        <x:v>Occurrence verified — disputed details remain</x:v>
      </x:c>
      <x:c r="E16" s="115" t="str">
        <x:v>Verify date or period, general location and basic nature of the event.</x:v>
      </x:c>
      <x:c r="F16" s="470" t="str">
        <x:v>This status does not prove crowd size, motives, legality or responsibility for disputed incidents.</x:v>
      </x:c>
    </x:row>
    <x:row r="17">
      <x:c r="A17" s="469" t="str">
        <x:v>Attributed</x:v>
      </x:c>
      <x:c r="B17" s="115" t="str">
        <x:v>A claim is recorded as the statement of a clearly identified person, organisation or authority.</x:v>
      </x:c>
      <x:c r="C17" s="115" t="str">
        <x:v>The platform can confirm that the party made the statement, but not necessarily that the statement is factually correct.</x:v>
      </x:c>
      <x:c r="D17" s="115" t="str">
        <x:v>[Party] stated / alleged / reported…</x:v>
      </x:c>
      <x:c r="E17" s="115" t="str">
        <x:v>Name the claimant and avoid converting the statement into India Observed's own conclusion.</x:v>
      </x:c>
      <x:c r="F17" s="470" t="str">
        <x:v>Attribution is not endorsement.</x:v>
      </x:c>
    </x:row>
    <x:row r="18">
      <x:c r="A18" s="469" t="str">
        <x:v>Disputed</x:v>
      </x:c>
      <x:c r="B18" s="115" t="str">
        <x:v>Credible parties provide materially different accounts of the same fact.</x:v>
      </x:c>
      <x:c r="C18" s="115" t="str">
        <x:v>Record each account, the supporting source and what evidence is still missing.</x:v>
      </x:c>
      <x:c r="D18" s="115" t="str">
        <x:v>Accounts differ; India Observed has not independently resolved the disagreement.</x:v>
      </x:c>
      <x:c r="E18" s="115" t="str">
        <x:v>Present the material competing accounts fairly and avoid a false single conclusion.</x:v>
      </x:c>
      <x:c r="F18" s="470" t="str">
        <x:v>Not every disagreement deserves equal weight; explain differences in evidence quality.</x:v>
      </x:c>
    </x:row>
    <x:row r="19">
      <x:c r="A19" s="469" t="str">
        <x:v>Unconfirmed</x:v>
      </x:c>
      <x:c r="B19" s="115" t="str">
        <x:v>Available evidence is insufficient to support publication as a verified fact.</x:v>
      </x:c>
      <x:c r="C19" s="115" t="str">
        <x:v>The claim may rely on one anonymous statement, an unclear clip or a source that cannot be independently checked.</x:v>
      </x:c>
      <x:c r="D19" s="115" t="str">
        <x:v>Unconfirmed / under review</x:v>
      </x:c>
      <x:c r="E19" s="115" t="str">
        <x:v>Do not place the claim in the neutral event summary as established fact.</x:v>
      </x:c>
      <x:c r="F19" s="470" t="str">
        <x:v>Unconfirmed does not mean false.</x:v>
      </x:c>
    </x:row>
    <x:row r="20">
      <x:c r="A20" s="469" t="str">
        <x:v>Corrected</x:v>
      </x:c>
      <x:c r="B20" s="115" t="str">
        <x:v>Previously recorded or published information has been amended after new evidence or a methodological review.</x:v>
      </x:c>
      <x:c r="C20" s="115" t="str">
        <x:v>Preserve the earlier wording, replacement wording, reason, date and supporting evidence.</x:v>
      </x:c>
      <x:c r="D20" s="115" t="str">
        <x:v>Correction: [concise explanation]</x:v>
      </x:c>
      <x:c r="E20" s="115" t="str">
        <x:v>Enter the change in the Corrections register. Do not silently change a consequential fact.</x:v>
      </x:c>
      <x:c r="F20" s="470" t="str">
        <x:v>Minor spelling or formatting changes need not become public corrections unless meaning changes.</x:v>
      </x:c>
    </x:row>
    <x:row r="21">
      <x:c r="A21" s="469" t="str">
        <x:v>Outcome documented</x:v>
      </x:c>
      <x:c r="B21" s="115" t="str">
        <x:v>A later institutional response, agreement, order, withdrawal, conclusion or verified corrective action has been recorded.</x:v>
      </x:c>
      <x:c r="C21" s="115" t="str">
        <x:v>Confirm the outcome through a primary source or independent reporting and distinguish promises from completed action.</x:v>
      </x:c>
      <x:c r="D21" s="115" t="str">
        <x:v>Outcome documented</x:v>
      </x:c>
      <x:c r="E21" s="115" t="str">
        <x:v>Add the date, responsible institution and evidence showing the outcome.</x:v>
      </x:c>
      <x:c r="F21" s="470" t="str">
        <x:v>A government announcement is not the same as implementation.</x:v>
      </x:c>
    </x:row>
    <x:row r="22">
      <x:c r="A22" s="469" t="str">
        <x:v>Basic publication threshold</x:v>
      </x:c>
      <x:c r="B22" s="115" t="str">
        <x:v>An event may be published when occurrence is supported by two independent credible sources, or by one credible report plus a reliable primary or official source.</x:v>
      </x:c>
      <x:c r="C22" s="115" t="str">
        <x:v>Check occurrence, general date, general location, source independence and a clear public-interest issue.</x:v>
      </x:c>
      <x:c r="D22" s="115" t="str">
        <x:v>Verification status shown prominently on the event record.</x:v>
      </x:c>
      <x:c r="E22" s="115" t="str">
        <x:v>Complete the event quality check and link each important claim to a source.</x:v>
      </x:c>
      <x:c r="F22" s="470" t="str">
        <x:v>Exceptional events may require higher thresholds because of risk or disputed facts.</x:v>
      </x:c>
    </x:row>
    <x:row r="23">
      <x:c r="A23" s="469" t="str">
        <x:v>Serious allegation rule</x:v>
      </x:c>
      <x:c r="B23" s="115" t="str">
        <x:v>Do not present consequential allegations against an identifiable person, institution, company or group as fact without stronger evidence.</x:v>
      </x:c>
      <x:c r="C23" s="115" t="str">
        <x:v>Examples include corruption, violence, criminal conduct, negligence, illegal demolition or deliberate denial of services.</x:v>
      </x:c>
      <x:c r="D23" s="115" t="str">
        <x:v>[Party] alleged… / Police stated… / The allegation remains under review.</x:v>
      </x:c>
      <x:c r="E23" s="115" t="str">
        <x:v>Require multiple sources, a relevant primary record where available and a careful proportionality review.</x:v>
      </x:c>
      <x:c r="F23" s="470" t="str">
        <x:v>A photograph may prove a condition but not who caused it or why.</x:v>
      </x:c>
    </x:row>
    <x:row r="24">
      <x:c r="A24" s="469" t="str">
        <x:v>Right of reply</x:v>
      </x:c>
      <x:c r="B24" s="115" t="str">
        <x:v>Seek a response before publishing a consequential allegation where practical and safe.</x:v>
      </x:c>
      <x:c r="C24" s="115" t="str">
        <x:v>Contact the relevant authority or organisation with a concise statement of the claim and a reasonable response window.</x:v>
      </x:c>
      <x:c r="D24" s="115" t="str">
        <x:v>No response had been received as of [date].</x:v>
      </x:c>
      <x:c r="E24" s="115" t="str">
        <x:v>Record the outreach date, recipient, question and response or non-response.</x:v>
      </x:c>
      <x:c r="F24" s="470" t="str">
        <x:v>No response is not evidence that an allegation is true.</x:v>
      </x:c>
    </x:row>
    <x:row r="25">
      <x:c r="A25" s="469" t="str">
        <x:v>Source independence</x:v>
      </x:c>
      <x:c r="B25" s="115" t="str">
        <x:v>Independence depends on the underlying reporting, not the number of websites or posts.</x:v>
      </x:c>
      <x:c r="C25" s="115" t="str">
        <x:v>Check whether sources share the same agency copy, press release, video, interview or anonymous source.</x:v>
      </x:c>
      <x:c r="D25" s="115" t="str">
        <x:v>Two independent sources / one underlying source reproduced by several publishers.</x:v>
      </x:c>
      <x:c r="E25" s="115" t="str">
        <x:v>Classify cross-posts, same-publisher follow-ups and syndicated copies accurately.</x:v>
      </x:c>
      <x:c r="F25" s="470" t="str">
        <x:v>Ten copies of one report are still one underlying source.</x:v>
      </x:c>
    </x:row>
    <x:row r="26">
      <x:c r="A26" s="469" t="str">
        <x:v>Visible uncertainty</x:v>
      </x:c>
      <x:c r="B26" s="115" t="str">
        <x:v>Unknown, approximate or conflicting facts must remain visibly uncertain.</x:v>
      </x:c>
      <x:c r="C26" s="115" t="str">
        <x:v>Use date ranges, general locations and attributed estimates when exact facts are not established.</x:v>
      </x:c>
      <x:c r="D26" s="115" t="str">
        <x:v>Around [date]; near [location]; organisers estimated; India Observed could not confirm.</x:v>
      </x:c>
      <x:c r="E26" s="115" t="str">
        <x:v>Leave unsupported fields blank and explain the limitation in internal notes or public wording.</x:v>
      </x:c>
      <x:c r="F26" s="470" t="str">
        <x:v>Do not fill gaps using assumptions merely to make a record look complete.</x:v>
      </x:c>
    </x:row>
    <x:row r="27">
      <x:c r="A27" s="469" t="str">
        <x:v>Correction rule</x:v>
      </x:c>
      <x:c r="B27" s="115" t="str">
        <x:v>Consequential factual changes must be logged and visible rather than silently overwritten.</x:v>
      </x:c>
      <x:c r="C27" s="115" t="str">
        <x:v>A change is consequential when it affects identity, location, date, responsibility, severity, outcome or interpretation.</x:v>
      </x:c>
      <x:c r="D27" s="115" t="str">
        <x:v>Corrected on [date]: [what changed and why].</x:v>
      </x:c>
      <x:c r="E27" s="115" t="str">
        <x:v>Use the Corrections register and update linked claims and summaries.</x:v>
      </x:c>
      <x:c r="F27" s="470" t="str">
        <x:v>Pre-publication research corrections remain internal but should still be auditable.</x:v>
      </x:c>
    </x:row>
    <x:row r="28">
      <x:c r="A28" s="469" t="str">
        <x:v>Participant safety</x:v>
      </x:c>
      <x:c r="B28" s="115" t="str">
        <x:v>Document the public event without creating unnecessary risk for ordinary participants, witnesses or contributors.</x:v>
      </x:c>
      <x:c r="C28" s="115" t="str">
        <x:v>Avoid participant lists, precise tactical locations, private communications, unredacted faces, vehicle numbers and confidential-source identifiers.</x:v>
      </x:c>
      <x:c r="D28" s="115" t="str">
        <x:v>Contributor identity confidential / ordinary participants not identified.</x:v>
      </x:c>
      <x:c r="E28" s="115" t="str">
        <x:v>Redact or omit unnecessary personal data and publish only the general location needed to understand the event.</x:v>
      </x:c>
      <x:c r="F28" s="470" t="str">
        <x:v>Publicly identified leaders may be named when relevant, but ordinary attendance does not create a public-interest justification.</x:v>
      </x:c>
    </x:row>
    <x:row r="29">
      <x:c r="A29" s="469" t="str">
        <x:v>Plain-language rule</x:v>
      </x:c>
      <x:c r="B29" s="115" t="str">
        <x:v>A reader should understand the status and its limitations without legal or technical expertise.</x:v>
      </x:c>
      <x:c r="C29" s="115" t="str">
        <x:v>Use short sentences, ordinary words and direct attribution. Define unavoidable specialist terms.</x:v>
      </x:c>
      <x:c r="D29" s="115" t="str">
        <x:v>Reported; corroborated; disputed; unconfirmed; corrected.</x:v>
      </x:c>
      <x:c r="E29" s="115" t="str">
        <x:v>Review every summary for loaded wording, unexplained acronyms and conclusions stronger than the evidence.</x:v>
      </x:c>
      <x:c r="F29" s="470" t="str">
        <x:v>Neutral language should remain precise rather than vague.</x:v>
      </x:c>
    </x:row>
    <x:row r="30">
      <x:c r="A30" s="469" t="str">
        <x:v>Claim-level verification</x:v>
      </x:c>
      <x:c r="B30" s="115" t="str">
        <x:v>Each important factual assertion receives its own status and source trail.</x:v>
      </x:c>
      <x:c r="C30" s="115" t="str">
        <x:v>Separate occurrence, date, demand, official response, arrests, injuries, crowd size and outcome into distinct claims.</x:v>
      </x:c>
      <x:c r="D30" s="115" t="str">
        <x:v>Each claim displays its own evidence status.</x:v>
      </x:c>
      <x:c r="E30" s="115" t="str">
        <x:v>Do not assign one blanket 'verified' label to an entire article or event.</x:v>
      </x:c>
      <x:c r="F30" s="470" t="str">
        <x:v>A verified event can still contain disputed or unconfirmed details.</x:v>
      </x:c>
    </x:row>
    <x:row r="31">
      <x:c r="A31" s="469" t="str">
        <x:v>Event-level status</x:v>
      </x:c>
      <x:c r="B31" s="115" t="str">
        <x:v>The event-level label summarises confidence that the event occurred; claim-level statuses remain authoritative.</x:v>
      </x:c>
      <x:c r="C31" s="115" t="str">
        <x:v>Use the strongest defensible occurrence status while disclosing material unresolved details.</x:v>
      </x:c>
      <x:c r="D31" s="115" t="str">
        <x:v>Occurrence verified — disputed details remain.</x:v>
      </x:c>
      <x:c r="E31" s="115" t="str">
        <x:v>Check that the event summary does not contradict individual claim statuses.</x:v>
      </x:c>
      <x:c r="F31" s="470" t="str">
        <x:v>Event-level status must not imply legal findings.</x:v>
      </x:c>
    </x:row>
    <x:row r="32">
      <x:c r="A32" s="471" t="str">
        <x:v>Duration and activity pattern</x:v>
      </x:c>
      <x:c r="B32" s="472" t="str">
        <x:v>Observed duration is calculated from the best-supported start date to the end date or last confirmed active date, inclusive.</x:v>
      </x:c>
      <x:c r="C32" s="472" t="str">
        <x:v>Leave duration blank if the start date is not sufficiently verified. Classify activity as one-day, continuous, recurring/intermittent, multiple phases or unknown.</x:v>
      </x:c>
      <x:c r="D32" s="472" t="str">
        <x:v>Observed duration: [n] days; activity pattern: [category].</x:v>
      </x:c>
      <x:c r="E32" s="472" t="str">
        <x:v>Update start, end, last-active and activity-pattern fields when reliable evidence changes.</x:v>
      </x:c>
      <x:c r="F32" s="473" t="str">
        <x:v>A 450-day movement may contain intermittent actions rather than uninterrupted daily protest.</x:v>
      </x:c>
    </x:row>
    <x:row r="33">
      <x:c r="A33" t="str">
        <x:v>Discovery lead vs verification evidence</x:v>
      </x:c>
      <x:c r="B33" t="str">
        <x:v>The source that reveals an event may be weaker than the evidence ultimately used to verify it.</x:v>
      </x:c>
      <x:c r="C33" t="str">
        <x:v>Record how the lead was discovered separately from the sources used for publication. A community post, petition, union notice or local video may trigger research but must still pass provenance and independence checks.</x:v>
      </x:c>
      <x:c r="D33" t="str">
        <x:v>Discovered through [channel]; occurrence verified using [independent sources].</x:v>
      </x:c>
      <x:c r="E33" t="str">
        <x:v>Store the discovery channel in Events and the detailed lead in the research log. Do not upgrade a lead's credibility merely because later reporting confirms the event.</x:v>
      </x:c>
      <x:c r="F33" t="str">
        <x:v>A weak lead can reveal a real event, while a vivid or viral lead can still be false, old or miscaptioned.</x:v>
      </x:c>
    </x:row>
    <x:row r="35">
      <x:c r="A35" s="477" t="str">
        <x:v>Pre-Publication Review Checklist</x:v>
      </x:c>
      <x:c r="B35" s="477"/>
      <x:c r="C35" s="477"/>
      <x:c r="D35" s="477"/>
      <x:c r="E35" s="477"/>
      <x:c r="F35" s="477"/>
    </x:row>
    <x:row r="36">
      <x:c r="A36" s="478" t="str">
        <x:v>1</x:v>
      </x:c>
      <x:c r="B36" s="479" t="str">
        <x:v>Occurrence</x:v>
      </x:c>
      <x:c r="C36" s="479" t="str">
        <x:v>Is there enough evidence that the event occurred?</x:v>
      </x:c>
      <x:c r="D36" s="479" t="str">
        <x:v>Yes / No</x:v>
      </x:c>
      <x:c r="E36" s="479" t="str">
        <x:v>Required</x:v>
      </x:c>
      <x:c r="F36" s="480"/>
    </x:row>
    <x:row r="37">
      <x:c r="A37" s="481" t="str">
        <x:v>2</x:v>
      </x:c>
      <x:c r="B37" s="123" t="str">
        <x:v>Location</x:v>
      </x:c>
      <x:c r="C37" s="123" t="str">
        <x:v>Is the general location verified without revealing tactical or private information?</x:v>
      </x:c>
      <x:c r="D37" s="123" t="str">
        <x:v>Yes / No</x:v>
      </x:c>
      <x:c r="E37" s="123" t="str">
        <x:v>Required</x:v>
      </x:c>
      <x:c r="F37" s="482"/>
    </x:row>
    <x:row r="38">
      <x:c r="A38" s="481" t="str">
        <x:v>3</x:v>
      </x:c>
      <x:c r="B38" s="123" t="str">
        <x:v>Date</x:v>
      </x:c>
      <x:c r="C38" s="123" t="str">
        <x:v>Is the date or period supported, qualified or left blank where uncertain?</x:v>
      </x:c>
      <x:c r="D38" s="123" t="str">
        <x:v>Yes / No</x:v>
      </x:c>
      <x:c r="E38" s="123" t="str">
        <x:v>Required</x:v>
      </x:c>
      <x:c r="F38" s="482"/>
    </x:row>
    <x:row r="39">
      <x:c r="A39" s="481" t="str">
        <x:v>4</x:v>
      </x:c>
      <x:c r="B39" s="123" t="str">
        <x:v>Source independence</x:v>
      </x:c>
      <x:c r="C39" s="123" t="str">
        <x:v>Are at least two genuinely independent sources present, or one source plus a primary record?</x:v>
      </x:c>
      <x:c r="D39" s="123" t="str">
        <x:v>Yes / No</x:v>
      </x:c>
      <x:c r="E39" s="123" t="str">
        <x:v>Required</x:v>
      </x:c>
      <x:c r="F39" s="482"/>
    </x:row>
    <x:row r="40">
      <x:c r="A40" s="481" t="str">
        <x:v>5</x:v>
      </x:c>
      <x:c r="B40" s="123" t="str">
        <x:v>Claims</x:v>
      </x:c>
      <x:c r="C40" s="123" t="str">
        <x:v>Does each significant factual claim have its own status and supporting source?</x:v>
      </x:c>
      <x:c r="D40" s="123" t="str">
        <x:v>Yes / No</x:v>
      </x:c>
      <x:c r="E40" s="123" t="str">
        <x:v>Required</x:v>
      </x:c>
      <x:c r="F40" s="482"/>
    </x:row>
    <x:row r="41">
      <x:c r="A41" s="481" t="str">
        <x:v>6</x:v>
      </x:c>
      <x:c r="B41" s="123" t="str">
        <x:v>Allegations</x:v>
      </x:c>
      <x:c r="C41" s="123" t="str">
        <x:v>Are serious allegations attributed and proportionate to the evidence?</x:v>
      </x:c>
      <x:c r="D41" s="123" t="str">
        <x:v>Yes / No</x:v>
      </x:c>
      <x:c r="E41" s="123" t="str">
        <x:v>Required</x:v>
      </x:c>
      <x:c r="F41" s="482"/>
    </x:row>
    <x:row r="42">
      <x:c r="A42" s="481" t="str">
        <x:v>7</x:v>
      </x:c>
      <x:c r="B42" s="123" t="str">
        <x:v>Right of reply</x:v>
      </x:c>
      <x:c r="C42" s="123" t="str">
        <x:v>Was a response sought where a consequential allegation identifies a responsible party?</x:v>
      </x:c>
      <x:c r="D42" s="123" t="str">
        <x:v>Yes / No / Not practical</x:v>
      </x:c>
      <x:c r="E42" s="123" t="str">
        <x:v>Conditional</x:v>
      </x:c>
      <x:c r="F42" s="482"/>
    </x:row>
    <x:row r="43">
      <x:c r="A43" s="481" t="str">
        <x:v>8</x:v>
      </x:c>
      <x:c r="B43" s="123" t="str">
        <x:v>Safety</x:v>
      </x:c>
      <x:c r="C43" s="123" t="str">
        <x:v>Have ordinary participants, witnesses and confidential contributors been protected?</x:v>
      </x:c>
      <x:c r="D43" s="123" t="str">
        <x:v>Yes / No</x:v>
      </x:c>
      <x:c r="E43" s="123" t="str">
        <x:v>Required</x:v>
      </x:c>
      <x:c r="F43" s="482"/>
    </x:row>
    <x:row r="44">
      <x:c r="A44" s="481" t="str">
        <x:v>9</x:v>
      </x:c>
      <x:c r="B44" s="123" t="str">
        <x:v>Copyright</x:v>
      </x:c>
      <x:c r="C44" s="123" t="str">
        <x:v>Are media reports linked and summarised rather than copied or republished?</x:v>
      </x:c>
      <x:c r="D44" s="123" t="str">
        <x:v>Yes / No</x:v>
      </x:c>
      <x:c r="E44" s="123" t="str">
        <x:v>Required</x:v>
      </x:c>
      <x:c r="F44" s="482"/>
    </x:row>
    <x:row r="45">
      <x:c r="A45" s="481" t="str">
        <x:v>10</x:v>
      </x:c>
      <x:c r="B45" s="123" t="str">
        <x:v>Language</x:v>
      </x:c>
      <x:c r="C45" s="123" t="str">
        <x:v>Is the summary neutral, understandable and explicit about uncertainty?</x:v>
      </x:c>
      <x:c r="D45" s="123" t="str">
        <x:v>Yes / No</x:v>
      </x:c>
      <x:c r="E45" s="123" t="str">
        <x:v>Required</x:v>
      </x:c>
      <x:c r="F45" s="482"/>
    </x:row>
    <x:row r="46">
      <x:c r="A46" s="481" t="str">
        <x:v>11</x:v>
      </x:c>
      <x:c r="B46" s="123" t="str">
        <x:v>Duration</x:v>
      </x:c>
      <x:c r="C46" s="123" t="str">
        <x:v>Are duration and activity pattern supported by the available chronology?</x:v>
      </x:c>
      <x:c r="D46" s="123" t="str">
        <x:v>Yes / No / Blank</x:v>
      </x:c>
      <x:c r="E46" s="123" t="str">
        <x:v>Required when known</x:v>
      </x:c>
      <x:c r="F46" s="482"/>
    </x:row>
    <x:row r="47">
      <x:c r="A47" s="483" t="str">
        <x:v>12</x:v>
      </x:c>
      <x:c r="B47" s="484" t="str">
        <x:v>Correction readiness</x:v>
      </x:c>
      <x:c r="C47" s="484" t="str">
        <x:v>Can the record be corrected transparently if new evidence appears?</x:v>
      </x:c>
      <x:c r="D47" s="484" t="str">
        <x:v>Yes / No</x:v>
      </x:c>
      <x:c r="E47" s="484" t="str">
        <x:v>Required</x:v>
      </x:c>
      <x:c r="F47" s="485"/>
    </x:row>
    <x:row r="49">
      <x:c r="A49" s="549" t="str">
        <x:v>13</x:v>
      </x:c>
      <x:c r="B49" s="550" t="str">
        <x:v>Discovery provenance</x:v>
      </x:c>
      <x:c r="C49" s="550" t="str">
        <x:v>Is the lead-discovery source recorded separately from the evidence used to verify the event?</x:v>
      </x:c>
      <x:c r="D49" s="550" t="str">
        <x:v>Yes / No</x:v>
      </x:c>
      <x:c r="E49" s="550" t="str">
        <x:v>Required</x:v>
      </x:c>
      <x:c r="F49" s="551"/>
    </x:row>
    <x:row r="50">
      <x:c r="A50" s="555" t="str">
        <x:v>14</x:v>
      </x:c>
      <x:c r="B50" s="556" t="str">
        <x:v>Undercoverage search</x:v>
      </x:c>
      <x:c r="C50" s="556" t="str">
        <x:v>Was a local-language, regional, official or community-source search performed to identify missing context or related events?</x:v>
      </x:c>
      <x:c r="D50" s="556" t="str">
        <x:v>Yes / No / Not applicable</x:v>
      </x:c>
      <x:c r="E50" s="556" t="str">
        <x:v>Required for nationally sourced leads</x:v>
      </x:c>
      <x:c r="F50" s="557"/>
    </x:row>
    <x:row r="51">
      <x:c r="A51" s="624" t="str">
        <x:v>15</x:v>
      </x:c>
      <x:c r="B51" s="625" t="str">
        <x:v>Automation traceability</x:v>
      </x:c>
      <x:c r="C51" s="625" t="str">
        <x:v>Can every automated extraction, score, cluster and draft sentence be traced to stored source objects, model/rule version and processing time?</x:v>
      </x:c>
      <x:c r="D51" s="625" t="str">
        <x:v>Yes / No</x:v>
      </x:c>
      <x:c r="E51" s="625" t="str">
        <x:v>Required</x:v>
      </x:c>
      <x:c r="F51" s="626"/>
    </x:row>
    <x:row r="52">
      <x:c r="A52" s="629" t="str">
        <x:v>16</x:v>
      </x:c>
      <x:c r="B52" s="630" t="str">
        <x:v>Publication hard gates</x:v>
      </x:c>
      <x:c r="C52" s="630" t="str">
        <x:v>Have all applicable non-bypassable gates in the Automation Controls worksheet passed and been signed by the editor?</x:v>
      </x:c>
      <x:c r="D52" s="630" t="str">
        <x:v>Yes / No</x:v>
      </x:c>
      <x:c r="E52" s="630" t="str">
        <x:v>Required</x:v>
      </x:c>
      <x:c r="F52" s="631"/>
    </x:row>
    <x:row r="53">
      <x:c r="A53" s="561" t="str">
        <x:v>Alternative Lead Discovery Framework</x:v>
      </x:c>
      <x:c r="B53" s="561"/>
      <x:c r="C53" s="561"/>
      <x:c r="D53" s="561"/>
      <x:c r="E53" s="561"/>
      <x:c r="F53" s="561"/>
    </x:row>
    <x:row r="54">
      <x:c r="A54" s="566" t="str">
        <x:v>Discovery mechanism</x:v>
      </x:c>
      <x:c r="B54" s="566" t="str">
        <x:v>How to search</x:v>
      </x:c>
      <x:c r="C54" s="566" t="str">
        <x:v>Typical signals</x:v>
      </x:c>
      <x:c r="D54" s="566" t="str">
        <x:v>Minimum step before selecting the lead</x:v>
      </x:c>
      <x:c r="E54" s="566" t="str">
        <x:v>Main risk</x:v>
      </x:c>
      <x:c r="F54" s="566" t="str">
        <x:v>Lean review cadence</x:v>
      </x:c>
    </x:row>
    <x:row r="55">
      <x:c r="A55" s="567" t="str">
        <x:v>Local-language media</x:v>
      </x:c>
      <x:c r="B55" s="568" t="str">
        <x:v>Search state and district names with protest-related words in the relevant language: protest, dharna, strike, memorandum, blockade, hunger strike, land acquisition, teacher shortage, pollution and compensation.</x:v>
      </x:c>
      <x:c r="C55" s="568" t="str">
        <x:v>Small district reports, local-language videos, village memorandums and issue-specific coverage absent from English searches.</x:v>
      </x:c>
      <x:c r="D55" s="568" t="str">
        <x:v>Confirm place and date through another publisher, an official notice, field material or a primary organisation source.</x:v>
      </x:c>
      <x:c r="E55" s="568" t="str">
        <x:v>Translation errors, copied reports and weak editorial standards.</x:v>
      </x:c>
      <x:c r="F55" s="569" t="str">
        <x:v>Rotate two to three states or language regions each working day.</x:v>
      </x:c>
    </x:row>
    <x:row r="56">
      <x:c r="A56" s="570" t="str">
        <x:v>Hyperlocal and community-news pages</x:v>
      </x:c>
      <x:c r="B56" s="115" t="str">
        <x:v>Review district news pages, village or town accounts, local journalist pages, community radio pages and credible regional social-media publishers.</x:v>
      </x:c>
      <x:c r="C56" s="115" t="str">
        <x:v>Public gatherings, road blockades, school closures, memorandums, police deployment or local official visits.</x:v>
      </x:c>
      <x:c r="D56" s="115" t="str">
        <x:v>Identify the original uploader or reporter and look for independent local or official confirmation.</x:v>
      </x:c>
      <x:c r="E56" s="115" t="str">
        <x:v>Partisan ownership, rumours, missing dates and reposted footage.</x:v>
      </x:c>
      <x:c r="F56" s="571" t="str">
        <x:v>Review selected districts in a rotating geographic schedule.</x:v>
      </x:c>
    </x:row>
    <x:row r="57">
      <x:c r="A57" s="570" t="str">
        <x:v>District and departmental channels</x:v>
      </x:c>
      <x:c r="B57" s="115" t="str">
        <x:v>Monitor district administration, police, traffic, education, forest, pollution-control, land, labour and municipal websites or public social channels.</x:v>
      </x:c>
      <x:c r="C57" s="115" t="str">
        <x:v>Traffic diversions, prohibitory orders, school staffing action, public-hearing notices, survey announcements and official responses.</x:v>
      </x:c>
      <x:c r="D57" s="115" t="str">
        <x:v>Treat the notice as confirmation only for what the authority itself states; independently verify the public event or affected-community account.</x:v>
      </x:c>
      <x:c r="E57" s="115" t="str">
        <x:v>Official records may omit criticism, protester demands or adverse impacts.</x:v>
      </x:c>
      <x:c r="F57" s="571" t="str">
        <x:v>Check during each event verification and weekly for selected regions.</x:v>
      </x:c>
    </x:row>
    <x:row r="58">
      <x:c r="A58" s="570" t="str">
        <x:v>Unions, associations and membership bodies</x:v>
      </x:c>
      <x:c r="B58" s="115" t="str">
        <x:v>Track farmer unions, teacher associations, employee federations, student organisations, transport unions, resident groups and professional bodies.</x:v>
      </x:c>
      <x:c r="C58" s="115" t="str">
        <x:v>Strike notices, protest calendars, demand charters, memorandums and meeting statements.</x:v>
      </x:c>
      <x:c r="D58" s="115" t="str">
        <x:v>Confirm that the body is genuine, the event occurred and the statement represents the named organisation.</x:v>
      </x:c>
      <x:c r="E58" s="115" t="str">
        <x:v>Inflated participation claims, internal faction disputes and announced events that do not occur.</x:v>
      </x:c>
      <x:c r="F58" s="571" t="str">
        <x:v>Weekly scan; more frequently during announced campaigns.</x:v>
      </x:c>
    </x:row>
    <x:row r="59">
      <x:c r="A59" s="570" t="str">
        <x:v>Civil-society, NGO and issue networks</x:v>
      </x:c>
      <x:c r="B59" s="115" t="str">
        <x:v>Review environmental groups, land-rights networks, disability groups, public-health organisations, education NGOs and local advocacy collectives.</x:v>
      </x:c>
      <x:c r="C59" s="115" t="str">
        <x:v>Field reports, community testimonies, legal updates, public hearings and recurring grievance patterns.</x:v>
      </x:c>
      <x:c r="D59" s="115" t="str">
        <x:v>Identify the underlying evidence and obtain independent confirmation for serious allegations.</x:v>
      </x:c>
      <x:c r="E59" s="115" t="str">
        <x:v>Advocacy framing may combine verified observations with interpretation.</x:v>
      </x:c>
      <x:c r="F59" s="571" t="str">
        <x:v>Weekly thematic scan across priority topics.</x:v>
      </x:c>
    </x:row>
    <x:row r="60">
      <x:c r="A60" s="570" t="str">
        <x:v>Petitions and campaign pages</x:v>
      </x:c>
      <x:c r="B60" s="115" t="str">
        <x:v>Search public petitions, campaign websites and mobilisation pages using project, village and institution names.</x:v>
      </x:c>
      <x:c r="C60" s="115" t="str">
        <x:v>Emerging campaigns, local demands, affected locations and named authorities or projects.</x:v>
      </x:c>
      <x:c r="D60" s="115" t="str">
        <x:v>Verify that offline action occurred; preserve the petition as an organiser source rather than independent proof.</x:v>
      </x:c>
      <x:c r="E60" s="115" t="str">
        <x:v>Petition signatures and claims may be unaudited or duplicated.</x:v>
      </x:c>
      <x:c r="F60" s="571" t="str">
        <x:v>Use during candidate research and unresolved-event follow-up.</x:v>
      </x:c>
    </x:row>
    <x:row r="61">
      <x:c r="A61" s="570" t="str">
        <x:v>Social platforms and field video</x:v>
      </x:c>
      <x:c r="B61" s="115" t="str">
        <x:v>Search public posts, short videos, livestreams, location tags and local hashtags on X, Facebook, Instagram, YouTube and lawfully accessible public channels.</x:v>
      </x:c>
      <x:c r="C61" s="115" t="str">
        <x:v>Visible gatherings, banners, police presence, blocked roads and on-ground testimony.</x:v>
      </x:c>
      <x:c r="D61" s="115" t="str">
        <x:v>Find the earliest upload; check date, landmarks, weather, reused footage and independent reporting. Save the exact lead URL.</x:v>
      </x:c>
      <x:c r="E61" s="115" t="str">
        <x:v>Old or miscaptioned media, AI-generated content, edited clips and tactical exposure.</x:v>
      </x:c>
      <x:c r="F61" s="571" t="str">
        <x:v>Short daily scan; never publish directly from a viral clip.</x:v>
      </x:c>
    </x:row>
    <x:row r="62">
      <x:c r="A62" s="570" t="str">
        <x:v>Public-hearing, clearance and acquisition records</x:v>
      </x:c>
      <x:c r="B62" s="115" t="str">
        <x:v>Review environmental public-hearing notices, consent orders, land-acquisition notifications, forest-diversion records, tenders and rehabilitation documents.</x:v>
      </x:c>
      <x:c r="C62" s="115" t="str">
        <x:v>Projects likely to generate local opposition before or after national-media attention.</x:v>
      </x:c>
      <x:c r="D62" s="115" t="str">
        <x:v>Search project and village names across local media, associations and district channels for evidence of actual public action.</x:v>
      </x:c>
      <x:c r="E62" s="115" t="str">
        <x:v>A controversial project does not automatically mean a protest exists.</x:v>
      </x:c>
      <x:c r="F62" s="571" t="str">
        <x:v>Weekly project-risk scan; monthly deeper review.</x:v>
      </x:c>
    </x:row>
    <x:row r="63">
      <x:c r="A63" s="570" t="str">
        <x:v>Court, RTI and legislative records</x:v>
      </x:c>
      <x:c r="B63" s="115" t="str">
        <x:v>Search court filings, public-interest petitions, RTI disclosures, legislative questions, committee records and official grievance documents.</x:v>
      </x:c>
      <x:c r="C63" s="115" t="str">
        <x:v>Long-running disputes, alleged administrative inaction and previously invisible affected communities.</x:v>
      </x:c>
      <x:c r="D63" s="115" t="str">
        <x:v>Distinguish a legal challenge or complaint from a public protest; verify any claimed event separately.</x:v>
      </x:c>
      <x:c r="E63" s="115" t="str">
        <x:v>Legal language can be misunderstood and filings are allegations, not findings.</x:v>
      </x:c>
      <x:c r="F63" s="571" t="str">
        <x:v>Use when an issue appears systemic or lacks media documentation.</x:v>
      </x:c>
    </x:row>
    <x:row r="64">
      <x:c r="A64" s="570" t="str">
        <x:v>User-submitted and confidential leads</x:v>
      </x:c>
      <x:c r="B64" s="115" t="str">
        <x:v>Accept source links, location, approximate date and a short description through a controlled lead form; allow optional confidential contact.</x:v>
      </x:c>
      <x:c r="C64" s="115" t="str">
        <x:v>Events witnessed locally, documents, local notices and underreported civic grievances.</x:v>
      </x:c>
      <x:c r="D64" s="115" t="str">
        <x:v>Do not auto-publish. Verify independently, minimise identity collection and separate contributor identity from the event record.</x:v>
      </x:c>
      <x:c r="E64" s="115" t="str">
        <x:v>Malicious submissions, retaliation risk, personal data and unverifiable allegations.</x:v>
      </x:c>
      <x:c r="F64" s="571" t="str">
        <x:v>Review through a moderation queue; prioritise safety-sensitive leads.</x:v>
      </x:c>
    </x:row>
    <x:row r="65">
      <x:c r="A65" s="570" t="str">
        <x:v>Cross-source pattern searches</x:v>
      </x:c>
      <x:c r="B65" s="115" t="str">
        <x:v>Search repeated issue terms across states and districts, such as teacher shortage, ethanol plant, transmission tower, eviction, forest diversion, road demand or health-centre closure.</x:v>
      </x:c>
      <x:c r="C65" s="115" t="str">
        <x:v>Several small events indicating a wider systemic problem rather than one isolated case.</x:v>
      </x:c>
      <x:c r="D65" s="115" t="str">
        <x:v>Create separate event records unless coordination is proven; use trend analysis only after individual verification.</x:v>
      </x:c>
      <x:c r="E65" s="115" t="str">
        <x:v>Combining unrelated events or assuming a national campaign without evidence.</x:v>
      </x:c>
      <x:c r="F65" s="571" t="str">
        <x:v>One thematic pattern scan each week.</x:v>
      </x:c>
    </x:row>
    <x:row r="66">
      <x:c r="A66" s="570" t="str">
        <x:v>Geographic rotation and coverage equity</x:v>
      </x:c>
      <x:c r="B66" s="115" t="str">
        <x:v>Maintain a rotating state, Union Territory and district list so searches do not repeatedly focus on metros and English-language sources.</x:v>
      </x:c>
      <x:c r="C66" s="115" t="str">
        <x:v>Gaps in repository coverage, remote districts with no recorded leads and regions dependent on local-language reporting.</x:v>
      </x:c>
      <x:c r="D66" s="115" t="str">
        <x:v>Record the search performed even when no valid event is found; do not treat absence of reports as absence of civic activity.</x:v>
      </x:c>
      <x:c r="E66" s="115" t="str">
        <x:v>False geographic balance may prioritise weak leads merely to fill a map.</x:v>
      </x:c>
      <x:c r="F66" s="571" t="str">
        <x:v>Cover every state or Union Territory on a planned rotation.</x:v>
      </x:c>
    </x:row>
    <x:row r="67">
      <x:c r="A67" s="572" t="str">
        <x:v>Unresolved-lead and event follow-up</x:v>
      </x:c>
      <x:c r="B67" s="573" t="str">
        <x:v>Revisit deferred leads, official promises, partial resolutions and events with upcoming follow-up dates.</x:v>
      </x:c>
      <x:c r="C67" s="573" t="str">
        <x:v>New official orders, renewed protests, implementation failures or evidence that a proposed event occurred.</x:v>
      </x:c>
      <x:c r="D67" s="573" t="str">
        <x:v>Update the existing event or create a clearly bounded new phase; preserve correction and version history.</x:v>
      </x:c>
      <x:c r="E67" s="573" t="str">
        <x:v>Duplicate records, stale links and confusing movement history with one event episode.</x:v>
      </x:c>
      <x:c r="F67" s="574" t="str">
        <x:v>Weekly follow-up queue and date-driven reminders.</x:v>
      </x:c>
    </x:row>
    <x:row r="70">
      <x:c r="A70" s="578" t="str">
        <x:v>Internal Lead-Triage Score</x:v>
      </x:c>
      <x:c r="B70" s="578"/>
      <x:c r="C70" s="578"/>
      <x:c r="D70" s="578"/>
      <x:c r="E70" s="578"/>
      <x:c r="F70" s="578"/>
    </x:row>
    <x:row r="71">
      <x:c r="A71" s="566" t="str">
        <x:v>Criterion</x:v>
      </x:c>
      <x:c r="B71" s="566" t="str">
        <x:v>0 points</x:v>
      </x:c>
      <x:c r="C71" s="566" t="str">
        <x:v>1 point</x:v>
      </x:c>
      <x:c r="D71" s="566" t="str">
        <x:v>2 points</x:v>
      </x:c>
      <x:c r="E71" s="566" t="str">
        <x:v>Why it matters</x:v>
      </x:c>
      <x:c r="F71" s="566" t="str">
        <x:v>Rule</x:v>
      </x:c>
    </x:row>
    <x:row r="72">
      <x:c r="A72" s="579" t="str">
        <x:v>Location and date specificity</x:v>
      </x:c>
      <x:c r="B72" s="580" t="str">
        <x:v>Unknown or contradictory</x:v>
      </x:c>
      <x:c r="C72" s="580" t="str">
        <x:v>Approximate place or period</x:v>
      </x:c>
      <x:c r="D72" s="580" t="str">
        <x:v>Specific place and supported date</x:v>
      </x:c>
      <x:c r="E72" s="580" t="str">
        <x:v>Allows event-level verification</x:v>
      </x:c>
      <x:c r="F72" s="581" t="str">
        <x:v>Never infer a precise location from a contributor's home or identity.</x:v>
      </x:c>
    </x:row>
    <x:row r="73">
      <x:c r="A73" s="582" t="str">
        <x:v>Source traceability</x:v>
      </x:c>
      <x:c r="B73" s="123" t="str">
        <x:v>Anonymous repost only</x:v>
      </x:c>
      <x:c r="C73" s="123" t="str">
        <x:v>Traceable account or publisher</x:v>
      </x:c>
      <x:c r="D73" s="123" t="str">
        <x:v>Original uploader, named reporter or primary record</x:v>
      </x:c>
      <x:c r="E73" s="123" t="str">
        <x:v>Reduces recycled or fabricated leads</x:v>
      </x:c>
      <x:c r="F73" s="583" t="str">
        <x:v>Traceability does not itself prove truth.</x:v>
      </x:c>
    </x:row>
    <x:row r="74">
      <x:c r="A74" s="582" t="str">
        <x:v>Independent signals</x:v>
      </x:c>
      <x:c r="B74" s="123" t="str">
        <x:v>One unsupported signal</x:v>
      </x:c>
      <x:c r="C74" s="123" t="str">
        <x:v>One credible signal plus a related indicator</x:v>
      </x:c>
      <x:c r="D74" s="123" t="str">
        <x:v>Two or more genuinely independent signals</x:v>
      </x:c>
      <x:c r="E74" s="123" t="str">
        <x:v>Determines whether deeper research is efficient</x:v>
      </x:c>
      <x:c r="F74" s="583" t="str">
        <x:v>Copied articles and cross-posts count as one.</x:v>
      </x:c>
    </x:row>
    <x:row r="75">
      <x:c r="A75" s="582" t="str">
        <x:v>Public-interest importance</x:v>
      </x:c>
      <x:c r="B75" s="123" t="str">
        <x:v>Private or purely personal dispute</x:v>
      </x:c>
      <x:c r="C75" s="123" t="str">
        <x:v>Local civic relevance</x:v>
      </x:c>
      <x:c r="D75" s="123" t="str">
        <x:v>Material public-service, rights, environmental or policy significance</x:v>
      </x:c>
      <x:c r="E75" s="123" t="str">
        <x:v>Prioritises events affecting communities or public institutions</x:v>
      </x:c>
      <x:c r="F75" s="583" t="str">
        <x:v>Small events can score highly when institutional impact is clear.</x:v>
      </x:c>
    </x:row>
    <x:row r="76">
      <x:c r="A76" s="582" t="str">
        <x:v>Undercoverage and remoteness</x:v>
      </x:c>
      <x:c r="B76" s="123" t="str">
        <x:v>Already extensively documented</x:v>
      </x:c>
      <x:c r="C76" s="123" t="str">
        <x:v>Some regional coverage</x:v>
      </x:c>
      <x:c r="D76" s="123" t="str">
        <x:v>Remote, local-language or largely absent from mainstream coverage</x:v>
      </x:c>
      <x:c r="E76" s="123" t="str">
        <x:v>Counters metro and national-media bias</x:v>
      </x:c>
      <x:c r="F76" s="583" t="str">
        <x:v>Undercoverage cannot compensate for weak evidence.</x:v>
      </x:c>
    </x:row>
    <x:row r="77">
      <x:c r="A77" s="584" t="str">
        <x:v>Safety and legal feasibility</x:v>
      </x:c>
      <x:c r="B77" s="585" t="str">
        <x:v>Publication would create immediate unacceptable risk</x:v>
      </x:c>
      <x:c r="C77" s="585" t="str">
        <x:v>Can be researched with safeguards</x:v>
      </x:c>
      <x:c r="D77" s="585" t="str">
        <x:v>Can be safely documented with general location and attribution</x:v>
      </x:c>
      <x:c r="E77" s="585" t="str">
        <x:v>Prevents harmful or legally reckless publication</x:v>
      </x:c>
      <x:c r="F77" s="586" t="str">
        <x:v>High risk may require delay, redaction or non-public research.</x:v>
      </x:c>
    </x:row>
    <x:row r="79">
      <x:c r="A79" s="590" t="str">
        <x:v>Triage interpretation: 0–4 archive or monitor; 5–7 seek one additional signal; 8–9 investigate; 10–12 priority investigation. This is only a research-priority tool. It is not a truth score, verification status or publication threshold.</x:v>
      </x:c>
      <x:c r="B79" s="590"/>
      <x:c r="C79" s="590"/>
      <x:c r="D79" s="590"/>
      <x:c r="E79" s="590"/>
      <x:c r="F79" s="590"/>
    </x:row>
    <x:row r="80">
      <x:c r="A80" s="590"/>
      <x:c r="B80" s="590"/>
      <x:c r="C80" s="590"/>
      <x:c r="D80" s="590"/>
      <x:c r="E80" s="590"/>
      <x:c r="F80" s="590"/>
    </x:row>
    <x:row r="83">
      <x:c r="A83" s="593" t="str">
        <x:v>Lean Discovery Routine for a One-Person Team</x:v>
      </x:c>
      <x:c r="B83" s="593"/>
      <x:c r="C83" s="593"/>
      <x:c r="D83" s="593"/>
      <x:c r="E83" s="593"/>
      <x:c r="F83" s="593"/>
    </x:row>
    <x:row r="84">
      <x:c r="A84" s="566" t="str">
        <x:v>Frequency</x:v>
      </x:c>
      <x:c r="B84" s="566" t="str">
        <x:v>Activity</x:v>
      </x:c>
      <x:c r="C84" s="566" t="str">
        <x:v>Suggested time</x:v>
      </x:c>
      <x:c r="D84" s="566" t="str">
        <x:v>Output</x:v>
      </x:c>
      <x:c r="E84" s="566" t="str">
        <x:v>Control</x:v>
      </x:c>
      <x:c r="F84" s="566" t="str">
        <x:v>Notes</x:v>
      </x:c>
    </x:row>
    <x:row r="85">
      <x:c r="A85" s="579" t="str">
        <x:v>Daily</x:v>
      </x:c>
      <x:c r="B85" s="580" t="str">
        <x:v>Rotate through two states or language regions using local-language keywords.</x:v>
      </x:c>
      <x:c r="C85" s="580" t="str">
        <x:v>20 minutes</x:v>
      </x:c>
      <x:c r="D85" s="580" t="str">
        <x:v>Candidate links and short notes</x:v>
      </x:c>
      <x:c r="E85" s="580" t="str">
        <x:v>Do not research every result immediately.</x:v>
      </x:c>
      <x:c r="F85" s="581" t="str">
        <x:v>Maintain a rotation log so metros do not dominate.</x:v>
      </x:c>
    </x:row>
    <x:row r="86">
      <x:c r="A86" s="582" t="str">
        <x:v>Daily</x:v>
      </x:c>
      <x:c r="B86" s="123" t="str">
        <x:v>Scan selected community, union, NGO, petition and field-video channels.</x:v>
      </x:c>
      <x:c r="C86" s="123" t="str">
        <x:v>15 minutes</x:v>
      </x:c>
      <x:c r="D86" s="123" t="str">
        <x:v>New alternative-source leads</x:v>
      </x:c>
      <x:c r="E86" s="123" t="str">
        <x:v>Record original URL and discovery channel.</x:v>
      </x:c>
      <x:c r="F86" s="583" t="str">
        <x:v>Avoid private-group collection without consent or lawful access.</x:v>
      </x:c>
    </x:row>
    <x:row r="87">
      <x:c r="A87" s="582" t="str">
        <x:v>Daily</x:v>
      </x:c>
      <x:c r="B87" s="123" t="str">
        <x:v>Check official district or departmental notices for active candidates.</x:v>
      </x:c>
      <x:c r="C87" s="123" t="str">
        <x:v>10 minutes</x:v>
      </x:c>
      <x:c r="D87" s="123" t="str">
        <x:v>Responses, restrictions or project records</x:v>
      </x:c>
      <x:c r="E87" s="123" t="str">
        <x:v>Official notices verify only the authority's statement.</x:v>
      </x:c>
      <x:c r="F87" s="583" t="str">
        <x:v>Use outcome follow-up dates to focus effort.</x:v>
      </x:c>
    </x:row>
    <x:row r="88">
      <x:c r="A88" s="582" t="str">
        <x:v>Twice weekly</x:v>
      </x:c>
      <x:c r="B88" s="123" t="str">
        <x:v>Triage new leads using the internal score.</x:v>
      </x:c>
      <x:c r="C88" s="123" t="str">
        <x:v>20 minutes</x:v>
      </x:c>
      <x:c r="D88" s="123" t="str">
        <x:v>Priority investigation queue</x:v>
      </x:c>
      <x:c r="E88" s="123" t="str">
        <x:v>A high score does not satisfy publication criteria.</x:v>
      </x:c>
      <x:c r="F88" s="583" t="str">
        <x:v>Archive low-value duplicates and unverifiable reposts.</x:v>
      </x:c>
    </x:row>
    <x:row r="89">
      <x:c r="A89" s="582" t="str">
        <x:v>Weekly</x:v>
      </x:c>
      <x:c r="B89" s="123" t="str">
        <x:v>Run one thematic pattern search across states.</x:v>
      </x:c>
      <x:c r="C89" s="123" t="str">
        <x:v>30 minutes</x:v>
      </x:c>
      <x:c r="D89" s="123" t="str">
        <x:v>Possible systemic issue cluster</x:v>
      </x:c>
      <x:c r="E89" s="123" t="str">
        <x:v>Keep each physical event separate until coordination is proven.</x:v>
      </x:c>
      <x:c r="F89" s="583" t="str">
        <x:v>Examples: teacher vacancies, evictions, ethanol plants and transmission lines.</x:v>
      </x:c>
    </x:row>
    <x:row r="90">
      <x:c r="A90" s="582" t="str">
        <x:v>Weekly</x:v>
      </x:c>
      <x:c r="B90" s="123" t="str">
        <x:v>Review deferred leads and unresolved events.</x:v>
      </x:c>
      <x:c r="C90" s="123" t="str">
        <x:v>30 minutes</x:v>
      </x:c>
      <x:c r="D90" s="123" t="str">
        <x:v>Updates, corrections or bounded new event phases</x:v>
      </x:c>
      <x:c r="E90" s="123" t="str">
        <x:v>Avoid duplicate event records.</x:v>
      </x:c>
      <x:c r="F90" s="583" t="str">
        <x:v>Use the Day 5 Research Log or its future equivalent.</x:v>
      </x:c>
    </x:row>
    <x:row r="91">
      <x:c r="A91" s="584" t="str">
        <x:v>Monthly</x:v>
      </x:c>
      <x:c r="B91" s="585" t="str">
        <x:v>Audit geographic and source diversity.</x:v>
      </x:c>
      <x:c r="C91" s="585" t="str">
        <x:v>45 minutes</x:v>
      </x:c>
      <x:c r="D91" s="585" t="str">
        <x:v>Coverage-gap report</x:v>
      </x:c>
      <x:c r="E91" s="585" t="str">
        <x:v>No-event findings do not prove no protest occurred.</x:v>
      </x:c>
      <x:c r="F91" s="586" t="str">
        <x:v>Review states, languages, topics and discovery channels represented.</x:v>
      </x:c>
    </x:row>
    <x:row r="94">
      <x:c r="A94" s="645" t="str">
        <x:v>Automated Verification and Publication Rules</x:v>
      </x:c>
      <x:c r="B94" s="645"/>
      <x:c r="C94" s="645"/>
      <x:c r="D94" s="645"/>
      <x:c r="E94" s="645"/>
      <x:c r="F94" s="645"/>
    </x:row>
    <x:row r="95">
      <x:c r="A95" s="611" t="str">
        <x:v>Rule</x:v>
      </x:c>
      <x:c r="B95" s="611" t="str">
        <x:v>Required Behaviour</x:v>
      </x:c>
      <x:c r="C95" s="611" t="str">
        <x:v>Automated System May</x:v>
      </x:c>
      <x:c r="D95" s="611" t="str">
        <x:v>Automated System Must Not</x:v>
      </x:c>
      <x:c r="E95" s="611" t="str">
        <x:v>Human Control</x:v>
      </x:c>
      <x:c r="F95" s="611" t="str">
        <x:v>Audit Evidence</x:v>
      </x:c>
    </x:row>
    <x:row r="96">
      <x:c r="A96" s="612" t="str">
        <x:v>High-recall discovery, high-precision publication</x:v>
      </x:c>
      <x:c r="B96" s="613" t="str">
        <x:v>Tune discovery to avoid missing local and remote leads; tune publication to minimise unsupported records.</x:v>
      </x:c>
      <x:c r="C96" s="613" t="str">
        <x:v>Use broad multilingual rules, semantic retrieval and alternative-source monitoring.</x:v>
      </x:c>
      <x:c r="D96" s="613" t="str">
        <x:v>Lower publication evidence thresholds for remote or undercovered events.</x:v>
      </x:c>
      <x:c r="E96" s="613" t="str">
        <x:v>Approve source coverage and publication gates.</x:v>
      </x:c>
      <x:c r="F96" s="614" t="str">
        <x:v>DPS/ESS/RS values, source channels and editor decision.</x:v>
      </x:c>
    </x:row>
    <x:row r="97">
      <x:c r="A97" s="615" t="str">
        <x:v>Generated output is not evidence</x:v>
      </x:c>
      <x:c r="B97" s="115" t="str">
        <x:v>Models transform source material but never become a source themselves.</x:v>
      </x:c>
      <x:c r="C97" s="115" t="str">
        <x:v>Extract, translate, cluster, compare, classify and draft.</x:v>
      </x:c>
      <x:c r="D97" s="115" t="str">
        <x:v>Create an evidence node from its own output or cite a model response.</x:v>
      </x:c>
      <x:c r="E97" s="115" t="str">
        <x:v>Reject unsupported claims and verify citations.</x:v>
      </x:c>
      <x:c r="F97" s="616" t="str">
        <x:v>Source object IDs and sentence-to-claim mappings.</x:v>
      </x:c>
    </x:row>
    <x:row r="98">
      <x:c r="A98" s="615" t="str">
        <x:v>Original-language evidence preserved</x:v>
      </x:c>
      <x:c r="B98" s="115" t="str">
        <x:v>The original text/audio/video remains authoritative and translations are derivative.</x:v>
      </x:c>
      <x:c r="C98" s="115" t="str">
        <x:v>Create translation, transliteration, OCR and ASR layers with confidence.</x:v>
      </x:c>
      <x:c r="D98" s="115" t="str">
        <x:v>Discard the original or conceal translation uncertainty.</x:v>
      </x:c>
      <x:c r="E98" s="115" t="str">
        <x:v>Review serious or ambiguous passages in the source language where possible.</x:v>
      </x:c>
      <x:c r="F98" s="616" t="str">
        <x:v>Original object, derived text, language and model/version.</x:v>
      </x:c>
    </x:row>
    <x:row r="99">
      <x:c r="A99" s="615" t="str">
        <x:v>Provenance and reproducibility</x:v>
      </x:c>
      <x:c r="B99" s="115" t="str">
        <x:v>Every source, transformation and editorial decision has a traceable lineage.</x:v>
      </x:c>
      <x:c r="C99" s="115" t="str">
        <x:v>Hash objects and record retrieval, transformation and model metadata.</x:v>
      </x:c>
      <x:c r="D99" s="115" t="str">
        <x:v>Use undocumented data, prompts or hidden manual changes in publication evidence.</x:v>
      </x:c>
      <x:c r="E99" s="115" t="str">
        <x:v>Approve methodology/model changes and retain version history.</x:v>
      </x:c>
      <x:c r="F99" s="616" t="str">
        <x:v>W3C-PROV-style entity/activity/agent links.</x:v>
      </x:c>
    </x:row>
    <x:row r="100">
      <x:c r="A100" s="615" t="str">
        <x:v>Independent-source families</x:v>
      </x:c>
      <x:c r="B100" s="115" t="str">
        <x:v>Corroboration is measured by underlying source families, not URL count.</x:v>
      </x:c>
      <x:c r="C100" s="115" t="str">
        <x:v>Detect exact and near duplicates, shared quotes, reused media and syndication.</x:v>
      </x:c>
      <x:c r="D100" s="115" t="str">
        <x:v>Count copied reports, platform cross-posts or one press release as multiple confirmations.</x:v>
      </x:c>
      <x:c r="E100" s="115" t="str">
        <x:v>Resolve uncertain lineage before publication.</x:v>
      </x:c>
      <x:c r="F100" s="616" t="str">
        <x:v>Source-family graph and reviewer decision.</x:v>
      </x:c>
    </x:row>
    <x:row r="101">
      <x:c r="A101" s="615" t="str">
        <x:v>Atomic claims and contradiction handling</x:v>
      </x:c>
      <x:c r="B101" s="115" t="str">
        <x:v>Every important fact is a separate claim with supporting, opposing and missing evidence.</x:v>
      </x:c>
      <x:c r="C101" s="115" t="str">
        <x:v>Extract claims and identify contradictions or alternate values.</x:v>
      </x:c>
      <x:c r="D101" s="115" t="str">
        <x:v>Average conflicting facts into a false single answer or hide disagreement.</x:v>
      </x:c>
      <x:c r="E101" s="115" t="str">
        <x:v>Approve each claim status and public wording.</x:v>
      </x:c>
      <x:c r="F101" s="616" t="str">
        <x:v>Claim IDs, evidence edges and conflict flags.</x:v>
      </x:c>
    </x:row>
    <x:row r="102">
      <x:c r="A102" s="615" t="str">
        <x:v>Media integrity is probabilistic</x:v>
      </x:c>
      <x:c r="B102" s="115" t="str">
        <x:v>Media provenance and forensic tools provide indicators, not absolute authenticity.</x:v>
      </x:c>
      <x:c r="C102" s="115" t="str">
        <x:v>Validate C2PA, hashes, reuse, metadata and manipulation signals.</x:v>
      </x:c>
      <x:c r="D102" s="115" t="str">
        <x:v>Declare media genuine solely because one detector passes or false because credentials are absent.</x:v>
      </x:c>
      <x:c r="E102" s="115" t="str">
        <x:v>Review originals, geolocation, chronology and detector limits.</x:v>
      </x:c>
      <x:c r="F102" s="616" t="str">
        <x:v>Media-integrity report and original file hash.</x:v>
      </x:c>
    </x:row>
    <x:row r="103">
      <x:c r="A103" s="615" t="str">
        <x:v>Serious allegations receive enhanced review</x:v>
      </x:c>
      <x:c r="B103" s="115" t="str">
        <x:v>Claims of corruption, crime, violence, negligence or deliberate wrongdoing require stronger evidence and reply rights.</x:v>
      </x:c>
      <x:c r="C103" s="115" t="str">
        <x:v>Flag, retrieve relevant records and draft neutral questions.</x:v>
      </x:c>
      <x:c r="D103" s="115" t="str">
        <x:v>Publish an accusation as a platform finding without sufficient formal evidence.</x:v>
      </x:c>
      <x:c r="E103" s="115" t="str">
        <x:v>Conduct proportionality, legal/safety and right-of-reply review.</x:v>
      </x:c>
      <x:c r="F103" s="616" t="str">
        <x:v>Gate G06/G07 results and outreach log.</x:v>
      </x:c>
    </x:row>
    <x:row r="104">
      <x:c r="A104" s="615" t="str">
        <x:v>Personal and sensitive data minimised</x:v>
      </x:c>
      <x:c r="B104" s="115" t="str">
        <x:v>Collect and expose only information necessary for verification and public understanding.</x:v>
      </x:c>
      <x:c r="C104" s="115" t="str">
        <x:v>Detect and redact identities, faces, plates, voices and exact locations.</x:v>
      </x:c>
      <x:c r="D104" s="115" t="str">
        <x:v>Build participant lists, infer identities or expose contributor metadata.</x:v>
      </x:c>
      <x:c r="E104" s="115" t="str">
        <x:v>Approve necessity, redaction and public location precision.</x:v>
      </x:c>
      <x:c r="F104" s="616" t="str">
        <x:v>Redaction log, access log and purpose record.</x:v>
      </x:c>
    </x:row>
    <x:row r="105">
      <x:c r="A105" s="615" t="str">
        <x:v>Risk can block strong evidence</x:v>
      </x:c>
      <x:c r="B105" s="115" t="str">
        <x:v>A well-supported record may still be delayed or narrowed because publication would create disproportionate safety or legal risk.</x:v>
      </x:c>
      <x:c r="C105" s="115" t="str">
        <x:v>Calculate risk signals and recommend controls.</x:v>
      </x:c>
      <x:c r="D105" s="115" t="str">
        <x:v>Override privacy, tactical-safety or legal holds based on public interest score alone.</x:v>
      </x:c>
      <x:c r="E105" s="115" t="str">
        <x:v>Release holds only through documented review.</x:v>
      </x:c>
      <x:c r="F105" s="616" t="str">
        <x:v>Risk score, hold reason and release approval.</x:v>
      </x:c>
    </x:row>
    <x:row r="106">
      <x:c r="A106" s="615" t="str">
        <x:v>Mandatory human publication decision</x:v>
      </x:c>
      <x:c r="B106" s="115" t="str">
        <x:v>A named accountable human is responsible for every publication and material update.</x:v>
      </x:c>
      <x:c r="C106" s="115" t="str">
        <x:v>Prepare evidence packets, checklists and drafts.</x:v>
      </x:c>
      <x:c r="D106" s="115" t="str">
        <x:v>Publish, unpublish or issue a consequential correction autonomously.</x:v>
      </x:c>
      <x:c r="E106" s="115" t="str">
        <x:v>Sign approval, methodology version and applicable exceptions.</x:v>
      </x:c>
      <x:c r="F106" s="616" t="str">
        <x:v>Editor identity, timestamp, decision and final snapshot.</x:v>
      </x:c>
    </x:row>
    <x:row r="107">
      <x:c r="A107" s="615" t="str">
        <x:v>Benchmarking and red-team tests</x:v>
      </x:c>
      <x:c r="B107" s="115" t="str">
        <x:v>The pipeline must be evaluated against missed remote events, duplicate sources, false leads, manipulated media and sensitive cases.</x:v>
      </x:c>
      <x:c r="C107" s="115" t="str">
        <x:v>Run offline benchmark and adversarial test suites.</x:v>
      </x:c>
      <x:c r="D107" s="115" t="str">
        <x:v>Change thresholds solely to improve dashboard metrics.</x:v>
      </x:c>
      <x:c r="E107" s="115" t="str">
        <x:v>Approve calibrated thresholds and incident fixes.</x:v>
      </x:c>
      <x:c r="F107" s="616" t="str">
        <x:v>Benchmark version, errors by language/state and overrides.</x:v>
      </x:c>
    </x:row>
    <x:row r="108">
      <x:c r="A108" s="615" t="str">
        <x:v>Model and source drift monitoring</x:v>
      </x:c>
      <x:c r="B108" s="115" t="str">
        <x:v>Performance and access conditions can change by language, region, model and source.</x:v>
      </x:c>
      <x:c r="C108" s="115" t="str">
        <x:v>Track extraction errors, override rates, source failures and coverage shifts.</x:v>
      </x:c>
      <x:c r="D108" s="115" t="str">
        <x:v>Assume historical performance remains valid.</x:v>
      </x:c>
      <x:c r="E108" s="115" t="str">
        <x:v>Approve rollback, model replacement and source suspension.</x:v>
      </x:c>
      <x:c r="F108" s="616" t="str">
        <x:v>Model registry, source health, drift report and change log.</x:v>
      </x:c>
    </x:row>
    <x:row r="109">
      <x:c r="A109" s="617" t="str">
        <x:v>Incident response and correction</x:v>
      </x:c>
      <x:c r="B109" s="618" t="str">
        <x:v>A serious system error triggers hold, public correction and root-cause review.</x:v>
      </x:c>
      <x:c r="C109" s="618" t="str">
        <x:v>Identify affected records and supporting pipeline versions.</x:v>
      </x:c>
      <x:c r="D109" s="618" t="str">
        <x:v>Silently repair a consequential error or delete the evidence trail.</x:v>
      </x:c>
      <x:c r="E109" s="618" t="str">
        <x:v>Approve correction, notification and preventive action.</x:v>
      </x:c>
      <x:c r="F109" s="619" t="str">
        <x:v>Incident record, affected IDs, correction and control update.</x:v>
      </x:c>
    </x:row>
  </x:sheetData>
  <x:mergeCells>
    <x:mergeCell ref="A1:F2"/>
    <x:mergeCell ref="A35:F35"/>
    <x:mergeCell ref="A53:F53"/>
    <x:mergeCell ref="A70:F70"/>
    <x:mergeCell ref="A79:F80"/>
    <x:mergeCell ref="A83:F83"/>
    <x:mergeCell ref="A94:F94"/>
  </x:mergeCells>
  <x:pageMargins left="0.7" right="0.7" top="0.75" bottom="0.75" header="0.3" footer="0.3"/>
  <x:tableParts count="3">
    <x:tablePart xmlns:r="http://schemas.openxmlformats.org/officeDocument/2006/relationships" r:id="R94ed64e8e9044cc9"/>
    <x:tablePart xmlns:r="http://schemas.openxmlformats.org/officeDocument/2006/relationships" r:id="R373eeee1318b4483"/>
    <x:tablePart xmlns:r="http://schemas.openxmlformats.org/officeDocument/2006/relationships" r:id="R6bbcd0abba434596"/>
  </x:tableParts>
</x:worksheet>
</file>

<file path=xl/worksheets/sheet16.xml><?xml version="1.0" encoding="utf-8"?>
<x:worksheet xmlns:x="http://schemas.openxmlformats.org/spreadsheetml/2006/main">
  <x:sheetFormatPr defaultRowHeight="15"/>
  <x:cols>
    <x:col min="1" max="1" width="15" hidden="0" customWidth="1"/>
    <x:col min="2" max="2" width="38" hidden="0" customWidth="1"/>
    <x:col min="3" max="3" width="16" hidden="0" customWidth="1"/>
    <x:col min="4" max="4" width="25" hidden="0" customWidth="1"/>
    <x:col min="5" max="5" width="42" hidden="0" customWidth="1"/>
    <x:col min="6" max="6" width="24" hidden="0" customWidth="1"/>
    <x:col min="7" max="7" width="34" hidden="0" customWidth="1"/>
    <x:col min="8" max="8" width="25" hidden="0" customWidth="1"/>
    <x:col min="9" max="9" width="42" hidden="0" customWidth="1"/>
    <x:col min="10" max="10" width="42" hidden="0" customWidth="1"/>
    <x:col min="11" max="11" width="46" hidden="0" customWidth="1"/>
    <x:col min="12" max="12" width="38" hidden="0" customWidth="1"/>
  </x:cols>
  <x:sheetData>
    <x:row r="1">
      <x:c r="A1" s="498" t="str">
        <x:v>India Observed — Day 5 Alternative-Source Research Log</x:v>
      </x:c>
      <x:c r="B1" s="498"/>
      <x:c r="C1" s="498"/>
      <x:c r="D1" s="498"/>
      <x:c r="E1" s="498"/>
      <x:c r="F1" s="498"/>
      <x:c r="G1" s="498"/>
      <x:c r="H1" s="498"/>
      <x:c r="I1" s="498"/>
      <x:c r="J1" s="498"/>
      <x:c r="K1" s="498"/>
      <x:c r="L1" s="498"/>
    </x:row>
    <x:row r="2">
      <x:c r="A2" s="498"/>
      <x:c r="B2" s="498"/>
      <x:c r="C2" s="498"/>
      <x:c r="D2" s="498"/>
      <x:c r="E2" s="498"/>
      <x:c r="F2" s="498"/>
      <x:c r="G2" s="498"/>
      <x:c r="H2" s="498"/>
      <x:c r="I2" s="498"/>
      <x:c r="J2" s="498"/>
      <x:c r="K2" s="498"/>
      <x:c r="L2" s="498"/>
    </x:row>
    <x:row r="3">
      <x:c r="A3" s="502" t="str">
        <x:v>Tracks how events were discovered, what evidence converted a lead into a valid record, and why promising remote leads were deferred.</x:v>
      </x:c>
      <x:c r="B3" s="502"/>
      <x:c r="C3" s="502"/>
      <x:c r="D3" s="502"/>
      <x:c r="E3" s="502"/>
      <x:c r="F3" s="502"/>
      <x:c r="G3" s="502"/>
      <x:c r="H3" s="502"/>
      <x:c r="I3" s="502"/>
      <x:c r="J3" s="502"/>
      <x:c r="K3" s="502"/>
      <x:c r="L3" s="502"/>
    </x:row>
    <x:row r="5">
      <x:c r="A5" s="503" t="str">
        <x:v>Log ID</x:v>
      </x:c>
      <x:c r="B5" s="503" t="str">
        <x:v>Candidate / Event</x:v>
      </x:c>
      <x:c r="C5" s="503" t="str">
        <x:v>State / UT</x:v>
      </x:c>
      <x:c r="D5" s="503" t="str">
        <x:v>Discovery Channel</x:v>
      </x:c>
      <x:c r="E5" s="503" t="str">
        <x:v>Lead URL</x:v>
      </x:c>
      <x:c r="F5" s="503" t="str">
        <x:v>Traditional Coverage Found?</x:v>
      </x:c>
      <x:c r="G5" s="503" t="str">
        <x:v>Independent Verification Sources</x:v>
      </x:c>
      <x:c r="H5" s="503" t="str">
        <x:v>Decision</x:v>
      </x:c>
      <x:c r="I5" s="503" t="str">
        <x:v>Undercoverage / Public-Interest Reason</x:v>
      </x:c>
      <x:c r="J5" s="503" t="str">
        <x:v>Workflow Problem Found</x:v>
      </x:c>
      <x:c r="K5" s="503" t="str">
        <x:v>Schema / Methodology Action</x:v>
      </x:c>
      <x:c r="L5" s="503" t="str">
        <x:v>Follow-up</x:v>
      </x:c>
    </x:row>
    <x:row r="6">
      <x:c r="A6" s="16" t="str">
        <x:v>IO-D5LOG-001</x:v>
      </x:c>
      <x:c r="B6" s="16" t="str">
        <x:v>Morbi farmers' transmission-compensation satyagraha</x:v>
      </x:c>
      <x:c r="C6" s="16" t="str">
        <x:v>Gujarat</x:v>
      </x:c>
      <x:c r="D6" s="16" t="str">
        <x:v>Community social media</x:v>
      </x:c>
      <x:c r="E6" s="16" t="str">
        <x:v>https://www.instagram.com/p/DadCC4NFo-C/</x:v>
      </x:c>
      <x:c r="F6" s="16" t="str">
        <x:v>Yes, after targeted search</x:v>
      </x:c>
      <x:c r="G6" s="16" t="str">
        <x:v>The Indian Express; The Wire; The Telegraph</x:v>
      </x:c>
      <x:c r="H6" s="16" t="str">
        <x:v>Selected — IO-CM-GJ-0001</x:v>
      </x:c>
      <x:c r="I6" s="16" t="str">
        <x:v>Rural land-compensation movement received less sustained national attention than its scale and policy response warranted.</x:v>
      </x:c>
      <x:c r="J6" s="16" t="str">
        <x:v>Project voltage, route length and affected-farmer counts differed across reports.</x:v>
      </x:c>
      <x:c r="K6" s="16" t="str">
        <x:v>Discovery source separated from verification sources; technical figures left unresolved pending official project documents.</x:v>
      </x:c>
      <x:c r="L6" s="16" t="str">
        <x:v>Obtain Gujarat compensation resolution and official transmission-route documents.</x:v>
      </x:c>
    </x:row>
    <x:row r="7">
      <x:c r="A7" s="16" t="str">
        <x:v>IO-D5LOG-002</x:v>
      </x:c>
      <x:c r="B7" s="16" t="str">
        <x:v>Dasiya villagers oppose ethanol plant</x:v>
      </x:c>
      <x:c r="C7" s="16" t="str">
        <x:v>Uttar Pradesh</x:v>
      </x:c>
      <x:c r="D7" s="16" t="str">
        <x:v>Community social media</x:v>
      </x:c>
      <x:c r="E7" s="16" t="str">
        <x:v>https://www.facebook.com/LiveTimesNewsChannel/videos/2065530604339052/</x:v>
      </x:c>
      <x:c r="F7" s="16" t="str">
        <x:v>Limited local-language coverage</x:v>
      </x:c>
      <x:c r="G7" s="16" t="str">
        <x:v>Navbharat Times; Amar Ujala; field video</x:v>
      </x:c>
      <x:c r="H7" s="16" t="str">
        <x:v>Selected — IO-CM-UP-0001</x:v>
      </x:c>
      <x:c r="I7" s="16" t="str">
        <x:v>Village-level industrial and environmental conflict was mainly visible through Hindi local reporting and public video.</x:v>
      </x:c>
      <x:c r="J7" s="16" t="str">
        <x:v>Company identity, environmental clearances and claims about how land was obtained remain unclear.</x:v>
      </x:c>
      <x:c r="K7" s="16" t="str">
        <x:v>Added Related Policy/Project, discovery channel, coverage profile and official follow-up fields; allegations retained at claim level.</x:v>
      </x:c>
      <x:c r="L7" s="16" t="str">
        <x:v>Find company name, EIA/consent documents, land records and district response.</x:v>
      </x:c>
    </x:row>
    <x:row r="8">
      <x:c r="A8" s="16" t="str">
        <x:v>IO-D5LOG-003</x:v>
      </x:c>
      <x:c r="B8" s="16" t="str">
        <x:v>Malgaon protest over APDCL land allotment and resettlement</x:v>
      </x:c>
      <x:c r="C8" s="16" t="str">
        <x:v>Assam</x:v>
      </x:c>
      <x:c r="D8" s="16" t="str">
        <x:v>Community social media</x:v>
      </x:c>
      <x:c r="E8" s="16" t="str">
        <x:v>https://www.facebook.com/kokrajharnews/posts/malgaon-villagers-protest-against-proposed-apdcl-project-and-minority-resettleme/1516794640464697/</x:v>
      </x:c>
      <x:c r="F8" s="16" t="str">
        <x:v>Very limited regional coverage</x:v>
      </x:c>
      <x:c r="G8" s="16" t="str">
        <x:v>India Today North East; Kokrajhar News; Northeast Publish</x:v>
      </x:c>
      <x:c r="H8" s="16" t="str">
        <x:v>Selected — IO-CM-AS-0001</x:v>
      </x:c>
      <x:c r="I8" s="16" t="str">
        <x:v>Remote tribal-land issue had almost no mainstream national coverage and involved competing public-interest claims.</x:v>
      </x:c>
      <x:c r="J8" s="16" t="str">
        <x:v>Local social posts may share one underlying report; official land status and consultation records were unavailable.</x:v>
      </x:c>
      <x:c r="K8" s="16" t="str">
        <x:v>Social source can initiate a lead but does not automatically count as independent corroboration; participant-safety rule expanded to protect displaced beneficiary groups too.</x:v>
      </x:c>
      <x:c r="L8" s="16" t="str">
        <x:v>Obtain APDCL proposal, BTC/Assam land records and official response.</x:v>
      </x:c>
    </x:row>
    <x:row r="9">
      <x:c r="A9" s="16" t="str">
        <x:v>IO-D5LOG-004</x:v>
      </x:c>
      <x:c r="B9" s="16" t="str">
        <x:v>Manipur government employees' cease-work strike</x:v>
      </x:c>
      <x:c r="C9" s="16" t="str">
        <x:v>Manipur</x:v>
      </x:c>
      <x:c r="D9" s="16" t="str">
        <x:v>Regional / local media</x:v>
      </x:c>
      <x:c r="E9" s="16" t="str">
        <x:v>https://www.thesangaiexpress.com/Encyc/2026/7/1/imphal-jun-30-employees-of-the-state-government-are-all-set-to-launch-a-ceasework-strike-from-wednesday-until-.html</x:v>
      </x:c>
      <x:c r="F9" s="16" t="str">
        <x:v>Some national pickup after prolonged disruption</x:v>
      </x:c>
      <x:c r="G9" s="16" t="str">
        <x:v>Economic Times; Northeast Now; The Sangai Express</x:v>
      </x:c>
      <x:c r="H9" s="16" t="str">
        <x:v>Selected — IO-CM-MN-0001</x:v>
      </x:c>
      <x:c r="I9" s="16" t="str">
        <x:v>Statewide administrative disruption was better documented regionally than in sustained national coverage.</x:v>
      </x:c>
      <x:c r="J9" s="16" t="str">
        <x:v>Multiple employee federations held separate actions with similar language, creating a risk of merging distinct events.</x:v>
      </x:c>
      <x:c r="K9" s="16" t="str">
        <x:v>Event identity must include organising body; official-response date and follow-up date added.</x:v>
      </x:c>
      <x:c r="L9" s="16" t="str">
        <x:v>Obtain five-day-week notification and federation's complete charter.</x:v>
      </x:c>
    </x:row>
    <x:row r="10">
      <x:c r="A10" s="16" t="str">
        <x:v>IO-D5LOG-005</x:v>
      </x:c>
      <x:c r="B10" s="16" t="str">
        <x:v>Dharmasala students protest teacher vacancies</x:v>
      </x:c>
      <x:c r="C10" s="16" t="str">
        <x:v>Odisha</x:v>
      </x:c>
      <x:c r="D10" s="16" t="str">
        <x:v>Field video / citizen post</x:v>
      </x:c>
      <x:c r="E10" s="16" t="str">
        <x:v>Local video lead followed by targeted school-name search</x:v>
      </x:c>
      <x:c r="F10" s="16" t="str">
        <x:v>Yes, two local reports</x:v>
      </x:c>
      <x:c r="G10" s="16" t="str">
        <x:v>The New Indian Express; The Times of India</x:v>
      </x:c>
      <x:c r="H10" s="16" t="str">
        <x:v>Selected — IO-CM-OD-0001</x:v>
      </x:c>
      <x:c r="I10" s="16" t="str">
        <x:v>Small rural student action produced a same-day institutional response but would be lost in national protest searches.</x:v>
      </x:c>
      <x:c r="J10" s="16" t="str">
        <x:v>Teacher and student figures differed because sources may have counted different classes or dates.</x:v>
      </x:c>
      <x:c r="K10" s="16" t="str">
        <x:v>Numerical discrepancies remain separate claims; event-level crowd/staffing fields were rejected in favour of claim-level evidence.</x:v>
      </x:c>
      <x:c r="L10" s="16" t="str">
        <x:v>Obtain school enrolment, sanctioned posts and status of remaining vacancies.</x:v>
      </x:c>
    </x:row>
    <x:row r="11">
      <x:c r="A11" s="16" t="str">
        <x:v>IO-D5LOG-006</x:v>
      </x:c>
      <x:c r="B11" s="16" t="str">
        <x:v>Koida road excavation protest over land dispute</x:v>
      </x:c>
      <x:c r="C11" s="16" t="str">
        <x:v>Odisha</x:v>
      </x:c>
      <x:c r="D11" s="16" t="str">
        <x:v>Community social media</x:v>
      </x:c>
      <x:c r="E11" s="16" t="str">
        <x:v>https://www.instagram.com/p/DXBtlMHDG1Y/</x:v>
      </x:c>
      <x:c r="F11" s="16" t="str">
        <x:v>No reliable text report located</x:v>
      </x:c>
      <x:c r="G11" s="16" t="str">
        <x:v>Multiple social posts, likely same underlying footage</x:v>
      </x:c>
      <x:c r="H11" s="16" t="str">
        <x:v>Deferred — needs more research</x:v>
      </x:c>
      <x:c r="I11" s="16" t="str">
        <x:v>Dramatic remote action involving industrial transport and land conflict may otherwise go undocumented.</x:v>
      </x:c>
      <x:c r="J11" s="16" t="str">
        <x:v>Date, land ownership, parties, official response and source independence remain unclear.</x:v>
      </x:c>
      <x:c r="K11" s="16" t="str">
        <x:v>Do not publish visually compelling content without a bounded event and independent verification.</x:v>
      </x:c>
      <x:c r="L11" s="16" t="str">
        <x:v>Search Odia local media, Koida police/district records and land documents.</x:v>
      </x:c>
    </x:row>
    <x:row r="12">
      <x:c r="A12" s="16" t="str">
        <x:v>IO-D5LOG-007</x:v>
      </x:c>
      <x:c r="B12" s="16" t="str">
        <x:v>AASU sit-in at Sonari</x:v>
      </x:c>
      <x:c r="C12" s="16" t="str">
        <x:v>Assam</x:v>
      </x:c>
      <x:c r="D12" s="16" t="str">
        <x:v>Regional / local media</x:v>
      </x:c>
      <x:c r="E12" s="16" t="str">
        <x:v>https://timesofindia.indiatimes.com/city/guwahati/aasu-holds-sit-in-in-charaideo-flags-boundary-infra-issues/articleshow/132374472.cms</x:v>
      </x:c>
      <x:c r="F12" s="16" t="str">
        <x:v>One strong report and a video lead</x:v>
      </x:c>
      <x:c r="G12" s="16" t="str">
        <x:v>Times of India; The Sentinel video lead</x:v>
      </x:c>
      <x:c r="H12" s="16" t="str">
        <x:v>Deferred from Day 5</x:v>
      </x:c>
      <x:c r="I12" s="16" t="str">
        <x:v>District boundary and infrastructure grievances are locally important but bundled together in one broad report.</x:v>
      </x:c>
      <x:c r="J12" s="16" t="str">
        <x:v>Demands need claim-level separation; source independence between reports is unclear.</x:v>
      </x:c>
      <x:c r="K12" s="16" t="str">
        <x:v>Broad demand bundles must be separated before publication.</x:v>
      </x:c>
      <x:c r="L12" s="16" t="str">
        <x:v>Find AASU memorandum and district-administration response.</x:v>
      </x:c>
    </x:row>
    <x:row r="13">
      <x:c r="A13" s="16" t="str">
        <x:v>IO-D5LOG-008</x:v>
      </x:c>
      <x:c r="B13" s="16" t="str">
        <x:v>Kumarkeli and Nuahat school teacher-shortage videos</x:v>
      </x:c>
      <x:c r="C13" s="16" t="str">
        <x:v>Odisha</x:v>
      </x:c>
      <x:c r="D13" s="16" t="str">
        <x:v>Field video / citizen post</x:v>
      </x:c>
      <x:c r="E13" s="16" t="str">
        <x:v>https://www.youtube.com/watch?v=8PJkBjrT1bs</x:v>
      </x:c>
      <x:c r="F13" s="16" t="str">
        <x:v>No reliable combined text coverage</x:v>
      </x:c>
      <x:c r="G13" s="16" t="str">
        <x:v>Separate videos for different schools</x:v>
      </x:c>
      <x:c r="H13" s="16" t="str">
        <x:v>Deferred — separate events required</x:v>
      </x:c>
      <x:c r="I13" s="16" t="str">
        <x:v>Multiple rural-school protests indicate a wider staffing pattern beyond the selected Dharmasala event.</x:v>
      </x:c>
      <x:c r="J13" s="16" t="str">
        <x:v>Search results risk combining different schools, districts and dates into one false event.</x:v>
      </x:c>
      <x:c r="K13" s="16" t="str">
        <x:v>One physical institution and one protest episode per event ID unless coordinated action is proven.</x:v>
      </x:c>
      <x:c r="L13" s="16" t="str">
        <x:v>Identify district, date, school name and independent report for each video.</x:v>
      </x:c>
    </x:row>
    <x:row r="14">
      <x:c r="A14" s="16" t="str">
        <x:v>IO-D5LOG-009</x:v>
      </x:c>
      <x:c r="B14" s="16" t="str">
        <x:v>Sijimali anti-mining mobilisation</x:v>
      </x:c>
      <x:c r="C14" s="16" t="str">
        <x:v>Odisha</x:v>
      </x:c>
      <x:c r="D14" s="16" t="str">
        <x:v>Community social media</x:v>
      </x:c>
      <x:c r="E14" s="16" t="str">
        <x:v>https://www.instagram.com/reel/DXKHiitE-S_/</x:v>
      </x:c>
      <x:c r="F14" s="16" t="str">
        <x:v>Strong movement context; current episode unclear</x:v>
      </x:c>
      <x:c r="G14" s="16" t="str">
        <x:v>Mongabay India; campaign videos; other investigative reports</x:v>
      </x:c>
      <x:c r="H14" s="16" t="str">
        <x:v>Deferred — needs event boundary</x:v>
      </x:c>
      <x:c r="I14" s="16" t="str">
        <x:v>Major tribal-land and mining conflict in a remote region deserves coverage.</x:v>
      </x:c>
      <x:c r="J14" s="16" t="str">
        <x:v>Long movement contains meetings, consent disputes, clashes, arrests and solidarity actions; current July episode was not sufficiently bounded.</x:v>
      </x:c>
      <x:c r="K14" s="16" t="str">
        <x:v>Long-running movements require distinct phase/event records connected by a common movement identifier in future schema.</x:v>
      </x:c>
      <x:c r="L14" s="16" t="str">
        <x:v>Define the specific July action and obtain current primary/official records.</x:v>
      </x:c>
    </x:row>
    <x:row r="15">
      <x:c r="A15" s="16" t="str">
        <x:v>IO-D5LOG-010</x:v>
      </x:c>
      <x:c r="B15" s="16" t="str">
        <x:v>Daringbadi villagers demand road construction</x:v>
      </x:c>
      <x:c r="C15" s="16" t="str">
        <x:v>Odisha</x:v>
      </x:c>
      <x:c r="D15" s="16" t="str">
        <x:v>Regional video</x:v>
      </x:c>
      <x:c r="E15" s="16" t="str">
        <x:v>https://www.youtube.com/watch?v=wz3JbIujRRk</x:v>
      </x:c>
      <x:c r="F15" s="16" t="str">
        <x:v>No independent report located</x:v>
      </x:c>
      <x:c r="G15" s="16" t="str">
        <x:v>One regional video lead</x:v>
      </x:c>
      <x:c r="H15" s="16" t="str">
        <x:v>Deferred — needs more research</x:v>
      </x:c>
      <x:c r="I15" s="16" t="str">
        <x:v>Remote road-access protest may reveal a persistent public-service failure.</x:v>
      </x:c>
      <x:c r="J15" s="16" t="str">
        <x:v>Exact village, date, demand, road authority and response were not independently established.</x:v>
      </x:c>
      <x:c r="K15" s="16" t="str">
        <x:v>Infrastructure videos remain leads until location and responsible authority are verified.</x:v>
      </x:c>
      <x:c r="L15" s="16" t="str">
        <x:v>Search Odia-language outlets, block office records and road-department notices.</x:v>
      </x:c>
    </x:row>
  </x:sheetData>
  <x:mergeCells>
    <x:mergeCell ref="A1:L2"/>
    <x:mergeCell ref="A3:L3"/>
  </x:mergeCells>
  <x:conditionalFormatting sqref="H6:H15">
    <x:cfRule type="expression" dxfId="23" priority="1">
      <x:formula>ISNUMBER(SEARCH("Selected",H6))</x:formula>
    </x:cfRule>
    <x:cfRule type="expression" dxfId="24" priority="2">
      <x:formula>ISNUMBER(SEARCH("Deferred",H6))</x:formula>
    </x:cfRule>
  </x:conditionalFormatting>
  <x:pageMargins left="0.7" right="0.7" top="0.75" bottom="0.75" header="0.3" footer="0.3"/>
  <x:tableParts count="1">
    <x:tablePart xmlns:r="http://schemas.openxmlformats.org/officeDocument/2006/relationships" r:id="R2f384615324e4406"/>
  </x:tableParts>
</x:worksheet>
</file>

<file path=xl/worksheets/sheet17.xml><?xml version="1.0" encoding="utf-8"?>
<x:worksheet xmlns:x="http://schemas.openxmlformats.org/spreadsheetml/2006/main">
  <x:sheetFormatPr defaultRowHeight="15"/>
  <x:cols>
    <x:col min="1" max="1" width="14" hidden="0" customWidth="1"/>
    <x:col min="2" max="2" width="28" hidden="0" customWidth="1"/>
    <x:col min="3" max="3" width="43" hidden="0" customWidth="1"/>
    <x:col min="4" max="4" width="31" hidden="0" customWidth="1"/>
    <x:col min="5" max="5" width="43" hidden="0" customWidth="1"/>
    <x:col min="6" max="6" width="44" hidden="0" customWidth="1"/>
    <x:col min="7" max="7" width="18" hidden="0" customWidth="1"/>
  </x:cols>
  <x:sheetData>
    <x:row r="1">
      <x:c r="A1" s="498" t="str">
        <x:v>India Observed — Day 5 Schema and Methodology Review</x:v>
      </x:c>
      <x:c r="B1" s="498"/>
      <x:c r="C1" s="498"/>
      <x:c r="D1" s="498"/>
      <x:c r="E1" s="498"/>
      <x:c r="F1" s="498"/>
      <x:c r="G1" s="498"/>
    </x:row>
    <x:row r="2">
      <x:c r="A2" s="498"/>
      <x:c r="B2" s="498"/>
      <x:c r="C2" s="498"/>
      <x:c r="D2" s="498"/>
      <x:c r="E2" s="498"/>
      <x:c r="F2" s="498"/>
      <x:c r="G2" s="498"/>
    </x:row>
    <x:row r="3">
      <x:c r="A3" s="502" t="str">
        <x:v>Decisions are based on testing Verification Methodology v0.1 across five additional, deliberately undercovered events.</x:v>
      </x:c>
      <x:c r="B3" s="502"/>
      <x:c r="C3" s="502"/>
      <x:c r="D3" s="502"/>
      <x:c r="E3" s="502"/>
      <x:c r="F3" s="502"/>
      <x:c r="G3" s="502"/>
    </x:row>
    <x:row r="5">
      <x:c r="A5" s="503" t="str">
        <x:v>Review ID</x:v>
      </x:c>
      <x:c r="B5" s="503" t="str">
        <x:v>Review Item</x:v>
      </x:c>
      <x:c r="C5" s="503" t="str">
        <x:v>Evidence from Day 5</x:v>
      </x:c>
      <x:c r="D5" s="503" t="str">
        <x:v>Decision</x:v>
      </x:c>
      <x:c r="E5" s="503" t="str">
        <x:v>Rationale</x:v>
      </x:c>
      <x:c r="F5" s="503" t="str">
        <x:v>Workbook / Methodology Action</x:v>
      </x:c>
      <x:c r="G5" s="503" t="str">
        <x:v>Status</x:v>
      </x:c>
    </x:row>
    <x:row r="6">
      <x:c r="A6" s="16" t="str">
        <x:v>IO-SCH-001</x:v>
      </x:c>
      <x:c r="B6" s="16" t="str">
        <x:v>Frequently empty fields</x:v>
      </x:c>
      <x:c r="C6" s="16" t="str">
        <x:v>Start date could not be safely fixed for Bidadi; direct authority responses and exact end dates were often unavailable.</x:v>
      </x:c>
      <x:c r="D6" s="16" t="str">
        <x:v>Keep optional; do not force completion.</x:v>
      </x:c>
      <x:c r="E6" s="16" t="str">
        <x:v>Blank is more truthful than a guessed date or response.</x:v>
      </x:c>
      <x:c r="F6" s="16" t="str">
        <x:v>Retain optional Start/End/Last active and newly added response/follow-up dates.</x:v>
      </x:c>
      <x:c r="G6" s="16" t="str">
        <x:v>Approved</x:v>
      </x:c>
    </x:row>
    <x:row r="7">
      <x:c r="A7" s="16" t="str">
        <x:v>IO-SCH-002</x:v>
      </x:c>
      <x:c r="B7" s="16" t="str">
        <x:v>Ambiguous field names</x:v>
      </x:c>
      <x:c r="C7" s="16" t="str">
        <x:v>Authority involved could be misread as the authority accused of wrongdoing.</x:v>
      </x:c>
      <x:c r="D7" s="16" t="str">
        <x:v>Clarify definition; do not rename yet.</x:v>
      </x:c>
      <x:c r="E7" s="16" t="str">
        <x:v>The field should identify relevant institutions, not make a liability finding.</x:v>
      </x:c>
      <x:c r="F7" s="16" t="str">
        <x:v>Data Dictionary and methodology state that authority identification does not establish responsibility.</x:v>
      </x:c>
      <x:c r="G7" s="16" t="str">
        <x:v>Approved</x:v>
      </x:c>
    </x:row>
    <x:row r="8">
      <x:c r="A8" s="16" t="str">
        <x:v>IO-SCH-003</x:v>
      </x:c>
      <x:c r="B8" s="16" t="str">
        <x:v>Difficult-to-verify claims</x:v>
      </x:c>
      <x:c r="C8" s="16" t="str">
        <x:v>Health impacts, consent, environmental damage, violence, crowd size, project cost and financial loss were frequently reported but not independently proven.</x:v>
      </x:c>
      <x:c r="D8" s="16" t="str">
        <x:v>Keep at claim level with attributed, disputed or official-document-required statuses.</x:v>
      </x:c>
      <x:c r="E8" s="16" t="str">
        <x:v>A single event-level field would create false certainty.</x:v>
      </x:c>
      <x:c r="F8" s="16" t="str">
        <x:v>No new event-level numeric fields; strengthen claim wording and readiness labels.</x:v>
      </x:c>
      <x:c r="G8" s="16" t="str">
        <x:v>Approved</x:v>
      </x:c>
    </x:row>
    <x:row r="9">
      <x:c r="A9" s="16" t="str">
        <x:v>IO-SCH-004</x:v>
      </x:c>
      <x:c r="B9" s="16" t="str">
        <x:v>Copied and syndicated reporting</x:v>
      </x:c>
      <x:c r="C9" s="16" t="str">
        <x:v>Local social posts often repeated the same footage or caption; multiple pages were not necessarily independent.</x:v>
      </x:c>
      <x:c r="D9" s="16" t="str">
        <x:v>Keep source-independence classification and add discovery/verification distinction.</x:v>
      </x:c>
      <x:c r="E9" s="16" t="str">
        <x:v>Counting reposts as multiple confirmations would inflate credibility.</x:v>
      </x:c>
      <x:c r="F9" s="16" t="str">
        <x:v>Methodology v0.2 adds Discovery lead vs verification evidence rule.</x:v>
      </x:c>
      <x:c r="G9" s="16" t="str">
        <x:v>Approved</x:v>
      </x:c>
    </x:row>
    <x:row r="10">
      <x:c r="A10" s="16" t="str">
        <x:v>IO-SCH-005</x:v>
      </x:c>
      <x:c r="B10" s="16" t="str">
        <x:v>Unclear event dates</x:v>
      </x:c>
      <x:c r="C10" s="16" t="str">
        <x:v>Announcements, movement start dates and specific action dates often differed.</x:v>
      </x:c>
      <x:c r="D10" s="16" t="str">
        <x:v>Keep Start, End and Last confirmed active; do not add Announced date yet.</x:v>
      </x:c>
      <x:c r="E10" s="16" t="str">
        <x:v>Most publication needs can be met through claim chronology and internal notes.</x:v>
      </x:c>
      <x:c r="F10" s="16" t="str">
        <x:v>Use claims for announced actions; add a new date field only if repeated Day 6/7 use cases justify it.</x:v>
      </x:c>
      <x:c r="G10" s="16" t="str">
        <x:v>Approved</x:v>
      </x:c>
    </x:row>
    <x:row r="11">
      <x:c r="A11" s="16" t="str">
        <x:v>IO-SCH-006</x:v>
      </x:c>
      <x:c r="B11" s="16" t="str">
        <x:v>Disputed crowd estimates</x:v>
      </x:c>
      <x:c r="C11" s="16" t="str">
        <x:v>Remote-event sources used terms such as hundreds or thousands without verifiable counts.</x:v>
      </x:c>
      <x:c r="D11" s="16" t="str">
        <x:v>Do not add event-level crowd estimate.</x:v>
      </x:c>
      <x:c r="E11" s="16" t="str">
        <x:v>Crowd size should remain an attributed claim with its source.</x:v>
      </x:c>
      <x:c r="F11" s="16" t="str">
        <x:v>No schema field added.</x:v>
      </x:c>
      <x:c r="G11" s="16" t="str">
        <x:v>Rejected field</x:v>
      </x:c>
    </x:row>
    <x:row r="12">
      <x:c r="A12" s="16" t="str">
        <x:v>IO-SCH-007</x:v>
      </x:c>
      <x:c r="B12" s="16" t="str">
        <x:v>Authority identification</x:v>
      </x:c>
      <x:c r="C12" s="16" t="str">
        <x:v>Several events had multiple authorities: project body, district administration, regulator and state government.</x:v>
      </x:c>
      <x:c r="D12" s="16" t="str">
        <x:v>Keep Authority involved and add Latest Official Response plus response date.</x:v>
      </x:c>
      <x:c r="E12" s="16" t="str">
        <x:v>This preserves institutional context without assigning wrongdoing.</x:v>
      </x:c>
      <x:c r="F12" s="16" t="str">
        <x:v>Columns AB and AF added.</x:v>
      </x:c>
      <x:c r="G12" s="16" t="str">
        <x:v>Approved</x:v>
      </x:c>
    </x:row>
    <x:row r="13">
      <x:c r="A13" s="16" t="str">
        <x:v>IO-SCH-008</x:v>
      </x:c>
      <x:c r="B13" s="16" t="str">
        <x:v>Event end and outcome</x:v>
      </x:c>
      <x:c r="C13" s="16" t="str">
        <x:v>A fast may end while the movement continues; a one-day protest may produce immediate action.</x:v>
      </x:c>
      <x:c r="D13" s="16" t="str">
        <x:v>Keep lifecycle status and activity pattern; add official-response and follow-up dates.</x:v>
      </x:c>
      <x:c r="E13" s="16" t="str">
        <x:v>End of one protest method is not always end of the movement.</x:v>
      </x:c>
      <x:c r="F13" s="16" t="str">
        <x:v>Columns AB, AC and AF added; Activity Pattern retained.</x:v>
      </x:c>
      <x:c r="G13" s="16" t="str">
        <x:v>Approved</x:v>
      </x:c>
    </x:row>
    <x:row r="14">
      <x:c r="A14" s="16" t="str">
        <x:v>IO-SCH-009</x:v>
      </x:c>
      <x:c r="B14" s="16" t="str">
        <x:v>Demand category</x:v>
      </x:c>
      <x:c r="C14" s="16" t="str">
        <x:v>Five new events covered compensation, project cancellation, tribal land, employment conditions and staffing.</x:v>
      </x:c>
      <x:c r="D14" s="16" t="str">
        <x:v>Add controlled Demand Category.</x:v>
      </x:c>
      <x:c r="E14" s="16" t="str">
        <x:v>It improves filtering and prevents free-text demand labels from fragmenting analysis.</x:v>
      </x:c>
      <x:c r="F14" s="16" t="str">
        <x:v>Column Z and controlled list added.</x:v>
      </x:c>
      <x:c r="G14" s="16" t="str">
        <x:v>Approved</x:v>
      </x:c>
    </x:row>
    <x:row r="15">
      <x:c r="A15" s="16" t="str">
        <x:v>IO-SCH-010</x:v>
      </x:c>
      <x:c r="B15" s="16" t="str">
        <x:v>Related policy / law / project</x:v>
      </x:c>
      <x:c r="C15" s="16" t="str">
        <x:v>All five events were linked to a named project, policy, service rule or staffing system.</x:v>
      </x:c>
      <x:c r="D15" s="16" t="str">
        <x:v>Add free-text Related Policy / Project / Law.</x:v>
      </x:c>
      <x:c r="E15" s="16" t="str">
        <x:v>The exact reference varies too much for a narrow dropdown but is consistently useful.</x:v>
      </x:c>
      <x:c r="F15" s="16" t="str">
        <x:v>Column AA added.</x:v>
      </x:c>
      <x:c r="G15" s="16" t="str">
        <x:v>Approved</x:v>
      </x:c>
    </x:row>
    <x:row r="16">
      <x:c r="A16" s="16" t="str">
        <x:v>IO-SCH-011</x:v>
      </x:c>
      <x:c r="B16" s="16" t="str">
        <x:v>Official response date</x:v>
      </x:c>
      <x:c r="C16" s="16" t="str">
        <x:v>Government response timing was central to Morbi, Manipur and Dharmasala.</x:v>
      </x:c>
      <x:c r="D16" s="16" t="str">
        <x:v>Add Official Response Date.</x:v>
      </x:c>
      <x:c r="E16" s="16" t="str">
        <x:v>It supports timelines and measures institutional responsiveness.</x:v>
      </x:c>
      <x:c r="F16" s="16" t="str">
        <x:v>Column AB added.</x:v>
      </x:c>
      <x:c r="G16" s="16" t="str">
        <x:v>Approved</x:v>
      </x:c>
    </x:row>
    <x:row r="17">
      <x:c r="A17" s="16" t="str">
        <x:v>IO-SCH-012</x:v>
      </x:c>
      <x:c r="B17" s="16" t="str">
        <x:v>Crowd estimate source</x:v>
      </x:c>
      <x:c r="C17" s="16" t="str">
        <x:v>Crowd estimates remained inconsistent and non-essential to validating occurrence.</x:v>
      </x:c>
      <x:c r="D17" s="16" t="str">
        <x:v>Do not add a dedicated field.</x:v>
      </x:c>
      <x:c r="E17" s="16" t="str">
        <x:v>Claim-level attribution is sufficient and safer.</x:v>
      </x:c>
      <x:c r="F17" s="16" t="str">
        <x:v>No schema field added.</x:v>
      </x:c>
      <x:c r="G17" s="16" t="str">
        <x:v>Rejected field</x:v>
      </x:c>
    </x:row>
    <x:row r="18">
      <x:c r="A18" s="16" t="str">
        <x:v>IO-SCH-013</x:v>
      </x:c>
      <x:c r="B18" s="16" t="str">
        <x:v>Arrest or detention figures</x:v>
      </x:c>
      <x:c r="C18" s="16" t="str">
        <x:v>FIRs or restrictions may be central in some events but absent in most.</x:v>
      </x:c>
      <x:c r="D18" s="16" t="str">
        <x:v>Do not add a single event-level number.</x:v>
      </x:c>
      <x:c r="E18" s="16" t="str">
        <x:v>Counts can change, differ by authority and require claimant/date context.</x:v>
      </x:c>
      <x:c r="F18" s="16" t="str">
        <x:v>Keep as separate claims and sources.</x:v>
      </x:c>
      <x:c r="G18" s="16" t="str">
        <x:v>Rejected field</x:v>
      </x:c>
    </x:row>
    <x:row r="19">
      <x:c r="A19" s="16" t="str">
        <x:v>IO-SCH-014</x:v>
      </x:c>
      <x:c r="B19" s="16" t="str">
        <x:v>Transport disruption</x:v>
      </x:c>
      <x:c r="C19" s="16" t="str">
        <x:v>Relevant to some marches and blockades but not a core attribute of most events.</x:v>
      </x:c>
      <x:c r="D19" s="16" t="str">
        <x:v>Do not add an event-level field.</x:v>
      </x:c>
      <x:c r="E19" s="16" t="str">
        <x:v>It belongs in a disruption claim with source and time context.</x:v>
      </x:c>
      <x:c r="F19" s="16" t="str">
        <x:v>Keep at claim level.</x:v>
      </x:c>
      <x:c r="G19" s="16" t="str">
        <x:v>Rejected field</x:v>
      </x:c>
    </x:row>
    <x:row r="20">
      <x:c r="A20" s="16" t="str">
        <x:v>IO-SCH-015</x:v>
      </x:c>
      <x:c r="B20" s="16" t="str">
        <x:v>Court involvement</x:v>
      </x:c>
      <x:c r="C20" s="16" t="str">
        <x:v>No Day 5 event required a court-order field, although future events may.</x:v>
      </x:c>
      <x:c r="D20" s="16" t="str">
        <x:v>Do not add yet.</x:v>
      </x:c>
      <x:c r="E20" s="16" t="str">
        <x:v>Avoid premature schema growth.</x:v>
      </x:c>
      <x:c r="F20" s="16" t="str">
        <x:v>Record court actions as claims/sources until repeated use justifies a register or field.</x:v>
      </x:c>
      <x:c r="G20" s="16" t="str">
        <x:v>Deferred</x:v>
      </x:c>
    </x:row>
    <x:row r="21">
      <x:c r="A21" s="16" t="str">
        <x:v>IO-SCH-016</x:v>
      </x:c>
      <x:c r="B21" s="16" t="str">
        <x:v>Outcome follow-up date</x:v>
      </x:c>
      <x:c r="C21" s="16" t="str">
        <x:v>Several ongoing events require checking after a government promise or partial response.</x:v>
      </x:c>
      <x:c r="D21" s="16" t="str">
        <x:v>Add Outcome Follow-up Date.</x:v>
      </x:c>
      <x:c r="E21" s="16" t="str">
        <x:v>A one-person workflow needs an explicit review reminder.</x:v>
      </x:c>
      <x:c r="F21" s="16" t="str">
        <x:v>Column AC added.</x:v>
      </x:c>
      <x:c r="G21" s="16" t="str">
        <x:v>Approved</x:v>
      </x:c>
    </x:row>
    <x:row r="22">
      <x:c r="A22" s="16" t="str">
        <x:v>IO-SCH-017</x:v>
      </x:c>
      <x:c r="B22" s="16" t="str">
        <x:v>Lead discovery channel</x:v>
      </x:c>
      <x:c r="C22" s="16" t="str">
        <x:v>Alternative-source discovery was a deliberate Day 5 objective and meaningfully changed the candidate pool.</x:v>
      </x:c>
      <x:c r="D22" s="16" t="str">
        <x:v>Add controlled Lead Discovery Channel.</x:v>
      </x:c>
      <x:c r="E22" s="16" t="str">
        <x:v>It measures whether the platform is genuinely finding undercovered events and prevents overreliance on national media.</x:v>
      </x:c>
      <x:c r="F22" s="16" t="str">
        <x:v>Column AD added; Day 5 Research Log created.</x:v>
      </x:c>
      <x:c r="G22" s="16" t="str">
        <x:v>Approved</x:v>
      </x:c>
    </x:row>
    <x:row r="23">
      <x:c r="A23" s="16" t="str">
        <x:v>IO-SCH-018</x:v>
      </x:c>
      <x:c r="B23" s="16" t="str">
        <x:v>Coverage profile</x:v>
      </x:c>
      <x:c r="C23" s="16" t="str">
        <x:v>Events ranged from nationally covered to social-first and remote local coverage.</x:v>
      </x:c>
      <x:c r="D23" s="16" t="str">
        <x:v>Add controlled Coverage Profile.</x:v>
      </x:c>
      <x:c r="E23" s="16" t="str">
        <x:v>This helps audit geographic and media visibility bias.</x:v>
      </x:c>
      <x:c r="F23" s="16" t="str">
        <x:v>Column AE added.</x:v>
      </x:c>
      <x:c r="G23" s="16" t="str">
        <x:v>Approved</x:v>
      </x:c>
    </x:row>
    <x:row r="24">
      <x:c r="A24" s="16" t="str">
        <x:v>IO-SCH-019</x:v>
      </x:c>
      <x:c r="B24" s="16" t="str">
        <x:v>Primary topic</x:v>
      </x:c>
      <x:c r="C24" s="16" t="str">
        <x:v>Keyword-derived topic classification misclassified at least one earlier event and is not editorially reliable enough as the source of truth.</x:v>
      </x:c>
      <x:c r="D24" s="16" t="str">
        <x:v>Add manual controlled Primary Topic to Events; analytics uses it as authoritative.</x:v>
      </x:c>
      <x:c r="E24" s="16" t="str">
        <x:v>Editorial classification must be reviewable and stable.</x:v>
      </x:c>
      <x:c r="F24" s="16" t="str">
        <x:v>Column Y added; analytics formula revised to use it first.</x:v>
      </x:c>
      <x:c r="G24" s="16" t="str">
        <x:v>Approved</x:v>
      </x:c>
    </x:row>
    <x:row r="25">
      <x:c r="A25" s="16" t="str">
        <x:v>IO-SCH-020</x:v>
      </x:c>
      <x:c r="B25" s="16" t="str">
        <x:v>Discovery lead vs verification evidence</x:v>
      </x:c>
      <x:c r="C25" s="16" t="str">
        <x:v>Community videos and local posts surfaced important events but often lacked provenance or source independence.</x:v>
      </x:c>
      <x:c r="D25" s="16" t="str">
        <x:v>Separate discovery role from verification role.</x:v>
      </x:c>
      <x:c r="E25" s="16" t="str">
        <x:v>A weak lead can reveal a real event; a strong-looking video can still be misleading.</x:v>
      </x:c>
      <x:c r="F25" s="16" t="str">
        <x:v>Methodology revised to v0.2; Sources retain evidence status while Events record discovery channel.</x:v>
      </x:c>
      <x:c r="G25" s="16" t="str">
        <x:v>Approved</x:v>
      </x:c>
    </x:row>
    <x:row r="26">
      <x:c r="A26" s="16" t="str">
        <x:v>IO-SCH-021</x:v>
      </x:c>
      <x:c r="B26" s="16" t="str">
        <x:v>Long-running movement identity</x:v>
      </x:c>
      <x:c r="C26" s="16" t="str">
        <x:v>Sijimali and Bidadi showed that one movement may contain many distinct protest phases and incidents.</x:v>
      </x:c>
      <x:c r="D26" s="16" t="str">
        <x:v>Do not merge all phases into one event without a bounded chronology; plan a future Movement ID.</x:v>
      </x:c>
      <x:c r="E26" s="16" t="str">
        <x:v>Movement history and event episodes require different units of analysis.</x:v>
      </x:c>
      <x:c r="F26" s="16" t="str">
        <x:v>Deferred to product/data-model phase after Day 6 wireframes.</x:v>
      </x:c>
      <x:c r="G26" s="16" t="str">
        <x:v>Deferred</x:v>
      </x:c>
    </x:row>
    <x:row r="27">
      <x:c r="A27" s="16" t="str">
        <x:v>IO-SCH-022</x:v>
      </x:c>
      <x:c r="B27" s="16" t="str">
        <x:v>Revised schema release</x:v>
      </x:c>
      <x:c r="C27" s="16" t="str">
        <x:v>Testing now covers eleven records, including five undercovered events.</x:v>
      </x:c>
      <x:c r="D27" s="16" t="str">
        <x:v>Freeze schema and methodology as Version 0.2.</x:v>
      </x:c>
      <x:c r="E27" s="16" t="str">
        <x:v>The tested fields cover discovery, verification, institutional response and follow-up without adding unstable event-level counts.</x:v>
      </x:c>
      <x:c r="F27" s="16" t="str">
        <x:v>Record Decision IO-DEC-0003 and use v0.2 for all new records.</x:v>
      </x:c>
      <x:c r="G27" s="16" t="str">
        <x:v>Approved</x:v>
      </x:c>
    </x:row>
  </x:sheetData>
  <x:mergeCells>
    <x:mergeCell ref="A1:G2"/>
    <x:mergeCell ref="A3:G3"/>
  </x:mergeCells>
  <x:conditionalFormatting sqref="G6:G27">
    <x:cfRule type="expression" dxfId="25" priority="1">
      <x:formula>G6="Approved"</x:formula>
    </x:cfRule>
    <x:cfRule type="expression" dxfId="26" priority="2">
      <x:formula>OR(G6="Deferred",G6="Rejected field")</x:formula>
    </x:cfRule>
  </x:conditionalFormatting>
  <x:pageMargins left="0.7" right="0.7" top="0.75" bottom="0.75" header="0.3" footer="0.3"/>
  <x:tableParts count="1">
    <x:tablePart xmlns:r="http://schemas.openxmlformats.org/officeDocument/2006/relationships" r:id="R1205d0bd932c4bb1"/>
  </x:tableParts>
</x:worksheet>
</file>

<file path=xl/worksheets/sheet18.xml><?xml version="1.0" encoding="utf-8"?>
<x:worksheet xmlns:x="http://schemas.openxmlformats.org/spreadsheetml/2006/main">
  <x:sheetFormatPr defaultRowHeight="15"/>
  <x:cols>
    <x:col min="1" max="1" width="24" hidden="0" customWidth="1"/>
    <x:col min="2" max="2" width="43" hidden="0" customWidth="1"/>
    <x:col min="3" max="3" width="40" hidden="0" customWidth="1"/>
    <x:col min="4" max="4" width="34" hidden="0" customWidth="1"/>
    <x:col min="5" max="5" width="38" hidden="0" customWidth="1"/>
    <x:col min="6" max="6" width="43" hidden="0" customWidth="1"/>
    <x:col min="7" max="7" width="40" hidden="0" customWidth="1"/>
    <x:col min="8" max="8" width="23" hidden="0" customWidth="1"/>
  </x:cols>
  <x:sheetData>
    <x:row r="1">
      <x:c r="A1" s="602" t="str">
        <x:v>India Observed — Automated Proactive Discovery and Verification System</x:v>
      </x:c>
      <x:c r="B1" s="602"/>
      <x:c r="C1" s="602"/>
      <x:c r="D1" s="602"/>
      <x:c r="E1" s="602"/>
      <x:c r="F1" s="602"/>
      <x:c r="G1" s="602"/>
      <x:c r="H1" s="602"/>
    </x:row>
    <x:row r="2">
      <x:c r="A2" s="602"/>
      <x:c r="B2" s="602"/>
      <x:c r="C2" s="602"/>
      <x:c r="D2" s="602"/>
      <x:c r="E2" s="602"/>
      <x:c r="F2" s="602"/>
      <x:c r="G2" s="602"/>
      <x:c r="H2" s="602"/>
    </x:row>
    <x:row r="3">
      <x:c r="A3" s="607" t="str">
        <x:v>Design objective: maximise recall during discovery across India’s languages and remote regions, then maximise precision at publication through provenance, source-independence, claim-level verification, risk controls and mandatory human approval.</x:v>
      </x:c>
      <x:c r="B3" s="607"/>
      <x:c r="C3" s="607"/>
      <x:c r="D3" s="607"/>
      <x:c r="E3" s="607"/>
      <x:c r="F3" s="607"/>
      <x:c r="G3" s="607"/>
      <x:c r="H3" s="607"/>
    </x:row>
    <x:row r="4">
      <x:c r="A4" s="607"/>
      <x:c r="B4" s="607"/>
      <x:c r="C4" s="607"/>
      <x:c r="D4" s="607"/>
      <x:c r="E4" s="607"/>
      <x:c r="F4" s="607"/>
      <x:c r="G4" s="607"/>
      <x:c r="H4" s="607"/>
    </x:row>
    <x:row r="6">
      <x:c r="A6" s="611" t="str">
        <x:v>Stage</x:v>
      </x:c>
      <x:c r="B6" s="611" t="str">
        <x:v>Automated Function</x:v>
      </x:c>
      <x:c r="C6" s="611" t="str">
        <x:v>Primary Technique</x:v>
      </x:c>
      <x:c r="D6" s="611" t="str">
        <x:v>Inputs</x:v>
      </x:c>
      <x:c r="E6" s="611" t="str">
        <x:v>Structured Output</x:v>
      </x:c>
      <x:c r="F6" s="611" t="str">
        <x:v>Human / Hard Gate</x:v>
      </x:c>
      <x:c r="G6" s="611" t="str">
        <x:v>Failure Handling</x:v>
      </x:c>
      <x:c r="H6" s="611" t="str">
        <x:v>Recommended Cadence</x:v>
      </x:c>
    </x:row>
    <x:row r="7">
      <x:c r="A7" s="612" t="str">
        <x:v>1. Source registry and scheduling</x:v>
      </x:c>
      <x:c r="B7" s="613" t="str">
        <x:v>Maintain approved public sources, language, region, access method, terms and polling frequency.</x:v>
      </x:c>
      <x:c r="C7" s="613" t="str">
        <x:v>Configuration registry + scheduler</x:v>
      </x:c>
      <x:c r="D7" s="613" t="str">
        <x:v>Source Registry and geographic rotation plan</x:v>
      </x:c>
      <x:c r="E7" s="613" t="str">
        <x:v>Source jobs with legal/access metadata</x:v>
      </x:c>
      <x:c r="F7" s="613" t="str">
        <x:v>New source class requires approval; private groups disabled by default.</x:v>
      </x:c>
      <x:c r="G7" s="613" t="str">
        <x:v>Disable failing source; log terms or access changes.</x:v>
      </x:c>
      <x:c r="H7" s="614" t="str">
        <x:v>Continuous scheduler; daily registry health check</x:v>
      </x:c>
    </x:row>
    <x:row r="8">
      <x:c r="A8" s="615" t="str">
        <x:v>2. Collection and immutable snapshot</x:v>
      </x:c>
      <x:c r="B8" s="115" t="str">
        <x:v>Fetch lawful public pages, feeds, APIs, notices, videos and metadata; preserve retrieval time and content hash.</x:v>
      </x:c>
      <x:c r="C8" s="115" t="str">
        <x:v>API/RSS/sitemap/page-diff connectors; object storage; SHA-256</x:v>
      </x:c>
      <x:c r="D8" s="115" t="str">
        <x:v>Public web and approved platform connectors</x:v>
      </x:c>
      <x:c r="E8" s="115" t="str">
        <x:v>Raw source object, URL, retrieval timestamp, headers, hash and source ID</x:v>
      </x:c>
      <x:c r="F8" s="115" t="str">
        <x:v>Collection cannot bypass robots, terms, authentication or access restrictions.</x:v>
      </x:c>
      <x:c r="G8" s="115" t="str">
        <x:v>Retry with backoff; retain failure and source-health status.</x:v>
      </x:c>
      <x:c r="H8" s="616" t="str">
        <x:v>5–60 minutes by source type</x:v>
      </x:c>
    </x:row>
    <x:row r="9">
      <x:c r="A9" s="615" t="str">
        <x:v>3. Language, OCR and speech normalisation</x:v>
      </x:c>
      <x:c r="B9" s="115" t="str">
        <x:v>Detect language; extract text from HTML, PDF, image and public audio/video; preserve original content.</x:v>
      </x:c>
      <x:c r="C9" s="115" t="str">
        <x:v>Language ID, OCR, ASR, transliteration and translation; BHASHINI where suitable</x:v>
      </x:c>
      <x:c r="D9" s="115" t="str">
        <x:v>Raw source objects</x:v>
      </x:c>
      <x:c r="E9" s="115" t="str">
        <x:v>Original text, normalised text, language, transliteration, translation and confidence</x:v>
      </x:c>
      <x:c r="F9" s="115" t="str">
        <x:v>Original-language content is authoritative; translation is never the sole basis for a serious claim.</x:v>
      </x:c>
      <x:c r="G9" s="115" t="str">
        <x:v>Flag low-confidence OCR/ASR/translation for manual review.</x:v>
      </x:c>
      <x:c r="H9" s="616" t="str">
        <x:v>On ingestion</x:v>
      </x:c>
    </x:row>
    <x:row r="10">
      <x:c r="A10" s="615" t="str">
        <x:v>4. High-recall lead detection</x:v>
      </x:c>
      <x:c r="B10" s="115" t="str">
        <x:v>Identify possible protests, strikes, dharnas, public meetings, blockades, memorandums and civic campaigns.</x:v>
      </x:c>
      <x:c r="C10" s="115" t="str">
        <x:v>Ensemble of multilingual keyword rules, entity patterns, semantic retrieval and structured LLM extraction</x:v>
      </x:c>
      <x:c r="D10" s="115" t="str">
        <x:v>Normalised text and metadata</x:v>
      </x:c>
      <x:c r="E10" s="115" t="str">
        <x:v>Lead objects with event cues, actors, issue, place, date and discovery channel</x:v>
      </x:c>
      <x:c r="F10" s="115" t="str">
        <x:v>LLM output is not evidence and cannot create a published claim.</x:v>
      </x:c>
      <x:c r="G10" s="115" t="str">
        <x:v>Retain uncertain leads in monitor queue; suppress private disputes and non-events.</x:v>
      </x:c>
      <x:c r="H10" s="616" t="str">
        <x:v>Near real time</x:v>
      </x:c>
    </x:row>
    <x:row r="11">
      <x:c r="A11" s="615" t="str">
        <x:v>5. Multilingual semantic retrieval</x:v>
      </x:c>
      <x:c r="B11" s="115" t="str">
        <x:v>Find related reports across languages, spelling variants, transliterations and local terminology.</x:v>
      </x:c>
      <x:c r="C11" s="115" t="str">
        <x:v>Multilingual embeddings such as E5/LaBSE-class models + lexical search</x:v>
      </x:c>
      <x:c r="D11" s="115" t="str">
        <x:v>Lead text, aliases, geographic gazetteer and topic vocabulary</x:v>
      </x:c>
      <x:c r="E11" s="115" t="str">
        <x:v>Ranked related-source candidates across languages</x:v>
      </x:c>
      <x:c r="F11" s="115" t="str">
        <x:v>Model similarity cannot establish source independence or truth.</x:v>
      </x:c>
      <x:c r="G11" s="115" t="str">
        <x:v>Require lexical/entity overlap or human confirmation for borderline matches.</x:v>
      </x:c>
      <x:c r="H11" s="616" t="str">
        <x:v>On each lead and follow-up</x:v>
      </x:c>
    </x:row>
    <x:row r="12">
      <x:c r="A12" s="615" t="str">
        <x:v>6. Entity, date and location extraction</x:v>
      </x:c>
      <x:c r="B12" s="115" t="str">
        <x:v>Extract organisations, authorities, villages, districts, dates, demands and project names.</x:v>
      </x:c>
      <x:c r="C12" s="115" t="str">
        <x:v>NER, date parsing, geocoding, Indian administrative gazetteer and LLM structured extraction</x:v>
      </x:c>
      <x:c r="D12" s="115" t="str">
        <x:v>Lead and related source documents</x:v>
      </x:c>
      <x:c r="E12" s="115" t="str">
        <x:v>Candidate event schema with uncertainty and alternate values</x:v>
      </x:c>
      <x:c r="F12" s="115" t="str">
        <x:v>Do not infer precise participant or contributor location; retain general public location only.</x:v>
      </x:c>
      <x:c r="G12" s="115" t="str">
        <x:v>Store conflicting values and confidence; never silently choose unsupported precision.</x:v>
      </x:c>
      <x:c r="H12" s="616" t="str">
        <x:v>On each candidate cluster</x:v>
      </x:c>
    </x:row>
    <x:row r="13">
      <x:c r="A13" s="615" t="str">
        <x:v>7. Source-lineage and duplicate detection</x:v>
      </x:c>
      <x:c r="B13" s="115" t="str">
        <x:v>Group copied articles, press releases, cross-posts and reused media under the same underlying source.</x:v>
      </x:c>
      <x:c r="C13" s="115" t="str">
        <x:v>Exact hashes, SimHash/MinHash, text embeddings, quote overlap, image/video perceptual hashes and link graph</x:v>
      </x:c>
      <x:c r="D13" s="115" t="str">
        <x:v>All source objects for a candidate</x:v>
      </x:c>
      <x:c r="E13" s="115" t="str">
        <x:v>Source-family graph and independent-source groups</x:v>
      </x:c>
      <x:c r="F13" s="115" t="str">
        <x:v>Publication counts independent source families, not URLs.</x:v>
      </x:c>
      <x:c r="G13" s="115" t="str">
        <x:v>Flag uncertain lineage for human review; conservative grouping preferred.</x:v>
      </x:c>
      <x:c r="H13" s="616" t="str">
        <x:v>On ingestion and nightly recluster</x:v>
      </x:c>
    </x:row>
    <x:row r="14">
      <x:c r="A14" s="615" t="str">
        <x:v>8. Event clustering and phase separation</x:v>
      </x:c>
      <x:c r="B14" s="115" t="str">
        <x:v>Cluster documents describing the same physical event while separating distinct dates, places and phases.</x:v>
      </x:c>
      <x:c r="C14" s="115" t="str">
        <x:v>Time + geography + semantic + actor/demand clustering; graph community detection</x:v>
      </x:c>
      <x:c r="D14" s="115" t="str">
        <x:v>Lead objects and source-family graph</x:v>
      </x:c>
      <x:c r="E14" s="115" t="str">
        <x:v>Event cluster, movement link, phase and novelty score</x:v>
      </x:c>
      <x:c r="F14" s="115" t="str">
        <x:v>Do not merge a long movement, announced action and later confrontation into one event without bounded chronology.</x:v>
      </x:c>
      <x:c r="G14" s="115" t="str">
        <x:v>Split ambiguous clusters; retain movement-level relationship as future metadata.</x:v>
      </x:c>
      <x:c r="H14" s="616" t="str">
        <x:v>Continuous + nightly batch</x:v>
      </x:c>
    </x:row>
    <x:row r="15">
      <x:c r="A15" s="615" t="str">
        <x:v>9. Undercoverage prioritisation</x:v>
      </x:c>
      <x:c r="B15" s="115" t="str">
        <x:v>Prioritise remote and low-visibility leads without weakening evidence requirements.</x:v>
      </x:c>
      <x:c r="C15" s="115" t="str">
        <x:v>Discovery Priority Score using public interest, remoteness, local-language ratio, coverage scarcity and geographic gap</x:v>
      </x:c>
      <x:c r="D15" s="115" t="str">
        <x:v>Event clusters and repository coverage</x:v>
      </x:c>
      <x:c r="E15" s="115" t="str">
        <x:v>Ranked investigation queue</x:v>
      </x:c>
      <x:c r="F15" s="115" t="str">
        <x:v>Undercoverage never substitutes for verification evidence.</x:v>
      </x:c>
      <x:c r="G15" s="115" t="str">
        <x:v>Cap geographic-balance bonus; weak evidence remains weak.</x:v>
      </x:c>
      <x:c r="H15" s="616" t="str">
        <x:v>Hourly queue refresh</x:v>
      </x:c>
    </x:row>
    <x:row r="16">
      <x:c r="A16" s="615" t="str">
        <x:v>10. Claim extraction and evidence graph</x:v>
      </x:c>
      <x:c r="B16" s="115" t="str">
        <x:v>Break each candidate into atomic claims and connect every claim to supporting or conflicting sources.</x:v>
      </x:c>
      <x:c r="C16" s="115" t="str">
        <x:v>Structured LLM extraction + deterministic schema validation + W3C-PROV-style graph</x:v>
      </x:c>
      <x:c r="D16" s="115" t="str">
        <x:v>Event cluster and source documents</x:v>
      </x:c>
      <x:c r="E16" s="115" t="str">
        <x:v>Claims, claimants, evidence links, conflicts, provenance and missing-evidence list</x:v>
      </x:c>
      <x:c r="F16" s="115" t="str">
        <x:v>No generated text becomes a source; every public factual sentence must resolve to evidence IDs.</x:v>
      </x:c>
      <x:c r="G16" s="115" t="str">
        <x:v>Reject unsupported generated claims; require schema and citation validation.</x:v>
      </x:c>
      <x:c r="H16" s="616" t="str">
        <x:v>On investigation</x:v>
      </x:c>
    </x:row>
    <x:row r="17">
      <x:c r="A17" s="615" t="str">
        <x:v>11. Media integrity checks</x:v>
      </x:c>
      <x:c r="B17" s="115" t="str">
        <x:v>Assess original upload, file metadata, provenance, manipulation indicators, reuse and geolocation clues.</x:v>
      </x:c>
      <x:c r="C17" s="115" t="str">
        <x:v>C2PA validation, file hashing, perceptual matching, reverse-search connectors and media-forensics ensemble</x:v>
      </x:c>
      <x:c r="D17" s="115" t="str">
        <x:v>Images, audio and video</x:v>
      </x:c>
      <x:c r="E17" s="115" t="str">
        <x:v>Media-integrity report with provenance and limitations</x:v>
      </x:c>
      <x:c r="F17" s="115" t="str">
        <x:v>A detector result is only one signal; no detector may declare media genuine by itself.</x:v>
      </x:c>
      <x:c r="G17" s="115" t="str">
        <x:v>If original is unavailable or integrity is uncertain, use only as a lead or attributed visual claim.</x:v>
      </x:c>
      <x:c r="H17" s="616" t="str">
        <x:v>On media ingestion</x:v>
      </x:c>
    </x:row>
    <x:row r="18">
      <x:c r="A18" s="615" t="str">
        <x:v>12. Automated verification assistance</x:v>
      </x:c>
      <x:c r="B18" s="115" t="str">
        <x:v>Test occurrence, source independence, date, location, official context, inconsistencies and missing primary documents.</x:v>
      </x:c>
      <x:c r="C18" s="115" t="str">
        <x:v>Rules engine + retrieval + contradiction detection + evidence scoring</x:v>
      </x:c>
      <x:c r="D18" s="115" t="str">
        <x:v>Claims and evidence graph</x:v>
      </x:c>
      <x:c r="E18" s="115" t="str">
        <x:v>Evidence Strength Score, failed gates and reviewer checklist</x:v>
      </x:c>
      <x:c r="F18" s="115" t="str">
        <x:v>Hard publication gates cannot be overridden by a numerical score.</x:v>
      </x:c>
      <x:c r="G18" s="115" t="str">
        <x:v>Route failed gates to evidence requests, not publication.</x:v>
      </x:c>
      <x:c r="H18" s="616" t="str">
        <x:v>After each evidence update</x:v>
      </x:c>
    </x:row>
    <x:row r="19">
      <x:c r="A19" s="615" t="str">
        <x:v>13. Risk and safety classification</x:v>
      </x:c>
      <x:c r="B19" s="115" t="str">
        <x:v>Detect serious allegations, minors, personal data, communal tension, tactical details, health data and defamation risk.</x:v>
      </x:c>
      <x:c r="C19" s="115" t="str">
        <x:v>Rules + classifier + named-entity/privacy detection</x:v>
      </x:c>
      <x:c r="D19" s="115" t="str">
        <x:v>Candidate record and media</x:v>
      </x:c>
      <x:c r="E19" s="115" t="str">
        <x:v>Risk score, redaction tasks, right-of-reply and legal-review requirements</x:v>
      </x:c>
      <x:c r="F19" s="115" t="str">
        <x:v>Sensitive data and high-risk allegations require enhanced review; exact tactical data is excluded.</x:v>
      </x:c>
      <x:c r="G19" s="115" t="str">
        <x:v>Quarantine unsafe content and minimise retained personal data.</x:v>
      </x:c>
      <x:c r="H19" s="616" t="str">
        <x:v>Before editor review</x:v>
      </x:c>
    </x:row>
    <x:row r="20">
      <x:c r="A20" s="615" t="str">
        <x:v>14. Editorial drafting</x:v>
      </x:c>
      <x:c r="B20" s="115" t="str">
        <x:v>Generate a neutral draft, chronology, claim table, conflicting accounts and questions for authorities.</x:v>
      </x:c>
      <x:c r="C20" s="115" t="str">
        <x:v>Evidence-grounded generation restricted to approved claim IDs</x:v>
      </x:c>
      <x:c r="D20" s="115" t="str">
        <x:v>Editor-ready evidence graph</x:v>
      </x:c>
      <x:c r="E20" s="115" t="str">
        <x:v>Draft record with claim citations and uncertainty labels</x:v>
      </x:c>
      <x:c r="F20" s="115" t="str">
        <x:v>Draft cannot introduce uncited facts or stronger wording than claim status.</x:v>
      </x:c>
      <x:c r="G20" s="115" t="str">
        <x:v>Automatic citation validation; return unsupported sentences for revision.</x:v>
      </x:c>
      <x:c r="H20" s="616" t="str">
        <x:v>After verification assistance</x:v>
      </x:c>
    </x:row>
    <x:row r="21">
      <x:c r="A21" s="615" t="str">
        <x:v>15. Mandatory human approval</x:v>
      </x:c>
      <x:c r="B21" s="115" t="str">
        <x:v>A human editor reviews occurrence, evidence, wording, safety, source independence and right of reply.</x:v>
      </x:c>
      <x:c r="C21" s="115" t="str">
        <x:v>Structured review UI and signed editorial decision</x:v>
      </x:c>
      <x:c r="D21" s="115" t="str">
        <x:v>Draft, evidence graph, risk report and hard-gate status</x:v>
      </x:c>
      <x:c r="E21" s="115" t="str">
        <x:v>Approved, returned for research, held, rejected or published</x:v>
      </x:c>
      <x:c r="F21" s="115" t="str">
        <x:v>AUTO-PUBLISH = FALSE. No model or score can publish.</x:v>
      </x:c>
      <x:c r="G21" s="115" t="str">
        <x:v>Record reviewer, decision, reason and methodology version.</x:v>
      </x:c>
      <x:c r="H21" s="616" t="str">
        <x:v>Every publication and major update</x:v>
      </x:c>
    </x:row>
    <x:row r="22">
      <x:c r="A22" s="617" t="str">
        <x:v>16. Publication, monitoring and correction</x:v>
      </x:c>
      <x:c r="B22" s="618" t="str">
        <x:v>Publish the approved record; monitor source corrections, official responses, renewed phases and follow-up dates.</x:v>
      </x:c>
      <x:c r="C22" s="618" t="str">
        <x:v>State machine, scheduler, page-diff and source correction monitoring</x:v>
      </x:c>
      <x:c r="D22" s="618" t="str">
        <x:v>Published record and follow-up queue</x:v>
      </x:c>
      <x:c r="E22" s="618" t="str">
        <x:v>Public record, audit log, corrections and outcome updates</x:v>
      </x:c>
      <x:c r="F22" s="618" t="str">
        <x:v>Consequential changes require correction history and renewed approval.</x:v>
      </x:c>
      <x:c r="G22" s="618" t="str">
        <x:v>Unpublish or hold if provenance collapses or serious error is found.</x:v>
      </x:c>
      <x:c r="H22" s="619" t="str">
        <x:v>Daily monitoring; scheduled follow-up</x:v>
      </x:c>
    </x:row>
    <x:row r="25">
      <x:c r="A25" s="623" t="str">
        <x:v>Separate Scores: Discovery, Evidence and Risk</x:v>
      </x:c>
      <x:c r="B25" s="623"/>
      <x:c r="C25" s="623"/>
      <x:c r="D25" s="623"/>
      <x:c r="E25" s="623"/>
      <x:c r="F25" s="623"/>
      <x:c r="G25" s="623"/>
      <x:c r="H25" s="623"/>
    </x:row>
    <x:row r="26">
      <x:c r="A26" s="611" t="str">
        <x:v>Score</x:v>
      </x:c>
      <x:c r="B26" s="611" t="str">
        <x:v>Purpose</x:v>
      </x:c>
      <x:c r="C26" s="611" t="str">
        <x:v>Components</x:v>
      </x:c>
      <x:c r="D26" s="611" t="str">
        <x:v>Initial Range</x:v>
      </x:c>
      <x:c r="E26" s="611" t="str">
        <x:v>Suggested Initial Threshold</x:v>
      </x:c>
      <x:c r="F26" s="611" t="str">
        <x:v>May Affect Publication?</x:v>
      </x:c>
      <x:c r="G26" s="611" t="str">
        <x:v>Calibration Requirement</x:v>
      </x:c>
      <x:c r="H26" s="611" t="str">
        <x:v>Critical Rule</x:v>
      </x:c>
    </x:row>
    <x:row r="27">
      <x:c r="A27" s="624" t="str">
        <x:v>Discovery Priority Score (DPS)</x:v>
      </x:c>
      <x:c r="B27" s="625" t="str">
        <x:v>Ranks which leads deserve research first.</x:v>
      </x:c>
      <x:c r="C27" s="625" t="str">
        <x:v>Recency, public interest, traceability, independent signals, undercoverage, remoteness and geographic/topic gap.</x:v>
      </x:c>
      <x:c r="D27" s="625" t="str">
        <x:v>0–100</x:v>
      </x:c>
      <x:c r="E27" s="625" t="str">
        <x:v>Investigate at ≥60; priority at ≥75.</x:v>
      </x:c>
      <x:c r="F27" s="625" t="str">
        <x:v>No. It only orders the research queue.</x:v>
      </x:c>
      <x:c r="G27" s="625" t="str">
        <x:v>Tune against labelled valid, invalid and missed leads across languages and regions.</x:v>
      </x:c>
      <x:c r="H27" s="626" t="str">
        <x:v>High undercoverage cannot compensate for weak traceability or unsafe content.</x:v>
      </x:c>
    </x:row>
    <x:row r="28">
      <x:c r="A28" s="627" t="str">
        <x:v>Evidence Strength Score (ESS)</x:v>
      </x:c>
      <x:c r="B28" s="123" t="str">
        <x:v>Summarises the strength of evidence already collected.</x:v>
      </x:c>
      <x:c r="C28" s="123" t="str">
        <x:v>Independent source families, original/primary evidence, time/location confidence, provenance, consistency and official context.</x:v>
      </x:c>
      <x:c r="D28" s="123" t="str">
        <x:v>0–100</x:v>
      </x:c>
      <x:c r="E28" s="123" t="str">
        <x:v>Editor-ready at ≥75, but only after all hard gates pass.</x:v>
      </x:c>
      <x:c r="F28" s="123" t="str">
        <x:v>Yes, only as an editor aid; hard gates remain controlling.</x:v>
      </x:c>
      <x:c r="G28" s="123" t="str">
        <x:v>Calibrate against reviewed event records and correction outcomes.</x:v>
      </x:c>
      <x:c r="H28" s="628" t="str">
        <x:v>A high score cannot override a failed mandatory gate.</x:v>
      </x:c>
    </x:row>
    <x:row r="29">
      <x:c r="A29" s="629" t="str">
        <x:v>Risk Score (RS)</x:v>
      </x:c>
      <x:c r="B29" s="630" t="str">
        <x:v>Determines enhanced review, redaction, hold periods and legal/safety controls.</x:v>
      </x:c>
      <x:c r="C29" s="630" t="str">
        <x:v>Serious allegation, personal data, minors, communal tension, health data, ongoing tactical detail, defamation and retaliation risk.</x:v>
      </x:c>
      <x:c r="D29" s="630" t="str">
        <x:v>0–100</x:v>
      </x:c>
      <x:c r="E29" s="630" t="str">
        <x:v>Enhanced review at ≥40; mandatory legal/safety hold at ≥70.</x:v>
      </x:c>
      <x:c r="F29" s="630" t="str">
        <x:v>Yes, by increasing controls or preventing publication.</x:v>
      </x:c>
      <x:c r="G29" s="630" t="str">
        <x:v>Review false-negative risk continuously and update rules after incidents.</x:v>
      </x:c>
      <x:c r="H29" s="631" t="str">
        <x:v>Risk may block publication even when evidence is strong.</x:v>
      </x:c>
    </x:row>
    <x:row r="32">
      <x:c r="A32" s="634" t="str">
        <x:v>Candidate-to-Publication State Machine</x:v>
      </x:c>
      <x:c r="B32" s="634"/>
      <x:c r="C32" s="634"/>
      <x:c r="D32" s="634"/>
      <x:c r="E32" s="634"/>
      <x:c r="F32" s="634"/>
      <x:c r="G32" s="634"/>
      <x:c r="H32" s="634"/>
    </x:row>
    <x:row r="33">
      <x:c r="A33" s="611" t="str">
        <x:v>State</x:v>
      </x:c>
      <x:c r="B33" s="611" t="str">
        <x:v>Entry Condition</x:v>
      </x:c>
      <x:c r="C33" s="611" t="str">
        <x:v>Automation May Do</x:v>
      </x:c>
      <x:c r="D33" s="611" t="str">
        <x:v>Human Action</x:v>
      </x:c>
      <x:c r="E33" s="611" t="str">
        <x:v>Exit Condition</x:v>
      </x:c>
      <x:c r="F33" s="611" t="str">
        <x:v>Publicly Visible?</x:v>
      </x:c>
      <x:c r="G33" s="611" t="str">
        <x:v>Audit Requirement</x:v>
      </x:c>
      <x:c r="H33" s="611" t="str">
        <x:v>Re-entry / Rollback</x:v>
      </x:c>
    </x:row>
    <x:row r="34">
      <x:c r="A34" s="624" t="str">
        <x:v>Signal</x:v>
      </x:c>
      <x:c r="B34" s="625" t="str">
        <x:v>Any public item matches high-recall detection rules.</x:v>
      </x:c>
      <x:c r="C34" s="625" t="str">
        <x:v>Store lead, translate, extract and score.</x:v>
      </x:c>
      <x:c r="D34" s="625" t="str">
        <x:v>None required unless high risk.</x:v>
      </x:c>
      <x:c r="E34" s="625" t="str">
        <x:v>Traceable candidate details available.</x:v>
      </x:c>
      <x:c r="F34" s="625" t="str">
        <x:v>No</x:v>
      </x:c>
      <x:c r="G34" s="625" t="str">
        <x:v>Source URL, retrieval time and hash.</x:v>
      </x:c>
      <x:c r="H34" s="626" t="str">
        <x:v>Archive, monitor or promote.</x:v>
      </x:c>
    </x:row>
    <x:row r="35">
      <x:c r="A35" s="627" t="str">
        <x:v>Candidate</x:v>
      </x:c>
      <x:c r="B35" s="123" t="str">
        <x:v>Lead has minimum place/date/topic specificity and public-interest relevance.</x:v>
      </x:c>
      <x:c r="C35" s="123" t="str">
        <x:v>Search related sources, cluster and identify missing evidence.</x:v>
      </x:c>
      <x:c r="D35" s="123" t="str">
        <x:v>Accept, defer or reject candidate.</x:v>
      </x:c>
      <x:c r="E35" s="123" t="str">
        <x:v>Research plan and event boundary approved.</x:v>
      </x:c>
      <x:c r="F35" s="123" t="str">
        <x:v>No</x:v>
      </x:c>
      <x:c r="G35" s="123" t="str">
        <x:v>Candidate decision and reason.</x:v>
      </x:c>
      <x:c r="H35" s="628" t="str">
        <x:v>Return to Signal if event boundary fails.</x:v>
      </x:c>
    </x:row>
    <x:row r="36">
      <x:c r="A36" s="627" t="str">
        <x:v>Investigating</x:v>
      </x:c>
      <x:c r="B36" s="123" t="str">
        <x:v>Candidate accepted for verification.</x:v>
      </x:c>
      <x:c r="C36" s="123" t="str">
        <x:v>Build evidence graph, run media checks and draft claims.</x:v>
      </x:c>
      <x:c r="D36" s="123" t="str">
        <x:v>Review source independence and seek primary/official records.</x:v>
      </x:c>
      <x:c r="E36" s="123" t="str">
        <x:v>Occurrence evidence threshold met or investigation exhausted.</x:v>
      </x:c>
      <x:c r="F36" s="123" t="str">
        <x:v>No</x:v>
      </x:c>
      <x:c r="G36" s="123" t="str">
        <x:v>Every claim linked to evidence or marked unsupported.</x:v>
      </x:c>
      <x:c r="H36" s="628" t="str">
        <x:v>Hold, reject or move to Editor-ready.</x:v>
      </x:c>
    </x:row>
    <x:row r="37">
      <x:c r="A37" s="627" t="str">
        <x:v>Editor-ready</x:v>
      </x:c>
      <x:c r="B37" s="123" t="str">
        <x:v>Hard occurrence gates passed and a complete draft exists.</x:v>
      </x:c>
      <x:c r="C37" s="123" t="str">
        <x:v>Validate citations, flag risk and generate checklist.</x:v>
      </x:c>
      <x:c r="D37" s="123" t="str">
        <x:v>Perform full editorial, safety and right-of-reply review.</x:v>
      </x:c>
      <x:c r="E37" s="123" t="str">
        <x:v>Human editor signs approval and all mandatory gates pass.</x:v>
      </x:c>
      <x:c r="F37" s="123" t="str">
        <x:v>No</x:v>
      </x:c>
      <x:c r="G37" s="123" t="str">
        <x:v>Signed decision, methodology version and gate results.</x:v>
      </x:c>
      <x:c r="H37" s="628" t="str">
        <x:v>Return to Investigating if any claim changes.</x:v>
      </x:c>
    </x:row>
    <x:row r="38">
      <x:c r="A38" s="627" t="str">
        <x:v>Published</x:v>
      </x:c>
      <x:c r="B38" s="123" t="str">
        <x:v>Human-approved record is public.</x:v>
      </x:c>
      <x:c r="C38" s="123" t="str">
        <x:v>Monitor sources, official responses, corrections and follow-up dates.</x:v>
      </x:c>
      <x:c r="D38" s="123" t="str">
        <x:v>Approve consequential updates.</x:v>
      </x:c>
      <x:c r="E38" s="123" t="str">
        <x:v>Record remains accurate and monitored.</x:v>
      </x:c>
      <x:c r="F38" s="123" t="str">
        <x:v>Yes</x:v>
      </x:c>
      <x:c r="G38" s="123" t="str">
        <x:v>Publication snapshot, source graph and change log.</x:v>
      </x:c>
      <x:c r="H38" s="628" t="str">
        <x:v>Correct, hold, unpublish or archive.</x:v>
      </x:c>
    </x:row>
    <x:row r="39">
      <x:c r="A39" s="627" t="str">
        <x:v>Held / Unpublished</x:v>
      </x:c>
      <x:c r="B39" s="123" t="str">
        <x:v>Risk, evidence or legal issue prevents publication.</x:v>
      </x:c>
      <x:c r="C39" s="123" t="str">
        <x:v>Continue monitoring and gather missing evidence.</x:v>
      </x:c>
      <x:c r="D39" s="123" t="str">
        <x:v>Decide whether to resume, reject or permanently archive.</x:v>
      </x:c>
      <x:c r="E39" s="123" t="str">
        <x:v>Issue resolved or record rejected.</x:v>
      </x:c>
      <x:c r="F39" s="123" t="str">
        <x:v>No</x:v>
      </x:c>
      <x:c r="G39" s="123" t="str">
        <x:v>Hold reason, review date and access log.</x:v>
      </x:c>
      <x:c r="H39" s="628" t="str">
        <x:v>Return to Investigating or archive.</x:v>
      </x:c>
    </x:row>
    <x:row r="40">
      <x:c r="A40" s="629" t="str">
        <x:v>Corrected / Archived</x:v>
      </x:c>
      <x:c r="B40" s="630" t="str">
        <x:v>A public record was materially corrected or is no longer actively monitored.</x:v>
      </x:c>
      <x:c r="C40" s="630" t="str">
        <x:v>Preserve prior versions and source history.</x:v>
      </x:c>
      <x:c r="D40" s="630" t="str">
        <x:v>Approve correction wording and archive reason.</x:v>
      </x:c>
      <x:c r="E40" s="630" t="str">
        <x:v>Correction published or archive completed.</x:v>
      </x:c>
      <x:c r="F40" s="630" t="str">
        <x:v>Correction visible; archive status visible where appropriate.</x:v>
      </x:c>
      <x:c r="G40" s="630" t="str">
        <x:v>Previous wording, replacement, reason and date.</x:v>
      </x:c>
      <x:c r="H40" s="631" t="str">
        <x:v>Reopen if new material event phase occurs.</x:v>
      </x:c>
    </x:row>
    <x:row r="43">
      <x:c r="A43" s="636" t="str">
        <x:v>Evaluation and Continuous Improvement</x:v>
      </x:c>
      <x:c r="B43" s="636"/>
      <x:c r="C43" s="636"/>
      <x:c r="D43" s="636"/>
      <x:c r="E43" s="636"/>
      <x:c r="F43" s="636"/>
      <x:c r="G43" s="636"/>
      <x:c r="H43" s="636"/>
    </x:row>
    <x:row r="44">
      <x:c r="A44" s="611" t="str">
        <x:v>Metric</x:v>
      </x:c>
      <x:c r="B44" s="611" t="str">
        <x:v>Definition</x:v>
      </x:c>
      <x:c r="C44" s="611" t="str">
        <x:v>Why It Matters</x:v>
      </x:c>
      <x:c r="D44" s="611" t="str">
        <x:v>Target / Guardrail</x:v>
      </x:c>
      <x:c r="E44" s="611" t="str">
        <x:v>Measurement Set</x:v>
      </x:c>
      <x:c r="F44" s="611" t="str">
        <x:v>Review Frequency</x:v>
      </x:c>
      <x:c r="G44" s="611" t="str">
        <x:v>Owner</x:v>
      </x:c>
      <x:c r="H44" s="611" t="str">
        <x:v>Failure Response</x:v>
      </x:c>
    </x:row>
    <x:row r="45">
      <x:c r="A45" s="624" t="str">
        <x:v>Lead recall proxy</x:v>
      </x:c>
      <x:c r="B45" s="625" t="str">
        <x:v>Share of benchmark events discovered before manual benchmark review closes.</x:v>
      </x:c>
      <x:c r="C45" s="625" t="str">
        <x:v>Measures missed-event risk.</x:v>
      </x:c>
      <x:c r="D45" s="625" t="str">
        <x:v>Improve over time; report by state and language.</x:v>
      </x:c>
      <x:c r="E45" s="625" t="str">
        <x:v>Labelled benchmark of known valid events and purposely hidden local events.</x:v>
      </x:c>
      <x:c r="F45" s="625" t="str">
        <x:v>Monthly</x:v>
      </x:c>
      <x:c r="G45" s="625" t="str">
        <x:v>Founder / editor</x:v>
      </x:c>
      <x:c r="H45" s="626" t="str">
        <x:v>Expand sources, vocabulary and geographic rotation.</x:v>
      </x:c>
    </x:row>
    <x:row r="46">
      <x:c r="A46" s="627" t="str">
        <x:v>Precision at investigation</x:v>
      </x:c>
      <x:c r="B46" s="123" t="str">
        <x:v>Share of investigated candidates that become valid event records.</x:v>
      </x:c>
      <x:c r="C46" s="123" t="str">
        <x:v>Controls research workload.</x:v>
      </x:c>
      <x:c r="D46" s="123" t="str">
        <x:v>Initially ≥40%; calibrate by channel.</x:v>
      </x:c>
      <x:c r="E46" s="123" t="str">
        <x:v>All accepted investigation candidates.</x:v>
      </x:c>
      <x:c r="F46" s="123" t="str">
        <x:v>Monthly</x:v>
      </x:c>
      <x:c r="G46" s="123" t="str">
        <x:v>Founder / editor</x:v>
      </x:c>
      <x:c r="H46" s="628" t="str">
        <x:v>Adjust DPS thresholds and source-quality priors.</x:v>
      </x:c>
    </x:row>
    <x:row r="47">
      <x:c r="A47" s="627" t="str">
        <x:v>Independent-source grouping accuracy</x:v>
      </x:c>
      <x:c r="B47" s="123" t="str">
        <x:v>Share of source families correctly identified as independent or duplicated.</x:v>
      </x:c>
      <x:c r="C47" s="123" t="str">
        <x:v>Prevents false corroboration.</x:v>
      </x:c>
      <x:c r="D47" s="123" t="str">
        <x:v>≥95% on audited sample.</x:v>
      </x:c>
      <x:c r="E47" s="123" t="str">
        <x:v>Manual audit of source-lineage graph.</x:v>
      </x:c>
      <x:c r="F47" s="123" t="str">
        <x:v>Monthly</x:v>
      </x:c>
      <x:c r="G47" s="123" t="str">
        <x:v>Editor</x:v>
      </x:c>
      <x:c r="H47" s="628" t="str">
        <x:v>Tune duplicate thresholds and conservative grouping.</x:v>
      </x:c>
    </x:row>
    <x:row r="48">
      <x:c r="A48" s="627" t="str">
        <x:v>Geographic coverage equity</x:v>
      </x:c>
      <x:c r="B48" s="123" t="str">
        <x:v>Distribution across states/UTs, districts, languages and metro/non-metro areas.</x:v>
      </x:c>
      <x:c r="C48" s="123" t="str">
        <x:v>Detects visibility bias.</x:v>
      </x:c>
      <x:c r="D48" s="123" t="str">
        <x:v>No region should be interpreted as event-free merely due to no sources.</x:v>
      </x:c>
      <x:c r="E48" s="123" t="str">
        <x:v>Repository and search-rotation logs.</x:v>
      </x:c>
      <x:c r="F48" s="123" t="str">
        <x:v>Monthly</x:v>
      </x:c>
      <x:c r="G48" s="123" t="str">
        <x:v>Founder</x:v>
      </x:c>
      <x:c r="H48" s="628" t="str">
        <x:v>Rebalance rotation and add local source classes.</x:v>
      </x:c>
    </x:row>
    <x:row r="49">
      <x:c r="A49" s="627" t="str">
        <x:v>Undercovered-event share</x:v>
      </x:c>
      <x:c r="B49" s="123" t="str">
        <x:v>Share of valid records classified local, community-led, social-first or remote.</x:v>
      </x:c>
      <x:c r="C49" s="123" t="str">
        <x:v>Tests the platform's distinctive mission.</x:v>
      </x:c>
      <x:c r="D49" s="123" t="str">
        <x:v>Track, not maximise blindly.</x:v>
      </x:c>
      <x:c r="E49" s="123" t="str">
        <x:v>Published and candidate events.</x:v>
      </x:c>
      <x:c r="F49" s="123" t="str">
        <x:v>Monthly</x:v>
      </x:c>
      <x:c r="G49" s="123" t="str">
        <x:v>Founder</x:v>
      </x:c>
      <x:c r="H49" s="628" t="str">
        <x:v>Review whether alternative channels are effective and safe.</x:v>
      </x:c>
    </x:row>
    <x:row r="50">
      <x:c r="A50" s="627" t="str">
        <x:v>Verification turnaround</x:v>
      </x:c>
      <x:c r="B50" s="123" t="str">
        <x:v>Time from candidate acceptance to editor-ready record.</x:v>
      </x:c>
      <x:c r="C50" s="123" t="str">
        <x:v>Measures operational feasibility.</x:v>
      </x:c>
      <x:c r="D50" s="123" t="str">
        <x:v>Segment by risk and source availability; no speed target may weaken gates.</x:v>
      </x:c>
      <x:c r="E50" s="123" t="str">
        <x:v>Workflow timestamps.</x:v>
      </x:c>
      <x:c r="F50" s="123" t="str">
        <x:v>Weekly</x:v>
      </x:c>
      <x:c r="G50" s="123" t="str">
        <x:v>Founder</x:v>
      </x:c>
      <x:c r="H50" s="628" t="str">
        <x:v>Identify bottlenecks and automate clerical steps.</x:v>
      </x:c>
    </x:row>
    <x:row r="51">
      <x:c r="A51" s="627" t="str">
        <x:v>Correction rate</x:v>
      </x:c>
      <x:c r="B51" s="123" t="str">
        <x:v>Material corrections per published record.</x:v>
      </x:c>
      <x:c r="C51" s="123" t="str">
        <x:v>Signals quality and transparency.</x:v>
      </x:c>
      <x:c r="D51" s="123" t="str">
        <x:v>Low but never suppressed; zero hidden corrections.</x:v>
      </x:c>
      <x:c r="E51" s="123" t="str">
        <x:v>Correction log and publication history.</x:v>
      </x:c>
      <x:c r="F51" s="123" t="str">
        <x:v>Quarterly</x:v>
      </x:c>
      <x:c r="G51" s="123" t="str">
        <x:v>Editor</x:v>
      </x:c>
      <x:c r="H51" s="628" t="str">
        <x:v>Root-cause review and methodology update.</x:v>
      </x:c>
    </x:row>
    <x:row r="52">
      <x:c r="A52" s="627" t="str">
        <x:v>False-publication incidents</x:v>
      </x:c>
      <x:c r="B52" s="123" t="str">
        <x:v>Published events or consequential claims later found unsupported or materially wrong.</x:v>
      </x:c>
      <x:c r="C52" s="123" t="str">
        <x:v>Highest-trust failure metric.</x:v>
      </x:c>
      <x:c r="D52" s="123" t="str">
        <x:v>Target: zero.</x:v>
      </x:c>
      <x:c r="E52" s="123" t="str">
        <x:v>All public records and complaints.</x:v>
      </x:c>
      <x:c r="F52" s="123" t="str">
        <x:v>Immediate</x:v>
      </x:c>
      <x:c r="G52" s="123" t="str">
        <x:v>Founder / legal adviser</x:v>
      </x:c>
      <x:c r="H52" s="628" t="str">
        <x:v>Hold affected records, correct publicly and conduct incident review.</x:v>
      </x:c>
    </x:row>
    <x:row r="53">
      <x:c r="A53" s="629" t="str">
        <x:v>Automation override rate</x:v>
      </x:c>
      <x:c r="B53" s="630" t="str">
        <x:v>How often the human reviewer rejects or materially changes model recommendations.</x:v>
      </x:c>
      <x:c r="C53" s="630" t="str">
        <x:v>Detects model drift or weak prompts.</x:v>
      </x:c>
      <x:c r="D53" s="630" t="str">
        <x:v>Monitor by model, language and topic.</x:v>
      </x:c>
      <x:c r="E53" s="630" t="str">
        <x:v>Editorial decisions.</x:v>
      </x:c>
      <x:c r="F53" s="630" t="str">
        <x:v>Monthly</x:v>
      </x:c>
      <x:c r="G53" s="630" t="str">
        <x:v>Founder</x:v>
      </x:c>
      <x:c r="H53" s="631" t="str">
        <x:v>Retrain rules, prompts or models; reduce automation authority.</x:v>
      </x:c>
    </x:row>
    <x:row r="56">
      <x:c r="A56" s="634" t="str">
        <x:v>Technical and Methodological References</x:v>
      </x:c>
      <x:c r="B56" s="634"/>
      <x:c r="C56" s="634"/>
      <x:c r="D56" s="634"/>
      <x:c r="E56" s="634"/>
      <x:c r="F56" s="634"/>
      <x:c r="G56" s="634"/>
      <x:c r="H56" s="634"/>
    </x:row>
    <x:row r="57">
      <x:c r="A57" s="611" t="str">
        <x:v>Reference</x:v>
      </x:c>
      <x:c r="B57" s="611" t="str">
        <x:v>Use in System</x:v>
      </x:c>
      <x:c r="C57" s="611" t="str">
        <x:v>Official / Primary URL</x:v>
      </x:c>
      <x:c r="D57" s="611" t="str">
        <x:v>Key Principle</x:v>
      </x:c>
      <x:c r="E57" s="611" t="str">
        <x:v>Implementation Note</x:v>
      </x:c>
      <x:c r="F57" s="611" t="str">
        <x:v>Licence / Terms Check</x:v>
      </x:c>
      <x:c r="G57" s="611" t="str">
        <x:v>Last Reviewed</x:v>
      </x:c>
      <x:c r="H57" s="611" t="str">
        <x:v>Status</x:v>
      </x:c>
    </x:row>
    <x:row r="58">
      <x:c r="A58" s="624" t="str">
        <x:v>GDELT 2.0</x:v>
      </x:c>
      <x:c r="B58" s="625" t="str">
        <x:v>Multilingual mainstream and regional news discovery</x:v>
      </x:c>
      <x:c r="C58" s="625" t="str">
        <x:v>https://www.gdeltproject.org/data.html</x:v>
      </x:c>
      <x:c r="D58" s="625" t="str">
        <x:v>Multilingual event/news monitoring updated frequently.</x:v>
      </x:c>
      <x:c r="E58" s="625" t="str">
        <x:v>Use as one discovery feed, not as authoritative verification.</x:v>
      </x:c>
      <x:c r="F58" s="625" t="str">
        <x:v>Review API/data terms before production use.</x:v>
      </x:c>
      <x:c r="G58" s="625" t="str">
        <x:v>2026-07-15</x:v>
      </x:c>
      <x:c r="H58" s="626" t="str">
        <x:v>Candidate connector</x:v>
      </x:c>
    </x:row>
    <x:row r="59">
      <x:c r="A59" s="627" t="str">
        <x:v>BHASHINI</x:v>
      </x:c>
      <x:c r="B59" s="123" t="str">
        <x:v>Indian-language translation, ASR and document digitisation</x:v>
      </x:c>
      <x:c r="C59" s="123" t="str">
        <x:v>https://bhashini.gov.in/</x:v>
      </x:c>
      <x:c r="D59" s="123" t="str">
        <x:v>Support for Indian-language access and transcription.</x:v>
      </x:c>
      <x:c r="E59" s="123" t="str">
        <x:v>Preserve original-language evidence and translation confidence.</x:v>
      </x:c>
      <x:c r="F59" s="123" t="str">
        <x:v>Review API terms and data-handling requirements.</x:v>
      </x:c>
      <x:c r="G59" s="123" t="str">
        <x:v>2026-07-15</x:v>
      </x:c>
      <x:c r="H59" s="628" t="str">
        <x:v>Candidate connector</x:v>
      </x:c>
    </x:row>
    <x:row r="60">
      <x:c r="A60" s="627" t="str">
        <x:v>Common Crawl</x:v>
      </x:c>
      <x:c r="B60" s="123" t="str">
        <x:v>Historical web backfill, disappeared-page discovery and domain mapping</x:v>
      </x:c>
      <x:c r="C60" s="123" t="str">
        <x:v>https://commoncrawl.org/get-started</x:v>
      </x:c>
      <x:c r="D60" s="123" t="str">
        <x:v>Free open crawl corpus and indexes.</x:v>
      </x:c>
      <x:c r="E60" s="123" t="str">
        <x:v>Not a real-time source; respect site and content rights when reusing material.</x:v>
      </x:c>
      <x:c r="F60" s="123" t="str">
        <x:v>Review crawl and content-use requirements.</x:v>
      </x:c>
      <x:c r="G60" s="123" t="str">
        <x:v>2026-07-15</x:v>
      </x:c>
      <x:c r="H60" s="628" t="str">
        <x:v>Backfill connector</x:v>
      </x:c>
    </x:row>
    <x:row r="61">
      <x:c r="A61" s="627" t="str">
        <x:v>W3C PROV-O</x:v>
      </x:c>
      <x:c r="B61" s="123" t="str">
        <x:v>Machine-readable evidence and provenance graph</x:v>
      </x:c>
      <x:c r="C61" s="123" t="str">
        <x:v>https://www.w3.org/TR/prov-o/</x:v>
      </x:c>
      <x:c r="D61" s="123" t="str">
        <x:v>Represent entities, activities, agents and derivation.</x:v>
      </x:c>
      <x:c r="E61" s="123" t="str">
        <x:v>Map source, retrieval, extraction, claim and editorial decisions.</x:v>
      </x:c>
      <x:c r="F61" s="123" t="str">
        <x:v>Open W3C Recommendation.</x:v>
      </x:c>
      <x:c r="G61" s="123" t="str">
        <x:v>2026-07-15</x:v>
      </x:c>
      <x:c r="H61" s="628" t="str">
        <x:v>Architecture standard</x:v>
      </x:c>
    </x:row>
    <x:row r="62">
      <x:c r="A62" s="627" t="str">
        <x:v>C2PA Content Credentials</x:v>
      </x:c>
      <x:c r="B62" s="123" t="str">
        <x:v>Media provenance and modification history</x:v>
      </x:c>
      <x:c r="C62" s="123" t="str">
        <x:v>https://spec.c2pa.org/specifications/specifications/2.4/index.html</x:v>
      </x:c>
      <x:c r="D62" s="123" t="str">
        <x:v>Cryptographically bound provenance indicators.</x:v>
      </x:c>
      <x:c r="E62" s="123" t="str">
        <x:v>Absence of credentials is not evidence of falsity; provenance is one signal.</x:v>
      </x:c>
      <x:c r="F62" s="123" t="str">
        <x:v>Open technical specification.</x:v>
      </x:c>
      <x:c r="G62" s="123" t="str">
        <x:v>2026-07-15</x:v>
      </x:c>
      <x:c r="H62" s="628" t="str">
        <x:v>Media-integrity control</x:v>
      </x:c>
    </x:row>
    <x:row r="63">
      <x:c r="A63" s="627" t="str">
        <x:v>NIST Synthetic Content / OpenMFC</x:v>
      </x:c>
      <x:c r="B63" s="123" t="str">
        <x:v>Media-forensics risk controls and evaluation</x:v>
      </x:c>
      <x:c r="C63" s="123" t="str">
        <x:v>https://www.nist.gov/itl/iad/mltg/open-media-forensics-challenge</x:v>
      </x:c>
      <x:c r="D63" s="123" t="str">
        <x:v>Detection and localisation of media manipulation require evaluated systems.</x:v>
      </x:c>
      <x:c r="E63" s="123" t="str">
        <x:v>Use an ensemble and record uncertainty; never rely on one detector.</x:v>
      </x:c>
      <x:c r="F63" s="123" t="str">
        <x:v>Public evaluation guidance.</x:v>
      </x:c>
      <x:c r="G63" s="123" t="str">
        <x:v>2026-07-15</x:v>
      </x:c>
      <x:c r="H63" s="628" t="str">
        <x:v>Evaluation reference</x:v>
      </x:c>
    </x:row>
    <x:row r="64">
      <x:c r="A64" s="627" t="str">
        <x:v>ACLED Methodology and Codebook</x:v>
      </x:c>
      <x:c r="B64" s="123" t="str">
        <x:v>Event uniqueness, actor and protest coding discipline</x:v>
      </x:c>
      <x:c r="C64" s="123" t="str">
        <x:v>https://acleddata.com/conflict-data/knowledge-base/methodology</x:v>
      </x:c>
      <x:c r="D64" s="123" t="str">
        <x:v>Consistent sourcing, coding and review of demonstrations.</x:v>
      </x:c>
      <x:c r="E64" s="123" t="str">
        <x:v>Use as a methodological reference, not a substitute for India Observed rules.</x:v>
      </x:c>
      <x:c r="F64" s="123" t="str">
        <x:v>Review data and methodology terms separately.</x:v>
      </x:c>
      <x:c r="G64" s="123" t="str">
        <x:v>2026-07-15</x:v>
      </x:c>
      <x:c r="H64" s="628" t="str">
        <x:v>Methodology reference</x:v>
      </x:c>
    </x:row>
    <x:row r="65">
      <x:c r="A65" s="627" t="str">
        <x:v>NIST AI RMF</x:v>
      </x:c>
      <x:c r="B65" s="123" t="str">
        <x:v>Human oversight, documentation, measurement and risk governance</x:v>
      </x:c>
      <x:c r="C65" s="123" t="str">
        <x:v>https://www.nist.gov/itl/ai-risk-management-framework</x:v>
      </x:c>
      <x:c r="D65" s="123" t="str">
        <x:v>Govern, map, measure and manage AI risks.</x:v>
      </x:c>
      <x:c r="E65" s="123" t="str">
        <x:v>Use for model inventory, override logs, risk review and monitoring.</x:v>
      </x:c>
      <x:c r="F65" s="123" t="str">
        <x:v>Voluntary framework.</x:v>
      </x:c>
      <x:c r="G65" s="123" t="str">
        <x:v>2026-07-15</x:v>
      </x:c>
      <x:c r="H65" s="628" t="str">
        <x:v>Governance reference</x:v>
      </x:c>
    </x:row>
    <x:row r="66">
      <x:c r="A66" s="627" t="str">
        <x:v>Multilingual E5 / LaBSE research</x:v>
      </x:c>
      <x:c r="B66" s="123" t="str">
        <x:v>Cross-language semantic retrieval and clustering</x:v>
      </x:c>
      <x:c r="C66" s="123" t="str">
        <x:v>https://arxiv.org/abs/2402.05672</x:v>
      </x:c>
      <x:c r="D66" s="123" t="str">
        <x:v>Language-agnostic or multilingual embeddings support cross-language matching.</x:v>
      </x:c>
      <x:c r="E66" s="123" t="str">
        <x:v>Benchmark on Indian languages before production; maintain lexical and entity checks.</x:v>
      </x:c>
      <x:c r="F66" s="123" t="str">
        <x:v>Review model licence for chosen implementation.</x:v>
      </x:c>
      <x:c r="G66" s="123" t="str">
        <x:v>2026-07-15</x:v>
      </x:c>
      <x:c r="H66" s="628" t="str">
        <x:v>Model candidate</x:v>
      </x:c>
    </x:row>
    <x:row r="67">
      <x:c r="A67" s="629" t="str">
        <x:v>data.gov.in</x:v>
      </x:c>
      <x:c r="B67" s="630" t="str">
        <x:v>Official open-data and API inputs</x:v>
      </x:c>
      <x:c r="C67" s="630" t="str">
        <x:v>https://www.data.gov.in/apis</x:v>
      </x:c>
      <x:c r="D67" s="630" t="str">
        <x:v>Government data and metadata can support context and verification.</x:v>
      </x:c>
      <x:c r="E67" s="630" t="str">
        <x:v>Verify dataset licence, update date and responsible department.</x:v>
      </x:c>
      <x:c r="F67" s="630" t="str">
        <x:v>Government Open Data Licence where applicable.</x:v>
      </x:c>
      <x:c r="G67" s="630" t="str">
        <x:v>2026-07-15</x:v>
      </x:c>
      <x:c r="H67" s="631" t="str">
        <x:v>Official data connector</x:v>
      </x:c>
    </x:row>
  </x:sheetData>
  <x:mergeCells>
    <x:mergeCell ref="A1:H2"/>
    <x:mergeCell ref="A3:H4"/>
    <x:mergeCell ref="A25:H25"/>
    <x:mergeCell ref="A32:H32"/>
    <x:mergeCell ref="A43:H43"/>
    <x:mergeCell ref="A56:H56"/>
  </x:mergeCells>
  <x:pageMargins left="0.7" right="0.7" top="0.75" bottom="0.75" header="0.3" footer="0.3"/>
  <x:tableParts count="1">
    <x:tablePart xmlns:r="http://schemas.openxmlformats.org/officeDocument/2006/relationships" r:id="R0046061bd4bc4298"/>
  </x:tableParts>
</x:worksheet>
</file>

<file path=xl/worksheets/sheet19.xml><?xml version="1.0" encoding="utf-8"?>
<x:worksheet xmlns:x="http://schemas.openxmlformats.org/spreadsheetml/2006/main">
  <x:sheetFormatPr defaultRowHeight="15"/>
  <x:cols>
    <x:col min="1" max="1" width="28" hidden="0" customWidth="1"/>
    <x:col min="2" max="2" width="40" hidden="0" customWidth="1"/>
    <x:col min="3" max="3" width="34" hidden="0" customWidth="1"/>
    <x:col min="4" max="4" width="25" hidden="0" customWidth="1"/>
    <x:col min="5" max="5" width="20" hidden="0" customWidth="1"/>
    <x:col min="6" max="6" width="32" hidden="0" customWidth="1"/>
    <x:col min="7" max="7" width="32" hidden="0" customWidth="1"/>
    <x:col min="8" max="8" width="24" hidden="0" customWidth="1"/>
    <x:col min="9" max="9" width="43" hidden="0" customWidth="1"/>
    <x:col min="10" max="10" width="35" hidden="0" customWidth="1"/>
  </x:cols>
  <x:sheetData>
    <x:row r="1">
      <x:c r="A1" s="602" t="str">
        <x:v>India Observed — Automated Source Universe Registry</x:v>
      </x:c>
      <x:c r="B1" s="602"/>
      <x:c r="C1" s="602"/>
      <x:c r="D1" s="602"/>
      <x:c r="E1" s="602"/>
      <x:c r="F1" s="602"/>
      <x:c r="G1" s="602"/>
      <x:c r="H1" s="602"/>
      <x:c r="I1" s="602"/>
      <x:c r="J1" s="602"/>
    </x:row>
    <x:row r="2">
      <x:c r="A2" s="602"/>
      <x:c r="B2" s="602"/>
      <x:c r="C2" s="602"/>
      <x:c r="D2" s="602"/>
      <x:c r="E2" s="602"/>
      <x:c r="F2" s="602"/>
      <x:c r="G2" s="602"/>
      <x:c r="H2" s="602"/>
      <x:c r="I2" s="602"/>
      <x:c r="J2" s="602"/>
    </x:row>
    <x:row r="3">
      <x:c r="A3" s="607" t="str">
        <x:v>The registry separates discovery value from verification value. Every connector must record access terms, language and geographic coverage, source lineage, collection health and whether it may support publication.</x:v>
      </x:c>
      <x:c r="B3" s="607"/>
      <x:c r="C3" s="607"/>
      <x:c r="D3" s="607"/>
      <x:c r="E3" s="607"/>
      <x:c r="F3" s="607"/>
      <x:c r="G3" s="607"/>
      <x:c r="H3" s="607"/>
      <x:c r="I3" s="607"/>
      <x:c r="J3" s="607"/>
    </x:row>
    <x:row r="4">
      <x:c r="A4" s="607"/>
      <x:c r="B4" s="607"/>
      <x:c r="C4" s="607"/>
      <x:c r="D4" s="607"/>
      <x:c r="E4" s="607"/>
      <x:c r="F4" s="607"/>
      <x:c r="G4" s="607"/>
      <x:c r="H4" s="607"/>
      <x:c r="I4" s="607"/>
      <x:c r="J4" s="607"/>
    </x:row>
    <x:row r="6">
      <x:c r="A6" s="611" t="str">
        <x:v>Source Class</x:v>
      </x:c>
      <x:c r="B6" s="611" t="str">
        <x:v>Examples / Seed Sources</x:v>
      </x:c>
      <x:c r="C6" s="611" t="str">
        <x:v>Collection Method</x:v>
      </x:c>
      <x:c r="D6" s="611" t="str">
        <x:v>Languages / Geography</x:v>
      </x:c>
      <x:c r="E6" s="611" t="str">
        <x:v>Default Cadence</x:v>
      </x:c>
      <x:c r="F6" s="611" t="str">
        <x:v>Discovery Value</x:v>
      </x:c>
      <x:c r="G6" s="611" t="str">
        <x:v>Verification Value</x:v>
      </x:c>
      <x:c r="H6" s="611" t="str">
        <x:v>Remote-Lead Value</x:v>
      </x:c>
      <x:c r="I6" s="611" t="str">
        <x:v>Legal / Privacy Control</x:v>
      </x:c>
      <x:c r="J6" s="611" t="str">
        <x:v>Failure / Fallback</x:v>
      </x:c>
    </x:row>
    <x:row r="7">
      <x:c r="A7" s="612" t="str">
        <x:v>Multilingual news-event feed</x:v>
      </x:c>
      <x:c r="B7" s="613" t="str">
        <x:v>GDELT 2.0; approved commercial or open news indexes</x:v>
      </x:c>
      <x:c r="C7" s="613" t="str">
        <x:v>API/query polling</x:v>
      </x:c>
      <x:c r="D7" s="613" t="str">
        <x:v>Multilingual; India and global</x:v>
      </x:c>
      <x:c r="E7" s="613" t="str">
        <x:v>15–60 minutes</x:v>
      </x:c>
      <x:c r="F7" s="613" t="str">
        <x:v>High for broad discovery and cross-language expansion</x:v>
      </x:c>
      <x:c r="G7" s="613" t="str">
        <x:v>Medium; must resolve to original publisher and source family</x:v>
      </x:c>
      <x:c r="H7" s="613" t="str">
        <x:v>Medium; depends on monitored local outlets</x:v>
      </x:c>
      <x:c r="I7" s="613" t="str">
        <x:v>Use API terms; store original publisher URL; do not republish full copyrighted content.</x:v>
      </x:c>
      <x:c r="J7" s="614" t="str">
        <x:v>Fallback to direct publisher RSS/search and cached metadata.</x:v>
      </x:c>
    </x:row>
    <x:row r="8">
      <x:c r="A8" s="615" t="str">
        <x:v>National and major regional publishers</x:v>
      </x:c>
      <x:c r="B8" s="115" t="str">
        <x:v>News websites, RSS, sitemaps and public APIs</x:v>
      </x:c>
      <x:c r="C8" s="115" t="str">
        <x:v>RSS/API/sitemap polling and page-diff</x:v>
      </x:c>
      <x:c r="D8" s="115" t="str">
        <x:v>English, Hindi and major Indian languages</x:v>
      </x:c>
      <x:c r="E8" s="115" t="str">
        <x:v>15–60 minutes</x:v>
      </x:c>
      <x:c r="F8" s="115" t="str">
        <x:v>High for visible events</x:v>
      </x:c>
      <x:c r="G8" s="115" t="str">
        <x:v>High when original reporting is identified</x:v>
      </x:c>
      <x:c r="H8" s="115" t="str">
        <x:v>Low to medium</x:v>
      </x:c>
      <x:c r="I8" s="115" t="str">
        <x:v>Respect robots, terms, copyright and paywalls; store summaries and links.</x:v>
      </x:c>
      <x:c r="J8" s="616" t="str">
        <x:v>Use search indexes and publisher public feeds.</x:v>
      </x:c>
    </x:row>
    <x:row r="9">
      <x:c r="A9" s="615" t="str">
        <x:v>Local-language district media</x:v>
      </x:c>
      <x:c r="B9" s="115" t="str">
        <x:v>District newspapers, regional portals and local digital channels</x:v>
      </x:c>
      <x:c r="C9" s="115" t="str">
        <x:v>Approved feeds, search queries, sitemap and public-page polling</x:v>
      </x:c>
      <x:c r="D9" s="115" t="str">
        <x:v>State languages, dialects and transliterated text</x:v>
      </x:c>
      <x:c r="E9" s="115" t="str">
        <x:v>30–120 minutes</x:v>
      </x:c>
      <x:c r="F9" s="115" t="str">
        <x:v>Very high for undercovered events</x:v>
      </x:c>
      <x:c r="G9" s="115" t="str">
        <x:v>Medium to high after provenance and independence checks</x:v>
      </x:c>
      <x:c r="H9" s="115" t="str">
        <x:v>Very high</x:v>
      </x:c>
      <x:c r="I9" s="115" t="str">
        <x:v>Translation quality must be recorded; do not treat copied local reports as independent.</x:v>
      </x:c>
      <x:c r="J9" s="616" t="str">
        <x:v>Use BHASHINI/manual translation and additional district or official confirmation.</x:v>
      </x:c>
    </x:row>
    <x:row r="10">
      <x:c r="A10" s="615" t="str">
        <x:v>Hyperlocal community news</x:v>
      </x:c>
      <x:c r="B10" s="115" t="str">
        <x:v>Town/village pages, community radio, local journalist pages</x:v>
      </x:c>
      <x:c r="C10" s="115" t="str">
        <x:v>Public-page connectors, RSS where available, manual seed registry</x:v>
      </x:c>
      <x:c r="D10" s="115" t="str">
        <x:v>District and sub-district</x:v>
      </x:c>
      <x:c r="E10" s="115" t="str">
        <x:v>Hourly to daily</x:v>
      </x:c>
      <x:c r="F10" s="115" t="str">
        <x:v>Very high</x:v>
      </x:c>
      <x:c r="G10" s="115" t="str">
        <x:v>Low to medium until corroborated</x:v>
      </x:c>
      <x:c r="H10" s="115" t="str">
        <x:v>Very high</x:v>
      </x:c>
      <x:c r="I10" s="115" t="str">
        <x:v>Public content only; verify ownership and avoid collecting private-group data.</x:v>
      </x:c>
      <x:c r="J10" s="616" t="str">
        <x:v>Search local media, district notices and original uploader.</x:v>
      </x:c>
    </x:row>
    <x:row r="11">
      <x:c r="A11" s="615" t="str">
        <x:v>District administration and police</x:v>
      </x:c>
      <x:c r="B11" s="115" t="str">
        <x:v>District websites, police/traffic advisories, public social channels</x:v>
      </x:c>
      <x:c r="C11" s="115" t="str">
        <x:v>RSS/sitemap/page-diff/API where provided</x:v>
      </x:c>
      <x:c r="D11" s="115" t="str">
        <x:v>District/state</x:v>
      </x:c>
      <x:c r="E11" s="115" t="str">
        <x:v>15–60 minutes for active events; daily otherwise</x:v>
      </x:c>
      <x:c r="F11" s="115" t="str">
        <x:v>Medium</x:v>
      </x:c>
      <x:c r="G11" s="115" t="str">
        <x:v>High only for the authority's own statement or order</x:v>
      </x:c>
      <x:c r="H11" s="115" t="str">
        <x:v>High</x:v>
      </x:c>
      <x:c r="I11" s="115" t="str">
        <x:v>Official sources may omit affected-community perspectives; exact tactical information may be delayed or excluded.</x:v>
      </x:c>
      <x:c r="J11" s="616" t="str">
        <x:v>Seek independent community/media account.</x:v>
      </x:c>
    </x:row>
    <x:row r="12">
      <x:c r="A12" s="615" t="str">
        <x:v>Sector departments and regulators</x:v>
      </x:c>
      <x:c r="B12" s="115" t="str">
        <x:v>Education, labour, forest, pollution control, health, land and municipal bodies</x:v>
      </x:c>
      <x:c r="C12" s="115" t="str">
        <x:v>API/page-diff/document monitoring</x:v>
      </x:c>
      <x:c r="D12" s="115" t="str">
        <x:v>State/district</x:v>
      </x:c>
      <x:c r="E12" s="115" t="str">
        <x:v>Daily to weekly</x:v>
      </x:c>
      <x:c r="F12" s="115" t="str">
        <x:v>Medium</x:v>
      </x:c>
      <x:c r="G12" s="115" t="str">
        <x:v>High for official actions, notices and context</x:v>
      </x:c>
      <x:c r="H12" s="115" t="str">
        <x:v>High</x:v>
      </x:c>
      <x:c r="I12" s="115" t="str">
        <x:v>Licence and document authenticity checks; do not infer absence from no notice.</x:v>
      </x:c>
      <x:c r="J12" s="616" t="str">
        <x:v>Use RTI, legislative, media and community sources.</x:v>
      </x:c>
    </x:row>
    <x:row r="13">
      <x:c r="A13" s="615" t="str">
        <x:v>Open government data</x:v>
      </x:c>
      <x:c r="B13" s="115" t="str">
        <x:v>data.gov.in and state open-data portals</x:v>
      </x:c>
      <x:c r="C13" s="115" t="str">
        <x:v>API/catalog polling</x:v>
      </x:c>
      <x:c r="D13" s="115" t="str">
        <x:v>India/state</x:v>
      </x:c>
      <x:c r="E13" s="115" t="str">
        <x:v>Daily to monthly by dataset</x:v>
      </x:c>
      <x:c r="F13" s="115" t="str">
        <x:v>Low for immediate events; high for context and anomaly leads</x:v>
      </x:c>
      <x:c r="G13" s="115" t="str">
        <x:v>High for published dataset fields with provenance</x:v>
      </x:c>
      <x:c r="H13" s="115" t="str">
        <x:v>Medium</x:v>
      </x:c>
      <x:c r="I13" s="115" t="str">
        <x:v>Record dataset owner, update date and licence; public data can still be stale or incomplete.</x:v>
      </x:c>
      <x:c r="J13" s="616" t="str">
        <x:v>Use department source and archived versions.</x:v>
      </x:c>
    </x:row>
    <x:row r="14">
      <x:c r="A14" s="615" t="str">
        <x:v>Environmental and land records</x:v>
      </x:c>
      <x:c r="B14" s="115" t="str">
        <x:v>Public-hearing notices, EIA/EC, forest diversion, acquisition and rehabilitation records</x:v>
      </x:c>
      <x:c r="C14" s="115" t="str">
        <x:v>Document feed/page-diff/OCR</x:v>
      </x:c>
      <x:c r="D14" s="115" t="str">
        <x:v>Project and district</x:v>
      </x:c>
      <x:c r="E14" s="115" t="str">
        <x:v>Daily to weekly</x:v>
      </x:c>
      <x:c r="F14" s="115" t="str">
        <x:v>High for anticipatory project-risk leads</x:v>
      </x:c>
      <x:c r="G14" s="115" t="str">
        <x:v>High for official project and approval facts</x:v>
      </x:c>
      <x:c r="H14" s="115" t="str">
        <x:v>Very high</x:v>
      </x:c>
      <x:c r="I14" s="115" t="str">
        <x:v>A project record is not proof of protest; verify public action separately.</x:v>
      </x:c>
      <x:c r="J14" s="616" t="str">
        <x:v>Search village/project names across local sources.</x:v>
      </x:c>
    </x:row>
    <x:row r="15">
      <x:c r="A15" s="615" t="str">
        <x:v>Court, tribunal and legislative records</x:v>
      </x:c>
      <x:c r="B15" s="115" t="str">
        <x:v>Court portals, tribunal orders, questions, committees and gazettes</x:v>
      </x:c>
      <x:c r="C15" s="115" t="str">
        <x:v>Approved search/API/document monitoring</x:v>
      </x:c>
      <x:c r="D15" s="115" t="str">
        <x:v>India/state</x:v>
      </x:c>
      <x:c r="E15" s="115" t="str">
        <x:v>Daily to weekly</x:v>
      </x:c>
      <x:c r="F15" s="115" t="str">
        <x:v>Medium</x:v>
      </x:c>
      <x:c r="G15" s="115" t="str">
        <x:v>High for filings/orders; distinguish allegations from findings</x:v>
      </x:c>
      <x:c r="H15" s="115" t="str">
        <x:v>High</x:v>
      </x:c>
      <x:c r="I15" s="115" t="str">
        <x:v>Do not present pleadings as judicial findings; comply with access and privacy rules.</x:v>
      </x:c>
      <x:c r="J15" s="616" t="str">
        <x:v>Cross-check with parties, orders and local reporting.</x:v>
      </x:c>
    </x:row>
    <x:row r="16">
      <x:c r="A16" s="615" t="str">
        <x:v>Unions and membership bodies</x:v>
      </x:c>
      <x:c r="B16" s="115" t="str">
        <x:v>Farmer unions, teacher/employee associations, student and transport bodies</x:v>
      </x:c>
      <x:c r="C16" s="115" t="str">
        <x:v>Public websites, newsletters and verified public channels</x:v>
      </x:c>
      <x:c r="D16" s="115" t="str">
        <x:v>National to local</x:v>
      </x:c>
      <x:c r="E16" s="115" t="str">
        <x:v>Daily during campaigns; weekly otherwise</x:v>
      </x:c>
      <x:c r="F16" s="115" t="str">
        <x:v>High</x:v>
      </x:c>
      <x:c r="G16" s="115" t="str">
        <x:v>Medium as organiser statements; occurrence needs independent confirmation</x:v>
      </x:c>
      <x:c r="H16" s="115" t="str">
        <x:v>High</x:v>
      </x:c>
      <x:c r="I16" s="115" t="str">
        <x:v>Verify official account and faction; announced events may not occur.</x:v>
      </x:c>
      <x:c r="J16" s="616" t="str">
        <x:v>Check field reporting, police/traffic and participant evidence.</x:v>
      </x:c>
    </x:row>
    <x:row r="17">
      <x:c r="A17" s="615" t="str">
        <x:v>Civil-society and issue networks</x:v>
      </x:c>
      <x:c r="B17" s="115" t="str">
        <x:v>Environment, land rights, disability, health, education and rights groups</x:v>
      </x:c>
      <x:c r="C17" s="115" t="str">
        <x:v>Public feeds, newsletters and project pages</x:v>
      </x:c>
      <x:c r="D17" s="115" t="str">
        <x:v>Thematic/national/local</x:v>
      </x:c>
      <x:c r="E17" s="115" t="str">
        <x:v>Daily to weekly</x:v>
      </x:c>
      <x:c r="F17" s="115" t="str">
        <x:v>High</x:v>
      </x:c>
      <x:c r="G17" s="115" t="str">
        <x:v>Medium as advocacy or field sources; serious claims need corroboration</x:v>
      </x:c>
      <x:c r="H17" s="115" t="str">
        <x:v>High</x:v>
      </x:c>
      <x:c r="I17" s="115" t="str">
        <x:v>Record advocacy role; distinguish observation, analysis and allegation.</x:v>
      </x:c>
      <x:c r="J17" s="616" t="str">
        <x:v>Seek primary documents, local witnesses and authority response.</x:v>
      </x:c>
    </x:row>
    <x:row r="18">
      <x:c r="A18" s="615" t="str">
        <x:v>Petitions and campaigns</x:v>
      </x:c>
      <x:c r="B18" s="115" t="str">
        <x:v>Public petitions and campaign sites</x:v>
      </x:c>
      <x:c r="C18" s="115" t="str">
        <x:v>Public API/page polling</x:v>
      </x:c>
      <x:c r="D18" s="115" t="str">
        <x:v>Project/local/national</x:v>
      </x:c>
      <x:c r="E18" s="115" t="str">
        <x:v>Daily to weekly</x:v>
      </x:c>
      <x:c r="F18" s="115" t="str">
        <x:v>High for emerging issues</x:v>
      </x:c>
      <x:c r="G18" s="115" t="str">
        <x:v>Low as independent proof; high for stated demands</x:v>
      </x:c>
      <x:c r="H18" s="115" t="str">
        <x:v>High</x:v>
      </x:c>
      <x:c r="I18" s="115" t="str">
        <x:v>Signatures and campaign claims are not independently audited.</x:v>
      </x:c>
      <x:c r="J18" s="616" t="str">
        <x:v>Verify offline action and original organising body.</x:v>
      </x:c>
    </x:row>
    <x:row r="19">
      <x:c r="A19" s="615" t="str">
        <x:v>Public social-media posts</x:v>
      </x:c>
      <x:c r="B19" s="115" t="str">
        <x:v>X, Facebook, Instagram and public Telegram channels where lawfully accessible</x:v>
      </x:c>
      <x:c r="C19" s="115" t="str">
        <x:v>Official APIs/approved connectors/public-page monitoring</x:v>
      </x:c>
      <x:c r="D19" s="115" t="str">
        <x:v>Multilingual and local</x:v>
      </x:c>
      <x:c r="E19" s="115" t="str">
        <x:v>5–30 minutes for priority watchlists</x:v>
      </x:c>
      <x:c r="F19" s="115" t="str">
        <x:v>Very high</x:v>
      </x:c>
      <x:c r="G19" s="115" t="str">
        <x:v>Low until original, dated and corroborated</x:v>
      </x:c>
      <x:c r="H19" s="115" t="str">
        <x:v>Very high</x:v>
      </x:c>
      <x:c r="I19" s="115" t="str">
        <x:v>No private scraping; minimise personal data; delay tactical details; respect platform terms.</x:v>
      </x:c>
      <x:c r="J19" s="616" t="str">
        <x:v>Find earliest upload, related sources and public authorities.</x:v>
      </x:c>
    </x:row>
    <x:row r="20">
      <x:c r="A20" s="615" t="str">
        <x:v>Public video channels</x:v>
      </x:c>
      <x:c r="B20" s="115" t="str">
        <x:v>YouTube, broadcaster channels, public livestream archives</x:v>
      </x:c>
      <x:c r="C20" s="115" t="str">
        <x:v>Official API/approved public connectors; ASR and frame extraction</x:v>
      </x:c>
      <x:c r="D20" s="115" t="str">
        <x:v>Multilingual/local</x:v>
      </x:c>
      <x:c r="E20" s="115" t="str">
        <x:v>15–60 minutes</x:v>
      </x:c>
      <x:c r="F20" s="115" t="str">
        <x:v>Very high</x:v>
      </x:c>
      <x:c r="G20" s="115" t="str">
        <x:v>Medium when original field reporting is identifiable</x:v>
      </x:c>
      <x:c r="H20" s="115" t="str">
        <x:v>Very high</x:v>
      </x:c>
      <x:c r="I20" s="115" t="str">
        <x:v>Do not republish full footage; record transcript confidence and visible personal data risks.</x:v>
      </x:c>
      <x:c r="J20" s="616" t="str">
        <x:v>Use original channel, geolocation, captions and independent reports.</x:v>
      </x:c>
    </x:row>
    <x:row r="21">
      <x:c r="A21" s="615" t="str">
        <x:v>Public audio/community radio</x:v>
      </x:c>
      <x:c r="B21" s="115" t="str">
        <x:v>Public radio pages, podcasts and local audio reports</x:v>
      </x:c>
      <x:c r="C21" s="115" t="str">
        <x:v>RSS/audio download where allowed; ASR</x:v>
      </x:c>
      <x:c r="D21" s="115" t="str">
        <x:v>Local languages and dialects</x:v>
      </x:c>
      <x:c r="E21" s="115" t="str">
        <x:v>Daily to weekly</x:v>
      </x:c>
      <x:c r="F21" s="115" t="str">
        <x:v>High</x:v>
      </x:c>
      <x:c r="G21" s="115" t="str">
        <x:v>Medium after speaker/source verification</x:v>
      </x:c>
      <x:c r="H21" s="115" t="str">
        <x:v>Very high</x:v>
      </x:c>
      <x:c r="I21" s="115" t="str">
        <x:v>Voice data is personal data; publish summaries, not unnecessary raw voice.</x:v>
      </x:c>
      <x:c r="J21" s="616" t="str">
        <x:v>Seek transcript confirmation and related sources.</x:v>
      </x:c>
    </x:row>
    <x:row r="22">
      <x:c r="A22" s="615" t="str">
        <x:v>Search engines and web discovery</x:v>
      </x:c>
      <x:c r="B22" s="115" t="str">
        <x:v>State/language query templates, project/village/entity searches</x:v>
      </x:c>
      <x:c r="C22" s="115" t="str">
        <x:v>Search API or compliant manual query scheduler</x:v>
      </x:c>
      <x:c r="D22" s="115" t="str">
        <x:v>All Indian languages</x:v>
      </x:c>
      <x:c r="E22" s="115" t="str">
        <x:v>Continuous rotating queries</x:v>
      </x:c>
      <x:c r="F22" s="115" t="str">
        <x:v>High</x:v>
      </x:c>
      <x:c r="G22" s="115" t="str">
        <x:v>None by itself; search result leads to source</x:v>
      </x:c>
      <x:c r="H22" s="115" t="str">
        <x:v>Very high</x:v>
      </x:c>
      <x:c r="I22" s="115" t="str">
        <x:v>Do not treat snippets as evidence; comply with search service terms.</x:v>
      </x:c>
      <x:c r="J22" s="616" t="str">
        <x:v>Open and preserve the original source.</x:v>
      </x:c>
    </x:row>
    <x:row r="23">
      <x:c r="A23" s="615" t="str">
        <x:v>Common Crawl and web archives</x:v>
      </x:c>
      <x:c r="B23" s="115" t="str">
        <x:v>Common Crawl indexes and lawful archival services</x:v>
      </x:c>
      <x:c r="C23" s="115" t="str">
        <x:v>Index queries and WARC retrieval</x:v>
      </x:c>
      <x:c r="D23" s="115" t="str">
        <x:v>Historic/open web</x:v>
      </x:c>
      <x:c r="E23" s="115" t="str">
        <x:v>Monthly/backfill</x:v>
      </x:c>
      <x:c r="F23" s="115" t="str">
        <x:v>Medium for old or removed leads</x:v>
      </x:c>
      <x:c r="G23" s="115" t="str">
        <x:v>Low to medium; archived source must be authenticated and contextualised</x:v>
      </x:c>
      <x:c r="H23" s="115" t="str">
        <x:v>High for source recovery</x:v>
      </x:c>
      <x:c r="I23" s="115" t="str">
        <x:v>Archived content remains subject to copyright and privacy; not real-time.</x:v>
      </x:c>
      <x:c r="J23" s="616" t="str">
        <x:v>Seek live or official version and publisher corrections.</x:v>
      </x:c>
    </x:row>
    <x:row r="24">
      <x:c r="A24" s="615" t="str">
        <x:v>Contributor-submitted leads</x:v>
      </x:c>
      <x:c r="B24" s="115" t="str">
        <x:v>Public lead form, trusted partners and confidential submissions</x:v>
      </x:c>
      <x:c r="C24" s="115" t="str">
        <x:v>Secure form/moderation queue</x:v>
      </x:c>
      <x:c r="D24" s="115" t="str">
        <x:v>All India</x:v>
      </x:c>
      <x:c r="E24" s="115" t="str">
        <x:v>Continuous</x:v>
      </x:c>
      <x:c r="F24" s="115" t="str">
        <x:v>Very high</x:v>
      </x:c>
      <x:c r="G24" s="115" t="str">
        <x:v>None until independently verified; partner credential may strengthen traceability</x:v>
      </x:c>
      <x:c r="H24" s="115" t="str">
        <x:v>Very high</x:v>
      </x:c>
      <x:c r="I24" s="115" t="str">
        <x:v>Separate identity from evidence; data minimisation; no automatic publication.</x:v>
      </x:c>
      <x:c r="J24" s="616" t="str">
        <x:v>Independent search, partner confirmation and evidence protocol.</x:v>
      </x:c>
    </x:row>
    <x:row r="25">
      <x:c r="A25" s="617" t="str">
        <x:v>Internal follow-up and correction feeds</x:v>
      </x:c>
      <x:c r="B25" s="618" t="str">
        <x:v>Existing event follow-up dates, source updates and publisher correction pages</x:v>
      </x:c>
      <x:c r="C25" s="618" t="str">
        <x:v>Scheduler/page-diff/webhook</x:v>
      </x:c>
      <x:c r="D25" s="618" t="str">
        <x:v>Repository-wide</x:v>
      </x:c>
      <x:c r="E25" s="618" t="str">
        <x:v>Daily</x:v>
      </x:c>
      <x:c r="F25" s="618" t="str">
        <x:v>High for outcomes and renewed phases</x:v>
      </x:c>
      <x:c r="G25" s="618" t="str">
        <x:v>High when update is directly verified</x:v>
      </x:c>
      <x:c r="H25" s="618" t="str">
        <x:v>High</x:v>
      </x:c>
      <x:c r="I25" s="618" t="str">
        <x:v>Do not overwrite silently; preserve prior version and correction trail.</x:v>
      </x:c>
      <x:c r="J25" s="619" t="str">
        <x:v>Manual source check and authority outreach.</x:v>
      </x:c>
    </x:row>
  </x:sheetData>
  <x:mergeCells>
    <x:mergeCell ref="A1:J2"/>
    <x:mergeCell ref="A3:J4"/>
  </x:mergeCells>
  <x:pageMargins left="0.7" right="0.7" top="0.75" bottom="0.75" header="0.3" footer="0.3"/>
  <x:tableParts count="1">
    <x:tablePart xmlns:r="http://schemas.openxmlformats.org/officeDocument/2006/relationships" r:id="Rbc78850f29bf486b"/>
  </x:tableParts>
</x:worksheet>
</file>

<file path=xl/worksheets/sheet20.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39" hidden="0" customWidth="1"/>
    <x:col min="6" max="6" width="13" hidden="0" customWidth="1"/>
    <x:col min="7" max="7" width="43" hidden="0" customWidth="1"/>
    <x:col min="8" max="8" width="28" hidden="0" customWidth="1"/>
  </x:cols>
  <x:sheetData>
    <x:row r="1">
      <x:c r="A1" s="602" t="str">
        <x:v>India Observed — Automation Controls and Non-Bypassable Publication Gates</x:v>
      </x:c>
      <x:c r="B1" s="602"/>
      <x:c r="C1" s="602"/>
      <x:c r="D1" s="602"/>
      <x:c r="E1" s="602"/>
      <x:c r="F1" s="602"/>
      <x:c r="G1" s="602"/>
      <x:c r="H1" s="602"/>
    </x:row>
    <x:row r="2">
      <x:c r="A2" s="602"/>
      <x:c r="B2" s="602"/>
      <x:c r="C2" s="602"/>
      <x:c r="D2" s="602"/>
      <x:c r="E2" s="602"/>
      <x:c r="F2" s="602"/>
      <x:c r="G2" s="602"/>
      <x:c r="H2" s="602"/>
    </x:row>
    <x:row r="3">
      <x:c r="A3" s="641" t="str">
        <x:v>Automation may discover, translate, cluster, score, retrieve, extract, compare and draft. It may never independently establish truth, identify legal responsibility, expose protected people or publish a record.</x:v>
      </x:c>
      <x:c r="B3" s="641"/>
      <x:c r="C3" s="641"/>
      <x:c r="D3" s="641"/>
      <x:c r="E3" s="641"/>
      <x:c r="F3" s="641"/>
      <x:c r="G3" s="641"/>
      <x:c r="H3" s="641"/>
    </x:row>
    <x:row r="4">
      <x:c r="A4" s="641"/>
      <x:c r="B4" s="641"/>
      <x:c r="C4" s="641"/>
      <x:c r="D4" s="641"/>
      <x:c r="E4" s="641"/>
      <x:c r="F4" s="641"/>
      <x:c r="G4" s="641"/>
      <x:c r="H4" s="641"/>
    </x:row>
    <x:row r="6">
      <x:c r="A6" s="611" t="str">
        <x:v>Gate ID</x:v>
      </x:c>
      <x:c r="B6" s="611" t="str">
        <x:v>Hard Gate</x:v>
      </x:c>
      <x:c r="C6" s="611" t="str">
        <x:v>Applies When</x:v>
      </x:c>
      <x:c r="D6" s="611" t="str">
        <x:v>Pass Condition</x:v>
      </x:c>
      <x:c r="E6" s="611" t="str">
        <x:v>Automation Role</x:v>
      </x:c>
      <x:c r="F6" s="611" t="str">
        <x:v>Mandatory Human Action</x:v>
      </x:c>
      <x:c r="G6" s="611" t="str">
        <x:v>Failure Result</x:v>
      </x:c>
      <x:c r="H6" s="611" t="str">
        <x:v>Override Allowed?</x:v>
      </x:c>
    </x:row>
    <x:row r="7">
      <x:c r="A7" s="612" t="str">
        <x:v>G01</x:v>
      </x:c>
      <x:c r="B7" s="613" t="str">
        <x:v>Bounded event identity</x:v>
      </x:c>
      <x:c r="C7" s="613" t="str">
        <x:v>Every candidate</x:v>
      </x:c>
      <x:c r="D7" s="613" t="str">
        <x:v>A specific public event or clearly bounded phase has a general location, date/period and public-interest issue.</x:v>
      </x:c>
      <x:c r="E7" s="613" t="str">
        <x:v>Suggest cluster and detect possible duplicates.</x:v>
      </x:c>
      <x:c r="F7" s="613" t="str">
        <x:v>Confirm event boundary and whether it is one event, a movement or an announced action.</x:v>
      </x:c>
      <x:c r="G7" s="613" t="str">
        <x:v>Remain Signal/Candidate; no publication.</x:v>
      </x:c>
      <x:c r="H7" s="614" t="str">
        <x:v>No</x:v>
      </x:c>
    </x:row>
    <x:row r="8">
      <x:c r="A8" s="615" t="str">
        <x:v>G02</x:v>
      </x:c>
      <x:c r="B8" s="115" t="str">
        <x:v>Occurrence evidence</x:v>
      </x:c>
      <x:c r="C8" s="115" t="str">
        <x:v>Every publication</x:v>
      </x:c>
      <x:c r="D8" s="115" t="str">
        <x:v>Two independent credible source families support occurrence, OR one original credible report plus one reliable primary/official source.</x:v>
      </x:c>
      <x:c r="E8" s="115" t="str">
        <x:v>Group source families and show evidence coverage.</x:v>
      </x:c>
      <x:c r="F8" s="115" t="str">
        <x:v>Review the underlying sources and confirm occurrence.</x:v>
      </x:c>
      <x:c r="G8" s="115" t="str">
        <x:v>Return to Investigating.</x:v>
      </x:c>
      <x:c r="H8" s="616" t="str">
        <x:v>No</x:v>
      </x:c>
    </x:row>
    <x:row r="9">
      <x:c r="A9" s="615" t="str">
        <x:v>G03</x:v>
      </x:c>
      <x:c r="B9" s="115" t="str">
        <x:v>Source traceability</x:v>
      </x:c>
      <x:c r="C9" s="115" t="str">
        <x:v>Every source used for publication</x:v>
      </x:c>
      <x:c r="D9" s="115" t="str">
        <x:v>Original URL or record, publisher/issuer, retrieval date and source lineage are recorded.</x:v>
      </x:c>
      <x:c r="E9" s="115" t="str">
        <x:v>Capture metadata, hash and lineage.</x:v>
      </x:c>
      <x:c r="F9" s="115" t="str">
        <x:v>Resolve unclear publisher, repost or origin.</x:v>
      </x:c>
      <x:c r="G9" s="115" t="str">
        <x:v>Source cannot support publication until resolved.</x:v>
      </x:c>
      <x:c r="H9" s="616" t="str">
        <x:v>No</x:v>
      </x:c>
    </x:row>
    <x:row r="10">
      <x:c r="A10" s="615" t="str">
        <x:v>G04</x:v>
      </x:c>
      <x:c r="B10" s="115" t="str">
        <x:v>Claim-to-source linkage</x:v>
      </x:c>
      <x:c r="C10" s="115" t="str">
        <x:v>Every factual claim</x:v>
      </x:c>
      <x:c r="D10" s="115" t="str">
        <x:v>Every public factual statement resolves to at least one evidence ID and appropriate claim status.</x:v>
      </x:c>
      <x:c r="E10" s="115" t="str">
        <x:v>Extract atomic claims and validate citations.</x:v>
      </x:c>
      <x:c r="F10" s="115" t="str">
        <x:v>Approve claim wording and status.</x:v>
      </x:c>
      <x:c r="G10" s="115" t="str">
        <x:v>Unsupported sentence removed or returned for research.</x:v>
      </x:c>
      <x:c r="H10" s="616" t="str">
        <x:v>No</x:v>
      </x:c>
    </x:row>
    <x:row r="11">
      <x:c r="A11" s="615" t="str">
        <x:v>G05</x:v>
      </x:c>
      <x:c r="B11" s="115" t="str">
        <x:v>Source independence</x:v>
      </x:c>
      <x:c r="C11" s="115" t="str">
        <x:v>Whenever more than one source is counted</x:v>
      </x:c>
      <x:c r="D11" s="115" t="str">
        <x:v>Independent source families are demonstrated; copied reports and cross-posts are grouped.</x:v>
      </x:c>
      <x:c r="E11" s="115" t="str">
        <x:v>Run hash, text, quote and media similarity checks.</x:v>
      </x:c>
      <x:c r="F11" s="115" t="str">
        <x:v>Review uncertain lineage.</x:v>
      </x:c>
      <x:c r="G11" s="115" t="str">
        <x:v>Do not count uncertain sources as independent.</x:v>
      </x:c>
      <x:c r="H11" s="616" t="str">
        <x:v>No</x:v>
      </x:c>
    </x:row>
    <x:row r="12">
      <x:c r="A12" s="615" t="str">
        <x:v>G06</x:v>
      </x:c>
      <x:c r="B12" s="115" t="str">
        <x:v>Serious allegation enhanced evidence</x:v>
      </x:c>
      <x:c r="C12" s="115" t="str">
        <x:v>Corruption, criminal conduct, violence, negligence, illegal action, deliberate denial of services or named wrongdoing</x:v>
      </x:c>
      <x:c r="D12" s="115" t="str">
        <x:v>At least two independent sources plus a relevant direct/primary record where reasonably obtainable; wording remains attributed unless formally established.</x:v>
      </x:c>
      <x:c r="E12" s="115" t="str">
        <x:v>Flag allegation, retrieve documents and contradictions.</x:v>
      </x:c>
      <x:c r="F12" s="115" t="str">
        <x:v>Review proportionality, evidence and legal risk.</x:v>
      </x:c>
      <x:c r="G12" s="115" t="str">
        <x:v>Hold or publish only a narrower attributed observation.</x:v>
      </x:c>
      <x:c r="H12" s="616" t="str">
        <x:v>No</x:v>
      </x:c>
    </x:row>
    <x:row r="13">
      <x:c r="A13" s="615" t="str">
        <x:v>G07</x:v>
      </x:c>
      <x:c r="B13" s="115" t="str">
        <x:v>Right of reply</x:v>
      </x:c>
      <x:c r="C13" s="115" t="str">
        <x:v>Consequential allegation identifies an authority, company, organisation or individual</x:v>
      </x:c>
      <x:c r="D13" s="115" t="str">
        <x:v>Outreach is documented, response included, or a reasoned safety/practicality exception is approved.</x:v>
      </x:c>
      <x:c r="E13" s="115" t="str">
        <x:v>Generate factual outreach questions and track deadline.</x:v>
      </x:c>
      <x:c r="F13" s="115" t="str">
        <x:v>Approve message, exception and response wording.</x:v>
      </x:c>
      <x:c r="G13" s="115" t="str">
        <x:v>Hold consequential claim until completed or exception approved.</x:v>
      </x:c>
      <x:c r="H13" s="616" t="str">
        <x:v>Only documented human exception</x:v>
      </x:c>
    </x:row>
    <x:row r="14">
      <x:c r="A14" s="615" t="str">
        <x:v>G08</x:v>
      </x:c>
      <x:c r="B14" s="115" t="str">
        <x:v>Media integrity</x:v>
      </x:c>
      <x:c r="C14" s="115" t="str">
        <x:v>Image/video/audio materially supports occurrence or allegation</x:v>
      </x:c>
      <x:c r="D14" s="115" t="str">
        <x:v>Original or earliest available media is retained; hash, provenance, reuse and manipulation checks completed; time/place corroborated when material.</x:v>
      </x:c>
      <x:c r="E14" s="115" t="str">
        <x:v>Run C2PA, perceptual hash, reverse-match and forensic checks.</x:v>
      </x:c>
      <x:c r="F14" s="115" t="str">
        <x:v>Review media and detector limitations.</x:v>
      </x:c>
      <x:c r="G14" s="115" t="str">
        <x:v>Media may remain a lead but cannot carry the claim.</x:v>
      </x:c>
      <x:c r="H14" s="616" t="str">
        <x:v>No</x:v>
      </x:c>
    </x:row>
    <x:row r="15">
      <x:c r="A15" s="615" t="str">
        <x:v>G09</x:v>
      </x:c>
      <x:c r="B15" s="115" t="str">
        <x:v>Date and location confidence</x:v>
      </x:c>
      <x:c r="C15" s="115" t="str">
        <x:v>Date/location are material to the record</x:v>
      </x:c>
      <x:c r="D15" s="115" t="str">
        <x:v>Best-supported date/period and general location are documented with conflicts visible.</x:v>
      </x:c>
      <x:c r="E15" s="115" t="str">
        <x:v>Extract and compare temporal/geographic signals.</x:v>
      </x:c>
      <x:c r="F15" s="115" t="str">
        <x:v>Approve precision and uncertainty wording.</x:v>
      </x:c>
      <x:c r="G15" s="115" t="str">
        <x:v>Use broader/approximate wording or hold.</x:v>
      </x:c>
      <x:c r="H15" s="616" t="str">
        <x:v>No</x:v>
      </x:c>
    </x:row>
    <x:row r="16">
      <x:c r="A16" s="615" t="str">
        <x:v>G10</x:v>
      </x:c>
      <x:c r="B16" s="115" t="str">
        <x:v>Privacy and participant safety</x:v>
      </x:c>
      <x:c r="C16" s="115" t="str">
        <x:v>Every record; enhanced for minors, health data, confidential sources or vulnerable groups</x:v>
      </x:c>
      <x:c r="D16" s="115" t="str">
        <x:v>No unnecessary identity, precise tactical location, private communication, face/plate/voice or contributor metadata is published.</x:v>
      </x:c>
      <x:c r="E16" s="115" t="str">
        <x:v>Detect personal data and propose redaction.</x:v>
      </x:c>
      <x:c r="F16" s="115" t="str">
        <x:v>Approve redaction and public-interest necessity.</x:v>
      </x:c>
      <x:c r="G16" s="115" t="str">
        <x:v>Redact, generalise, delay or reject publication.</x:v>
      </x:c>
      <x:c r="H16" s="616" t="str">
        <x:v>No</x:v>
      </x:c>
    </x:row>
    <x:row r="17">
      <x:c r="A17" s="615" t="str">
        <x:v>G11</x:v>
      </x:c>
      <x:c r="B17" s="115" t="str">
        <x:v>Copyright and access compliance</x:v>
      </x:c>
      <x:c r="C17" s="115" t="str">
        <x:v>Every collected source and media item</x:v>
      </x:c>
      <x:c r="D17" s="115" t="str">
        <x:v>Collection and use comply with source terms; public output links and summarises rather than reproduces protected material without permission.</x:v>
      </x:c>
      <x:c r="E17" s="115" t="str">
        <x:v>Track source terms and proposed excerpts.</x:v>
      </x:c>
      <x:c r="F17" s="115" t="str">
        <x:v>Approve use of media/excerpts.</x:v>
      </x:c>
      <x:c r="G17" s="115" t="str">
        <x:v>Remove or replace non-compliant content.</x:v>
      </x:c>
      <x:c r="H17" s="616" t="str">
        <x:v>No</x:v>
      </x:c>
    </x:row>
    <x:row r="18">
      <x:c r="A18" s="615" t="str">
        <x:v>G12</x:v>
      </x:c>
      <x:c r="B18" s="115" t="str">
        <x:v>Communal and conflict sensitivity</x:v>
      </x:c>
      <x:c r="C18" s="115" t="str">
        <x:v>Event involves religious, ethnic, caste, linguistic or regional tension</x:v>
      </x:c>
      <x:c r="D18" s="115" t="str">
        <x:v>Actor and allegation wording is evidence-grounded; ordinary communities are not generalised; tactical details are withheld.</x:v>
      </x:c>
      <x:c r="E18" s="115" t="str">
        <x:v>Flag sensitive entities and loaded wording.</x:v>
      </x:c>
      <x:c r="F18" s="115" t="str">
        <x:v>Enhanced editorial and safety review.</x:v>
      </x:c>
      <x:c r="G18" s="115" t="str">
        <x:v>Hold or publish a substantially narrowed record.</x:v>
      </x:c>
      <x:c r="H18" s="616" t="str">
        <x:v>No</x:v>
      </x:c>
    </x:row>
    <x:row r="19">
      <x:c r="A19" s="615" t="str">
        <x:v>G13</x:v>
      </x:c>
      <x:c r="B19" s="115" t="str">
        <x:v>Children and school events</x:v>
      </x:c>
      <x:c r="C19" s="115" t="str">
        <x:v>Minors may be visible or identified</x:v>
      </x:c>
      <x:c r="D19" s="115" t="str">
        <x:v>No names, faces, health or individual disciplinary details are published without exceptional documented public interest and lawful basis.</x:v>
      </x:c>
      <x:c r="E19" s="115" t="str">
        <x:v>Detect minors and sensitive fields.</x:v>
      </x:c>
      <x:c r="F19" s="115" t="str">
        <x:v>Approve anonymisation and necessity.</x:v>
      </x:c>
      <x:c r="G19" s="115" t="str">
        <x:v>Redact or omit media and personal details.</x:v>
      </x:c>
      <x:c r="H19" s="616" t="str">
        <x:v>No</x:v>
      </x:c>
    </x:row>
    <x:row r="20">
      <x:c r="A20" s="615" t="str">
        <x:v>G14</x:v>
      </x:c>
      <x:c r="B20" s="115" t="str">
        <x:v>Human editorial approval</x:v>
      </x:c>
      <x:c r="C20" s="115" t="str">
        <x:v>Every new publication and consequential update</x:v>
      </x:c>
      <x:c r="D20" s="115" t="str">
        <x:v>Named editor signs the checklist, gate results, methodology version and final wording.</x:v>
      </x:c>
      <x:c r="E20" s="115" t="str">
        <x:v>Present complete evidence package and draft.</x:v>
      </x:c>
      <x:c r="F20" s="115" t="str">
        <x:v>Approve, return, hold or reject.</x:v>
      </x:c>
      <x:c r="G20" s="115" t="str">
        <x:v>No publication.</x:v>
      </x:c>
      <x:c r="H20" s="616" t="str">
        <x:v>No</x:v>
      </x:c>
    </x:row>
    <x:row r="21">
      <x:c r="A21" s="617" t="str">
        <x:v>G15</x:v>
      </x:c>
      <x:c r="B21" s="618" t="str">
        <x:v>Post-publication monitoring</x:v>
      </x:c>
      <x:c r="C21" s="618" t="str">
        <x:v>Every published record</x:v>
      </x:c>
      <x:c r="D21" s="618" t="str">
        <x:v>Follow-up date, source correction monitoring and correction pathway are active.</x:v>
      </x:c>
      <x:c r="E21" s="618" t="str">
        <x:v>Schedule monitoring and detect changes.</x:v>
      </x:c>
      <x:c r="F21" s="618" t="str">
        <x:v>Approve consequential updates/corrections.</x:v>
      </x:c>
      <x:c r="G21" s="618" t="str">
        <x:v>Hold or correct if evidence changes materially.</x:v>
      </x:c>
      <x:c r="H21" s="619" t="str">
        <x:v>No</x:v>
      </x:c>
    </x:row>
    <x:row r="25">
      <x:c r="A25" s="636" t="str">
        <x:v>Initial Automation Configuration — Must Be Calibrated</x:v>
      </x:c>
      <x:c r="B25" s="636"/>
      <x:c r="C25" s="636"/>
      <x:c r="D25" s="636"/>
      <x:c r="E25" s="636"/>
      <x:c r="F25" s="636"/>
      <x:c r="G25" s="636"/>
      <x:c r="H25" s="636"/>
    </x:row>
    <x:row r="26">
      <x:c r="A26" s="611" t="str">
        <x:v>Parameter</x:v>
      </x:c>
      <x:c r="B26" s="611" t="str">
        <x:v>Initial Value</x:v>
      </x:c>
      <x:c r="C26" s="611" t="str">
        <x:v>Type</x:v>
      </x:c>
      <x:c r="D26" s="611" t="str">
        <x:v>Hard / Soft</x:v>
      </x:c>
      <x:c r="E26" s="611" t="str">
        <x:v>Purpose</x:v>
      </x:c>
      <x:c r="F26" s="611" t="str">
        <x:v>Calibration Data</x:v>
      </x:c>
      <x:c r="G26" s="611" t="str">
        <x:v>Change Authority</x:v>
      </x:c>
      <x:c r="H26" s="611" t="str">
        <x:v>Notes</x:v>
      </x:c>
    </x:row>
    <x:row r="27">
      <x:c r="A27" s="624" t="str">
        <x:v>auto_publish_enabled</x:v>
      </x:c>
      <x:c r="B27" s="625" t="str">
        <x:v>FALSE</x:v>
      </x:c>
      <x:c r="C27" s="625" t="str">
        <x:v>Boolean</x:v>
      </x:c>
      <x:c r="D27" s="625" t="str">
        <x:v>Hard</x:v>
      </x:c>
      <x:c r="E27" s="625" t="str">
        <x:v>Prevents machine publication.</x:v>
      </x:c>
      <x:c r="F27" s="625" t="str">
        <x:v>Not applicable</x:v>
      </x:c>
      <x:c r="G27" s="625" t="str">
        <x:v>Founder + documented decision</x:v>
      </x:c>
      <x:c r="H27" s="626" t="str">
        <x:v>Must remain false during pilot and until an independent governance process exists.</x:v>
      </x:c>
    </x:row>
    <x:row r="28">
      <x:c r="A28" s="627" t="str">
        <x:v>min_independent_source_families</x:v>
      </x:c>
      <x:c r="B28" s="123" t="str">
        <x:v>2</x:v>
      </x:c>
      <x:c r="C28" s="123" t="str">
        <x:v>Integer</x:v>
      </x:c>
      <x:c r="D28" s="123" t="str">
        <x:v>Hard</x:v>
      </x:c>
      <x:c r="E28" s="123" t="str">
        <x:v>Minimum occurrence corroboration route A.</x:v>
      </x:c>
      <x:c r="F28" s="123" t="str">
        <x:v>Reviewed events and false-positive analysis</x:v>
      </x:c>
      <x:c r="G28" s="123" t="str">
        <x:v>Methodology decision</x:v>
      </x:c>
      <x:c r="H28" s="628" t="str">
        <x:v>Alternative route: one original credible report plus one primary/official source.</x:v>
      </x:c>
    </x:row>
    <x:row r="29">
      <x:c r="A29" s="627" t="str">
        <x:v>serious_allegation_min_source_families</x:v>
      </x:c>
      <x:c r="B29" s="123" t="str">
        <x:v>2</x:v>
      </x:c>
      <x:c r="C29" s="123" t="str">
        <x:v>Integer</x:v>
      </x:c>
      <x:c r="D29" s="123" t="str">
        <x:v>Hard</x:v>
      </x:c>
      <x:c r="E29" s="123" t="str">
        <x:v>Enhanced corroboration for consequential allegations.</x:v>
      </x:c>
      <x:c r="F29" s="123" t="str">
        <x:v>Legal/editorial incident review</x:v>
      </x:c>
      <x:c r="G29" s="123" t="str">
        <x:v>Methodology + legal review</x:v>
      </x:c>
      <x:c r="H29" s="628" t="str">
        <x:v>Also requires relevant primary record where reasonably obtainable and right of reply.</x:v>
      </x:c>
    </x:row>
    <x:row r="30">
      <x:c r="A30" s="627" t="str">
        <x:v>dps_investigate_threshold</x:v>
      </x:c>
      <x:c r="B30" s="123" t="str">
        <x:v>60</x:v>
      </x:c>
      <x:c r="C30" s="123" t="str">
        <x:v>0–100</x:v>
      </x:c>
      <x:c r="D30" s="123" t="str">
        <x:v>Soft</x:v>
      </x:c>
      <x:c r="E30" s="123" t="str">
        <x:v>Moves a lead into the investigation queue.</x:v>
      </x:c>
      <x:c r="F30" s="123" t="str">
        <x:v>Labelled candidate benchmark by channel/language</x:v>
      </x:c>
      <x:c r="G30" s="123" t="str">
        <x:v>Founder</x:v>
      </x:c>
      <x:c r="H30" s="628" t="str">
        <x:v>Does not satisfy any verification gate.</x:v>
      </x:c>
    </x:row>
    <x:row r="31">
      <x:c r="A31" s="627" t="str">
        <x:v>dps_priority_threshold</x:v>
      </x:c>
      <x:c r="B31" s="123" t="str">
        <x:v>75</x:v>
      </x:c>
      <x:c r="C31" s="123" t="str">
        <x:v>0–100</x:v>
      </x:c>
      <x:c r="D31" s="123" t="str">
        <x:v>Soft</x:v>
      </x:c>
      <x:c r="E31" s="123" t="str">
        <x:v>Prioritises urgent or undercovered investigation.</x:v>
      </x:c>
      <x:c r="F31" s="123" t="str">
        <x:v>Labelled benchmark and reviewer workload</x:v>
      </x:c>
      <x:c r="G31" s="123" t="str">
        <x:v>Founder</x:v>
      </x:c>
      <x:c r="H31" s="628" t="str">
        <x:v>Cap undercoverage contribution to prevent weak rural leads being over-promoted.</x:v>
      </x:c>
    </x:row>
    <x:row r="32">
      <x:c r="A32" s="627" t="str">
        <x:v>ess_editor_ready_threshold</x:v>
      </x:c>
      <x:c r="B32" s="123" t="str">
        <x:v>75</x:v>
      </x:c>
      <x:c r="C32" s="123" t="str">
        <x:v>0–100</x:v>
      </x:c>
      <x:c r="D32" s="123" t="str">
        <x:v>Soft + hard gates</x:v>
      </x:c>
      <x:c r="E32" s="123" t="str">
        <x:v>Signals that the evidence package may be ready for human review.</x:v>
      </x:c>
      <x:c r="F32" s="123" t="str">
        <x:v>Retrospective scoring of approved/rejected events</x:v>
      </x:c>
      <x:c r="G32" s="123" t="str">
        <x:v>Founder/editor</x:v>
      </x:c>
      <x:c r="H32" s="628" t="str">
        <x:v>All hard gates must also pass.</x:v>
      </x:c>
    </x:row>
    <x:row r="33">
      <x:c r="A33" s="627" t="str">
        <x:v>risk_enhanced_review_threshold</x:v>
      </x:c>
      <x:c r="B33" s="123" t="str">
        <x:v>40</x:v>
      </x:c>
      <x:c r="C33" s="123" t="str">
        <x:v>0–100</x:v>
      </x:c>
      <x:c r="D33" s="123" t="str">
        <x:v>Soft</x:v>
      </x:c>
      <x:c r="E33" s="123" t="str">
        <x:v>Triggers enhanced safety/legal checklist.</x:v>
      </x:c>
      <x:c r="F33" s="123" t="str">
        <x:v>Risk-labelled examples and editorial overrides</x:v>
      </x:c>
      <x:c r="G33" s="123" t="str">
        <x:v>Founder + adviser</x:v>
      </x:c>
      <x:c r="H33" s="628" t="str">
        <x:v>Does not imply the event is unsafe or untrue.</x:v>
      </x:c>
    </x:row>
    <x:row r="34">
      <x:c r="A34" s="627" t="str">
        <x:v>risk_mandatory_hold_threshold</x:v>
      </x:c>
      <x:c r="B34" s="123" t="str">
        <x:v>70</x:v>
      </x:c>
      <x:c r="C34" s="123" t="str">
        <x:v>0–100</x:v>
      </x:c>
      <x:c r="D34" s="123" t="str">
        <x:v>Hard until review</x:v>
      </x:c>
      <x:c r="E34" s="123" t="str">
        <x:v>Requires explicit release from hold.</x:v>
      </x:c>
      <x:c r="F34" s="123" t="str">
        <x:v>Risk incidents and legal review</x:v>
      </x:c>
      <x:c r="G34" s="123" t="str">
        <x:v>Founder + legal/safety adviser</x:v>
      </x:c>
      <x:c r="H34" s="628" t="str">
        <x:v>Use conservative rules initially.</x:v>
      </x:c>
    </x:row>
    <x:row r="35">
      <x:c r="A35" s="627" t="str">
        <x:v>cluster_time_window_days</x:v>
      </x:c>
      <x:c r="B35" s="123" t="str">
        <x:v>3</x:v>
      </x:c>
      <x:c r="C35" s="123" t="str">
        <x:v>Integer</x:v>
      </x:c>
      <x:c r="D35" s="123" t="str">
        <x:v>Soft</x:v>
      </x:c>
      <x:c r="E35" s="123" t="str">
        <x:v>Initial temporal window for same-event clustering.</x:v>
      </x:c>
      <x:c r="F35" s="123" t="str">
        <x:v>Annotated clusters by event type</x:v>
      </x:c>
      <x:c r="G35" s="123" t="str">
        <x:v>Technical owner</x:v>
      </x:c>
      <x:c r="H35" s="628" t="str">
        <x:v>Long-running strikes and movements need special phase logic.</x:v>
      </x:c>
    </x:row>
    <x:row r="36">
      <x:c r="A36" s="627" t="str">
        <x:v>cluster_geo_radius_km</x:v>
      </x:c>
      <x:c r="B36" s="123" t="str">
        <x:v>25</x:v>
      </x:c>
      <x:c r="C36" s="123" t="str">
        <x:v>Number</x:v>
      </x:c>
      <x:c r="D36" s="123" t="str">
        <x:v>Soft</x:v>
      </x:c>
      <x:c r="E36" s="123" t="str">
        <x:v>Initial geographic proximity cue.</x:v>
      </x:c>
      <x:c r="F36" s="123" t="str">
        <x:v>Annotated urban/rural event clusters</x:v>
      </x:c>
      <x:c r="G36" s="123" t="str">
        <x:v>Technical owner</x:v>
      </x:c>
      <x:c r="H36" s="628" t="str">
        <x:v>Administrative location and named venue can override radius.</x:v>
      </x:c>
    </x:row>
    <x:row r="37">
      <x:c r="A37" s="627" t="str">
        <x:v>cross_language_similarity_threshold</x:v>
      </x:c>
      <x:c r="B37" s="123" t="str">
        <x:v>Calibrate</x:v>
      </x:c>
      <x:c r="C37" s="123" t="str">
        <x:v>Number</x:v>
      </x:c>
      <x:c r="D37" s="123" t="str">
        <x:v>Soft</x:v>
      </x:c>
      <x:c r="E37" s="123" t="str">
        <x:v>Candidate threshold for multilingual semantic retrieval.</x:v>
      </x:c>
      <x:c r="F37" s="123" t="str">
        <x:v>Indian-language retrieval benchmark</x:v>
      </x:c>
      <x:c r="G37" s="123" t="str">
        <x:v>Technical owner</x:v>
      </x:c>
      <x:c r="H37" s="628" t="str">
        <x:v>Never deploy an untested universal threshold across all languages.</x:v>
      </x:c>
    </x:row>
    <x:row r="38">
      <x:c r="A38" s="627" t="str">
        <x:v>duplicate_text_similarity_threshold</x:v>
      </x:c>
      <x:c r="B38" s="123" t="str">
        <x:v>Calibrate</x:v>
      </x:c>
      <x:c r="C38" s="123" t="str">
        <x:v>Number</x:v>
      </x:c>
      <x:c r="D38" s="123" t="str">
        <x:v>Soft</x:v>
      </x:c>
      <x:c r="E38" s="123" t="str">
        <x:v>Groups copied or near-duplicate reports.</x:v>
      </x:c>
      <x:c r="F38" s="123" t="str">
        <x:v>Annotated source-family pairs</x:v>
      </x:c>
      <x:c r="G38" s="123" t="str">
        <x:v>Technical owner</x:v>
      </x:c>
      <x:c r="H38" s="628" t="str">
        <x:v>Combine lexical, quote, link and publication-timing evidence.</x:v>
      </x:c>
    </x:row>
    <x:row r="39">
      <x:c r="A39" s="627" t="str">
        <x:v>visual_only_publication_allowed</x:v>
      </x:c>
      <x:c r="B39" s="123" t="str">
        <x:v>FALSE</x:v>
      </x:c>
      <x:c r="C39" s="123" t="str">
        <x:v>Boolean</x:v>
      </x:c>
      <x:c r="D39" s="123" t="str">
        <x:v>Hard</x:v>
      </x:c>
      <x:c r="E39" s="123" t="str">
        <x:v>Prevents publication based solely on an uncorroborated clip.</x:v>
      </x:c>
      <x:c r="F39" s="123" t="str">
        <x:v>Not applicable</x:v>
      </x:c>
      <x:c r="G39" s="123" t="str">
        <x:v>Methodology decision</x:v>
      </x:c>
      <x:c r="H39" s="628" t="str">
        <x:v>Visual evidence needs independent time/place or official/credible confirmation.</x:v>
      </x:c>
    </x:row>
    <x:row r="40">
      <x:c r="A40" s="627" t="str">
        <x:v>anonymous_lead_counts_as_source</x:v>
      </x:c>
      <x:c r="B40" s="123" t="str">
        <x:v>FALSE</x:v>
      </x:c>
      <x:c r="C40" s="123" t="str">
        <x:v>Boolean</x:v>
      </x:c>
      <x:c r="D40" s="123" t="str">
        <x:v>Hard</x:v>
      </x:c>
      <x:c r="E40" s="123" t="str">
        <x:v>Prevents anonymous submission from being counted as independent corroboration.</x:v>
      </x:c>
      <x:c r="F40" s="123" t="str">
        <x:v>Not applicable</x:v>
      </x:c>
      <x:c r="G40" s="123" t="str">
        <x:v>Methodology decision</x:v>
      </x:c>
      <x:c r="H40" s="628" t="str">
        <x:v>Its evidence can still be independently verified.</x:v>
      </x:c>
    </x:row>
    <x:row r="41">
      <x:c r="A41" s="627" t="str">
        <x:v>llm_output_counts_as_source</x:v>
      </x:c>
      <x:c r="B41" s="123" t="str">
        <x:v>FALSE</x:v>
      </x:c>
      <x:c r="C41" s="123" t="str">
        <x:v>Boolean</x:v>
      </x:c>
      <x:c r="D41" s="123" t="str">
        <x:v>Hard</x:v>
      </x:c>
      <x:c r="E41" s="123" t="str">
        <x:v>Prevents generated text from entering the evidence graph as evidence.</x:v>
      </x:c>
      <x:c r="F41" s="123" t="str">
        <x:v>Not applicable</x:v>
      </x:c>
      <x:c r="G41" s="123" t="str">
        <x:v>Methodology decision</x:v>
      </x:c>
      <x:c r="H41" s="628" t="str">
        <x:v>Models may extract and draft only from stored source objects.</x:v>
      </x:c>
    </x:row>
    <x:row r="42">
      <x:c r="A42" s="629" t="str">
        <x:v>exact_participant_location_public</x:v>
      </x:c>
      <x:c r="B42" s="630" t="str">
        <x:v>FALSE</x:v>
      </x:c>
      <x:c r="C42" s="630" t="str">
        <x:v>Boolean</x:v>
      </x:c>
      <x:c r="D42" s="630" t="str">
        <x:v>Hard</x:v>
      </x:c>
      <x:c r="E42" s="630" t="str">
        <x:v>Prevents tactical tracking or participant exposure.</x:v>
      </x:c>
      <x:c r="F42" s="630" t="str">
        <x:v>Not applicable</x:v>
      </x:c>
      <x:c r="G42" s="630" t="str">
        <x:v>Safety policy</x:v>
      </x:c>
      <x:c r="H42" s="631" t="str">
        <x:v>Public location is generalised to the level necessary for context.</x:v>
      </x:c>
    </x:row>
    <x:row r="45">
      <x:c r="A45" s="634" t="str">
        <x:v>Automation Permission Matrix</x:v>
      </x:c>
      <x:c r="B45" s="634"/>
      <x:c r="C45" s="634"/>
      <x:c r="D45" s="634"/>
      <x:c r="E45" s="634"/>
      <x:c r="F45" s="634"/>
      <x:c r="G45" s="634"/>
      <x:c r="H45" s="634"/>
    </x:row>
    <x:row r="46">
      <x:c r="A46" s="611" t="str">
        <x:v>Action</x:v>
      </x:c>
      <x:c r="B46" s="611" t="str">
        <x:v>Fully Automated</x:v>
      </x:c>
      <x:c r="C46" s="611" t="str">
        <x:v>Human Confirmation</x:v>
      </x:c>
      <x:c r="D46" s="611" t="str">
        <x:v>Prohibited</x:v>
      </x:c>
      <x:c r="E46" s="611" t="str">
        <x:v>Required Evidence</x:v>
      </x:c>
      <x:c r="F46" s="611" t="str">
        <x:v>Logged?</x:v>
      </x:c>
      <x:c r="G46" s="611" t="str">
        <x:v>Reason</x:v>
      </x:c>
      <x:c r="H46" s="611" t="str">
        <x:v>Escalation</x:v>
      </x:c>
    </x:row>
    <x:row r="47">
      <x:c r="A47" s="624" t="str">
        <x:v>Collect approved public sources</x:v>
      </x:c>
      <x:c r="B47" s="625" t="str">
        <x:v>Yes</x:v>
      </x:c>
      <x:c r="C47" s="625" t="str">
        <x:v>For new source classes or changed terms</x:v>
      </x:c>
      <x:c r="D47" s="625" t="str">
        <x:v>Private or access-controlled collection without authority</x:v>
      </x:c>
      <x:c r="E47" s="625" t="str">
        <x:v>Approved source registry and terms metadata</x:v>
      </x:c>
      <x:c r="F47" s="625" t="str">
        <x:v>Yes</x:v>
      </x:c>
      <x:c r="G47" s="625" t="str">
        <x:v>Enables repeatable coverage while respecting access rules.</x:v>
      </x:c>
      <x:c r="H47" s="626" t="str">
        <x:v>Disable source on terms/access change.</x:v>
      </x:c>
    </x:row>
    <x:row r="48">
      <x:c r="A48" s="627" t="str">
        <x:v>Translate, transcribe and OCR</x:v>
      </x:c>
      <x:c r="B48" s="123" t="str">
        <x:v>Yes</x:v>
      </x:c>
      <x:c r="C48" s="123" t="str">
        <x:v>Low confidence or serious-claim passages</x:v>
      </x:c>
      <x:c r="D48" s="123" t="str">
        <x:v>Replacing the original-language evidence</x:v>
      </x:c>
      <x:c r="E48" s="123" t="str">
        <x:v>Original object retained with confidence metadata</x:v>
      </x:c>
      <x:c r="F48" s="123" t="str">
        <x:v>Yes</x:v>
      </x:c>
      <x:c r="G48" s="123" t="str">
        <x:v>Automation can expand language coverage but translation is derivative.</x:v>
      </x:c>
      <x:c r="H48" s="628" t="str">
        <x:v>Manual language review.</x:v>
      </x:c>
    </x:row>
    <x:row r="49">
      <x:c r="A49" s="627" t="str">
        <x:v>Detect and rank leads</x:v>
      </x:c>
      <x:c r="B49" s="123" t="str">
        <x:v>Yes</x:v>
      </x:c>
      <x:c r="C49" s="123" t="str">
        <x:v>High-risk lead prioritisation</x:v>
      </x:c>
      <x:c r="D49" s="123" t="str">
        <x:v>Treating rank as truth</x:v>
      </x:c>
      <x:c r="E49" s="123" t="str">
        <x:v>Discovery signals and DPS explanation</x:v>
      </x:c>
      <x:c r="F49" s="123" t="str">
        <x:v>Yes</x:v>
      </x:c>
      <x:c r="G49" s="123" t="str">
        <x:v>High recall is acceptable before publication.</x:v>
      </x:c>
      <x:c r="H49" s="628" t="str">
        <x:v>Editor accepts candidate.</x:v>
      </x:c>
    </x:row>
    <x:row r="50">
      <x:c r="A50" s="627" t="str">
        <x:v>Cluster sources into events</x:v>
      </x:c>
      <x:c r="B50" s="123" t="str">
        <x:v>Yes</x:v>
      </x:c>
      <x:c r="C50" s="123" t="str">
        <x:v>Ambiguous movement/phase clusters</x:v>
      </x:c>
      <x:c r="D50" s="123" t="str">
        <x:v>Merging clearly different events to improve counts</x:v>
      </x:c>
      <x:c r="E50" s="123" t="str">
        <x:v>Time, geography, actors, demands and lineage</x:v>
      </x:c>
      <x:c r="F50" s="123" t="str">
        <x:v>Yes</x:v>
      </x:c>
      <x:c r="G50" s="123" t="str">
        <x:v>Reduces duplicates but requires phase discipline.</x:v>
      </x:c>
      <x:c r="H50" s="628" t="str">
        <x:v>Split cluster manually.</x:v>
      </x:c>
    </x:row>
    <x:row r="51">
      <x:c r="A51" s="627" t="str">
        <x:v>Extract claims and entities</x:v>
      </x:c>
      <x:c r="B51" s="123" t="str">
        <x:v>Yes</x:v>
      </x:c>
      <x:c r="C51" s="123" t="str">
        <x:v>Before editorial use</x:v>
      </x:c>
      <x:c r="D51" s="123" t="str">
        <x:v>Inventing missing facts or filling blank fields</x:v>
      </x:c>
      <x:c r="E51" s="123" t="str">
        <x:v>Source-grounded extraction with offsets/citations</x:v>
      </x:c>
      <x:c r="F51" s="123" t="str">
        <x:v>Yes</x:v>
      </x:c>
      <x:c r="G51" s="123" t="str">
        <x:v>Clerical automation is useful when traceable.</x:v>
      </x:c>
      <x:c r="H51" s="628" t="str">
        <x:v>Reject unsupported extraction.</x:v>
      </x:c>
    </x:row>
    <x:row r="52">
      <x:c r="A52" s="627" t="str">
        <x:v>Recommend verification status</x:v>
      </x:c>
      <x:c r="B52" s="123" t="str">
        <x:v>Yes</x:v>
      </x:c>
      <x:c r="C52" s="123" t="str">
        <x:v>Always before publication</x:v>
      </x:c>
      <x:c r="D52" s="123" t="str">
        <x:v>Final status without human approval</x:v>
      </x:c>
      <x:c r="E52" s="123" t="str">
        <x:v>Gate report and claim evidence</x:v>
      </x:c>
      <x:c r="F52" s="123" t="str">
        <x:v>Yes</x:v>
      </x:c>
      <x:c r="G52" s="123" t="str">
        <x:v>Recommendation supports but does not replace judgement.</x:v>
      </x:c>
      <x:c r="H52" s="628" t="str">
        <x:v>Editor override logged.</x:v>
      </x:c>
    </x:row>
    <x:row r="53">
      <x:c r="A53" s="627" t="str">
        <x:v>Draft neutral summaries</x:v>
      </x:c>
      <x:c r="B53" s="123" t="str">
        <x:v>Yes</x:v>
      </x:c>
      <x:c r="C53" s="123" t="str">
        <x:v>Always</x:v>
      </x:c>
      <x:c r="D53" s="123" t="str">
        <x:v>Uncited public factual sentence</x:v>
      </x:c>
      <x:c r="E53" s="123" t="str">
        <x:v>Approved claims only</x:v>
      </x:c>
      <x:c r="F53" s="123" t="str">
        <x:v>Yes</x:v>
      </x:c>
      <x:c r="G53" s="123" t="str">
        <x:v>Drafting can be automated when evidence-restricted.</x:v>
      </x:c>
      <x:c r="H53" s="628" t="str">
        <x:v>Sentence-level citation failure returns draft.</x:v>
      </x:c>
    </x:row>
    <x:row r="54">
      <x:c r="A54" s="627" t="str">
        <x:v>Send right-of-reply request</x:v>
      </x:c>
      <x:c r="B54" s="123" t="str">
        <x:v>Draft only</x:v>
      </x:c>
      <x:c r="C54" s="123" t="str">
        <x:v>Human approves and sends</x:v>
      </x:c>
      <x:c r="D54" s="123" t="str">
        <x:v>Autonomous contact in sensitive cases</x:v>
      </x:c>
      <x:c r="E54" s="123" t="str">
        <x:v>Approved factual questions and recipient</x:v>
      </x:c>
      <x:c r="F54" s="123" t="str">
        <x:v>Yes</x:v>
      </x:c>
      <x:c r="G54" s="123" t="str">
        <x:v>Outreach can affect safety and legal position.</x:v>
      </x:c>
      <x:c r="H54" s="628" t="str">
        <x:v>Founder/editor approval.</x:v>
      </x:c>
    </x:row>
    <x:row r="55">
      <x:c r="A55" s="627" t="str">
        <x:v>Redact faces, plates and personal data</x:v>
      </x:c>
      <x:c r="B55" s="123" t="str">
        <x:v>Propose and process</x:v>
      </x:c>
      <x:c r="C55" s="123" t="str">
        <x:v>Human checks final public media</x:v>
      </x:c>
      <x:c r="D55" s="123" t="str">
        <x:v>Publishing unreviewed redaction failure</x:v>
      </x:c>
      <x:c r="E55" s="123" t="str">
        <x:v>Original preserved securely and redaction log</x:v>
      </x:c>
      <x:c r="F55" s="123" t="str">
        <x:v>Yes</x:v>
      </x:c>
      <x:c r="G55" s="123" t="str">
        <x:v>Automated redaction reduces exposure but can fail.</x:v>
      </x:c>
      <x:c r="H55" s="628" t="str">
        <x:v>Manual visual review.</x:v>
      </x:c>
    </x:row>
    <x:row r="56">
      <x:c r="A56" s="627" t="str">
        <x:v>Publish or materially update a record</x:v>
      </x:c>
      <x:c r="B56" s="123" t="str">
        <x:v>No</x:v>
      </x:c>
      <x:c r="C56" s="123" t="str">
        <x:v>Mandatory signed approval</x:v>
      </x:c>
      <x:c r="D56" s="123" t="str">
        <x:v>Fully autonomous publication</x:v>
      </x:c>
      <x:c r="E56" s="123" t="str">
        <x:v>All hard gates and final draft</x:v>
      </x:c>
      <x:c r="F56" s="123" t="str">
        <x:v>Yes</x:v>
      </x:c>
      <x:c r="G56" s="123" t="str">
        <x:v>Public accountability requires accountable human decision.</x:v>
      </x:c>
      <x:c r="H56" s="628" t="str">
        <x:v>No override.</x:v>
      </x:c>
    </x:row>
    <x:row r="57">
      <x:c r="A57" s="629" t="str">
        <x:v>Resolve disputed responsibility</x:v>
      </x:c>
      <x:c r="B57" s="630" t="str">
        <x:v>No</x:v>
      </x:c>
      <x:c r="C57" s="630" t="str">
        <x:v>Human may describe evidence limits</x:v>
      </x:c>
      <x:c r="D57" s="630" t="str">
        <x:v>Machine legal or moral finding</x:v>
      </x:c>
      <x:c r="E57" s="630" t="str">
        <x:v>Formal findings or sufficient documented evidence</x:v>
      </x:c>
      <x:c r="F57" s="630" t="str">
        <x:v>Yes</x:v>
      </x:c>
      <x:c r="G57" s="630" t="str">
        <x:v>Causal and legal responsibility is high risk.</x:v>
      </x:c>
      <x:c r="H57" s="631" t="str">
        <x:v>Legal/editorial review.</x:v>
      </x:c>
    </x:row>
  </x:sheetData>
  <x:mergeCells>
    <x:mergeCell ref="A1:H2"/>
    <x:mergeCell ref="A3:H4"/>
    <x:mergeCell ref="A25:H25"/>
    <x:mergeCell ref="A45:H45"/>
  </x:mergeCells>
  <x:conditionalFormatting sqref="B27:B42">
    <x:cfRule type="expression" dxfId="27" priority="1">
      <x:formula>OR(B27="FALSE",B27="No")</x:formula>
    </x:cfRule>
  </x:conditionalFormatting>
  <x:pageMargins left="0.7" right="0.7" top="0.75" bottom="0.75" header="0.3" footer="0.3"/>
  <x:tableParts count="1">
    <x:tablePart xmlns:r="http://schemas.openxmlformats.org/officeDocument/2006/relationships" r:id="Rec7656cae3e34e5d"/>
  </x:tableParts>
</x:worksheet>
</file>

<file path=xl/worksheets/sheet21.xml><?xml version="1.0" encoding="utf-8"?>
<x:worksheet xmlns:x="http://schemas.openxmlformats.org/spreadsheetml/2006/main">
  <x:sheetFormatPr defaultRowHeight="15"/>
  <x:cols>
    <x:col min="1" max="1" width="13" hidden="0" customWidth="1"/>
    <x:col min="2" max="2" width="34" hidden="0" customWidth="1"/>
    <x:col min="3" max="3" width="52" hidden="0" customWidth="1"/>
    <x:col min="4" max="4" width="24" hidden="0" customWidth="1"/>
    <x:col min="5" max="5" width="54" hidden="0" customWidth="1"/>
    <x:col min="6" max="6" width="22" hidden="0" customWidth="1"/>
    <x:col min="7" max="7" width="56" hidden="0" customWidth="1"/>
    <x:col min="8" max="8" width="58"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671" t="str">
        <x:v>India Observed — Day 6 Wireframe Pack</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Low-fidelity, code-free page designs for reviewing the public experience before engineering begins.</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714" t="str">
        <x:v>Chosen method</x:v>
      </x:c>
      <x:c r="B6" s="715"/>
      <x:c r="C6" s="715"/>
      <x:c r="D6" s="715"/>
      <x:c r="E6" s="715"/>
      <x:c r="F6" s="715"/>
      <x:c r="G6" s="715"/>
      <x:c r="H6" s="715"/>
      <x:c r="I6" s="715"/>
      <x:c r="J6" s="715"/>
      <x:c r="K6" s="715"/>
      <x:c r="L6" s="715"/>
      <x:c r="M6" s="715"/>
      <x:c r="N6" s="715"/>
      <x:c r="O6" s="715"/>
      <x:c r="P6" s="715"/>
      <x:c r="Q6" s="715"/>
      <x:c r="R6" s="716"/>
    </x:row>
    <x:row r="7">
      <x:c r="A7" s="746" t="str">
        <x:v>Excel cell-based low-fidelity wireframes. This approach keeps the designs inside the master workbook, makes annotations and revisions easy, and avoids premature coding. Codex should be used from Day 7, after these information structures are accepted.</x:v>
      </x:c>
      <x:c r="B7" s="747"/>
      <x:c r="C7" s="747"/>
      <x:c r="D7" s="747"/>
      <x:c r="E7" s="747"/>
      <x:c r="F7" s="747"/>
      <x:c r="G7" s="747"/>
      <x:c r="H7" s="747"/>
      <x:c r="I7" s="747"/>
      <x:c r="J7" s="747"/>
      <x:c r="K7" s="747"/>
      <x:c r="L7" s="747"/>
      <x:c r="M7" s="747"/>
      <x:c r="N7" s="747"/>
      <x:c r="O7" s="747"/>
      <x:c r="P7" s="747"/>
      <x:c r="Q7" s="747"/>
      <x:c r="R7" s="748"/>
    </x:row>
    <x:row r="8">
      <x:c r="A8" s="749"/>
      <x:c r="B8" s="750"/>
      <x:c r="C8" s="750"/>
      <x:c r="D8" s="750"/>
      <x:c r="E8" s="750"/>
      <x:c r="F8" s="750"/>
      <x:c r="G8" s="750"/>
      <x:c r="H8" s="750"/>
      <x:c r="I8" s="750"/>
      <x:c r="J8" s="750"/>
      <x:c r="K8" s="750"/>
      <x:c r="L8" s="750"/>
      <x:c r="M8" s="750"/>
      <x:c r="N8" s="750"/>
      <x:c r="O8" s="750"/>
      <x:c r="P8" s="750"/>
      <x:c r="Q8" s="750"/>
      <x:c r="R8" s="751"/>
    </x:row>
    <x:row r="9">
      <x:c r="A9" s="749"/>
      <x:c r="B9" s="750"/>
      <x:c r="C9" s="750"/>
      <x:c r="D9" s="750"/>
      <x:c r="E9" s="750"/>
      <x:c r="F9" s="750"/>
      <x:c r="G9" s="750"/>
      <x:c r="H9" s="750"/>
      <x:c r="I9" s="750"/>
      <x:c r="J9" s="750"/>
      <x:c r="K9" s="750"/>
      <x:c r="L9" s="750"/>
      <x:c r="M9" s="750"/>
      <x:c r="N9" s="750"/>
      <x:c r="O9" s="750"/>
      <x:c r="P9" s="750"/>
      <x:c r="Q9" s="750"/>
      <x:c r="R9" s="751"/>
    </x:row>
    <x:row r="10">
      <x:c r="A10" s="752"/>
      <x:c r="B10" s="753"/>
      <x:c r="C10" s="753"/>
      <x:c r="D10" s="753"/>
      <x:c r="E10" s="753"/>
      <x:c r="F10" s="753"/>
      <x:c r="G10" s="753"/>
      <x:c r="H10" s="753"/>
      <x:c r="I10" s="753"/>
      <x:c r="J10" s="753"/>
      <x:c r="K10" s="753"/>
      <x:c r="L10" s="753"/>
      <x:c r="M10" s="753"/>
      <x:c r="N10" s="753"/>
      <x:c r="O10" s="753"/>
      <x:c r="P10" s="753"/>
      <x:c r="Q10" s="753"/>
      <x:c r="R10" s="754"/>
    </x:row>
    <x:row r="12">
      <x:c r="A12" s="714" t="str">
        <x:v>Six public pages</x:v>
      </x:c>
      <x:c r="B12" s="715"/>
      <x:c r="C12" s="715"/>
      <x:c r="D12" s="715"/>
      <x:c r="E12" s="715"/>
      <x:c r="F12" s="714" t="str">
        <x:v>Primary visitor journey</x:v>
      </x:c>
      <x:c r="G12" s="715"/>
      <x:c r="H12" s="715"/>
      <x:c r="I12" s="715"/>
      <x:c r="J12" s="715"/>
      <x:c r="K12" s="715"/>
      <x:c r="L12" s="715"/>
      <x:c r="M12" s="715"/>
      <x:c r="N12" s="715"/>
      <x:c r="O12" s="715"/>
      <x:c r="P12" s="715"/>
      <x:c r="Q12" s="715"/>
      <x:c r="R12" s="716"/>
    </x:row>
    <x:row r="13">
      <x:c r="A13" s="759" t="str">
        <x:v>#</x:v>
      </x:c>
      <x:c r="B13" s="760" t="str">
        <x:v>Page</x:v>
      </x:c>
      <x:c r="C13" s="760" t="str">
        <x:v>Primary user need</x:v>
      </x:c>
      <x:c r="D13" s="761" t="str">
        <x:v>Worksheet</x:v>
      </x:c>
      <x:c r="F13" s="797" t="str">
        <x:v>1. Understand</x:v>
      </x:c>
      <x:c r="G13" s="792" t="str">
        <x:v>Home explains the repository and clearly states that it is curated, source-linked and not live tracking.</x:v>
      </x:c>
    </x:row>
    <x:row r="14">
      <x:c r="A14" s="773" t="str">
        <x:v>1</x:v>
      </x:c>
      <x:c r="B14" s="115" t="str">
        <x:v>Event Page</x:v>
      </x:c>
      <x:c r="C14" s="115" t="str">
        <x:v>Understand one event, inspect claims and evidence, see disagreements and corrections.</x:v>
      </x:c>
      <x:c r="D14" s="774" t="str">
        <x:v>WF Event Page</x:v>
      </x:c>
      <x:c r="F14" s="798" t="str">
        <x:v>2. Browse</x:v>
      </x:c>
      <x:c r="G14" s="794" t="str">
        <x:v>Browse Events supports simple filters and readable result cards rather than an overwhelming data table.</x:v>
      </x:c>
    </x:row>
    <x:row r="15">
      <x:c r="A15" s="773" t="str">
        <x:v>2</x:v>
      </x:c>
      <x:c r="B15" s="115" t="str">
        <x:v>Home</x:v>
      </x:c>
      <x:c r="C15" s="115" t="str">
        <x:v>Understand the platform, search records and discover recent or featured events.</x:v>
      </x:c>
      <x:c r="D15" s="774" t="str">
        <x:v>WF Home</x:v>
      </x:c>
      <x:c r="F15" s="798" t="str">
        <x:v>3. Inspect</x:v>
      </x:c>
      <x:c r="G15" s="794" t="str">
        <x:v>Event Page places the neutral summary and verification status before detailed claims.</x:v>
      </x:c>
    </x:row>
    <x:row r="16">
      <x:c r="A16" s="773" t="str">
        <x:v>3</x:v>
      </x:c>
      <x:c r="B16" s="115" t="str">
        <x:v>Browse Events</x:v>
      </x:c>
      <x:c r="C16" s="115" t="str">
        <x:v>Filter and compare records by geography, date, topic, status and verification.</x:v>
      </x:c>
      <x:c r="D16" s="774" t="str">
        <x:v>WF Browse Events</x:v>
      </x:c>
      <x:c r="F16" s="798" t="str">
        <x:v>4. Verify</x:v>
      </x:c>
      <x:c r="G16" s="794" t="str">
        <x:v>Claims, different accounts and original source links allow the visitor to inspect the evidence.</x:v>
      </x:c>
    </x:row>
    <x:row r="17">
      <x:c r="A17" s="773" t="str">
        <x:v>4</x:v>
      </x:c>
      <x:c r="B17" s="115" t="str">
        <x:v>Methodology</x:v>
      </x:c>
      <x:c r="C17" s="115" t="str">
        <x:v>Understand inclusion, statuses, source handling, privacy and publication gates.</x:v>
      </x:c>
      <x:c r="D17" s="774" t="str">
        <x:v>WF Methodology</x:v>
      </x:c>
      <x:c r="F17" s="798" t="str">
        <x:v>5. Learn</x:v>
      </x:c>
      <x:c r="G17" s="794" t="str">
        <x:v>Methodology explains what each verification label means and what the platform excludes.</x:v>
      </x:c>
    </x:row>
    <x:row r="18">
      <x:c r="A18" s="773" t="str">
        <x:v>5</x:v>
      </x:c>
      <x:c r="B18" s="115" t="str">
        <x:v>Submit a Lead</x:v>
      </x:c>
      <x:c r="C18" s="115" t="str">
        <x:v>Share a public source link without uploading sensitive information.</x:v>
      </x:c>
      <x:c r="D18" s="774" t="str">
        <x:v>WF Submit Lead</x:v>
      </x:c>
      <x:c r="F18" s="799" t="str">
        <x:v>6. Contribute</x:v>
      </x:c>
      <x:c r="G18" s="796" t="str">
        <x:v>Submit a Lead requests public links only; Corrections provides a transparent feedback route.</x:v>
      </x:c>
    </x:row>
    <x:row r="19">
      <x:c r="A19" s="775" t="str">
        <x:v>6</x:v>
      </x:c>
      <x:c r="B19" s="776" t="str">
        <x:v>Corrections</x:v>
      </x:c>
      <x:c r="C19" s="776" t="str">
        <x:v>Submit a correction and view the public correction log.</x:v>
      </x:c>
      <x:c r="D19" s="777" t="str">
        <x:v>WF Corrections</x:v>
      </x:c>
    </x:row>
    <x:row r="22">
      <x:c r="A22" s="714" t="str">
        <x:v>Design principles</x:v>
      </x:c>
      <x:c r="B22" s="715"/>
      <x:c r="C22" s="715"/>
      <x:c r="D22" s="714" t="str">
        <x:v>Responsive and accessibility rules</x:v>
      </x:c>
      <x:c r="E22" s="715"/>
      <x:c r="F22" s="715"/>
      <x:c r="G22" s="714" t="str">
        <x:v>Information architecture</x:v>
      </x:c>
      <x:c r="H22" s="715"/>
      <x:c r="I22" s="715"/>
      <x:c r="J22" s="715"/>
      <x:c r="K22" s="715"/>
      <x:c r="L22" s="715"/>
      <x:c r="M22" s="715"/>
      <x:c r="N22" s="715"/>
      <x:c r="O22" s="715"/>
      <x:c r="P22" s="715"/>
      <x:c r="Q22" s="715"/>
      <x:c r="R22" s="716"/>
    </x:row>
    <x:row r="23">
      <x:c r="A23" s="797" t="str">
        <x:v>Neutrality</x:v>
      </x:c>
      <x:c r="B23" s="792" t="str">
        <x:v>Use restrained blue, grey, green and amber. Avoid partisan colours, flames, police tape, dramatic crowd imagery or 'breaking' labels.</x:v>
      </x:c>
      <x:c r="D23" s="797" t="str">
        <x:v>Mobile width</x:v>
      </x:c>
      <x:c r="E23" s="792" t="str">
        <x:v>Single-column page; no horizontal scrolling for public content.</x:v>
      </x:c>
      <x:c r="G23" s="797" t="str">
        <x:v>Global navigation</x:v>
      </x:c>
      <x:c r="H23" s="792" t="str">
        <x:v>Home | Browse | Methodology | Corrections | Submit a lead</x:v>
      </x:c>
    </x:row>
    <x:row r="24">
      <x:c r="A24" s="798" t="str">
        <x:v>Evidence first</x:v>
      </x:c>
      <x:c r="B24" s="794" t="str">
        <x:v>Show verification status, claims and source links clearly without pretending that all claims are equally established.</x:v>
      </x:c>
      <x:c r="D24" s="798" t="str">
        <x:v>Touch targets</x:v>
      </x:c>
      <x:c r="E24" s="794" t="str">
        <x:v>Buttons and filters should be at least approximately 44 px high.</x:v>
      </x:c>
      <x:c r="G24" s="798" t="str">
        <x:v>Persistent search</x:v>
      </x:c>
      <x:c r="H24" s="794" t="str">
        <x:v>Search by event, place, organisation, project or issue.</x:v>
      </x:c>
    </x:row>
    <x:row r="25">
      <x:c r="A25" s="798" t="str">
        <x:v>Privacy by default</x:v>
      </x:c>
      <x:c r="B25" s="794" t="str">
        <x:v>No participant lists, exact tactical locations, contributor identities, private documents or unnecessary faces.</x:v>
      </x:c>
      <x:c r="D25" s="798" t="str">
        <x:v>Status meaning</x:v>
      </x:c>
      <x:c r="E25" s="794" t="str">
        <x:v>Never rely on colour alone; always include visible text labels.</x:v>
      </x:c>
      <x:c r="G25" s="798" t="str">
        <x:v>Event URL</x:v>
      </x:c>
      <x:c r="H25" s="794" t="str">
        <x:v>/events/{event-id}/{neutral-slug}</x:v>
      </x:c>
    </x:row>
    <x:row r="26">
      <x:c r="A26" s="798" t="str">
        <x:v>Mobile first</x:v>
      </x:c>
      <x:c r="B26" s="794" t="str">
        <x:v>Important content appears in this order: title → status → summary → issue → timeline → claims → sources → corrections.</x:v>
      </x:c>
      <x:c r="D26" s="798" t="str">
        <x:v>Typography</x:v>
      </x:c>
      <x:c r="E26" s="794" t="str">
        <x:v>Minimum 16 px body text in implementation; readable line length and spacing.</x:v>
      </x:c>
      <x:c r="G26" s="798" t="str">
        <x:v>Browse URL</x:v>
      </x:c>
      <x:c r="H26" s="794" t="str">
        <x:v>/events?state=&amp;topic=&amp;status=&amp;verification=&amp;date=</x:v>
      </x:c>
    </x:row>
    <x:row r="27">
      <x:c r="A27" s="798" t="str">
        <x:v>Low cognitive load</x:v>
      </x:c>
      <x:c r="B27" s="794" t="str">
        <x:v>Use short labels, accordions or expandable sections and clear spacing; do not expose the internal spreadsheet structure.</x:v>
      </x:c>
      <x:c r="D27" s="798" t="str">
        <x:v>Tables</x:v>
      </x:c>
      <x:c r="E27" s="794" t="str">
        <x:v>Claims and correction tables become stacked cards on mobile.</x:v>
      </x:c>
      <x:c r="G27" s="798" t="str">
        <x:v>Methodology URL</x:v>
      </x:c>
      <x:c r="H27" s="794" t="str">
        <x:v>/methodology</x:v>
      </x:c>
    </x:row>
    <x:row r="28">
      <x:c r="A28" s="799" t="str">
        <x:v>Correction visibility</x:v>
      </x:c>
      <x:c r="B28" s="796" t="str">
        <x:v>Display last reviewed date, corrections and unresolved details without silently replacing earlier public wording.</x:v>
      </x:c>
      <x:c r="D28" s="798" t="str">
        <x:v>Links</x:v>
      </x:c>
      <x:c r="E28" s="794" t="str">
        <x:v>Original-source links include publisher, date and descriptive text—not bare 'click here'.</x:v>
      </x:c>
      <x:c r="G28" s="798" t="str">
        <x:v>Lead URL</x:v>
      </x:c>
      <x:c r="H28" s="794" t="str">
        <x:v>/submit-lead</x:v>
      </x:c>
    </x:row>
    <x:row r="29">
      <x:c r="D29" s="798" t="str">
        <x:v>Language</x:v>
      </x:c>
      <x:c r="E29" s="794" t="str">
        <x:v>Plan for Hindi and Indian-language labels without truncating longer text.</x:v>
      </x:c>
      <x:c r="G29" s="798" t="str">
        <x:v>Corrections URL</x:v>
      </x:c>
      <x:c r="H29" s="794" t="str">
        <x:v>/corrections</x:v>
      </x:c>
    </x:row>
    <x:row r="30">
      <x:c r="D30" s="799" t="str">
        <x:v>Motion</x:v>
      </x:c>
      <x:c r="E30" s="796" t="str">
        <x:v>No auto-playing videos, flashing alerts or moving maps.</x:v>
      </x:c>
      <x:c r="G30" s="799" t="str">
        <x:v>Footer</x:v>
      </x:c>
      <x:c r="H30" s="796" t="str">
        <x:v>About | Scope | Privacy | Accessibility | Contact | GitHub/open-data status later</x:v>
      </x:c>
    </x:row>
    <x:row r="33">
      <x:c r="A33" s="714" t="str">
        <x:v>Review conclusion</x:v>
      </x:c>
      <x:c r="B33" s="715"/>
      <x:c r="C33" s="715"/>
      <x:c r="D33" s="715"/>
      <x:c r="E33" s="715"/>
      <x:c r="F33" s="715"/>
      <x:c r="G33" s="715"/>
      <x:c r="H33" s="715"/>
      <x:c r="I33" s="715"/>
      <x:c r="J33" s="715"/>
      <x:c r="K33" s="715"/>
      <x:c r="L33" s="715"/>
      <x:c r="M33" s="715"/>
      <x:c r="N33" s="715"/>
      <x:c r="O33" s="715"/>
      <x:c r="P33" s="715"/>
      <x:c r="Q33" s="715"/>
      <x:c r="R33" s="716"/>
    </x:row>
    <x:row r="34">
      <x:c r="A34" s="746" t="str">
        <x:v>The six pages form a complete first public journey: a visitor can understand the project, browse events, inspect one record, examine its evidence, learn the verification methodology, submit a public lead and request a correction. The designs deliberately exclude live tracking, participant directories, tactical maps and sensational media. They are ready to guide the Day 7 engineering foundation.</x:v>
      </x:c>
      <x:c r="B34" s="747"/>
      <x:c r="C34" s="747"/>
      <x:c r="D34" s="747"/>
      <x:c r="E34" s="747"/>
      <x:c r="F34" s="747"/>
      <x:c r="G34" s="747"/>
      <x:c r="H34" s="747"/>
      <x:c r="I34" s="747"/>
      <x:c r="J34" s="747"/>
      <x:c r="K34" s="747"/>
      <x:c r="L34" s="747"/>
      <x:c r="M34" s="747"/>
      <x:c r="N34" s="747"/>
      <x:c r="O34" s="747"/>
      <x:c r="P34" s="747"/>
      <x:c r="Q34" s="747"/>
      <x:c r="R34" s="748"/>
    </x:row>
    <x:row r="35">
      <x:c r="A35" s="749"/>
      <x:c r="B35" s="750"/>
      <x:c r="C35" s="750"/>
      <x:c r="D35" s="750"/>
      <x:c r="E35" s="750"/>
      <x:c r="F35" s="750"/>
      <x:c r="G35" s="750"/>
      <x:c r="H35" s="750"/>
      <x:c r="I35" s="750"/>
      <x:c r="J35" s="750"/>
      <x:c r="K35" s="750"/>
      <x:c r="L35" s="750"/>
      <x:c r="M35" s="750"/>
      <x:c r="N35" s="750"/>
      <x:c r="O35" s="750"/>
      <x:c r="P35" s="750"/>
      <x:c r="Q35" s="750"/>
      <x:c r="R35" s="751"/>
    </x:row>
    <x:row r="36">
      <x:c r="A36" s="749"/>
      <x:c r="B36" s="750"/>
      <x:c r="C36" s="750"/>
      <x:c r="D36" s="750"/>
      <x:c r="E36" s="750"/>
      <x:c r="F36" s="750"/>
      <x:c r="G36" s="750"/>
      <x:c r="H36" s="750"/>
      <x:c r="I36" s="750"/>
      <x:c r="J36" s="750"/>
      <x:c r="K36" s="750"/>
      <x:c r="L36" s="750"/>
      <x:c r="M36" s="750"/>
      <x:c r="N36" s="750"/>
      <x:c r="O36" s="750"/>
      <x:c r="P36" s="750"/>
      <x:c r="Q36" s="750"/>
      <x:c r="R36" s="751"/>
    </x:row>
    <x:row r="37">
      <x:c r="A37" s="749"/>
      <x:c r="B37" s="750"/>
      <x:c r="C37" s="750"/>
      <x:c r="D37" s="750"/>
      <x:c r="E37" s="750"/>
      <x:c r="F37" s="750"/>
      <x:c r="G37" s="750"/>
      <x:c r="H37" s="750"/>
      <x:c r="I37" s="750"/>
      <x:c r="J37" s="750"/>
      <x:c r="K37" s="750"/>
      <x:c r="L37" s="750"/>
      <x:c r="M37" s="750"/>
      <x:c r="N37" s="750"/>
      <x:c r="O37" s="750"/>
      <x:c r="P37" s="750"/>
      <x:c r="Q37" s="750"/>
      <x:c r="R37" s="751"/>
    </x:row>
    <x:row r="38">
      <x:c r="A38" s="752"/>
      <x:c r="B38" s="753"/>
      <x:c r="C38" s="753"/>
      <x:c r="D38" s="753"/>
      <x:c r="E38" s="753"/>
      <x:c r="F38" s="753"/>
      <x:c r="G38" s="753"/>
      <x:c r="H38" s="753"/>
      <x:c r="I38" s="753"/>
      <x:c r="J38" s="753"/>
      <x:c r="K38" s="753"/>
      <x:c r="L38" s="753"/>
      <x:c r="M38" s="753"/>
      <x:c r="N38" s="753"/>
      <x:c r="O38" s="753"/>
      <x:c r="P38" s="753"/>
      <x:c r="Q38" s="753"/>
      <x:c r="R38" s="754"/>
    </x:row>
  </x:sheetData>
  <x:mergeCells>
    <x:mergeCell ref="A1:R2"/>
    <x:mergeCell ref="A3:R4"/>
    <x:mergeCell ref="A6:R6"/>
    <x:mergeCell ref="A7:R10"/>
    <x:mergeCell ref="A12:R12"/>
    <x:mergeCell ref="F12:R12"/>
    <x:mergeCell ref="A22:R22"/>
    <x:mergeCell ref="D22:R22"/>
    <x:mergeCell ref="G22:R22"/>
    <x:mergeCell ref="A33:R33"/>
    <x:mergeCell ref="A34:R38"/>
  </x:mergeCell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3" hidden="0" customWidth="1"/>
    <x:col min="16" max="16" width="3"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s>
  <x:sheetData>
    <x:row r="1">
      <x:c r="A1" s="671" t="str">
        <x:v>Wireframe — Event Page</x:v>
      </x:c>
      <x:c r="B1" s="672"/>
      <x:c r="C1" s="672"/>
      <x:c r="D1" s="672"/>
      <x:c r="E1" s="672"/>
      <x:c r="F1" s="672"/>
      <x:c r="G1" s="672"/>
      <x:c r="H1" s="672"/>
      <x:c r="I1" s="672"/>
      <x:c r="J1" s="672"/>
      <x:c r="K1" s="672"/>
      <x:c r="L1" s="672"/>
      <x:c r="M1" s="672"/>
      <x:c r="N1" s="672"/>
      <x:c r="O1" s="672"/>
      <x:c r="P1" s="672"/>
      <x:c r="Q1" s="672"/>
      <x:c r="R1" s="672"/>
      <x:c r="S1" s="672"/>
      <x:c r="T1" s="672"/>
      <x:c r="U1" s="672"/>
      <x:c r="V1" s="673"/>
    </x:row>
    <x:row r="2">
      <x:c r="A2" s="674"/>
      <x:c r="B2" s="675"/>
      <x:c r="C2" s="675"/>
      <x:c r="D2" s="675"/>
      <x:c r="E2" s="675"/>
      <x:c r="F2" s="675"/>
      <x:c r="G2" s="675"/>
      <x:c r="H2" s="675"/>
      <x:c r="I2" s="675"/>
      <x:c r="J2" s="675"/>
      <x:c r="K2" s="675"/>
      <x:c r="L2" s="675"/>
      <x:c r="M2" s="675"/>
      <x:c r="N2" s="675"/>
      <x:c r="O2" s="675"/>
      <x:c r="P2" s="675"/>
      <x:c r="Q2" s="675"/>
      <x:c r="R2" s="675"/>
      <x:c r="S2" s="675"/>
      <x:c r="T2" s="675"/>
      <x:c r="U2" s="675"/>
      <x:c r="V2" s="676"/>
    </x:row>
    <x:row r="3">
      <x:c r="A3" s="697" t="str">
        <x:v>The public record page must explain the event quickly, then allow evidence inspection without overwhelming the reader.</x:v>
      </x:c>
      <x:c r="B3" s="698"/>
      <x:c r="C3" s="698"/>
      <x:c r="D3" s="698"/>
      <x:c r="E3" s="698"/>
      <x:c r="F3" s="698"/>
      <x:c r="G3" s="698"/>
      <x:c r="H3" s="698"/>
      <x:c r="I3" s="698"/>
      <x:c r="J3" s="698"/>
      <x:c r="K3" s="698"/>
      <x:c r="L3" s="698"/>
      <x:c r="M3" s="698"/>
      <x:c r="N3" s="698"/>
      <x:c r="O3" s="698"/>
      <x:c r="P3" s="698"/>
      <x:c r="Q3" s="698"/>
      <x:c r="R3" s="698"/>
      <x:c r="S3" s="698"/>
      <x:c r="T3" s="698"/>
      <x:c r="U3" s="698"/>
      <x:c r="V3" s="699"/>
    </x:row>
    <x:row r="4">
      <x:c r="A4" s="700"/>
      <x:c r="B4" s="701"/>
      <x:c r="C4" s="701"/>
      <x:c r="D4" s="701"/>
      <x:c r="E4" s="701"/>
      <x:c r="F4" s="701"/>
      <x:c r="G4" s="701"/>
      <x:c r="H4" s="701"/>
      <x:c r="I4" s="701"/>
      <x:c r="J4" s="701"/>
      <x:c r="K4" s="701"/>
      <x:c r="L4" s="701"/>
      <x:c r="M4" s="701"/>
      <x:c r="N4" s="701"/>
      <x:c r="O4" s="701"/>
      <x:c r="P4" s="701"/>
      <x:c r="Q4" s="701"/>
      <x:c r="R4" s="701"/>
      <x:c r="S4" s="701"/>
      <x:c r="T4" s="701"/>
      <x:c r="U4" s="701"/>
      <x:c r="V4" s="702"/>
    </x:row>
    <x:row r="6">
      <x:c r="A6" s="848" t="str">
        <x:v>INDIA OBSERVED     Home   Browse   Methodology   Corrections   [Submit a lead]</x:v>
      </x:c>
      <x:c r="B6" s="849"/>
      <x:c r="C6" s="849"/>
      <x:c r="D6" s="849"/>
      <x:c r="E6" s="849"/>
      <x:c r="F6" s="849"/>
      <x:c r="G6" s="849"/>
      <x:c r="H6" s="849"/>
      <x:c r="I6" s="849"/>
      <x:c r="J6" s="849"/>
      <x:c r="K6" s="849"/>
      <x:c r="L6" s="849"/>
      <x:c r="M6" s="849"/>
      <x:c r="N6" s="850"/>
      <x:c r="Q6" s="848" t="str">
        <x:v>INDIA OBSERVED
☰  Search</x:v>
      </x:c>
      <x:c r="R6" s="849"/>
      <x:c r="S6" s="849"/>
      <x:c r="T6" s="849"/>
      <x:c r="U6" s="849"/>
      <x:c r="V6" s="850"/>
    </x:row>
    <x:row r="7">
      <x:c r="A7" s="851"/>
      <x:c r="B7" s="852"/>
      <x:c r="C7" s="852"/>
      <x:c r="D7" s="852"/>
      <x:c r="E7" s="852"/>
      <x:c r="F7" s="852"/>
      <x:c r="G7" s="852"/>
      <x:c r="H7" s="852"/>
      <x:c r="I7" s="852"/>
      <x:c r="J7" s="852"/>
      <x:c r="K7" s="852"/>
      <x:c r="L7" s="852"/>
      <x:c r="M7" s="852"/>
      <x:c r="N7" s="853"/>
      <x:c r="Q7" s="851"/>
      <x:c r="R7" s="852"/>
      <x:c r="S7" s="852"/>
      <x:c r="T7" s="852"/>
      <x:c r="U7" s="852"/>
      <x:c r="V7" s="853"/>
    </x:row>
    <x:row r="8">
      <x:c r="A8" s="854"/>
      <x:c r="B8" s="855"/>
      <x:c r="C8" s="855"/>
      <x:c r="D8" s="855"/>
      <x:c r="E8" s="855"/>
      <x:c r="F8" s="855"/>
      <x:c r="G8" s="855"/>
      <x:c r="H8" s="855"/>
      <x:c r="I8" s="855"/>
      <x:c r="J8" s="855"/>
      <x:c r="K8" s="855"/>
      <x:c r="L8" s="855"/>
      <x:c r="M8" s="855"/>
      <x:c r="N8" s="856"/>
      <x:c r="Q8" s="851"/>
      <x:c r="R8" s="852"/>
      <x:c r="S8" s="852"/>
      <x:c r="T8" s="852"/>
      <x:c r="U8" s="852"/>
      <x:c r="V8" s="853"/>
    </x:row>
    <x:row r="9">
      <x:c r="A9" s="878" t="str">
        <x:v>Browse events  ›  Karnataka  ›  IO-CM-KA-0002</x:v>
      </x:c>
      <x:c r="B9" s="879"/>
      <x:c r="C9" s="879"/>
      <x:c r="D9" s="879"/>
      <x:c r="E9" s="879"/>
      <x:c r="F9" s="879"/>
      <x:c r="G9" s="879"/>
      <x:c r="H9" s="879"/>
      <x:c r="I9" s="879"/>
      <x:c r="J9" s="879"/>
      <x:c r="K9" s="879"/>
      <x:c r="L9" s="879"/>
      <x:c r="M9" s="879"/>
      <x:c r="N9" s="880"/>
      <x:c r="Q9" s="854"/>
      <x:c r="R9" s="855"/>
      <x:c r="S9" s="855"/>
      <x:c r="T9" s="855"/>
      <x:c r="U9" s="855"/>
      <x:c r="V9" s="856"/>
    </x:row>
    <x:row r="10">
      <x:c r="A10" s="881"/>
      <x:c r="B10" s="882"/>
      <x:c r="C10" s="882"/>
      <x:c r="D10" s="882"/>
      <x:c r="E10" s="882"/>
      <x:c r="F10" s="882"/>
      <x:c r="G10" s="882"/>
      <x:c r="H10" s="882"/>
      <x:c r="I10" s="882"/>
      <x:c r="J10" s="882"/>
      <x:c r="K10" s="882"/>
      <x:c r="L10" s="882"/>
      <x:c r="M10" s="882"/>
      <x:c r="N10" s="883"/>
      <x:c r="Q10" s="1569" t="str">
        <x:v>Bidadi farmers continue protest against township land acquisition</x:v>
      </x:c>
      <x:c r="R10" s="1570"/>
      <x:c r="S10" s="1570"/>
      <x:c r="T10" s="1570"/>
      <x:c r="U10" s="1570"/>
      <x:c r="V10" s="1571"/>
    </x:row>
    <x:row r="11">
      <x:c r="A11" s="912" t="str">
        <x:v>Bidadi farmers continue protest against land acquisition for Greater Bengaluru Integrated Township</x:v>
      </x:c>
      <x:c r="B11" s="913"/>
      <x:c r="C11" s="913"/>
      <x:c r="D11" s="913"/>
      <x:c r="E11" s="913"/>
      <x:c r="F11" s="913"/>
      <x:c r="G11" s="913"/>
      <x:c r="H11" s="913"/>
      <x:c r="I11" s="913"/>
      <x:c r="J11" s="914"/>
      <x:c r="K11" s="951" t="str">
        <x:v>OCCURRENCE VERIFIED
Disputed details remain</x:v>
      </x:c>
      <x:c r="L11" s="952"/>
      <x:c r="M11" s="952"/>
      <x:c r="N11" s="953"/>
      <x:c r="Q11" s="1572"/>
      <x:c r="R11" s="1573"/>
      <x:c r="S11" s="1573"/>
      <x:c r="T11" s="1573"/>
      <x:c r="U11" s="1573"/>
      <x:c r="V11" s="1574"/>
    </x:row>
    <x:row r="12">
      <x:c r="A12" s="915"/>
      <x:c r="B12" s="916"/>
      <x:c r="C12" s="916"/>
      <x:c r="D12" s="916"/>
      <x:c r="E12" s="916"/>
      <x:c r="F12" s="916"/>
      <x:c r="G12" s="916"/>
      <x:c r="H12" s="916"/>
      <x:c r="I12" s="916"/>
      <x:c r="J12" s="917"/>
      <x:c r="K12" s="954"/>
      <x:c r="L12" s="955"/>
      <x:c r="M12" s="955"/>
      <x:c r="N12" s="956"/>
      <x:c r="Q12" s="1572"/>
      <x:c r="R12" s="1573"/>
      <x:c r="S12" s="1573"/>
      <x:c r="T12" s="1573"/>
      <x:c r="U12" s="1573"/>
      <x:c r="V12" s="1574"/>
    </x:row>
    <x:row r="13">
      <x:c r="A13" s="915"/>
      <x:c r="B13" s="916"/>
      <x:c r="C13" s="916"/>
      <x:c r="D13" s="916"/>
      <x:c r="E13" s="916"/>
      <x:c r="F13" s="916"/>
      <x:c r="G13" s="916"/>
      <x:c r="H13" s="916"/>
      <x:c r="I13" s="916"/>
      <x:c r="J13" s="917"/>
      <x:c r="K13" s="954"/>
      <x:c r="L13" s="955"/>
      <x:c r="M13" s="955"/>
      <x:c r="N13" s="956"/>
      <x:c r="Q13" s="1572"/>
      <x:c r="R13" s="1573"/>
      <x:c r="S13" s="1573"/>
      <x:c r="T13" s="1573"/>
      <x:c r="U13" s="1573"/>
      <x:c r="V13" s="1574"/>
    </x:row>
    <x:row r="14">
      <x:c r="A14" s="915"/>
      <x:c r="B14" s="916"/>
      <x:c r="C14" s="916"/>
      <x:c r="D14" s="916"/>
      <x:c r="E14" s="916"/>
      <x:c r="F14" s="916"/>
      <x:c r="G14" s="916"/>
      <x:c r="H14" s="916"/>
      <x:c r="I14" s="916"/>
      <x:c r="J14" s="917"/>
      <x:c r="K14" s="954"/>
      <x:c r="L14" s="955"/>
      <x:c r="M14" s="955"/>
      <x:c r="N14" s="956"/>
      <x:c r="Q14" s="1572"/>
      <x:c r="R14" s="1573"/>
      <x:c r="S14" s="1573"/>
      <x:c r="T14" s="1573"/>
      <x:c r="U14" s="1573"/>
      <x:c r="V14" s="1574"/>
    </x:row>
    <x:row r="15">
      <x:c r="A15" s="918"/>
      <x:c r="B15" s="919"/>
      <x:c r="C15" s="919"/>
      <x:c r="D15" s="919"/>
      <x:c r="E15" s="919"/>
      <x:c r="F15" s="919"/>
      <x:c r="G15" s="919"/>
      <x:c r="H15" s="919"/>
      <x:c r="I15" s="919"/>
      <x:c r="J15" s="920"/>
      <x:c r="K15" s="957"/>
      <x:c r="L15" s="958"/>
      <x:c r="M15" s="958"/>
      <x:c r="N15" s="959"/>
      <x:c r="Q15" s="1572"/>
      <x:c r="R15" s="1573"/>
      <x:c r="S15" s="1573"/>
      <x:c r="T15" s="1573"/>
      <x:c r="U15" s="1573"/>
      <x:c r="V15" s="1574"/>
    </x:row>
    <x:row r="16">
      <x:c r="A16" s="992" t="str">
        <x:v>Karnataka  •  Bengaluru South  •  Ongoing  •  Observed duration unavailable  •  Recurring / intermittent</x:v>
      </x:c>
      <x:c r="B16" s="993"/>
      <x:c r="C16" s="993"/>
      <x:c r="D16" s="993"/>
      <x:c r="E16" s="993"/>
      <x:c r="F16" s="993"/>
      <x:c r="G16" s="993"/>
      <x:c r="H16" s="993"/>
      <x:c r="I16" s="993"/>
      <x:c r="J16" s="993"/>
      <x:c r="K16" s="993"/>
      <x:c r="L16" s="993"/>
      <x:c r="M16" s="993"/>
      <x:c r="N16" s="994"/>
      <x:c r="Q16" s="1575"/>
      <x:c r="R16" s="1576"/>
      <x:c r="S16" s="1576"/>
      <x:c r="T16" s="1576"/>
      <x:c r="U16" s="1576"/>
      <x:c r="V16" s="1577"/>
    </x:row>
    <x:row r="17">
      <x:c r="A17" s="995"/>
      <x:c r="B17" s="996"/>
      <x:c r="C17" s="996"/>
      <x:c r="D17" s="996"/>
      <x:c r="E17" s="996"/>
      <x:c r="F17" s="996"/>
      <x:c r="G17" s="996"/>
      <x:c r="H17" s="996"/>
      <x:c r="I17" s="996"/>
      <x:c r="J17" s="996"/>
      <x:c r="K17" s="996"/>
      <x:c r="L17" s="996"/>
      <x:c r="M17" s="996"/>
      <x:c r="N17" s="997"/>
      <x:c r="Q17" s="1244" t="str">
        <x:v>Occurrence verified
Disputed details remain</x:v>
      </x:c>
      <x:c r="R17" s="1245"/>
      <x:c r="S17" s="1245"/>
      <x:c r="T17" s="1245"/>
      <x:c r="U17" s="1245"/>
      <x:c r="V17" s="1246"/>
    </x:row>
    <x:row r="18">
      <x:c r="A18" s="998"/>
      <x:c r="B18" s="999"/>
      <x:c r="C18" s="999"/>
      <x:c r="D18" s="999"/>
      <x:c r="E18" s="999"/>
      <x:c r="F18" s="999"/>
      <x:c r="G18" s="999"/>
      <x:c r="H18" s="999"/>
      <x:c r="I18" s="999"/>
      <x:c r="J18" s="999"/>
      <x:c r="K18" s="999"/>
      <x:c r="L18" s="999"/>
      <x:c r="M18" s="999"/>
      <x:c r="N18" s="1000"/>
      <x:c r="Q18" s="1589"/>
      <x:c r="R18" s="1590"/>
      <x:c r="S18" s="1590"/>
      <x:c r="T18" s="1590"/>
      <x:c r="U18" s="1590"/>
      <x:c r="V18" s="1591"/>
    </x:row>
    <x:row r="19">
      <x:c r="A19" s="878" t="str">
        <x:v>Last reviewed: 15 July 2026     Latest confirmed active: 15 July 2026</x:v>
      </x:c>
      <x:c r="B19" s="879"/>
      <x:c r="C19" s="879"/>
      <x:c r="D19" s="879"/>
      <x:c r="E19" s="879"/>
      <x:c r="F19" s="879"/>
      <x:c r="G19" s="879"/>
      <x:c r="H19" s="879"/>
      <x:c r="I19" s="879"/>
      <x:c r="J19" s="880"/>
      <x:c r="K19" s="1040" t="str">
        <x:v>[Follow updates]   [Share]</x:v>
      </x:c>
      <x:c r="L19" s="1041"/>
      <x:c r="M19" s="1041"/>
      <x:c r="N19" s="1042"/>
      <x:c r="Q19" s="1589"/>
      <x:c r="R19" s="1590"/>
      <x:c r="S19" s="1590"/>
      <x:c r="T19" s="1590"/>
      <x:c r="U19" s="1590"/>
      <x:c r="V19" s="1591"/>
    </x:row>
    <x:row r="20">
      <x:c r="A20" s="1009"/>
      <x:c r="B20" s="1010"/>
      <x:c r="C20" s="1010"/>
      <x:c r="D20" s="1010"/>
      <x:c r="E20" s="1010"/>
      <x:c r="F20" s="1010"/>
      <x:c r="G20" s="1010"/>
      <x:c r="H20" s="1010"/>
      <x:c r="I20" s="1010"/>
      <x:c r="J20" s="1011"/>
      <x:c r="K20" s="1043"/>
      <x:c r="L20" s="1044"/>
      <x:c r="M20" s="1044"/>
      <x:c r="N20" s="1045"/>
      <x:c r="Q20" s="1247"/>
      <x:c r="R20" s="1248"/>
      <x:c r="S20" s="1248"/>
      <x:c r="T20" s="1248"/>
      <x:c r="U20" s="1248"/>
      <x:c r="V20" s="1249"/>
    </x:row>
    <x:row r="21">
      <x:c r="A21" s="881"/>
      <x:c r="B21" s="882"/>
      <x:c r="C21" s="882"/>
      <x:c r="D21" s="882"/>
      <x:c r="E21" s="882"/>
      <x:c r="F21" s="882"/>
      <x:c r="G21" s="882"/>
      <x:c r="H21" s="882"/>
      <x:c r="I21" s="882"/>
      <x:c r="J21" s="883"/>
      <x:c r="K21" s="1046"/>
      <x:c r="L21" s="1047"/>
      <x:c r="M21" s="1047"/>
      <x:c r="N21" s="1048"/>
      <x:c r="Q21" s="992" t="str">
        <x:v>Karnataka • Ongoing
Recurring / intermittent</x:v>
      </x:c>
      <x:c r="R21" s="993"/>
      <x:c r="S21" s="993"/>
      <x:c r="T21" s="993"/>
      <x:c r="U21" s="993"/>
      <x:c r="V21" s="994"/>
    </x:row>
    <x:row r="22">
      <x:c r="A22" s="804"/>
      <x:c r="B22" s="805"/>
      <x:c r="C22" s="805"/>
      <x:c r="D22" s="805"/>
      <x:c r="E22" s="805"/>
      <x:c r="F22" s="805"/>
      <x:c r="G22" s="805"/>
      <x:c r="H22" s="805"/>
      <x:c r="I22" s="805"/>
      <x:c r="J22" s="805"/>
      <x:c r="K22" s="805"/>
      <x:c r="L22" s="805"/>
      <x:c r="M22" s="805"/>
      <x:c r="N22" s="806"/>
      <x:c r="Q22" s="995"/>
      <x:c r="R22" s="996"/>
      <x:c r="S22" s="996"/>
      <x:c r="T22" s="996"/>
      <x:c r="U22" s="996"/>
      <x:c r="V22" s="997"/>
    </x:row>
    <x:row r="23">
      <x:c r="A23" s="714" t="str">
        <x:v>Neutral summary</x:v>
      </x:c>
      <x:c r="B23" s="715"/>
      <x:c r="C23" s="715"/>
      <x:c r="D23" s="715"/>
      <x:c r="E23" s="715"/>
      <x:c r="F23" s="715"/>
      <x:c r="G23" s="715"/>
      <x:c r="H23" s="715"/>
      <x:c r="I23" s="715"/>
      <x:c r="J23" s="715"/>
      <x:c r="K23" s="715"/>
      <x:c r="L23" s="715"/>
      <x:c r="M23" s="715"/>
      <x:c r="N23" s="716"/>
      <x:c r="Q23" s="998"/>
      <x:c r="R23" s="999"/>
      <x:c r="S23" s="999"/>
      <x:c r="T23" s="999"/>
      <x:c r="U23" s="999"/>
      <x:c r="V23" s="1000"/>
    </x:row>
    <x:row r="24">
      <x:c r="A24" s="1084" t="str">
        <x:v>Farmers and agricultural communities around Bidadi have conducted a sustained movement opposing land acquisition for the proposed township. The protest's occurrence and the first-phase acquisition notification are corroborated. Claims concerning consent, farmland quality, environmental loss and responsibility for violence remain attributed or disputed.</x:v>
      </x:c>
      <x:c r="B24" s="1085"/>
      <x:c r="C24" s="1085"/>
      <x:c r="D24" s="1085"/>
      <x:c r="E24" s="1085"/>
      <x:c r="F24" s="1085"/>
      <x:c r="G24" s="1085"/>
      <x:c r="H24" s="1085"/>
      <x:c r="I24" s="1085"/>
      <x:c r="J24" s="1085"/>
      <x:c r="K24" s="1085"/>
      <x:c r="L24" s="1085"/>
      <x:c r="M24" s="1085"/>
      <x:c r="N24" s="1086"/>
      <x:c r="Q24" s="804"/>
      <x:c r="R24" s="805"/>
      <x:c r="S24" s="805"/>
      <x:c r="T24" s="805"/>
      <x:c r="U24" s="805"/>
      <x:c r="V24" s="806"/>
    </x:row>
    <x:row r="25">
      <x:c r="A25" s="1087"/>
      <x:c r="B25" s="1088"/>
      <x:c r="C25" s="1088"/>
      <x:c r="D25" s="1088"/>
      <x:c r="E25" s="1088"/>
      <x:c r="F25" s="1088"/>
      <x:c r="G25" s="1088"/>
      <x:c r="H25" s="1088"/>
      <x:c r="I25" s="1088"/>
      <x:c r="J25" s="1088"/>
      <x:c r="K25" s="1088"/>
      <x:c r="L25" s="1088"/>
      <x:c r="M25" s="1088"/>
      <x:c r="N25" s="1089"/>
      <x:c r="Q25" s="714" t="str">
        <x:v>Summary</x:v>
      </x:c>
      <x:c r="R25" s="715"/>
      <x:c r="S25" s="715"/>
      <x:c r="T25" s="715"/>
      <x:c r="U25" s="715"/>
      <x:c r="V25" s="716"/>
    </x:row>
    <x:row r="26">
      <x:c r="A26" s="1087"/>
      <x:c r="B26" s="1088"/>
      <x:c r="C26" s="1088"/>
      <x:c r="D26" s="1088"/>
      <x:c r="E26" s="1088"/>
      <x:c r="F26" s="1088"/>
      <x:c r="G26" s="1088"/>
      <x:c r="H26" s="1088"/>
      <x:c r="I26" s="1088"/>
      <x:c r="J26" s="1088"/>
      <x:c r="K26" s="1088"/>
      <x:c r="L26" s="1088"/>
      <x:c r="M26" s="1088"/>
      <x:c r="N26" s="1089"/>
      <x:c r="Q26" s="1219" t="str">
        <x:v>Farmers around Bidadi oppose land acquisition for the proposed township. Occurrence and the first-phase notification are corroborated. Consent, environmental impact and confrontation responsibility remain disputed.</x:v>
      </x:c>
      <x:c r="R26" s="1220"/>
      <x:c r="S26" s="1220"/>
      <x:c r="T26" s="1220"/>
      <x:c r="U26" s="1220"/>
      <x:c r="V26" s="1221"/>
    </x:row>
    <x:row r="27">
      <x:c r="A27" s="1087"/>
      <x:c r="B27" s="1088"/>
      <x:c r="C27" s="1088"/>
      <x:c r="D27" s="1088"/>
      <x:c r="E27" s="1088"/>
      <x:c r="F27" s="1088"/>
      <x:c r="G27" s="1088"/>
      <x:c r="H27" s="1088"/>
      <x:c r="I27" s="1088"/>
      <x:c r="J27" s="1088"/>
      <x:c r="K27" s="1088"/>
      <x:c r="L27" s="1088"/>
      <x:c r="M27" s="1088"/>
      <x:c r="N27" s="1089"/>
      <x:c r="Q27" s="1481"/>
      <x:c r="R27" s="1482"/>
      <x:c r="S27" s="1482"/>
      <x:c r="T27" s="1482"/>
      <x:c r="U27" s="1482"/>
      <x:c r="V27" s="1483"/>
    </x:row>
    <x:row r="28">
      <x:c r="A28" s="1087"/>
      <x:c r="B28" s="1088"/>
      <x:c r="C28" s="1088"/>
      <x:c r="D28" s="1088"/>
      <x:c r="E28" s="1088"/>
      <x:c r="F28" s="1088"/>
      <x:c r="G28" s="1088"/>
      <x:c r="H28" s="1088"/>
      <x:c r="I28" s="1088"/>
      <x:c r="J28" s="1088"/>
      <x:c r="K28" s="1088"/>
      <x:c r="L28" s="1088"/>
      <x:c r="M28" s="1088"/>
      <x:c r="N28" s="1089"/>
      <x:c r="Q28" s="1481"/>
      <x:c r="R28" s="1482"/>
      <x:c r="S28" s="1482"/>
      <x:c r="T28" s="1482"/>
      <x:c r="U28" s="1482"/>
      <x:c r="V28" s="1483"/>
    </x:row>
    <x:row r="29">
      <x:c r="A29" s="1087"/>
      <x:c r="B29" s="1088"/>
      <x:c r="C29" s="1088"/>
      <x:c r="D29" s="1088"/>
      <x:c r="E29" s="1088"/>
      <x:c r="F29" s="1088"/>
      <x:c r="G29" s="1088"/>
      <x:c r="H29" s="1088"/>
      <x:c r="I29" s="1088"/>
      <x:c r="J29" s="1088"/>
      <x:c r="K29" s="1088"/>
      <x:c r="L29" s="1088"/>
      <x:c r="M29" s="1088"/>
      <x:c r="N29" s="1089"/>
      <x:c r="Q29" s="1481"/>
      <x:c r="R29" s="1482"/>
      <x:c r="S29" s="1482"/>
      <x:c r="T29" s="1482"/>
      <x:c r="U29" s="1482"/>
      <x:c r="V29" s="1483"/>
    </x:row>
    <x:row r="30">
      <x:c r="A30" s="1090"/>
      <x:c r="B30" s="1091"/>
      <x:c r="C30" s="1091"/>
      <x:c r="D30" s="1091"/>
      <x:c r="E30" s="1091"/>
      <x:c r="F30" s="1091"/>
      <x:c r="G30" s="1091"/>
      <x:c r="H30" s="1091"/>
      <x:c r="I30" s="1091"/>
      <x:c r="J30" s="1091"/>
      <x:c r="K30" s="1091"/>
      <x:c r="L30" s="1091"/>
      <x:c r="M30" s="1091"/>
      <x:c r="N30" s="1092"/>
      <x:c r="Q30" s="1481"/>
      <x:c r="R30" s="1482"/>
      <x:c r="S30" s="1482"/>
      <x:c r="T30" s="1482"/>
      <x:c r="U30" s="1482"/>
      <x:c r="V30" s="1483"/>
    </x:row>
    <x:row r="31">
      <x:c r="A31" s="804"/>
      <x:c r="B31" s="805"/>
      <x:c r="C31" s="805"/>
      <x:c r="D31" s="805"/>
      <x:c r="E31" s="805"/>
      <x:c r="F31" s="805"/>
      <x:c r="G31" s="805"/>
      <x:c r="H31" s="805"/>
      <x:c r="I31" s="805"/>
      <x:c r="J31" s="805"/>
      <x:c r="K31" s="805"/>
      <x:c r="L31" s="805"/>
      <x:c r="M31" s="805"/>
      <x:c r="N31" s="806"/>
      <x:c r="Q31" s="1481"/>
      <x:c r="R31" s="1482"/>
      <x:c r="S31" s="1482"/>
      <x:c r="T31" s="1482"/>
      <x:c r="U31" s="1482"/>
      <x:c r="V31" s="1483"/>
    </x:row>
    <x:row r="32">
      <x:c r="A32" s="714" t="str">
        <x:v>Main issue</x:v>
      </x:c>
      <x:c r="B32" s="715"/>
      <x:c r="C32" s="715"/>
      <x:c r="D32" s="715"/>
      <x:c r="E32" s="715"/>
      <x:c r="F32" s="715"/>
      <x:c r="G32" s="715"/>
      <x:c r="H32" s="715"/>
      <x:c r="I32" s="715"/>
      <x:c r="J32" s="715"/>
      <x:c r="K32" s="715"/>
      <x:c r="L32" s="715"/>
      <x:c r="M32" s="715"/>
      <x:c r="N32" s="716"/>
      <x:c r="Q32" s="1481"/>
      <x:c r="R32" s="1482"/>
      <x:c r="S32" s="1482"/>
      <x:c r="T32" s="1482"/>
      <x:c r="U32" s="1482"/>
      <x:c r="V32" s="1483"/>
    </x:row>
    <x:row r="33">
      <x:c r="A33" s="1121" t="str">
        <x:v>TRIGGER
Land acquisition for the Greater Bengaluru Integrated Township</x:v>
      </x:c>
      <x:c r="B33" s="1122"/>
      <x:c r="C33" s="1122"/>
      <x:c r="D33" s="1122"/>
      <x:c r="E33" s="1123"/>
      <x:c r="F33" s="1121" t="str">
        <x:v>STATED DEMANDS
Stop, withdraw or reconsider acquisition; protect farming livelihoods; review consent and compensation</x:v>
      </x:c>
      <x:c r="G33" s="1122"/>
      <x:c r="H33" s="1122"/>
      <x:c r="I33" s="1122"/>
      <x:c r="J33" s="1123"/>
      <x:c r="K33" s="1121" t="str">
        <x:v>RELEVANT AUTHORITIES
Karnataka Government
Greater Bengaluru Development Authority
District administration</x:v>
      </x:c>
      <x:c r="L33" s="1122"/>
      <x:c r="M33" s="1122"/>
      <x:c r="N33" s="1123"/>
      <x:c r="Q33" s="1481"/>
      <x:c r="R33" s="1482"/>
      <x:c r="S33" s="1482"/>
      <x:c r="T33" s="1482"/>
      <x:c r="U33" s="1482"/>
      <x:c r="V33" s="1483"/>
    </x:row>
    <x:row r="34">
      <x:c r="A34" s="1124"/>
      <x:c r="B34" s="1125"/>
      <x:c r="C34" s="1125"/>
      <x:c r="D34" s="1125"/>
      <x:c r="E34" s="1126"/>
      <x:c r="F34" s="1124"/>
      <x:c r="G34" s="1125"/>
      <x:c r="H34" s="1125"/>
      <x:c r="I34" s="1125"/>
      <x:c r="J34" s="1126"/>
      <x:c r="K34" s="1124"/>
      <x:c r="L34" s="1125"/>
      <x:c r="M34" s="1125"/>
      <x:c r="N34" s="1126"/>
      <x:c r="Q34" s="1222"/>
      <x:c r="R34" s="1223"/>
      <x:c r="S34" s="1223"/>
      <x:c r="T34" s="1223"/>
      <x:c r="U34" s="1223"/>
      <x:c r="V34" s="1224"/>
    </x:row>
    <x:row r="35">
      <x:c r="A35" s="1124"/>
      <x:c r="B35" s="1125"/>
      <x:c r="C35" s="1125"/>
      <x:c r="D35" s="1125"/>
      <x:c r="E35" s="1126"/>
      <x:c r="F35" s="1124"/>
      <x:c r="G35" s="1125"/>
      <x:c r="H35" s="1125"/>
      <x:c r="I35" s="1125"/>
      <x:c r="J35" s="1126"/>
      <x:c r="K35" s="1124"/>
      <x:c r="L35" s="1125"/>
      <x:c r="M35" s="1125"/>
      <x:c r="N35" s="1126"/>
      <x:c r="Q35" s="804"/>
      <x:c r="R35" s="805"/>
      <x:c r="S35" s="805"/>
      <x:c r="T35" s="805"/>
      <x:c r="U35" s="805"/>
      <x:c r="V35" s="806"/>
    </x:row>
    <x:row r="36">
      <x:c r="A36" s="1124"/>
      <x:c r="B36" s="1125"/>
      <x:c r="C36" s="1125"/>
      <x:c r="D36" s="1125"/>
      <x:c r="E36" s="1126"/>
      <x:c r="F36" s="1124"/>
      <x:c r="G36" s="1125"/>
      <x:c r="H36" s="1125"/>
      <x:c r="I36" s="1125"/>
      <x:c r="J36" s="1126"/>
      <x:c r="K36" s="1124"/>
      <x:c r="L36" s="1125"/>
      <x:c r="M36" s="1125"/>
      <x:c r="N36" s="1126"/>
      <x:c r="Q36" s="714" t="str">
        <x:v>Main issue</x:v>
      </x:c>
      <x:c r="R36" s="715"/>
      <x:c r="S36" s="715"/>
      <x:c r="T36" s="715"/>
      <x:c r="U36" s="715"/>
      <x:c r="V36" s="716"/>
    </x:row>
    <x:row r="37">
      <x:c r="A37" s="1124"/>
      <x:c r="B37" s="1125"/>
      <x:c r="C37" s="1125"/>
      <x:c r="D37" s="1125"/>
      <x:c r="E37" s="1126"/>
      <x:c r="F37" s="1124"/>
      <x:c r="G37" s="1125"/>
      <x:c r="H37" s="1125"/>
      <x:c r="I37" s="1125"/>
      <x:c r="J37" s="1126"/>
      <x:c r="K37" s="1124"/>
      <x:c r="L37" s="1125"/>
      <x:c r="M37" s="1125"/>
      <x:c r="N37" s="1126"/>
      <x:c r="Q37" s="1622" t="str">
        <x:v>Trigger: Township land acquisition
Demand: Stop or reconsider acquisition; protect farming livelihoods
Authority: Karnataka Government and project authority</x:v>
      </x:c>
      <x:c r="R37" s="1623"/>
      <x:c r="S37" s="1623"/>
      <x:c r="T37" s="1623"/>
      <x:c r="U37" s="1623"/>
      <x:c r="V37" s="1624"/>
    </x:row>
    <x:row r="38">
      <x:c r="A38" s="1124"/>
      <x:c r="B38" s="1125"/>
      <x:c r="C38" s="1125"/>
      <x:c r="D38" s="1125"/>
      <x:c r="E38" s="1126"/>
      <x:c r="F38" s="1124"/>
      <x:c r="G38" s="1125"/>
      <x:c r="H38" s="1125"/>
      <x:c r="I38" s="1125"/>
      <x:c r="J38" s="1126"/>
      <x:c r="K38" s="1124"/>
      <x:c r="L38" s="1125"/>
      <x:c r="M38" s="1125"/>
      <x:c r="N38" s="1126"/>
      <x:c r="Q38" s="1625"/>
      <x:c r="R38" s="1626"/>
      <x:c r="S38" s="1626"/>
      <x:c r="T38" s="1626"/>
      <x:c r="U38" s="1626"/>
      <x:c r="V38" s="1627"/>
    </x:row>
    <x:row r="39">
      <x:c r="A39" s="1127"/>
      <x:c r="B39" s="1128"/>
      <x:c r="C39" s="1128"/>
      <x:c r="D39" s="1128"/>
      <x:c r="E39" s="1129"/>
      <x:c r="F39" s="1127"/>
      <x:c r="G39" s="1128"/>
      <x:c r="H39" s="1128"/>
      <x:c r="I39" s="1128"/>
      <x:c r="J39" s="1129"/>
      <x:c r="K39" s="1127"/>
      <x:c r="L39" s="1128"/>
      <x:c r="M39" s="1128"/>
      <x:c r="N39" s="1129"/>
      <x:c r="Q39" s="1625"/>
      <x:c r="R39" s="1626"/>
      <x:c r="S39" s="1626"/>
      <x:c r="T39" s="1626"/>
      <x:c r="U39" s="1626"/>
      <x:c r="V39" s="1627"/>
    </x:row>
    <x:row r="40">
      <x:c r="A40" s="804"/>
      <x:c r="B40" s="805"/>
      <x:c r="C40" s="805"/>
      <x:c r="D40" s="805"/>
      <x:c r="E40" s="805"/>
      <x:c r="F40" s="805"/>
      <x:c r="G40" s="805"/>
      <x:c r="H40" s="805"/>
      <x:c r="I40" s="805"/>
      <x:c r="J40" s="805"/>
      <x:c r="K40" s="805"/>
      <x:c r="L40" s="805"/>
      <x:c r="M40" s="805"/>
      <x:c r="N40" s="806"/>
      <x:c r="Q40" s="1625"/>
      <x:c r="R40" s="1626"/>
      <x:c r="S40" s="1626"/>
      <x:c r="T40" s="1626"/>
      <x:c r="U40" s="1626"/>
      <x:c r="V40" s="1627"/>
    </x:row>
    <x:row r="41">
      <x:c r="A41" s="714" t="str">
        <x:v>Timeline</x:v>
      </x:c>
      <x:c r="B41" s="715"/>
      <x:c r="C41" s="715"/>
      <x:c r="D41" s="715"/>
      <x:c r="E41" s="715"/>
      <x:c r="F41" s="715"/>
      <x:c r="G41" s="715"/>
      <x:c r="H41" s="715"/>
      <x:c r="I41" s="715"/>
      <x:c r="J41" s="715"/>
      <x:c r="K41" s="715"/>
      <x:c r="L41" s="715"/>
      <x:c r="M41" s="715"/>
      <x:c r="N41" s="716"/>
      <x:c r="Q41" s="1625"/>
      <x:c r="R41" s="1626"/>
      <x:c r="S41" s="1626"/>
      <x:c r="T41" s="1626"/>
      <x:c r="U41" s="1626"/>
      <x:c r="V41" s="1627"/>
    </x:row>
    <x:row r="42">
      <x:c r="A42" s="1157" t="str">
        <x:v>Late 2025 / early 2026</x:v>
      </x:c>
      <x:c r="B42" s="1149" t="str">
        <x:v>Movement start remains under verification</x:v>
      </x:c>
      <x:c r="C42" s="1150" t="str">
        <x:v>Uncertain</x:v>
      </x:c>
      <x:c r="D42" s="1190" t="str">
        <x:v>Timeline interaction in the website:
• Vertical sequence on mobile
• Each item opens its supporting claims and sources
• Announced actions are visually distinct from occurred actions
• Outcomes are labelled as announced, partial or implemented</x:v>
      </x:c>
      <x:c r="E42" s="1191"/>
      <x:c r="F42" s="1191"/>
      <x:c r="G42" s="1191"/>
      <x:c r="H42" s="1191"/>
      <x:c r="I42" s="1191"/>
      <x:c r="J42" s="1191"/>
      <x:c r="K42" s="1191"/>
      <x:c r="L42" s="1191"/>
      <x:c r="M42" s="1191"/>
      <x:c r="N42" s="1192"/>
      <x:c r="Q42" s="1625"/>
      <x:c r="R42" s="1626"/>
      <x:c r="S42" s="1626"/>
      <x:c r="T42" s="1626"/>
      <x:c r="U42" s="1626"/>
      <x:c r="V42" s="1627"/>
    </x:row>
    <x:row r="43">
      <x:c r="A43" s="1158" t="str">
        <x:v>June 2026</x:v>
      </x:c>
      <x:c r="B43" s="1152" t="str">
        <x:v>First-phase acquisition notification reported</x:v>
      </x:c>
      <x:c r="C43" s="1153" t="str">
        <x:v>Corroborated</x:v>
      </x:c>
      <x:c r="D43" s="1193"/>
      <x:c r="E43" s="1194"/>
      <x:c r="F43" s="1194"/>
      <x:c r="G43" s="1194"/>
      <x:c r="H43" s="1194"/>
      <x:c r="I43" s="1194"/>
      <x:c r="J43" s="1194"/>
      <x:c r="K43" s="1194"/>
      <x:c r="L43" s="1194"/>
      <x:c r="M43" s="1194"/>
      <x:c r="N43" s="1195"/>
      <x:c r="Q43" s="1625"/>
      <x:c r="R43" s="1626"/>
      <x:c r="S43" s="1626"/>
      <x:c r="T43" s="1626"/>
      <x:c r="U43" s="1626"/>
      <x:c r="V43" s="1627"/>
    </x:row>
    <x:row r="44">
      <x:c r="A44" s="1158" t="str">
        <x:v>28 Jun</x:v>
      </x:c>
      <x:c r="B44" s="1152" t="str">
        <x:v>Appiko tree-hugging protest</x:v>
      </x:c>
      <x:c r="C44" s="1153" t="str">
        <x:v>Corroborated</x:v>
      </x:c>
      <x:c r="D44" s="1193"/>
      <x:c r="E44" s="1194"/>
      <x:c r="F44" s="1194"/>
      <x:c r="G44" s="1194"/>
      <x:c r="H44" s="1194"/>
      <x:c r="I44" s="1194"/>
      <x:c r="J44" s="1194"/>
      <x:c r="K44" s="1194"/>
      <x:c r="L44" s="1194"/>
      <x:c r="M44" s="1194"/>
      <x:c r="N44" s="1195"/>
      <x:c r="Q44" s="1628"/>
      <x:c r="R44" s="1629"/>
      <x:c r="S44" s="1629"/>
      <x:c r="T44" s="1629"/>
      <x:c r="U44" s="1629"/>
      <x:c r="V44" s="1630"/>
    </x:row>
    <x:row r="45">
      <x:c r="A45" s="1158" t="str">
        <x:v>13 Jul</x:v>
      </x:c>
      <x:c r="B45" s="1152" t="str">
        <x:v>Survey confrontation in Mandalahalli</x:v>
      </x:c>
      <x:c r="C45" s="1153" t="str">
        <x:v>Occurrence verified; responsibility disputed</x:v>
      </x:c>
      <x:c r="D45" s="1193"/>
      <x:c r="E45" s="1194"/>
      <x:c r="F45" s="1194"/>
      <x:c r="G45" s="1194"/>
      <x:c r="H45" s="1194"/>
      <x:c r="I45" s="1194"/>
      <x:c r="J45" s="1194"/>
      <x:c r="K45" s="1194"/>
      <x:c r="L45" s="1194"/>
      <x:c r="M45" s="1194"/>
      <x:c r="N45" s="1195"/>
      <x:c r="Q45" s="804"/>
      <x:c r="R45" s="805"/>
      <x:c r="S45" s="805"/>
      <x:c r="T45" s="805"/>
      <x:c r="U45" s="805"/>
      <x:c r="V45" s="806"/>
    </x:row>
    <x:row r="46">
      <x:c r="A46" s="1159" t="str">
        <x:v>15 Jul</x:v>
      </x:c>
      <x:c r="B46" s="1155" t="str">
        <x:v>Government review committee reported</x:v>
      </x:c>
      <x:c r="C46" s="1156" t="str">
        <x:v>Official document required</x:v>
      </x:c>
      <x:c r="D46" s="1196"/>
      <x:c r="E46" s="1197"/>
      <x:c r="F46" s="1197"/>
      <x:c r="G46" s="1197"/>
      <x:c r="H46" s="1197"/>
      <x:c r="I46" s="1197"/>
      <x:c r="J46" s="1197"/>
      <x:c r="K46" s="1197"/>
      <x:c r="L46" s="1197"/>
      <x:c r="M46" s="1197"/>
      <x:c r="N46" s="1198"/>
      <x:c r="Q46" s="714" t="str">
        <x:v>Timeline</x:v>
      </x:c>
      <x:c r="R46" s="715"/>
      <x:c r="S46" s="715"/>
      <x:c r="T46" s="715"/>
      <x:c r="U46" s="715"/>
      <x:c r="V46" s="716"/>
    </x:row>
    <x:row r="47">
      <x:c r="A47" s="804"/>
      <x:c r="B47" s="805"/>
      <x:c r="C47" s="805"/>
      <x:c r="D47" s="805"/>
      <x:c r="E47" s="805"/>
      <x:c r="F47" s="805"/>
      <x:c r="G47" s="805"/>
      <x:c r="H47" s="805"/>
      <x:c r="I47" s="805"/>
      <x:c r="J47" s="805"/>
      <x:c r="K47" s="805"/>
      <x:c r="L47" s="805"/>
      <x:c r="M47" s="805"/>
      <x:c r="N47" s="806"/>
      <x:c r="Q47" s="1219" t="str">
        <x:v>Jun — Acquisition notification
28 Jun — Appiko protest
13 Jul — Survey confrontation
15 Jul — Review committee reported</x:v>
      </x:c>
      <x:c r="R47" s="1220"/>
      <x:c r="S47" s="1220"/>
      <x:c r="T47" s="1220"/>
      <x:c r="U47" s="1220"/>
      <x:c r="V47" s="1221"/>
    </x:row>
    <x:row r="48">
      <x:c r="A48" s="714" t="str">
        <x:v>Claims and evidence</x:v>
      </x:c>
      <x:c r="B48" s="715"/>
      <x:c r="C48" s="715"/>
      <x:c r="D48" s="715"/>
      <x:c r="E48" s="715"/>
      <x:c r="F48" s="715"/>
      <x:c r="G48" s="715"/>
      <x:c r="H48" s="715"/>
      <x:c r="I48" s="715"/>
      <x:c r="J48" s="715"/>
      <x:c r="K48" s="715"/>
      <x:c r="L48" s="715"/>
      <x:c r="M48" s="715"/>
      <x:c r="N48" s="716"/>
      <x:c r="Q48" s="1481"/>
      <x:c r="R48" s="1482"/>
      <x:c r="S48" s="1482"/>
      <x:c r="T48" s="1482"/>
      <x:c r="U48" s="1482"/>
      <x:c r="V48" s="1483"/>
    </x:row>
    <x:row r="49">
      <x:c r="A49" s="804" t="str">
        <x:v>Claim</x:v>
      </x:c>
      <x:c r="B49" s="805" t="str">
        <x:v>Status</x:v>
      </x:c>
      <x:c r="C49" s="805" t="str">
        <x:v>Who says this?</x:v>
      </x:c>
      <x:c r="D49" s="805" t="str">
        <x:v>Evidence</x:v>
      </x:c>
      <x:c r="E49" s="805"/>
      <x:c r="F49" s="805"/>
      <x:c r="G49" s="805"/>
      <x:c r="H49" s="805"/>
      <x:c r="I49" s="805"/>
      <x:c r="J49" s="805"/>
      <x:c r="K49" s="805"/>
      <x:c r="L49" s="805"/>
      <x:c r="M49" s="805"/>
      <x:c r="N49" s="806"/>
      <x:c r="Q49" s="1481"/>
      <x:c r="R49" s="1482"/>
      <x:c r="S49" s="1482"/>
      <x:c r="T49" s="1482"/>
      <x:c r="U49" s="1482"/>
      <x:c r="V49" s="1483"/>
    </x:row>
    <x:row r="50">
      <x:c r="A50" s="1219" t="str">
        <x:v>Farmers have conducted a sustained movement opposing acquisition.</x:v>
      </x:c>
      <x:c r="B50" s="1220"/>
      <x:c r="C50" s="1220"/>
      <x:c r="D50" s="1220"/>
      <x:c r="E50" s="1220"/>
      <x:c r="F50" s="1221"/>
      <x:c r="G50" s="1244" t="str">
        <x:v>CORROBORATED</x:v>
      </x:c>
      <x:c r="H50" s="1245"/>
      <x:c r="I50" s="1246"/>
      <x:c r="J50" s="1269" t="str">
        <x:v>India Observed synthesis</x:v>
      </x:c>
      <x:c r="K50" s="1270"/>
      <x:c r="L50" s="1271"/>
      <x:c r="M50" s="1289" t="str">
        <x:v>3 independent source families</x:v>
      </x:c>
      <x:c r="N50" s="1290"/>
      <x:c r="Q50" s="1481"/>
      <x:c r="R50" s="1482"/>
      <x:c r="S50" s="1482"/>
      <x:c r="T50" s="1482"/>
      <x:c r="U50" s="1482"/>
      <x:c r="V50" s="1483"/>
    </x:row>
    <x:row r="51">
      <x:c r="A51" s="1293" t="str">
        <x:v>The first phase covers approximately 518 acres across three villages.</x:v>
      </x:c>
      <x:c r="B51" s="1294"/>
      <x:c r="C51" s="1294"/>
      <x:c r="D51" s="1294"/>
      <x:c r="E51" s="1294"/>
      <x:c r="F51" s="1295"/>
      <x:c r="G51" s="1296" t="str">
        <x:v>CORROBORATED</x:v>
      </x:c>
      <x:c r="H51" s="1297"/>
      <x:c r="I51" s="1298"/>
      <x:c r="J51" s="1299" t="str">
        <x:v>Government notification as reported</x:v>
      </x:c>
      <x:c r="K51" s="1300"/>
      <x:c r="L51" s="1301"/>
      <x:c r="M51" s="1302" t="str">
        <x:v>2 reports; original gazette still required</x:v>
      </x:c>
      <x:c r="N51" s="1303"/>
      <x:c r="Q51" s="1481"/>
      <x:c r="R51" s="1482"/>
      <x:c r="S51" s="1482"/>
      <x:c r="T51" s="1482"/>
      <x:c r="U51" s="1482"/>
      <x:c r="V51" s="1483"/>
    </x:row>
    <x:row r="52">
      <x:c r="A52" s="1293" t="str">
        <x:v>The project threatens productive farmland and green cover.</x:v>
      </x:c>
      <x:c r="B52" s="1294"/>
      <x:c r="C52" s="1294"/>
      <x:c r="D52" s="1294"/>
      <x:c r="E52" s="1294"/>
      <x:c r="F52" s="1295"/>
      <x:c r="G52" s="1311" t="str">
        <x:v>ATTRIBUTED</x:v>
      </x:c>
      <x:c r="H52" s="1312"/>
      <x:c r="I52" s="1313"/>
      <x:c r="J52" s="1299" t="str">
        <x:v>Affected farmers</x:v>
      </x:c>
      <x:c r="K52" s="1300"/>
      <x:c r="L52" s="1301"/>
      <x:c r="M52" s="1302" t="str">
        <x:v>Ground reporting; exact scale under review</x:v>
      </x:c>
      <x:c r="N52" s="1303"/>
      <x:c r="Q52" s="1481"/>
      <x:c r="R52" s="1482"/>
      <x:c r="S52" s="1482"/>
      <x:c r="T52" s="1482"/>
      <x:c r="U52" s="1482"/>
      <x:c r="V52" s="1483"/>
    </x:row>
    <x:row r="53">
      <x:c r="A53" s="1293" t="str">
        <x:v>Responsibility for violence during the survey confrontation.</x:v>
      </x:c>
      <x:c r="B53" s="1294"/>
      <x:c r="C53" s="1294"/>
      <x:c r="D53" s="1294"/>
      <x:c r="E53" s="1294"/>
      <x:c r="F53" s="1295"/>
      <x:c r="G53" s="1331" t="str">
        <x:v>DISPUTED</x:v>
      </x:c>
      <x:c r="H53" s="1332"/>
      <x:c r="I53" s="1333"/>
      <x:c r="J53" s="1299" t="str">
        <x:v>Police and protest representatives</x:v>
      </x:c>
      <x:c r="K53" s="1300"/>
      <x:c r="L53" s="1301"/>
      <x:c r="M53" s="1302" t="str">
        <x:v>FIR allegations and denial recorded separately</x:v>
      </x:c>
      <x:c r="N53" s="1303"/>
      <x:c r="Q53" s="1481"/>
      <x:c r="R53" s="1482"/>
      <x:c r="S53" s="1482"/>
      <x:c r="T53" s="1482"/>
      <x:c r="U53" s="1482"/>
      <x:c r="V53" s="1483"/>
    </x:row>
    <x:row r="54">
      <x:c r="A54" s="1222"/>
      <x:c r="B54" s="1223"/>
      <x:c r="C54" s="1223"/>
      <x:c r="D54" s="1223"/>
      <x:c r="E54" s="1223"/>
      <x:c r="F54" s="1224"/>
      <x:c r="G54" s="1327"/>
      <x:c r="H54" s="1328"/>
      <x:c r="I54" s="1329"/>
      <x:c r="J54" s="1272"/>
      <x:c r="K54" s="1273"/>
      <x:c r="L54" s="1274"/>
      <x:c r="M54" s="1291"/>
      <x:c r="N54" s="1292"/>
      <x:c r="Q54" s="1481"/>
      <x:c r="R54" s="1482"/>
      <x:c r="S54" s="1482"/>
      <x:c r="T54" s="1482"/>
      <x:c r="U54" s="1482"/>
      <x:c r="V54" s="1483"/>
    </x:row>
    <x:row r="55">
      <x:c r="A55" s="804"/>
      <x:c r="B55" s="805"/>
      <x:c r="C55" s="805"/>
      <x:c r="D55" s="805"/>
      <x:c r="E55" s="805"/>
      <x:c r="F55" s="805"/>
      <x:c r="G55" s="805"/>
      <x:c r="H55" s="805"/>
      <x:c r="I55" s="805"/>
      <x:c r="J55" s="805"/>
      <x:c r="K55" s="805"/>
      <x:c r="L55" s="805"/>
      <x:c r="M55" s="805"/>
      <x:c r="N55" s="806"/>
      <x:c r="Q55" s="1222"/>
      <x:c r="R55" s="1223"/>
      <x:c r="S55" s="1223"/>
      <x:c r="T55" s="1223"/>
      <x:c r="U55" s="1223"/>
      <x:c r="V55" s="1224"/>
    </x:row>
    <x:row r="56">
      <x:c r="A56" s="804"/>
      <x:c r="B56" s="805"/>
      <x:c r="C56" s="805"/>
      <x:c r="D56" s="805"/>
      <x:c r="E56" s="805"/>
      <x:c r="F56" s="805"/>
      <x:c r="G56" s="805"/>
      <x:c r="H56" s="805"/>
      <x:c r="I56" s="805"/>
      <x:c r="J56" s="805"/>
      <x:c r="K56" s="805"/>
      <x:c r="L56" s="805"/>
      <x:c r="M56" s="805"/>
      <x:c r="N56" s="806"/>
      <x:c r="Q56" s="804"/>
      <x:c r="R56" s="805"/>
      <x:c r="S56" s="805"/>
      <x:c r="T56" s="805"/>
      <x:c r="U56" s="805"/>
      <x:c r="V56" s="806"/>
    </x:row>
    <x:row r="57">
      <x:c r="A57" s="804"/>
      <x:c r="B57" s="805"/>
      <x:c r="C57" s="805"/>
      <x:c r="D57" s="805"/>
      <x:c r="E57" s="805"/>
      <x:c r="F57" s="805"/>
      <x:c r="G57" s="805"/>
      <x:c r="H57" s="805"/>
      <x:c r="I57" s="805"/>
      <x:c r="J57" s="805"/>
      <x:c r="K57" s="805"/>
      <x:c r="L57" s="805"/>
      <x:c r="M57" s="805"/>
      <x:c r="N57" s="806"/>
      <x:c r="Q57" s="714" t="str">
        <x:v>Claims</x:v>
      </x:c>
      <x:c r="R57" s="715"/>
      <x:c r="S57" s="715"/>
      <x:c r="T57" s="715"/>
      <x:c r="U57" s="715"/>
      <x:c r="V57" s="716"/>
    </x:row>
    <x:row r="58">
      <x:c r="A58" s="804"/>
      <x:c r="B58" s="805"/>
      <x:c r="C58" s="805"/>
      <x:c r="D58" s="805"/>
      <x:c r="E58" s="805"/>
      <x:c r="F58" s="805"/>
      <x:c r="G58" s="805"/>
      <x:c r="H58" s="805"/>
      <x:c r="I58" s="805"/>
      <x:c r="J58" s="805"/>
      <x:c r="K58" s="805"/>
      <x:c r="L58" s="805"/>
      <x:c r="M58" s="805"/>
      <x:c r="N58" s="806"/>
      <x:c r="Q58" s="1219" t="str">
        <x:v>✓ Movement occurred — Corroborated
✓ 518-acre first phase — Corroborated
! Farmland impact — Attributed
≠ Responsibility for violence — Disputed
[View all claims and evidence]</x:v>
      </x:c>
      <x:c r="R58" s="1220"/>
      <x:c r="S58" s="1220"/>
      <x:c r="T58" s="1220"/>
      <x:c r="U58" s="1220"/>
      <x:c r="V58" s="1221"/>
    </x:row>
    <x:row r="59">
      <x:c r="A59" s="714" t="str">
        <x:v>Different accounts</x:v>
      </x:c>
      <x:c r="B59" s="715"/>
      <x:c r="C59" s="715"/>
      <x:c r="D59" s="715"/>
      <x:c r="E59" s="715"/>
      <x:c r="F59" s="715"/>
      <x:c r="G59" s="715"/>
      <x:c r="H59" s="715"/>
      <x:c r="I59" s="715"/>
      <x:c r="J59" s="715"/>
      <x:c r="K59" s="715"/>
      <x:c r="L59" s="715"/>
      <x:c r="M59" s="715"/>
      <x:c r="N59" s="716"/>
      <x:c r="Q59" s="1481"/>
      <x:c r="R59" s="1482"/>
      <x:c r="S59" s="1482"/>
      <x:c r="T59" s="1482"/>
      <x:c r="U59" s="1482"/>
      <x:c r="V59" s="1483"/>
    </x:row>
    <x:row r="60">
      <x:c r="A60" s="1361" t="str">
        <x:v>GOVERNMENT / POLICE ACCOUNT
Compensation options were offered. FIRs allege assault, obstruction and damage during the survey.</x:v>
      </x:c>
      <x:c r="B60" s="1362"/>
      <x:c r="C60" s="1362"/>
      <x:c r="D60" s="1362"/>
      <x:c r="E60" s="1362"/>
      <x:c r="F60" s="1363"/>
      <x:c r="G60" s="1190" t="str">
        <x:v>PROTESTERS' ACCOUNT
Farmers dispute the level of consent, describe livelihood and environmental harm, and deny organisational responsibility for violence.</x:v>
      </x:c>
      <x:c r="H60" s="1191"/>
      <x:c r="I60" s="1191"/>
      <x:c r="J60" s="1191"/>
      <x:c r="K60" s="1191"/>
      <x:c r="L60" s="1192"/>
      <x:c r="M60" s="1390" t="str">
        <x:v>INDIA OBSERVED
Occurrence verified.
Responsibility unresolved.</x:v>
      </x:c>
      <x:c r="N60" s="1391"/>
      <x:c r="Q60" s="1481"/>
      <x:c r="R60" s="1482"/>
      <x:c r="S60" s="1482"/>
      <x:c r="T60" s="1482"/>
      <x:c r="U60" s="1482"/>
      <x:c r="V60" s="1483"/>
    </x:row>
    <x:row r="61">
      <x:c r="A61" s="1364"/>
      <x:c r="B61" s="1365"/>
      <x:c r="C61" s="1365"/>
      <x:c r="D61" s="1365"/>
      <x:c r="E61" s="1365"/>
      <x:c r="F61" s="1366"/>
      <x:c r="G61" s="1193"/>
      <x:c r="H61" s="1194"/>
      <x:c r="I61" s="1194"/>
      <x:c r="J61" s="1194"/>
      <x:c r="K61" s="1194"/>
      <x:c r="L61" s="1195"/>
      <x:c r="M61" s="1392"/>
      <x:c r="N61" s="1393"/>
      <x:c r="Q61" s="1481"/>
      <x:c r="R61" s="1482"/>
      <x:c r="S61" s="1482"/>
      <x:c r="T61" s="1482"/>
      <x:c r="U61" s="1482"/>
      <x:c r="V61" s="1483"/>
    </x:row>
    <x:row r="62">
      <x:c r="A62" s="1364"/>
      <x:c r="B62" s="1365"/>
      <x:c r="C62" s="1365"/>
      <x:c r="D62" s="1365"/>
      <x:c r="E62" s="1365"/>
      <x:c r="F62" s="1366"/>
      <x:c r="G62" s="1193"/>
      <x:c r="H62" s="1194"/>
      <x:c r="I62" s="1194"/>
      <x:c r="J62" s="1194"/>
      <x:c r="K62" s="1194"/>
      <x:c r="L62" s="1195"/>
      <x:c r="M62" s="1392"/>
      <x:c r="N62" s="1393"/>
      <x:c r="Q62" s="1481"/>
      <x:c r="R62" s="1482"/>
      <x:c r="S62" s="1482"/>
      <x:c r="T62" s="1482"/>
      <x:c r="U62" s="1482"/>
      <x:c r="V62" s="1483"/>
    </x:row>
    <x:row r="63">
      <x:c r="A63" s="1364"/>
      <x:c r="B63" s="1365"/>
      <x:c r="C63" s="1365"/>
      <x:c r="D63" s="1365"/>
      <x:c r="E63" s="1365"/>
      <x:c r="F63" s="1366"/>
      <x:c r="G63" s="1193"/>
      <x:c r="H63" s="1194"/>
      <x:c r="I63" s="1194"/>
      <x:c r="J63" s="1194"/>
      <x:c r="K63" s="1194"/>
      <x:c r="L63" s="1195"/>
      <x:c r="M63" s="1392"/>
      <x:c r="N63" s="1393"/>
      <x:c r="Q63" s="1481"/>
      <x:c r="R63" s="1482"/>
      <x:c r="S63" s="1482"/>
      <x:c r="T63" s="1482"/>
      <x:c r="U63" s="1482"/>
      <x:c r="V63" s="1483"/>
    </x:row>
    <x:row r="64">
      <x:c r="A64" s="1364"/>
      <x:c r="B64" s="1365"/>
      <x:c r="C64" s="1365"/>
      <x:c r="D64" s="1365"/>
      <x:c r="E64" s="1365"/>
      <x:c r="F64" s="1366"/>
      <x:c r="G64" s="1193"/>
      <x:c r="H64" s="1194"/>
      <x:c r="I64" s="1194"/>
      <x:c r="J64" s="1194"/>
      <x:c r="K64" s="1194"/>
      <x:c r="L64" s="1195"/>
      <x:c r="M64" s="1392"/>
      <x:c r="N64" s="1393"/>
      <x:c r="Q64" s="1481"/>
      <x:c r="R64" s="1482"/>
      <x:c r="S64" s="1482"/>
      <x:c r="T64" s="1482"/>
      <x:c r="U64" s="1482"/>
      <x:c r="V64" s="1483"/>
    </x:row>
    <x:row r="65">
      <x:c r="A65" s="1364"/>
      <x:c r="B65" s="1365"/>
      <x:c r="C65" s="1365"/>
      <x:c r="D65" s="1365"/>
      <x:c r="E65" s="1365"/>
      <x:c r="F65" s="1366"/>
      <x:c r="G65" s="1193"/>
      <x:c r="H65" s="1194"/>
      <x:c r="I65" s="1194"/>
      <x:c r="J65" s="1194"/>
      <x:c r="K65" s="1194"/>
      <x:c r="L65" s="1195"/>
      <x:c r="M65" s="1392"/>
      <x:c r="N65" s="1393"/>
      <x:c r="Q65" s="1481"/>
      <x:c r="R65" s="1482"/>
      <x:c r="S65" s="1482"/>
      <x:c r="T65" s="1482"/>
      <x:c r="U65" s="1482"/>
      <x:c r="V65" s="1483"/>
    </x:row>
    <x:row r="66">
      <x:c r="A66" s="1364"/>
      <x:c r="B66" s="1365"/>
      <x:c r="C66" s="1365"/>
      <x:c r="D66" s="1365"/>
      <x:c r="E66" s="1365"/>
      <x:c r="F66" s="1366"/>
      <x:c r="G66" s="1193"/>
      <x:c r="H66" s="1194"/>
      <x:c r="I66" s="1194"/>
      <x:c r="J66" s="1194"/>
      <x:c r="K66" s="1194"/>
      <x:c r="L66" s="1195"/>
      <x:c r="M66" s="1392"/>
      <x:c r="N66" s="1393"/>
      <x:c r="Q66" s="1481"/>
      <x:c r="R66" s="1482"/>
      <x:c r="S66" s="1482"/>
      <x:c r="T66" s="1482"/>
      <x:c r="U66" s="1482"/>
      <x:c r="V66" s="1483"/>
    </x:row>
    <x:row r="67">
      <x:c r="A67" s="1367"/>
      <x:c r="B67" s="1368"/>
      <x:c r="C67" s="1368"/>
      <x:c r="D67" s="1368"/>
      <x:c r="E67" s="1368"/>
      <x:c r="F67" s="1369"/>
      <x:c r="G67" s="1196"/>
      <x:c r="H67" s="1197"/>
      <x:c r="I67" s="1197"/>
      <x:c r="J67" s="1197"/>
      <x:c r="K67" s="1197"/>
      <x:c r="L67" s="1198"/>
      <x:c r="M67" s="1394"/>
      <x:c r="N67" s="1395"/>
      <x:c r="Q67" s="1222"/>
      <x:c r="R67" s="1223"/>
      <x:c r="S67" s="1223"/>
      <x:c r="T67" s="1223"/>
      <x:c r="U67" s="1223"/>
      <x:c r="V67" s="1224"/>
    </x:row>
    <x:row r="68">
      <x:c r="A68" s="1426" t="str">
        <x:v>The interface does not place two accounts side by side merely for visual balance. It explains which evidence supports each account and where evidence quality differs.</x:v>
      </x:c>
      <x:c r="B68" s="1427"/>
      <x:c r="C68" s="1427"/>
      <x:c r="D68" s="1427"/>
      <x:c r="E68" s="1427"/>
      <x:c r="F68" s="1427"/>
      <x:c r="G68" s="1427"/>
      <x:c r="H68" s="1427"/>
      <x:c r="I68" s="1427"/>
      <x:c r="J68" s="1427"/>
      <x:c r="K68" s="1427"/>
      <x:c r="L68" s="1427"/>
      <x:c r="M68" s="1427"/>
      <x:c r="N68" s="1428"/>
      <x:c r="Q68" s="804"/>
      <x:c r="R68" s="805"/>
      <x:c r="S68" s="805"/>
      <x:c r="T68" s="805"/>
      <x:c r="U68" s="805"/>
      <x:c r="V68" s="806"/>
    </x:row>
    <x:row r="69">
      <x:c r="A69" s="1429"/>
      <x:c r="B69" s="1430"/>
      <x:c r="C69" s="1430"/>
      <x:c r="D69" s="1430"/>
      <x:c r="E69" s="1430"/>
      <x:c r="F69" s="1430"/>
      <x:c r="G69" s="1430"/>
      <x:c r="H69" s="1430"/>
      <x:c r="I69" s="1430"/>
      <x:c r="J69" s="1430"/>
      <x:c r="K69" s="1430"/>
      <x:c r="L69" s="1430"/>
      <x:c r="M69" s="1430"/>
      <x:c r="N69" s="1431"/>
      <x:c r="Q69" s="714" t="str">
        <x:v>Sources</x:v>
      </x:c>
      <x:c r="R69" s="715"/>
      <x:c r="S69" s="715"/>
      <x:c r="T69" s="715"/>
      <x:c r="U69" s="715"/>
      <x:c r="V69" s="716"/>
    </x:row>
    <x:row r="70">
      <x:c r="A70" s="1432"/>
      <x:c r="B70" s="1433"/>
      <x:c r="C70" s="1433"/>
      <x:c r="D70" s="1433"/>
      <x:c r="E70" s="1433"/>
      <x:c r="F70" s="1433"/>
      <x:c r="G70" s="1433"/>
      <x:c r="H70" s="1433"/>
      <x:c r="I70" s="1433"/>
      <x:c r="J70" s="1433"/>
      <x:c r="K70" s="1433"/>
      <x:c r="L70" s="1433"/>
      <x:c r="M70" s="1433"/>
      <x:c r="N70" s="1434"/>
      <x:c r="Q70" s="1289" t="str">
        <x:v>The News Minute — Ground report
[Open original]
The New Indian Express — Acquisition report
[Open original]
India Today — FIR reporting
[Open original]</x:v>
      </x:c>
      <x:c r="R70" s="1646"/>
      <x:c r="S70" s="1646"/>
      <x:c r="T70" s="1646"/>
      <x:c r="U70" s="1646"/>
      <x:c r="V70" s="1290"/>
    </x:row>
    <x:row r="71">
      <x:c r="A71" s="804"/>
      <x:c r="B71" s="805"/>
      <x:c r="C71" s="805"/>
      <x:c r="D71" s="805"/>
      <x:c r="E71" s="805"/>
      <x:c r="F71" s="805"/>
      <x:c r="G71" s="805"/>
      <x:c r="H71" s="805"/>
      <x:c r="I71" s="805"/>
      <x:c r="J71" s="805"/>
      <x:c r="K71" s="805"/>
      <x:c r="L71" s="805"/>
      <x:c r="M71" s="805"/>
      <x:c r="N71" s="806"/>
      <x:c r="Q71" s="1647"/>
      <x:c r="R71" s="1648"/>
      <x:c r="S71" s="1648"/>
      <x:c r="T71" s="1648"/>
      <x:c r="U71" s="1648"/>
      <x:c r="V71" s="1649"/>
    </x:row>
    <x:row r="72">
      <x:c r="A72" s="714" t="str">
        <x:v>Sources</x:v>
      </x:c>
      <x:c r="B72" s="715"/>
      <x:c r="C72" s="715"/>
      <x:c r="D72" s="715"/>
      <x:c r="E72" s="715"/>
      <x:c r="F72" s="715"/>
      <x:c r="G72" s="715"/>
      <x:c r="H72" s="715"/>
      <x:c r="I72" s="715"/>
      <x:c r="J72" s="715"/>
      <x:c r="K72" s="715"/>
      <x:c r="L72" s="715"/>
      <x:c r="M72" s="715"/>
      <x:c r="N72" s="716"/>
      <x:c r="Q72" s="1647"/>
      <x:c r="R72" s="1648"/>
      <x:c r="S72" s="1648"/>
      <x:c r="T72" s="1648"/>
      <x:c r="U72" s="1648"/>
      <x:c r="V72" s="1649"/>
    </x:row>
    <x:row r="73">
      <x:c r="A73" s="1463" t="str">
        <x:v>The News Minute
Ground report on Bidadi farmers
29 Jun 2026
[Open original source]
Lead / original reporting</x:v>
      </x:c>
      <x:c r="B73" s="1464"/>
      <x:c r="C73" s="1464"/>
      <x:c r="D73" s="1464"/>
      <x:c r="E73" s="1465"/>
      <x:c r="F73" s="1463" t="str">
        <x:v>The New Indian Express
Government set to acquire first-phase land
13 Jun 2026
[Open original source]
Independent corroboration</x:v>
      </x:c>
      <x:c r="G73" s="1464"/>
      <x:c r="H73" s="1464"/>
      <x:c r="I73" s="1464"/>
      <x:c r="J73" s="1465"/>
      <x:c r="K73" s="1463" t="str">
        <x:v>India Today
FIRs after survey confrontation
14 Jul 2026
[Open original source]
Conflicting accounts</x:v>
      </x:c>
      <x:c r="L73" s="1464"/>
      <x:c r="M73" s="1464"/>
      <x:c r="N73" s="1465"/>
      <x:c r="Q73" s="1647"/>
      <x:c r="R73" s="1648"/>
      <x:c r="S73" s="1648"/>
      <x:c r="T73" s="1648"/>
      <x:c r="U73" s="1648"/>
      <x:c r="V73" s="1649"/>
    </x:row>
    <x:row r="74">
      <x:c r="A74" s="1466"/>
      <x:c r="B74" s="1467"/>
      <x:c r="C74" s="1467"/>
      <x:c r="D74" s="1467"/>
      <x:c r="E74" s="1468"/>
      <x:c r="F74" s="1466"/>
      <x:c r="G74" s="1467"/>
      <x:c r="H74" s="1467"/>
      <x:c r="I74" s="1467"/>
      <x:c r="J74" s="1468"/>
      <x:c r="K74" s="1466"/>
      <x:c r="L74" s="1467"/>
      <x:c r="M74" s="1467"/>
      <x:c r="N74" s="1468"/>
      <x:c r="Q74" s="1647"/>
      <x:c r="R74" s="1648"/>
      <x:c r="S74" s="1648"/>
      <x:c r="T74" s="1648"/>
      <x:c r="U74" s="1648"/>
      <x:c r="V74" s="1649"/>
    </x:row>
    <x:row r="75">
      <x:c r="A75" s="1466"/>
      <x:c r="B75" s="1467"/>
      <x:c r="C75" s="1467"/>
      <x:c r="D75" s="1467"/>
      <x:c r="E75" s="1468"/>
      <x:c r="F75" s="1466"/>
      <x:c r="G75" s="1467"/>
      <x:c r="H75" s="1467"/>
      <x:c r="I75" s="1467"/>
      <x:c r="J75" s="1468"/>
      <x:c r="K75" s="1466"/>
      <x:c r="L75" s="1467"/>
      <x:c r="M75" s="1467"/>
      <x:c r="N75" s="1468"/>
      <x:c r="Q75" s="1647"/>
      <x:c r="R75" s="1648"/>
      <x:c r="S75" s="1648"/>
      <x:c r="T75" s="1648"/>
      <x:c r="U75" s="1648"/>
      <x:c r="V75" s="1649"/>
    </x:row>
    <x:row r="76">
      <x:c r="A76" s="1466"/>
      <x:c r="B76" s="1467"/>
      <x:c r="C76" s="1467"/>
      <x:c r="D76" s="1467"/>
      <x:c r="E76" s="1468"/>
      <x:c r="F76" s="1466"/>
      <x:c r="G76" s="1467"/>
      <x:c r="H76" s="1467"/>
      <x:c r="I76" s="1467"/>
      <x:c r="J76" s="1468"/>
      <x:c r="K76" s="1466"/>
      <x:c r="L76" s="1467"/>
      <x:c r="M76" s="1467"/>
      <x:c r="N76" s="1468"/>
      <x:c r="Q76" s="1647"/>
      <x:c r="R76" s="1648"/>
      <x:c r="S76" s="1648"/>
      <x:c r="T76" s="1648"/>
      <x:c r="U76" s="1648"/>
      <x:c r="V76" s="1649"/>
    </x:row>
    <x:row r="77">
      <x:c r="A77" s="1466"/>
      <x:c r="B77" s="1467"/>
      <x:c r="C77" s="1467"/>
      <x:c r="D77" s="1467"/>
      <x:c r="E77" s="1468"/>
      <x:c r="F77" s="1466"/>
      <x:c r="G77" s="1467"/>
      <x:c r="H77" s="1467"/>
      <x:c r="I77" s="1467"/>
      <x:c r="J77" s="1468"/>
      <x:c r="K77" s="1466"/>
      <x:c r="L77" s="1467"/>
      <x:c r="M77" s="1467"/>
      <x:c r="N77" s="1468"/>
      <x:c r="Q77" s="1647"/>
      <x:c r="R77" s="1648"/>
      <x:c r="S77" s="1648"/>
      <x:c r="T77" s="1648"/>
      <x:c r="U77" s="1648"/>
      <x:c r="V77" s="1649"/>
    </x:row>
    <x:row r="78">
      <x:c r="A78" s="1466"/>
      <x:c r="B78" s="1467"/>
      <x:c r="C78" s="1467"/>
      <x:c r="D78" s="1467"/>
      <x:c r="E78" s="1468"/>
      <x:c r="F78" s="1466"/>
      <x:c r="G78" s="1467"/>
      <x:c r="H78" s="1467"/>
      <x:c r="I78" s="1467"/>
      <x:c r="J78" s="1468"/>
      <x:c r="K78" s="1466"/>
      <x:c r="L78" s="1467"/>
      <x:c r="M78" s="1467"/>
      <x:c r="N78" s="1468"/>
      <x:c r="Q78" s="1647"/>
      <x:c r="R78" s="1648"/>
      <x:c r="S78" s="1648"/>
      <x:c r="T78" s="1648"/>
      <x:c r="U78" s="1648"/>
      <x:c r="V78" s="1649"/>
    </x:row>
    <x:row r="79">
      <x:c r="A79" s="1469"/>
      <x:c r="B79" s="1470"/>
      <x:c r="C79" s="1470"/>
      <x:c r="D79" s="1470"/>
      <x:c r="E79" s="1471"/>
      <x:c r="F79" s="1469"/>
      <x:c r="G79" s="1470"/>
      <x:c r="H79" s="1470"/>
      <x:c r="I79" s="1470"/>
      <x:c r="J79" s="1471"/>
      <x:c r="K79" s="1469"/>
      <x:c r="L79" s="1470"/>
      <x:c r="M79" s="1470"/>
      <x:c r="N79" s="1471"/>
      <x:c r="Q79" s="1291"/>
      <x:c r="R79" s="1650"/>
      <x:c r="S79" s="1650"/>
      <x:c r="T79" s="1650"/>
      <x:c r="U79" s="1650"/>
      <x:c r="V79" s="1292"/>
    </x:row>
    <x:row r="80">
      <x:c r="A80" s="804"/>
      <x:c r="B80" s="805"/>
      <x:c r="C80" s="805"/>
      <x:c r="D80" s="805"/>
      <x:c r="E80" s="805"/>
      <x:c r="F80" s="805"/>
      <x:c r="G80" s="805"/>
      <x:c r="H80" s="805"/>
      <x:c r="I80" s="805"/>
      <x:c r="J80" s="805"/>
      <x:c r="K80" s="805"/>
      <x:c r="L80" s="805"/>
      <x:c r="M80" s="805"/>
      <x:c r="N80" s="806"/>
      <x:c r="Q80" s="804"/>
      <x:c r="R80" s="805"/>
      <x:c r="S80" s="805"/>
      <x:c r="T80" s="805"/>
      <x:c r="U80" s="805"/>
      <x:c r="V80" s="806"/>
    </x:row>
    <x:row r="81">
      <x:c r="A81" s="714" t="str">
        <x:v>Corrections and record history</x:v>
      </x:c>
      <x:c r="B81" s="715"/>
      <x:c r="C81" s="715"/>
      <x:c r="D81" s="715"/>
      <x:c r="E81" s="715"/>
      <x:c r="F81" s="715"/>
      <x:c r="G81" s="715"/>
      <x:c r="H81" s="715"/>
      <x:c r="I81" s="715"/>
      <x:c r="J81" s="715"/>
      <x:c r="K81" s="715"/>
      <x:c r="L81" s="715"/>
      <x:c r="M81" s="715"/>
      <x:c r="N81" s="716"/>
      <x:c r="Q81" s="714" t="str">
        <x:v>Record history</x:v>
      </x:c>
      <x:c r="R81" s="715"/>
      <x:c r="S81" s="715"/>
      <x:c r="T81" s="715"/>
      <x:c r="U81" s="715"/>
      <x:c r="V81" s="716"/>
    </x:row>
    <x:row r="82">
      <x:c r="A82" s="1219" t="str">
        <x:v>No public correction logged for this event.
Any material correction will show the earlier wording, corrected wording, date and reason.</x:v>
      </x:c>
      <x:c r="B82" s="1220"/>
      <x:c r="C82" s="1220"/>
      <x:c r="D82" s="1220"/>
      <x:c r="E82" s="1220"/>
      <x:c r="F82" s="1220"/>
      <x:c r="G82" s="1220"/>
      <x:c r="H82" s="1221"/>
      <x:c r="I82" s="1269" t="str">
        <x:v>Record version
Added: 15 Jul 2026
Last reviewed: 15 Jul 2026
Methodology: v0.4
[Suggest a correction]</x:v>
      </x:c>
      <x:c r="J82" s="1270"/>
      <x:c r="K82" s="1270"/>
      <x:c r="L82" s="1270"/>
      <x:c r="M82" s="1270"/>
      <x:c r="N82" s="1271"/>
      <x:c r="Q82" s="1269" t="str">
        <x:v>Last reviewed: 15 Jul 2026
Methodology: v0.4
No public correction logged.
[Suggest a correction]</x:v>
      </x:c>
      <x:c r="R82" s="1270"/>
      <x:c r="S82" s="1270"/>
      <x:c r="T82" s="1270"/>
      <x:c r="U82" s="1270"/>
      <x:c r="V82" s="1271"/>
    </x:row>
    <x:row r="83">
      <x:c r="A83" s="1481"/>
      <x:c r="B83" s="1482"/>
      <x:c r="C83" s="1482"/>
      <x:c r="D83" s="1482"/>
      <x:c r="E83" s="1482"/>
      <x:c r="F83" s="1482"/>
      <x:c r="G83" s="1482"/>
      <x:c r="H83" s="1483"/>
      <x:c r="I83" s="1493"/>
      <x:c r="J83" s="1494"/>
      <x:c r="K83" s="1494"/>
      <x:c r="L83" s="1494"/>
      <x:c r="M83" s="1494"/>
      <x:c r="N83" s="1495"/>
      <x:c r="Q83" s="1493"/>
      <x:c r="R83" s="1494"/>
      <x:c r="S83" s="1494"/>
      <x:c r="T83" s="1494"/>
      <x:c r="U83" s="1494"/>
      <x:c r="V83" s="1495"/>
    </x:row>
    <x:row r="84">
      <x:c r="A84" s="1481"/>
      <x:c r="B84" s="1482"/>
      <x:c r="C84" s="1482"/>
      <x:c r="D84" s="1482"/>
      <x:c r="E84" s="1482"/>
      <x:c r="F84" s="1482"/>
      <x:c r="G84" s="1482"/>
      <x:c r="H84" s="1483"/>
      <x:c r="I84" s="1493"/>
      <x:c r="J84" s="1494"/>
      <x:c r="K84" s="1494"/>
      <x:c r="L84" s="1494"/>
      <x:c r="M84" s="1494"/>
      <x:c r="N84" s="1495"/>
      <x:c r="Q84" s="1493"/>
      <x:c r="R84" s="1494"/>
      <x:c r="S84" s="1494"/>
      <x:c r="T84" s="1494"/>
      <x:c r="U84" s="1494"/>
      <x:c r="V84" s="1495"/>
    </x:row>
    <x:row r="85">
      <x:c r="A85" s="1481"/>
      <x:c r="B85" s="1482"/>
      <x:c r="C85" s="1482"/>
      <x:c r="D85" s="1482"/>
      <x:c r="E85" s="1482"/>
      <x:c r="F85" s="1482"/>
      <x:c r="G85" s="1482"/>
      <x:c r="H85" s="1483"/>
      <x:c r="I85" s="1493"/>
      <x:c r="J85" s="1494"/>
      <x:c r="K85" s="1494"/>
      <x:c r="L85" s="1494"/>
      <x:c r="M85" s="1494"/>
      <x:c r="N85" s="1495"/>
      <x:c r="Q85" s="1493"/>
      <x:c r="R85" s="1494"/>
      <x:c r="S85" s="1494"/>
      <x:c r="T85" s="1494"/>
      <x:c r="U85" s="1494"/>
      <x:c r="V85" s="1495"/>
    </x:row>
    <x:row r="86">
      <x:c r="A86" s="1481"/>
      <x:c r="B86" s="1482"/>
      <x:c r="C86" s="1482"/>
      <x:c r="D86" s="1482"/>
      <x:c r="E86" s="1482"/>
      <x:c r="F86" s="1482"/>
      <x:c r="G86" s="1482"/>
      <x:c r="H86" s="1483"/>
      <x:c r="I86" s="1493"/>
      <x:c r="J86" s="1494"/>
      <x:c r="K86" s="1494"/>
      <x:c r="L86" s="1494"/>
      <x:c r="M86" s="1494"/>
      <x:c r="N86" s="1495"/>
      <x:c r="Q86" s="1493"/>
      <x:c r="R86" s="1494"/>
      <x:c r="S86" s="1494"/>
      <x:c r="T86" s="1494"/>
      <x:c r="U86" s="1494"/>
      <x:c r="V86" s="1495"/>
    </x:row>
    <x:row r="87">
      <x:c r="A87" s="1222"/>
      <x:c r="B87" s="1223"/>
      <x:c r="C87" s="1223"/>
      <x:c r="D87" s="1223"/>
      <x:c r="E87" s="1223"/>
      <x:c r="F87" s="1223"/>
      <x:c r="G87" s="1223"/>
      <x:c r="H87" s="1224"/>
      <x:c r="I87" s="1272"/>
      <x:c r="J87" s="1273"/>
      <x:c r="K87" s="1273"/>
      <x:c r="L87" s="1273"/>
      <x:c r="M87" s="1273"/>
      <x:c r="N87" s="1274"/>
      <x:c r="Q87" s="1493"/>
      <x:c r="R87" s="1494"/>
      <x:c r="S87" s="1494"/>
      <x:c r="T87" s="1494"/>
      <x:c r="U87" s="1494"/>
      <x:c r="V87" s="1495"/>
    </x:row>
    <x:row r="88">
      <x:c r="A88" s="804"/>
      <x:c r="B88" s="805"/>
      <x:c r="C88" s="805"/>
      <x:c r="D88" s="805"/>
      <x:c r="E88" s="805"/>
      <x:c r="F88" s="805"/>
      <x:c r="G88" s="805"/>
      <x:c r="H88" s="805"/>
      <x:c r="I88" s="805"/>
      <x:c r="J88" s="805"/>
      <x:c r="K88" s="805"/>
      <x:c r="L88" s="805"/>
      <x:c r="M88" s="805"/>
      <x:c r="N88" s="806"/>
      <x:c r="Q88" s="1272"/>
      <x:c r="R88" s="1273"/>
      <x:c r="S88" s="1273"/>
      <x:c r="T88" s="1273"/>
      <x:c r="U88" s="1273"/>
      <x:c r="V88" s="1274"/>
    </x:row>
    <x:row r="89">
      <x:c r="A89" s="1531" t="str">
        <x:v>Footer: About • Scope • Methodology • Corrections • Privacy • Accessibility • Submit a lead</x:v>
      </x:c>
      <x:c r="B89" s="1532"/>
      <x:c r="C89" s="1532"/>
      <x:c r="D89" s="1532"/>
      <x:c r="E89" s="1532"/>
      <x:c r="F89" s="1532"/>
      <x:c r="G89" s="1532"/>
      <x:c r="H89" s="1532"/>
      <x:c r="I89" s="1532"/>
      <x:c r="J89" s="1532"/>
      <x:c r="K89" s="1532"/>
      <x:c r="L89" s="1532"/>
      <x:c r="M89" s="1532"/>
      <x:c r="N89" s="1533"/>
      <x:c r="Q89" s="804"/>
      <x:c r="R89" s="805"/>
      <x:c r="S89" s="805"/>
      <x:c r="T89" s="805"/>
      <x:c r="U89" s="805"/>
      <x:c r="V89" s="806"/>
    </x:row>
    <x:row r="90">
      <x:c r="A90" s="1534"/>
      <x:c r="B90" s="1535"/>
      <x:c r="C90" s="1535"/>
      <x:c r="D90" s="1535"/>
      <x:c r="E90" s="1535"/>
      <x:c r="F90" s="1535"/>
      <x:c r="G90" s="1535"/>
      <x:c r="H90" s="1535"/>
      <x:c r="I90" s="1535"/>
      <x:c r="J90" s="1535"/>
      <x:c r="K90" s="1535"/>
      <x:c r="L90" s="1535"/>
      <x:c r="M90" s="1535"/>
      <x:c r="N90" s="1536"/>
      <x:c r="Q90" s="1531" t="str">
        <x:v>Home • Browse • Methodology • Lead</x:v>
      </x:c>
      <x:c r="R90" s="1532"/>
      <x:c r="S90" s="1532"/>
      <x:c r="T90" s="1532"/>
      <x:c r="U90" s="1532"/>
      <x:c r="V90" s="1533"/>
    </x:row>
    <x:row r="91">
      <x:c r="A91" s="1534"/>
      <x:c r="B91" s="1535"/>
      <x:c r="C91" s="1535"/>
      <x:c r="D91" s="1535"/>
      <x:c r="E91" s="1535"/>
      <x:c r="F91" s="1535"/>
      <x:c r="G91" s="1535"/>
      <x:c r="H91" s="1535"/>
      <x:c r="I91" s="1535"/>
      <x:c r="J91" s="1535"/>
      <x:c r="K91" s="1535"/>
      <x:c r="L91" s="1535"/>
      <x:c r="M91" s="1535"/>
      <x:c r="N91" s="1536"/>
      <x:c r="Q91" s="1534"/>
      <x:c r="R91" s="1535"/>
      <x:c r="S91" s="1535"/>
      <x:c r="T91" s="1535"/>
      <x:c r="U91" s="1535"/>
      <x:c r="V91" s="1536"/>
    </x:row>
    <x:row r="92">
      <x:c r="A92" s="1537"/>
      <x:c r="B92" s="1538"/>
      <x:c r="C92" s="1538"/>
      <x:c r="D92" s="1538"/>
      <x:c r="E92" s="1538"/>
      <x:c r="F92" s="1538"/>
      <x:c r="G92" s="1538"/>
      <x:c r="H92" s="1538"/>
      <x:c r="I92" s="1538"/>
      <x:c r="J92" s="1538"/>
      <x:c r="K92" s="1538"/>
      <x:c r="L92" s="1538"/>
      <x:c r="M92" s="1538"/>
      <x:c r="N92" s="1539"/>
      <x:c r="Q92" s="1537"/>
      <x:c r="R92" s="1538"/>
      <x:c r="S92" s="1538"/>
      <x:c r="T92" s="1538"/>
      <x:c r="U92" s="1538"/>
      <x:c r="V92" s="1539"/>
    </x:row>
    <x:row r="94">
      <x:c r="A94" s="1426" t="str">
        <x:v>Desktop review: verification status appears beside the title; the neutral summary precedes the detailed dispute; source links remain visible; corrections and last-reviewed information are not hidden.</x:v>
      </x:c>
      <x:c r="B94" s="1427"/>
      <x:c r="C94" s="1427"/>
      <x:c r="D94" s="1427"/>
      <x:c r="E94" s="1427"/>
      <x:c r="F94" s="1427"/>
      <x:c r="G94" s="1427"/>
      <x:c r="H94" s="1427"/>
      <x:c r="I94" s="1427"/>
      <x:c r="J94" s="1427"/>
      <x:c r="K94" s="1427"/>
      <x:c r="L94" s="1427"/>
      <x:c r="M94" s="1427"/>
      <x:c r="N94" s="1428"/>
      <x:c r="Q94" s="1426" t="str">
        <x:v>Mobile review: every section becomes one column; claim tables become cards; different accounts may use an accordion; essential status and uncertainty remain above the fold.</x:v>
      </x:c>
      <x:c r="R94" s="1427"/>
      <x:c r="S94" s="1427"/>
      <x:c r="T94" s="1427"/>
      <x:c r="U94" s="1427"/>
      <x:c r="V94" s="1428"/>
    </x:row>
    <x:row r="95">
      <x:c r="A95" s="1429"/>
      <x:c r="B95" s="1430"/>
      <x:c r="C95" s="1430"/>
      <x:c r="D95" s="1430"/>
      <x:c r="E95" s="1430"/>
      <x:c r="F95" s="1430"/>
      <x:c r="G95" s="1430"/>
      <x:c r="H95" s="1430"/>
      <x:c r="I95" s="1430"/>
      <x:c r="J95" s="1430"/>
      <x:c r="K95" s="1430"/>
      <x:c r="L95" s="1430"/>
      <x:c r="M95" s="1430"/>
      <x:c r="N95" s="1431"/>
      <x:c r="Q95" s="1429"/>
      <x:c r="R95" s="1430"/>
      <x:c r="S95" s="1430"/>
      <x:c r="T95" s="1430"/>
      <x:c r="U95" s="1430"/>
      <x:c r="V95" s="1431"/>
    </x:row>
    <x:row r="96">
      <x:c r="A96" s="1429"/>
      <x:c r="B96" s="1430"/>
      <x:c r="C96" s="1430"/>
      <x:c r="D96" s="1430"/>
      <x:c r="E96" s="1430"/>
      <x:c r="F96" s="1430"/>
      <x:c r="G96" s="1430"/>
      <x:c r="H96" s="1430"/>
      <x:c r="I96" s="1430"/>
      <x:c r="J96" s="1430"/>
      <x:c r="K96" s="1430"/>
      <x:c r="L96" s="1430"/>
      <x:c r="M96" s="1430"/>
      <x:c r="N96" s="1431"/>
      <x:c r="Q96" s="1429"/>
      <x:c r="R96" s="1430"/>
      <x:c r="S96" s="1430"/>
      <x:c r="T96" s="1430"/>
      <x:c r="U96" s="1430"/>
      <x:c r="V96" s="1431"/>
    </x:row>
    <x:row r="97">
      <x:c r="A97" s="1429"/>
      <x:c r="B97" s="1430"/>
      <x:c r="C97" s="1430"/>
      <x:c r="D97" s="1430"/>
      <x:c r="E97" s="1430"/>
      <x:c r="F97" s="1430"/>
      <x:c r="G97" s="1430"/>
      <x:c r="H97" s="1430"/>
      <x:c r="I97" s="1430"/>
      <x:c r="J97" s="1430"/>
      <x:c r="K97" s="1430"/>
      <x:c r="L97" s="1430"/>
      <x:c r="M97" s="1430"/>
      <x:c r="N97" s="1431"/>
      <x:c r="Q97" s="1429"/>
      <x:c r="R97" s="1430"/>
      <x:c r="S97" s="1430"/>
      <x:c r="T97" s="1430"/>
      <x:c r="U97" s="1430"/>
      <x:c r="V97" s="1431"/>
    </x:row>
    <x:row r="98">
      <x:c r="A98" s="1432"/>
      <x:c r="B98" s="1433"/>
      <x:c r="C98" s="1433"/>
      <x:c r="D98" s="1433"/>
      <x:c r="E98" s="1433"/>
      <x:c r="F98" s="1433"/>
      <x:c r="G98" s="1433"/>
      <x:c r="H98" s="1433"/>
      <x:c r="I98" s="1433"/>
      <x:c r="J98" s="1433"/>
      <x:c r="K98" s="1433"/>
      <x:c r="L98" s="1433"/>
      <x:c r="M98" s="1433"/>
      <x:c r="N98" s="1434"/>
      <x:c r="Q98" s="1432"/>
      <x:c r="R98" s="1433"/>
      <x:c r="S98" s="1433"/>
      <x:c r="T98" s="1433"/>
      <x:c r="U98" s="1433"/>
      <x:c r="V98" s="1434"/>
    </x:row>
  </x:sheetData>
  <x:mergeCells>
    <x:mergeCell ref="A1:V2"/>
    <x:mergeCell ref="A3:V4"/>
    <x:mergeCell ref="A6:N8"/>
    <x:mergeCell ref="A9:N10"/>
    <x:mergeCell ref="A11:J15"/>
    <x:mergeCell ref="K11:N15"/>
    <x:mergeCell ref="A16:N18"/>
    <x:mergeCell ref="A19:J21"/>
    <x:mergeCell ref="K19:N21"/>
    <x:mergeCell ref="A23:N23"/>
    <x:mergeCell ref="A24:N30"/>
    <x:mergeCell ref="A32:N32"/>
    <x:mergeCell ref="A33:E39"/>
    <x:mergeCell ref="F33:J39"/>
    <x:mergeCell ref="K33:N39"/>
    <x:mergeCell ref="A41:N41"/>
    <x:mergeCell ref="D42:N46"/>
    <x:mergeCell ref="A48:N48"/>
    <x:mergeCell ref="A50:F51"/>
    <x:mergeCell ref="G50:I51"/>
    <x:mergeCell ref="J50:L51"/>
    <x:mergeCell ref="M50:N51"/>
    <x:mergeCell ref="A51:F52"/>
    <x:mergeCell ref="G51:I52"/>
    <x:mergeCell ref="J51:L52"/>
    <x:mergeCell ref="M51:N52"/>
    <x:mergeCell ref="A52:F53"/>
    <x:mergeCell ref="G52:I53"/>
    <x:mergeCell ref="J52:L53"/>
    <x:mergeCell ref="M52:N53"/>
    <x:mergeCell ref="A53:F54"/>
    <x:mergeCell ref="G53:I54"/>
    <x:mergeCell ref="J53:L54"/>
    <x:mergeCell ref="M53:N54"/>
    <x:mergeCell ref="A59:N59"/>
    <x:mergeCell ref="A60:F67"/>
    <x:mergeCell ref="G60:L67"/>
    <x:mergeCell ref="M60:N67"/>
    <x:mergeCell ref="A68:N70"/>
    <x:mergeCell ref="A72:N72"/>
    <x:mergeCell ref="A73:E79"/>
    <x:mergeCell ref="F73:J79"/>
    <x:mergeCell ref="K73:N79"/>
    <x:mergeCell ref="A81:N81"/>
    <x:mergeCell ref="A82:H87"/>
    <x:mergeCell ref="I82:N87"/>
    <x:mergeCell ref="A89:N92"/>
    <x:mergeCell ref="Q6:V9"/>
    <x:mergeCell ref="Q10:V16"/>
    <x:mergeCell ref="Q17:V20"/>
    <x:mergeCell ref="Q21:V23"/>
    <x:mergeCell ref="Q25:V25"/>
    <x:mergeCell ref="Q26:V34"/>
    <x:mergeCell ref="Q36:V36"/>
    <x:mergeCell ref="Q37:V44"/>
    <x:mergeCell ref="Q46:V46"/>
    <x:mergeCell ref="Q47:V55"/>
    <x:mergeCell ref="Q57:V57"/>
    <x:mergeCell ref="Q58:V67"/>
    <x:mergeCell ref="Q69:V69"/>
    <x:mergeCell ref="Q70:V79"/>
    <x:mergeCell ref="Q81:V81"/>
    <x:mergeCell ref="Q82:V88"/>
    <x:mergeCell ref="Q90:V92"/>
    <x:mergeCell ref="A94:N98"/>
    <x:mergeCell ref="Q94:V98"/>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671" t="str">
        <x:v>Wireframe — Home Page</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The home page explains the project first, then helps visitors search and discover records without implying comprehensive coverage.</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848" t="str">
        <x:v>INDIA OBSERVED     Home   Browse   Methodology   Corrections   [Submit a lead]</x:v>
      </x:c>
      <x:c r="B6" s="849"/>
      <x:c r="C6" s="849"/>
      <x:c r="D6" s="849"/>
      <x:c r="E6" s="849"/>
      <x:c r="F6" s="849"/>
      <x:c r="G6" s="849"/>
      <x:c r="H6" s="849"/>
      <x:c r="I6" s="849"/>
      <x:c r="J6" s="849"/>
      <x:c r="K6" s="849"/>
      <x:c r="L6" s="849"/>
      <x:c r="M6" s="849"/>
      <x:c r="N6" s="849"/>
      <x:c r="O6" s="849"/>
      <x:c r="P6" s="849"/>
      <x:c r="Q6" s="849"/>
      <x:c r="R6" s="850"/>
    </x:row>
    <x:row r="7">
      <x:c r="A7" s="851"/>
      <x:c r="B7" s="852"/>
      <x:c r="C7" s="852"/>
      <x:c r="D7" s="852"/>
      <x:c r="E7" s="852"/>
      <x:c r="F7" s="852"/>
      <x:c r="G7" s="852"/>
      <x:c r="H7" s="852"/>
      <x:c r="I7" s="852"/>
      <x:c r="J7" s="852"/>
      <x:c r="K7" s="852"/>
      <x:c r="L7" s="852"/>
      <x:c r="M7" s="852"/>
      <x:c r="N7" s="852"/>
      <x:c r="O7" s="852"/>
      <x:c r="P7" s="852"/>
      <x:c r="Q7" s="852"/>
      <x:c r="R7" s="853"/>
    </x:row>
    <x:row r="8">
      <x:c r="A8" s="854"/>
      <x:c r="B8" s="855"/>
      <x:c r="C8" s="855"/>
      <x:c r="D8" s="855"/>
      <x:c r="E8" s="855"/>
      <x:c r="F8" s="855"/>
      <x:c r="G8" s="855"/>
      <x:c r="H8" s="855"/>
      <x:c r="I8" s="855"/>
      <x:c r="J8" s="855"/>
      <x:c r="K8" s="855"/>
      <x:c r="L8" s="855"/>
      <x:c r="M8" s="855"/>
      <x:c r="N8" s="855"/>
      <x:c r="O8" s="855"/>
      <x:c r="P8" s="855"/>
      <x:c r="Q8" s="855"/>
      <x:c r="R8" s="856"/>
    </x:row>
    <x:row r="9">
      <x:c r="A9" s="804"/>
      <x:c r="B9" s="805"/>
      <x:c r="C9" s="805"/>
      <x:c r="D9" s="805"/>
      <x:c r="E9" s="805"/>
      <x:c r="F9" s="805"/>
      <x:c r="G9" s="805"/>
      <x:c r="H9" s="805"/>
      <x:c r="I9" s="805"/>
      <x:c r="J9" s="805"/>
      <x:c r="K9" s="805"/>
      <x:c r="L9" s="805"/>
      <x:c r="M9" s="805"/>
      <x:c r="N9" s="805"/>
      <x:c r="O9" s="805"/>
      <x:c r="P9" s="805"/>
      <x:c r="Q9" s="805"/>
      <x:c r="R9" s="806"/>
    </x:row>
    <x:row r="10">
      <x:c r="A10" s="1683" t="str">
        <x:v>A public, source-linked repository of protests and civic movements in India
Curated records • Claim-level verification • Transparent corrections • No live tracking</x:v>
      </x:c>
      <x:c r="B10" s="1684"/>
      <x:c r="C10" s="1684"/>
      <x:c r="D10" s="1684"/>
      <x:c r="E10" s="1684"/>
      <x:c r="F10" s="1684"/>
      <x:c r="G10" s="1684"/>
      <x:c r="H10" s="1684"/>
      <x:c r="I10" s="1684"/>
      <x:c r="J10" s="1684"/>
      <x:c r="K10" s="1684"/>
      <x:c r="L10" s="1684"/>
      <x:c r="M10" s="1684"/>
      <x:c r="N10" s="1684"/>
      <x:c r="O10" s="1684"/>
      <x:c r="P10" s="1684"/>
      <x:c r="Q10" s="1684"/>
      <x:c r="R10" s="1685"/>
    </x:row>
    <x:row r="11">
      <x:c r="A11" s="1686"/>
      <x:c r="B11" s="1687"/>
      <x:c r="C11" s="1687"/>
      <x:c r="D11" s="1687"/>
      <x:c r="E11" s="1687"/>
      <x:c r="F11" s="1687"/>
      <x:c r="G11" s="1687"/>
      <x:c r="H11" s="1687"/>
      <x:c r="I11" s="1687"/>
      <x:c r="J11" s="1687"/>
      <x:c r="K11" s="1687"/>
      <x:c r="L11" s="1687"/>
      <x:c r="M11" s="1687"/>
      <x:c r="N11" s="1687"/>
      <x:c r="O11" s="1687"/>
      <x:c r="P11" s="1687"/>
      <x:c r="Q11" s="1687"/>
      <x:c r="R11" s="1688"/>
    </x:row>
    <x:row r="12">
      <x:c r="A12" s="1686"/>
      <x:c r="B12" s="1687"/>
      <x:c r="C12" s="1687"/>
      <x:c r="D12" s="1687"/>
      <x:c r="E12" s="1687"/>
      <x:c r="F12" s="1687"/>
      <x:c r="G12" s="1687"/>
      <x:c r="H12" s="1687"/>
      <x:c r="I12" s="1687"/>
      <x:c r="J12" s="1687"/>
      <x:c r="K12" s="1687"/>
      <x:c r="L12" s="1687"/>
      <x:c r="M12" s="1687"/>
      <x:c r="N12" s="1687"/>
      <x:c r="O12" s="1687"/>
      <x:c r="P12" s="1687"/>
      <x:c r="Q12" s="1687"/>
      <x:c r="R12" s="1688"/>
    </x:row>
    <x:row r="13">
      <x:c r="A13" s="1686"/>
      <x:c r="B13" s="1687"/>
      <x:c r="C13" s="1687"/>
      <x:c r="D13" s="1687"/>
      <x:c r="E13" s="1687"/>
      <x:c r="F13" s="1687"/>
      <x:c r="G13" s="1687"/>
      <x:c r="H13" s="1687"/>
      <x:c r="I13" s="1687"/>
      <x:c r="J13" s="1687"/>
      <x:c r="K13" s="1687"/>
      <x:c r="L13" s="1687"/>
      <x:c r="M13" s="1687"/>
      <x:c r="N13" s="1687"/>
      <x:c r="O13" s="1687"/>
      <x:c r="P13" s="1687"/>
      <x:c r="Q13" s="1687"/>
      <x:c r="R13" s="1688"/>
    </x:row>
    <x:row r="14">
      <x:c r="A14" s="1686"/>
      <x:c r="B14" s="1687"/>
      <x:c r="C14" s="1687"/>
      <x:c r="D14" s="1687"/>
      <x:c r="E14" s="1687"/>
      <x:c r="F14" s="1687"/>
      <x:c r="G14" s="1687"/>
      <x:c r="H14" s="1687"/>
      <x:c r="I14" s="1687"/>
      <x:c r="J14" s="1687"/>
      <x:c r="K14" s="1687"/>
      <x:c r="L14" s="1687"/>
      <x:c r="M14" s="1687"/>
      <x:c r="N14" s="1687"/>
      <x:c r="O14" s="1687"/>
      <x:c r="P14" s="1687"/>
      <x:c r="Q14" s="1687"/>
      <x:c r="R14" s="1688"/>
    </x:row>
    <x:row r="15">
      <x:c r="A15" s="1686"/>
      <x:c r="B15" s="1687"/>
      <x:c r="C15" s="1687"/>
      <x:c r="D15" s="1687"/>
      <x:c r="E15" s="1687"/>
      <x:c r="F15" s="1687"/>
      <x:c r="G15" s="1687"/>
      <x:c r="H15" s="1687"/>
      <x:c r="I15" s="1687"/>
      <x:c r="J15" s="1687"/>
      <x:c r="K15" s="1687"/>
      <x:c r="L15" s="1687"/>
      <x:c r="M15" s="1687"/>
      <x:c r="N15" s="1687"/>
      <x:c r="O15" s="1687"/>
      <x:c r="P15" s="1687"/>
      <x:c r="Q15" s="1687"/>
      <x:c r="R15" s="1688"/>
    </x:row>
    <x:row r="16">
      <x:c r="A16" s="1686"/>
      <x:c r="B16" s="1687"/>
      <x:c r="C16" s="1687"/>
      <x:c r="D16" s="1687"/>
      <x:c r="E16" s="1687"/>
      <x:c r="F16" s="1687"/>
      <x:c r="G16" s="1687"/>
      <x:c r="H16" s="1687"/>
      <x:c r="I16" s="1687"/>
      <x:c r="J16" s="1687"/>
      <x:c r="K16" s="1687"/>
      <x:c r="L16" s="1687"/>
      <x:c r="M16" s="1687"/>
      <x:c r="N16" s="1687"/>
      <x:c r="O16" s="1687"/>
      <x:c r="P16" s="1687"/>
      <x:c r="Q16" s="1687"/>
      <x:c r="R16" s="1688"/>
    </x:row>
    <x:row r="17">
      <x:c r="A17" s="1686"/>
      <x:c r="B17" s="1687"/>
      <x:c r="C17" s="1687"/>
      <x:c r="D17" s="1687"/>
      <x:c r="E17" s="1687"/>
      <x:c r="F17" s="1687"/>
      <x:c r="G17" s="1687"/>
      <x:c r="H17" s="1687"/>
      <x:c r="I17" s="1687"/>
      <x:c r="J17" s="1687"/>
      <x:c r="K17" s="1687"/>
      <x:c r="L17" s="1687"/>
      <x:c r="M17" s="1687"/>
      <x:c r="N17" s="1687"/>
      <x:c r="O17" s="1687"/>
      <x:c r="P17" s="1687"/>
      <x:c r="Q17" s="1687"/>
      <x:c r="R17" s="1688"/>
    </x:row>
    <x:row r="18">
      <x:c r="A18" s="1686"/>
      <x:c r="B18" s="1687"/>
      <x:c r="C18" s="1687"/>
      <x:c r="D18" s="1687"/>
      <x:c r="E18" s="1687"/>
      <x:c r="F18" s="1687"/>
      <x:c r="G18" s="1687"/>
      <x:c r="H18" s="1687"/>
      <x:c r="I18" s="1687"/>
      <x:c r="J18" s="1687"/>
      <x:c r="K18" s="1687"/>
      <x:c r="L18" s="1687"/>
      <x:c r="M18" s="1687"/>
      <x:c r="N18" s="1687"/>
      <x:c r="O18" s="1687"/>
      <x:c r="P18" s="1687"/>
      <x:c r="Q18" s="1687"/>
      <x:c r="R18" s="1688"/>
    </x:row>
    <x:row r="19">
      <x:c r="A19" s="1689"/>
      <x:c r="B19" s="1690"/>
      <x:c r="C19" s="1690"/>
      <x:c r="D19" s="1690"/>
      <x:c r="E19" s="1690"/>
      <x:c r="F19" s="1690"/>
      <x:c r="G19" s="1690"/>
      <x:c r="H19" s="1690"/>
      <x:c r="I19" s="1690"/>
      <x:c r="J19" s="1690"/>
      <x:c r="K19" s="1690"/>
      <x:c r="L19" s="1690"/>
      <x:c r="M19" s="1690"/>
      <x:c r="N19" s="1690"/>
      <x:c r="O19" s="1690"/>
      <x:c r="P19" s="1690"/>
      <x:c r="Q19" s="1690"/>
      <x:c r="R19" s="1691"/>
    </x:row>
    <x:row r="20">
      <x:c r="A20" s="804"/>
      <x:c r="B20" s="805"/>
      <x:c r="C20" s="805"/>
      <x:c r="D20" s="805"/>
      <x:c r="E20" s="805"/>
      <x:c r="F20" s="805"/>
      <x:c r="G20" s="805"/>
      <x:c r="H20" s="805"/>
      <x:c r="I20" s="805"/>
      <x:c r="J20" s="805"/>
      <x:c r="K20" s="805"/>
      <x:c r="L20" s="805"/>
      <x:c r="M20" s="805"/>
      <x:c r="N20" s="805"/>
      <x:c r="O20" s="805"/>
      <x:c r="P20" s="805"/>
      <x:c r="Q20" s="805"/>
      <x:c r="R20" s="806"/>
    </x:row>
    <x:row r="21">
      <x:c r="A21" s="804"/>
      <x:c r="B21" s="805"/>
      <x:c r="C21" s="805"/>
      <x:c r="D21" s="1719" t="str">
        <x:v>Search by event, place, organisation, project or issue     [ Search ]</x:v>
      </x:c>
      <x:c r="E21" s="1720"/>
      <x:c r="F21" s="1720"/>
      <x:c r="G21" s="1720"/>
      <x:c r="H21" s="1720"/>
      <x:c r="I21" s="1720"/>
      <x:c r="J21" s="1720"/>
      <x:c r="K21" s="1720"/>
      <x:c r="L21" s="1720"/>
      <x:c r="M21" s="1720"/>
      <x:c r="N21" s="1720"/>
      <x:c r="O21" s="1721"/>
      <x:c r="P21" s="805"/>
      <x:c r="Q21" s="805"/>
      <x:c r="R21" s="806"/>
    </x:row>
    <x:row r="22">
      <x:c r="A22" s="804"/>
      <x:c r="B22" s="805"/>
      <x:c r="C22" s="805"/>
      <x:c r="D22" s="1722"/>
      <x:c r="E22" s="1723"/>
      <x:c r="F22" s="1723"/>
      <x:c r="G22" s="1723"/>
      <x:c r="H22" s="1723"/>
      <x:c r="I22" s="1723"/>
      <x:c r="J22" s="1723"/>
      <x:c r="K22" s="1723"/>
      <x:c r="L22" s="1723"/>
      <x:c r="M22" s="1723"/>
      <x:c r="N22" s="1723"/>
      <x:c r="O22" s="1724"/>
      <x:c r="P22" s="805"/>
      <x:c r="Q22" s="805"/>
      <x:c r="R22" s="806"/>
    </x:row>
    <x:row r="23">
      <x:c r="A23" s="804"/>
      <x:c r="B23" s="805"/>
      <x:c r="C23" s="805"/>
      <x:c r="D23" s="1722"/>
      <x:c r="E23" s="1723"/>
      <x:c r="F23" s="1723"/>
      <x:c r="G23" s="1723"/>
      <x:c r="H23" s="1723"/>
      <x:c r="I23" s="1723"/>
      <x:c r="J23" s="1723"/>
      <x:c r="K23" s="1723"/>
      <x:c r="L23" s="1723"/>
      <x:c r="M23" s="1723"/>
      <x:c r="N23" s="1723"/>
      <x:c r="O23" s="1724"/>
      <x:c r="P23" s="805"/>
      <x:c r="Q23" s="805"/>
      <x:c r="R23" s="806"/>
    </x:row>
    <x:row r="24">
      <x:c r="A24" s="804"/>
      <x:c r="B24" s="805"/>
      <x:c r="C24" s="805"/>
      <x:c r="D24" s="1722"/>
      <x:c r="E24" s="1723"/>
      <x:c r="F24" s="1723"/>
      <x:c r="G24" s="1723"/>
      <x:c r="H24" s="1723"/>
      <x:c r="I24" s="1723"/>
      <x:c r="J24" s="1723"/>
      <x:c r="K24" s="1723"/>
      <x:c r="L24" s="1723"/>
      <x:c r="M24" s="1723"/>
      <x:c r="N24" s="1723"/>
      <x:c r="O24" s="1724"/>
      <x:c r="P24" s="805"/>
      <x:c r="Q24" s="805"/>
      <x:c r="R24" s="806"/>
    </x:row>
    <x:row r="25">
      <x:c r="A25" s="804"/>
      <x:c r="B25" s="805"/>
      <x:c r="C25" s="805"/>
      <x:c r="D25" s="1725"/>
      <x:c r="E25" s="1726"/>
      <x:c r="F25" s="1726"/>
      <x:c r="G25" s="1726"/>
      <x:c r="H25" s="1726"/>
      <x:c r="I25" s="1726"/>
      <x:c r="J25" s="1726"/>
      <x:c r="K25" s="1726"/>
      <x:c r="L25" s="1726"/>
      <x:c r="M25" s="1726"/>
      <x:c r="N25" s="1726"/>
      <x:c r="O25" s="1727"/>
      <x:c r="P25" s="805"/>
      <x:c r="Q25" s="805"/>
      <x:c r="R25" s="806"/>
    </x:row>
    <x:row r="26">
      <x:c r="A26" s="804"/>
      <x:c r="B26" s="805"/>
      <x:c r="C26" s="805"/>
      <x:c r="D26" s="805"/>
      <x:c r="E26" s="805"/>
      <x:c r="F26" s="805"/>
      <x:c r="G26" s="805"/>
      <x:c r="H26" s="805"/>
      <x:c r="I26" s="805"/>
      <x:c r="J26" s="805"/>
      <x:c r="K26" s="805"/>
      <x:c r="L26" s="805"/>
      <x:c r="M26" s="805"/>
      <x:c r="N26" s="805"/>
      <x:c r="O26" s="805"/>
      <x:c r="P26" s="805"/>
      <x:c r="Q26" s="805"/>
      <x:c r="R26" s="806"/>
    </x:row>
    <x:row r="27">
      <x:c r="A27" s="1738" t="str">
        <x:v>India Observed documents selected public events. It does not claim to capture every event in India, identify ordinary participants or provide real-time protest locations.</x:v>
      </x:c>
      <x:c r="B27" s="1739"/>
      <x:c r="C27" s="1739"/>
      <x:c r="D27" s="1739"/>
      <x:c r="E27" s="1739"/>
      <x:c r="F27" s="1739"/>
      <x:c r="G27" s="1739"/>
      <x:c r="H27" s="1739"/>
      <x:c r="I27" s="1739"/>
      <x:c r="J27" s="1739"/>
      <x:c r="K27" s="1739"/>
      <x:c r="L27" s="1739"/>
      <x:c r="M27" s="1739"/>
      <x:c r="N27" s="1739"/>
      <x:c r="O27" s="1739"/>
      <x:c r="P27" s="1739"/>
      <x:c r="Q27" s="1739"/>
      <x:c r="R27" s="1740"/>
    </x:row>
    <x:row r="28">
      <x:c r="A28" s="1741"/>
      <x:c r="B28" s="1742"/>
      <x:c r="C28" s="1742"/>
      <x:c r="D28" s="1742"/>
      <x:c r="E28" s="1742"/>
      <x:c r="F28" s="1742"/>
      <x:c r="G28" s="1742"/>
      <x:c r="H28" s="1742"/>
      <x:c r="I28" s="1742"/>
      <x:c r="J28" s="1742"/>
      <x:c r="K28" s="1742"/>
      <x:c r="L28" s="1742"/>
      <x:c r="M28" s="1742"/>
      <x:c r="N28" s="1742"/>
      <x:c r="O28" s="1742"/>
      <x:c r="P28" s="1742"/>
      <x:c r="Q28" s="1742"/>
      <x:c r="R28" s="1743"/>
    </x:row>
    <x:row r="29">
      <x:c r="A29" s="1741"/>
      <x:c r="B29" s="1742"/>
      <x:c r="C29" s="1742"/>
      <x:c r="D29" s="1742"/>
      <x:c r="E29" s="1742"/>
      <x:c r="F29" s="1742"/>
      <x:c r="G29" s="1742"/>
      <x:c r="H29" s="1742"/>
      <x:c r="I29" s="1742"/>
      <x:c r="J29" s="1742"/>
      <x:c r="K29" s="1742"/>
      <x:c r="L29" s="1742"/>
      <x:c r="M29" s="1742"/>
      <x:c r="N29" s="1742"/>
      <x:c r="O29" s="1742"/>
      <x:c r="P29" s="1742"/>
      <x:c r="Q29" s="1742"/>
      <x:c r="R29" s="1743"/>
    </x:row>
    <x:row r="30">
      <x:c r="A30" s="1744"/>
      <x:c r="B30" s="1745"/>
      <x:c r="C30" s="1745"/>
      <x:c r="D30" s="1745"/>
      <x:c r="E30" s="1745"/>
      <x:c r="F30" s="1745"/>
      <x:c r="G30" s="1745"/>
      <x:c r="H30" s="1745"/>
      <x:c r="I30" s="1745"/>
      <x:c r="J30" s="1745"/>
      <x:c r="K30" s="1745"/>
      <x:c r="L30" s="1745"/>
      <x:c r="M30" s="1745"/>
      <x:c r="N30" s="1745"/>
      <x:c r="O30" s="1745"/>
      <x:c r="P30" s="1745"/>
      <x:c r="Q30" s="1745"/>
      <x:c r="R30" s="1746"/>
    </x:row>
    <x:row r="31">
      <x:c r="A31" s="804"/>
      <x:c r="B31" s="805"/>
      <x:c r="C31" s="805"/>
      <x:c r="D31" s="805"/>
      <x:c r="E31" s="805"/>
      <x:c r="F31" s="805"/>
      <x:c r="G31" s="805"/>
      <x:c r="H31" s="805"/>
      <x:c r="I31" s="805"/>
      <x:c r="J31" s="805"/>
      <x:c r="K31" s="805"/>
      <x:c r="L31" s="805"/>
      <x:c r="M31" s="805"/>
      <x:c r="N31" s="805"/>
      <x:c r="O31" s="805"/>
      <x:c r="P31" s="805"/>
      <x:c r="Q31" s="805"/>
      <x:c r="R31" s="806"/>
    </x:row>
    <x:row r="32">
      <x:c r="A32" s="714" t="str">
        <x:v>Recent and featured records</x:v>
      </x:c>
      <x:c r="B32" s="715"/>
      <x:c r="C32" s="715"/>
      <x:c r="D32" s="715"/>
      <x:c r="E32" s="715"/>
      <x:c r="F32" s="715"/>
      <x:c r="G32" s="715"/>
      <x:c r="H32" s="715"/>
      <x:c r="I32" s="715"/>
      <x:c r="J32" s="715"/>
      <x:c r="K32" s="715"/>
      <x:c r="L32" s="715"/>
      <x:c r="M32" s="715"/>
      <x:c r="N32" s="715"/>
      <x:c r="O32" s="715"/>
      <x:c r="P32" s="715"/>
      <x:c r="Q32" s="715"/>
      <x:c r="R32" s="716"/>
    </x:row>
    <x:row r="33">
      <x:c r="A33" s="804"/>
      <x:c r="B33" s="805"/>
      <x:c r="C33" s="805"/>
      <x:c r="D33" s="805"/>
      <x:c r="E33" s="805"/>
      <x:c r="F33" s="805"/>
      <x:c r="G33" s="805"/>
      <x:c r="H33" s="805"/>
      <x:c r="I33" s="805"/>
      <x:c r="J33" s="805"/>
      <x:c r="K33" s="805"/>
      <x:c r="L33" s="805"/>
      <x:c r="M33" s="805"/>
      <x:c r="N33" s="805"/>
      <x:c r="O33" s="805"/>
      <x:c r="P33" s="805"/>
      <x:c r="Q33" s="805"/>
      <x:c r="R33" s="806"/>
    </x:row>
    <x:row r="34">
      <x:c r="A34" s="1775" t="str">
        <x:v>Bidadi farmers oppose township land acquisition
Karnataka • Ongoing
Land &amp; rehabilitation
Occurrence verified
[View event]</x:v>
      </x:c>
      <x:c r="B34" s="1776"/>
      <x:c r="C34" s="1776"/>
      <x:c r="D34" s="1776"/>
      <x:c r="E34" s="1776"/>
      <x:c r="F34" s="1777"/>
      <x:c r="G34" s="1775" t="str">
        <x:v>Manipur employees continue cease-work strike
Manipur • Ongoing
Labour &amp; employment
Occurrence verified
[View event]</x:v>
      </x:c>
      <x:c r="H34" s="1776"/>
      <x:c r="I34" s="1776"/>
      <x:c r="J34" s="1776"/>
      <x:c r="K34" s="1776"/>
      <x:c r="L34" s="1777"/>
      <x:c r="M34" s="1775" t="str">
        <x:v>Dharmasala students protest teacher vacancies
Odisha • Concluded
Education
Outcome documented
[View event]</x:v>
      </x:c>
      <x:c r="N34" s="1776"/>
      <x:c r="O34" s="1776"/>
      <x:c r="P34" s="1776"/>
      <x:c r="Q34" s="1776"/>
      <x:c r="R34" s="1777"/>
    </x:row>
    <x:row r="35">
      <x:c r="A35" s="1778"/>
      <x:c r="B35" s="1779"/>
      <x:c r="C35" s="1779"/>
      <x:c r="D35" s="1779"/>
      <x:c r="E35" s="1779"/>
      <x:c r="F35" s="1780"/>
      <x:c r="G35" s="1778"/>
      <x:c r="H35" s="1779"/>
      <x:c r="I35" s="1779"/>
      <x:c r="J35" s="1779"/>
      <x:c r="K35" s="1779"/>
      <x:c r="L35" s="1780"/>
      <x:c r="M35" s="1778"/>
      <x:c r="N35" s="1779"/>
      <x:c r="O35" s="1779"/>
      <x:c r="P35" s="1779"/>
      <x:c r="Q35" s="1779"/>
      <x:c r="R35" s="1780"/>
    </x:row>
    <x:row r="36">
      <x:c r="A36" s="1778"/>
      <x:c r="B36" s="1779"/>
      <x:c r="C36" s="1779"/>
      <x:c r="D36" s="1779"/>
      <x:c r="E36" s="1779"/>
      <x:c r="F36" s="1780"/>
      <x:c r="G36" s="1778"/>
      <x:c r="H36" s="1779"/>
      <x:c r="I36" s="1779"/>
      <x:c r="J36" s="1779"/>
      <x:c r="K36" s="1779"/>
      <x:c r="L36" s="1780"/>
      <x:c r="M36" s="1778"/>
      <x:c r="N36" s="1779"/>
      <x:c r="O36" s="1779"/>
      <x:c r="P36" s="1779"/>
      <x:c r="Q36" s="1779"/>
      <x:c r="R36" s="1780"/>
    </x:row>
    <x:row r="37">
      <x:c r="A37" s="1778"/>
      <x:c r="B37" s="1779"/>
      <x:c r="C37" s="1779"/>
      <x:c r="D37" s="1779"/>
      <x:c r="E37" s="1779"/>
      <x:c r="F37" s="1780"/>
      <x:c r="G37" s="1778"/>
      <x:c r="H37" s="1779"/>
      <x:c r="I37" s="1779"/>
      <x:c r="J37" s="1779"/>
      <x:c r="K37" s="1779"/>
      <x:c r="L37" s="1780"/>
      <x:c r="M37" s="1778"/>
      <x:c r="N37" s="1779"/>
      <x:c r="O37" s="1779"/>
      <x:c r="P37" s="1779"/>
      <x:c r="Q37" s="1779"/>
      <x:c r="R37" s="1780"/>
    </x:row>
    <x:row r="38">
      <x:c r="A38" s="1778"/>
      <x:c r="B38" s="1779"/>
      <x:c r="C38" s="1779"/>
      <x:c r="D38" s="1779"/>
      <x:c r="E38" s="1779"/>
      <x:c r="F38" s="1780"/>
      <x:c r="G38" s="1778"/>
      <x:c r="H38" s="1779"/>
      <x:c r="I38" s="1779"/>
      <x:c r="J38" s="1779"/>
      <x:c r="K38" s="1779"/>
      <x:c r="L38" s="1780"/>
      <x:c r="M38" s="1778"/>
      <x:c r="N38" s="1779"/>
      <x:c r="O38" s="1779"/>
      <x:c r="P38" s="1779"/>
      <x:c r="Q38" s="1779"/>
      <x:c r="R38" s="1780"/>
    </x:row>
    <x:row r="39">
      <x:c r="A39" s="1778"/>
      <x:c r="B39" s="1779"/>
      <x:c r="C39" s="1779"/>
      <x:c r="D39" s="1779"/>
      <x:c r="E39" s="1779"/>
      <x:c r="F39" s="1780"/>
      <x:c r="G39" s="1778"/>
      <x:c r="H39" s="1779"/>
      <x:c r="I39" s="1779"/>
      <x:c r="J39" s="1779"/>
      <x:c r="K39" s="1779"/>
      <x:c r="L39" s="1780"/>
      <x:c r="M39" s="1778"/>
      <x:c r="N39" s="1779"/>
      <x:c r="O39" s="1779"/>
      <x:c r="P39" s="1779"/>
      <x:c r="Q39" s="1779"/>
      <x:c r="R39" s="1780"/>
    </x:row>
    <x:row r="40">
      <x:c r="A40" s="1778"/>
      <x:c r="B40" s="1779"/>
      <x:c r="C40" s="1779"/>
      <x:c r="D40" s="1779"/>
      <x:c r="E40" s="1779"/>
      <x:c r="F40" s="1780"/>
      <x:c r="G40" s="1778"/>
      <x:c r="H40" s="1779"/>
      <x:c r="I40" s="1779"/>
      <x:c r="J40" s="1779"/>
      <x:c r="K40" s="1779"/>
      <x:c r="L40" s="1780"/>
      <x:c r="M40" s="1778"/>
      <x:c r="N40" s="1779"/>
      <x:c r="O40" s="1779"/>
      <x:c r="P40" s="1779"/>
      <x:c r="Q40" s="1779"/>
      <x:c r="R40" s="1780"/>
    </x:row>
    <x:row r="41">
      <x:c r="A41" s="1778"/>
      <x:c r="B41" s="1779"/>
      <x:c r="C41" s="1779"/>
      <x:c r="D41" s="1779"/>
      <x:c r="E41" s="1779"/>
      <x:c r="F41" s="1780"/>
      <x:c r="G41" s="1778"/>
      <x:c r="H41" s="1779"/>
      <x:c r="I41" s="1779"/>
      <x:c r="J41" s="1779"/>
      <x:c r="K41" s="1779"/>
      <x:c r="L41" s="1780"/>
      <x:c r="M41" s="1778"/>
      <x:c r="N41" s="1779"/>
      <x:c r="O41" s="1779"/>
      <x:c r="P41" s="1779"/>
      <x:c r="Q41" s="1779"/>
      <x:c r="R41" s="1780"/>
    </x:row>
    <x:row r="42">
      <x:c r="A42" s="1778"/>
      <x:c r="B42" s="1779"/>
      <x:c r="C42" s="1779"/>
      <x:c r="D42" s="1779"/>
      <x:c r="E42" s="1779"/>
      <x:c r="F42" s="1780"/>
      <x:c r="G42" s="1778"/>
      <x:c r="H42" s="1779"/>
      <x:c r="I42" s="1779"/>
      <x:c r="J42" s="1779"/>
      <x:c r="K42" s="1779"/>
      <x:c r="L42" s="1780"/>
      <x:c r="M42" s="1778"/>
      <x:c r="N42" s="1779"/>
      <x:c r="O42" s="1779"/>
      <x:c r="P42" s="1779"/>
      <x:c r="Q42" s="1779"/>
      <x:c r="R42" s="1780"/>
    </x:row>
    <x:row r="43">
      <x:c r="A43" s="1778"/>
      <x:c r="B43" s="1779"/>
      <x:c r="C43" s="1779"/>
      <x:c r="D43" s="1779"/>
      <x:c r="E43" s="1779"/>
      <x:c r="F43" s="1780"/>
      <x:c r="G43" s="1778"/>
      <x:c r="H43" s="1779"/>
      <x:c r="I43" s="1779"/>
      <x:c r="J43" s="1779"/>
      <x:c r="K43" s="1779"/>
      <x:c r="L43" s="1780"/>
      <x:c r="M43" s="1778"/>
      <x:c r="N43" s="1779"/>
      <x:c r="O43" s="1779"/>
      <x:c r="P43" s="1779"/>
      <x:c r="Q43" s="1779"/>
      <x:c r="R43" s="1780"/>
    </x:row>
    <x:row r="44">
      <x:c r="A44" s="1778"/>
      <x:c r="B44" s="1779"/>
      <x:c r="C44" s="1779"/>
      <x:c r="D44" s="1779"/>
      <x:c r="E44" s="1779"/>
      <x:c r="F44" s="1780"/>
      <x:c r="G44" s="1778"/>
      <x:c r="H44" s="1779"/>
      <x:c r="I44" s="1779"/>
      <x:c r="J44" s="1779"/>
      <x:c r="K44" s="1779"/>
      <x:c r="L44" s="1780"/>
      <x:c r="M44" s="1778"/>
      <x:c r="N44" s="1779"/>
      <x:c r="O44" s="1779"/>
      <x:c r="P44" s="1779"/>
      <x:c r="Q44" s="1779"/>
      <x:c r="R44" s="1780"/>
    </x:row>
    <x:row r="45">
      <x:c r="A45" s="1781"/>
      <x:c r="B45" s="1782"/>
      <x:c r="C45" s="1782"/>
      <x:c r="D45" s="1782"/>
      <x:c r="E45" s="1782"/>
      <x:c r="F45" s="1783"/>
      <x:c r="G45" s="1781"/>
      <x:c r="H45" s="1782"/>
      <x:c r="I45" s="1782"/>
      <x:c r="J45" s="1782"/>
      <x:c r="K45" s="1782"/>
      <x:c r="L45" s="1783"/>
      <x:c r="M45" s="1781"/>
      <x:c r="N45" s="1782"/>
      <x:c r="O45" s="1782"/>
      <x:c r="P45" s="1782"/>
      <x:c r="Q45" s="1782"/>
      <x:c r="R45" s="1783"/>
    </x:row>
    <x:row r="46">
      <x:c r="A46" s="804"/>
      <x:c r="B46" s="805"/>
      <x:c r="C46" s="805"/>
      <x:c r="D46" s="805"/>
      <x:c r="E46" s="805"/>
      <x:c r="F46" s="805"/>
      <x:c r="G46" s="805"/>
      <x:c r="H46" s="805"/>
      <x:c r="I46" s="805"/>
      <x:c r="J46" s="805"/>
      <x:c r="K46" s="805"/>
      <x:c r="L46" s="805"/>
      <x:c r="M46" s="805"/>
      <x:c r="N46" s="805"/>
      <x:c r="O46" s="805"/>
      <x:c r="P46" s="805"/>
      <x:c r="Q46" s="805"/>
      <x:c r="R46" s="806"/>
    </x:row>
    <x:row r="47">
      <x:c r="A47" s="714" t="str">
        <x:v>Browse by topic</x:v>
      </x:c>
      <x:c r="B47" s="715"/>
      <x:c r="C47" s="715"/>
      <x:c r="D47" s="715"/>
      <x:c r="E47" s="715"/>
      <x:c r="F47" s="715"/>
      <x:c r="G47" s="715"/>
      <x:c r="H47" s="715"/>
      <x:c r="I47" s="715"/>
      <x:c r="J47" s="716"/>
      <x:c r="K47" s="805"/>
      <x:c r="L47" s="805"/>
      <x:c r="M47" s="805"/>
      <x:c r="N47" s="805"/>
      <x:c r="O47" s="805"/>
      <x:c r="P47" s="805"/>
      <x:c r="Q47" s="805"/>
      <x:c r="R47" s="806"/>
    </x:row>
    <x:row r="48">
      <x:c r="A48" s="1794" t="str">
        <x:v>Agriculture &amp; water
2 events</x:v>
      </x:c>
      <x:c r="B48" s="1795"/>
      <x:c r="C48" s="1796"/>
      <x:c r="D48" s="1794" t="str">
        <x:v>Land &amp; rehabilitation
4 events</x:v>
      </x:c>
      <x:c r="E48" s="1795"/>
      <x:c r="F48" s="1796"/>
      <x:c r="G48" s="1794" t="str">
        <x:v>Education
2 events</x:v>
      </x:c>
      <x:c r="H48" s="1795"/>
      <x:c r="I48" s="1796"/>
      <x:c r="J48" s="1832" t="str">
        <x:v>Geographic coverage
10 states / UTs represented
11 curated event records
[Browse all events]</x:v>
      </x:c>
      <x:c r="K48" s="1833"/>
      <x:c r="L48" s="1833"/>
      <x:c r="M48" s="1833"/>
      <x:c r="N48" s="1833"/>
      <x:c r="O48" s="1833"/>
      <x:c r="P48" s="1833"/>
      <x:c r="Q48" s="1833"/>
      <x:c r="R48" s="1834"/>
    </x:row>
    <x:row r="49">
      <x:c r="A49" s="1797"/>
      <x:c r="B49" s="1798"/>
      <x:c r="C49" s="1799"/>
      <x:c r="D49" s="1797"/>
      <x:c r="E49" s="1798"/>
      <x:c r="F49" s="1799"/>
      <x:c r="G49" s="1797"/>
      <x:c r="H49" s="1798"/>
      <x:c r="I49" s="1799"/>
      <x:c r="J49" s="1835"/>
      <x:c r="K49" s="1836"/>
      <x:c r="L49" s="1836"/>
      <x:c r="M49" s="1836"/>
      <x:c r="N49" s="1836"/>
      <x:c r="O49" s="1836"/>
      <x:c r="P49" s="1836"/>
      <x:c r="Q49" s="1836"/>
      <x:c r="R49" s="1837"/>
    </x:row>
    <x:row r="50">
      <x:c r="A50" s="1797"/>
      <x:c r="B50" s="1798"/>
      <x:c r="C50" s="1799"/>
      <x:c r="D50" s="1797"/>
      <x:c r="E50" s="1798"/>
      <x:c r="F50" s="1799"/>
      <x:c r="G50" s="1797"/>
      <x:c r="H50" s="1798"/>
      <x:c r="I50" s="1799"/>
      <x:c r="J50" s="1835"/>
      <x:c r="K50" s="1836"/>
      <x:c r="L50" s="1836"/>
      <x:c r="M50" s="1836"/>
      <x:c r="N50" s="1836"/>
      <x:c r="O50" s="1836"/>
      <x:c r="P50" s="1836"/>
      <x:c r="Q50" s="1836"/>
      <x:c r="R50" s="1837"/>
    </x:row>
    <x:row r="51">
      <x:c r="A51" s="1797"/>
      <x:c r="B51" s="1798"/>
      <x:c r="C51" s="1799"/>
      <x:c r="D51" s="1797"/>
      <x:c r="E51" s="1798"/>
      <x:c r="F51" s="1799"/>
      <x:c r="G51" s="1797"/>
      <x:c r="H51" s="1798"/>
      <x:c r="I51" s="1799"/>
      <x:c r="J51" s="1835"/>
      <x:c r="K51" s="1836"/>
      <x:c r="L51" s="1836"/>
      <x:c r="M51" s="1836"/>
      <x:c r="N51" s="1836"/>
      <x:c r="O51" s="1836"/>
      <x:c r="P51" s="1836"/>
      <x:c r="Q51" s="1836"/>
      <x:c r="R51" s="1837"/>
    </x:row>
    <x:row r="52">
      <x:c r="A52" s="1800"/>
      <x:c r="B52" s="1801"/>
      <x:c r="C52" s="1802"/>
      <x:c r="D52" s="1800"/>
      <x:c r="E52" s="1801"/>
      <x:c r="F52" s="1802"/>
      <x:c r="G52" s="1800"/>
      <x:c r="H52" s="1801"/>
      <x:c r="I52" s="1802"/>
      <x:c r="J52" s="1835"/>
      <x:c r="K52" s="1836"/>
      <x:c r="L52" s="1836"/>
      <x:c r="M52" s="1836"/>
      <x:c r="N52" s="1836"/>
      <x:c r="O52" s="1836"/>
      <x:c r="P52" s="1836"/>
      <x:c r="Q52" s="1836"/>
      <x:c r="R52" s="1837"/>
    </x:row>
    <x:row r="53">
      <x:c r="A53" s="1794" t="str">
        <x:v>Environment
2 events</x:v>
      </x:c>
      <x:c r="B53" s="1795"/>
      <x:c r="C53" s="1796"/>
      <x:c r="D53" s="1794" t="str">
        <x:v>Labour &amp; employment
1 event</x:v>
      </x:c>
      <x:c r="E53" s="1795"/>
      <x:c r="F53" s="1796"/>
      <x:c r="G53" s="1794" t="str">
        <x:v>Trade &amp; economic policy
1 event</x:v>
      </x:c>
      <x:c r="H53" s="1795"/>
      <x:c r="I53" s="1796"/>
      <x:c r="J53" s="1835"/>
      <x:c r="K53" s="1836"/>
      <x:c r="L53" s="1836"/>
      <x:c r="M53" s="1836"/>
      <x:c r="N53" s="1836"/>
      <x:c r="O53" s="1836"/>
      <x:c r="P53" s="1836"/>
      <x:c r="Q53" s="1836"/>
      <x:c r="R53" s="1837"/>
    </x:row>
    <x:row r="54">
      <x:c r="A54" s="1797"/>
      <x:c r="B54" s="1798"/>
      <x:c r="C54" s="1799"/>
      <x:c r="D54" s="1797"/>
      <x:c r="E54" s="1798"/>
      <x:c r="F54" s="1799"/>
      <x:c r="G54" s="1797"/>
      <x:c r="H54" s="1798"/>
      <x:c r="I54" s="1799"/>
      <x:c r="J54" s="1835"/>
      <x:c r="K54" s="1836"/>
      <x:c r="L54" s="1836"/>
      <x:c r="M54" s="1836"/>
      <x:c r="N54" s="1836"/>
      <x:c r="O54" s="1836"/>
      <x:c r="P54" s="1836"/>
      <x:c r="Q54" s="1836"/>
      <x:c r="R54" s="1837"/>
    </x:row>
    <x:row r="55">
      <x:c r="A55" s="1797"/>
      <x:c r="B55" s="1798"/>
      <x:c r="C55" s="1799"/>
      <x:c r="D55" s="1797"/>
      <x:c r="E55" s="1798"/>
      <x:c r="F55" s="1799"/>
      <x:c r="G55" s="1797"/>
      <x:c r="H55" s="1798"/>
      <x:c r="I55" s="1799"/>
      <x:c r="J55" s="1835"/>
      <x:c r="K55" s="1836"/>
      <x:c r="L55" s="1836"/>
      <x:c r="M55" s="1836"/>
      <x:c r="N55" s="1836"/>
      <x:c r="O55" s="1836"/>
      <x:c r="P55" s="1836"/>
      <x:c r="Q55" s="1836"/>
      <x:c r="R55" s="1837"/>
    </x:row>
    <x:row r="56">
      <x:c r="A56" s="1797"/>
      <x:c r="B56" s="1798"/>
      <x:c r="C56" s="1799"/>
      <x:c r="D56" s="1797"/>
      <x:c r="E56" s="1798"/>
      <x:c r="F56" s="1799"/>
      <x:c r="G56" s="1797"/>
      <x:c r="H56" s="1798"/>
      <x:c r="I56" s="1799"/>
      <x:c r="J56" s="1835"/>
      <x:c r="K56" s="1836"/>
      <x:c r="L56" s="1836"/>
      <x:c r="M56" s="1836"/>
      <x:c r="N56" s="1836"/>
      <x:c r="O56" s="1836"/>
      <x:c r="P56" s="1836"/>
      <x:c r="Q56" s="1836"/>
      <x:c r="R56" s="1837"/>
    </x:row>
    <x:row r="57">
      <x:c r="A57" s="1800"/>
      <x:c r="B57" s="1801"/>
      <x:c r="C57" s="1802"/>
      <x:c r="D57" s="1800"/>
      <x:c r="E57" s="1801"/>
      <x:c r="F57" s="1802"/>
      <x:c r="G57" s="1800"/>
      <x:c r="H57" s="1801"/>
      <x:c r="I57" s="1802"/>
      <x:c r="J57" s="1838"/>
      <x:c r="K57" s="1839"/>
      <x:c r="L57" s="1839"/>
      <x:c r="M57" s="1839"/>
      <x:c r="N57" s="1839"/>
      <x:c r="O57" s="1839"/>
      <x:c r="P57" s="1839"/>
      <x:c r="Q57" s="1839"/>
      <x:c r="R57" s="1840"/>
    </x:row>
    <x:row r="58">
      <x:c r="A58" s="804"/>
      <x:c r="B58" s="805"/>
      <x:c r="C58" s="805"/>
      <x:c r="D58" s="805"/>
      <x:c r="E58" s="805"/>
      <x:c r="F58" s="805"/>
      <x:c r="G58" s="805"/>
      <x:c r="H58" s="805"/>
      <x:c r="I58" s="805"/>
      <x:c r="J58" s="805"/>
      <x:c r="K58" s="805"/>
      <x:c r="L58" s="805"/>
      <x:c r="M58" s="805"/>
      <x:c r="N58" s="805"/>
      <x:c r="O58" s="805"/>
      <x:c r="P58" s="805"/>
      <x:c r="Q58" s="805"/>
      <x:c r="R58" s="806"/>
    </x:row>
    <x:row r="59">
      <x:c r="A59" s="714" t="str">
        <x:v>How the repository works</x:v>
      </x:c>
      <x:c r="B59" s="715"/>
      <x:c r="C59" s="715"/>
      <x:c r="D59" s="715"/>
      <x:c r="E59" s="715"/>
      <x:c r="F59" s="715"/>
      <x:c r="G59" s="715"/>
      <x:c r="H59" s="715"/>
      <x:c r="I59" s="715"/>
      <x:c r="J59" s="715"/>
      <x:c r="K59" s="715"/>
      <x:c r="L59" s="715"/>
      <x:c r="M59" s="715"/>
      <x:c r="N59" s="715"/>
      <x:c r="O59" s="715"/>
      <x:c r="P59" s="715"/>
      <x:c r="Q59" s="715"/>
      <x:c r="R59" s="716"/>
    </x:row>
    <x:row r="60">
      <x:c r="A60" s="804"/>
      <x:c r="B60" s="805"/>
      <x:c r="C60" s="805"/>
      <x:c r="D60" s="805"/>
      <x:c r="E60" s="805"/>
      <x:c r="F60" s="805"/>
      <x:c r="G60" s="805"/>
      <x:c r="H60" s="805"/>
      <x:c r="I60" s="805"/>
      <x:c r="J60" s="805"/>
      <x:c r="K60" s="805"/>
      <x:c r="L60" s="805"/>
      <x:c r="M60" s="805"/>
      <x:c r="N60" s="805"/>
      <x:c r="O60" s="805"/>
      <x:c r="P60" s="805"/>
      <x:c r="Q60" s="805"/>
      <x:c r="R60" s="806"/>
    </x:row>
    <x:row r="61">
      <x:c r="A61" s="1775" t="str">
        <x:v>1. Discover
Search traditional, local-language, community and official sources.</x:v>
      </x:c>
      <x:c r="B61" s="1776"/>
      <x:c r="C61" s="1776"/>
      <x:c r="D61" s="1777"/>
      <x:c r="E61" s="1775" t="str">
        <x:v>2. Verify
Separate claims, source families, disagreements and missing evidence.</x:v>
      </x:c>
      <x:c r="F61" s="1776"/>
      <x:c r="G61" s="1776"/>
      <x:c r="H61" s="1777"/>
      <x:c r="I61" s="1775" t="str">
        <x:v>3. Review
A human editor checks safety, wording and publication gates.</x:v>
      </x:c>
      <x:c r="J61" s="1776"/>
      <x:c r="K61" s="1776"/>
      <x:c r="L61" s="1777"/>
      <x:c r="M61" s="1775" t="str">
        <x:v>4. Correct
Material changes are logged publicly rather than silently replaced.</x:v>
      </x:c>
      <x:c r="N61" s="1776"/>
      <x:c r="O61" s="1776"/>
      <x:c r="P61" s="1776"/>
      <x:c r="Q61" s="1776"/>
      <x:c r="R61" s="1777"/>
    </x:row>
    <x:row r="62">
      <x:c r="A62" s="1778"/>
      <x:c r="B62" s="1779"/>
      <x:c r="C62" s="1779"/>
      <x:c r="D62" s="1780"/>
      <x:c r="E62" s="1778"/>
      <x:c r="F62" s="1779"/>
      <x:c r="G62" s="1779"/>
      <x:c r="H62" s="1780"/>
      <x:c r="I62" s="1778"/>
      <x:c r="J62" s="1779"/>
      <x:c r="K62" s="1779"/>
      <x:c r="L62" s="1780"/>
      <x:c r="M62" s="1778"/>
      <x:c r="N62" s="1779"/>
      <x:c r="O62" s="1779"/>
      <x:c r="P62" s="1779"/>
      <x:c r="Q62" s="1779"/>
      <x:c r="R62" s="1780"/>
    </x:row>
    <x:row r="63">
      <x:c r="A63" s="1778"/>
      <x:c r="B63" s="1779"/>
      <x:c r="C63" s="1779"/>
      <x:c r="D63" s="1780"/>
      <x:c r="E63" s="1778"/>
      <x:c r="F63" s="1779"/>
      <x:c r="G63" s="1779"/>
      <x:c r="H63" s="1780"/>
      <x:c r="I63" s="1778"/>
      <x:c r="J63" s="1779"/>
      <x:c r="K63" s="1779"/>
      <x:c r="L63" s="1780"/>
      <x:c r="M63" s="1778"/>
      <x:c r="N63" s="1779"/>
      <x:c r="O63" s="1779"/>
      <x:c r="P63" s="1779"/>
      <x:c r="Q63" s="1779"/>
      <x:c r="R63" s="1780"/>
    </x:row>
    <x:row r="64">
      <x:c r="A64" s="1778"/>
      <x:c r="B64" s="1779"/>
      <x:c r="C64" s="1779"/>
      <x:c r="D64" s="1780"/>
      <x:c r="E64" s="1778"/>
      <x:c r="F64" s="1779"/>
      <x:c r="G64" s="1779"/>
      <x:c r="H64" s="1780"/>
      <x:c r="I64" s="1778"/>
      <x:c r="J64" s="1779"/>
      <x:c r="K64" s="1779"/>
      <x:c r="L64" s="1780"/>
      <x:c r="M64" s="1778"/>
      <x:c r="N64" s="1779"/>
      <x:c r="O64" s="1779"/>
      <x:c r="P64" s="1779"/>
      <x:c r="Q64" s="1779"/>
      <x:c r="R64" s="1780"/>
    </x:row>
    <x:row r="65">
      <x:c r="A65" s="1778"/>
      <x:c r="B65" s="1779"/>
      <x:c r="C65" s="1779"/>
      <x:c r="D65" s="1780"/>
      <x:c r="E65" s="1778"/>
      <x:c r="F65" s="1779"/>
      <x:c r="G65" s="1779"/>
      <x:c r="H65" s="1780"/>
      <x:c r="I65" s="1778"/>
      <x:c r="J65" s="1779"/>
      <x:c r="K65" s="1779"/>
      <x:c r="L65" s="1780"/>
      <x:c r="M65" s="1778"/>
      <x:c r="N65" s="1779"/>
      <x:c r="O65" s="1779"/>
      <x:c r="P65" s="1779"/>
      <x:c r="Q65" s="1779"/>
      <x:c r="R65" s="1780"/>
    </x:row>
    <x:row r="66">
      <x:c r="A66" s="1778"/>
      <x:c r="B66" s="1779"/>
      <x:c r="C66" s="1779"/>
      <x:c r="D66" s="1780"/>
      <x:c r="E66" s="1778"/>
      <x:c r="F66" s="1779"/>
      <x:c r="G66" s="1779"/>
      <x:c r="H66" s="1780"/>
      <x:c r="I66" s="1778"/>
      <x:c r="J66" s="1779"/>
      <x:c r="K66" s="1779"/>
      <x:c r="L66" s="1780"/>
      <x:c r="M66" s="1778"/>
      <x:c r="N66" s="1779"/>
      <x:c r="O66" s="1779"/>
      <x:c r="P66" s="1779"/>
      <x:c r="Q66" s="1779"/>
      <x:c r="R66" s="1780"/>
    </x:row>
    <x:row r="67">
      <x:c r="A67" s="1778"/>
      <x:c r="B67" s="1779"/>
      <x:c r="C67" s="1779"/>
      <x:c r="D67" s="1780"/>
      <x:c r="E67" s="1778"/>
      <x:c r="F67" s="1779"/>
      <x:c r="G67" s="1779"/>
      <x:c r="H67" s="1780"/>
      <x:c r="I67" s="1778"/>
      <x:c r="J67" s="1779"/>
      <x:c r="K67" s="1779"/>
      <x:c r="L67" s="1780"/>
      <x:c r="M67" s="1778"/>
      <x:c r="N67" s="1779"/>
      <x:c r="O67" s="1779"/>
      <x:c r="P67" s="1779"/>
      <x:c r="Q67" s="1779"/>
      <x:c r="R67" s="1780"/>
    </x:row>
    <x:row r="68">
      <x:c r="A68" s="1778"/>
      <x:c r="B68" s="1779"/>
      <x:c r="C68" s="1779"/>
      <x:c r="D68" s="1780"/>
      <x:c r="E68" s="1778"/>
      <x:c r="F68" s="1779"/>
      <x:c r="G68" s="1779"/>
      <x:c r="H68" s="1780"/>
      <x:c r="I68" s="1778"/>
      <x:c r="J68" s="1779"/>
      <x:c r="K68" s="1779"/>
      <x:c r="L68" s="1780"/>
      <x:c r="M68" s="1778"/>
      <x:c r="N68" s="1779"/>
      <x:c r="O68" s="1779"/>
      <x:c r="P68" s="1779"/>
      <x:c r="Q68" s="1779"/>
      <x:c r="R68" s="1780"/>
    </x:row>
    <x:row r="69">
      <x:c r="A69" s="1781"/>
      <x:c r="B69" s="1782"/>
      <x:c r="C69" s="1782"/>
      <x:c r="D69" s="1783"/>
      <x:c r="E69" s="1781"/>
      <x:c r="F69" s="1782"/>
      <x:c r="G69" s="1782"/>
      <x:c r="H69" s="1783"/>
      <x:c r="I69" s="1781"/>
      <x:c r="J69" s="1782"/>
      <x:c r="K69" s="1782"/>
      <x:c r="L69" s="1783"/>
      <x:c r="M69" s="1781"/>
      <x:c r="N69" s="1782"/>
      <x:c r="O69" s="1782"/>
      <x:c r="P69" s="1782"/>
      <x:c r="Q69" s="1782"/>
      <x:c r="R69" s="1783"/>
    </x:row>
    <x:row r="70">
      <x:c r="A70" s="804"/>
      <x:c r="B70" s="805"/>
      <x:c r="C70" s="805"/>
      <x:c r="D70" s="805"/>
      <x:c r="E70" s="805"/>
      <x:c r="F70" s="805"/>
      <x:c r="G70" s="805"/>
      <x:c r="H70" s="805"/>
      <x:c r="I70" s="805"/>
      <x:c r="J70" s="805"/>
      <x:c r="K70" s="805"/>
      <x:c r="L70" s="805"/>
      <x:c r="M70" s="805"/>
      <x:c r="N70" s="805"/>
      <x:c r="O70" s="805"/>
      <x:c r="P70" s="805"/>
      <x:c r="Q70" s="805"/>
      <x:c r="R70" s="806"/>
    </x:row>
    <x:row r="71">
      <x:c r="A71" s="714" t="str">
        <x:v>Trust and participation</x:v>
      </x:c>
      <x:c r="B71" s="715"/>
      <x:c r="C71" s="715"/>
      <x:c r="D71" s="715"/>
      <x:c r="E71" s="715"/>
      <x:c r="F71" s="715"/>
      <x:c r="G71" s="715"/>
      <x:c r="H71" s="715"/>
      <x:c r="I71" s="715"/>
      <x:c r="J71" s="715"/>
      <x:c r="K71" s="715"/>
      <x:c r="L71" s="715"/>
      <x:c r="M71" s="715"/>
      <x:c r="N71" s="715"/>
      <x:c r="O71" s="715"/>
      <x:c r="P71" s="715"/>
      <x:c r="Q71" s="715"/>
      <x:c r="R71" s="716"/>
    </x:row>
    <x:row r="72">
      <x:c r="A72" s="1622" t="str">
        <x:v>Why trust the record?
• Original source links
• Claim-level evidence labels
• Source-independence checks
• Visible uncertainty
• Public correction history
[Read the methodology]</x:v>
      </x:c>
      <x:c r="B72" s="1623"/>
      <x:c r="C72" s="1623"/>
      <x:c r="D72" s="1623"/>
      <x:c r="E72" s="1623"/>
      <x:c r="F72" s="1623"/>
      <x:c r="G72" s="1623"/>
      <x:c r="H72" s="1624"/>
      <x:c r="I72" s="1850" t="str">
        <x:v>Know of an undercovered civic event?
Share a public source link, approximate date and place. Do not upload private documents, participant lists or tactical information.
[Submit a lead]</x:v>
      </x:c>
      <x:c r="J72" s="1851"/>
      <x:c r="K72" s="1851"/>
      <x:c r="L72" s="1851"/>
      <x:c r="M72" s="1851"/>
      <x:c r="N72" s="1851"/>
      <x:c r="O72" s="1851"/>
      <x:c r="P72" s="1851"/>
      <x:c r="Q72" s="1851"/>
      <x:c r="R72" s="1852"/>
    </x:row>
    <x:row r="73">
      <x:c r="A73" s="1625"/>
      <x:c r="B73" s="1626"/>
      <x:c r="C73" s="1626"/>
      <x:c r="D73" s="1626"/>
      <x:c r="E73" s="1626"/>
      <x:c r="F73" s="1626"/>
      <x:c r="G73" s="1626"/>
      <x:c r="H73" s="1627"/>
      <x:c r="I73" s="1853"/>
      <x:c r="J73" s="1854"/>
      <x:c r="K73" s="1854"/>
      <x:c r="L73" s="1854"/>
      <x:c r="M73" s="1854"/>
      <x:c r="N73" s="1854"/>
      <x:c r="O73" s="1854"/>
      <x:c r="P73" s="1854"/>
      <x:c r="Q73" s="1854"/>
      <x:c r="R73" s="1855"/>
    </x:row>
    <x:row r="74">
      <x:c r="A74" s="1625"/>
      <x:c r="B74" s="1626"/>
      <x:c r="C74" s="1626"/>
      <x:c r="D74" s="1626"/>
      <x:c r="E74" s="1626"/>
      <x:c r="F74" s="1626"/>
      <x:c r="G74" s="1626"/>
      <x:c r="H74" s="1627"/>
      <x:c r="I74" s="1853"/>
      <x:c r="J74" s="1854"/>
      <x:c r="K74" s="1854"/>
      <x:c r="L74" s="1854"/>
      <x:c r="M74" s="1854"/>
      <x:c r="N74" s="1854"/>
      <x:c r="O74" s="1854"/>
      <x:c r="P74" s="1854"/>
      <x:c r="Q74" s="1854"/>
      <x:c r="R74" s="1855"/>
    </x:row>
    <x:row r="75">
      <x:c r="A75" s="1625"/>
      <x:c r="B75" s="1626"/>
      <x:c r="C75" s="1626"/>
      <x:c r="D75" s="1626"/>
      <x:c r="E75" s="1626"/>
      <x:c r="F75" s="1626"/>
      <x:c r="G75" s="1626"/>
      <x:c r="H75" s="1627"/>
      <x:c r="I75" s="1853"/>
      <x:c r="J75" s="1854"/>
      <x:c r="K75" s="1854"/>
      <x:c r="L75" s="1854"/>
      <x:c r="M75" s="1854"/>
      <x:c r="N75" s="1854"/>
      <x:c r="O75" s="1854"/>
      <x:c r="P75" s="1854"/>
      <x:c r="Q75" s="1854"/>
      <x:c r="R75" s="1855"/>
    </x:row>
    <x:row r="76">
      <x:c r="A76" s="1625"/>
      <x:c r="B76" s="1626"/>
      <x:c r="C76" s="1626"/>
      <x:c r="D76" s="1626"/>
      <x:c r="E76" s="1626"/>
      <x:c r="F76" s="1626"/>
      <x:c r="G76" s="1626"/>
      <x:c r="H76" s="1627"/>
      <x:c r="I76" s="1853"/>
      <x:c r="J76" s="1854"/>
      <x:c r="K76" s="1854"/>
      <x:c r="L76" s="1854"/>
      <x:c r="M76" s="1854"/>
      <x:c r="N76" s="1854"/>
      <x:c r="O76" s="1854"/>
      <x:c r="P76" s="1854"/>
      <x:c r="Q76" s="1854"/>
      <x:c r="R76" s="1855"/>
    </x:row>
    <x:row r="77">
      <x:c r="A77" s="1625"/>
      <x:c r="B77" s="1626"/>
      <x:c r="C77" s="1626"/>
      <x:c r="D77" s="1626"/>
      <x:c r="E77" s="1626"/>
      <x:c r="F77" s="1626"/>
      <x:c r="G77" s="1626"/>
      <x:c r="H77" s="1627"/>
      <x:c r="I77" s="1853"/>
      <x:c r="J77" s="1854"/>
      <x:c r="K77" s="1854"/>
      <x:c r="L77" s="1854"/>
      <x:c r="M77" s="1854"/>
      <x:c r="N77" s="1854"/>
      <x:c r="O77" s="1854"/>
      <x:c r="P77" s="1854"/>
      <x:c r="Q77" s="1854"/>
      <x:c r="R77" s="1855"/>
    </x:row>
    <x:row r="78">
      <x:c r="A78" s="1625"/>
      <x:c r="B78" s="1626"/>
      <x:c r="C78" s="1626"/>
      <x:c r="D78" s="1626"/>
      <x:c r="E78" s="1626"/>
      <x:c r="F78" s="1626"/>
      <x:c r="G78" s="1626"/>
      <x:c r="H78" s="1627"/>
      <x:c r="I78" s="1853"/>
      <x:c r="J78" s="1854"/>
      <x:c r="K78" s="1854"/>
      <x:c r="L78" s="1854"/>
      <x:c r="M78" s="1854"/>
      <x:c r="N78" s="1854"/>
      <x:c r="O78" s="1854"/>
      <x:c r="P78" s="1854"/>
      <x:c r="Q78" s="1854"/>
      <x:c r="R78" s="1855"/>
    </x:row>
    <x:row r="79">
      <x:c r="A79" s="1625"/>
      <x:c r="B79" s="1626"/>
      <x:c r="C79" s="1626"/>
      <x:c r="D79" s="1626"/>
      <x:c r="E79" s="1626"/>
      <x:c r="F79" s="1626"/>
      <x:c r="G79" s="1626"/>
      <x:c r="H79" s="1627"/>
      <x:c r="I79" s="1853"/>
      <x:c r="J79" s="1854"/>
      <x:c r="K79" s="1854"/>
      <x:c r="L79" s="1854"/>
      <x:c r="M79" s="1854"/>
      <x:c r="N79" s="1854"/>
      <x:c r="O79" s="1854"/>
      <x:c r="P79" s="1854"/>
      <x:c r="Q79" s="1854"/>
      <x:c r="R79" s="1855"/>
    </x:row>
    <x:row r="80">
      <x:c r="A80" s="1628"/>
      <x:c r="B80" s="1629"/>
      <x:c r="C80" s="1629"/>
      <x:c r="D80" s="1629"/>
      <x:c r="E80" s="1629"/>
      <x:c r="F80" s="1629"/>
      <x:c r="G80" s="1629"/>
      <x:c r="H80" s="1630"/>
      <x:c r="I80" s="1856"/>
      <x:c r="J80" s="1857"/>
      <x:c r="K80" s="1857"/>
      <x:c r="L80" s="1857"/>
      <x:c r="M80" s="1857"/>
      <x:c r="N80" s="1857"/>
      <x:c r="O80" s="1857"/>
      <x:c r="P80" s="1857"/>
      <x:c r="Q80" s="1857"/>
      <x:c r="R80" s="1858"/>
    </x:row>
    <x:row r="81">
      <x:c r="A81" s="804"/>
      <x:c r="B81" s="805"/>
      <x:c r="C81" s="805"/>
      <x:c r="D81" s="805"/>
      <x:c r="E81" s="805"/>
      <x:c r="F81" s="805"/>
      <x:c r="G81" s="805"/>
      <x:c r="H81" s="805"/>
      <x:c r="I81" s="805"/>
      <x:c r="J81" s="805"/>
      <x:c r="K81" s="805"/>
      <x:c r="L81" s="805"/>
      <x:c r="M81" s="805"/>
      <x:c r="N81" s="805"/>
      <x:c r="O81" s="805"/>
      <x:c r="P81" s="805"/>
      <x:c r="Q81" s="805"/>
      <x:c r="R81" s="806"/>
    </x:row>
    <x:row r="82">
      <x:c r="A82" s="1531" t="str">
        <x:v>Footer: About • Scope • Methodology • Corrections • Privacy • Accessibility • Submit a lead</x:v>
      </x:c>
      <x:c r="B82" s="1532"/>
      <x:c r="C82" s="1532"/>
      <x:c r="D82" s="1532"/>
      <x:c r="E82" s="1532"/>
      <x:c r="F82" s="1532"/>
      <x:c r="G82" s="1532"/>
      <x:c r="H82" s="1532"/>
      <x:c r="I82" s="1532"/>
      <x:c r="J82" s="1532"/>
      <x:c r="K82" s="1532"/>
      <x:c r="L82" s="1532"/>
      <x:c r="M82" s="1532"/>
      <x:c r="N82" s="1532"/>
      <x:c r="O82" s="1532"/>
      <x:c r="P82" s="1532"/>
      <x:c r="Q82" s="1532"/>
      <x:c r="R82" s="1533"/>
    </x:row>
    <x:row r="83">
      <x:c r="A83" s="1534"/>
      <x:c r="B83" s="1535"/>
      <x:c r="C83" s="1535"/>
      <x:c r="D83" s="1535"/>
      <x:c r="E83" s="1535"/>
      <x:c r="F83" s="1535"/>
      <x:c r="G83" s="1535"/>
      <x:c r="H83" s="1535"/>
      <x:c r="I83" s="1535"/>
      <x:c r="J83" s="1535"/>
      <x:c r="K83" s="1535"/>
      <x:c r="L83" s="1535"/>
      <x:c r="M83" s="1535"/>
      <x:c r="N83" s="1535"/>
      <x:c r="O83" s="1535"/>
      <x:c r="P83" s="1535"/>
      <x:c r="Q83" s="1535"/>
      <x:c r="R83" s="1536"/>
    </x:row>
    <x:row r="84">
      <x:c r="A84" s="1534"/>
      <x:c r="B84" s="1535"/>
      <x:c r="C84" s="1535"/>
      <x:c r="D84" s="1535"/>
      <x:c r="E84" s="1535"/>
      <x:c r="F84" s="1535"/>
      <x:c r="G84" s="1535"/>
      <x:c r="H84" s="1535"/>
      <x:c r="I84" s="1535"/>
      <x:c r="J84" s="1535"/>
      <x:c r="K84" s="1535"/>
      <x:c r="L84" s="1535"/>
      <x:c r="M84" s="1535"/>
      <x:c r="N84" s="1535"/>
      <x:c r="O84" s="1535"/>
      <x:c r="P84" s="1535"/>
      <x:c r="Q84" s="1535"/>
      <x:c r="R84" s="1536"/>
    </x:row>
    <x:row r="85">
      <x:c r="A85" s="1534"/>
      <x:c r="B85" s="1535"/>
      <x:c r="C85" s="1535"/>
      <x:c r="D85" s="1535"/>
      <x:c r="E85" s="1535"/>
      <x:c r="F85" s="1535"/>
      <x:c r="G85" s="1535"/>
      <x:c r="H85" s="1535"/>
      <x:c r="I85" s="1535"/>
      <x:c r="J85" s="1535"/>
      <x:c r="K85" s="1535"/>
      <x:c r="L85" s="1535"/>
      <x:c r="M85" s="1535"/>
      <x:c r="N85" s="1535"/>
      <x:c r="O85" s="1535"/>
      <x:c r="P85" s="1535"/>
      <x:c r="Q85" s="1535"/>
      <x:c r="R85" s="1536"/>
    </x:row>
    <x:row r="86">
      <x:c r="A86" s="1537"/>
      <x:c r="B86" s="1538"/>
      <x:c r="C86" s="1538"/>
      <x:c r="D86" s="1538"/>
      <x:c r="E86" s="1538"/>
      <x:c r="F86" s="1538"/>
      <x:c r="G86" s="1538"/>
      <x:c r="H86" s="1538"/>
      <x:c r="I86" s="1538"/>
      <x:c r="J86" s="1538"/>
      <x:c r="K86" s="1538"/>
      <x:c r="L86" s="1538"/>
      <x:c r="M86" s="1538"/>
      <x:c r="N86" s="1538"/>
      <x:c r="O86" s="1538"/>
      <x:c r="P86" s="1538"/>
      <x:c r="Q86" s="1538"/>
      <x:c r="R86" s="1539"/>
    </x:row>
    <x:row r="88">
      <x:c r="A88" s="1426" t="str">
        <x:v>Home-page rule: never show a live map, live crowd information or sensational imagery. Featured records should rotate by recency, geography, topic and undercoverage—not by engagement or outrage.</x:v>
      </x:c>
      <x:c r="B88" s="1427"/>
      <x:c r="C88" s="1427"/>
      <x:c r="D88" s="1427"/>
      <x:c r="E88" s="1427"/>
      <x:c r="F88" s="1427"/>
      <x:c r="G88" s="1427"/>
      <x:c r="H88" s="1427"/>
      <x:c r="I88" s="1427"/>
      <x:c r="J88" s="1427"/>
      <x:c r="K88" s="1427"/>
      <x:c r="L88" s="1427"/>
      <x:c r="M88" s="1427"/>
      <x:c r="N88" s="1427"/>
      <x:c r="O88" s="1427"/>
      <x:c r="P88" s="1427"/>
      <x:c r="Q88" s="1427"/>
      <x:c r="R88" s="1428"/>
    </x:row>
    <x:row r="89">
      <x:c r="A89" s="1429"/>
      <x:c r="B89" s="1430"/>
      <x:c r="C89" s="1430"/>
      <x:c r="D89" s="1430"/>
      <x:c r="E89" s="1430"/>
      <x:c r="F89" s="1430"/>
      <x:c r="G89" s="1430"/>
      <x:c r="H89" s="1430"/>
      <x:c r="I89" s="1430"/>
      <x:c r="J89" s="1430"/>
      <x:c r="K89" s="1430"/>
      <x:c r="L89" s="1430"/>
      <x:c r="M89" s="1430"/>
      <x:c r="N89" s="1430"/>
      <x:c r="O89" s="1430"/>
      <x:c r="P89" s="1430"/>
      <x:c r="Q89" s="1430"/>
      <x:c r="R89" s="1431"/>
    </x:row>
    <x:row r="90">
      <x:c r="A90" s="1429"/>
      <x:c r="B90" s="1430"/>
      <x:c r="C90" s="1430"/>
      <x:c r="D90" s="1430"/>
      <x:c r="E90" s="1430"/>
      <x:c r="F90" s="1430"/>
      <x:c r="G90" s="1430"/>
      <x:c r="H90" s="1430"/>
      <x:c r="I90" s="1430"/>
      <x:c r="J90" s="1430"/>
      <x:c r="K90" s="1430"/>
      <x:c r="L90" s="1430"/>
      <x:c r="M90" s="1430"/>
      <x:c r="N90" s="1430"/>
      <x:c r="O90" s="1430"/>
      <x:c r="P90" s="1430"/>
      <x:c r="Q90" s="1430"/>
      <x:c r="R90" s="1431"/>
    </x:row>
    <x:row r="91">
      <x:c r="A91" s="1429"/>
      <x:c r="B91" s="1430"/>
      <x:c r="C91" s="1430"/>
      <x:c r="D91" s="1430"/>
      <x:c r="E91" s="1430"/>
      <x:c r="F91" s="1430"/>
      <x:c r="G91" s="1430"/>
      <x:c r="H91" s="1430"/>
      <x:c r="I91" s="1430"/>
      <x:c r="J91" s="1430"/>
      <x:c r="K91" s="1430"/>
      <x:c r="L91" s="1430"/>
      <x:c r="M91" s="1430"/>
      <x:c r="N91" s="1430"/>
      <x:c r="O91" s="1430"/>
      <x:c r="P91" s="1430"/>
      <x:c r="Q91" s="1430"/>
      <x:c r="R91" s="1431"/>
    </x:row>
    <x:row r="92">
      <x:c r="A92" s="1432"/>
      <x:c r="B92" s="1433"/>
      <x:c r="C92" s="1433"/>
      <x:c r="D92" s="1433"/>
      <x:c r="E92" s="1433"/>
      <x:c r="F92" s="1433"/>
      <x:c r="G92" s="1433"/>
      <x:c r="H92" s="1433"/>
      <x:c r="I92" s="1433"/>
      <x:c r="J92" s="1433"/>
      <x:c r="K92" s="1433"/>
      <x:c r="L92" s="1433"/>
      <x:c r="M92" s="1433"/>
      <x:c r="N92" s="1433"/>
      <x:c r="O92" s="1433"/>
      <x:c r="P92" s="1433"/>
      <x:c r="Q92" s="1433"/>
      <x:c r="R92" s="1434"/>
    </x:row>
  </x:sheetData>
  <x:mergeCells>
    <x:mergeCell ref="A1:R2"/>
    <x:mergeCell ref="A3:R4"/>
    <x:mergeCell ref="A6:R8"/>
    <x:mergeCell ref="A10:R19"/>
    <x:mergeCell ref="D21:O25"/>
    <x:mergeCell ref="A27:R30"/>
    <x:mergeCell ref="A32:R32"/>
    <x:mergeCell ref="A34:F45"/>
    <x:mergeCell ref="G34:L45"/>
    <x:mergeCell ref="M34:R45"/>
    <x:mergeCell ref="A47:J47"/>
    <x:mergeCell ref="A48:C52"/>
    <x:mergeCell ref="D48:F52"/>
    <x:mergeCell ref="G48:I52"/>
    <x:mergeCell ref="A53:C57"/>
    <x:mergeCell ref="D53:F57"/>
    <x:mergeCell ref="G53:I57"/>
    <x:mergeCell ref="J48:R57"/>
    <x:mergeCell ref="A59:R59"/>
    <x:mergeCell ref="A61:D69"/>
    <x:mergeCell ref="E61:H69"/>
    <x:mergeCell ref="I61:L69"/>
    <x:mergeCell ref="M61:R69"/>
    <x:mergeCell ref="A71:R71"/>
    <x:mergeCell ref="A72:H80"/>
    <x:mergeCell ref="I72:R80"/>
    <x:mergeCell ref="A82:R86"/>
    <x:mergeCell ref="A88:R92"/>
  </x:mergeCells>
  <x:pageMargins left="0.7" right="0.7" top="0.75" bottom="0.75" header="0.3" footer="0.3"/>
</x:worksheet>
</file>

<file path=xl/worksheets/sheet24.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3"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671" t="str">
        <x:v>Wireframe — Browse Events</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A calm search-and-filter experience for finding records without exposing tactical maps or implying complete national coverage.</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848" t="str">
        <x:v>INDIA OBSERVED     Home   Browse   Methodology   Corrections   [Submit a lead]</x:v>
      </x:c>
      <x:c r="B6" s="849"/>
      <x:c r="C6" s="849"/>
      <x:c r="D6" s="849"/>
      <x:c r="E6" s="849"/>
      <x:c r="F6" s="849"/>
      <x:c r="G6" s="849"/>
      <x:c r="H6" s="849"/>
      <x:c r="I6" s="849"/>
      <x:c r="J6" s="849"/>
      <x:c r="K6" s="849"/>
      <x:c r="L6" s="849"/>
      <x:c r="M6" s="849"/>
      <x:c r="N6" s="849"/>
      <x:c r="O6" s="849"/>
      <x:c r="P6" s="849"/>
      <x:c r="Q6" s="849"/>
      <x:c r="R6" s="850"/>
    </x:row>
    <x:row r="7">
      <x:c r="A7" s="851"/>
      <x:c r="B7" s="852"/>
      <x:c r="C7" s="852"/>
      <x:c r="D7" s="852"/>
      <x:c r="E7" s="852"/>
      <x:c r="F7" s="852"/>
      <x:c r="G7" s="852"/>
      <x:c r="H7" s="852"/>
      <x:c r="I7" s="852"/>
      <x:c r="J7" s="852"/>
      <x:c r="K7" s="852"/>
      <x:c r="L7" s="852"/>
      <x:c r="M7" s="852"/>
      <x:c r="N7" s="852"/>
      <x:c r="O7" s="852"/>
      <x:c r="P7" s="852"/>
      <x:c r="Q7" s="852"/>
      <x:c r="R7" s="853"/>
    </x:row>
    <x:row r="8">
      <x:c r="A8" s="854"/>
      <x:c r="B8" s="855"/>
      <x:c r="C8" s="855"/>
      <x:c r="D8" s="855"/>
      <x:c r="E8" s="855"/>
      <x:c r="F8" s="855"/>
      <x:c r="G8" s="855"/>
      <x:c r="H8" s="855"/>
      <x:c r="I8" s="855"/>
      <x:c r="J8" s="855"/>
      <x:c r="K8" s="855"/>
      <x:c r="L8" s="855"/>
      <x:c r="M8" s="855"/>
      <x:c r="N8" s="855"/>
      <x:c r="O8" s="855"/>
      <x:c r="P8" s="855"/>
      <x:c r="Q8" s="855"/>
      <x:c r="R8" s="856"/>
    </x:row>
    <x:row r="9">
      <x:c r="A9" s="804"/>
      <x:c r="B9" s="805"/>
      <x:c r="C9" s="805"/>
      <x:c r="D9" s="805"/>
      <x:c r="E9" s="805"/>
      <x:c r="F9" s="805"/>
      <x:c r="G9" s="805"/>
      <x:c r="H9" s="805"/>
      <x:c r="I9" s="805"/>
      <x:c r="J9" s="805"/>
      <x:c r="K9" s="805"/>
      <x:c r="L9" s="805"/>
      <x:c r="M9" s="805"/>
      <x:c r="N9" s="805"/>
      <x:c r="O9" s="805"/>
      <x:c r="P9" s="805"/>
      <x:c r="Q9" s="805"/>
      <x:c r="R9" s="806"/>
    </x:row>
    <x:row r="10">
      <x:c r="A10" s="1869" t="str">
        <x:v>Browse events
11 curated records across 10 states / Union Territories</x:v>
      </x:c>
      <x:c r="B10" s="1870"/>
      <x:c r="C10" s="1870"/>
      <x:c r="D10" s="1870"/>
      <x:c r="E10" s="1870"/>
      <x:c r="F10" s="1870"/>
      <x:c r="G10" s="1870"/>
      <x:c r="H10" s="1870"/>
      <x:c r="I10" s="1870"/>
      <x:c r="J10" s="1870"/>
      <x:c r="K10" s="1870"/>
      <x:c r="L10" s="1870"/>
      <x:c r="M10" s="1870"/>
      <x:c r="N10" s="1870"/>
      <x:c r="O10" s="1870"/>
      <x:c r="P10" s="1870"/>
      <x:c r="Q10" s="1870"/>
      <x:c r="R10" s="1871"/>
    </x:row>
    <x:row r="11">
      <x:c r="A11" s="1872"/>
      <x:c r="B11" s="1873"/>
      <x:c r="C11" s="1873"/>
      <x:c r="D11" s="1873"/>
      <x:c r="E11" s="1873"/>
      <x:c r="F11" s="1873"/>
      <x:c r="G11" s="1873"/>
      <x:c r="H11" s="1873"/>
      <x:c r="I11" s="1873"/>
      <x:c r="J11" s="1873"/>
      <x:c r="K11" s="1873"/>
      <x:c r="L11" s="1873"/>
      <x:c r="M11" s="1873"/>
      <x:c r="N11" s="1873"/>
      <x:c r="O11" s="1873"/>
      <x:c r="P11" s="1873"/>
      <x:c r="Q11" s="1873"/>
      <x:c r="R11" s="1874"/>
    </x:row>
    <x:row r="12">
      <x:c r="A12" s="1872"/>
      <x:c r="B12" s="1873"/>
      <x:c r="C12" s="1873"/>
      <x:c r="D12" s="1873"/>
      <x:c r="E12" s="1873"/>
      <x:c r="F12" s="1873"/>
      <x:c r="G12" s="1873"/>
      <x:c r="H12" s="1873"/>
      <x:c r="I12" s="1873"/>
      <x:c r="J12" s="1873"/>
      <x:c r="K12" s="1873"/>
      <x:c r="L12" s="1873"/>
      <x:c r="M12" s="1873"/>
      <x:c r="N12" s="1873"/>
      <x:c r="O12" s="1873"/>
      <x:c r="P12" s="1873"/>
      <x:c r="Q12" s="1873"/>
      <x:c r="R12" s="1874"/>
    </x:row>
    <x:row r="13">
      <x:c r="A13" s="1872"/>
      <x:c r="B13" s="1873"/>
      <x:c r="C13" s="1873"/>
      <x:c r="D13" s="1873"/>
      <x:c r="E13" s="1873"/>
      <x:c r="F13" s="1873"/>
      <x:c r="G13" s="1873"/>
      <x:c r="H13" s="1873"/>
      <x:c r="I13" s="1873"/>
      <x:c r="J13" s="1873"/>
      <x:c r="K13" s="1873"/>
      <x:c r="L13" s="1873"/>
      <x:c r="M13" s="1873"/>
      <x:c r="N13" s="1873"/>
      <x:c r="O13" s="1873"/>
      <x:c r="P13" s="1873"/>
      <x:c r="Q13" s="1873"/>
      <x:c r="R13" s="1874"/>
    </x:row>
    <x:row r="14">
      <x:c r="A14" s="1875"/>
      <x:c r="B14" s="1876"/>
      <x:c r="C14" s="1876"/>
      <x:c r="D14" s="1876"/>
      <x:c r="E14" s="1876"/>
      <x:c r="F14" s="1876"/>
      <x:c r="G14" s="1876"/>
      <x:c r="H14" s="1876"/>
      <x:c r="I14" s="1876"/>
      <x:c r="J14" s="1876"/>
      <x:c r="K14" s="1876"/>
      <x:c r="L14" s="1876"/>
      <x:c r="M14" s="1876"/>
      <x:c r="N14" s="1876"/>
      <x:c r="O14" s="1876"/>
      <x:c r="P14" s="1876"/>
      <x:c r="Q14" s="1876"/>
      <x:c r="R14" s="1877"/>
    </x:row>
    <x:row r="15">
      <x:c r="A15" s="1719" t="str">
        <x:v>Search events, places, organisations, projects or issues                         [ Search ]</x:v>
      </x:c>
      <x:c r="B15" s="1720"/>
      <x:c r="C15" s="1720"/>
      <x:c r="D15" s="1720"/>
      <x:c r="E15" s="1720"/>
      <x:c r="F15" s="1720"/>
      <x:c r="G15" s="1720"/>
      <x:c r="H15" s="1720"/>
      <x:c r="I15" s="1720"/>
      <x:c r="J15" s="1720"/>
      <x:c r="K15" s="1720"/>
      <x:c r="L15" s="1720"/>
      <x:c r="M15" s="1720"/>
      <x:c r="N15" s="1720"/>
      <x:c r="O15" s="1720"/>
      <x:c r="P15" s="1720"/>
      <x:c r="Q15" s="1720"/>
      <x:c r="R15" s="1721"/>
    </x:row>
    <x:row r="16">
      <x:c r="A16" s="1722"/>
      <x:c r="B16" s="1723"/>
      <x:c r="C16" s="1723"/>
      <x:c r="D16" s="1723"/>
      <x:c r="E16" s="1723"/>
      <x:c r="F16" s="1723"/>
      <x:c r="G16" s="1723"/>
      <x:c r="H16" s="1723"/>
      <x:c r="I16" s="1723"/>
      <x:c r="J16" s="1723"/>
      <x:c r="K16" s="1723"/>
      <x:c r="L16" s="1723"/>
      <x:c r="M16" s="1723"/>
      <x:c r="N16" s="1723"/>
      <x:c r="O16" s="1723"/>
      <x:c r="P16" s="1723"/>
      <x:c r="Q16" s="1723"/>
      <x:c r="R16" s="1724"/>
    </x:row>
    <x:row r="17">
      <x:c r="A17" s="1722"/>
      <x:c r="B17" s="1723"/>
      <x:c r="C17" s="1723"/>
      <x:c r="D17" s="1723"/>
      <x:c r="E17" s="1723"/>
      <x:c r="F17" s="1723"/>
      <x:c r="G17" s="1723"/>
      <x:c r="H17" s="1723"/>
      <x:c r="I17" s="1723"/>
      <x:c r="J17" s="1723"/>
      <x:c r="K17" s="1723"/>
      <x:c r="L17" s="1723"/>
      <x:c r="M17" s="1723"/>
      <x:c r="N17" s="1723"/>
      <x:c r="O17" s="1723"/>
      <x:c r="P17" s="1723"/>
      <x:c r="Q17" s="1723"/>
      <x:c r="R17" s="1724"/>
    </x:row>
    <x:row r="18">
      <x:c r="A18" s="1725"/>
      <x:c r="B18" s="1726"/>
      <x:c r="C18" s="1726"/>
      <x:c r="D18" s="1726"/>
      <x:c r="E18" s="1726"/>
      <x:c r="F18" s="1726"/>
      <x:c r="G18" s="1726"/>
      <x:c r="H18" s="1726"/>
      <x:c r="I18" s="1726"/>
      <x:c r="J18" s="1726"/>
      <x:c r="K18" s="1726"/>
      <x:c r="L18" s="1726"/>
      <x:c r="M18" s="1726"/>
      <x:c r="N18" s="1726"/>
      <x:c r="O18" s="1726"/>
      <x:c r="P18" s="1726"/>
      <x:c r="Q18" s="1726"/>
      <x:c r="R18" s="1727"/>
    </x:row>
    <x:row r="19">
      <x:c r="A19" s="1889" t="str">
        <x:v>Coverage is selective. A state with no record should not be interpreted as having no civic activity.</x:v>
      </x:c>
      <x:c r="B19" s="1890"/>
      <x:c r="C19" s="1890"/>
      <x:c r="D19" s="1890"/>
      <x:c r="E19" s="1890"/>
      <x:c r="F19" s="1890"/>
      <x:c r="G19" s="1890"/>
      <x:c r="H19" s="1890"/>
      <x:c r="I19" s="1890"/>
      <x:c r="J19" s="1890"/>
      <x:c r="K19" s="1890"/>
      <x:c r="L19" s="1890"/>
      <x:c r="M19" s="1890"/>
      <x:c r="N19" s="1890"/>
      <x:c r="O19" s="1890"/>
      <x:c r="P19" s="1890"/>
      <x:c r="Q19" s="1890"/>
      <x:c r="R19" s="1891"/>
    </x:row>
    <x:row r="20">
      <x:c r="A20" s="1892"/>
      <x:c r="B20" s="1893"/>
      <x:c r="C20" s="1893"/>
      <x:c r="D20" s="1893"/>
      <x:c r="E20" s="1893"/>
      <x:c r="F20" s="1893"/>
      <x:c r="G20" s="1893"/>
      <x:c r="H20" s="1893"/>
      <x:c r="I20" s="1893"/>
      <x:c r="J20" s="1893"/>
      <x:c r="K20" s="1893"/>
      <x:c r="L20" s="1893"/>
      <x:c r="M20" s="1893"/>
      <x:c r="N20" s="1893"/>
      <x:c r="O20" s="1893"/>
      <x:c r="P20" s="1893"/>
      <x:c r="Q20" s="1893"/>
      <x:c r="R20" s="1894"/>
    </x:row>
    <x:row r="21">
      <x:c r="A21" s="1895"/>
      <x:c r="B21" s="1896"/>
      <x:c r="C21" s="1896"/>
      <x:c r="D21" s="1896"/>
      <x:c r="E21" s="1896"/>
      <x:c r="F21" s="1896"/>
      <x:c r="G21" s="1896"/>
      <x:c r="H21" s="1896"/>
      <x:c r="I21" s="1896"/>
      <x:c r="J21" s="1896"/>
      <x:c r="K21" s="1896"/>
      <x:c r="L21" s="1896"/>
      <x:c r="M21" s="1896"/>
      <x:c r="N21" s="1896"/>
      <x:c r="O21" s="1896"/>
      <x:c r="P21" s="1896"/>
      <x:c r="Q21" s="1896"/>
      <x:c r="R21" s="1897"/>
    </x:row>
    <x:row r="22">
      <x:c r="A22" s="804"/>
      <x:c r="B22" s="805"/>
      <x:c r="C22" s="805"/>
      <x:c r="D22" s="805"/>
      <x:c r="E22" s="805"/>
      <x:c r="F22" s="805"/>
      <x:c r="G22" s="805"/>
      <x:c r="H22" s="805"/>
      <x:c r="I22" s="805"/>
      <x:c r="J22" s="805"/>
      <x:c r="K22" s="805"/>
      <x:c r="L22" s="805"/>
      <x:c r="M22" s="805"/>
      <x:c r="N22" s="805"/>
      <x:c r="O22" s="805"/>
      <x:c r="P22" s="805"/>
      <x:c r="Q22" s="805"/>
      <x:c r="R22" s="806"/>
    </x:row>
    <x:row r="23">
      <x:c r="A23" s="714" t="str">
        <x:v>Filters</x:v>
      </x:c>
      <x:c r="B23" s="715"/>
      <x:c r="C23" s="715"/>
      <x:c r="D23" s="715"/>
      <x:c r="E23" s="716"/>
      <x:c r="F23" s="805"/>
      <x:c r="G23" s="1963" t="str">
        <x:v>11 results       Sort: [Latest reviewed ▼]       View: [List] [Compact cards]</x:v>
      </x:c>
      <x:c r="H23" s="1964"/>
      <x:c r="I23" s="1964"/>
      <x:c r="J23" s="1964"/>
      <x:c r="K23" s="1964"/>
      <x:c r="L23" s="1964"/>
      <x:c r="M23" s="1964"/>
      <x:c r="N23" s="1964"/>
      <x:c r="O23" s="1964"/>
      <x:c r="P23" s="1964"/>
      <x:c r="Q23" s="1964"/>
      <x:c r="R23" s="1965"/>
    </x:row>
    <x:row r="24">
      <x:c r="A24" s="1269" t="str">
        <x:v>Date range
[ From ]  [ To ]</x:v>
      </x:c>
      <x:c r="B24" s="1270"/>
      <x:c r="C24" s="1270"/>
      <x:c r="D24" s="1270"/>
      <x:c r="E24" s="1271"/>
      <x:c r="F24" s="805"/>
      <x:c r="G24" s="1966"/>
      <x:c r="H24" s="1967"/>
      <x:c r="I24" s="1967"/>
      <x:c r="J24" s="1967"/>
      <x:c r="K24" s="1967"/>
      <x:c r="L24" s="1967"/>
      <x:c r="M24" s="1967"/>
      <x:c r="N24" s="1967"/>
      <x:c r="O24" s="1967"/>
      <x:c r="P24" s="1967"/>
      <x:c r="Q24" s="1967"/>
      <x:c r="R24" s="1968"/>
    </x:row>
    <x:row r="25">
      <x:c r="A25" s="1493"/>
      <x:c r="B25" s="1494"/>
      <x:c r="C25" s="1494"/>
      <x:c r="D25" s="1494"/>
      <x:c r="E25" s="1495"/>
      <x:c r="F25" s="805"/>
      <x:c r="G25" s="1966"/>
      <x:c r="H25" s="1967"/>
      <x:c r="I25" s="1967"/>
      <x:c r="J25" s="1967"/>
      <x:c r="K25" s="1967"/>
      <x:c r="L25" s="1967"/>
      <x:c r="M25" s="1967"/>
      <x:c r="N25" s="1967"/>
      <x:c r="O25" s="1967"/>
      <x:c r="P25" s="1967"/>
      <x:c r="Q25" s="1967"/>
      <x:c r="R25" s="1968"/>
    </x:row>
    <x:row r="26">
      <x:c r="A26" s="1493"/>
      <x:c r="B26" s="1494"/>
      <x:c r="C26" s="1494"/>
      <x:c r="D26" s="1494"/>
      <x:c r="E26" s="1495"/>
      <x:c r="F26" s="805"/>
      <x:c r="G26" s="1969"/>
      <x:c r="H26" s="1970"/>
      <x:c r="I26" s="1970"/>
      <x:c r="J26" s="1970"/>
      <x:c r="K26" s="1970"/>
      <x:c r="L26" s="1970"/>
      <x:c r="M26" s="1970"/>
      <x:c r="N26" s="1970"/>
      <x:c r="O26" s="1970"/>
      <x:c r="P26" s="1970"/>
      <x:c r="Q26" s="1970"/>
      <x:c r="R26" s="1971"/>
    </x:row>
    <x:row r="27">
      <x:c r="A27" s="1272"/>
      <x:c r="B27" s="1273"/>
      <x:c r="C27" s="1273"/>
      <x:c r="D27" s="1273"/>
      <x:c r="E27" s="1274"/>
      <x:c r="F27" s="805"/>
      <x:c r="G27" s="805"/>
      <x:c r="H27" s="805"/>
      <x:c r="I27" s="805"/>
      <x:c r="J27" s="805"/>
      <x:c r="K27" s="805"/>
      <x:c r="L27" s="805"/>
      <x:c r="M27" s="805"/>
      <x:c r="N27" s="805"/>
      <x:c r="O27" s="805"/>
      <x:c r="P27" s="805"/>
      <x:c r="Q27" s="805"/>
      <x:c r="R27" s="806"/>
    </x:row>
    <x:row r="28">
      <x:c r="A28" s="1269" t="str">
        <x:v>State / UT
[ Select ]</x:v>
      </x:c>
      <x:c r="B28" s="1270"/>
      <x:c r="C28" s="1270"/>
      <x:c r="D28" s="1270"/>
      <x:c r="E28" s="1271"/>
      <x:c r="F28" s="805"/>
      <x:c r="G28" s="2000" t="str">
        <x:v>IO-CM-UP-0001     Uttar Pradesh • Basti • Ongoing</x:v>
      </x:c>
      <x:c r="H28" s="2001"/>
      <x:c r="I28" s="2001"/>
      <x:c r="J28" s="2001"/>
      <x:c r="K28" s="2001"/>
      <x:c r="L28" s="2001"/>
      <x:c r="M28" s="2001"/>
      <x:c r="N28" s="2001"/>
      <x:c r="O28" s="2001"/>
      <x:c r="P28" s="2001"/>
      <x:c r="Q28" s="2001"/>
      <x:c r="R28" s="2002"/>
    </x:row>
    <x:row r="29">
      <x:c r="A29" s="1493"/>
      <x:c r="B29" s="1494"/>
      <x:c r="C29" s="1494"/>
      <x:c r="D29" s="1494"/>
      <x:c r="E29" s="1495"/>
      <x:c r="F29" s="805"/>
      <x:c r="G29" s="2003"/>
      <x:c r="H29" s="2004"/>
      <x:c r="I29" s="2004"/>
      <x:c r="J29" s="2004"/>
      <x:c r="K29" s="2004"/>
      <x:c r="L29" s="2004"/>
      <x:c r="M29" s="2004"/>
      <x:c r="N29" s="2004"/>
      <x:c r="O29" s="2004"/>
      <x:c r="P29" s="2004"/>
      <x:c r="Q29" s="2004"/>
      <x:c r="R29" s="2005"/>
    </x:row>
    <x:row r="30">
      <x:c r="A30" s="1493"/>
      <x:c r="B30" s="1494"/>
      <x:c r="C30" s="1494"/>
      <x:c r="D30" s="1494"/>
      <x:c r="E30" s="1495"/>
      <x:c r="F30" s="805"/>
      <x:c r="G30" s="2006"/>
      <x:c r="H30" s="2007"/>
      <x:c r="I30" s="2007"/>
      <x:c r="J30" s="2007"/>
      <x:c r="K30" s="2007"/>
      <x:c r="L30" s="2007"/>
      <x:c r="M30" s="2007"/>
      <x:c r="N30" s="2007"/>
      <x:c r="O30" s="2007"/>
      <x:c r="P30" s="2007"/>
      <x:c r="Q30" s="2007"/>
      <x:c r="R30" s="2008"/>
    </x:row>
    <x:row r="31">
      <x:c r="A31" s="1272"/>
      <x:c r="B31" s="1273"/>
      <x:c r="C31" s="1273"/>
      <x:c r="D31" s="1273"/>
      <x:c r="E31" s="1274"/>
      <x:c r="F31" s="805"/>
      <x:c r="G31" s="2036" t="str">
        <x:v>Dasiya villagers protest construction of an ethanol plant</x:v>
      </x:c>
      <x:c r="H31" s="2037"/>
      <x:c r="I31" s="2037"/>
      <x:c r="J31" s="2037"/>
      <x:c r="K31" s="2037"/>
      <x:c r="L31" s="2037"/>
      <x:c r="M31" s="2037"/>
      <x:c r="N31" s="2038"/>
      <x:c r="O31" s="2073" t="str">
        <x:v>Occurrence verified — disputed details remain</x:v>
      </x:c>
      <x:c r="P31" s="2074"/>
      <x:c r="Q31" s="2074"/>
      <x:c r="R31" s="2075"/>
    </x:row>
    <x:row r="32">
      <x:c r="A32" s="1269" t="str">
        <x:v>District
[ Select ]</x:v>
      </x:c>
      <x:c r="B32" s="1270"/>
      <x:c r="C32" s="1270"/>
      <x:c r="D32" s="1270"/>
      <x:c r="E32" s="1271"/>
      <x:c r="F32" s="805"/>
      <x:c r="G32" s="2039"/>
      <x:c r="H32" s="2040"/>
      <x:c r="I32" s="2040"/>
      <x:c r="J32" s="2040"/>
      <x:c r="K32" s="2040"/>
      <x:c r="L32" s="2040"/>
      <x:c r="M32" s="2040"/>
      <x:c r="N32" s="2041"/>
      <x:c r="O32" s="2076"/>
      <x:c r="P32" s="2077"/>
      <x:c r="Q32" s="2077"/>
      <x:c r="R32" s="2078"/>
    </x:row>
    <x:row r="33">
      <x:c r="A33" s="1493"/>
      <x:c r="B33" s="1494"/>
      <x:c r="C33" s="1494"/>
      <x:c r="D33" s="1494"/>
      <x:c r="E33" s="1495"/>
      <x:c r="F33" s="805"/>
      <x:c r="G33" s="2039"/>
      <x:c r="H33" s="2040"/>
      <x:c r="I33" s="2040"/>
      <x:c r="J33" s="2040"/>
      <x:c r="K33" s="2040"/>
      <x:c r="L33" s="2040"/>
      <x:c r="M33" s="2040"/>
      <x:c r="N33" s="2041"/>
      <x:c r="O33" s="2076"/>
      <x:c r="P33" s="2077"/>
      <x:c r="Q33" s="2077"/>
      <x:c r="R33" s="2078"/>
    </x:row>
    <x:row r="34">
      <x:c r="A34" s="1493"/>
      <x:c r="B34" s="1494"/>
      <x:c r="C34" s="1494"/>
      <x:c r="D34" s="1494"/>
      <x:c r="E34" s="1495"/>
      <x:c r="F34" s="805"/>
      <x:c r="G34" s="2039"/>
      <x:c r="H34" s="2040"/>
      <x:c r="I34" s="2040"/>
      <x:c r="J34" s="2040"/>
      <x:c r="K34" s="2040"/>
      <x:c r="L34" s="2040"/>
      <x:c r="M34" s="2040"/>
      <x:c r="N34" s="2041"/>
      <x:c r="O34" s="2076"/>
      <x:c r="P34" s="2077"/>
      <x:c r="Q34" s="2077"/>
      <x:c r="R34" s="2078"/>
    </x:row>
    <x:row r="35">
      <x:c r="A35" s="1272"/>
      <x:c r="B35" s="1273"/>
      <x:c r="C35" s="1273"/>
      <x:c r="D35" s="1273"/>
      <x:c r="E35" s="1274"/>
      <x:c r="F35" s="805"/>
      <x:c r="G35" s="2042"/>
      <x:c r="H35" s="2043"/>
      <x:c r="I35" s="2043"/>
      <x:c r="J35" s="2043"/>
      <x:c r="K35" s="2043"/>
      <x:c r="L35" s="2043"/>
      <x:c r="M35" s="2043"/>
      <x:c r="N35" s="2044"/>
      <x:c r="O35" s="2079"/>
      <x:c r="P35" s="2080"/>
      <x:c r="Q35" s="2080"/>
      <x:c r="R35" s="2081"/>
    </x:row>
    <x:row r="36">
      <x:c r="A36" s="1269" t="str">
        <x:v>Primary topic
[ Select ]</x:v>
      </x:c>
      <x:c r="B36" s="1270"/>
      <x:c r="C36" s="1270"/>
      <x:c r="D36" s="1270"/>
      <x:c r="E36" s="1271"/>
      <x:c r="F36" s="805"/>
      <x:c r="G36" s="2109" t="str">
        <x:v>Environment</x:v>
      </x:c>
      <x:c r="H36" s="2110"/>
      <x:c r="I36" s="2110"/>
      <x:c r="J36" s="2111"/>
      <x:c r="K36" s="2145" t="str">
        <x:v>Social-first, later corroborated</x:v>
      </x:c>
      <x:c r="L36" s="2146"/>
      <x:c r="M36" s="2146"/>
      <x:c r="N36" s="2147"/>
      <x:c r="O36" s="2182" t="str">
        <x:v>[View event]</x:v>
      </x:c>
      <x:c r="P36" s="2183"/>
      <x:c r="Q36" s="2183"/>
      <x:c r="R36" s="2184"/>
    </x:row>
    <x:row r="37">
      <x:c r="A37" s="1493"/>
      <x:c r="B37" s="1494"/>
      <x:c r="C37" s="1494"/>
      <x:c r="D37" s="1494"/>
      <x:c r="E37" s="1495"/>
      <x:c r="F37" s="805"/>
      <x:c r="G37" s="2112"/>
      <x:c r="H37" s="2113"/>
      <x:c r="I37" s="2113"/>
      <x:c r="J37" s="2114"/>
      <x:c r="K37" s="2148"/>
      <x:c r="L37" s="2149"/>
      <x:c r="M37" s="2149"/>
      <x:c r="N37" s="2150"/>
      <x:c r="O37" s="2185"/>
      <x:c r="P37" s="2186"/>
      <x:c r="Q37" s="2186"/>
      <x:c r="R37" s="2187"/>
    </x:row>
    <x:row r="38">
      <x:c r="A38" s="1493"/>
      <x:c r="B38" s="1494"/>
      <x:c r="C38" s="1494"/>
      <x:c r="D38" s="1494"/>
      <x:c r="E38" s="1495"/>
      <x:c r="F38" s="805"/>
      <x:c r="G38" s="2115"/>
      <x:c r="H38" s="2116"/>
      <x:c r="I38" s="2116"/>
      <x:c r="J38" s="2117"/>
      <x:c r="K38" s="2151"/>
      <x:c r="L38" s="2152"/>
      <x:c r="M38" s="2152"/>
      <x:c r="N38" s="2153"/>
      <x:c r="O38" s="2188"/>
      <x:c r="P38" s="2189"/>
      <x:c r="Q38" s="2189"/>
      <x:c r="R38" s="2190"/>
    </x:row>
    <x:row r="39">
      <x:c r="A39" s="1272"/>
      <x:c r="B39" s="1273"/>
      <x:c r="C39" s="1273"/>
      <x:c r="D39" s="1273"/>
      <x:c r="E39" s="1274"/>
      <x:c r="F39" s="805"/>
      <x:c r="G39" s="1463" t="str">
        <x:v>Residents oppose a proposed ethanol plant and raise concerns about water, health, pollution and land consent.</x:v>
      </x:c>
      <x:c r="H39" s="1464"/>
      <x:c r="I39" s="1464"/>
      <x:c r="J39" s="1464"/>
      <x:c r="K39" s="1464"/>
      <x:c r="L39" s="1464"/>
      <x:c r="M39" s="1464"/>
      <x:c r="N39" s="1464"/>
      <x:c r="O39" s="1464"/>
      <x:c r="P39" s="1464"/>
      <x:c r="Q39" s="1464"/>
      <x:c r="R39" s="1465"/>
    </x:row>
    <x:row r="40">
      <x:c r="A40" s="1269" t="str">
        <x:v>Event status
[ Ongoing / Concluded / … ]</x:v>
      </x:c>
      <x:c r="B40" s="1270"/>
      <x:c r="C40" s="1270"/>
      <x:c r="D40" s="1270"/>
      <x:c r="E40" s="1271"/>
      <x:c r="F40" s="805"/>
      <x:c r="G40" s="1466"/>
      <x:c r="H40" s="1467"/>
      <x:c r="I40" s="1467"/>
      <x:c r="J40" s="1467"/>
      <x:c r="K40" s="1467"/>
      <x:c r="L40" s="1467"/>
      <x:c r="M40" s="1467"/>
      <x:c r="N40" s="1467"/>
      <x:c r="O40" s="1467"/>
      <x:c r="P40" s="1467"/>
      <x:c r="Q40" s="1467"/>
      <x:c r="R40" s="1468"/>
    </x:row>
    <x:row r="41">
      <x:c r="A41" s="1493"/>
      <x:c r="B41" s="1494"/>
      <x:c r="C41" s="1494"/>
      <x:c r="D41" s="1494"/>
      <x:c r="E41" s="1495"/>
      <x:c r="F41" s="805"/>
      <x:c r="G41" s="1466"/>
      <x:c r="H41" s="1467"/>
      <x:c r="I41" s="1467"/>
      <x:c r="J41" s="1467"/>
      <x:c r="K41" s="1467"/>
      <x:c r="L41" s="1467"/>
      <x:c r="M41" s="1467"/>
      <x:c r="N41" s="1467"/>
      <x:c r="O41" s="1467"/>
      <x:c r="P41" s="1467"/>
      <x:c r="Q41" s="1467"/>
      <x:c r="R41" s="1468"/>
    </x:row>
    <x:row r="42">
      <x:c r="A42" s="1493"/>
      <x:c r="B42" s="1494"/>
      <x:c r="C42" s="1494"/>
      <x:c r="D42" s="1494"/>
      <x:c r="E42" s="1495"/>
      <x:c r="F42" s="805"/>
      <x:c r="G42" s="1466"/>
      <x:c r="H42" s="1467"/>
      <x:c r="I42" s="1467"/>
      <x:c r="J42" s="1467"/>
      <x:c r="K42" s="1467"/>
      <x:c r="L42" s="1467"/>
      <x:c r="M42" s="1467"/>
      <x:c r="N42" s="1467"/>
      <x:c r="O42" s="1467"/>
      <x:c r="P42" s="1467"/>
      <x:c r="Q42" s="1467"/>
      <x:c r="R42" s="1468"/>
    </x:row>
    <x:row r="43">
      <x:c r="A43" s="1272"/>
      <x:c r="B43" s="1273"/>
      <x:c r="C43" s="1273"/>
      <x:c r="D43" s="1273"/>
      <x:c r="E43" s="1274"/>
      <x:c r="F43" s="805"/>
      <x:c r="G43" s="1469"/>
      <x:c r="H43" s="1470"/>
      <x:c r="I43" s="1470"/>
      <x:c r="J43" s="1470"/>
      <x:c r="K43" s="1470"/>
      <x:c r="L43" s="1470"/>
      <x:c r="M43" s="1470"/>
      <x:c r="N43" s="1470"/>
      <x:c r="O43" s="1470"/>
      <x:c r="P43" s="1470"/>
      <x:c r="Q43" s="1470"/>
      <x:c r="R43" s="1471"/>
    </x:row>
    <x:row r="44">
      <x:c r="A44" s="1269" t="str">
        <x:v>Verification
[ Reported / Corroborated / … ]</x:v>
      </x:c>
      <x:c r="B44" s="1270"/>
      <x:c r="C44" s="1270"/>
      <x:c r="D44" s="1270"/>
      <x:c r="E44" s="1271"/>
      <x:c r="F44" s="805"/>
      <x:c r="G44" s="805"/>
      <x:c r="H44" s="805"/>
      <x:c r="I44" s="805"/>
      <x:c r="J44" s="805"/>
      <x:c r="K44" s="805"/>
      <x:c r="L44" s="805"/>
      <x:c r="M44" s="805"/>
      <x:c r="N44" s="805"/>
      <x:c r="O44" s="805"/>
      <x:c r="P44" s="805"/>
      <x:c r="Q44" s="805"/>
      <x:c r="R44" s="806"/>
    </x:row>
    <x:row r="45">
      <x:c r="A45" s="1493"/>
      <x:c r="B45" s="1494"/>
      <x:c r="C45" s="1494"/>
      <x:c r="D45" s="1494"/>
      <x:c r="E45" s="1495"/>
      <x:c r="F45" s="805"/>
      <x:c r="G45" s="2000" t="str">
        <x:v>IO-CM-AS-0001     Assam • Kokrajhar • Concluded</x:v>
      </x:c>
      <x:c r="H45" s="2001"/>
      <x:c r="I45" s="2001"/>
      <x:c r="J45" s="2001"/>
      <x:c r="K45" s="2001"/>
      <x:c r="L45" s="2001"/>
      <x:c r="M45" s="2001"/>
      <x:c r="N45" s="2001"/>
      <x:c r="O45" s="2001"/>
      <x:c r="P45" s="2001"/>
      <x:c r="Q45" s="2001"/>
      <x:c r="R45" s="2002"/>
    </x:row>
    <x:row r="46">
      <x:c r="A46" s="1493"/>
      <x:c r="B46" s="1494"/>
      <x:c r="C46" s="1494"/>
      <x:c r="D46" s="1494"/>
      <x:c r="E46" s="1495"/>
      <x:c r="F46" s="805"/>
      <x:c r="G46" s="2003"/>
      <x:c r="H46" s="2004"/>
      <x:c r="I46" s="2004"/>
      <x:c r="J46" s="2004"/>
      <x:c r="K46" s="2004"/>
      <x:c r="L46" s="2004"/>
      <x:c r="M46" s="2004"/>
      <x:c r="N46" s="2004"/>
      <x:c r="O46" s="2004"/>
      <x:c r="P46" s="2004"/>
      <x:c r="Q46" s="2004"/>
      <x:c r="R46" s="2005"/>
    </x:row>
    <x:row r="47">
      <x:c r="A47" s="1272"/>
      <x:c r="B47" s="1273"/>
      <x:c r="C47" s="1273"/>
      <x:c r="D47" s="1273"/>
      <x:c r="E47" s="1274"/>
      <x:c r="F47" s="805"/>
      <x:c r="G47" s="2006"/>
      <x:c r="H47" s="2007"/>
      <x:c r="I47" s="2007"/>
      <x:c r="J47" s="2007"/>
      <x:c r="K47" s="2007"/>
      <x:c r="L47" s="2007"/>
      <x:c r="M47" s="2007"/>
      <x:c r="N47" s="2007"/>
      <x:c r="O47" s="2007"/>
      <x:c r="P47" s="2007"/>
      <x:c r="Q47" s="2007"/>
      <x:c r="R47" s="2008"/>
    </x:row>
    <x:row r="48">
      <x:c r="A48" s="1269" t="str">
        <x:v>Activity pattern
[ One-day / Continuous / … ]</x:v>
      </x:c>
      <x:c r="B48" s="1270"/>
      <x:c r="C48" s="1270"/>
      <x:c r="D48" s="1270"/>
      <x:c r="E48" s="1271"/>
      <x:c r="F48" s="805"/>
      <x:c r="G48" s="2036" t="str">
        <x:v>Bodo residents protest APDCL land allotment and resettlement plan</x:v>
      </x:c>
      <x:c r="H48" s="2037"/>
      <x:c r="I48" s="2037"/>
      <x:c r="J48" s="2037"/>
      <x:c r="K48" s="2037"/>
      <x:c r="L48" s="2037"/>
      <x:c r="M48" s="2037"/>
      <x:c r="N48" s="2038"/>
      <x:c r="O48" s="2073" t="str">
        <x:v>Occurrence verified — disputed details remain</x:v>
      </x:c>
      <x:c r="P48" s="2074"/>
      <x:c r="Q48" s="2074"/>
      <x:c r="R48" s="2075"/>
    </x:row>
    <x:row r="49">
      <x:c r="A49" s="1493"/>
      <x:c r="B49" s="1494"/>
      <x:c r="C49" s="1494"/>
      <x:c r="D49" s="1494"/>
      <x:c r="E49" s="1495"/>
      <x:c r="F49" s="805"/>
      <x:c r="G49" s="2039"/>
      <x:c r="H49" s="2040"/>
      <x:c r="I49" s="2040"/>
      <x:c r="J49" s="2040"/>
      <x:c r="K49" s="2040"/>
      <x:c r="L49" s="2040"/>
      <x:c r="M49" s="2040"/>
      <x:c r="N49" s="2041"/>
      <x:c r="O49" s="2076"/>
      <x:c r="P49" s="2077"/>
      <x:c r="Q49" s="2077"/>
      <x:c r="R49" s="2078"/>
    </x:row>
    <x:row r="50">
      <x:c r="A50" s="1493"/>
      <x:c r="B50" s="1494"/>
      <x:c r="C50" s="1494"/>
      <x:c r="D50" s="1494"/>
      <x:c r="E50" s="1495"/>
      <x:c r="F50" s="805"/>
      <x:c r="G50" s="2039"/>
      <x:c r="H50" s="2040"/>
      <x:c r="I50" s="2040"/>
      <x:c r="J50" s="2040"/>
      <x:c r="K50" s="2040"/>
      <x:c r="L50" s="2040"/>
      <x:c r="M50" s="2040"/>
      <x:c r="N50" s="2041"/>
      <x:c r="O50" s="2076"/>
      <x:c r="P50" s="2077"/>
      <x:c r="Q50" s="2077"/>
      <x:c r="R50" s="2078"/>
    </x:row>
    <x:row r="51">
      <x:c r="A51" s="1272"/>
      <x:c r="B51" s="1273"/>
      <x:c r="C51" s="1273"/>
      <x:c r="D51" s="1273"/>
      <x:c r="E51" s="1274"/>
      <x:c r="F51" s="805"/>
      <x:c r="G51" s="2039"/>
      <x:c r="H51" s="2040"/>
      <x:c r="I51" s="2040"/>
      <x:c r="J51" s="2040"/>
      <x:c r="K51" s="2040"/>
      <x:c r="L51" s="2040"/>
      <x:c r="M51" s="2040"/>
      <x:c r="N51" s="2041"/>
      <x:c r="O51" s="2076"/>
      <x:c r="P51" s="2077"/>
      <x:c r="Q51" s="2077"/>
      <x:c r="R51" s="2078"/>
    </x:row>
    <x:row r="52">
      <x:c r="A52" s="1269" t="str">
        <x:v>Coverage profile
[ Local / Regional / Social-first / … ]</x:v>
      </x:c>
      <x:c r="B52" s="1270"/>
      <x:c r="C52" s="1270"/>
      <x:c r="D52" s="1270"/>
      <x:c r="E52" s="1271"/>
      <x:c r="F52" s="805"/>
      <x:c r="G52" s="2042"/>
      <x:c r="H52" s="2043"/>
      <x:c r="I52" s="2043"/>
      <x:c r="J52" s="2043"/>
      <x:c r="K52" s="2043"/>
      <x:c r="L52" s="2043"/>
      <x:c r="M52" s="2043"/>
      <x:c r="N52" s="2044"/>
      <x:c r="O52" s="2079"/>
      <x:c r="P52" s="2080"/>
      <x:c r="Q52" s="2080"/>
      <x:c r="R52" s="2081"/>
    </x:row>
    <x:row r="53">
      <x:c r="A53" s="1493"/>
      <x:c r="B53" s="1494"/>
      <x:c r="C53" s="1494"/>
      <x:c r="D53" s="1494"/>
      <x:c r="E53" s="1495"/>
      <x:c r="F53" s="805"/>
      <x:c r="G53" s="2109" t="str">
        <x:v>Land &amp; rehabilitation</x:v>
      </x:c>
      <x:c r="H53" s="2110"/>
      <x:c r="I53" s="2110"/>
      <x:c r="J53" s="2111"/>
      <x:c r="K53" s="2145" t="str">
        <x:v>Undercovered / remote</x:v>
      </x:c>
      <x:c r="L53" s="2146"/>
      <x:c r="M53" s="2146"/>
      <x:c r="N53" s="2147"/>
      <x:c r="O53" s="2182" t="str">
        <x:v>[View event]</x:v>
      </x:c>
      <x:c r="P53" s="2183"/>
      <x:c r="Q53" s="2183"/>
      <x:c r="R53" s="2184"/>
    </x:row>
    <x:row r="54">
      <x:c r="A54" s="1493"/>
      <x:c r="B54" s="1494"/>
      <x:c r="C54" s="1494"/>
      <x:c r="D54" s="1494"/>
      <x:c r="E54" s="1495"/>
      <x:c r="F54" s="805"/>
      <x:c r="G54" s="2112"/>
      <x:c r="H54" s="2113"/>
      <x:c r="I54" s="2113"/>
      <x:c r="J54" s="2114"/>
      <x:c r="K54" s="2148"/>
      <x:c r="L54" s="2149"/>
      <x:c r="M54" s="2149"/>
      <x:c r="N54" s="2150"/>
      <x:c r="O54" s="2185"/>
      <x:c r="P54" s="2186"/>
      <x:c r="Q54" s="2186"/>
      <x:c r="R54" s="2187"/>
    </x:row>
    <x:row r="55">
      <x:c r="A55" s="1272"/>
      <x:c r="B55" s="1273"/>
      <x:c r="C55" s="1273"/>
      <x:c r="D55" s="1273"/>
      <x:c r="E55" s="1274"/>
      <x:c r="F55" s="805"/>
      <x:c r="G55" s="2115"/>
      <x:c r="H55" s="2116"/>
      <x:c r="I55" s="2116"/>
      <x:c r="J55" s="2117"/>
      <x:c r="K55" s="2151"/>
      <x:c r="L55" s="2152"/>
      <x:c r="M55" s="2152"/>
      <x:c r="N55" s="2153"/>
      <x:c r="O55" s="2188"/>
      <x:c r="P55" s="2189"/>
      <x:c r="Q55" s="2189"/>
      <x:c r="R55" s="2190"/>
    </x:row>
    <x:row r="56">
      <x:c r="A56" s="1926" t="str">
        <x:v>[Apply filters]     [Clear]</x:v>
      </x:c>
      <x:c r="B56" s="1927"/>
      <x:c r="C56" s="1927"/>
      <x:c r="D56" s="1927"/>
      <x:c r="E56" s="1928"/>
      <x:c r="F56" s="805"/>
      <x:c r="G56" s="1463" t="str">
        <x:v>Residents opposed proposed land allotment and resettlement on land described as protected tribal land.</x:v>
      </x:c>
      <x:c r="H56" s="1464"/>
      <x:c r="I56" s="1464"/>
      <x:c r="J56" s="1464"/>
      <x:c r="K56" s="1464"/>
      <x:c r="L56" s="1464"/>
      <x:c r="M56" s="1464"/>
      <x:c r="N56" s="1464"/>
      <x:c r="O56" s="1464"/>
      <x:c r="P56" s="1464"/>
      <x:c r="Q56" s="1464"/>
      <x:c r="R56" s="1465"/>
    </x:row>
    <x:row r="57">
      <x:c r="A57" s="1929"/>
      <x:c r="B57" s="1930"/>
      <x:c r="C57" s="1930"/>
      <x:c r="D57" s="1930"/>
      <x:c r="E57" s="1931"/>
      <x:c r="F57" s="805"/>
      <x:c r="G57" s="1466"/>
      <x:c r="H57" s="1467"/>
      <x:c r="I57" s="1467"/>
      <x:c r="J57" s="1467"/>
      <x:c r="K57" s="1467"/>
      <x:c r="L57" s="1467"/>
      <x:c r="M57" s="1467"/>
      <x:c r="N57" s="1467"/>
      <x:c r="O57" s="1467"/>
      <x:c r="P57" s="1467"/>
      <x:c r="Q57" s="1467"/>
      <x:c r="R57" s="1468"/>
    </x:row>
    <x:row r="58">
      <x:c r="A58" s="1929"/>
      <x:c r="B58" s="1930"/>
      <x:c r="C58" s="1930"/>
      <x:c r="D58" s="1930"/>
      <x:c r="E58" s="1931"/>
      <x:c r="F58" s="805"/>
      <x:c r="G58" s="1466"/>
      <x:c r="H58" s="1467"/>
      <x:c r="I58" s="1467"/>
      <x:c r="J58" s="1467"/>
      <x:c r="K58" s="1467"/>
      <x:c r="L58" s="1467"/>
      <x:c r="M58" s="1467"/>
      <x:c r="N58" s="1467"/>
      <x:c r="O58" s="1467"/>
      <x:c r="P58" s="1467"/>
      <x:c r="Q58" s="1467"/>
      <x:c r="R58" s="1468"/>
    </x:row>
    <x:row r="59">
      <x:c r="A59" s="1932"/>
      <x:c r="B59" s="1933"/>
      <x:c r="C59" s="1933"/>
      <x:c r="D59" s="1933"/>
      <x:c r="E59" s="1934"/>
      <x:c r="F59" s="805"/>
      <x:c r="G59" s="1466"/>
      <x:c r="H59" s="1467"/>
      <x:c r="I59" s="1467"/>
      <x:c r="J59" s="1467"/>
      <x:c r="K59" s="1467"/>
      <x:c r="L59" s="1467"/>
      <x:c r="M59" s="1467"/>
      <x:c r="N59" s="1467"/>
      <x:c r="O59" s="1467"/>
      <x:c r="P59" s="1467"/>
      <x:c r="Q59" s="1467"/>
      <x:c r="R59" s="1468"/>
    </x:row>
    <x:row r="60">
      <x:c r="A60" s="804"/>
      <x:c r="B60" s="805"/>
      <x:c r="C60" s="805"/>
      <x:c r="D60" s="805"/>
      <x:c r="E60" s="805"/>
      <x:c r="F60" s="805"/>
      <x:c r="G60" s="1469"/>
      <x:c r="H60" s="1470"/>
      <x:c r="I60" s="1470"/>
      <x:c r="J60" s="1470"/>
      <x:c r="K60" s="1470"/>
      <x:c r="L60" s="1470"/>
      <x:c r="M60" s="1470"/>
      <x:c r="N60" s="1470"/>
      <x:c r="O60" s="1470"/>
      <x:c r="P60" s="1470"/>
      <x:c r="Q60" s="1470"/>
      <x:c r="R60" s="1471"/>
    </x:row>
    <x:row r="61">
      <x:c r="A61" s="1463" t="str">
        <x:v>Saved view examples
• Ongoing land protests
• Undercovered rural events
• Events awaiting official follow-up</x:v>
      </x:c>
      <x:c r="B61" s="1464"/>
      <x:c r="C61" s="1464"/>
      <x:c r="D61" s="1464"/>
      <x:c r="E61" s="1465"/>
      <x:c r="F61" s="805"/>
      <x:c r="G61" s="805"/>
      <x:c r="H61" s="805"/>
      <x:c r="I61" s="805"/>
      <x:c r="J61" s="805"/>
      <x:c r="K61" s="805"/>
      <x:c r="L61" s="805"/>
      <x:c r="M61" s="805"/>
      <x:c r="N61" s="805"/>
      <x:c r="O61" s="805"/>
      <x:c r="P61" s="805"/>
      <x:c r="Q61" s="805"/>
      <x:c r="R61" s="806"/>
    </x:row>
    <x:row r="62">
      <x:c r="A62" s="1466"/>
      <x:c r="B62" s="1467"/>
      <x:c r="C62" s="1467"/>
      <x:c r="D62" s="1467"/>
      <x:c r="E62" s="1468"/>
      <x:c r="F62" s="805"/>
      <x:c r="G62" s="2000" t="str">
        <x:v>IO-CM-OD-0001     Odisha • Jajpur • Concluded</x:v>
      </x:c>
      <x:c r="H62" s="2001"/>
      <x:c r="I62" s="2001"/>
      <x:c r="J62" s="2001"/>
      <x:c r="K62" s="2001"/>
      <x:c r="L62" s="2001"/>
      <x:c r="M62" s="2001"/>
      <x:c r="N62" s="2001"/>
      <x:c r="O62" s="2001"/>
      <x:c r="P62" s="2001"/>
      <x:c r="Q62" s="2001"/>
      <x:c r="R62" s="2002"/>
    </x:row>
    <x:row r="63">
      <x:c r="A63" s="1466"/>
      <x:c r="B63" s="1467"/>
      <x:c r="C63" s="1467"/>
      <x:c r="D63" s="1467"/>
      <x:c r="E63" s="1468"/>
      <x:c r="F63" s="805"/>
      <x:c r="G63" s="2003"/>
      <x:c r="H63" s="2004"/>
      <x:c r="I63" s="2004"/>
      <x:c r="J63" s="2004"/>
      <x:c r="K63" s="2004"/>
      <x:c r="L63" s="2004"/>
      <x:c r="M63" s="2004"/>
      <x:c r="N63" s="2004"/>
      <x:c r="O63" s="2004"/>
      <x:c r="P63" s="2004"/>
      <x:c r="Q63" s="2004"/>
      <x:c r="R63" s="2005"/>
    </x:row>
    <x:row r="64">
      <x:c r="A64" s="1466"/>
      <x:c r="B64" s="1467"/>
      <x:c r="C64" s="1467"/>
      <x:c r="D64" s="1467"/>
      <x:c r="E64" s="1468"/>
      <x:c r="F64" s="805"/>
      <x:c r="G64" s="2006"/>
      <x:c r="H64" s="2007"/>
      <x:c r="I64" s="2007"/>
      <x:c r="J64" s="2007"/>
      <x:c r="K64" s="2007"/>
      <x:c r="L64" s="2007"/>
      <x:c r="M64" s="2007"/>
      <x:c r="N64" s="2007"/>
      <x:c r="O64" s="2007"/>
      <x:c r="P64" s="2007"/>
      <x:c r="Q64" s="2007"/>
      <x:c r="R64" s="2008"/>
    </x:row>
    <x:row r="65">
      <x:c r="A65" s="1466"/>
      <x:c r="B65" s="1467"/>
      <x:c r="C65" s="1467"/>
      <x:c r="D65" s="1467"/>
      <x:c r="E65" s="1468"/>
      <x:c r="F65" s="805"/>
      <x:c r="G65" s="2036" t="str">
        <x:v>Dharmasala students stage dharna over teacher vacancies</x:v>
      </x:c>
      <x:c r="H65" s="2037"/>
      <x:c r="I65" s="2037"/>
      <x:c r="J65" s="2037"/>
      <x:c r="K65" s="2037"/>
      <x:c r="L65" s="2037"/>
      <x:c r="M65" s="2037"/>
      <x:c r="N65" s="2038"/>
      <x:c r="O65" s="2073" t="str">
        <x:v>Occurrence verified — disputed details remain</x:v>
      </x:c>
      <x:c r="P65" s="2074"/>
      <x:c r="Q65" s="2074"/>
      <x:c r="R65" s="2075"/>
    </x:row>
    <x:row r="66">
      <x:c r="A66" s="1469"/>
      <x:c r="B66" s="1470"/>
      <x:c r="C66" s="1470"/>
      <x:c r="D66" s="1470"/>
      <x:c r="E66" s="1471"/>
      <x:c r="F66" s="805"/>
      <x:c r="G66" s="2039"/>
      <x:c r="H66" s="2040"/>
      <x:c r="I66" s="2040"/>
      <x:c r="J66" s="2040"/>
      <x:c r="K66" s="2040"/>
      <x:c r="L66" s="2040"/>
      <x:c r="M66" s="2040"/>
      <x:c r="N66" s="2041"/>
      <x:c r="O66" s="2076"/>
      <x:c r="P66" s="2077"/>
      <x:c r="Q66" s="2077"/>
      <x:c r="R66" s="2078"/>
    </x:row>
    <x:row r="67">
      <x:c r="A67" s="804"/>
      <x:c r="B67" s="805"/>
      <x:c r="C67" s="805"/>
      <x:c r="D67" s="805"/>
      <x:c r="E67" s="805"/>
      <x:c r="F67" s="805"/>
      <x:c r="G67" s="2039"/>
      <x:c r="H67" s="2040"/>
      <x:c r="I67" s="2040"/>
      <x:c r="J67" s="2040"/>
      <x:c r="K67" s="2040"/>
      <x:c r="L67" s="2040"/>
      <x:c r="M67" s="2040"/>
      <x:c r="N67" s="2041"/>
      <x:c r="O67" s="2076"/>
      <x:c r="P67" s="2077"/>
      <x:c r="Q67" s="2077"/>
      <x:c r="R67" s="2078"/>
    </x:row>
    <x:row r="68">
      <x:c r="A68" s="804"/>
      <x:c r="B68" s="805"/>
      <x:c r="C68" s="805"/>
      <x:c r="D68" s="805"/>
      <x:c r="E68" s="805"/>
      <x:c r="F68" s="805"/>
      <x:c r="G68" s="2039"/>
      <x:c r="H68" s="2040"/>
      <x:c r="I68" s="2040"/>
      <x:c r="J68" s="2040"/>
      <x:c r="K68" s="2040"/>
      <x:c r="L68" s="2040"/>
      <x:c r="M68" s="2040"/>
      <x:c r="N68" s="2041"/>
      <x:c r="O68" s="2076"/>
      <x:c r="P68" s="2077"/>
      <x:c r="Q68" s="2077"/>
      <x:c r="R68" s="2078"/>
    </x:row>
    <x:row r="69">
      <x:c r="A69" s="804"/>
      <x:c r="B69" s="805"/>
      <x:c r="C69" s="805"/>
      <x:c r="D69" s="805"/>
      <x:c r="E69" s="805"/>
      <x:c r="F69" s="805"/>
      <x:c r="G69" s="2042"/>
      <x:c r="H69" s="2043"/>
      <x:c r="I69" s="2043"/>
      <x:c r="J69" s="2043"/>
      <x:c r="K69" s="2043"/>
      <x:c r="L69" s="2043"/>
      <x:c r="M69" s="2043"/>
      <x:c r="N69" s="2044"/>
      <x:c r="O69" s="2079"/>
      <x:c r="P69" s="2080"/>
      <x:c r="Q69" s="2080"/>
      <x:c r="R69" s="2081"/>
    </x:row>
    <x:row r="70">
      <x:c r="A70" s="804"/>
      <x:c r="B70" s="805"/>
      <x:c r="C70" s="805"/>
      <x:c r="D70" s="805"/>
      <x:c r="E70" s="805"/>
      <x:c r="F70" s="805"/>
      <x:c r="G70" s="2109" t="str">
        <x:v>Education</x:v>
      </x:c>
      <x:c r="H70" s="2110"/>
      <x:c r="I70" s="2110"/>
      <x:c r="J70" s="2111"/>
      <x:c r="K70" s="2145" t="str">
        <x:v>Local media only</x:v>
      </x:c>
      <x:c r="L70" s="2146"/>
      <x:c r="M70" s="2146"/>
      <x:c r="N70" s="2147"/>
      <x:c r="O70" s="2182" t="str">
        <x:v>[View event]</x:v>
      </x:c>
      <x:c r="P70" s="2183"/>
      <x:c r="Q70" s="2183"/>
      <x:c r="R70" s="2184"/>
    </x:row>
    <x:row r="71">
      <x:c r="A71" s="804"/>
      <x:c r="B71" s="805"/>
      <x:c r="C71" s="805"/>
      <x:c r="D71" s="805"/>
      <x:c r="E71" s="805"/>
      <x:c r="F71" s="805"/>
      <x:c r="G71" s="2112"/>
      <x:c r="H71" s="2113"/>
      <x:c r="I71" s="2113"/>
      <x:c r="J71" s="2114"/>
      <x:c r="K71" s="2148"/>
      <x:c r="L71" s="2149"/>
      <x:c r="M71" s="2149"/>
      <x:c r="N71" s="2150"/>
      <x:c r="O71" s="2185"/>
      <x:c r="P71" s="2186"/>
      <x:c r="Q71" s="2186"/>
      <x:c r="R71" s="2187"/>
    </x:row>
    <x:row r="72">
      <x:c r="A72" s="804"/>
      <x:c r="B72" s="805"/>
      <x:c r="C72" s="805"/>
      <x:c r="D72" s="805"/>
      <x:c r="E72" s="805"/>
      <x:c r="F72" s="805"/>
      <x:c r="G72" s="2115"/>
      <x:c r="H72" s="2116"/>
      <x:c r="I72" s="2116"/>
      <x:c r="J72" s="2117"/>
      <x:c r="K72" s="2151"/>
      <x:c r="L72" s="2152"/>
      <x:c r="M72" s="2152"/>
      <x:c r="N72" s="2153"/>
      <x:c r="O72" s="2188"/>
      <x:c r="P72" s="2189"/>
      <x:c r="Q72" s="2189"/>
      <x:c r="R72" s="2190"/>
    </x:row>
    <x:row r="73">
      <x:c r="A73" s="804"/>
      <x:c r="B73" s="805"/>
      <x:c r="C73" s="805"/>
      <x:c r="D73" s="805"/>
      <x:c r="E73" s="805"/>
      <x:c r="F73" s="805"/>
      <x:c r="G73" s="1463" t="str">
        <x:v>Students locked the school gate; two teachers were deputed the same day and the dharna ended.</x:v>
      </x:c>
      <x:c r="H73" s="1464"/>
      <x:c r="I73" s="1464"/>
      <x:c r="J73" s="1464"/>
      <x:c r="K73" s="1464"/>
      <x:c r="L73" s="1464"/>
      <x:c r="M73" s="1464"/>
      <x:c r="N73" s="1464"/>
      <x:c r="O73" s="1464"/>
      <x:c r="P73" s="1464"/>
      <x:c r="Q73" s="1464"/>
      <x:c r="R73" s="1465"/>
    </x:row>
    <x:row r="74">
      <x:c r="A74" s="804"/>
      <x:c r="B74" s="805"/>
      <x:c r="C74" s="805"/>
      <x:c r="D74" s="805"/>
      <x:c r="E74" s="805"/>
      <x:c r="F74" s="805"/>
      <x:c r="G74" s="1466"/>
      <x:c r="H74" s="1467"/>
      <x:c r="I74" s="1467"/>
      <x:c r="J74" s="1467"/>
      <x:c r="K74" s="1467"/>
      <x:c r="L74" s="1467"/>
      <x:c r="M74" s="1467"/>
      <x:c r="N74" s="1467"/>
      <x:c r="O74" s="1467"/>
      <x:c r="P74" s="1467"/>
      <x:c r="Q74" s="1467"/>
      <x:c r="R74" s="1468"/>
    </x:row>
    <x:row r="75">
      <x:c r="A75" s="804"/>
      <x:c r="B75" s="805"/>
      <x:c r="C75" s="805"/>
      <x:c r="D75" s="805"/>
      <x:c r="E75" s="805"/>
      <x:c r="F75" s="805"/>
      <x:c r="G75" s="1466"/>
      <x:c r="H75" s="1467"/>
      <x:c r="I75" s="1467"/>
      <x:c r="J75" s="1467"/>
      <x:c r="K75" s="1467"/>
      <x:c r="L75" s="1467"/>
      <x:c r="M75" s="1467"/>
      <x:c r="N75" s="1467"/>
      <x:c r="O75" s="1467"/>
      <x:c r="P75" s="1467"/>
      <x:c r="Q75" s="1467"/>
      <x:c r="R75" s="1468"/>
    </x:row>
    <x:row r="76">
      <x:c r="A76" s="804"/>
      <x:c r="B76" s="805"/>
      <x:c r="C76" s="805"/>
      <x:c r="D76" s="805"/>
      <x:c r="E76" s="805"/>
      <x:c r="F76" s="805"/>
      <x:c r="G76" s="1466"/>
      <x:c r="H76" s="1467"/>
      <x:c r="I76" s="1467"/>
      <x:c r="J76" s="1467"/>
      <x:c r="K76" s="1467"/>
      <x:c r="L76" s="1467"/>
      <x:c r="M76" s="1467"/>
      <x:c r="N76" s="1467"/>
      <x:c r="O76" s="1467"/>
      <x:c r="P76" s="1467"/>
      <x:c r="Q76" s="1467"/>
      <x:c r="R76" s="1468"/>
    </x:row>
    <x:row r="77">
      <x:c r="A77" s="804"/>
      <x:c r="B77" s="805"/>
      <x:c r="C77" s="805"/>
      <x:c r="D77" s="805"/>
      <x:c r="E77" s="805"/>
      <x:c r="F77" s="805"/>
      <x:c r="G77" s="1469"/>
      <x:c r="H77" s="1470"/>
      <x:c r="I77" s="1470"/>
      <x:c r="J77" s="1470"/>
      <x:c r="K77" s="1470"/>
      <x:c r="L77" s="1470"/>
      <x:c r="M77" s="1470"/>
      <x:c r="N77" s="1470"/>
      <x:c r="O77" s="1470"/>
      <x:c r="P77" s="1470"/>
      <x:c r="Q77" s="1470"/>
      <x:c r="R77" s="1471"/>
    </x:row>
    <x:row r="78">
      <x:c r="A78" s="804"/>
      <x:c r="B78" s="805"/>
      <x:c r="C78" s="805"/>
      <x:c r="D78" s="805"/>
      <x:c r="E78" s="805"/>
      <x:c r="F78" s="805"/>
      <x:c r="G78" s="805"/>
      <x:c r="H78" s="805"/>
      <x:c r="I78" s="805"/>
      <x:c r="J78" s="805"/>
      <x:c r="K78" s="805"/>
      <x:c r="L78" s="805"/>
      <x:c r="M78" s="805"/>
      <x:c r="N78" s="805"/>
      <x:c r="O78" s="805"/>
      <x:c r="P78" s="805"/>
      <x:c r="Q78" s="805"/>
      <x:c r="R78" s="806"/>
    </x:row>
    <x:row r="79">
      <x:c r="A79" s="804"/>
      <x:c r="B79" s="805"/>
      <x:c r="C79" s="805"/>
      <x:c r="D79" s="805"/>
      <x:c r="E79" s="805"/>
      <x:c r="F79" s="805"/>
      <x:c r="G79" s="2219" t="str">
        <x:v>Pagination:  ‹ Previous     1     2     3     Next ›
Future enhancement: general state-level map only, never live or tactical location mapping.</x:v>
      </x:c>
      <x:c r="H79" s="2220"/>
      <x:c r="I79" s="2220"/>
      <x:c r="J79" s="2220"/>
      <x:c r="K79" s="2220"/>
      <x:c r="L79" s="2220"/>
      <x:c r="M79" s="2220"/>
      <x:c r="N79" s="2220"/>
      <x:c r="O79" s="2220"/>
      <x:c r="P79" s="2220"/>
      <x:c r="Q79" s="2220"/>
      <x:c r="R79" s="2221"/>
    </x:row>
    <x:row r="80">
      <x:c r="A80" s="804"/>
      <x:c r="B80" s="805"/>
      <x:c r="C80" s="805"/>
      <x:c r="D80" s="805"/>
      <x:c r="E80" s="805"/>
      <x:c r="F80" s="805"/>
      <x:c r="G80" s="2222"/>
      <x:c r="H80" s="2223"/>
      <x:c r="I80" s="2223"/>
      <x:c r="J80" s="2223"/>
      <x:c r="K80" s="2223"/>
      <x:c r="L80" s="2223"/>
      <x:c r="M80" s="2223"/>
      <x:c r="N80" s="2223"/>
      <x:c r="O80" s="2223"/>
      <x:c r="P80" s="2223"/>
      <x:c r="Q80" s="2223"/>
      <x:c r="R80" s="2224"/>
    </x:row>
    <x:row r="81">
      <x:c r="A81" s="804"/>
      <x:c r="B81" s="805"/>
      <x:c r="C81" s="805"/>
      <x:c r="D81" s="805"/>
      <x:c r="E81" s="805"/>
      <x:c r="F81" s="805"/>
      <x:c r="G81" s="2222"/>
      <x:c r="H81" s="2223"/>
      <x:c r="I81" s="2223"/>
      <x:c r="J81" s="2223"/>
      <x:c r="K81" s="2223"/>
      <x:c r="L81" s="2223"/>
      <x:c r="M81" s="2223"/>
      <x:c r="N81" s="2223"/>
      <x:c r="O81" s="2223"/>
      <x:c r="P81" s="2223"/>
      <x:c r="Q81" s="2223"/>
      <x:c r="R81" s="2224"/>
    </x:row>
    <x:row r="82">
      <x:c r="A82" s="804"/>
      <x:c r="B82" s="805"/>
      <x:c r="C82" s="805"/>
      <x:c r="D82" s="805"/>
      <x:c r="E82" s="805"/>
      <x:c r="F82" s="805"/>
      <x:c r="G82" s="2222"/>
      <x:c r="H82" s="2223"/>
      <x:c r="I82" s="2223"/>
      <x:c r="J82" s="2223"/>
      <x:c r="K82" s="2223"/>
      <x:c r="L82" s="2223"/>
      <x:c r="M82" s="2223"/>
      <x:c r="N82" s="2223"/>
      <x:c r="O82" s="2223"/>
      <x:c r="P82" s="2223"/>
      <x:c r="Q82" s="2223"/>
      <x:c r="R82" s="2224"/>
    </x:row>
    <x:row r="83">
      <x:c r="A83" s="804"/>
      <x:c r="B83" s="805"/>
      <x:c r="C83" s="805"/>
      <x:c r="D83" s="805"/>
      <x:c r="E83" s="805"/>
      <x:c r="F83" s="805"/>
      <x:c r="G83" s="2222"/>
      <x:c r="H83" s="2223"/>
      <x:c r="I83" s="2223"/>
      <x:c r="J83" s="2223"/>
      <x:c r="K83" s="2223"/>
      <x:c r="L83" s="2223"/>
      <x:c r="M83" s="2223"/>
      <x:c r="N83" s="2223"/>
      <x:c r="O83" s="2223"/>
      <x:c r="P83" s="2223"/>
      <x:c r="Q83" s="2223"/>
      <x:c r="R83" s="2224"/>
    </x:row>
    <x:row r="84">
      <x:c r="A84" s="804"/>
      <x:c r="B84" s="805"/>
      <x:c r="C84" s="805"/>
      <x:c r="D84" s="805"/>
      <x:c r="E84" s="805"/>
      <x:c r="F84" s="805"/>
      <x:c r="G84" s="2225"/>
      <x:c r="H84" s="2226"/>
      <x:c r="I84" s="2226"/>
      <x:c r="J84" s="2226"/>
      <x:c r="K84" s="2226"/>
      <x:c r="L84" s="2226"/>
      <x:c r="M84" s="2226"/>
      <x:c r="N84" s="2226"/>
      <x:c r="O84" s="2226"/>
      <x:c r="P84" s="2226"/>
      <x:c r="Q84" s="2226"/>
      <x:c r="R84" s="2227"/>
    </x:row>
    <x:row r="85">
      <x:c r="A85" s="804"/>
      <x:c r="B85" s="805"/>
      <x:c r="C85" s="805"/>
      <x:c r="D85" s="805"/>
      <x:c r="E85" s="805"/>
      <x:c r="F85" s="805"/>
      <x:c r="G85" s="805"/>
      <x:c r="H85" s="805"/>
      <x:c r="I85" s="805"/>
      <x:c r="J85" s="805"/>
      <x:c r="K85" s="805"/>
      <x:c r="L85" s="805"/>
      <x:c r="M85" s="805"/>
      <x:c r="N85" s="805"/>
      <x:c r="O85" s="805"/>
      <x:c r="P85" s="805"/>
      <x:c r="Q85" s="805"/>
      <x:c r="R85" s="806"/>
    </x:row>
    <x:row r="86">
      <x:c r="A86" s="804"/>
      <x:c r="B86" s="805"/>
      <x:c r="C86" s="805"/>
      <x:c r="D86" s="805"/>
      <x:c r="E86" s="805"/>
      <x:c r="F86" s="805"/>
      <x:c r="G86" s="805"/>
      <x:c r="H86" s="805"/>
      <x:c r="I86" s="805"/>
      <x:c r="J86" s="805"/>
      <x:c r="K86" s="805"/>
      <x:c r="L86" s="805"/>
      <x:c r="M86" s="805"/>
      <x:c r="N86" s="805"/>
      <x:c r="O86" s="805"/>
      <x:c r="P86" s="805"/>
      <x:c r="Q86" s="805"/>
      <x:c r="R86" s="806"/>
    </x:row>
    <x:row r="87">
      <x:c r="A87" s="1531" t="str">
        <x:v>Footer: About • Scope • Methodology • Corrections • Privacy • Accessibility • Submit a lead</x:v>
      </x:c>
      <x:c r="B87" s="1532"/>
      <x:c r="C87" s="1532"/>
      <x:c r="D87" s="1532"/>
      <x:c r="E87" s="1532"/>
      <x:c r="F87" s="1532"/>
      <x:c r="G87" s="1532"/>
      <x:c r="H87" s="1532"/>
      <x:c r="I87" s="1532"/>
      <x:c r="J87" s="1532"/>
      <x:c r="K87" s="1532"/>
      <x:c r="L87" s="1532"/>
      <x:c r="M87" s="1532"/>
      <x:c r="N87" s="1532"/>
      <x:c r="O87" s="1532"/>
      <x:c r="P87" s="1532"/>
      <x:c r="Q87" s="1532"/>
      <x:c r="R87" s="1533"/>
    </x:row>
    <x:row r="88">
      <x:c r="A88" s="1534"/>
      <x:c r="B88" s="1535"/>
      <x:c r="C88" s="1535"/>
      <x:c r="D88" s="1535"/>
      <x:c r="E88" s="1535"/>
      <x:c r="F88" s="1535"/>
      <x:c r="G88" s="1535"/>
      <x:c r="H88" s="1535"/>
      <x:c r="I88" s="1535"/>
      <x:c r="J88" s="1535"/>
      <x:c r="K88" s="1535"/>
      <x:c r="L88" s="1535"/>
      <x:c r="M88" s="1535"/>
      <x:c r="N88" s="1535"/>
      <x:c r="O88" s="1535"/>
      <x:c r="P88" s="1535"/>
      <x:c r="Q88" s="1535"/>
      <x:c r="R88" s="1536"/>
    </x:row>
    <x:row r="89">
      <x:c r="A89" s="1534"/>
      <x:c r="B89" s="1535"/>
      <x:c r="C89" s="1535"/>
      <x:c r="D89" s="1535"/>
      <x:c r="E89" s="1535"/>
      <x:c r="F89" s="1535"/>
      <x:c r="G89" s="1535"/>
      <x:c r="H89" s="1535"/>
      <x:c r="I89" s="1535"/>
      <x:c r="J89" s="1535"/>
      <x:c r="K89" s="1535"/>
      <x:c r="L89" s="1535"/>
      <x:c r="M89" s="1535"/>
      <x:c r="N89" s="1535"/>
      <x:c r="O89" s="1535"/>
      <x:c r="P89" s="1535"/>
      <x:c r="Q89" s="1535"/>
      <x:c r="R89" s="1536"/>
    </x:row>
    <x:row r="90">
      <x:c r="A90" s="1534"/>
      <x:c r="B90" s="1535"/>
      <x:c r="C90" s="1535"/>
      <x:c r="D90" s="1535"/>
      <x:c r="E90" s="1535"/>
      <x:c r="F90" s="1535"/>
      <x:c r="G90" s="1535"/>
      <x:c r="H90" s="1535"/>
      <x:c r="I90" s="1535"/>
      <x:c r="J90" s="1535"/>
      <x:c r="K90" s="1535"/>
      <x:c r="L90" s="1535"/>
      <x:c r="M90" s="1535"/>
      <x:c r="N90" s="1535"/>
      <x:c r="O90" s="1535"/>
      <x:c r="P90" s="1535"/>
      <x:c r="Q90" s="1535"/>
      <x:c r="R90" s="1536"/>
    </x:row>
    <x:row r="91">
      <x:c r="A91" s="1534"/>
      <x:c r="B91" s="1535"/>
      <x:c r="C91" s="1535"/>
      <x:c r="D91" s="1535"/>
      <x:c r="E91" s="1535"/>
      <x:c r="F91" s="1535"/>
      <x:c r="G91" s="1535"/>
      <x:c r="H91" s="1535"/>
      <x:c r="I91" s="1535"/>
      <x:c r="J91" s="1535"/>
      <x:c r="K91" s="1535"/>
      <x:c r="L91" s="1535"/>
      <x:c r="M91" s="1535"/>
      <x:c r="N91" s="1535"/>
      <x:c r="O91" s="1535"/>
      <x:c r="P91" s="1535"/>
      <x:c r="Q91" s="1535"/>
      <x:c r="R91" s="1536"/>
    </x:row>
    <x:row r="92">
      <x:c r="A92" s="1537"/>
      <x:c r="B92" s="1538"/>
      <x:c r="C92" s="1538"/>
      <x:c r="D92" s="1538"/>
      <x:c r="E92" s="1538"/>
      <x:c r="F92" s="1538"/>
      <x:c r="G92" s="1538"/>
      <x:c r="H92" s="1538"/>
      <x:c r="I92" s="1538"/>
      <x:c r="J92" s="1538"/>
      <x:c r="K92" s="1538"/>
      <x:c r="L92" s="1538"/>
      <x:c r="M92" s="1538"/>
      <x:c r="N92" s="1538"/>
      <x:c r="O92" s="1538"/>
      <x:c r="P92" s="1538"/>
      <x:c r="Q92" s="1538"/>
      <x:c r="R92" s="1539"/>
    </x:row>
    <x:row r="94">
      <x:c r="A94" s="1426" t="str">
        <x:v>Mobile behavior: filters open in a full-screen drawer; active filters appear as removable chips; results remain stacked cards. A map is optional and must show only general recorded geography.</x:v>
      </x:c>
      <x:c r="B94" s="1427"/>
      <x:c r="C94" s="1427"/>
      <x:c r="D94" s="1427"/>
      <x:c r="E94" s="1427"/>
      <x:c r="F94" s="1427"/>
      <x:c r="G94" s="1427"/>
      <x:c r="H94" s="1427"/>
      <x:c r="I94" s="1427"/>
      <x:c r="J94" s="1427"/>
      <x:c r="K94" s="1427"/>
      <x:c r="L94" s="1427"/>
      <x:c r="M94" s="1427"/>
      <x:c r="N94" s="1427"/>
      <x:c r="O94" s="1427"/>
      <x:c r="P94" s="1427"/>
      <x:c r="Q94" s="1427"/>
      <x:c r="R94" s="1428"/>
    </x:row>
    <x:row r="95">
      <x:c r="A95" s="1429"/>
      <x:c r="B95" s="1430"/>
      <x:c r="C95" s="1430"/>
      <x:c r="D95" s="1430"/>
      <x:c r="E95" s="1430"/>
      <x:c r="F95" s="1430"/>
      <x:c r="G95" s="1430"/>
      <x:c r="H95" s="1430"/>
      <x:c r="I95" s="1430"/>
      <x:c r="J95" s="1430"/>
      <x:c r="K95" s="1430"/>
      <x:c r="L95" s="1430"/>
      <x:c r="M95" s="1430"/>
      <x:c r="N95" s="1430"/>
      <x:c r="O95" s="1430"/>
      <x:c r="P95" s="1430"/>
      <x:c r="Q95" s="1430"/>
      <x:c r="R95" s="1431"/>
    </x:row>
    <x:row r="96">
      <x:c r="A96" s="1429"/>
      <x:c r="B96" s="1430"/>
      <x:c r="C96" s="1430"/>
      <x:c r="D96" s="1430"/>
      <x:c r="E96" s="1430"/>
      <x:c r="F96" s="1430"/>
      <x:c r="G96" s="1430"/>
      <x:c r="H96" s="1430"/>
      <x:c r="I96" s="1430"/>
      <x:c r="J96" s="1430"/>
      <x:c r="K96" s="1430"/>
      <x:c r="L96" s="1430"/>
      <x:c r="M96" s="1430"/>
      <x:c r="N96" s="1430"/>
      <x:c r="O96" s="1430"/>
      <x:c r="P96" s="1430"/>
      <x:c r="Q96" s="1430"/>
      <x:c r="R96" s="1431"/>
    </x:row>
    <x:row r="97">
      <x:c r="A97" s="1429"/>
      <x:c r="B97" s="1430"/>
      <x:c r="C97" s="1430"/>
      <x:c r="D97" s="1430"/>
      <x:c r="E97" s="1430"/>
      <x:c r="F97" s="1430"/>
      <x:c r="G97" s="1430"/>
      <x:c r="H97" s="1430"/>
      <x:c r="I97" s="1430"/>
      <x:c r="J97" s="1430"/>
      <x:c r="K97" s="1430"/>
      <x:c r="L97" s="1430"/>
      <x:c r="M97" s="1430"/>
      <x:c r="N97" s="1430"/>
      <x:c r="O97" s="1430"/>
      <x:c r="P97" s="1430"/>
      <x:c r="Q97" s="1430"/>
      <x:c r="R97" s="1431"/>
    </x:row>
    <x:row r="98">
      <x:c r="A98" s="1432"/>
      <x:c r="B98" s="1433"/>
      <x:c r="C98" s="1433"/>
      <x:c r="D98" s="1433"/>
      <x:c r="E98" s="1433"/>
      <x:c r="F98" s="1433"/>
      <x:c r="G98" s="1433"/>
      <x:c r="H98" s="1433"/>
      <x:c r="I98" s="1433"/>
      <x:c r="J98" s="1433"/>
      <x:c r="K98" s="1433"/>
      <x:c r="L98" s="1433"/>
      <x:c r="M98" s="1433"/>
      <x:c r="N98" s="1433"/>
      <x:c r="O98" s="1433"/>
      <x:c r="P98" s="1433"/>
      <x:c r="Q98" s="1433"/>
      <x:c r="R98" s="1434"/>
    </x:row>
  </x:sheetData>
  <x:mergeCells>
    <x:mergeCell ref="A1:R2"/>
    <x:mergeCell ref="A3:R4"/>
    <x:mergeCell ref="A6:R8"/>
    <x:mergeCell ref="A10:R14"/>
    <x:mergeCell ref="A15:R18"/>
    <x:mergeCell ref="A19:R21"/>
    <x:mergeCell ref="A23:E23"/>
    <x:mergeCell ref="A24:E27"/>
    <x:mergeCell ref="A28:E31"/>
    <x:mergeCell ref="A32:E35"/>
    <x:mergeCell ref="A36:E39"/>
    <x:mergeCell ref="A40:E43"/>
    <x:mergeCell ref="A44:E47"/>
    <x:mergeCell ref="A48:E51"/>
    <x:mergeCell ref="A52:E55"/>
    <x:mergeCell ref="A56:E59"/>
    <x:mergeCell ref="A61:E66"/>
    <x:mergeCell ref="G23:R26"/>
    <x:mergeCell ref="G28:R30"/>
    <x:mergeCell ref="G31:N35"/>
    <x:mergeCell ref="O31:R35"/>
    <x:mergeCell ref="G36:J38"/>
    <x:mergeCell ref="K36:N38"/>
    <x:mergeCell ref="O36:R38"/>
    <x:mergeCell ref="G39:R43"/>
    <x:mergeCell ref="G45:R47"/>
    <x:mergeCell ref="G48:N52"/>
    <x:mergeCell ref="O48:R52"/>
    <x:mergeCell ref="G53:J55"/>
    <x:mergeCell ref="K53:N55"/>
    <x:mergeCell ref="O53:R55"/>
    <x:mergeCell ref="G56:R60"/>
    <x:mergeCell ref="G62:R64"/>
    <x:mergeCell ref="G65:N69"/>
    <x:mergeCell ref="O65:R69"/>
    <x:mergeCell ref="G70:J72"/>
    <x:mergeCell ref="K70:N72"/>
    <x:mergeCell ref="O70:R72"/>
    <x:mergeCell ref="G73:R77"/>
    <x:mergeCell ref="G79:R84"/>
    <x:mergeCell ref="A87:R92"/>
    <x:mergeCell ref="A94:R98"/>
  </x:mergeCell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671" t="str">
        <x:v>Wireframe — Methodology Page</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A plain-language explanation of what India Observed includes, how evidence is assessed and why some information remains uncertain.</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848" t="str">
        <x:v>INDIA OBSERVED     Home   Browse   Methodology   Corrections   [Submit a lead]</x:v>
      </x:c>
      <x:c r="B6" s="849"/>
      <x:c r="C6" s="849"/>
      <x:c r="D6" s="849"/>
      <x:c r="E6" s="849"/>
      <x:c r="F6" s="849"/>
      <x:c r="G6" s="849"/>
      <x:c r="H6" s="849"/>
      <x:c r="I6" s="849"/>
      <x:c r="J6" s="849"/>
      <x:c r="K6" s="849"/>
      <x:c r="L6" s="849"/>
      <x:c r="M6" s="849"/>
      <x:c r="N6" s="849"/>
      <x:c r="O6" s="849"/>
      <x:c r="P6" s="849"/>
      <x:c r="Q6" s="849"/>
      <x:c r="R6" s="850"/>
    </x:row>
    <x:row r="7">
      <x:c r="A7" s="851"/>
      <x:c r="B7" s="852"/>
      <x:c r="C7" s="852"/>
      <x:c r="D7" s="852"/>
      <x:c r="E7" s="852"/>
      <x:c r="F7" s="852"/>
      <x:c r="G7" s="852"/>
      <x:c r="H7" s="852"/>
      <x:c r="I7" s="852"/>
      <x:c r="J7" s="852"/>
      <x:c r="K7" s="852"/>
      <x:c r="L7" s="852"/>
      <x:c r="M7" s="852"/>
      <x:c r="N7" s="852"/>
      <x:c r="O7" s="852"/>
      <x:c r="P7" s="852"/>
      <x:c r="Q7" s="852"/>
      <x:c r="R7" s="853"/>
    </x:row>
    <x:row r="8">
      <x:c r="A8" s="854"/>
      <x:c r="B8" s="855"/>
      <x:c r="C8" s="855"/>
      <x:c r="D8" s="855"/>
      <x:c r="E8" s="855"/>
      <x:c r="F8" s="855"/>
      <x:c r="G8" s="855"/>
      <x:c r="H8" s="855"/>
      <x:c r="I8" s="855"/>
      <x:c r="J8" s="855"/>
      <x:c r="K8" s="855"/>
      <x:c r="L8" s="855"/>
      <x:c r="M8" s="855"/>
      <x:c r="N8" s="855"/>
      <x:c r="O8" s="855"/>
      <x:c r="P8" s="855"/>
      <x:c r="Q8" s="855"/>
      <x:c r="R8" s="856"/>
    </x:row>
    <x:row r="9">
      <x:c r="A9" s="804"/>
      <x:c r="B9" s="805"/>
      <x:c r="C9" s="805"/>
      <x:c r="D9" s="805"/>
      <x:c r="E9" s="805"/>
      <x:c r="F9" s="805"/>
      <x:c r="G9" s="805"/>
      <x:c r="H9" s="805"/>
      <x:c r="I9" s="805"/>
      <x:c r="J9" s="805"/>
      <x:c r="K9" s="805"/>
      <x:c r="L9" s="805"/>
      <x:c r="M9" s="805"/>
      <x:c r="N9" s="805"/>
      <x:c r="O9" s="805"/>
      <x:c r="P9" s="805"/>
      <x:c r="Q9" s="805"/>
      <x:c r="R9" s="806"/>
    </x:row>
    <x:row r="10">
      <x:c r="A10" s="1869" t="str">
        <x:v>How India Observed verifies public events
Discovery is broad. Publication is conservative. Every public record requires evidence, source traceability and human approval.</x:v>
      </x:c>
      <x:c r="B10" s="1870"/>
      <x:c r="C10" s="1870"/>
      <x:c r="D10" s="1870"/>
      <x:c r="E10" s="1870"/>
      <x:c r="F10" s="1870"/>
      <x:c r="G10" s="1870"/>
      <x:c r="H10" s="1870"/>
      <x:c r="I10" s="1870"/>
      <x:c r="J10" s="1870"/>
      <x:c r="K10" s="1870"/>
      <x:c r="L10" s="1870"/>
      <x:c r="M10" s="1870"/>
      <x:c r="N10" s="1870"/>
      <x:c r="O10" s="1870"/>
      <x:c r="P10" s="1870"/>
      <x:c r="Q10" s="1870"/>
      <x:c r="R10" s="1871"/>
    </x:row>
    <x:row r="11">
      <x:c r="A11" s="1872"/>
      <x:c r="B11" s="1873"/>
      <x:c r="C11" s="1873"/>
      <x:c r="D11" s="1873"/>
      <x:c r="E11" s="1873"/>
      <x:c r="F11" s="1873"/>
      <x:c r="G11" s="1873"/>
      <x:c r="H11" s="1873"/>
      <x:c r="I11" s="1873"/>
      <x:c r="J11" s="1873"/>
      <x:c r="K11" s="1873"/>
      <x:c r="L11" s="1873"/>
      <x:c r="M11" s="1873"/>
      <x:c r="N11" s="1873"/>
      <x:c r="O11" s="1873"/>
      <x:c r="P11" s="1873"/>
      <x:c r="Q11" s="1873"/>
      <x:c r="R11" s="1874"/>
    </x:row>
    <x:row r="12">
      <x:c r="A12" s="1872"/>
      <x:c r="B12" s="1873"/>
      <x:c r="C12" s="1873"/>
      <x:c r="D12" s="1873"/>
      <x:c r="E12" s="1873"/>
      <x:c r="F12" s="1873"/>
      <x:c r="G12" s="1873"/>
      <x:c r="H12" s="1873"/>
      <x:c r="I12" s="1873"/>
      <x:c r="J12" s="1873"/>
      <x:c r="K12" s="1873"/>
      <x:c r="L12" s="1873"/>
      <x:c r="M12" s="1873"/>
      <x:c r="N12" s="1873"/>
      <x:c r="O12" s="1873"/>
      <x:c r="P12" s="1873"/>
      <x:c r="Q12" s="1873"/>
      <x:c r="R12" s="1874"/>
    </x:row>
    <x:row r="13">
      <x:c r="A13" s="1872"/>
      <x:c r="B13" s="1873"/>
      <x:c r="C13" s="1873"/>
      <x:c r="D13" s="1873"/>
      <x:c r="E13" s="1873"/>
      <x:c r="F13" s="1873"/>
      <x:c r="G13" s="1873"/>
      <x:c r="H13" s="1873"/>
      <x:c r="I13" s="1873"/>
      <x:c r="J13" s="1873"/>
      <x:c r="K13" s="1873"/>
      <x:c r="L13" s="1873"/>
      <x:c r="M13" s="1873"/>
      <x:c r="N13" s="1873"/>
      <x:c r="O13" s="1873"/>
      <x:c r="P13" s="1873"/>
      <x:c r="Q13" s="1873"/>
      <x:c r="R13" s="1874"/>
    </x:row>
    <x:row r="14">
      <x:c r="A14" s="1872"/>
      <x:c r="B14" s="1873"/>
      <x:c r="C14" s="1873"/>
      <x:c r="D14" s="1873"/>
      <x:c r="E14" s="1873"/>
      <x:c r="F14" s="1873"/>
      <x:c r="G14" s="1873"/>
      <x:c r="H14" s="1873"/>
      <x:c r="I14" s="1873"/>
      <x:c r="J14" s="1873"/>
      <x:c r="K14" s="1873"/>
      <x:c r="L14" s="1873"/>
      <x:c r="M14" s="1873"/>
      <x:c r="N14" s="1873"/>
      <x:c r="O14" s="1873"/>
      <x:c r="P14" s="1873"/>
      <x:c r="Q14" s="1873"/>
      <x:c r="R14" s="1874"/>
    </x:row>
    <x:row r="15">
      <x:c r="A15" s="1872"/>
      <x:c r="B15" s="1873"/>
      <x:c r="C15" s="1873"/>
      <x:c r="D15" s="1873"/>
      <x:c r="E15" s="1873"/>
      <x:c r="F15" s="1873"/>
      <x:c r="G15" s="1873"/>
      <x:c r="H15" s="1873"/>
      <x:c r="I15" s="1873"/>
      <x:c r="J15" s="1873"/>
      <x:c r="K15" s="1873"/>
      <x:c r="L15" s="1873"/>
      <x:c r="M15" s="1873"/>
      <x:c r="N15" s="1873"/>
      <x:c r="O15" s="1873"/>
      <x:c r="P15" s="1873"/>
      <x:c r="Q15" s="1873"/>
      <x:c r="R15" s="1874"/>
    </x:row>
    <x:row r="16">
      <x:c r="A16" s="1875"/>
      <x:c r="B16" s="1876"/>
      <x:c r="C16" s="1876"/>
      <x:c r="D16" s="1876"/>
      <x:c r="E16" s="1876"/>
      <x:c r="F16" s="1876"/>
      <x:c r="G16" s="1876"/>
      <x:c r="H16" s="1876"/>
      <x:c r="I16" s="1876"/>
      <x:c r="J16" s="1876"/>
      <x:c r="K16" s="1876"/>
      <x:c r="L16" s="1876"/>
      <x:c r="M16" s="1876"/>
      <x:c r="N16" s="1876"/>
      <x:c r="O16" s="1876"/>
      <x:c r="P16" s="1876"/>
      <x:c r="Q16" s="1876"/>
      <x:c r="R16" s="1877"/>
    </x:row>
    <x:row r="17">
      <x:c r="A17" s="804"/>
      <x:c r="B17" s="805"/>
      <x:c r="C17" s="805"/>
      <x:c r="D17" s="805"/>
      <x:c r="E17" s="805"/>
      <x:c r="F17" s="805"/>
      <x:c r="G17" s="805"/>
      <x:c r="H17" s="805"/>
      <x:c r="I17" s="805"/>
      <x:c r="J17" s="805"/>
      <x:c r="K17" s="805"/>
      <x:c r="L17" s="805"/>
      <x:c r="M17" s="805"/>
      <x:c r="N17" s="805"/>
      <x:c r="O17" s="805"/>
      <x:c r="P17" s="805"/>
      <x:c r="Q17" s="805"/>
      <x:c r="R17" s="806"/>
    </x:row>
    <x:row r="18">
      <x:c r="A18" s="992" t="str">
        <x:v>Current methodology: Version 0.4     Effective: 15 July 2026     [View version history]</x:v>
      </x:c>
      <x:c r="B18" s="993"/>
      <x:c r="C18" s="993"/>
      <x:c r="D18" s="993"/>
      <x:c r="E18" s="993"/>
      <x:c r="F18" s="993"/>
      <x:c r="G18" s="993"/>
      <x:c r="H18" s="993"/>
      <x:c r="I18" s="993"/>
      <x:c r="J18" s="993"/>
      <x:c r="K18" s="993"/>
      <x:c r="L18" s="993"/>
      <x:c r="M18" s="993"/>
      <x:c r="N18" s="993"/>
      <x:c r="O18" s="993"/>
      <x:c r="P18" s="993"/>
      <x:c r="Q18" s="993"/>
      <x:c r="R18" s="994"/>
    </x:row>
    <x:row r="19">
      <x:c r="A19" s="995"/>
      <x:c r="B19" s="996"/>
      <x:c r="C19" s="996"/>
      <x:c r="D19" s="996"/>
      <x:c r="E19" s="996"/>
      <x:c r="F19" s="996"/>
      <x:c r="G19" s="996"/>
      <x:c r="H19" s="996"/>
      <x:c r="I19" s="996"/>
      <x:c r="J19" s="996"/>
      <x:c r="K19" s="996"/>
      <x:c r="L19" s="996"/>
      <x:c r="M19" s="996"/>
      <x:c r="N19" s="996"/>
      <x:c r="O19" s="996"/>
      <x:c r="P19" s="996"/>
      <x:c r="Q19" s="996"/>
      <x:c r="R19" s="997"/>
    </x:row>
    <x:row r="20">
      <x:c r="A20" s="995"/>
      <x:c r="B20" s="996"/>
      <x:c r="C20" s="996"/>
      <x:c r="D20" s="996"/>
      <x:c r="E20" s="996"/>
      <x:c r="F20" s="996"/>
      <x:c r="G20" s="996"/>
      <x:c r="H20" s="996"/>
      <x:c r="I20" s="996"/>
      <x:c r="J20" s="996"/>
      <x:c r="K20" s="996"/>
      <x:c r="L20" s="996"/>
      <x:c r="M20" s="996"/>
      <x:c r="N20" s="996"/>
      <x:c r="O20" s="996"/>
      <x:c r="P20" s="996"/>
      <x:c r="Q20" s="996"/>
      <x:c r="R20" s="997"/>
    </x:row>
    <x:row r="21">
      <x:c r="A21" s="995"/>
      <x:c r="B21" s="996"/>
      <x:c r="C21" s="996"/>
      <x:c r="D21" s="996"/>
      <x:c r="E21" s="996"/>
      <x:c r="F21" s="996"/>
      <x:c r="G21" s="996"/>
      <x:c r="H21" s="996"/>
      <x:c r="I21" s="996"/>
      <x:c r="J21" s="996"/>
      <x:c r="K21" s="996"/>
      <x:c r="L21" s="996"/>
      <x:c r="M21" s="996"/>
      <x:c r="N21" s="996"/>
      <x:c r="O21" s="996"/>
      <x:c r="P21" s="996"/>
      <x:c r="Q21" s="996"/>
      <x:c r="R21" s="997"/>
    </x:row>
    <x:row r="22">
      <x:c r="A22" s="998"/>
      <x:c r="B22" s="999"/>
      <x:c r="C22" s="999"/>
      <x:c r="D22" s="999"/>
      <x:c r="E22" s="999"/>
      <x:c r="F22" s="999"/>
      <x:c r="G22" s="999"/>
      <x:c r="H22" s="999"/>
      <x:c r="I22" s="999"/>
      <x:c r="J22" s="999"/>
      <x:c r="K22" s="999"/>
      <x:c r="L22" s="999"/>
      <x:c r="M22" s="999"/>
      <x:c r="N22" s="999"/>
      <x:c r="O22" s="999"/>
      <x:c r="P22" s="999"/>
      <x:c r="Q22" s="999"/>
      <x:c r="R22" s="1000"/>
    </x:row>
    <x:row r="23">
      <x:c r="A23" s="804"/>
      <x:c r="B23" s="805"/>
      <x:c r="C23" s="805"/>
      <x:c r="D23" s="805"/>
      <x:c r="E23" s="805"/>
      <x:c r="F23" s="805"/>
      <x:c r="G23" s="805"/>
      <x:c r="H23" s="805"/>
      <x:c r="I23" s="805"/>
      <x:c r="J23" s="805"/>
      <x:c r="K23" s="805"/>
      <x:c r="L23" s="805"/>
      <x:c r="M23" s="805"/>
      <x:c r="N23" s="805"/>
      <x:c r="O23" s="805"/>
      <x:c r="P23" s="805"/>
      <x:c r="Q23" s="805"/>
      <x:c r="R23" s="806"/>
    </x:row>
    <x:row r="24">
      <x:c r="A24" s="714" t="str">
        <x:v>What is included</x:v>
      </x:c>
      <x:c r="B24" s="715"/>
      <x:c r="C24" s="715"/>
      <x:c r="D24" s="715"/>
      <x:c r="E24" s="715"/>
      <x:c r="F24" s="715"/>
      <x:c r="G24" s="715"/>
      <x:c r="H24" s="715"/>
      <x:c r="I24" s="715"/>
      <x:c r="J24" s="715"/>
      <x:c r="K24" s="715"/>
      <x:c r="L24" s="715"/>
      <x:c r="M24" s="715"/>
      <x:c r="N24" s="715"/>
      <x:c r="O24" s="715"/>
      <x:c r="P24" s="715"/>
      <x:c r="Q24" s="715"/>
      <x:c r="R24" s="716"/>
    </x:row>
    <x:row r="25">
      <x:c r="A25" s="804"/>
      <x:c r="B25" s="805"/>
      <x:c r="C25" s="805"/>
      <x:c r="D25" s="805"/>
      <x:c r="E25" s="805"/>
      <x:c r="F25" s="805"/>
      <x:c r="G25" s="805"/>
      <x:c r="H25" s="805"/>
      <x:c r="I25" s="805"/>
      <x:c r="J25" s="805"/>
      <x:c r="K25" s="805"/>
      <x:c r="L25" s="805"/>
      <x:c r="M25" s="805"/>
      <x:c r="N25" s="805"/>
      <x:c r="O25" s="805"/>
      <x:c r="P25" s="805"/>
      <x:c r="Q25" s="805"/>
      <x:c r="R25" s="806"/>
    </x:row>
    <x:row r="26">
      <x:c r="A26" s="1850" t="str">
        <x:v>Included
Protests, demonstrations, marches, strikes, sit-ins, dharnas, hunger strikes and public civic campaigns.</x:v>
      </x:c>
      <x:c r="B26" s="1851"/>
      <x:c r="C26" s="1851"/>
      <x:c r="D26" s="1851"/>
      <x:c r="E26" s="1851"/>
      <x:c r="F26" s="1852"/>
      <x:c r="G26" s="2248" t="str">
        <x:v>Excluded
Private disputes, routine political rallies without a civic demand, announced actions without evidence of occurrence, participant tracking and unsupported allegations.</x:v>
      </x:c>
      <x:c r="H26" s="2249"/>
      <x:c r="I26" s="2249"/>
      <x:c r="J26" s="2249"/>
      <x:c r="K26" s="2249"/>
      <x:c r="L26" s="2250"/>
      <x:c r="M26" s="2278" t="str">
        <x:v>Coverage
India-wide but curated. The repository does not claim comprehensive national coverage.</x:v>
      </x:c>
      <x:c r="N26" s="2279"/>
      <x:c r="O26" s="2279"/>
      <x:c r="P26" s="2279"/>
      <x:c r="Q26" s="2279"/>
      <x:c r="R26" s="2280"/>
    </x:row>
    <x:row r="27">
      <x:c r="A27" s="1853"/>
      <x:c r="B27" s="1854"/>
      <x:c r="C27" s="1854"/>
      <x:c r="D27" s="1854"/>
      <x:c r="E27" s="1854"/>
      <x:c r="F27" s="1855"/>
      <x:c r="G27" s="2251"/>
      <x:c r="H27" s="2252"/>
      <x:c r="I27" s="2252"/>
      <x:c r="J27" s="2252"/>
      <x:c r="K27" s="2252"/>
      <x:c r="L27" s="2253"/>
      <x:c r="M27" s="2281"/>
      <x:c r="N27" s="2282"/>
      <x:c r="O27" s="2282"/>
      <x:c r="P27" s="2282"/>
      <x:c r="Q27" s="2282"/>
      <x:c r="R27" s="2283"/>
    </x:row>
    <x:row r="28">
      <x:c r="A28" s="1853"/>
      <x:c r="B28" s="1854"/>
      <x:c r="C28" s="1854"/>
      <x:c r="D28" s="1854"/>
      <x:c r="E28" s="1854"/>
      <x:c r="F28" s="1855"/>
      <x:c r="G28" s="2251"/>
      <x:c r="H28" s="2252"/>
      <x:c r="I28" s="2252"/>
      <x:c r="J28" s="2252"/>
      <x:c r="K28" s="2252"/>
      <x:c r="L28" s="2253"/>
      <x:c r="M28" s="2281"/>
      <x:c r="N28" s="2282"/>
      <x:c r="O28" s="2282"/>
      <x:c r="P28" s="2282"/>
      <x:c r="Q28" s="2282"/>
      <x:c r="R28" s="2283"/>
    </x:row>
    <x:row r="29">
      <x:c r="A29" s="1853"/>
      <x:c r="B29" s="1854"/>
      <x:c r="C29" s="1854"/>
      <x:c r="D29" s="1854"/>
      <x:c r="E29" s="1854"/>
      <x:c r="F29" s="1855"/>
      <x:c r="G29" s="2251"/>
      <x:c r="H29" s="2252"/>
      <x:c r="I29" s="2252"/>
      <x:c r="J29" s="2252"/>
      <x:c r="K29" s="2252"/>
      <x:c r="L29" s="2253"/>
      <x:c r="M29" s="2281"/>
      <x:c r="N29" s="2282"/>
      <x:c r="O29" s="2282"/>
      <x:c r="P29" s="2282"/>
      <x:c r="Q29" s="2282"/>
      <x:c r="R29" s="2283"/>
    </x:row>
    <x:row r="30">
      <x:c r="A30" s="1853"/>
      <x:c r="B30" s="1854"/>
      <x:c r="C30" s="1854"/>
      <x:c r="D30" s="1854"/>
      <x:c r="E30" s="1854"/>
      <x:c r="F30" s="1855"/>
      <x:c r="G30" s="2251"/>
      <x:c r="H30" s="2252"/>
      <x:c r="I30" s="2252"/>
      <x:c r="J30" s="2252"/>
      <x:c r="K30" s="2252"/>
      <x:c r="L30" s="2253"/>
      <x:c r="M30" s="2281"/>
      <x:c r="N30" s="2282"/>
      <x:c r="O30" s="2282"/>
      <x:c r="P30" s="2282"/>
      <x:c r="Q30" s="2282"/>
      <x:c r="R30" s="2283"/>
    </x:row>
    <x:row r="31">
      <x:c r="A31" s="1853"/>
      <x:c r="B31" s="1854"/>
      <x:c r="C31" s="1854"/>
      <x:c r="D31" s="1854"/>
      <x:c r="E31" s="1854"/>
      <x:c r="F31" s="1855"/>
      <x:c r="G31" s="2251"/>
      <x:c r="H31" s="2252"/>
      <x:c r="I31" s="2252"/>
      <x:c r="J31" s="2252"/>
      <x:c r="K31" s="2252"/>
      <x:c r="L31" s="2253"/>
      <x:c r="M31" s="2281"/>
      <x:c r="N31" s="2282"/>
      <x:c r="O31" s="2282"/>
      <x:c r="P31" s="2282"/>
      <x:c r="Q31" s="2282"/>
      <x:c r="R31" s="2283"/>
    </x:row>
    <x:row r="32">
      <x:c r="A32" s="1853"/>
      <x:c r="B32" s="1854"/>
      <x:c r="C32" s="1854"/>
      <x:c r="D32" s="1854"/>
      <x:c r="E32" s="1854"/>
      <x:c r="F32" s="1855"/>
      <x:c r="G32" s="2251"/>
      <x:c r="H32" s="2252"/>
      <x:c r="I32" s="2252"/>
      <x:c r="J32" s="2252"/>
      <x:c r="K32" s="2252"/>
      <x:c r="L32" s="2253"/>
      <x:c r="M32" s="2281"/>
      <x:c r="N32" s="2282"/>
      <x:c r="O32" s="2282"/>
      <x:c r="P32" s="2282"/>
      <x:c r="Q32" s="2282"/>
      <x:c r="R32" s="2283"/>
    </x:row>
    <x:row r="33">
      <x:c r="A33" s="1853"/>
      <x:c r="B33" s="1854"/>
      <x:c r="C33" s="1854"/>
      <x:c r="D33" s="1854"/>
      <x:c r="E33" s="1854"/>
      <x:c r="F33" s="1855"/>
      <x:c r="G33" s="2251"/>
      <x:c r="H33" s="2252"/>
      <x:c r="I33" s="2252"/>
      <x:c r="J33" s="2252"/>
      <x:c r="K33" s="2252"/>
      <x:c r="L33" s="2253"/>
      <x:c r="M33" s="2281"/>
      <x:c r="N33" s="2282"/>
      <x:c r="O33" s="2282"/>
      <x:c r="P33" s="2282"/>
      <x:c r="Q33" s="2282"/>
      <x:c r="R33" s="2283"/>
    </x:row>
    <x:row r="34">
      <x:c r="A34" s="1853"/>
      <x:c r="B34" s="1854"/>
      <x:c r="C34" s="1854"/>
      <x:c r="D34" s="1854"/>
      <x:c r="E34" s="1854"/>
      <x:c r="F34" s="1855"/>
      <x:c r="G34" s="2251"/>
      <x:c r="H34" s="2252"/>
      <x:c r="I34" s="2252"/>
      <x:c r="J34" s="2252"/>
      <x:c r="K34" s="2252"/>
      <x:c r="L34" s="2253"/>
      <x:c r="M34" s="2281"/>
      <x:c r="N34" s="2282"/>
      <x:c r="O34" s="2282"/>
      <x:c r="P34" s="2282"/>
      <x:c r="Q34" s="2282"/>
      <x:c r="R34" s="2283"/>
    </x:row>
    <x:row r="35">
      <x:c r="A35" s="1856"/>
      <x:c r="B35" s="1857"/>
      <x:c r="C35" s="1857"/>
      <x:c r="D35" s="1857"/>
      <x:c r="E35" s="1857"/>
      <x:c r="F35" s="1858"/>
      <x:c r="G35" s="2254"/>
      <x:c r="H35" s="2255"/>
      <x:c r="I35" s="2255"/>
      <x:c r="J35" s="2255"/>
      <x:c r="K35" s="2255"/>
      <x:c r="L35" s="2256"/>
      <x:c r="M35" s="2284"/>
      <x:c r="N35" s="2285"/>
      <x:c r="O35" s="2285"/>
      <x:c r="P35" s="2285"/>
      <x:c r="Q35" s="2285"/>
      <x:c r="R35" s="2286"/>
    </x:row>
    <x:row r="36">
      <x:c r="A36" s="804"/>
      <x:c r="B36" s="805"/>
      <x:c r="C36" s="805"/>
      <x:c r="D36" s="805"/>
      <x:c r="E36" s="805"/>
      <x:c r="F36" s="805"/>
      <x:c r="G36" s="805"/>
      <x:c r="H36" s="805"/>
      <x:c r="I36" s="805"/>
      <x:c r="J36" s="805"/>
      <x:c r="K36" s="805"/>
      <x:c r="L36" s="805"/>
      <x:c r="M36" s="805"/>
      <x:c r="N36" s="805"/>
      <x:c r="O36" s="805"/>
      <x:c r="P36" s="805"/>
      <x:c r="Q36" s="805"/>
      <x:c r="R36" s="806"/>
    </x:row>
    <x:row r="37">
      <x:c r="A37" s="714" t="str">
        <x:v>Verification labels</x:v>
      </x:c>
      <x:c r="B37" s="715"/>
      <x:c r="C37" s="715"/>
      <x:c r="D37" s="715"/>
      <x:c r="E37" s="715"/>
      <x:c r="F37" s="715"/>
      <x:c r="G37" s="715"/>
      <x:c r="H37" s="715"/>
      <x:c r="I37" s="715"/>
      <x:c r="J37" s="715"/>
      <x:c r="K37" s="715"/>
      <x:c r="L37" s="715"/>
      <x:c r="M37" s="715"/>
      <x:c r="N37" s="715"/>
      <x:c r="O37" s="715"/>
      <x:c r="P37" s="715"/>
      <x:c r="Q37" s="715"/>
      <x:c r="R37" s="716"/>
    </x:row>
    <x:row r="38">
      <x:c r="A38" s="2297" t="str">
        <x:v>REPORTED
One credible source has reported the event or claim.</x:v>
      </x:c>
      <x:c r="B38" s="2298"/>
      <x:c r="C38" s="2298"/>
      <x:c r="D38" s="2298"/>
      <x:c r="E38" s="2298"/>
      <x:c r="F38" s="2298"/>
      <x:c r="G38" s="2298"/>
      <x:c r="H38" s="2298"/>
      <x:c r="I38" s="2299"/>
      <x:c r="J38" s="2315" t="str">
        <x:v>CORROBORATED
Two genuinely independent credible sources support the claim.</x:v>
      </x:c>
      <x:c r="K38" s="2316"/>
      <x:c r="L38" s="2316"/>
      <x:c r="M38" s="2316"/>
      <x:c r="N38" s="2316"/>
      <x:c r="O38" s="2316"/>
      <x:c r="P38" s="2316"/>
      <x:c r="Q38" s="2316"/>
      <x:c r="R38" s="2317"/>
    </x:row>
    <x:row r="39">
      <x:c r="A39" s="2300"/>
      <x:c r="B39" s="2301"/>
      <x:c r="C39" s="2301"/>
      <x:c r="D39" s="2301"/>
      <x:c r="E39" s="2301"/>
      <x:c r="F39" s="2301"/>
      <x:c r="G39" s="2301"/>
      <x:c r="H39" s="2301"/>
      <x:c r="I39" s="2302"/>
      <x:c r="J39" s="2318"/>
      <x:c r="K39" s="2319"/>
      <x:c r="L39" s="2319"/>
      <x:c r="M39" s="2319"/>
      <x:c r="N39" s="2319"/>
      <x:c r="O39" s="2319"/>
      <x:c r="P39" s="2319"/>
      <x:c r="Q39" s="2319"/>
      <x:c r="R39" s="2320"/>
    </x:row>
    <x:row r="40">
      <x:c r="A40" s="2300"/>
      <x:c r="B40" s="2301"/>
      <x:c r="C40" s="2301"/>
      <x:c r="D40" s="2301"/>
      <x:c r="E40" s="2301"/>
      <x:c r="F40" s="2301"/>
      <x:c r="G40" s="2301"/>
      <x:c r="H40" s="2301"/>
      <x:c r="I40" s="2302"/>
      <x:c r="J40" s="2318"/>
      <x:c r="K40" s="2319"/>
      <x:c r="L40" s="2319"/>
      <x:c r="M40" s="2319"/>
      <x:c r="N40" s="2319"/>
      <x:c r="O40" s="2319"/>
      <x:c r="P40" s="2319"/>
      <x:c r="Q40" s="2319"/>
      <x:c r="R40" s="2320"/>
    </x:row>
    <x:row r="41">
      <x:c r="A41" s="2300"/>
      <x:c r="B41" s="2301"/>
      <x:c r="C41" s="2301"/>
      <x:c r="D41" s="2301"/>
      <x:c r="E41" s="2301"/>
      <x:c r="F41" s="2301"/>
      <x:c r="G41" s="2301"/>
      <x:c r="H41" s="2301"/>
      <x:c r="I41" s="2302"/>
      <x:c r="J41" s="2318"/>
      <x:c r="K41" s="2319"/>
      <x:c r="L41" s="2319"/>
      <x:c r="M41" s="2319"/>
      <x:c r="N41" s="2319"/>
      <x:c r="O41" s="2319"/>
      <x:c r="P41" s="2319"/>
      <x:c r="Q41" s="2319"/>
      <x:c r="R41" s="2320"/>
    </x:row>
    <x:row r="42">
      <x:c r="A42" s="2303"/>
      <x:c r="B42" s="2304"/>
      <x:c r="C42" s="2304"/>
      <x:c r="D42" s="2304"/>
      <x:c r="E42" s="2304"/>
      <x:c r="F42" s="2304"/>
      <x:c r="G42" s="2304"/>
      <x:c r="H42" s="2304"/>
      <x:c r="I42" s="2305"/>
      <x:c r="J42" s="2321"/>
      <x:c r="K42" s="2322"/>
      <x:c r="L42" s="2322"/>
      <x:c r="M42" s="2322"/>
      <x:c r="N42" s="2322"/>
      <x:c r="O42" s="2322"/>
      <x:c r="P42" s="2322"/>
      <x:c r="Q42" s="2322"/>
      <x:c r="R42" s="2323"/>
    </x:row>
    <x:row r="43">
      <x:c r="A43" s="2315" t="str">
        <x:v>OCCURRENCE VERIFIED
Strong evidence establishes that the public event occurred.</x:v>
      </x:c>
      <x:c r="B43" s="2316"/>
      <x:c r="C43" s="2316"/>
      <x:c r="D43" s="2316"/>
      <x:c r="E43" s="2316"/>
      <x:c r="F43" s="2316"/>
      <x:c r="G43" s="2316"/>
      <x:c r="H43" s="2316"/>
      <x:c r="I43" s="2317"/>
      <x:c r="J43" s="2335" t="str">
        <x:v>ATTRIBUTED
The statement is clearly presented as the account of a named party.</x:v>
      </x:c>
      <x:c r="K43" s="2336"/>
      <x:c r="L43" s="2336"/>
      <x:c r="M43" s="2336"/>
      <x:c r="N43" s="2336"/>
      <x:c r="O43" s="2336"/>
      <x:c r="P43" s="2336"/>
      <x:c r="Q43" s="2336"/>
      <x:c r="R43" s="2337"/>
    </x:row>
    <x:row r="44">
      <x:c r="A44" s="2318"/>
      <x:c r="B44" s="2319"/>
      <x:c r="C44" s="2319"/>
      <x:c r="D44" s="2319"/>
      <x:c r="E44" s="2319"/>
      <x:c r="F44" s="2319"/>
      <x:c r="G44" s="2319"/>
      <x:c r="H44" s="2319"/>
      <x:c r="I44" s="2320"/>
      <x:c r="J44" s="2338"/>
      <x:c r="K44" s="2339"/>
      <x:c r="L44" s="2339"/>
      <x:c r="M44" s="2339"/>
      <x:c r="N44" s="2339"/>
      <x:c r="O44" s="2339"/>
      <x:c r="P44" s="2339"/>
      <x:c r="Q44" s="2339"/>
      <x:c r="R44" s="2340"/>
    </x:row>
    <x:row r="45">
      <x:c r="A45" s="2318"/>
      <x:c r="B45" s="2319"/>
      <x:c r="C45" s="2319"/>
      <x:c r="D45" s="2319"/>
      <x:c r="E45" s="2319"/>
      <x:c r="F45" s="2319"/>
      <x:c r="G45" s="2319"/>
      <x:c r="H45" s="2319"/>
      <x:c r="I45" s="2320"/>
      <x:c r="J45" s="2338"/>
      <x:c r="K45" s="2339"/>
      <x:c r="L45" s="2339"/>
      <x:c r="M45" s="2339"/>
      <x:c r="N45" s="2339"/>
      <x:c r="O45" s="2339"/>
      <x:c r="P45" s="2339"/>
      <x:c r="Q45" s="2339"/>
      <x:c r="R45" s="2340"/>
    </x:row>
    <x:row r="46">
      <x:c r="A46" s="2318"/>
      <x:c r="B46" s="2319"/>
      <x:c r="C46" s="2319"/>
      <x:c r="D46" s="2319"/>
      <x:c r="E46" s="2319"/>
      <x:c r="F46" s="2319"/>
      <x:c r="G46" s="2319"/>
      <x:c r="H46" s="2319"/>
      <x:c r="I46" s="2320"/>
      <x:c r="J46" s="2338"/>
      <x:c r="K46" s="2339"/>
      <x:c r="L46" s="2339"/>
      <x:c r="M46" s="2339"/>
      <x:c r="N46" s="2339"/>
      <x:c r="O46" s="2339"/>
      <x:c r="P46" s="2339"/>
      <x:c r="Q46" s="2339"/>
      <x:c r="R46" s="2340"/>
    </x:row>
    <x:row r="47">
      <x:c r="A47" s="2321"/>
      <x:c r="B47" s="2322"/>
      <x:c r="C47" s="2322"/>
      <x:c r="D47" s="2322"/>
      <x:c r="E47" s="2322"/>
      <x:c r="F47" s="2322"/>
      <x:c r="G47" s="2322"/>
      <x:c r="H47" s="2322"/>
      <x:c r="I47" s="2323"/>
      <x:c r="J47" s="2341"/>
      <x:c r="K47" s="2342"/>
      <x:c r="L47" s="2342"/>
      <x:c r="M47" s="2342"/>
      <x:c r="N47" s="2342"/>
      <x:c r="O47" s="2342"/>
      <x:c r="P47" s="2342"/>
      <x:c r="Q47" s="2342"/>
      <x:c r="R47" s="2343"/>
    </x:row>
    <x:row r="48">
      <x:c r="A48" s="2373" t="str">
        <x:v>DISPUTED
Credible parties provide materially different accounts.</x:v>
      </x:c>
      <x:c r="B48" s="2374"/>
      <x:c r="C48" s="2374"/>
      <x:c r="D48" s="2374"/>
      <x:c r="E48" s="2374"/>
      <x:c r="F48" s="2374"/>
      <x:c r="G48" s="2374"/>
      <x:c r="H48" s="2374"/>
      <x:c r="I48" s="2375"/>
      <x:c r="J48" s="2382" t="str">
        <x:v>UNCONFIRMED
Available evidence is insufficient; this does not mean the claim is false.</x:v>
      </x:c>
      <x:c r="K48" s="2383"/>
      <x:c r="L48" s="2383"/>
      <x:c r="M48" s="2383"/>
      <x:c r="N48" s="2383"/>
      <x:c r="O48" s="2383"/>
      <x:c r="P48" s="2383"/>
      <x:c r="Q48" s="2383"/>
      <x:c r="R48" s="2384"/>
    </x:row>
    <x:row r="49">
      <x:c r="A49" s="2376"/>
      <x:c r="B49" s="2377"/>
      <x:c r="C49" s="2377"/>
      <x:c r="D49" s="2377"/>
      <x:c r="E49" s="2377"/>
      <x:c r="F49" s="2377"/>
      <x:c r="G49" s="2377"/>
      <x:c r="H49" s="2377"/>
      <x:c r="I49" s="2378"/>
      <x:c r="J49" s="2385"/>
      <x:c r="K49" s="2386"/>
      <x:c r="L49" s="2386"/>
      <x:c r="M49" s="2386"/>
      <x:c r="N49" s="2386"/>
      <x:c r="O49" s="2386"/>
      <x:c r="P49" s="2386"/>
      <x:c r="Q49" s="2386"/>
      <x:c r="R49" s="2387"/>
    </x:row>
    <x:row r="50">
      <x:c r="A50" s="2376"/>
      <x:c r="B50" s="2377"/>
      <x:c r="C50" s="2377"/>
      <x:c r="D50" s="2377"/>
      <x:c r="E50" s="2377"/>
      <x:c r="F50" s="2377"/>
      <x:c r="G50" s="2377"/>
      <x:c r="H50" s="2377"/>
      <x:c r="I50" s="2378"/>
      <x:c r="J50" s="2385"/>
      <x:c r="K50" s="2386"/>
      <x:c r="L50" s="2386"/>
      <x:c r="M50" s="2386"/>
      <x:c r="N50" s="2386"/>
      <x:c r="O50" s="2386"/>
      <x:c r="P50" s="2386"/>
      <x:c r="Q50" s="2386"/>
      <x:c r="R50" s="2387"/>
    </x:row>
    <x:row r="51">
      <x:c r="A51" s="2376"/>
      <x:c r="B51" s="2377"/>
      <x:c r="C51" s="2377"/>
      <x:c r="D51" s="2377"/>
      <x:c r="E51" s="2377"/>
      <x:c r="F51" s="2377"/>
      <x:c r="G51" s="2377"/>
      <x:c r="H51" s="2377"/>
      <x:c r="I51" s="2378"/>
      <x:c r="J51" s="2385"/>
      <x:c r="K51" s="2386"/>
      <x:c r="L51" s="2386"/>
      <x:c r="M51" s="2386"/>
      <x:c r="N51" s="2386"/>
      <x:c r="O51" s="2386"/>
      <x:c r="P51" s="2386"/>
      <x:c r="Q51" s="2386"/>
      <x:c r="R51" s="2387"/>
    </x:row>
    <x:row r="52">
      <x:c r="A52" s="2379"/>
      <x:c r="B52" s="2380"/>
      <x:c r="C52" s="2380"/>
      <x:c r="D52" s="2380"/>
      <x:c r="E52" s="2380"/>
      <x:c r="F52" s="2380"/>
      <x:c r="G52" s="2380"/>
      <x:c r="H52" s="2380"/>
      <x:c r="I52" s="2381"/>
      <x:c r="J52" s="2388"/>
      <x:c r="K52" s="2389"/>
      <x:c r="L52" s="2389"/>
      <x:c r="M52" s="2389"/>
      <x:c r="N52" s="2389"/>
      <x:c r="O52" s="2389"/>
      <x:c r="P52" s="2389"/>
      <x:c r="Q52" s="2389"/>
      <x:c r="R52" s="2390"/>
    </x:row>
    <x:row r="53">
      <x:c r="A53" s="2297" t="str">
        <x:v>CORRECTED
Previously recorded information has been amended and logged.</x:v>
      </x:c>
      <x:c r="B53" s="2298"/>
      <x:c r="C53" s="2298"/>
      <x:c r="D53" s="2298"/>
      <x:c r="E53" s="2298"/>
      <x:c r="F53" s="2298"/>
      <x:c r="G53" s="2298"/>
      <x:c r="H53" s="2298"/>
      <x:c r="I53" s="2299"/>
      <x:c r="J53" s="2315" t="str">
        <x:v>OUTCOME DOCUMENTED
A later institutional response or verified result has been recorded.</x:v>
      </x:c>
      <x:c r="K53" s="2316"/>
      <x:c r="L53" s="2316"/>
      <x:c r="M53" s="2316"/>
      <x:c r="N53" s="2316"/>
      <x:c r="O53" s="2316"/>
      <x:c r="P53" s="2316"/>
      <x:c r="Q53" s="2316"/>
      <x:c r="R53" s="2317"/>
    </x:row>
    <x:row r="54">
      <x:c r="A54" s="2300"/>
      <x:c r="B54" s="2301"/>
      <x:c r="C54" s="2301"/>
      <x:c r="D54" s="2301"/>
      <x:c r="E54" s="2301"/>
      <x:c r="F54" s="2301"/>
      <x:c r="G54" s="2301"/>
      <x:c r="H54" s="2301"/>
      <x:c r="I54" s="2302"/>
      <x:c r="J54" s="2318"/>
      <x:c r="K54" s="2319"/>
      <x:c r="L54" s="2319"/>
      <x:c r="M54" s="2319"/>
      <x:c r="N54" s="2319"/>
      <x:c r="O54" s="2319"/>
      <x:c r="P54" s="2319"/>
      <x:c r="Q54" s="2319"/>
      <x:c r="R54" s="2320"/>
    </x:row>
    <x:row r="55">
      <x:c r="A55" s="2300"/>
      <x:c r="B55" s="2301"/>
      <x:c r="C55" s="2301"/>
      <x:c r="D55" s="2301"/>
      <x:c r="E55" s="2301"/>
      <x:c r="F55" s="2301"/>
      <x:c r="G55" s="2301"/>
      <x:c r="H55" s="2301"/>
      <x:c r="I55" s="2302"/>
      <x:c r="J55" s="2318"/>
      <x:c r="K55" s="2319"/>
      <x:c r="L55" s="2319"/>
      <x:c r="M55" s="2319"/>
      <x:c r="N55" s="2319"/>
      <x:c r="O55" s="2319"/>
      <x:c r="P55" s="2319"/>
      <x:c r="Q55" s="2319"/>
      <x:c r="R55" s="2320"/>
    </x:row>
    <x:row r="56">
      <x:c r="A56" s="2300"/>
      <x:c r="B56" s="2301"/>
      <x:c r="C56" s="2301"/>
      <x:c r="D56" s="2301"/>
      <x:c r="E56" s="2301"/>
      <x:c r="F56" s="2301"/>
      <x:c r="G56" s="2301"/>
      <x:c r="H56" s="2301"/>
      <x:c r="I56" s="2302"/>
      <x:c r="J56" s="2318"/>
      <x:c r="K56" s="2319"/>
      <x:c r="L56" s="2319"/>
      <x:c r="M56" s="2319"/>
      <x:c r="N56" s="2319"/>
      <x:c r="O56" s="2319"/>
      <x:c r="P56" s="2319"/>
      <x:c r="Q56" s="2319"/>
      <x:c r="R56" s="2320"/>
    </x:row>
    <x:row r="57">
      <x:c r="A57" s="2303"/>
      <x:c r="B57" s="2304"/>
      <x:c r="C57" s="2304"/>
      <x:c r="D57" s="2304"/>
      <x:c r="E57" s="2304"/>
      <x:c r="F57" s="2304"/>
      <x:c r="G57" s="2304"/>
      <x:c r="H57" s="2304"/>
      <x:c r="I57" s="2305"/>
      <x:c r="J57" s="2321"/>
      <x:c r="K57" s="2322"/>
      <x:c r="L57" s="2322"/>
      <x:c r="M57" s="2322"/>
      <x:c r="N57" s="2322"/>
      <x:c r="O57" s="2322"/>
      <x:c r="P57" s="2322"/>
      <x:c r="Q57" s="2322"/>
      <x:c r="R57" s="2323"/>
    </x:row>
    <x:row r="58">
      <x:c r="A58" s="804"/>
      <x:c r="B58" s="805"/>
      <x:c r="C58" s="805"/>
      <x:c r="D58" s="805"/>
      <x:c r="E58" s="805"/>
      <x:c r="F58" s="805"/>
      <x:c r="G58" s="805"/>
      <x:c r="H58" s="805"/>
      <x:c r="I58" s="805"/>
      <x:c r="J58" s="805"/>
      <x:c r="K58" s="805"/>
      <x:c r="L58" s="805"/>
      <x:c r="M58" s="805"/>
      <x:c r="N58" s="805"/>
      <x:c r="O58" s="805"/>
      <x:c r="P58" s="805"/>
      <x:c r="Q58" s="805"/>
      <x:c r="R58" s="806"/>
    </x:row>
    <x:row r="59">
      <x:c r="A59" s="714" t="str">
        <x:v>From lead to publication</x:v>
      </x:c>
      <x:c r="B59" s="715"/>
      <x:c r="C59" s="715"/>
      <x:c r="D59" s="715"/>
      <x:c r="E59" s="715"/>
      <x:c r="F59" s="715"/>
      <x:c r="G59" s="715"/>
      <x:c r="H59" s="715"/>
      <x:c r="I59" s="715"/>
      <x:c r="J59" s="715"/>
      <x:c r="K59" s="715"/>
      <x:c r="L59" s="715"/>
      <x:c r="M59" s="715"/>
      <x:c r="N59" s="715"/>
      <x:c r="O59" s="715"/>
      <x:c r="P59" s="715"/>
      <x:c r="Q59" s="715"/>
      <x:c r="R59" s="716"/>
    </x:row>
    <x:row r="60">
      <x:c r="A60" s="804"/>
      <x:c r="B60" s="805"/>
      <x:c r="C60" s="805"/>
      <x:c r="D60" s="805"/>
      <x:c r="E60" s="805"/>
      <x:c r="F60" s="805"/>
      <x:c r="G60" s="805"/>
      <x:c r="H60" s="805"/>
      <x:c r="I60" s="805"/>
      <x:c r="J60" s="805"/>
      <x:c r="K60" s="805"/>
      <x:c r="L60" s="805"/>
      <x:c r="M60" s="805"/>
      <x:c r="N60" s="805"/>
      <x:c r="O60" s="805"/>
      <x:c r="P60" s="805"/>
      <x:c r="Q60" s="805"/>
      <x:c r="R60" s="806"/>
    </x:row>
    <x:row r="61">
      <x:c r="A61" s="2406" t="str">
        <x:v>1. Discover
Traditional, local-language, community, official and public-record sources.</x:v>
      </x:c>
      <x:c r="B61" s="2407"/>
      <x:c r="C61" s="2407"/>
      <x:c r="D61" s="2407"/>
      <x:c r="E61" s="2407"/>
      <x:c r="F61" s="2408"/>
      <x:c r="G61" s="2406" t="str">
        <x:v>2. Triage
Prioritise traceable, important and undercovered leads.</x:v>
      </x:c>
      <x:c r="H61" s="2407"/>
      <x:c r="I61" s="2407"/>
      <x:c r="J61" s="2407"/>
      <x:c r="K61" s="2407"/>
      <x:c r="L61" s="2408"/>
      <x:c r="M61" s="2406" t="str">
        <x:v>3. Investigate
Find independent source families and primary records.</x:v>
      </x:c>
      <x:c r="N61" s="2407"/>
      <x:c r="O61" s="2407"/>
      <x:c r="P61" s="2407"/>
      <x:c r="Q61" s="2407"/>
      <x:c r="R61" s="2408"/>
    </x:row>
    <x:row r="62">
      <x:c r="A62" s="2409"/>
      <x:c r="B62" s="2410"/>
      <x:c r="C62" s="2410"/>
      <x:c r="D62" s="2410"/>
      <x:c r="E62" s="2410"/>
      <x:c r="F62" s="2411"/>
      <x:c r="G62" s="2409"/>
      <x:c r="H62" s="2410"/>
      <x:c r="I62" s="2410"/>
      <x:c r="J62" s="2410"/>
      <x:c r="K62" s="2410"/>
      <x:c r="L62" s="2411"/>
      <x:c r="M62" s="2409"/>
      <x:c r="N62" s="2410"/>
      <x:c r="O62" s="2410"/>
      <x:c r="P62" s="2410"/>
      <x:c r="Q62" s="2410"/>
      <x:c r="R62" s="2411"/>
    </x:row>
    <x:row r="63">
      <x:c r="A63" s="2409"/>
      <x:c r="B63" s="2410"/>
      <x:c r="C63" s="2410"/>
      <x:c r="D63" s="2410"/>
      <x:c r="E63" s="2410"/>
      <x:c r="F63" s="2411"/>
      <x:c r="G63" s="2409"/>
      <x:c r="H63" s="2410"/>
      <x:c r="I63" s="2410"/>
      <x:c r="J63" s="2410"/>
      <x:c r="K63" s="2410"/>
      <x:c r="L63" s="2411"/>
      <x:c r="M63" s="2409"/>
      <x:c r="N63" s="2410"/>
      <x:c r="O63" s="2410"/>
      <x:c r="P63" s="2410"/>
      <x:c r="Q63" s="2410"/>
      <x:c r="R63" s="2411"/>
    </x:row>
    <x:row r="64">
      <x:c r="A64" s="2409"/>
      <x:c r="B64" s="2410"/>
      <x:c r="C64" s="2410"/>
      <x:c r="D64" s="2410"/>
      <x:c r="E64" s="2410"/>
      <x:c r="F64" s="2411"/>
      <x:c r="G64" s="2409"/>
      <x:c r="H64" s="2410"/>
      <x:c r="I64" s="2410"/>
      <x:c r="J64" s="2410"/>
      <x:c r="K64" s="2410"/>
      <x:c r="L64" s="2411"/>
      <x:c r="M64" s="2409"/>
      <x:c r="N64" s="2410"/>
      <x:c r="O64" s="2410"/>
      <x:c r="P64" s="2410"/>
      <x:c r="Q64" s="2410"/>
      <x:c r="R64" s="2411"/>
    </x:row>
    <x:row r="65">
      <x:c r="A65" s="2409"/>
      <x:c r="B65" s="2410"/>
      <x:c r="C65" s="2410"/>
      <x:c r="D65" s="2410"/>
      <x:c r="E65" s="2410"/>
      <x:c r="F65" s="2411"/>
      <x:c r="G65" s="2409"/>
      <x:c r="H65" s="2410"/>
      <x:c r="I65" s="2410"/>
      <x:c r="J65" s="2410"/>
      <x:c r="K65" s="2410"/>
      <x:c r="L65" s="2411"/>
      <x:c r="M65" s="2409"/>
      <x:c r="N65" s="2410"/>
      <x:c r="O65" s="2410"/>
      <x:c r="P65" s="2410"/>
      <x:c r="Q65" s="2410"/>
      <x:c r="R65" s="2411"/>
    </x:row>
    <x:row r="66">
      <x:c r="A66" s="2409"/>
      <x:c r="B66" s="2410"/>
      <x:c r="C66" s="2410"/>
      <x:c r="D66" s="2410"/>
      <x:c r="E66" s="2410"/>
      <x:c r="F66" s="2411"/>
      <x:c r="G66" s="2409"/>
      <x:c r="H66" s="2410"/>
      <x:c r="I66" s="2410"/>
      <x:c r="J66" s="2410"/>
      <x:c r="K66" s="2410"/>
      <x:c r="L66" s="2411"/>
      <x:c r="M66" s="2409"/>
      <x:c r="N66" s="2410"/>
      <x:c r="O66" s="2410"/>
      <x:c r="P66" s="2410"/>
      <x:c r="Q66" s="2410"/>
      <x:c r="R66" s="2411"/>
    </x:row>
    <x:row r="67">
      <x:c r="A67" s="2412"/>
      <x:c r="B67" s="2413"/>
      <x:c r="C67" s="2413"/>
      <x:c r="D67" s="2413"/>
      <x:c r="E67" s="2413"/>
      <x:c r="F67" s="2414"/>
      <x:c r="G67" s="2412"/>
      <x:c r="H67" s="2413"/>
      <x:c r="I67" s="2413"/>
      <x:c r="J67" s="2413"/>
      <x:c r="K67" s="2413"/>
      <x:c r="L67" s="2414"/>
      <x:c r="M67" s="2412"/>
      <x:c r="N67" s="2413"/>
      <x:c r="O67" s="2413"/>
      <x:c r="P67" s="2413"/>
      <x:c r="Q67" s="2413"/>
      <x:c r="R67" s="2414"/>
    </x:row>
    <x:row r="68">
      <x:c r="A68" s="804"/>
      <x:c r="B68" s="805"/>
      <x:c r="C68" s="805"/>
      <x:c r="D68" s="805"/>
      <x:c r="E68" s="805"/>
      <x:c r="F68" s="805"/>
      <x:c r="G68" s="805"/>
      <x:c r="H68" s="805"/>
      <x:c r="I68" s="805"/>
      <x:c r="J68" s="805"/>
      <x:c r="K68" s="805"/>
      <x:c r="L68" s="805"/>
      <x:c r="M68" s="805"/>
      <x:c r="N68" s="805"/>
      <x:c r="O68" s="805"/>
      <x:c r="P68" s="805"/>
      <x:c r="Q68" s="805"/>
      <x:c r="R68" s="806"/>
    </x:row>
    <x:row r="69">
      <x:c r="A69" s="2406" t="str">
        <x:v>4. Separate claims
Break occurrence, dates, demands, responses and allegations into atomic claims.</x:v>
      </x:c>
      <x:c r="B69" s="2407"/>
      <x:c r="C69" s="2407"/>
      <x:c r="D69" s="2407"/>
      <x:c r="E69" s="2407"/>
      <x:c r="F69" s="2408"/>
      <x:c r="G69" s="2406" t="str">
        <x:v>5. Review risk
Protect participants, minors, contributors and sensitive locations.</x:v>
      </x:c>
      <x:c r="H69" s="2407"/>
      <x:c r="I69" s="2407"/>
      <x:c r="J69" s="2407"/>
      <x:c r="K69" s="2407"/>
      <x:c r="L69" s="2408"/>
      <x:c r="M69" s="2406" t="str">
        <x:v>6. Human approval
No model or automated score can publish a record.</x:v>
      </x:c>
      <x:c r="N69" s="2407"/>
      <x:c r="O69" s="2407"/>
      <x:c r="P69" s="2407"/>
      <x:c r="Q69" s="2407"/>
      <x:c r="R69" s="2408"/>
    </x:row>
    <x:row r="70">
      <x:c r="A70" s="2409"/>
      <x:c r="B70" s="2410"/>
      <x:c r="C70" s="2410"/>
      <x:c r="D70" s="2410"/>
      <x:c r="E70" s="2410"/>
      <x:c r="F70" s="2411"/>
      <x:c r="G70" s="2409"/>
      <x:c r="H70" s="2410"/>
      <x:c r="I70" s="2410"/>
      <x:c r="J70" s="2410"/>
      <x:c r="K70" s="2410"/>
      <x:c r="L70" s="2411"/>
      <x:c r="M70" s="2409"/>
      <x:c r="N70" s="2410"/>
      <x:c r="O70" s="2410"/>
      <x:c r="P70" s="2410"/>
      <x:c r="Q70" s="2410"/>
      <x:c r="R70" s="2411"/>
    </x:row>
    <x:row r="71">
      <x:c r="A71" s="2409"/>
      <x:c r="B71" s="2410"/>
      <x:c r="C71" s="2410"/>
      <x:c r="D71" s="2410"/>
      <x:c r="E71" s="2410"/>
      <x:c r="F71" s="2411"/>
      <x:c r="G71" s="2409"/>
      <x:c r="H71" s="2410"/>
      <x:c r="I71" s="2410"/>
      <x:c r="J71" s="2410"/>
      <x:c r="K71" s="2410"/>
      <x:c r="L71" s="2411"/>
      <x:c r="M71" s="2409"/>
      <x:c r="N71" s="2410"/>
      <x:c r="O71" s="2410"/>
      <x:c r="P71" s="2410"/>
      <x:c r="Q71" s="2410"/>
      <x:c r="R71" s="2411"/>
    </x:row>
    <x:row r="72">
      <x:c r="A72" s="2409"/>
      <x:c r="B72" s="2410"/>
      <x:c r="C72" s="2410"/>
      <x:c r="D72" s="2410"/>
      <x:c r="E72" s="2410"/>
      <x:c r="F72" s="2411"/>
      <x:c r="G72" s="2409"/>
      <x:c r="H72" s="2410"/>
      <x:c r="I72" s="2410"/>
      <x:c r="J72" s="2410"/>
      <x:c r="K72" s="2410"/>
      <x:c r="L72" s="2411"/>
      <x:c r="M72" s="2409"/>
      <x:c r="N72" s="2410"/>
      <x:c r="O72" s="2410"/>
      <x:c r="P72" s="2410"/>
      <x:c r="Q72" s="2410"/>
      <x:c r="R72" s="2411"/>
    </x:row>
    <x:row r="73">
      <x:c r="A73" s="2409"/>
      <x:c r="B73" s="2410"/>
      <x:c r="C73" s="2410"/>
      <x:c r="D73" s="2410"/>
      <x:c r="E73" s="2410"/>
      <x:c r="F73" s="2411"/>
      <x:c r="G73" s="2409"/>
      <x:c r="H73" s="2410"/>
      <x:c r="I73" s="2410"/>
      <x:c r="J73" s="2410"/>
      <x:c r="K73" s="2410"/>
      <x:c r="L73" s="2411"/>
      <x:c r="M73" s="2409"/>
      <x:c r="N73" s="2410"/>
      <x:c r="O73" s="2410"/>
      <x:c r="P73" s="2410"/>
      <x:c r="Q73" s="2410"/>
      <x:c r="R73" s="2411"/>
    </x:row>
    <x:row r="74">
      <x:c r="A74" s="2409"/>
      <x:c r="B74" s="2410"/>
      <x:c r="C74" s="2410"/>
      <x:c r="D74" s="2410"/>
      <x:c r="E74" s="2410"/>
      <x:c r="F74" s="2411"/>
      <x:c r="G74" s="2409"/>
      <x:c r="H74" s="2410"/>
      <x:c r="I74" s="2410"/>
      <x:c r="J74" s="2410"/>
      <x:c r="K74" s="2410"/>
      <x:c r="L74" s="2411"/>
      <x:c r="M74" s="2409"/>
      <x:c r="N74" s="2410"/>
      <x:c r="O74" s="2410"/>
      <x:c r="P74" s="2410"/>
      <x:c r="Q74" s="2410"/>
      <x:c r="R74" s="2411"/>
    </x:row>
    <x:row r="75">
      <x:c r="A75" s="2412"/>
      <x:c r="B75" s="2413"/>
      <x:c r="C75" s="2413"/>
      <x:c r="D75" s="2413"/>
      <x:c r="E75" s="2413"/>
      <x:c r="F75" s="2414"/>
      <x:c r="G75" s="2412"/>
      <x:c r="H75" s="2413"/>
      <x:c r="I75" s="2413"/>
      <x:c r="J75" s="2413"/>
      <x:c r="K75" s="2413"/>
      <x:c r="L75" s="2414"/>
      <x:c r="M75" s="2412"/>
      <x:c r="N75" s="2413"/>
      <x:c r="O75" s="2413"/>
      <x:c r="P75" s="2413"/>
      <x:c r="Q75" s="2413"/>
      <x:c r="R75" s="2414"/>
    </x:row>
    <x:row r="76">
      <x:c r="A76" s="804"/>
      <x:c r="B76" s="805"/>
      <x:c r="C76" s="805"/>
      <x:c r="D76" s="805"/>
      <x:c r="E76" s="805"/>
      <x:c r="F76" s="805"/>
      <x:c r="G76" s="805"/>
      <x:c r="H76" s="805"/>
      <x:c r="I76" s="805"/>
      <x:c r="J76" s="805"/>
      <x:c r="K76" s="805"/>
      <x:c r="L76" s="805"/>
      <x:c r="M76" s="805"/>
      <x:c r="N76" s="805"/>
      <x:c r="O76" s="805"/>
      <x:c r="P76" s="805"/>
      <x:c r="Q76" s="805"/>
      <x:c r="R76" s="806"/>
    </x:row>
    <x:row r="77">
      <x:c r="A77" s="804"/>
      <x:c r="B77" s="805"/>
      <x:c r="C77" s="805"/>
      <x:c r="D77" s="805"/>
      <x:c r="E77" s="805"/>
      <x:c r="F77" s="805"/>
      <x:c r="G77" s="805"/>
      <x:c r="H77" s="805"/>
      <x:c r="I77" s="805"/>
      <x:c r="J77" s="805"/>
      <x:c r="K77" s="805"/>
      <x:c r="L77" s="805"/>
      <x:c r="M77" s="805"/>
      <x:c r="N77" s="805"/>
      <x:c r="O77" s="805"/>
      <x:c r="P77" s="805"/>
      <x:c r="Q77" s="805"/>
      <x:c r="R77" s="806"/>
    </x:row>
    <x:row r="78">
      <x:c r="A78" s="714" t="str">
        <x:v>Source handling and privacy</x:v>
      </x:c>
      <x:c r="B78" s="715"/>
      <x:c r="C78" s="715"/>
      <x:c r="D78" s="715"/>
      <x:c r="E78" s="715"/>
      <x:c r="F78" s="715"/>
      <x:c r="G78" s="715"/>
      <x:c r="H78" s="715"/>
      <x:c r="I78" s="715"/>
      <x:c r="J78" s="715"/>
      <x:c r="K78" s="715"/>
      <x:c r="L78" s="715"/>
      <x:c r="M78" s="715"/>
      <x:c r="N78" s="715"/>
      <x:c r="O78" s="715"/>
      <x:c r="P78" s="715"/>
      <x:c r="Q78" s="715"/>
      <x:c r="R78" s="716"/>
    </x:row>
    <x:row r="79">
      <x:c r="A79" s="1622" t="str">
        <x:v>Source handling
• Original links remain visible
• Copied reports count as one underlying source
• Social posts can generate leads but do not automatically verify events
• Generated AI text never counts as evidence</x:v>
      </x:c>
      <x:c r="B79" s="1623"/>
      <x:c r="C79" s="1623"/>
      <x:c r="D79" s="1623"/>
      <x:c r="E79" s="1623"/>
      <x:c r="F79" s="1623"/>
      <x:c r="G79" s="1623"/>
      <x:c r="H79" s="1623"/>
      <x:c r="I79" s="1624"/>
      <x:c r="J79" s="1622" t="str">
        <x:v>Privacy and safety
• No ordinary participant lists
• No exact tactical locations
• No private uploads or confidential identities on public pages
• Minors and sensitive information receive enhanced review</x:v>
      </x:c>
      <x:c r="K79" s="1623"/>
      <x:c r="L79" s="1623"/>
      <x:c r="M79" s="1623"/>
      <x:c r="N79" s="1623"/>
      <x:c r="O79" s="1623"/>
      <x:c r="P79" s="1623"/>
      <x:c r="Q79" s="1623"/>
      <x:c r="R79" s="1624"/>
    </x:row>
    <x:row r="80">
      <x:c r="A80" s="1625"/>
      <x:c r="B80" s="1626"/>
      <x:c r="C80" s="1626"/>
      <x:c r="D80" s="1626"/>
      <x:c r="E80" s="1626"/>
      <x:c r="F80" s="1626"/>
      <x:c r="G80" s="1626"/>
      <x:c r="H80" s="1626"/>
      <x:c r="I80" s="1627"/>
      <x:c r="J80" s="1625"/>
      <x:c r="K80" s="1626"/>
      <x:c r="L80" s="1626"/>
      <x:c r="M80" s="1626"/>
      <x:c r="N80" s="1626"/>
      <x:c r="O80" s="1626"/>
      <x:c r="P80" s="1626"/>
      <x:c r="Q80" s="1626"/>
      <x:c r="R80" s="1627"/>
    </x:row>
    <x:row r="81">
      <x:c r="A81" s="1625"/>
      <x:c r="B81" s="1626"/>
      <x:c r="C81" s="1626"/>
      <x:c r="D81" s="1626"/>
      <x:c r="E81" s="1626"/>
      <x:c r="F81" s="1626"/>
      <x:c r="G81" s="1626"/>
      <x:c r="H81" s="1626"/>
      <x:c r="I81" s="1627"/>
      <x:c r="J81" s="1625"/>
      <x:c r="K81" s="1626"/>
      <x:c r="L81" s="1626"/>
      <x:c r="M81" s="1626"/>
      <x:c r="N81" s="1626"/>
      <x:c r="O81" s="1626"/>
      <x:c r="P81" s="1626"/>
      <x:c r="Q81" s="1626"/>
      <x:c r="R81" s="1627"/>
    </x:row>
    <x:row r="82">
      <x:c r="A82" s="1625"/>
      <x:c r="B82" s="1626"/>
      <x:c r="C82" s="1626"/>
      <x:c r="D82" s="1626"/>
      <x:c r="E82" s="1626"/>
      <x:c r="F82" s="1626"/>
      <x:c r="G82" s="1626"/>
      <x:c r="H82" s="1626"/>
      <x:c r="I82" s="1627"/>
      <x:c r="J82" s="1625"/>
      <x:c r="K82" s="1626"/>
      <x:c r="L82" s="1626"/>
      <x:c r="M82" s="1626"/>
      <x:c r="N82" s="1626"/>
      <x:c r="O82" s="1626"/>
      <x:c r="P82" s="1626"/>
      <x:c r="Q82" s="1626"/>
      <x:c r="R82" s="1627"/>
    </x:row>
    <x:row r="83">
      <x:c r="A83" s="1625"/>
      <x:c r="B83" s="1626"/>
      <x:c r="C83" s="1626"/>
      <x:c r="D83" s="1626"/>
      <x:c r="E83" s="1626"/>
      <x:c r="F83" s="1626"/>
      <x:c r="G83" s="1626"/>
      <x:c r="H83" s="1626"/>
      <x:c r="I83" s="1627"/>
      <x:c r="J83" s="1625"/>
      <x:c r="K83" s="1626"/>
      <x:c r="L83" s="1626"/>
      <x:c r="M83" s="1626"/>
      <x:c r="N83" s="1626"/>
      <x:c r="O83" s="1626"/>
      <x:c r="P83" s="1626"/>
      <x:c r="Q83" s="1626"/>
      <x:c r="R83" s="1627"/>
    </x:row>
    <x:row r="84">
      <x:c r="A84" s="1625"/>
      <x:c r="B84" s="1626"/>
      <x:c r="C84" s="1626"/>
      <x:c r="D84" s="1626"/>
      <x:c r="E84" s="1626"/>
      <x:c r="F84" s="1626"/>
      <x:c r="G84" s="1626"/>
      <x:c r="H84" s="1626"/>
      <x:c r="I84" s="1627"/>
      <x:c r="J84" s="1625"/>
      <x:c r="K84" s="1626"/>
      <x:c r="L84" s="1626"/>
      <x:c r="M84" s="1626"/>
      <x:c r="N84" s="1626"/>
      <x:c r="O84" s="1626"/>
      <x:c r="P84" s="1626"/>
      <x:c r="Q84" s="1626"/>
      <x:c r="R84" s="1627"/>
    </x:row>
    <x:row r="85">
      <x:c r="A85" s="1625"/>
      <x:c r="B85" s="1626"/>
      <x:c r="C85" s="1626"/>
      <x:c r="D85" s="1626"/>
      <x:c r="E85" s="1626"/>
      <x:c r="F85" s="1626"/>
      <x:c r="G85" s="1626"/>
      <x:c r="H85" s="1626"/>
      <x:c r="I85" s="1627"/>
      <x:c r="J85" s="1625"/>
      <x:c r="K85" s="1626"/>
      <x:c r="L85" s="1626"/>
      <x:c r="M85" s="1626"/>
      <x:c r="N85" s="1626"/>
      <x:c r="O85" s="1626"/>
      <x:c r="P85" s="1626"/>
      <x:c r="Q85" s="1626"/>
      <x:c r="R85" s="1627"/>
    </x:row>
    <x:row r="86">
      <x:c r="A86" s="1625"/>
      <x:c r="B86" s="1626"/>
      <x:c r="C86" s="1626"/>
      <x:c r="D86" s="1626"/>
      <x:c r="E86" s="1626"/>
      <x:c r="F86" s="1626"/>
      <x:c r="G86" s="1626"/>
      <x:c r="H86" s="1626"/>
      <x:c r="I86" s="1627"/>
      <x:c r="J86" s="1625"/>
      <x:c r="K86" s="1626"/>
      <x:c r="L86" s="1626"/>
      <x:c r="M86" s="1626"/>
      <x:c r="N86" s="1626"/>
      <x:c r="O86" s="1626"/>
      <x:c r="P86" s="1626"/>
      <x:c r="Q86" s="1626"/>
      <x:c r="R86" s="1627"/>
    </x:row>
    <x:row r="87">
      <x:c r="A87" s="1628"/>
      <x:c r="B87" s="1629"/>
      <x:c r="C87" s="1629"/>
      <x:c r="D87" s="1629"/>
      <x:c r="E87" s="1629"/>
      <x:c r="F87" s="1629"/>
      <x:c r="G87" s="1629"/>
      <x:c r="H87" s="1629"/>
      <x:c r="I87" s="1630"/>
      <x:c r="J87" s="1628"/>
      <x:c r="K87" s="1629"/>
      <x:c r="L87" s="1629"/>
      <x:c r="M87" s="1629"/>
      <x:c r="N87" s="1629"/>
      <x:c r="O87" s="1629"/>
      <x:c r="P87" s="1629"/>
      <x:c r="Q87" s="1629"/>
      <x:c r="R87" s="1630"/>
    </x:row>
    <x:row r="88">
      <x:c r="A88" s="804"/>
      <x:c r="B88" s="805"/>
      <x:c r="C88" s="805"/>
      <x:c r="D88" s="805"/>
      <x:c r="E88" s="805"/>
      <x:c r="F88" s="805"/>
      <x:c r="G88" s="805"/>
      <x:c r="H88" s="805"/>
      <x:c r="I88" s="805"/>
      <x:c r="J88" s="805"/>
      <x:c r="K88" s="805"/>
      <x:c r="L88" s="805"/>
      <x:c r="M88" s="805"/>
      <x:c r="N88" s="805"/>
      <x:c r="O88" s="805"/>
      <x:c r="P88" s="805"/>
      <x:c r="Q88" s="805"/>
      <x:c r="R88" s="806"/>
    </x:row>
    <x:row r="89">
      <x:c r="A89" s="1531" t="str">
        <x:v>Footer: Read the full methodology • Download current version • View decisions • Suggest a correction</x:v>
      </x:c>
      <x:c r="B89" s="1532"/>
      <x:c r="C89" s="1532"/>
      <x:c r="D89" s="1532"/>
      <x:c r="E89" s="1532"/>
      <x:c r="F89" s="1532"/>
      <x:c r="G89" s="1532"/>
      <x:c r="H89" s="1532"/>
      <x:c r="I89" s="1532"/>
      <x:c r="J89" s="1532"/>
      <x:c r="K89" s="1532"/>
      <x:c r="L89" s="1532"/>
      <x:c r="M89" s="1532"/>
      <x:c r="N89" s="1532"/>
      <x:c r="O89" s="1532"/>
      <x:c r="P89" s="1532"/>
      <x:c r="Q89" s="1532"/>
      <x:c r="R89" s="1533"/>
    </x:row>
    <x:row r="90">
      <x:c r="A90" s="1534"/>
      <x:c r="B90" s="1535"/>
      <x:c r="C90" s="1535"/>
      <x:c r="D90" s="1535"/>
      <x:c r="E90" s="1535"/>
      <x:c r="F90" s="1535"/>
      <x:c r="G90" s="1535"/>
      <x:c r="H90" s="1535"/>
      <x:c r="I90" s="1535"/>
      <x:c r="J90" s="1535"/>
      <x:c r="K90" s="1535"/>
      <x:c r="L90" s="1535"/>
      <x:c r="M90" s="1535"/>
      <x:c r="N90" s="1535"/>
      <x:c r="O90" s="1535"/>
      <x:c r="P90" s="1535"/>
      <x:c r="Q90" s="1535"/>
      <x:c r="R90" s="1536"/>
    </x:row>
    <x:row r="91">
      <x:c r="A91" s="1534"/>
      <x:c r="B91" s="1535"/>
      <x:c r="C91" s="1535"/>
      <x:c r="D91" s="1535"/>
      <x:c r="E91" s="1535"/>
      <x:c r="F91" s="1535"/>
      <x:c r="G91" s="1535"/>
      <x:c r="H91" s="1535"/>
      <x:c r="I91" s="1535"/>
      <x:c r="J91" s="1535"/>
      <x:c r="K91" s="1535"/>
      <x:c r="L91" s="1535"/>
      <x:c r="M91" s="1535"/>
      <x:c r="N91" s="1535"/>
      <x:c r="O91" s="1535"/>
      <x:c r="P91" s="1535"/>
      <x:c r="Q91" s="1535"/>
      <x:c r="R91" s="1536"/>
    </x:row>
    <x:row r="92">
      <x:c r="A92" s="1537"/>
      <x:c r="B92" s="1538"/>
      <x:c r="C92" s="1538"/>
      <x:c r="D92" s="1538"/>
      <x:c r="E92" s="1538"/>
      <x:c r="F92" s="1538"/>
      <x:c r="G92" s="1538"/>
      <x:c r="H92" s="1538"/>
      <x:c r="I92" s="1538"/>
      <x:c r="J92" s="1538"/>
      <x:c r="K92" s="1538"/>
      <x:c r="L92" s="1538"/>
      <x:c r="M92" s="1538"/>
      <x:c r="N92" s="1538"/>
      <x:c r="O92" s="1538"/>
      <x:c r="P92" s="1538"/>
      <x:c r="Q92" s="1538"/>
      <x:c r="R92" s="1539"/>
    </x:row>
    <x:row r="94">
      <x:c r="A94" s="1426" t="str">
        <x:v>Implementation note: keep the public methodology concise, with expandable sections for detailed rules. Technical scoring and internal risk thresholds should be explained conceptually but not presented as public truth scores.</x:v>
      </x:c>
      <x:c r="B94" s="1427"/>
      <x:c r="C94" s="1427"/>
      <x:c r="D94" s="1427"/>
      <x:c r="E94" s="1427"/>
      <x:c r="F94" s="1427"/>
      <x:c r="G94" s="1427"/>
      <x:c r="H94" s="1427"/>
      <x:c r="I94" s="1427"/>
      <x:c r="J94" s="1427"/>
      <x:c r="K94" s="1427"/>
      <x:c r="L94" s="1427"/>
      <x:c r="M94" s="1427"/>
      <x:c r="N94" s="1427"/>
      <x:c r="O94" s="1427"/>
      <x:c r="P94" s="1427"/>
      <x:c r="Q94" s="1427"/>
      <x:c r="R94" s="1428"/>
    </x:row>
    <x:row r="95">
      <x:c r="A95" s="1429"/>
      <x:c r="B95" s="1430"/>
      <x:c r="C95" s="1430"/>
      <x:c r="D95" s="1430"/>
      <x:c r="E95" s="1430"/>
      <x:c r="F95" s="1430"/>
      <x:c r="G95" s="1430"/>
      <x:c r="H95" s="1430"/>
      <x:c r="I95" s="1430"/>
      <x:c r="J95" s="1430"/>
      <x:c r="K95" s="1430"/>
      <x:c r="L95" s="1430"/>
      <x:c r="M95" s="1430"/>
      <x:c r="N95" s="1430"/>
      <x:c r="O95" s="1430"/>
      <x:c r="P95" s="1430"/>
      <x:c r="Q95" s="1430"/>
      <x:c r="R95" s="1431"/>
    </x:row>
    <x:row r="96">
      <x:c r="A96" s="1429"/>
      <x:c r="B96" s="1430"/>
      <x:c r="C96" s="1430"/>
      <x:c r="D96" s="1430"/>
      <x:c r="E96" s="1430"/>
      <x:c r="F96" s="1430"/>
      <x:c r="G96" s="1430"/>
      <x:c r="H96" s="1430"/>
      <x:c r="I96" s="1430"/>
      <x:c r="J96" s="1430"/>
      <x:c r="K96" s="1430"/>
      <x:c r="L96" s="1430"/>
      <x:c r="M96" s="1430"/>
      <x:c r="N96" s="1430"/>
      <x:c r="O96" s="1430"/>
      <x:c r="P96" s="1430"/>
      <x:c r="Q96" s="1430"/>
      <x:c r="R96" s="1431"/>
    </x:row>
    <x:row r="97">
      <x:c r="A97" s="1429"/>
      <x:c r="B97" s="1430"/>
      <x:c r="C97" s="1430"/>
      <x:c r="D97" s="1430"/>
      <x:c r="E97" s="1430"/>
      <x:c r="F97" s="1430"/>
      <x:c r="G97" s="1430"/>
      <x:c r="H97" s="1430"/>
      <x:c r="I97" s="1430"/>
      <x:c r="J97" s="1430"/>
      <x:c r="K97" s="1430"/>
      <x:c r="L97" s="1430"/>
      <x:c r="M97" s="1430"/>
      <x:c r="N97" s="1430"/>
      <x:c r="O97" s="1430"/>
      <x:c r="P97" s="1430"/>
      <x:c r="Q97" s="1430"/>
      <x:c r="R97" s="1431"/>
    </x:row>
    <x:row r="98">
      <x:c r="A98" s="1432"/>
      <x:c r="B98" s="1433"/>
      <x:c r="C98" s="1433"/>
      <x:c r="D98" s="1433"/>
      <x:c r="E98" s="1433"/>
      <x:c r="F98" s="1433"/>
      <x:c r="G98" s="1433"/>
      <x:c r="H98" s="1433"/>
      <x:c r="I98" s="1433"/>
      <x:c r="J98" s="1433"/>
      <x:c r="K98" s="1433"/>
      <x:c r="L98" s="1433"/>
      <x:c r="M98" s="1433"/>
      <x:c r="N98" s="1433"/>
      <x:c r="O98" s="1433"/>
      <x:c r="P98" s="1433"/>
      <x:c r="Q98" s="1433"/>
      <x:c r="R98" s="1434"/>
    </x:row>
  </x:sheetData>
  <x:mergeCells>
    <x:mergeCell ref="A1:R2"/>
    <x:mergeCell ref="A3:R4"/>
    <x:mergeCell ref="A6:R8"/>
    <x:mergeCell ref="A10:R16"/>
    <x:mergeCell ref="A18:R22"/>
    <x:mergeCell ref="A24:R24"/>
    <x:mergeCell ref="A26:F35"/>
    <x:mergeCell ref="G26:L35"/>
    <x:mergeCell ref="M26:R35"/>
    <x:mergeCell ref="A37:R37"/>
    <x:mergeCell ref="A38:I42"/>
    <x:mergeCell ref="J38:R42"/>
    <x:mergeCell ref="A43:I47"/>
    <x:mergeCell ref="J43:R47"/>
    <x:mergeCell ref="A48:I52"/>
    <x:mergeCell ref="J48:R52"/>
    <x:mergeCell ref="A53:I57"/>
    <x:mergeCell ref="J53:R57"/>
    <x:mergeCell ref="A59:R59"/>
    <x:mergeCell ref="A61:F67"/>
    <x:mergeCell ref="G61:L67"/>
    <x:mergeCell ref="M61:R67"/>
    <x:mergeCell ref="A69:F75"/>
    <x:mergeCell ref="G69:L75"/>
    <x:mergeCell ref="M69:R75"/>
    <x:mergeCell ref="A78:R78"/>
    <x:mergeCell ref="A79:I87"/>
    <x:mergeCell ref="J79:R87"/>
    <x:mergeCell ref="A89:R92"/>
    <x:mergeCell ref="A94:R98"/>
  </x:mergeCell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3" hidden="0" customWidth="1"/>
    <x:col min="14" max="14" width="12" hidden="0" customWidth="1"/>
    <x:col min="15" max="15" width="12" hidden="0" customWidth="1"/>
    <x:col min="16" max="16" width="12" hidden="0" customWidth="1"/>
    <x:col min="17" max="17" width="12" hidden="0" customWidth="1"/>
    <x:col min="18" max="18" width="12" hidden="0" customWidth="1"/>
  </x:cols>
  <x:sheetData>
    <x:row r="1">
      <x:c r="A1" s="671" t="str">
        <x:v>Wireframe — Submit a Lead</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A safe, low-friction form for public source links. It does not accept sensitive files, participant lists or tactical information.</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848" t="str">
        <x:v>INDIA OBSERVED     Home   Browse   Methodology   Corrections   [Submit a lead]</x:v>
      </x:c>
      <x:c r="B6" s="849"/>
      <x:c r="C6" s="849"/>
      <x:c r="D6" s="849"/>
      <x:c r="E6" s="849"/>
      <x:c r="F6" s="849"/>
      <x:c r="G6" s="849"/>
      <x:c r="H6" s="849"/>
      <x:c r="I6" s="849"/>
      <x:c r="J6" s="849"/>
      <x:c r="K6" s="849"/>
      <x:c r="L6" s="849"/>
      <x:c r="M6" s="849"/>
      <x:c r="N6" s="849"/>
      <x:c r="O6" s="849"/>
      <x:c r="P6" s="849"/>
      <x:c r="Q6" s="849"/>
      <x:c r="R6" s="850"/>
    </x:row>
    <x:row r="7">
      <x:c r="A7" s="851"/>
      <x:c r="B7" s="852"/>
      <x:c r="C7" s="852"/>
      <x:c r="D7" s="852"/>
      <x:c r="E7" s="852"/>
      <x:c r="F7" s="852"/>
      <x:c r="G7" s="852"/>
      <x:c r="H7" s="852"/>
      <x:c r="I7" s="852"/>
      <x:c r="J7" s="852"/>
      <x:c r="K7" s="852"/>
      <x:c r="L7" s="852"/>
      <x:c r="M7" s="852"/>
      <x:c r="N7" s="852"/>
      <x:c r="O7" s="852"/>
      <x:c r="P7" s="852"/>
      <x:c r="Q7" s="852"/>
      <x:c r="R7" s="853"/>
    </x:row>
    <x:row r="8">
      <x:c r="A8" s="854"/>
      <x:c r="B8" s="855"/>
      <x:c r="C8" s="855"/>
      <x:c r="D8" s="855"/>
      <x:c r="E8" s="855"/>
      <x:c r="F8" s="855"/>
      <x:c r="G8" s="855"/>
      <x:c r="H8" s="855"/>
      <x:c r="I8" s="855"/>
      <x:c r="J8" s="855"/>
      <x:c r="K8" s="855"/>
      <x:c r="L8" s="855"/>
      <x:c r="M8" s="855"/>
      <x:c r="N8" s="855"/>
      <x:c r="O8" s="855"/>
      <x:c r="P8" s="855"/>
      <x:c r="Q8" s="855"/>
      <x:c r="R8" s="856"/>
    </x:row>
    <x:row r="9">
      <x:c r="A9" s="804"/>
      <x:c r="B9" s="805"/>
      <x:c r="C9" s="805"/>
      <x:c r="D9" s="805"/>
      <x:c r="E9" s="805"/>
      <x:c r="F9" s="805"/>
      <x:c r="G9" s="805"/>
      <x:c r="H9" s="805"/>
      <x:c r="I9" s="805"/>
      <x:c r="J9" s="805"/>
      <x:c r="K9" s="805"/>
      <x:c r="L9" s="805"/>
      <x:c r="M9" s="805"/>
      <x:c r="N9" s="805"/>
      <x:c r="O9" s="805"/>
      <x:c r="P9" s="805"/>
      <x:c r="Q9" s="805"/>
      <x:c r="R9" s="806"/>
    </x:row>
    <x:row r="10">
      <x:c r="A10" s="1869" t="str">
        <x:v>Submit a public lead
Help us find an undercovered protest or civic movement. Submitting a lead does not guarantee publication.</x:v>
      </x:c>
      <x:c r="B10" s="1870"/>
      <x:c r="C10" s="1870"/>
      <x:c r="D10" s="1870"/>
      <x:c r="E10" s="1870"/>
      <x:c r="F10" s="1870"/>
      <x:c r="G10" s="1870"/>
      <x:c r="H10" s="1870"/>
      <x:c r="I10" s="1870"/>
      <x:c r="J10" s="1870"/>
      <x:c r="K10" s="1870"/>
      <x:c r="L10" s="1870"/>
      <x:c r="M10" s="1870"/>
      <x:c r="N10" s="1870"/>
      <x:c r="O10" s="1870"/>
      <x:c r="P10" s="1870"/>
      <x:c r="Q10" s="1870"/>
      <x:c r="R10" s="1871"/>
    </x:row>
    <x:row r="11">
      <x:c r="A11" s="1872"/>
      <x:c r="B11" s="1873"/>
      <x:c r="C11" s="1873"/>
      <x:c r="D11" s="1873"/>
      <x:c r="E11" s="1873"/>
      <x:c r="F11" s="1873"/>
      <x:c r="G11" s="1873"/>
      <x:c r="H11" s="1873"/>
      <x:c r="I11" s="1873"/>
      <x:c r="J11" s="1873"/>
      <x:c r="K11" s="1873"/>
      <x:c r="L11" s="1873"/>
      <x:c r="M11" s="1873"/>
      <x:c r="N11" s="1873"/>
      <x:c r="O11" s="1873"/>
      <x:c r="P11" s="1873"/>
      <x:c r="Q11" s="1873"/>
      <x:c r="R11" s="1874"/>
    </x:row>
    <x:row r="12">
      <x:c r="A12" s="1872"/>
      <x:c r="B12" s="1873"/>
      <x:c r="C12" s="1873"/>
      <x:c r="D12" s="1873"/>
      <x:c r="E12" s="1873"/>
      <x:c r="F12" s="1873"/>
      <x:c r="G12" s="1873"/>
      <x:c r="H12" s="1873"/>
      <x:c r="I12" s="1873"/>
      <x:c r="J12" s="1873"/>
      <x:c r="K12" s="1873"/>
      <x:c r="L12" s="1873"/>
      <x:c r="M12" s="1873"/>
      <x:c r="N12" s="1873"/>
      <x:c r="O12" s="1873"/>
      <x:c r="P12" s="1873"/>
      <x:c r="Q12" s="1873"/>
      <x:c r="R12" s="1874"/>
    </x:row>
    <x:row r="13">
      <x:c r="A13" s="1872"/>
      <x:c r="B13" s="1873"/>
      <x:c r="C13" s="1873"/>
      <x:c r="D13" s="1873"/>
      <x:c r="E13" s="1873"/>
      <x:c r="F13" s="1873"/>
      <x:c r="G13" s="1873"/>
      <x:c r="H13" s="1873"/>
      <x:c r="I13" s="1873"/>
      <x:c r="J13" s="1873"/>
      <x:c r="K13" s="1873"/>
      <x:c r="L13" s="1873"/>
      <x:c r="M13" s="1873"/>
      <x:c r="N13" s="1873"/>
      <x:c r="O13" s="1873"/>
      <x:c r="P13" s="1873"/>
      <x:c r="Q13" s="1873"/>
      <x:c r="R13" s="1874"/>
    </x:row>
    <x:row r="14">
      <x:c r="A14" s="1872"/>
      <x:c r="B14" s="1873"/>
      <x:c r="C14" s="1873"/>
      <x:c r="D14" s="1873"/>
      <x:c r="E14" s="1873"/>
      <x:c r="F14" s="1873"/>
      <x:c r="G14" s="1873"/>
      <x:c r="H14" s="1873"/>
      <x:c r="I14" s="1873"/>
      <x:c r="J14" s="1873"/>
      <x:c r="K14" s="1873"/>
      <x:c r="L14" s="1873"/>
      <x:c r="M14" s="1873"/>
      <x:c r="N14" s="1873"/>
      <x:c r="O14" s="1873"/>
      <x:c r="P14" s="1873"/>
      <x:c r="Q14" s="1873"/>
      <x:c r="R14" s="1874"/>
    </x:row>
    <x:row r="15">
      <x:c r="A15" s="1872"/>
      <x:c r="B15" s="1873"/>
      <x:c r="C15" s="1873"/>
      <x:c r="D15" s="1873"/>
      <x:c r="E15" s="1873"/>
      <x:c r="F15" s="1873"/>
      <x:c r="G15" s="1873"/>
      <x:c r="H15" s="1873"/>
      <x:c r="I15" s="1873"/>
      <x:c r="J15" s="1873"/>
      <x:c r="K15" s="1873"/>
      <x:c r="L15" s="1873"/>
      <x:c r="M15" s="1873"/>
      <x:c r="N15" s="1873"/>
      <x:c r="O15" s="1873"/>
      <x:c r="P15" s="1873"/>
      <x:c r="Q15" s="1873"/>
      <x:c r="R15" s="1874"/>
    </x:row>
    <x:row r="16">
      <x:c r="A16" s="1875"/>
      <x:c r="B16" s="1876"/>
      <x:c r="C16" s="1876"/>
      <x:c r="D16" s="1876"/>
      <x:c r="E16" s="1876"/>
      <x:c r="F16" s="1876"/>
      <x:c r="G16" s="1876"/>
      <x:c r="H16" s="1876"/>
      <x:c r="I16" s="1876"/>
      <x:c r="J16" s="1876"/>
      <x:c r="K16" s="1876"/>
      <x:c r="L16" s="1876"/>
      <x:c r="M16" s="1876"/>
      <x:c r="N16" s="1876"/>
      <x:c r="O16" s="1876"/>
      <x:c r="P16" s="1876"/>
      <x:c r="Q16" s="1876"/>
      <x:c r="R16" s="1877"/>
    </x:row>
    <x:row r="17">
      <x:c r="A17" s="804"/>
      <x:c r="B17" s="805"/>
      <x:c r="C17" s="805"/>
      <x:c r="D17" s="805"/>
      <x:c r="E17" s="805"/>
      <x:c r="F17" s="805"/>
      <x:c r="G17" s="805"/>
      <x:c r="H17" s="805"/>
      <x:c r="I17" s="805"/>
      <x:c r="J17" s="805"/>
      <x:c r="K17" s="805"/>
      <x:c r="L17" s="805"/>
      <x:c r="M17" s="805"/>
      <x:c r="N17" s="805"/>
      <x:c r="O17" s="805"/>
      <x:c r="P17" s="805"/>
      <x:c r="Q17" s="805"/>
      <x:c r="R17" s="806"/>
    </x:row>
    <x:row r="18">
      <x:c r="A18" s="2424" t="str">
        <x:v>Safety first
Use public source links only. Do not submit private messages, confidential documents, participant lists, precise current locations, personal phone numbers, medical information or unredacted images of vulnerable people.</x:v>
      </x:c>
      <x:c r="B18" s="2425"/>
      <x:c r="C18" s="2425"/>
      <x:c r="D18" s="2425"/>
      <x:c r="E18" s="2425"/>
      <x:c r="F18" s="2425"/>
      <x:c r="G18" s="2425"/>
      <x:c r="H18" s="2425"/>
      <x:c r="I18" s="2425"/>
      <x:c r="J18" s="2425"/>
      <x:c r="K18" s="2425"/>
      <x:c r="L18" s="2425"/>
      <x:c r="M18" s="2425"/>
      <x:c r="N18" s="2425"/>
      <x:c r="O18" s="2425"/>
      <x:c r="P18" s="2425"/>
      <x:c r="Q18" s="2425"/>
      <x:c r="R18" s="2426"/>
    </x:row>
    <x:row r="19">
      <x:c r="A19" s="2427"/>
      <x:c r="B19" s="2428"/>
      <x:c r="C19" s="2428"/>
      <x:c r="D19" s="2428"/>
      <x:c r="E19" s="2428"/>
      <x:c r="F19" s="2428"/>
      <x:c r="G19" s="2428"/>
      <x:c r="H19" s="2428"/>
      <x:c r="I19" s="2428"/>
      <x:c r="J19" s="2428"/>
      <x:c r="K19" s="2428"/>
      <x:c r="L19" s="2428"/>
      <x:c r="M19" s="2428"/>
      <x:c r="N19" s="2428"/>
      <x:c r="O19" s="2428"/>
      <x:c r="P19" s="2428"/>
      <x:c r="Q19" s="2428"/>
      <x:c r="R19" s="2429"/>
    </x:row>
    <x:row r="20">
      <x:c r="A20" s="2427"/>
      <x:c r="B20" s="2428"/>
      <x:c r="C20" s="2428"/>
      <x:c r="D20" s="2428"/>
      <x:c r="E20" s="2428"/>
      <x:c r="F20" s="2428"/>
      <x:c r="G20" s="2428"/>
      <x:c r="H20" s="2428"/>
      <x:c r="I20" s="2428"/>
      <x:c r="J20" s="2428"/>
      <x:c r="K20" s="2428"/>
      <x:c r="L20" s="2428"/>
      <x:c r="M20" s="2428"/>
      <x:c r="N20" s="2428"/>
      <x:c r="O20" s="2428"/>
      <x:c r="P20" s="2428"/>
      <x:c r="Q20" s="2428"/>
      <x:c r="R20" s="2429"/>
    </x:row>
    <x:row r="21">
      <x:c r="A21" s="2427"/>
      <x:c r="B21" s="2428"/>
      <x:c r="C21" s="2428"/>
      <x:c r="D21" s="2428"/>
      <x:c r="E21" s="2428"/>
      <x:c r="F21" s="2428"/>
      <x:c r="G21" s="2428"/>
      <x:c r="H21" s="2428"/>
      <x:c r="I21" s="2428"/>
      <x:c r="J21" s="2428"/>
      <x:c r="K21" s="2428"/>
      <x:c r="L21" s="2428"/>
      <x:c r="M21" s="2428"/>
      <x:c r="N21" s="2428"/>
      <x:c r="O21" s="2428"/>
      <x:c r="P21" s="2428"/>
      <x:c r="Q21" s="2428"/>
      <x:c r="R21" s="2429"/>
    </x:row>
    <x:row r="22">
      <x:c r="A22" s="2427"/>
      <x:c r="B22" s="2428"/>
      <x:c r="C22" s="2428"/>
      <x:c r="D22" s="2428"/>
      <x:c r="E22" s="2428"/>
      <x:c r="F22" s="2428"/>
      <x:c r="G22" s="2428"/>
      <x:c r="H22" s="2428"/>
      <x:c r="I22" s="2428"/>
      <x:c r="J22" s="2428"/>
      <x:c r="K22" s="2428"/>
      <x:c r="L22" s="2428"/>
      <x:c r="M22" s="2428"/>
      <x:c r="N22" s="2428"/>
      <x:c r="O22" s="2428"/>
      <x:c r="P22" s="2428"/>
      <x:c r="Q22" s="2428"/>
      <x:c r="R22" s="2429"/>
    </x:row>
    <x:row r="23">
      <x:c r="A23" s="1327"/>
      <x:c r="B23" s="1328"/>
      <x:c r="C23" s="1328"/>
      <x:c r="D23" s="1328"/>
      <x:c r="E23" s="1328"/>
      <x:c r="F23" s="1328"/>
      <x:c r="G23" s="1328"/>
      <x:c r="H23" s="1328"/>
      <x:c r="I23" s="1328"/>
      <x:c r="J23" s="1328"/>
      <x:c r="K23" s="1328"/>
      <x:c r="L23" s="1328"/>
      <x:c r="M23" s="1328"/>
      <x:c r="N23" s="1328"/>
      <x:c r="O23" s="1328"/>
      <x:c r="P23" s="1328"/>
      <x:c r="Q23" s="1328"/>
      <x:c r="R23" s="1329"/>
    </x:row>
    <x:row r="24">
      <x:c r="A24" s="804"/>
      <x:c r="B24" s="805"/>
      <x:c r="C24" s="805"/>
      <x:c r="D24" s="805"/>
      <x:c r="E24" s="805"/>
      <x:c r="F24" s="805"/>
      <x:c r="G24" s="805"/>
      <x:c r="H24" s="805"/>
      <x:c r="I24" s="805"/>
      <x:c r="J24" s="805"/>
      <x:c r="K24" s="805"/>
      <x:c r="L24" s="805"/>
      <x:c r="M24" s="805"/>
      <x:c r="N24" s="805"/>
      <x:c r="O24" s="805"/>
      <x:c r="P24" s="805"/>
      <x:c r="Q24" s="805"/>
      <x:c r="R24" s="806"/>
    </x:row>
    <x:row r="25">
      <x:c r="A25" s="714" t="str">
        <x:v>Lead details</x:v>
      </x:c>
      <x:c r="B25" s="715"/>
      <x:c r="C25" s="715"/>
      <x:c r="D25" s="715"/>
      <x:c r="E25" s="715"/>
      <x:c r="F25" s="715"/>
      <x:c r="G25" s="715"/>
      <x:c r="H25" s="715"/>
      <x:c r="I25" s="715"/>
      <x:c r="J25" s="715"/>
      <x:c r="K25" s="715"/>
      <x:c r="L25" s="716"/>
      <x:c r="M25" s="805"/>
      <x:c r="N25" s="714" t="str">
        <x:v>What happens next</x:v>
      </x:c>
      <x:c r="O25" s="715"/>
      <x:c r="P25" s="715"/>
      <x:c r="Q25" s="715"/>
      <x:c r="R25" s="716"/>
    </x:row>
    <x:row r="26">
      <x:c r="A26" s="1269" t="str">
        <x:v>Public source URL *
[ Paste the original public article, post, notice or video link ]</x:v>
      </x:c>
      <x:c r="B26" s="1270"/>
      <x:c r="C26" s="1270"/>
      <x:c r="D26" s="1270"/>
      <x:c r="E26" s="1270"/>
      <x:c r="F26" s="1270"/>
      <x:c r="G26" s="1270"/>
      <x:c r="H26" s="1270"/>
      <x:c r="I26" s="1270"/>
      <x:c r="J26" s="1270"/>
      <x:c r="K26" s="1270"/>
      <x:c r="L26" s="1271"/>
      <x:c r="M26" s="805"/>
      <x:c r="N26" s="2458" t="str">
        <x:v>1. The link enters a moderation queue.
2. The discovery source is recorded separately from verification evidence.
3. We search for independent reports and official or primary records.
4. A human editor decides whether the lead becomes a candidate event.
5. We may not contact you unless you provide optional contact details.</x:v>
      </x:c>
      <x:c r="O26" s="2459"/>
      <x:c r="P26" s="2459"/>
      <x:c r="Q26" s="2459"/>
      <x:c r="R26" s="2460"/>
    </x:row>
    <x:row r="27">
      <x:c r="A27" s="1493"/>
      <x:c r="B27" s="1494"/>
      <x:c r="C27" s="1494"/>
      <x:c r="D27" s="1494"/>
      <x:c r="E27" s="1494"/>
      <x:c r="F27" s="1494"/>
      <x:c r="G27" s="1494"/>
      <x:c r="H27" s="1494"/>
      <x:c r="I27" s="1494"/>
      <x:c r="J27" s="1494"/>
      <x:c r="K27" s="1494"/>
      <x:c r="L27" s="1495"/>
      <x:c r="M27" s="805"/>
      <x:c r="N27" s="2461"/>
      <x:c r="O27" s="2462"/>
      <x:c r="P27" s="2462"/>
      <x:c r="Q27" s="2462"/>
      <x:c r="R27" s="2463"/>
    </x:row>
    <x:row r="28">
      <x:c r="A28" s="1493"/>
      <x:c r="B28" s="1494"/>
      <x:c r="C28" s="1494"/>
      <x:c r="D28" s="1494"/>
      <x:c r="E28" s="1494"/>
      <x:c r="F28" s="1494"/>
      <x:c r="G28" s="1494"/>
      <x:c r="H28" s="1494"/>
      <x:c r="I28" s="1494"/>
      <x:c r="J28" s="1494"/>
      <x:c r="K28" s="1494"/>
      <x:c r="L28" s="1495"/>
      <x:c r="M28" s="805"/>
      <x:c r="N28" s="2461"/>
      <x:c r="O28" s="2462"/>
      <x:c r="P28" s="2462"/>
      <x:c r="Q28" s="2462"/>
      <x:c r="R28" s="2463"/>
    </x:row>
    <x:row r="29">
      <x:c r="A29" s="1493"/>
      <x:c r="B29" s="1494"/>
      <x:c r="C29" s="1494"/>
      <x:c r="D29" s="1494"/>
      <x:c r="E29" s="1494"/>
      <x:c r="F29" s="1494"/>
      <x:c r="G29" s="1494"/>
      <x:c r="H29" s="1494"/>
      <x:c r="I29" s="1494"/>
      <x:c r="J29" s="1494"/>
      <x:c r="K29" s="1494"/>
      <x:c r="L29" s="1495"/>
      <x:c r="M29" s="805"/>
      <x:c r="N29" s="2461"/>
      <x:c r="O29" s="2462"/>
      <x:c r="P29" s="2462"/>
      <x:c r="Q29" s="2462"/>
      <x:c r="R29" s="2463"/>
    </x:row>
    <x:row r="30">
      <x:c r="A30" s="1272"/>
      <x:c r="B30" s="1273"/>
      <x:c r="C30" s="1273"/>
      <x:c r="D30" s="1273"/>
      <x:c r="E30" s="1273"/>
      <x:c r="F30" s="1273"/>
      <x:c r="G30" s="1273"/>
      <x:c r="H30" s="1273"/>
      <x:c r="I30" s="1273"/>
      <x:c r="J30" s="1273"/>
      <x:c r="K30" s="1273"/>
      <x:c r="L30" s="1274"/>
      <x:c r="M30" s="805"/>
      <x:c r="N30" s="2461"/>
      <x:c r="O30" s="2462"/>
      <x:c r="P30" s="2462"/>
      <x:c r="Q30" s="2462"/>
      <x:c r="R30" s="2463"/>
    </x:row>
    <x:row r="31">
      <x:c r="A31" s="1269" t="str">
        <x:v>State / Union Territory *
[ Select ]</x:v>
      </x:c>
      <x:c r="B31" s="1270"/>
      <x:c r="C31" s="1270"/>
      <x:c r="D31" s="1270"/>
      <x:c r="E31" s="1270"/>
      <x:c r="F31" s="1271"/>
      <x:c r="G31" s="1269" t="str">
        <x:v>District or general area
[ Enter broad public location ]</x:v>
      </x:c>
      <x:c r="H31" s="1270"/>
      <x:c r="I31" s="1270"/>
      <x:c r="J31" s="1270"/>
      <x:c r="K31" s="1270"/>
      <x:c r="L31" s="1271"/>
      <x:c r="M31" s="805"/>
      <x:c r="N31" s="2461"/>
      <x:c r="O31" s="2462"/>
      <x:c r="P31" s="2462"/>
      <x:c r="Q31" s="2462"/>
      <x:c r="R31" s="2463"/>
    </x:row>
    <x:row r="32">
      <x:c r="A32" s="1493"/>
      <x:c r="B32" s="1494"/>
      <x:c r="C32" s="1494"/>
      <x:c r="D32" s="1494"/>
      <x:c r="E32" s="1494"/>
      <x:c r="F32" s="1495"/>
      <x:c r="G32" s="1493"/>
      <x:c r="H32" s="1494"/>
      <x:c r="I32" s="1494"/>
      <x:c r="J32" s="1494"/>
      <x:c r="K32" s="1494"/>
      <x:c r="L32" s="1495"/>
      <x:c r="M32" s="805"/>
      <x:c r="N32" s="2461"/>
      <x:c r="O32" s="2462"/>
      <x:c r="P32" s="2462"/>
      <x:c r="Q32" s="2462"/>
      <x:c r="R32" s="2463"/>
    </x:row>
    <x:row r="33">
      <x:c r="A33" s="1493"/>
      <x:c r="B33" s="1494"/>
      <x:c r="C33" s="1494"/>
      <x:c r="D33" s="1494"/>
      <x:c r="E33" s="1494"/>
      <x:c r="F33" s="1495"/>
      <x:c r="G33" s="1493"/>
      <x:c r="H33" s="1494"/>
      <x:c r="I33" s="1494"/>
      <x:c r="J33" s="1494"/>
      <x:c r="K33" s="1494"/>
      <x:c r="L33" s="1495"/>
      <x:c r="M33" s="805"/>
      <x:c r="N33" s="2461"/>
      <x:c r="O33" s="2462"/>
      <x:c r="P33" s="2462"/>
      <x:c r="Q33" s="2462"/>
      <x:c r="R33" s="2463"/>
    </x:row>
    <x:row r="34">
      <x:c r="A34" s="1493"/>
      <x:c r="B34" s="1494"/>
      <x:c r="C34" s="1494"/>
      <x:c r="D34" s="1494"/>
      <x:c r="E34" s="1494"/>
      <x:c r="F34" s="1495"/>
      <x:c r="G34" s="1493"/>
      <x:c r="H34" s="1494"/>
      <x:c r="I34" s="1494"/>
      <x:c r="J34" s="1494"/>
      <x:c r="K34" s="1494"/>
      <x:c r="L34" s="1495"/>
      <x:c r="M34" s="805"/>
      <x:c r="N34" s="2461"/>
      <x:c r="O34" s="2462"/>
      <x:c r="P34" s="2462"/>
      <x:c r="Q34" s="2462"/>
      <x:c r="R34" s="2463"/>
    </x:row>
    <x:row r="35">
      <x:c r="A35" s="1272"/>
      <x:c r="B35" s="1273"/>
      <x:c r="C35" s="1273"/>
      <x:c r="D35" s="1273"/>
      <x:c r="E35" s="1273"/>
      <x:c r="F35" s="1274"/>
      <x:c r="G35" s="1272"/>
      <x:c r="H35" s="1273"/>
      <x:c r="I35" s="1273"/>
      <x:c r="J35" s="1273"/>
      <x:c r="K35" s="1273"/>
      <x:c r="L35" s="1274"/>
      <x:c r="M35" s="805"/>
      <x:c r="N35" s="2461"/>
      <x:c r="O35" s="2462"/>
      <x:c r="P35" s="2462"/>
      <x:c r="Q35" s="2462"/>
      <x:c r="R35" s="2463"/>
    </x:row>
    <x:row r="36">
      <x:c r="A36" s="1269" t="str">
        <x:v>Approximate event date or period
[ Date / range / unknown ]</x:v>
      </x:c>
      <x:c r="B36" s="1270"/>
      <x:c r="C36" s="1270"/>
      <x:c r="D36" s="1270"/>
      <x:c r="E36" s="1270"/>
      <x:c r="F36" s="1271"/>
      <x:c r="G36" s="1269" t="str">
        <x:v>Issue topic
[ Select ]</x:v>
      </x:c>
      <x:c r="H36" s="1270"/>
      <x:c r="I36" s="1270"/>
      <x:c r="J36" s="1270"/>
      <x:c r="K36" s="1270"/>
      <x:c r="L36" s="1271"/>
      <x:c r="M36" s="805"/>
      <x:c r="N36" s="2461"/>
      <x:c r="O36" s="2462"/>
      <x:c r="P36" s="2462"/>
      <x:c r="Q36" s="2462"/>
      <x:c r="R36" s="2463"/>
    </x:row>
    <x:row r="37">
      <x:c r="A37" s="1493"/>
      <x:c r="B37" s="1494"/>
      <x:c r="C37" s="1494"/>
      <x:c r="D37" s="1494"/>
      <x:c r="E37" s="1494"/>
      <x:c r="F37" s="1495"/>
      <x:c r="G37" s="1493"/>
      <x:c r="H37" s="1494"/>
      <x:c r="I37" s="1494"/>
      <x:c r="J37" s="1494"/>
      <x:c r="K37" s="1494"/>
      <x:c r="L37" s="1495"/>
      <x:c r="M37" s="805"/>
      <x:c r="N37" s="2461"/>
      <x:c r="O37" s="2462"/>
      <x:c r="P37" s="2462"/>
      <x:c r="Q37" s="2462"/>
      <x:c r="R37" s="2463"/>
    </x:row>
    <x:row r="38">
      <x:c r="A38" s="1493"/>
      <x:c r="B38" s="1494"/>
      <x:c r="C38" s="1494"/>
      <x:c r="D38" s="1494"/>
      <x:c r="E38" s="1494"/>
      <x:c r="F38" s="1495"/>
      <x:c r="G38" s="1493"/>
      <x:c r="H38" s="1494"/>
      <x:c r="I38" s="1494"/>
      <x:c r="J38" s="1494"/>
      <x:c r="K38" s="1494"/>
      <x:c r="L38" s="1495"/>
      <x:c r="M38" s="805"/>
      <x:c r="N38" s="2461"/>
      <x:c r="O38" s="2462"/>
      <x:c r="P38" s="2462"/>
      <x:c r="Q38" s="2462"/>
      <x:c r="R38" s="2463"/>
    </x:row>
    <x:row r="39">
      <x:c r="A39" s="1493"/>
      <x:c r="B39" s="1494"/>
      <x:c r="C39" s="1494"/>
      <x:c r="D39" s="1494"/>
      <x:c r="E39" s="1494"/>
      <x:c r="F39" s="1495"/>
      <x:c r="G39" s="1493"/>
      <x:c r="H39" s="1494"/>
      <x:c r="I39" s="1494"/>
      <x:c r="J39" s="1494"/>
      <x:c r="K39" s="1494"/>
      <x:c r="L39" s="1495"/>
      <x:c r="M39" s="805"/>
      <x:c r="N39" s="2461"/>
      <x:c r="O39" s="2462"/>
      <x:c r="P39" s="2462"/>
      <x:c r="Q39" s="2462"/>
      <x:c r="R39" s="2463"/>
    </x:row>
    <x:row r="40">
      <x:c r="A40" s="1272"/>
      <x:c r="B40" s="1273"/>
      <x:c r="C40" s="1273"/>
      <x:c r="D40" s="1273"/>
      <x:c r="E40" s="1273"/>
      <x:c r="F40" s="1274"/>
      <x:c r="G40" s="1272"/>
      <x:c r="H40" s="1273"/>
      <x:c r="I40" s="1273"/>
      <x:c r="J40" s="1273"/>
      <x:c r="K40" s="1273"/>
      <x:c r="L40" s="1274"/>
      <x:c r="M40" s="805"/>
      <x:c r="N40" s="2461"/>
      <x:c r="O40" s="2462"/>
      <x:c r="P40" s="2462"/>
      <x:c r="Q40" s="2462"/>
      <x:c r="R40" s="2463"/>
    </x:row>
    <x:row r="41">
      <x:c r="A41" s="1269" t="str">
        <x:v>What happened? *
[ Short factual description — avoid allegations you cannot support ]</x:v>
      </x:c>
      <x:c r="B41" s="1270"/>
      <x:c r="C41" s="1270"/>
      <x:c r="D41" s="1270"/>
      <x:c r="E41" s="1270"/>
      <x:c r="F41" s="1270"/>
      <x:c r="G41" s="1270"/>
      <x:c r="H41" s="1270"/>
      <x:c r="I41" s="1270"/>
      <x:c r="J41" s="1270"/>
      <x:c r="K41" s="1270"/>
      <x:c r="L41" s="1271"/>
      <x:c r="M41" s="805"/>
      <x:c r="N41" s="2461"/>
      <x:c r="O41" s="2462"/>
      <x:c r="P41" s="2462"/>
      <x:c r="Q41" s="2462"/>
      <x:c r="R41" s="2463"/>
    </x:row>
    <x:row r="42">
      <x:c r="A42" s="1493"/>
      <x:c r="B42" s="1494"/>
      <x:c r="C42" s="1494"/>
      <x:c r="D42" s="1494"/>
      <x:c r="E42" s="1494"/>
      <x:c r="F42" s="1494"/>
      <x:c r="G42" s="1494"/>
      <x:c r="H42" s="1494"/>
      <x:c r="I42" s="1494"/>
      <x:c r="J42" s="1494"/>
      <x:c r="K42" s="1494"/>
      <x:c r="L42" s="1495"/>
      <x:c r="M42" s="805"/>
      <x:c r="N42" s="2461"/>
      <x:c r="O42" s="2462"/>
      <x:c r="P42" s="2462"/>
      <x:c r="Q42" s="2462"/>
      <x:c r="R42" s="2463"/>
    </x:row>
    <x:row r="43">
      <x:c r="A43" s="1493"/>
      <x:c r="B43" s="1494"/>
      <x:c r="C43" s="1494"/>
      <x:c r="D43" s="1494"/>
      <x:c r="E43" s="1494"/>
      <x:c r="F43" s="1494"/>
      <x:c r="G43" s="1494"/>
      <x:c r="H43" s="1494"/>
      <x:c r="I43" s="1494"/>
      <x:c r="J43" s="1494"/>
      <x:c r="K43" s="1494"/>
      <x:c r="L43" s="1495"/>
      <x:c r="M43" s="805"/>
      <x:c r="N43" s="2461"/>
      <x:c r="O43" s="2462"/>
      <x:c r="P43" s="2462"/>
      <x:c r="Q43" s="2462"/>
      <x:c r="R43" s="2463"/>
    </x:row>
    <x:row r="44">
      <x:c r="A44" s="1493"/>
      <x:c r="B44" s="1494"/>
      <x:c r="C44" s="1494"/>
      <x:c r="D44" s="1494"/>
      <x:c r="E44" s="1494"/>
      <x:c r="F44" s="1494"/>
      <x:c r="G44" s="1494"/>
      <x:c r="H44" s="1494"/>
      <x:c r="I44" s="1494"/>
      <x:c r="J44" s="1494"/>
      <x:c r="K44" s="1494"/>
      <x:c r="L44" s="1495"/>
      <x:c r="M44" s="805"/>
      <x:c r="N44" s="2464"/>
      <x:c r="O44" s="2465"/>
      <x:c r="P44" s="2465"/>
      <x:c r="Q44" s="2465"/>
      <x:c r="R44" s="2466"/>
    </x:row>
    <x:row r="45">
      <x:c r="A45" s="1493"/>
      <x:c r="B45" s="1494"/>
      <x:c r="C45" s="1494"/>
      <x:c r="D45" s="1494"/>
      <x:c r="E45" s="1494"/>
      <x:c r="F45" s="1494"/>
      <x:c r="G45" s="1494"/>
      <x:c r="H45" s="1494"/>
      <x:c r="I45" s="1494"/>
      <x:c r="J45" s="1494"/>
      <x:c r="K45" s="1494"/>
      <x:c r="L45" s="1495"/>
      <x:c r="M45" s="805"/>
      <x:c r="N45" s="805"/>
      <x:c r="O45" s="805"/>
      <x:c r="P45" s="805"/>
      <x:c r="Q45" s="805"/>
      <x:c r="R45" s="806"/>
    </x:row>
    <x:row r="46">
      <x:c r="A46" s="1493"/>
      <x:c r="B46" s="1494"/>
      <x:c r="C46" s="1494"/>
      <x:c r="D46" s="1494"/>
      <x:c r="E46" s="1494"/>
      <x:c r="F46" s="1494"/>
      <x:c r="G46" s="1494"/>
      <x:c r="H46" s="1494"/>
      <x:c r="I46" s="1494"/>
      <x:c r="J46" s="1494"/>
      <x:c r="K46" s="1494"/>
      <x:c r="L46" s="1495"/>
      <x:c r="M46" s="805"/>
      <x:c r="N46" s="2335" t="str">
        <x:v>We will not:
• Auto-publish a submission
• Treat a viral video as proof
• Publish contributor identity
• Accept anonymous accusations as verified claims
• Track a protest in real time</x:v>
      </x:c>
      <x:c r="O46" s="2336"/>
      <x:c r="P46" s="2336"/>
      <x:c r="Q46" s="2336"/>
      <x:c r="R46" s="2337"/>
    </x:row>
    <x:row r="47">
      <x:c r="A47" s="1272"/>
      <x:c r="B47" s="1273"/>
      <x:c r="C47" s="1273"/>
      <x:c r="D47" s="1273"/>
      <x:c r="E47" s="1273"/>
      <x:c r="F47" s="1273"/>
      <x:c r="G47" s="1273"/>
      <x:c r="H47" s="1273"/>
      <x:c r="I47" s="1273"/>
      <x:c r="J47" s="1273"/>
      <x:c r="K47" s="1273"/>
      <x:c r="L47" s="1274"/>
      <x:c r="M47" s="805"/>
      <x:c r="N47" s="2338"/>
      <x:c r="O47" s="2339"/>
      <x:c r="P47" s="2339"/>
      <x:c r="Q47" s="2339"/>
      <x:c r="R47" s="2340"/>
    </x:row>
    <x:row r="48">
      <x:c r="A48" s="1269" t="str">
        <x:v>Why might this be important or undercovered?
[ Optional context ]</x:v>
      </x:c>
      <x:c r="B48" s="1270"/>
      <x:c r="C48" s="1270"/>
      <x:c r="D48" s="1270"/>
      <x:c r="E48" s="1270"/>
      <x:c r="F48" s="1270"/>
      <x:c r="G48" s="1270"/>
      <x:c r="H48" s="1270"/>
      <x:c r="I48" s="1270"/>
      <x:c r="J48" s="1270"/>
      <x:c r="K48" s="1270"/>
      <x:c r="L48" s="1271"/>
      <x:c r="M48" s="805"/>
      <x:c r="N48" s="2338"/>
      <x:c r="O48" s="2339"/>
      <x:c r="P48" s="2339"/>
      <x:c r="Q48" s="2339"/>
      <x:c r="R48" s="2340"/>
    </x:row>
    <x:row r="49">
      <x:c r="A49" s="1493"/>
      <x:c r="B49" s="1494"/>
      <x:c r="C49" s="1494"/>
      <x:c r="D49" s="1494"/>
      <x:c r="E49" s="1494"/>
      <x:c r="F49" s="1494"/>
      <x:c r="G49" s="1494"/>
      <x:c r="H49" s="1494"/>
      <x:c r="I49" s="1494"/>
      <x:c r="J49" s="1494"/>
      <x:c r="K49" s="1494"/>
      <x:c r="L49" s="1495"/>
      <x:c r="M49" s="805"/>
      <x:c r="N49" s="2338"/>
      <x:c r="O49" s="2339"/>
      <x:c r="P49" s="2339"/>
      <x:c r="Q49" s="2339"/>
      <x:c r="R49" s="2340"/>
    </x:row>
    <x:row r="50">
      <x:c r="A50" s="1493"/>
      <x:c r="B50" s="1494"/>
      <x:c r="C50" s="1494"/>
      <x:c r="D50" s="1494"/>
      <x:c r="E50" s="1494"/>
      <x:c r="F50" s="1494"/>
      <x:c r="G50" s="1494"/>
      <x:c r="H50" s="1494"/>
      <x:c r="I50" s="1494"/>
      <x:c r="J50" s="1494"/>
      <x:c r="K50" s="1494"/>
      <x:c r="L50" s="1495"/>
      <x:c r="M50" s="805"/>
      <x:c r="N50" s="2338"/>
      <x:c r="O50" s="2339"/>
      <x:c r="P50" s="2339"/>
      <x:c r="Q50" s="2339"/>
      <x:c r="R50" s="2340"/>
    </x:row>
    <x:row r="51">
      <x:c r="A51" s="1493"/>
      <x:c r="B51" s="1494"/>
      <x:c r="C51" s="1494"/>
      <x:c r="D51" s="1494"/>
      <x:c r="E51" s="1494"/>
      <x:c r="F51" s="1494"/>
      <x:c r="G51" s="1494"/>
      <x:c r="H51" s="1494"/>
      <x:c r="I51" s="1494"/>
      <x:c r="J51" s="1494"/>
      <x:c r="K51" s="1494"/>
      <x:c r="L51" s="1495"/>
      <x:c r="M51" s="805"/>
      <x:c r="N51" s="2338"/>
      <x:c r="O51" s="2339"/>
      <x:c r="P51" s="2339"/>
      <x:c r="Q51" s="2339"/>
      <x:c r="R51" s="2340"/>
    </x:row>
    <x:row r="52">
      <x:c r="A52" s="1493"/>
      <x:c r="B52" s="1494"/>
      <x:c r="C52" s="1494"/>
      <x:c r="D52" s="1494"/>
      <x:c r="E52" s="1494"/>
      <x:c r="F52" s="1494"/>
      <x:c r="G52" s="1494"/>
      <x:c r="H52" s="1494"/>
      <x:c r="I52" s="1494"/>
      <x:c r="J52" s="1494"/>
      <x:c r="K52" s="1494"/>
      <x:c r="L52" s="1495"/>
      <x:c r="M52" s="805"/>
      <x:c r="N52" s="2338"/>
      <x:c r="O52" s="2339"/>
      <x:c r="P52" s="2339"/>
      <x:c r="Q52" s="2339"/>
      <x:c r="R52" s="2340"/>
    </x:row>
    <x:row r="53">
      <x:c r="A53" s="1493"/>
      <x:c r="B53" s="1494"/>
      <x:c r="C53" s="1494"/>
      <x:c r="D53" s="1494"/>
      <x:c r="E53" s="1494"/>
      <x:c r="F53" s="1494"/>
      <x:c r="G53" s="1494"/>
      <x:c r="H53" s="1494"/>
      <x:c r="I53" s="1494"/>
      <x:c r="J53" s="1494"/>
      <x:c r="K53" s="1494"/>
      <x:c r="L53" s="1495"/>
      <x:c r="M53" s="805"/>
      <x:c r="N53" s="2338"/>
      <x:c r="O53" s="2339"/>
      <x:c r="P53" s="2339"/>
      <x:c r="Q53" s="2339"/>
      <x:c r="R53" s="2340"/>
    </x:row>
    <x:row r="54">
      <x:c r="A54" s="1272"/>
      <x:c r="B54" s="1273"/>
      <x:c r="C54" s="1273"/>
      <x:c r="D54" s="1273"/>
      <x:c r="E54" s="1273"/>
      <x:c r="F54" s="1273"/>
      <x:c r="G54" s="1273"/>
      <x:c r="H54" s="1273"/>
      <x:c r="I54" s="1273"/>
      <x:c r="J54" s="1273"/>
      <x:c r="K54" s="1273"/>
      <x:c r="L54" s="1274"/>
      <x:c r="M54" s="805"/>
      <x:c r="N54" s="2338"/>
      <x:c r="O54" s="2339"/>
      <x:c r="P54" s="2339"/>
      <x:c r="Q54" s="2339"/>
      <x:c r="R54" s="2340"/>
    </x:row>
    <x:row r="55">
      <x:c r="A55" s="1269" t="str">
        <x:v>Organisation or authority involved
[ Optional ]</x:v>
      </x:c>
      <x:c r="B55" s="1270"/>
      <x:c r="C55" s="1270"/>
      <x:c r="D55" s="1270"/>
      <x:c r="E55" s="1270"/>
      <x:c r="F55" s="1271"/>
      <x:c r="G55" s="1269" t="str">
        <x:v>Additional public source URL
[ Optional ]</x:v>
      </x:c>
      <x:c r="H55" s="1270"/>
      <x:c r="I55" s="1270"/>
      <x:c r="J55" s="1270"/>
      <x:c r="K55" s="1270"/>
      <x:c r="L55" s="1271"/>
      <x:c r="M55" s="805"/>
      <x:c r="N55" s="2338"/>
      <x:c r="O55" s="2339"/>
      <x:c r="P55" s="2339"/>
      <x:c r="Q55" s="2339"/>
      <x:c r="R55" s="2340"/>
    </x:row>
    <x:row r="56">
      <x:c r="A56" s="1493"/>
      <x:c r="B56" s="1494"/>
      <x:c r="C56" s="1494"/>
      <x:c r="D56" s="1494"/>
      <x:c r="E56" s="1494"/>
      <x:c r="F56" s="1495"/>
      <x:c r="G56" s="1493"/>
      <x:c r="H56" s="1494"/>
      <x:c r="I56" s="1494"/>
      <x:c r="J56" s="1494"/>
      <x:c r="K56" s="1494"/>
      <x:c r="L56" s="1495"/>
      <x:c r="M56" s="805"/>
      <x:c r="N56" s="2338"/>
      <x:c r="O56" s="2339"/>
      <x:c r="P56" s="2339"/>
      <x:c r="Q56" s="2339"/>
      <x:c r="R56" s="2340"/>
    </x:row>
    <x:row r="57">
      <x:c r="A57" s="1493"/>
      <x:c r="B57" s="1494"/>
      <x:c r="C57" s="1494"/>
      <x:c r="D57" s="1494"/>
      <x:c r="E57" s="1494"/>
      <x:c r="F57" s="1495"/>
      <x:c r="G57" s="1493"/>
      <x:c r="H57" s="1494"/>
      <x:c r="I57" s="1494"/>
      <x:c r="J57" s="1494"/>
      <x:c r="K57" s="1494"/>
      <x:c r="L57" s="1495"/>
      <x:c r="M57" s="805"/>
      <x:c r="N57" s="2338"/>
      <x:c r="O57" s="2339"/>
      <x:c r="P57" s="2339"/>
      <x:c r="Q57" s="2339"/>
      <x:c r="R57" s="2340"/>
    </x:row>
    <x:row r="58">
      <x:c r="A58" s="1493"/>
      <x:c r="B58" s="1494"/>
      <x:c r="C58" s="1494"/>
      <x:c r="D58" s="1494"/>
      <x:c r="E58" s="1494"/>
      <x:c r="F58" s="1495"/>
      <x:c r="G58" s="1493"/>
      <x:c r="H58" s="1494"/>
      <x:c r="I58" s="1494"/>
      <x:c r="J58" s="1494"/>
      <x:c r="K58" s="1494"/>
      <x:c r="L58" s="1495"/>
      <x:c r="M58" s="805"/>
      <x:c r="N58" s="2338"/>
      <x:c r="O58" s="2339"/>
      <x:c r="P58" s="2339"/>
      <x:c r="Q58" s="2339"/>
      <x:c r="R58" s="2340"/>
    </x:row>
    <x:row r="59">
      <x:c r="A59" s="1272"/>
      <x:c r="B59" s="1273"/>
      <x:c r="C59" s="1273"/>
      <x:c r="D59" s="1273"/>
      <x:c r="E59" s="1273"/>
      <x:c r="F59" s="1274"/>
      <x:c r="G59" s="1272"/>
      <x:c r="H59" s="1273"/>
      <x:c r="I59" s="1273"/>
      <x:c r="J59" s="1273"/>
      <x:c r="K59" s="1273"/>
      <x:c r="L59" s="1274"/>
      <x:c r="M59" s="805"/>
      <x:c r="N59" s="2341"/>
      <x:c r="O59" s="2342"/>
      <x:c r="P59" s="2342"/>
      <x:c r="Q59" s="2342"/>
      <x:c r="R59" s="2343"/>
    </x:row>
    <x:row r="60">
      <x:c r="A60" s="804"/>
      <x:c r="B60" s="805"/>
      <x:c r="C60" s="805"/>
      <x:c r="D60" s="805"/>
      <x:c r="E60" s="805"/>
      <x:c r="F60" s="805"/>
      <x:c r="G60" s="805"/>
      <x:c r="H60" s="805"/>
      <x:c r="I60" s="805"/>
      <x:c r="J60" s="805"/>
      <x:c r="K60" s="805"/>
      <x:c r="L60" s="805"/>
      <x:c r="M60" s="805"/>
      <x:c r="N60" s="805"/>
      <x:c r="O60" s="805"/>
      <x:c r="P60" s="805"/>
      <x:c r="Q60" s="805"/>
      <x:c r="R60" s="806"/>
    </x:row>
    <x:row r="61">
      <x:c r="A61" s="714" t="str">
        <x:v>Optional contact</x:v>
      </x:c>
      <x:c r="B61" s="715"/>
      <x:c r="C61" s="715"/>
      <x:c r="D61" s="715"/>
      <x:c r="E61" s="715"/>
      <x:c r="F61" s="715"/>
      <x:c r="G61" s="715"/>
      <x:c r="H61" s="715"/>
      <x:c r="I61" s="715"/>
      <x:c r="J61" s="715"/>
      <x:c r="K61" s="715"/>
      <x:c r="L61" s="716"/>
      <x:c r="M61" s="805"/>
      <x:c r="N61" s="805"/>
      <x:c r="O61" s="805"/>
      <x:c r="P61" s="805"/>
      <x:c r="Q61" s="805"/>
      <x:c r="R61" s="806"/>
    </x:row>
    <x:row r="62">
      <x:c r="A62" s="1269" t="str">
        <x:v>Name or organisation
[ Optional ]</x:v>
      </x:c>
      <x:c r="B62" s="1270"/>
      <x:c r="C62" s="1270"/>
      <x:c r="D62" s="1270"/>
      <x:c r="E62" s="1270"/>
      <x:c r="F62" s="1271"/>
      <x:c r="G62" s="1269" t="str">
        <x:v>Email
[ Optional — used only for clarification ]</x:v>
      </x:c>
      <x:c r="H62" s="1270"/>
      <x:c r="I62" s="1270"/>
      <x:c r="J62" s="1270"/>
      <x:c r="K62" s="1270"/>
      <x:c r="L62" s="1271"/>
      <x:c r="M62" s="805"/>
      <x:c r="N62" s="805"/>
      <x:c r="O62" s="805"/>
      <x:c r="P62" s="805"/>
      <x:c r="Q62" s="805"/>
      <x:c r="R62" s="806"/>
    </x:row>
    <x:row r="63">
      <x:c r="A63" s="1493"/>
      <x:c r="B63" s="1494"/>
      <x:c r="C63" s="1494"/>
      <x:c r="D63" s="1494"/>
      <x:c r="E63" s="1494"/>
      <x:c r="F63" s="1495"/>
      <x:c r="G63" s="1493"/>
      <x:c r="H63" s="1494"/>
      <x:c r="I63" s="1494"/>
      <x:c r="J63" s="1494"/>
      <x:c r="K63" s="1494"/>
      <x:c r="L63" s="1495"/>
      <x:c r="M63" s="805"/>
      <x:c r="N63" s="805"/>
      <x:c r="O63" s="805"/>
      <x:c r="P63" s="805"/>
      <x:c r="Q63" s="805"/>
      <x:c r="R63" s="806"/>
    </x:row>
    <x:row r="64">
      <x:c r="A64" s="1493"/>
      <x:c r="B64" s="1494"/>
      <x:c r="C64" s="1494"/>
      <x:c r="D64" s="1494"/>
      <x:c r="E64" s="1494"/>
      <x:c r="F64" s="1495"/>
      <x:c r="G64" s="1493"/>
      <x:c r="H64" s="1494"/>
      <x:c r="I64" s="1494"/>
      <x:c r="J64" s="1494"/>
      <x:c r="K64" s="1494"/>
      <x:c r="L64" s="1495"/>
      <x:c r="M64" s="805"/>
      <x:c r="N64" s="805"/>
      <x:c r="O64" s="805"/>
      <x:c r="P64" s="805"/>
      <x:c r="Q64" s="805"/>
      <x:c r="R64" s="806"/>
    </x:row>
    <x:row r="65">
      <x:c r="A65" s="1493"/>
      <x:c r="B65" s="1494"/>
      <x:c r="C65" s="1494"/>
      <x:c r="D65" s="1494"/>
      <x:c r="E65" s="1494"/>
      <x:c r="F65" s="1495"/>
      <x:c r="G65" s="1493"/>
      <x:c r="H65" s="1494"/>
      <x:c r="I65" s="1494"/>
      <x:c r="J65" s="1494"/>
      <x:c r="K65" s="1494"/>
      <x:c r="L65" s="1495"/>
      <x:c r="M65" s="805"/>
      <x:c r="N65" s="805"/>
      <x:c r="O65" s="805"/>
      <x:c r="P65" s="805"/>
      <x:c r="Q65" s="805"/>
      <x:c r="R65" s="806"/>
    </x:row>
    <x:row r="66">
      <x:c r="A66" s="1272"/>
      <x:c r="B66" s="1273"/>
      <x:c r="C66" s="1273"/>
      <x:c r="D66" s="1273"/>
      <x:c r="E66" s="1273"/>
      <x:c r="F66" s="1274"/>
      <x:c r="G66" s="1272"/>
      <x:c r="H66" s="1273"/>
      <x:c r="I66" s="1273"/>
      <x:c r="J66" s="1273"/>
      <x:c r="K66" s="1273"/>
      <x:c r="L66" s="1274"/>
      <x:c r="M66" s="805"/>
      <x:c r="N66" s="805"/>
      <x:c r="O66" s="805"/>
      <x:c r="P66" s="805"/>
      <x:c r="Q66" s="805"/>
      <x:c r="R66" s="806"/>
    </x:row>
    <x:row r="67">
      <x:c r="A67" s="804"/>
      <x:c r="B67" s="805"/>
      <x:c r="C67" s="805"/>
      <x:c r="D67" s="805"/>
      <x:c r="E67" s="805"/>
      <x:c r="F67" s="805"/>
      <x:c r="G67" s="805"/>
      <x:c r="H67" s="805"/>
      <x:c r="I67" s="805"/>
      <x:c r="J67" s="805"/>
      <x:c r="K67" s="805"/>
      <x:c r="L67" s="805"/>
      <x:c r="M67" s="805"/>
      <x:c r="N67" s="805"/>
      <x:c r="O67" s="805"/>
      <x:c r="P67" s="805"/>
      <x:c r="Q67" s="805"/>
      <x:c r="R67" s="806"/>
    </x:row>
    <x:row r="68">
      <x:c r="A68" s="1219" t="str">
        <x:v>☐ I confirm that the links are public and I have not included sensitive personal or tactical information.
☐ I understand that India Observed will independently verify the lead and may not publish it.</x:v>
      </x:c>
      <x:c r="B68" s="1220"/>
      <x:c r="C68" s="1220"/>
      <x:c r="D68" s="1220"/>
      <x:c r="E68" s="1220"/>
      <x:c r="F68" s="1220"/>
      <x:c r="G68" s="1220"/>
      <x:c r="H68" s="1220"/>
      <x:c r="I68" s="1220"/>
      <x:c r="J68" s="1220"/>
      <x:c r="K68" s="1220"/>
      <x:c r="L68" s="1221"/>
      <x:c r="M68" s="805"/>
      <x:c r="N68" s="805"/>
      <x:c r="O68" s="805"/>
      <x:c r="P68" s="805"/>
      <x:c r="Q68" s="805"/>
      <x:c r="R68" s="806"/>
    </x:row>
    <x:row r="69">
      <x:c r="A69" s="1481"/>
      <x:c r="B69" s="1482"/>
      <x:c r="C69" s="1482"/>
      <x:c r="D69" s="1482"/>
      <x:c r="E69" s="1482"/>
      <x:c r="F69" s="1482"/>
      <x:c r="G69" s="1482"/>
      <x:c r="H69" s="1482"/>
      <x:c r="I69" s="1482"/>
      <x:c r="J69" s="1482"/>
      <x:c r="K69" s="1482"/>
      <x:c r="L69" s="1483"/>
      <x:c r="M69" s="805"/>
      <x:c r="N69" s="805"/>
      <x:c r="O69" s="805"/>
      <x:c r="P69" s="805"/>
      <x:c r="Q69" s="805"/>
      <x:c r="R69" s="806"/>
    </x:row>
    <x:row r="70">
      <x:c r="A70" s="1481"/>
      <x:c r="B70" s="1482"/>
      <x:c r="C70" s="1482"/>
      <x:c r="D70" s="1482"/>
      <x:c r="E70" s="1482"/>
      <x:c r="F70" s="1482"/>
      <x:c r="G70" s="1482"/>
      <x:c r="H70" s="1482"/>
      <x:c r="I70" s="1482"/>
      <x:c r="J70" s="1482"/>
      <x:c r="K70" s="1482"/>
      <x:c r="L70" s="1483"/>
      <x:c r="M70" s="805"/>
      <x:c r="N70" s="805"/>
      <x:c r="O70" s="805"/>
      <x:c r="P70" s="805"/>
      <x:c r="Q70" s="805"/>
      <x:c r="R70" s="806"/>
    </x:row>
    <x:row r="71">
      <x:c r="A71" s="1481"/>
      <x:c r="B71" s="1482"/>
      <x:c r="C71" s="1482"/>
      <x:c r="D71" s="1482"/>
      <x:c r="E71" s="1482"/>
      <x:c r="F71" s="1482"/>
      <x:c r="G71" s="1482"/>
      <x:c r="H71" s="1482"/>
      <x:c r="I71" s="1482"/>
      <x:c r="J71" s="1482"/>
      <x:c r="K71" s="1482"/>
      <x:c r="L71" s="1483"/>
      <x:c r="M71" s="805"/>
      <x:c r="N71" s="805"/>
      <x:c r="O71" s="805"/>
      <x:c r="P71" s="805"/>
      <x:c r="Q71" s="805"/>
      <x:c r="R71" s="806"/>
    </x:row>
    <x:row r="72">
      <x:c r="A72" s="1481"/>
      <x:c r="B72" s="1482"/>
      <x:c r="C72" s="1482"/>
      <x:c r="D72" s="1482"/>
      <x:c r="E72" s="1482"/>
      <x:c r="F72" s="1482"/>
      <x:c r="G72" s="1482"/>
      <x:c r="H72" s="1482"/>
      <x:c r="I72" s="1482"/>
      <x:c r="J72" s="1482"/>
      <x:c r="K72" s="1482"/>
      <x:c r="L72" s="1483"/>
      <x:c r="M72" s="805"/>
      <x:c r="N72" s="805"/>
      <x:c r="O72" s="805"/>
      <x:c r="P72" s="805"/>
      <x:c r="Q72" s="805"/>
      <x:c r="R72" s="806"/>
    </x:row>
    <x:row r="73">
      <x:c r="A73" s="1481"/>
      <x:c r="B73" s="1482"/>
      <x:c r="C73" s="1482"/>
      <x:c r="D73" s="1482"/>
      <x:c r="E73" s="1482"/>
      <x:c r="F73" s="1482"/>
      <x:c r="G73" s="1482"/>
      <x:c r="H73" s="1482"/>
      <x:c r="I73" s="1482"/>
      <x:c r="J73" s="1482"/>
      <x:c r="K73" s="1482"/>
      <x:c r="L73" s="1483"/>
      <x:c r="M73" s="805"/>
      <x:c r="N73" s="805"/>
      <x:c r="O73" s="805"/>
      <x:c r="P73" s="805"/>
      <x:c r="Q73" s="805"/>
      <x:c r="R73" s="806"/>
    </x:row>
    <x:row r="74">
      <x:c r="A74" s="1222"/>
      <x:c r="B74" s="1223"/>
      <x:c r="C74" s="1223"/>
      <x:c r="D74" s="1223"/>
      <x:c r="E74" s="1223"/>
      <x:c r="F74" s="1223"/>
      <x:c r="G74" s="1223"/>
      <x:c r="H74" s="1223"/>
      <x:c r="I74" s="1223"/>
      <x:c r="J74" s="1223"/>
      <x:c r="K74" s="1223"/>
      <x:c r="L74" s="1224"/>
      <x:c r="M74" s="805"/>
      <x:c r="N74" s="805"/>
      <x:c r="O74" s="805"/>
      <x:c r="P74" s="805"/>
      <x:c r="Q74" s="805"/>
      <x:c r="R74" s="806"/>
    </x:row>
    <x:row r="75">
      <x:c r="A75" s="804"/>
      <x:c r="B75" s="805"/>
      <x:c r="C75" s="805"/>
      <x:c r="D75" s="805"/>
      <x:c r="E75" s="805"/>
      <x:c r="F75" s="805"/>
      <x:c r="G75" s="805"/>
      <x:c r="H75" s="805"/>
      <x:c r="I75" s="805"/>
      <x:c r="J75" s="805"/>
      <x:c r="K75" s="805"/>
      <x:c r="L75" s="805"/>
      <x:c r="M75" s="805"/>
      <x:c r="N75" s="805"/>
      <x:c r="O75" s="805"/>
      <x:c r="P75" s="805"/>
      <x:c r="Q75" s="805"/>
      <x:c r="R75" s="806"/>
    </x:row>
    <x:row r="76">
      <x:c r="A76" s="804"/>
      <x:c r="B76" s="805"/>
      <x:c r="C76" s="805"/>
      <x:c r="D76" s="2494" t="str">
        <x:v>[ Submit lead ]</x:v>
      </x:c>
      <x:c r="E76" s="2495"/>
      <x:c r="F76" s="2495"/>
      <x:c r="G76" s="2495"/>
      <x:c r="H76" s="2495"/>
      <x:c r="I76" s="2496"/>
      <x:c r="J76" s="805"/>
      <x:c r="K76" s="805"/>
      <x:c r="L76" s="805"/>
      <x:c r="M76" s="805"/>
      <x:c r="N76" s="805"/>
      <x:c r="O76" s="805"/>
      <x:c r="P76" s="805"/>
      <x:c r="Q76" s="805"/>
      <x:c r="R76" s="806"/>
    </x:row>
    <x:row r="77">
      <x:c r="A77" s="804"/>
      <x:c r="B77" s="805"/>
      <x:c r="C77" s="805"/>
      <x:c r="D77" s="2497"/>
      <x:c r="E77" s="2498"/>
      <x:c r="F77" s="2498"/>
      <x:c r="G77" s="2498"/>
      <x:c r="H77" s="2498"/>
      <x:c r="I77" s="2499"/>
      <x:c r="J77" s="805"/>
      <x:c r="K77" s="805"/>
      <x:c r="L77" s="805"/>
      <x:c r="M77" s="805"/>
      <x:c r="N77" s="805"/>
      <x:c r="O77" s="805"/>
      <x:c r="P77" s="805"/>
      <x:c r="Q77" s="805"/>
      <x:c r="R77" s="806"/>
    </x:row>
    <x:row r="78">
      <x:c r="A78" s="804"/>
      <x:c r="B78" s="805"/>
      <x:c r="C78" s="805"/>
      <x:c r="D78" s="2497"/>
      <x:c r="E78" s="2498"/>
      <x:c r="F78" s="2498"/>
      <x:c r="G78" s="2498"/>
      <x:c r="H78" s="2498"/>
      <x:c r="I78" s="2499"/>
      <x:c r="J78" s="805"/>
      <x:c r="K78" s="805"/>
      <x:c r="L78" s="805"/>
      <x:c r="M78" s="805"/>
      <x:c r="N78" s="805"/>
      <x:c r="O78" s="805"/>
      <x:c r="P78" s="805"/>
      <x:c r="Q78" s="805"/>
      <x:c r="R78" s="806"/>
    </x:row>
    <x:row r="79">
      <x:c r="A79" s="804"/>
      <x:c r="B79" s="805"/>
      <x:c r="C79" s="805"/>
      <x:c r="D79" s="2497"/>
      <x:c r="E79" s="2498"/>
      <x:c r="F79" s="2498"/>
      <x:c r="G79" s="2498"/>
      <x:c r="H79" s="2498"/>
      <x:c r="I79" s="2499"/>
      <x:c r="J79" s="805"/>
      <x:c r="K79" s="805"/>
      <x:c r="L79" s="805"/>
      <x:c r="M79" s="805"/>
      <x:c r="N79" s="805"/>
      <x:c r="O79" s="805"/>
      <x:c r="P79" s="805"/>
      <x:c r="Q79" s="805"/>
      <x:c r="R79" s="806"/>
    </x:row>
    <x:row r="80">
      <x:c r="A80" s="804"/>
      <x:c r="B80" s="805"/>
      <x:c r="C80" s="805"/>
      <x:c r="D80" s="2500"/>
      <x:c r="E80" s="2501"/>
      <x:c r="F80" s="2501"/>
      <x:c r="G80" s="2501"/>
      <x:c r="H80" s="2501"/>
      <x:c r="I80" s="2502"/>
      <x:c r="J80" s="805"/>
      <x:c r="K80" s="805"/>
      <x:c r="L80" s="805"/>
      <x:c r="M80" s="805"/>
      <x:c r="N80" s="805"/>
      <x:c r="O80" s="805"/>
      <x:c r="P80" s="805"/>
      <x:c r="Q80" s="805"/>
      <x:c r="R80" s="806"/>
    </x:row>
    <x:row r="81">
      <x:c r="A81" s="804"/>
      <x:c r="B81" s="805"/>
      <x:c r="C81" s="805"/>
      <x:c r="D81" s="805"/>
      <x:c r="E81" s="805"/>
      <x:c r="F81" s="805"/>
      <x:c r="G81" s="805"/>
      <x:c r="H81" s="805"/>
      <x:c r="I81" s="805"/>
      <x:c r="J81" s="805"/>
      <x:c r="K81" s="805"/>
      <x:c r="L81" s="805"/>
      <x:c r="M81" s="805"/>
      <x:c r="N81" s="805"/>
      <x:c r="O81" s="805"/>
      <x:c r="P81" s="805"/>
      <x:c r="Q81" s="805"/>
      <x:c r="R81" s="806"/>
    </x:row>
    <x:row r="82">
      <x:c r="A82" s="2532" t="str">
        <x:v>After submission: show a reference number such as LEAD-2026-000123 and a concise privacy notice. Do not reveal internal triage scores or investigation status publicly.</x:v>
      </x:c>
      <x:c r="B82" s="2533"/>
      <x:c r="C82" s="2533"/>
      <x:c r="D82" s="2533"/>
      <x:c r="E82" s="2533"/>
      <x:c r="F82" s="2533"/>
      <x:c r="G82" s="2533"/>
      <x:c r="H82" s="2533"/>
      <x:c r="I82" s="2533"/>
      <x:c r="J82" s="2533"/>
      <x:c r="K82" s="2533"/>
      <x:c r="L82" s="2533"/>
      <x:c r="M82" s="2533"/>
      <x:c r="N82" s="2533"/>
      <x:c r="O82" s="2533"/>
      <x:c r="P82" s="2533"/>
      <x:c r="Q82" s="2533"/>
      <x:c r="R82" s="2534"/>
    </x:row>
    <x:row r="83">
      <x:c r="A83" s="2535"/>
      <x:c r="B83" s="2536"/>
      <x:c r="C83" s="2536"/>
      <x:c r="D83" s="2536"/>
      <x:c r="E83" s="2536"/>
      <x:c r="F83" s="2536"/>
      <x:c r="G83" s="2536"/>
      <x:c r="H83" s="2536"/>
      <x:c r="I83" s="2536"/>
      <x:c r="J83" s="2536"/>
      <x:c r="K83" s="2536"/>
      <x:c r="L83" s="2536"/>
      <x:c r="M83" s="2536"/>
      <x:c r="N83" s="2536"/>
      <x:c r="O83" s="2536"/>
      <x:c r="P83" s="2536"/>
      <x:c r="Q83" s="2536"/>
      <x:c r="R83" s="2537"/>
    </x:row>
    <x:row r="84">
      <x:c r="A84" s="2535"/>
      <x:c r="B84" s="2536"/>
      <x:c r="C84" s="2536"/>
      <x:c r="D84" s="2536"/>
      <x:c r="E84" s="2536"/>
      <x:c r="F84" s="2536"/>
      <x:c r="G84" s="2536"/>
      <x:c r="H84" s="2536"/>
      <x:c r="I84" s="2536"/>
      <x:c r="J84" s="2536"/>
      <x:c r="K84" s="2536"/>
      <x:c r="L84" s="2536"/>
      <x:c r="M84" s="2536"/>
      <x:c r="N84" s="2536"/>
      <x:c r="O84" s="2536"/>
      <x:c r="P84" s="2536"/>
      <x:c r="Q84" s="2536"/>
      <x:c r="R84" s="2537"/>
    </x:row>
    <x:row r="85">
      <x:c r="A85" s="2535"/>
      <x:c r="B85" s="2536"/>
      <x:c r="C85" s="2536"/>
      <x:c r="D85" s="2536"/>
      <x:c r="E85" s="2536"/>
      <x:c r="F85" s="2536"/>
      <x:c r="G85" s="2536"/>
      <x:c r="H85" s="2536"/>
      <x:c r="I85" s="2536"/>
      <x:c r="J85" s="2536"/>
      <x:c r="K85" s="2536"/>
      <x:c r="L85" s="2536"/>
      <x:c r="M85" s="2536"/>
      <x:c r="N85" s="2536"/>
      <x:c r="O85" s="2536"/>
      <x:c r="P85" s="2536"/>
      <x:c r="Q85" s="2536"/>
      <x:c r="R85" s="2537"/>
    </x:row>
    <x:row r="86">
      <x:c r="A86" s="2535"/>
      <x:c r="B86" s="2536"/>
      <x:c r="C86" s="2536"/>
      <x:c r="D86" s="2536"/>
      <x:c r="E86" s="2536"/>
      <x:c r="F86" s="2536"/>
      <x:c r="G86" s="2536"/>
      <x:c r="H86" s="2536"/>
      <x:c r="I86" s="2536"/>
      <x:c r="J86" s="2536"/>
      <x:c r="K86" s="2536"/>
      <x:c r="L86" s="2536"/>
      <x:c r="M86" s="2536"/>
      <x:c r="N86" s="2536"/>
      <x:c r="O86" s="2536"/>
      <x:c r="P86" s="2536"/>
      <x:c r="Q86" s="2536"/>
      <x:c r="R86" s="2537"/>
    </x:row>
    <x:row r="87">
      <x:c r="A87" s="2538"/>
      <x:c r="B87" s="2539"/>
      <x:c r="C87" s="2539"/>
      <x:c r="D87" s="2539"/>
      <x:c r="E87" s="2539"/>
      <x:c r="F87" s="2539"/>
      <x:c r="G87" s="2539"/>
      <x:c r="H87" s="2539"/>
      <x:c r="I87" s="2539"/>
      <x:c r="J87" s="2539"/>
      <x:c r="K87" s="2539"/>
      <x:c r="L87" s="2539"/>
      <x:c r="M87" s="2539"/>
      <x:c r="N87" s="2539"/>
      <x:c r="O87" s="2539"/>
      <x:c r="P87" s="2539"/>
      <x:c r="Q87" s="2539"/>
      <x:c r="R87" s="2540"/>
    </x:row>
    <x:row r="88">
      <x:c r="A88" s="804"/>
      <x:c r="B88" s="805"/>
      <x:c r="C88" s="805"/>
      <x:c r="D88" s="805"/>
      <x:c r="E88" s="805"/>
      <x:c r="F88" s="805"/>
      <x:c r="G88" s="805"/>
      <x:c r="H88" s="805"/>
      <x:c r="I88" s="805"/>
      <x:c r="J88" s="805"/>
      <x:c r="K88" s="805"/>
      <x:c r="L88" s="805"/>
      <x:c r="M88" s="805"/>
      <x:c r="N88" s="805"/>
      <x:c r="O88" s="805"/>
      <x:c r="P88" s="805"/>
      <x:c r="Q88" s="805"/>
      <x:c r="R88" s="806"/>
    </x:row>
    <x:row r="89">
      <x:c r="A89" s="1531" t="str">
        <x:v>Footer: Methodology • Privacy • Corrections • Contact • Accessibility</x:v>
      </x:c>
      <x:c r="B89" s="1532"/>
      <x:c r="C89" s="1532"/>
      <x:c r="D89" s="1532"/>
      <x:c r="E89" s="1532"/>
      <x:c r="F89" s="1532"/>
      <x:c r="G89" s="1532"/>
      <x:c r="H89" s="1532"/>
      <x:c r="I89" s="1532"/>
      <x:c r="J89" s="1532"/>
      <x:c r="K89" s="1532"/>
      <x:c r="L89" s="1532"/>
      <x:c r="M89" s="1532"/>
      <x:c r="N89" s="1532"/>
      <x:c r="O89" s="1532"/>
      <x:c r="P89" s="1532"/>
      <x:c r="Q89" s="1532"/>
      <x:c r="R89" s="1533"/>
    </x:row>
    <x:row r="90">
      <x:c r="A90" s="1534"/>
      <x:c r="B90" s="1535"/>
      <x:c r="C90" s="1535"/>
      <x:c r="D90" s="1535"/>
      <x:c r="E90" s="1535"/>
      <x:c r="F90" s="1535"/>
      <x:c r="G90" s="1535"/>
      <x:c r="H90" s="1535"/>
      <x:c r="I90" s="1535"/>
      <x:c r="J90" s="1535"/>
      <x:c r="K90" s="1535"/>
      <x:c r="L90" s="1535"/>
      <x:c r="M90" s="1535"/>
      <x:c r="N90" s="1535"/>
      <x:c r="O90" s="1535"/>
      <x:c r="P90" s="1535"/>
      <x:c r="Q90" s="1535"/>
      <x:c r="R90" s="1536"/>
    </x:row>
    <x:row r="91">
      <x:c r="A91" s="1534"/>
      <x:c r="B91" s="1535"/>
      <x:c r="C91" s="1535"/>
      <x:c r="D91" s="1535"/>
      <x:c r="E91" s="1535"/>
      <x:c r="F91" s="1535"/>
      <x:c r="G91" s="1535"/>
      <x:c r="H91" s="1535"/>
      <x:c r="I91" s="1535"/>
      <x:c r="J91" s="1535"/>
      <x:c r="K91" s="1535"/>
      <x:c r="L91" s="1535"/>
      <x:c r="M91" s="1535"/>
      <x:c r="N91" s="1535"/>
      <x:c r="O91" s="1535"/>
      <x:c r="P91" s="1535"/>
      <x:c r="Q91" s="1535"/>
      <x:c r="R91" s="1536"/>
    </x:row>
    <x:row r="92">
      <x:c r="A92" s="1534"/>
      <x:c r="B92" s="1535"/>
      <x:c r="C92" s="1535"/>
      <x:c r="D92" s="1535"/>
      <x:c r="E92" s="1535"/>
      <x:c r="F92" s="1535"/>
      <x:c r="G92" s="1535"/>
      <x:c r="H92" s="1535"/>
      <x:c r="I92" s="1535"/>
      <x:c r="J92" s="1535"/>
      <x:c r="K92" s="1535"/>
      <x:c r="L92" s="1535"/>
      <x:c r="M92" s="1535"/>
      <x:c r="N92" s="1535"/>
      <x:c r="O92" s="1535"/>
      <x:c r="P92" s="1535"/>
      <x:c r="Q92" s="1535"/>
      <x:c r="R92" s="1536"/>
    </x:row>
    <x:row r="93">
      <x:c r="A93" s="1534"/>
      <x:c r="B93" s="1535"/>
      <x:c r="C93" s="1535"/>
      <x:c r="D93" s="1535"/>
      <x:c r="E93" s="1535"/>
      <x:c r="F93" s="1535"/>
      <x:c r="G93" s="1535"/>
      <x:c r="H93" s="1535"/>
      <x:c r="I93" s="1535"/>
      <x:c r="J93" s="1535"/>
      <x:c r="K93" s="1535"/>
      <x:c r="L93" s="1535"/>
      <x:c r="M93" s="1535"/>
      <x:c r="N93" s="1535"/>
      <x:c r="O93" s="1535"/>
      <x:c r="P93" s="1535"/>
      <x:c r="Q93" s="1535"/>
      <x:c r="R93" s="1536"/>
    </x:row>
    <x:row r="94">
      <x:c r="A94" s="1537"/>
      <x:c r="B94" s="1538"/>
      <x:c r="C94" s="1538"/>
      <x:c r="D94" s="1538"/>
      <x:c r="E94" s="1538"/>
      <x:c r="F94" s="1538"/>
      <x:c r="G94" s="1538"/>
      <x:c r="H94" s="1538"/>
      <x:c r="I94" s="1538"/>
      <x:c r="J94" s="1538"/>
      <x:c r="K94" s="1538"/>
      <x:c r="L94" s="1538"/>
      <x:c r="M94" s="1538"/>
      <x:c r="N94" s="1538"/>
      <x:c r="O94" s="1538"/>
      <x:c r="P94" s="1538"/>
      <x:c r="Q94" s="1538"/>
      <x:c r="R94" s="1539"/>
    </x:row>
    <x:row r="96">
      <x:c r="A96" s="1426" t="str">
        <x:v>Form-abuse controls for implementation: rate limits, CAPTCHA or equivalent, URL validation, malware-safe link handling, no file upload in the MVP, data-retention limit and a separate protected contact table.</x:v>
      </x:c>
      <x:c r="B96" s="1427"/>
      <x:c r="C96" s="1427"/>
      <x:c r="D96" s="1427"/>
      <x:c r="E96" s="1427"/>
      <x:c r="F96" s="1427"/>
      <x:c r="G96" s="1427"/>
      <x:c r="H96" s="1427"/>
      <x:c r="I96" s="1427"/>
      <x:c r="J96" s="1427"/>
      <x:c r="K96" s="1427"/>
      <x:c r="L96" s="1427"/>
      <x:c r="M96" s="1427"/>
      <x:c r="N96" s="1427"/>
      <x:c r="O96" s="1427"/>
      <x:c r="P96" s="1427"/>
      <x:c r="Q96" s="1427"/>
      <x:c r="R96" s="1428"/>
    </x:row>
    <x:row r="97">
      <x:c r="A97" s="1429"/>
      <x:c r="B97" s="1430"/>
      <x:c r="C97" s="1430"/>
      <x:c r="D97" s="1430"/>
      <x:c r="E97" s="1430"/>
      <x:c r="F97" s="1430"/>
      <x:c r="G97" s="1430"/>
      <x:c r="H97" s="1430"/>
      <x:c r="I97" s="1430"/>
      <x:c r="J97" s="1430"/>
      <x:c r="K97" s="1430"/>
      <x:c r="L97" s="1430"/>
      <x:c r="M97" s="1430"/>
      <x:c r="N97" s="1430"/>
      <x:c r="O97" s="1430"/>
      <x:c r="P97" s="1430"/>
      <x:c r="Q97" s="1430"/>
      <x:c r="R97" s="1431"/>
    </x:row>
    <x:row r="98">
      <x:c r="A98" s="1429"/>
      <x:c r="B98" s="1430"/>
      <x:c r="C98" s="1430"/>
      <x:c r="D98" s="1430"/>
      <x:c r="E98" s="1430"/>
      <x:c r="F98" s="1430"/>
      <x:c r="G98" s="1430"/>
      <x:c r="H98" s="1430"/>
      <x:c r="I98" s="1430"/>
      <x:c r="J98" s="1430"/>
      <x:c r="K98" s="1430"/>
      <x:c r="L98" s="1430"/>
      <x:c r="M98" s="1430"/>
      <x:c r="N98" s="1430"/>
      <x:c r="O98" s="1430"/>
      <x:c r="P98" s="1430"/>
      <x:c r="Q98" s="1430"/>
      <x:c r="R98" s="1431"/>
    </x:row>
    <x:row r="99">
      <x:c r="A99" s="1429"/>
      <x:c r="B99" s="1430"/>
      <x:c r="C99" s="1430"/>
      <x:c r="D99" s="1430"/>
      <x:c r="E99" s="1430"/>
      <x:c r="F99" s="1430"/>
      <x:c r="G99" s="1430"/>
      <x:c r="H99" s="1430"/>
      <x:c r="I99" s="1430"/>
      <x:c r="J99" s="1430"/>
      <x:c r="K99" s="1430"/>
      <x:c r="L99" s="1430"/>
      <x:c r="M99" s="1430"/>
      <x:c r="N99" s="1430"/>
      <x:c r="O99" s="1430"/>
      <x:c r="P99" s="1430"/>
      <x:c r="Q99" s="1430"/>
      <x:c r="R99" s="1431"/>
    </x:row>
    <x:row r="100">
      <x:c r="A100" s="1432"/>
      <x:c r="B100" s="1433"/>
      <x:c r="C100" s="1433"/>
      <x:c r="D100" s="1433"/>
      <x:c r="E100" s="1433"/>
      <x:c r="F100" s="1433"/>
      <x:c r="G100" s="1433"/>
      <x:c r="H100" s="1433"/>
      <x:c r="I100" s="1433"/>
      <x:c r="J100" s="1433"/>
      <x:c r="K100" s="1433"/>
      <x:c r="L100" s="1433"/>
      <x:c r="M100" s="1433"/>
      <x:c r="N100" s="1433"/>
      <x:c r="O100" s="1433"/>
      <x:c r="P100" s="1433"/>
      <x:c r="Q100" s="1433"/>
      <x:c r="R100" s="1434"/>
    </x:row>
  </x:sheetData>
  <x:mergeCells>
    <x:mergeCell ref="A1:R2"/>
    <x:mergeCell ref="A3:R4"/>
    <x:mergeCell ref="A6:R8"/>
    <x:mergeCell ref="A10:R16"/>
    <x:mergeCell ref="A18:R23"/>
    <x:mergeCell ref="A25:L25"/>
    <x:mergeCell ref="A26:L30"/>
    <x:mergeCell ref="A31:F35"/>
    <x:mergeCell ref="G31:L35"/>
    <x:mergeCell ref="A36:F40"/>
    <x:mergeCell ref="G36:L40"/>
    <x:mergeCell ref="A41:L47"/>
    <x:mergeCell ref="A48:L54"/>
    <x:mergeCell ref="A55:F59"/>
    <x:mergeCell ref="G55:L59"/>
    <x:mergeCell ref="N25:R25"/>
    <x:mergeCell ref="N26:R44"/>
    <x:mergeCell ref="N46:R59"/>
    <x:mergeCell ref="A61:L61"/>
    <x:mergeCell ref="A62:F66"/>
    <x:mergeCell ref="G62:L66"/>
    <x:mergeCell ref="A68:L74"/>
    <x:mergeCell ref="D76:I80"/>
    <x:mergeCell ref="A82:R87"/>
    <x:mergeCell ref="A89:R94"/>
    <x:mergeCell ref="A96:R100"/>
  </x:mergeCells>
  <x:pageMargins left="0.7" right="0.7" top="0.75" bottom="0.75" header="0.3" footer="0.3"/>
</x:worksheet>
</file>

<file path=xl/worksheets/sheet27.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3"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671" t="str">
        <x:v>Wireframe — Corrections Page</x:v>
      </x:c>
      <x:c r="B1" s="672"/>
      <x:c r="C1" s="672"/>
      <x:c r="D1" s="672"/>
      <x:c r="E1" s="672"/>
      <x:c r="F1" s="672"/>
      <x:c r="G1" s="672"/>
      <x:c r="H1" s="672"/>
      <x:c r="I1" s="672"/>
      <x:c r="J1" s="672"/>
      <x:c r="K1" s="672"/>
      <x:c r="L1" s="672"/>
      <x:c r="M1" s="672"/>
      <x:c r="N1" s="672"/>
      <x:c r="O1" s="672"/>
      <x:c r="P1" s="672"/>
      <x:c r="Q1" s="672"/>
      <x:c r="R1" s="673"/>
    </x:row>
    <x:row r="2">
      <x:c r="A2" s="674"/>
      <x:c r="B2" s="675"/>
      <x:c r="C2" s="675"/>
      <x:c r="D2" s="675"/>
      <x:c r="E2" s="675"/>
      <x:c r="F2" s="675"/>
      <x:c r="G2" s="675"/>
      <x:c r="H2" s="675"/>
      <x:c r="I2" s="675"/>
      <x:c r="J2" s="675"/>
      <x:c r="K2" s="675"/>
      <x:c r="L2" s="675"/>
      <x:c r="M2" s="675"/>
      <x:c r="N2" s="675"/>
      <x:c r="O2" s="675"/>
      <x:c r="P2" s="675"/>
      <x:c r="Q2" s="675"/>
      <x:c r="R2" s="676"/>
    </x:row>
    <x:row r="3">
      <x:c r="A3" s="697" t="str">
        <x:v>A public correction log plus a clear route for challenging or improving a record.</x:v>
      </x:c>
      <x:c r="B3" s="698"/>
      <x:c r="C3" s="698"/>
      <x:c r="D3" s="698"/>
      <x:c r="E3" s="698"/>
      <x:c r="F3" s="698"/>
      <x:c r="G3" s="698"/>
      <x:c r="H3" s="698"/>
      <x:c r="I3" s="698"/>
      <x:c r="J3" s="698"/>
      <x:c r="K3" s="698"/>
      <x:c r="L3" s="698"/>
      <x:c r="M3" s="698"/>
      <x:c r="N3" s="698"/>
      <x:c r="O3" s="698"/>
      <x:c r="P3" s="698"/>
      <x:c r="Q3" s="698"/>
      <x:c r="R3" s="699"/>
    </x:row>
    <x:row r="4">
      <x:c r="A4" s="700"/>
      <x:c r="B4" s="701"/>
      <x:c r="C4" s="701"/>
      <x:c r="D4" s="701"/>
      <x:c r="E4" s="701"/>
      <x:c r="F4" s="701"/>
      <x:c r="G4" s="701"/>
      <x:c r="H4" s="701"/>
      <x:c r="I4" s="701"/>
      <x:c r="J4" s="701"/>
      <x:c r="K4" s="701"/>
      <x:c r="L4" s="701"/>
      <x:c r="M4" s="701"/>
      <x:c r="N4" s="701"/>
      <x:c r="O4" s="701"/>
      <x:c r="P4" s="701"/>
      <x:c r="Q4" s="701"/>
      <x:c r="R4" s="702"/>
    </x:row>
    <x:row r="6">
      <x:c r="A6" s="848" t="str">
        <x:v>INDIA OBSERVED     Home   Browse   Methodology   Corrections   [Submit a lead]</x:v>
      </x:c>
      <x:c r="B6" s="849"/>
      <x:c r="C6" s="849"/>
      <x:c r="D6" s="849"/>
      <x:c r="E6" s="849"/>
      <x:c r="F6" s="849"/>
      <x:c r="G6" s="849"/>
      <x:c r="H6" s="849"/>
      <x:c r="I6" s="849"/>
      <x:c r="J6" s="849"/>
      <x:c r="K6" s="849"/>
      <x:c r="L6" s="849"/>
      <x:c r="M6" s="849"/>
      <x:c r="N6" s="849"/>
      <x:c r="O6" s="849"/>
      <x:c r="P6" s="849"/>
      <x:c r="Q6" s="849"/>
      <x:c r="R6" s="850"/>
    </x:row>
    <x:row r="7">
      <x:c r="A7" s="851"/>
      <x:c r="B7" s="852"/>
      <x:c r="C7" s="852"/>
      <x:c r="D7" s="852"/>
      <x:c r="E7" s="852"/>
      <x:c r="F7" s="852"/>
      <x:c r="G7" s="852"/>
      <x:c r="H7" s="852"/>
      <x:c r="I7" s="852"/>
      <x:c r="J7" s="852"/>
      <x:c r="K7" s="852"/>
      <x:c r="L7" s="852"/>
      <x:c r="M7" s="852"/>
      <x:c r="N7" s="852"/>
      <x:c r="O7" s="852"/>
      <x:c r="P7" s="852"/>
      <x:c r="Q7" s="852"/>
      <x:c r="R7" s="853"/>
    </x:row>
    <x:row r="8">
      <x:c r="A8" s="854"/>
      <x:c r="B8" s="855"/>
      <x:c r="C8" s="855"/>
      <x:c r="D8" s="855"/>
      <x:c r="E8" s="855"/>
      <x:c r="F8" s="855"/>
      <x:c r="G8" s="855"/>
      <x:c r="H8" s="855"/>
      <x:c r="I8" s="855"/>
      <x:c r="J8" s="855"/>
      <x:c r="K8" s="855"/>
      <x:c r="L8" s="855"/>
      <x:c r="M8" s="855"/>
      <x:c r="N8" s="855"/>
      <x:c r="O8" s="855"/>
      <x:c r="P8" s="855"/>
      <x:c r="Q8" s="855"/>
      <x:c r="R8" s="856"/>
    </x:row>
    <x:row r="9">
      <x:c r="A9" s="804"/>
      <x:c r="B9" s="805"/>
      <x:c r="C9" s="805"/>
      <x:c r="D9" s="805"/>
      <x:c r="E9" s="805"/>
      <x:c r="F9" s="805"/>
      <x:c r="G9" s="805"/>
      <x:c r="H9" s="805"/>
      <x:c r="I9" s="805"/>
      <x:c r="J9" s="805"/>
      <x:c r="K9" s="805"/>
      <x:c r="L9" s="805"/>
      <x:c r="M9" s="805"/>
      <x:c r="N9" s="805"/>
      <x:c r="O9" s="805"/>
      <x:c r="P9" s="805"/>
      <x:c r="Q9" s="805"/>
      <x:c r="R9" s="806"/>
    </x:row>
    <x:row r="10">
      <x:c r="A10" s="1869" t="str">
        <x:v>Corrections and record updates
Material factual changes are logged publicly. We do not silently rewrite consequential information.</x:v>
      </x:c>
      <x:c r="B10" s="1870"/>
      <x:c r="C10" s="1870"/>
      <x:c r="D10" s="1870"/>
      <x:c r="E10" s="1870"/>
      <x:c r="F10" s="1870"/>
      <x:c r="G10" s="1870"/>
      <x:c r="H10" s="1870"/>
      <x:c r="I10" s="1870"/>
      <x:c r="J10" s="1870"/>
      <x:c r="K10" s="1870"/>
      <x:c r="L10" s="1870"/>
      <x:c r="M10" s="1870"/>
      <x:c r="N10" s="1870"/>
      <x:c r="O10" s="1870"/>
      <x:c r="P10" s="1870"/>
      <x:c r="Q10" s="1870"/>
      <x:c r="R10" s="1871"/>
    </x:row>
    <x:row r="11">
      <x:c r="A11" s="1872"/>
      <x:c r="B11" s="1873"/>
      <x:c r="C11" s="1873"/>
      <x:c r="D11" s="1873"/>
      <x:c r="E11" s="1873"/>
      <x:c r="F11" s="1873"/>
      <x:c r="G11" s="1873"/>
      <x:c r="H11" s="1873"/>
      <x:c r="I11" s="1873"/>
      <x:c r="J11" s="1873"/>
      <x:c r="K11" s="1873"/>
      <x:c r="L11" s="1873"/>
      <x:c r="M11" s="1873"/>
      <x:c r="N11" s="1873"/>
      <x:c r="O11" s="1873"/>
      <x:c r="P11" s="1873"/>
      <x:c r="Q11" s="1873"/>
      <x:c r="R11" s="1874"/>
    </x:row>
    <x:row r="12">
      <x:c r="A12" s="1872"/>
      <x:c r="B12" s="1873"/>
      <x:c r="C12" s="1873"/>
      <x:c r="D12" s="1873"/>
      <x:c r="E12" s="1873"/>
      <x:c r="F12" s="1873"/>
      <x:c r="G12" s="1873"/>
      <x:c r="H12" s="1873"/>
      <x:c r="I12" s="1873"/>
      <x:c r="J12" s="1873"/>
      <x:c r="K12" s="1873"/>
      <x:c r="L12" s="1873"/>
      <x:c r="M12" s="1873"/>
      <x:c r="N12" s="1873"/>
      <x:c r="O12" s="1873"/>
      <x:c r="P12" s="1873"/>
      <x:c r="Q12" s="1873"/>
      <x:c r="R12" s="1874"/>
    </x:row>
    <x:row r="13">
      <x:c r="A13" s="1872"/>
      <x:c r="B13" s="1873"/>
      <x:c r="C13" s="1873"/>
      <x:c r="D13" s="1873"/>
      <x:c r="E13" s="1873"/>
      <x:c r="F13" s="1873"/>
      <x:c r="G13" s="1873"/>
      <x:c r="H13" s="1873"/>
      <x:c r="I13" s="1873"/>
      <x:c r="J13" s="1873"/>
      <x:c r="K13" s="1873"/>
      <x:c r="L13" s="1873"/>
      <x:c r="M13" s="1873"/>
      <x:c r="N13" s="1873"/>
      <x:c r="O13" s="1873"/>
      <x:c r="P13" s="1873"/>
      <x:c r="Q13" s="1873"/>
      <x:c r="R13" s="1874"/>
    </x:row>
    <x:row r="14">
      <x:c r="A14" s="1872"/>
      <x:c r="B14" s="1873"/>
      <x:c r="C14" s="1873"/>
      <x:c r="D14" s="1873"/>
      <x:c r="E14" s="1873"/>
      <x:c r="F14" s="1873"/>
      <x:c r="G14" s="1873"/>
      <x:c r="H14" s="1873"/>
      <x:c r="I14" s="1873"/>
      <x:c r="J14" s="1873"/>
      <x:c r="K14" s="1873"/>
      <x:c r="L14" s="1873"/>
      <x:c r="M14" s="1873"/>
      <x:c r="N14" s="1873"/>
      <x:c r="O14" s="1873"/>
      <x:c r="P14" s="1873"/>
      <x:c r="Q14" s="1873"/>
      <x:c r="R14" s="1874"/>
    </x:row>
    <x:row r="15">
      <x:c r="A15" s="1872"/>
      <x:c r="B15" s="1873"/>
      <x:c r="C15" s="1873"/>
      <x:c r="D15" s="1873"/>
      <x:c r="E15" s="1873"/>
      <x:c r="F15" s="1873"/>
      <x:c r="G15" s="1873"/>
      <x:c r="H15" s="1873"/>
      <x:c r="I15" s="1873"/>
      <x:c r="J15" s="1873"/>
      <x:c r="K15" s="1873"/>
      <x:c r="L15" s="1873"/>
      <x:c r="M15" s="1873"/>
      <x:c r="N15" s="1873"/>
      <x:c r="O15" s="1873"/>
      <x:c r="P15" s="1873"/>
      <x:c r="Q15" s="1873"/>
      <x:c r="R15" s="1874"/>
    </x:row>
    <x:row r="16">
      <x:c r="A16" s="1875"/>
      <x:c r="B16" s="1876"/>
      <x:c r="C16" s="1876"/>
      <x:c r="D16" s="1876"/>
      <x:c r="E16" s="1876"/>
      <x:c r="F16" s="1876"/>
      <x:c r="G16" s="1876"/>
      <x:c r="H16" s="1876"/>
      <x:c r="I16" s="1876"/>
      <x:c r="J16" s="1876"/>
      <x:c r="K16" s="1876"/>
      <x:c r="L16" s="1876"/>
      <x:c r="M16" s="1876"/>
      <x:c r="N16" s="1876"/>
      <x:c r="O16" s="1876"/>
      <x:c r="P16" s="1876"/>
      <x:c r="Q16" s="1876"/>
      <x:c r="R16" s="1877"/>
    </x:row>
    <x:row r="17">
      <x:c r="A17" s="804"/>
      <x:c r="B17" s="805"/>
      <x:c r="C17" s="805"/>
      <x:c r="D17" s="805"/>
      <x:c r="E17" s="805"/>
      <x:c r="F17" s="805"/>
      <x:c r="G17" s="805"/>
      <x:c r="H17" s="805"/>
      <x:c r="I17" s="805"/>
      <x:c r="J17" s="805"/>
      <x:c r="K17" s="805"/>
      <x:c r="L17" s="805"/>
      <x:c r="M17" s="805"/>
      <x:c r="N17" s="805"/>
      <x:c r="O17" s="805"/>
      <x:c r="P17" s="805"/>
      <x:c r="Q17" s="805"/>
      <x:c r="R17" s="806"/>
    </x:row>
    <x:row r="18">
      <x:c r="A18" s="1738" t="str">
        <x:v>A correction is appropriate when a record contains an error about identity, location, date, responsibility, severity, outcome or meaning. Disagreement alone is not automatically a correction.</x:v>
      </x:c>
      <x:c r="B18" s="1739"/>
      <x:c r="C18" s="1739"/>
      <x:c r="D18" s="1739"/>
      <x:c r="E18" s="1739"/>
      <x:c r="F18" s="1739"/>
      <x:c r="G18" s="1739"/>
      <x:c r="H18" s="1739"/>
      <x:c r="I18" s="1739"/>
      <x:c r="J18" s="1739"/>
      <x:c r="K18" s="1739"/>
      <x:c r="L18" s="1739"/>
      <x:c r="M18" s="1739"/>
      <x:c r="N18" s="1739"/>
      <x:c r="O18" s="1739"/>
      <x:c r="P18" s="1739"/>
      <x:c r="Q18" s="1739"/>
      <x:c r="R18" s="1740"/>
    </x:row>
    <x:row r="19">
      <x:c r="A19" s="1741"/>
      <x:c r="B19" s="1742"/>
      <x:c r="C19" s="1742"/>
      <x:c r="D19" s="1742"/>
      <x:c r="E19" s="1742"/>
      <x:c r="F19" s="1742"/>
      <x:c r="G19" s="1742"/>
      <x:c r="H19" s="1742"/>
      <x:c r="I19" s="1742"/>
      <x:c r="J19" s="1742"/>
      <x:c r="K19" s="1742"/>
      <x:c r="L19" s="1742"/>
      <x:c r="M19" s="1742"/>
      <x:c r="N19" s="1742"/>
      <x:c r="O19" s="1742"/>
      <x:c r="P19" s="1742"/>
      <x:c r="Q19" s="1742"/>
      <x:c r="R19" s="1743"/>
    </x:row>
    <x:row r="20">
      <x:c r="A20" s="1741"/>
      <x:c r="B20" s="1742"/>
      <x:c r="C20" s="1742"/>
      <x:c r="D20" s="1742"/>
      <x:c r="E20" s="1742"/>
      <x:c r="F20" s="1742"/>
      <x:c r="G20" s="1742"/>
      <x:c r="H20" s="1742"/>
      <x:c r="I20" s="1742"/>
      <x:c r="J20" s="1742"/>
      <x:c r="K20" s="1742"/>
      <x:c r="L20" s="1742"/>
      <x:c r="M20" s="1742"/>
      <x:c r="N20" s="1742"/>
      <x:c r="O20" s="1742"/>
      <x:c r="P20" s="1742"/>
      <x:c r="Q20" s="1742"/>
      <x:c r="R20" s="1743"/>
    </x:row>
    <x:row r="21">
      <x:c r="A21" s="1741"/>
      <x:c r="B21" s="1742"/>
      <x:c r="C21" s="1742"/>
      <x:c r="D21" s="1742"/>
      <x:c r="E21" s="1742"/>
      <x:c r="F21" s="1742"/>
      <x:c r="G21" s="1742"/>
      <x:c r="H21" s="1742"/>
      <x:c r="I21" s="1742"/>
      <x:c r="J21" s="1742"/>
      <x:c r="K21" s="1742"/>
      <x:c r="L21" s="1742"/>
      <x:c r="M21" s="1742"/>
      <x:c r="N21" s="1742"/>
      <x:c r="O21" s="1742"/>
      <x:c r="P21" s="1742"/>
      <x:c r="Q21" s="1742"/>
      <x:c r="R21" s="1743"/>
    </x:row>
    <x:row r="22">
      <x:c r="A22" s="1744"/>
      <x:c r="B22" s="1745"/>
      <x:c r="C22" s="1745"/>
      <x:c r="D22" s="1745"/>
      <x:c r="E22" s="1745"/>
      <x:c r="F22" s="1745"/>
      <x:c r="G22" s="1745"/>
      <x:c r="H22" s="1745"/>
      <x:c r="I22" s="1745"/>
      <x:c r="J22" s="1745"/>
      <x:c r="K22" s="1745"/>
      <x:c r="L22" s="1745"/>
      <x:c r="M22" s="1745"/>
      <x:c r="N22" s="1745"/>
      <x:c r="O22" s="1745"/>
      <x:c r="P22" s="1745"/>
      <x:c r="Q22" s="1745"/>
      <x:c r="R22" s="1746"/>
    </x:row>
    <x:row r="23">
      <x:c r="A23" s="804"/>
      <x:c r="B23" s="805"/>
      <x:c r="C23" s="805"/>
      <x:c r="D23" s="805"/>
      <x:c r="E23" s="805"/>
      <x:c r="F23" s="805"/>
      <x:c r="G23" s="805"/>
      <x:c r="H23" s="805"/>
      <x:c r="I23" s="805"/>
      <x:c r="J23" s="805"/>
      <x:c r="K23" s="805"/>
      <x:c r="L23" s="805"/>
      <x:c r="M23" s="805"/>
      <x:c r="N23" s="805"/>
      <x:c r="O23" s="805"/>
      <x:c r="P23" s="805"/>
      <x:c r="Q23" s="805"/>
      <x:c r="R23" s="806"/>
    </x:row>
    <x:row r="24">
      <x:c r="A24" s="714" t="str">
        <x:v>Submit a correction</x:v>
      </x:c>
      <x:c r="B24" s="715"/>
      <x:c r="C24" s="715"/>
      <x:c r="D24" s="715"/>
      <x:c r="E24" s="715"/>
      <x:c r="F24" s="715"/>
      <x:c r="G24" s="715"/>
      <x:c r="H24" s="715"/>
      <x:c r="I24" s="715"/>
      <x:c r="J24" s="716"/>
      <x:c r="K24" s="805"/>
      <x:c r="L24" s="714" t="str">
        <x:v>Review process</x:v>
      </x:c>
      <x:c r="M24" s="715"/>
      <x:c r="N24" s="715"/>
      <x:c r="O24" s="715"/>
      <x:c r="P24" s="715"/>
      <x:c r="Q24" s="715"/>
      <x:c r="R24" s="716"/>
    </x:row>
    <x:row r="25">
      <x:c r="A25" s="1269" t="str">
        <x:v>Event URL or Event ID *
[ Paste link or enter IO-CM-… ]</x:v>
      </x:c>
      <x:c r="B25" s="1270"/>
      <x:c r="C25" s="1270"/>
      <x:c r="D25" s="1270"/>
      <x:c r="E25" s="1270"/>
      <x:c r="F25" s="1270"/>
      <x:c r="G25" s="1270"/>
      <x:c r="H25" s="1270"/>
      <x:c r="I25" s="1270"/>
      <x:c r="J25" s="1271"/>
      <x:c r="K25" s="805"/>
      <x:c r="L25" s="2458" t="str">
        <x:v>1. Submission receives a reference number.
2. The editor checks the cited source and linked claims.
3. Relevant parties may be contacted.
4. The record may be corrected, clarified, held or left unchanged with an explanation.
5. Consequential corrections display previous wording, corrected wording, date and reason.</x:v>
      </x:c>
      <x:c r="M25" s="2459"/>
      <x:c r="N25" s="2459"/>
      <x:c r="O25" s="2459"/>
      <x:c r="P25" s="2459"/>
      <x:c r="Q25" s="2459"/>
      <x:c r="R25" s="2460"/>
    </x:row>
    <x:row r="26">
      <x:c r="A26" s="1493"/>
      <x:c r="B26" s="1494"/>
      <x:c r="C26" s="1494"/>
      <x:c r="D26" s="1494"/>
      <x:c r="E26" s="1494"/>
      <x:c r="F26" s="1494"/>
      <x:c r="G26" s="1494"/>
      <x:c r="H26" s="1494"/>
      <x:c r="I26" s="1494"/>
      <x:c r="J26" s="1495"/>
      <x:c r="K26" s="805"/>
      <x:c r="L26" s="2461"/>
      <x:c r="M26" s="2462"/>
      <x:c r="N26" s="2462"/>
      <x:c r="O26" s="2462"/>
      <x:c r="P26" s="2462"/>
      <x:c r="Q26" s="2462"/>
      <x:c r="R26" s="2463"/>
    </x:row>
    <x:row r="27">
      <x:c r="A27" s="1493"/>
      <x:c r="B27" s="1494"/>
      <x:c r="C27" s="1494"/>
      <x:c r="D27" s="1494"/>
      <x:c r="E27" s="1494"/>
      <x:c r="F27" s="1494"/>
      <x:c r="G27" s="1494"/>
      <x:c r="H27" s="1494"/>
      <x:c r="I27" s="1494"/>
      <x:c r="J27" s="1495"/>
      <x:c r="K27" s="805"/>
      <x:c r="L27" s="2461"/>
      <x:c r="M27" s="2462"/>
      <x:c r="N27" s="2462"/>
      <x:c r="O27" s="2462"/>
      <x:c r="P27" s="2462"/>
      <x:c r="Q27" s="2462"/>
      <x:c r="R27" s="2463"/>
    </x:row>
    <x:row r="28">
      <x:c r="A28" s="1493"/>
      <x:c r="B28" s="1494"/>
      <x:c r="C28" s="1494"/>
      <x:c r="D28" s="1494"/>
      <x:c r="E28" s="1494"/>
      <x:c r="F28" s="1494"/>
      <x:c r="G28" s="1494"/>
      <x:c r="H28" s="1494"/>
      <x:c r="I28" s="1494"/>
      <x:c r="J28" s="1495"/>
      <x:c r="K28" s="805"/>
      <x:c r="L28" s="2461"/>
      <x:c r="M28" s="2462"/>
      <x:c r="N28" s="2462"/>
      <x:c r="O28" s="2462"/>
      <x:c r="P28" s="2462"/>
      <x:c r="Q28" s="2462"/>
      <x:c r="R28" s="2463"/>
    </x:row>
    <x:row r="29">
      <x:c r="A29" s="1272"/>
      <x:c r="B29" s="1273"/>
      <x:c r="C29" s="1273"/>
      <x:c r="D29" s="1273"/>
      <x:c r="E29" s="1273"/>
      <x:c r="F29" s="1273"/>
      <x:c r="G29" s="1273"/>
      <x:c r="H29" s="1273"/>
      <x:c r="I29" s="1273"/>
      <x:c r="J29" s="1274"/>
      <x:c r="K29" s="805"/>
      <x:c r="L29" s="2461"/>
      <x:c r="M29" s="2462"/>
      <x:c r="N29" s="2462"/>
      <x:c r="O29" s="2462"/>
      <x:c r="P29" s="2462"/>
      <x:c r="Q29" s="2462"/>
      <x:c r="R29" s="2463"/>
    </x:row>
    <x:row r="30">
      <x:c r="A30" s="1269" t="str">
        <x:v>What information may be wrong or incomplete? *
[ Quote or describe the exact statement ]</x:v>
      </x:c>
      <x:c r="B30" s="1270"/>
      <x:c r="C30" s="1270"/>
      <x:c r="D30" s="1270"/>
      <x:c r="E30" s="1270"/>
      <x:c r="F30" s="1270"/>
      <x:c r="G30" s="1270"/>
      <x:c r="H30" s="1270"/>
      <x:c r="I30" s="1270"/>
      <x:c r="J30" s="1271"/>
      <x:c r="K30" s="805"/>
      <x:c r="L30" s="2461"/>
      <x:c r="M30" s="2462"/>
      <x:c r="N30" s="2462"/>
      <x:c r="O30" s="2462"/>
      <x:c r="P30" s="2462"/>
      <x:c r="Q30" s="2462"/>
      <x:c r="R30" s="2463"/>
    </x:row>
    <x:row r="31">
      <x:c r="A31" s="1493"/>
      <x:c r="B31" s="1494"/>
      <x:c r="C31" s="1494"/>
      <x:c r="D31" s="1494"/>
      <x:c r="E31" s="1494"/>
      <x:c r="F31" s="1494"/>
      <x:c r="G31" s="1494"/>
      <x:c r="H31" s="1494"/>
      <x:c r="I31" s="1494"/>
      <x:c r="J31" s="1495"/>
      <x:c r="K31" s="805"/>
      <x:c r="L31" s="2461"/>
      <x:c r="M31" s="2462"/>
      <x:c r="N31" s="2462"/>
      <x:c r="O31" s="2462"/>
      <x:c r="P31" s="2462"/>
      <x:c r="Q31" s="2462"/>
      <x:c r="R31" s="2463"/>
    </x:row>
    <x:row r="32">
      <x:c r="A32" s="1493"/>
      <x:c r="B32" s="1494"/>
      <x:c r="C32" s="1494"/>
      <x:c r="D32" s="1494"/>
      <x:c r="E32" s="1494"/>
      <x:c r="F32" s="1494"/>
      <x:c r="G32" s="1494"/>
      <x:c r="H32" s="1494"/>
      <x:c r="I32" s="1494"/>
      <x:c r="J32" s="1495"/>
      <x:c r="K32" s="805"/>
      <x:c r="L32" s="2461"/>
      <x:c r="M32" s="2462"/>
      <x:c r="N32" s="2462"/>
      <x:c r="O32" s="2462"/>
      <x:c r="P32" s="2462"/>
      <x:c r="Q32" s="2462"/>
      <x:c r="R32" s="2463"/>
    </x:row>
    <x:row r="33">
      <x:c r="A33" s="1493"/>
      <x:c r="B33" s="1494"/>
      <x:c r="C33" s="1494"/>
      <x:c r="D33" s="1494"/>
      <x:c r="E33" s="1494"/>
      <x:c r="F33" s="1494"/>
      <x:c r="G33" s="1494"/>
      <x:c r="H33" s="1494"/>
      <x:c r="I33" s="1494"/>
      <x:c r="J33" s="1495"/>
      <x:c r="K33" s="805"/>
      <x:c r="L33" s="2461"/>
      <x:c r="M33" s="2462"/>
      <x:c r="N33" s="2462"/>
      <x:c r="O33" s="2462"/>
      <x:c r="P33" s="2462"/>
      <x:c r="Q33" s="2462"/>
      <x:c r="R33" s="2463"/>
    </x:row>
    <x:row r="34">
      <x:c r="A34" s="1493"/>
      <x:c r="B34" s="1494"/>
      <x:c r="C34" s="1494"/>
      <x:c r="D34" s="1494"/>
      <x:c r="E34" s="1494"/>
      <x:c r="F34" s="1494"/>
      <x:c r="G34" s="1494"/>
      <x:c r="H34" s="1494"/>
      <x:c r="I34" s="1494"/>
      <x:c r="J34" s="1495"/>
      <x:c r="K34" s="805"/>
      <x:c r="L34" s="2461"/>
      <x:c r="M34" s="2462"/>
      <x:c r="N34" s="2462"/>
      <x:c r="O34" s="2462"/>
      <x:c r="P34" s="2462"/>
      <x:c r="Q34" s="2462"/>
      <x:c r="R34" s="2463"/>
    </x:row>
    <x:row r="35">
      <x:c r="A35" s="1272"/>
      <x:c r="B35" s="1273"/>
      <x:c r="C35" s="1273"/>
      <x:c r="D35" s="1273"/>
      <x:c r="E35" s="1273"/>
      <x:c r="F35" s="1273"/>
      <x:c r="G35" s="1273"/>
      <x:c r="H35" s="1273"/>
      <x:c r="I35" s="1273"/>
      <x:c r="J35" s="1274"/>
      <x:c r="K35" s="805"/>
      <x:c r="L35" s="2461"/>
      <x:c r="M35" s="2462"/>
      <x:c r="N35" s="2462"/>
      <x:c r="O35" s="2462"/>
      <x:c r="P35" s="2462"/>
      <x:c r="Q35" s="2462"/>
      <x:c r="R35" s="2463"/>
    </x:row>
    <x:row r="36">
      <x:c r="A36" s="1269" t="str">
        <x:v>What should it say instead? *
[ Proposed correction or missing context ]</x:v>
      </x:c>
      <x:c r="B36" s="1270"/>
      <x:c r="C36" s="1270"/>
      <x:c r="D36" s="1270"/>
      <x:c r="E36" s="1270"/>
      <x:c r="F36" s="1270"/>
      <x:c r="G36" s="1270"/>
      <x:c r="H36" s="1270"/>
      <x:c r="I36" s="1270"/>
      <x:c r="J36" s="1271"/>
      <x:c r="K36" s="805"/>
      <x:c r="L36" s="2461"/>
      <x:c r="M36" s="2462"/>
      <x:c r="N36" s="2462"/>
      <x:c r="O36" s="2462"/>
      <x:c r="P36" s="2462"/>
      <x:c r="Q36" s="2462"/>
      <x:c r="R36" s="2463"/>
    </x:row>
    <x:row r="37">
      <x:c r="A37" s="1493"/>
      <x:c r="B37" s="1494"/>
      <x:c r="C37" s="1494"/>
      <x:c r="D37" s="1494"/>
      <x:c r="E37" s="1494"/>
      <x:c r="F37" s="1494"/>
      <x:c r="G37" s="1494"/>
      <x:c r="H37" s="1494"/>
      <x:c r="I37" s="1494"/>
      <x:c r="J37" s="1495"/>
      <x:c r="K37" s="805"/>
      <x:c r="L37" s="2461"/>
      <x:c r="M37" s="2462"/>
      <x:c r="N37" s="2462"/>
      <x:c r="O37" s="2462"/>
      <x:c r="P37" s="2462"/>
      <x:c r="Q37" s="2462"/>
      <x:c r="R37" s="2463"/>
    </x:row>
    <x:row r="38">
      <x:c r="A38" s="1493"/>
      <x:c r="B38" s="1494"/>
      <x:c r="C38" s="1494"/>
      <x:c r="D38" s="1494"/>
      <x:c r="E38" s="1494"/>
      <x:c r="F38" s="1494"/>
      <x:c r="G38" s="1494"/>
      <x:c r="H38" s="1494"/>
      <x:c r="I38" s="1494"/>
      <x:c r="J38" s="1495"/>
      <x:c r="K38" s="805"/>
      <x:c r="L38" s="2461"/>
      <x:c r="M38" s="2462"/>
      <x:c r="N38" s="2462"/>
      <x:c r="O38" s="2462"/>
      <x:c r="P38" s="2462"/>
      <x:c r="Q38" s="2462"/>
      <x:c r="R38" s="2463"/>
    </x:row>
    <x:row r="39">
      <x:c r="A39" s="1493"/>
      <x:c r="B39" s="1494"/>
      <x:c r="C39" s="1494"/>
      <x:c r="D39" s="1494"/>
      <x:c r="E39" s="1494"/>
      <x:c r="F39" s="1494"/>
      <x:c r="G39" s="1494"/>
      <x:c r="H39" s="1494"/>
      <x:c r="I39" s="1494"/>
      <x:c r="J39" s="1495"/>
      <x:c r="K39" s="805"/>
      <x:c r="L39" s="2461"/>
      <x:c r="M39" s="2462"/>
      <x:c r="N39" s="2462"/>
      <x:c r="O39" s="2462"/>
      <x:c r="P39" s="2462"/>
      <x:c r="Q39" s="2462"/>
      <x:c r="R39" s="2463"/>
    </x:row>
    <x:row r="40">
      <x:c r="A40" s="1493"/>
      <x:c r="B40" s="1494"/>
      <x:c r="C40" s="1494"/>
      <x:c r="D40" s="1494"/>
      <x:c r="E40" s="1494"/>
      <x:c r="F40" s="1494"/>
      <x:c r="G40" s="1494"/>
      <x:c r="H40" s="1494"/>
      <x:c r="I40" s="1494"/>
      <x:c r="J40" s="1495"/>
      <x:c r="K40" s="805"/>
      <x:c r="L40" s="2461"/>
      <x:c r="M40" s="2462"/>
      <x:c r="N40" s="2462"/>
      <x:c r="O40" s="2462"/>
      <x:c r="P40" s="2462"/>
      <x:c r="Q40" s="2462"/>
      <x:c r="R40" s="2463"/>
    </x:row>
    <x:row r="41">
      <x:c r="A41" s="1493"/>
      <x:c r="B41" s="1494"/>
      <x:c r="C41" s="1494"/>
      <x:c r="D41" s="1494"/>
      <x:c r="E41" s="1494"/>
      <x:c r="F41" s="1494"/>
      <x:c r="G41" s="1494"/>
      <x:c r="H41" s="1494"/>
      <x:c r="I41" s="1494"/>
      <x:c r="J41" s="1495"/>
      <x:c r="K41" s="805"/>
      <x:c r="L41" s="2461"/>
      <x:c r="M41" s="2462"/>
      <x:c r="N41" s="2462"/>
      <x:c r="O41" s="2462"/>
      <x:c r="P41" s="2462"/>
      <x:c r="Q41" s="2462"/>
      <x:c r="R41" s="2463"/>
    </x:row>
    <x:row r="42">
      <x:c r="A42" s="1272"/>
      <x:c r="B42" s="1273"/>
      <x:c r="C42" s="1273"/>
      <x:c r="D42" s="1273"/>
      <x:c r="E42" s="1273"/>
      <x:c r="F42" s="1273"/>
      <x:c r="G42" s="1273"/>
      <x:c r="H42" s="1273"/>
      <x:c r="I42" s="1273"/>
      <x:c r="J42" s="1274"/>
      <x:c r="K42" s="805"/>
      <x:c r="L42" s="2461"/>
      <x:c r="M42" s="2462"/>
      <x:c r="N42" s="2462"/>
      <x:c r="O42" s="2462"/>
      <x:c r="P42" s="2462"/>
      <x:c r="Q42" s="2462"/>
      <x:c r="R42" s="2463"/>
    </x:row>
    <x:row r="43">
      <x:c r="A43" s="1269" t="str">
        <x:v>Supporting public source URL *
[ Original document, report or official record ]</x:v>
      </x:c>
      <x:c r="B43" s="1270"/>
      <x:c r="C43" s="1270"/>
      <x:c r="D43" s="1270"/>
      <x:c r="E43" s="1270"/>
      <x:c r="F43" s="1270"/>
      <x:c r="G43" s="1270"/>
      <x:c r="H43" s="1270"/>
      <x:c r="I43" s="1270"/>
      <x:c r="J43" s="1271"/>
      <x:c r="K43" s="805"/>
      <x:c r="L43" s="2461"/>
      <x:c r="M43" s="2462"/>
      <x:c r="N43" s="2462"/>
      <x:c r="O43" s="2462"/>
      <x:c r="P43" s="2462"/>
      <x:c r="Q43" s="2462"/>
      <x:c r="R43" s="2463"/>
    </x:row>
    <x:row r="44">
      <x:c r="A44" s="1493"/>
      <x:c r="B44" s="1494"/>
      <x:c r="C44" s="1494"/>
      <x:c r="D44" s="1494"/>
      <x:c r="E44" s="1494"/>
      <x:c r="F44" s="1494"/>
      <x:c r="G44" s="1494"/>
      <x:c r="H44" s="1494"/>
      <x:c r="I44" s="1494"/>
      <x:c r="J44" s="1495"/>
      <x:c r="K44" s="805"/>
      <x:c r="L44" s="2461"/>
      <x:c r="M44" s="2462"/>
      <x:c r="N44" s="2462"/>
      <x:c r="O44" s="2462"/>
      <x:c r="P44" s="2462"/>
      <x:c r="Q44" s="2462"/>
      <x:c r="R44" s="2463"/>
    </x:row>
    <x:row r="45">
      <x:c r="A45" s="1493"/>
      <x:c r="B45" s="1494"/>
      <x:c r="C45" s="1494"/>
      <x:c r="D45" s="1494"/>
      <x:c r="E45" s="1494"/>
      <x:c r="F45" s="1494"/>
      <x:c r="G45" s="1494"/>
      <x:c r="H45" s="1494"/>
      <x:c r="I45" s="1494"/>
      <x:c r="J45" s="1495"/>
      <x:c r="K45" s="805"/>
      <x:c r="L45" s="2461"/>
      <x:c r="M45" s="2462"/>
      <x:c r="N45" s="2462"/>
      <x:c r="O45" s="2462"/>
      <x:c r="P45" s="2462"/>
      <x:c r="Q45" s="2462"/>
      <x:c r="R45" s="2463"/>
    </x:row>
    <x:row r="46">
      <x:c r="A46" s="1493"/>
      <x:c r="B46" s="1494"/>
      <x:c r="C46" s="1494"/>
      <x:c r="D46" s="1494"/>
      <x:c r="E46" s="1494"/>
      <x:c r="F46" s="1494"/>
      <x:c r="G46" s="1494"/>
      <x:c r="H46" s="1494"/>
      <x:c r="I46" s="1494"/>
      <x:c r="J46" s="1495"/>
      <x:c r="K46" s="805"/>
      <x:c r="L46" s="2461"/>
      <x:c r="M46" s="2462"/>
      <x:c r="N46" s="2462"/>
      <x:c r="O46" s="2462"/>
      <x:c r="P46" s="2462"/>
      <x:c r="Q46" s="2462"/>
      <x:c r="R46" s="2463"/>
    </x:row>
    <x:row r="47">
      <x:c r="A47" s="1493"/>
      <x:c r="B47" s="1494"/>
      <x:c r="C47" s="1494"/>
      <x:c r="D47" s="1494"/>
      <x:c r="E47" s="1494"/>
      <x:c r="F47" s="1494"/>
      <x:c r="G47" s="1494"/>
      <x:c r="H47" s="1494"/>
      <x:c r="I47" s="1494"/>
      <x:c r="J47" s="1495"/>
      <x:c r="K47" s="805"/>
      <x:c r="L47" s="2464"/>
      <x:c r="M47" s="2465"/>
      <x:c r="N47" s="2465"/>
      <x:c r="O47" s="2465"/>
      <x:c r="P47" s="2465"/>
      <x:c r="Q47" s="2465"/>
      <x:c r="R47" s="2466"/>
    </x:row>
    <x:row r="48">
      <x:c r="A48" s="1272"/>
      <x:c r="B48" s="1273"/>
      <x:c r="C48" s="1273"/>
      <x:c r="D48" s="1273"/>
      <x:c r="E48" s="1273"/>
      <x:c r="F48" s="1273"/>
      <x:c r="G48" s="1273"/>
      <x:c r="H48" s="1273"/>
      <x:c r="I48" s="1273"/>
      <x:c r="J48" s="1274"/>
      <x:c r="K48" s="805"/>
      <x:c r="L48" s="805"/>
      <x:c r="M48" s="805"/>
      <x:c r="N48" s="805"/>
      <x:c r="O48" s="805"/>
      <x:c r="P48" s="805"/>
      <x:c r="Q48" s="805"/>
      <x:c r="R48" s="806"/>
    </x:row>
    <x:row r="49">
      <x:c r="A49" s="1269" t="str">
        <x:v>Name / organisation
[ Optional ]</x:v>
      </x:c>
      <x:c r="B49" s="1270"/>
      <x:c r="C49" s="1270"/>
      <x:c r="D49" s="1270"/>
      <x:c r="E49" s="1271"/>
      <x:c r="F49" s="1269" t="str">
        <x:v>Email
[ Optional — for clarification ]</x:v>
      </x:c>
      <x:c r="G49" s="1270"/>
      <x:c r="H49" s="1270"/>
      <x:c r="I49" s="1270"/>
      <x:c r="J49" s="1271"/>
      <x:c r="K49" s="805"/>
      <x:c r="L49" s="2373" t="str">
        <x:v>Emergency safety issue?
Use a separate protected contact route for exposed private data, vulnerable-person identity or an immediate safety risk. Do not place sensitive information in the public correction form.</x:v>
      </x:c>
      <x:c r="M49" s="2374"/>
      <x:c r="N49" s="2374"/>
      <x:c r="O49" s="2374"/>
      <x:c r="P49" s="2374"/>
      <x:c r="Q49" s="2374"/>
      <x:c r="R49" s="2375"/>
    </x:row>
    <x:row r="50">
      <x:c r="A50" s="1493"/>
      <x:c r="B50" s="1494"/>
      <x:c r="C50" s="1494"/>
      <x:c r="D50" s="1494"/>
      <x:c r="E50" s="1495"/>
      <x:c r="F50" s="1493"/>
      <x:c r="G50" s="1494"/>
      <x:c r="H50" s="1494"/>
      <x:c r="I50" s="1494"/>
      <x:c r="J50" s="1495"/>
      <x:c r="K50" s="805"/>
      <x:c r="L50" s="2376"/>
      <x:c r="M50" s="2377"/>
      <x:c r="N50" s="2377"/>
      <x:c r="O50" s="2377"/>
      <x:c r="P50" s="2377"/>
      <x:c r="Q50" s="2377"/>
      <x:c r="R50" s="2378"/>
    </x:row>
    <x:row r="51">
      <x:c r="A51" s="1493"/>
      <x:c r="B51" s="1494"/>
      <x:c r="C51" s="1494"/>
      <x:c r="D51" s="1494"/>
      <x:c r="E51" s="1495"/>
      <x:c r="F51" s="1493"/>
      <x:c r="G51" s="1494"/>
      <x:c r="H51" s="1494"/>
      <x:c r="I51" s="1494"/>
      <x:c r="J51" s="1495"/>
      <x:c r="K51" s="805"/>
      <x:c r="L51" s="2376"/>
      <x:c r="M51" s="2377"/>
      <x:c r="N51" s="2377"/>
      <x:c r="O51" s="2377"/>
      <x:c r="P51" s="2377"/>
      <x:c r="Q51" s="2377"/>
      <x:c r="R51" s="2378"/>
    </x:row>
    <x:row r="52">
      <x:c r="A52" s="1493"/>
      <x:c r="B52" s="1494"/>
      <x:c r="C52" s="1494"/>
      <x:c r="D52" s="1494"/>
      <x:c r="E52" s="1495"/>
      <x:c r="F52" s="1493"/>
      <x:c r="G52" s="1494"/>
      <x:c r="H52" s="1494"/>
      <x:c r="I52" s="1494"/>
      <x:c r="J52" s="1495"/>
      <x:c r="K52" s="805"/>
      <x:c r="L52" s="2376"/>
      <x:c r="M52" s="2377"/>
      <x:c r="N52" s="2377"/>
      <x:c r="O52" s="2377"/>
      <x:c r="P52" s="2377"/>
      <x:c r="Q52" s="2377"/>
      <x:c r="R52" s="2378"/>
    </x:row>
    <x:row r="53">
      <x:c r="A53" s="1272"/>
      <x:c r="B53" s="1273"/>
      <x:c r="C53" s="1273"/>
      <x:c r="D53" s="1273"/>
      <x:c r="E53" s="1274"/>
      <x:c r="F53" s="1272"/>
      <x:c r="G53" s="1273"/>
      <x:c r="H53" s="1273"/>
      <x:c r="I53" s="1273"/>
      <x:c r="J53" s="1274"/>
      <x:c r="K53" s="805"/>
      <x:c r="L53" s="2376"/>
      <x:c r="M53" s="2377"/>
      <x:c r="N53" s="2377"/>
      <x:c r="O53" s="2377"/>
      <x:c r="P53" s="2377"/>
      <x:c r="Q53" s="2377"/>
      <x:c r="R53" s="2378"/>
    </x:row>
    <x:row r="54">
      <x:c r="A54" s="804"/>
      <x:c r="B54" s="805"/>
      <x:c r="C54" s="805"/>
      <x:c r="D54" s="805"/>
      <x:c r="E54" s="805"/>
      <x:c r="F54" s="805"/>
      <x:c r="G54" s="805"/>
      <x:c r="H54" s="805"/>
      <x:c r="I54" s="805"/>
      <x:c r="J54" s="805"/>
      <x:c r="K54" s="805"/>
      <x:c r="L54" s="2376"/>
      <x:c r="M54" s="2377"/>
      <x:c r="N54" s="2377"/>
      <x:c r="O54" s="2377"/>
      <x:c r="P54" s="2377"/>
      <x:c r="Q54" s="2377"/>
      <x:c r="R54" s="2378"/>
    </x:row>
    <x:row r="55">
      <x:c r="A55" s="1463" t="str">
        <x:v>☐ I have supplied a public source and have not included confidential or unnecessary personal information.
☐ I understand that the existing wording will remain until the correction is reviewed.</x:v>
      </x:c>
      <x:c r="B55" s="1464"/>
      <x:c r="C55" s="1464"/>
      <x:c r="D55" s="1464"/>
      <x:c r="E55" s="1464"/>
      <x:c r="F55" s="1464"/>
      <x:c r="G55" s="1464"/>
      <x:c r="H55" s="1464"/>
      <x:c r="I55" s="1464"/>
      <x:c r="J55" s="1465"/>
      <x:c r="K55" s="805"/>
      <x:c r="L55" s="2376"/>
      <x:c r="M55" s="2377"/>
      <x:c r="N55" s="2377"/>
      <x:c r="O55" s="2377"/>
      <x:c r="P55" s="2377"/>
      <x:c r="Q55" s="2377"/>
      <x:c r="R55" s="2378"/>
    </x:row>
    <x:row r="56">
      <x:c r="A56" s="1466"/>
      <x:c r="B56" s="1467"/>
      <x:c r="C56" s="1467"/>
      <x:c r="D56" s="1467"/>
      <x:c r="E56" s="1467"/>
      <x:c r="F56" s="1467"/>
      <x:c r="G56" s="1467"/>
      <x:c r="H56" s="1467"/>
      <x:c r="I56" s="1467"/>
      <x:c r="J56" s="1468"/>
      <x:c r="K56" s="805"/>
      <x:c r="L56" s="2376"/>
      <x:c r="M56" s="2377"/>
      <x:c r="N56" s="2377"/>
      <x:c r="O56" s="2377"/>
      <x:c r="P56" s="2377"/>
      <x:c r="Q56" s="2377"/>
      <x:c r="R56" s="2378"/>
    </x:row>
    <x:row r="57">
      <x:c r="A57" s="1466"/>
      <x:c r="B57" s="1467"/>
      <x:c r="C57" s="1467"/>
      <x:c r="D57" s="1467"/>
      <x:c r="E57" s="1467"/>
      <x:c r="F57" s="1467"/>
      <x:c r="G57" s="1467"/>
      <x:c r="H57" s="1467"/>
      <x:c r="I57" s="1467"/>
      <x:c r="J57" s="1468"/>
      <x:c r="K57" s="805"/>
      <x:c r="L57" s="2376"/>
      <x:c r="M57" s="2377"/>
      <x:c r="N57" s="2377"/>
      <x:c r="O57" s="2377"/>
      <x:c r="P57" s="2377"/>
      <x:c r="Q57" s="2377"/>
      <x:c r="R57" s="2378"/>
    </x:row>
    <x:row r="58">
      <x:c r="A58" s="1466"/>
      <x:c r="B58" s="1467"/>
      <x:c r="C58" s="1467"/>
      <x:c r="D58" s="1467"/>
      <x:c r="E58" s="1467"/>
      <x:c r="F58" s="1467"/>
      <x:c r="G58" s="1467"/>
      <x:c r="H58" s="1467"/>
      <x:c r="I58" s="1467"/>
      <x:c r="J58" s="1468"/>
      <x:c r="K58" s="805"/>
      <x:c r="L58" s="2376"/>
      <x:c r="M58" s="2377"/>
      <x:c r="N58" s="2377"/>
      <x:c r="O58" s="2377"/>
      <x:c r="P58" s="2377"/>
      <x:c r="Q58" s="2377"/>
      <x:c r="R58" s="2378"/>
    </x:row>
    <x:row r="59">
      <x:c r="A59" s="1466"/>
      <x:c r="B59" s="1467"/>
      <x:c r="C59" s="1467"/>
      <x:c r="D59" s="1467"/>
      <x:c r="E59" s="1467"/>
      <x:c r="F59" s="1467"/>
      <x:c r="G59" s="1467"/>
      <x:c r="H59" s="1467"/>
      <x:c r="I59" s="1467"/>
      <x:c r="J59" s="1468"/>
      <x:c r="K59" s="805"/>
      <x:c r="L59" s="2376"/>
      <x:c r="M59" s="2377"/>
      <x:c r="N59" s="2377"/>
      <x:c r="O59" s="2377"/>
      <x:c r="P59" s="2377"/>
      <x:c r="Q59" s="2377"/>
      <x:c r="R59" s="2378"/>
    </x:row>
    <x:row r="60">
      <x:c r="A60" s="1466"/>
      <x:c r="B60" s="1467"/>
      <x:c r="C60" s="1467"/>
      <x:c r="D60" s="1467"/>
      <x:c r="E60" s="1467"/>
      <x:c r="F60" s="1467"/>
      <x:c r="G60" s="1467"/>
      <x:c r="H60" s="1467"/>
      <x:c r="I60" s="1467"/>
      <x:c r="J60" s="1468"/>
      <x:c r="K60" s="805"/>
      <x:c r="L60" s="2376"/>
      <x:c r="M60" s="2377"/>
      <x:c r="N60" s="2377"/>
      <x:c r="O60" s="2377"/>
      <x:c r="P60" s="2377"/>
      <x:c r="Q60" s="2377"/>
      <x:c r="R60" s="2378"/>
    </x:row>
    <x:row r="61">
      <x:c r="A61" s="1469"/>
      <x:c r="B61" s="1470"/>
      <x:c r="C61" s="1470"/>
      <x:c r="D61" s="1470"/>
      <x:c r="E61" s="1470"/>
      <x:c r="F61" s="1470"/>
      <x:c r="G61" s="1470"/>
      <x:c r="H61" s="1470"/>
      <x:c r="I61" s="1470"/>
      <x:c r="J61" s="1471"/>
      <x:c r="K61" s="805"/>
      <x:c r="L61" s="2379"/>
      <x:c r="M61" s="2380"/>
      <x:c r="N61" s="2380"/>
      <x:c r="O61" s="2380"/>
      <x:c r="P61" s="2380"/>
      <x:c r="Q61" s="2380"/>
      <x:c r="R61" s="2381"/>
    </x:row>
    <x:row r="62">
      <x:c r="A62" s="804"/>
      <x:c r="B62" s="805"/>
      <x:c r="C62" s="805"/>
      <x:c r="D62" s="805"/>
      <x:c r="E62" s="805"/>
      <x:c r="F62" s="805"/>
      <x:c r="G62" s="805"/>
      <x:c r="H62" s="805"/>
      <x:c r="I62" s="805"/>
      <x:c r="J62" s="805"/>
      <x:c r="K62" s="805"/>
      <x:c r="L62" s="805"/>
      <x:c r="M62" s="805"/>
      <x:c r="N62" s="805"/>
      <x:c r="O62" s="805"/>
      <x:c r="P62" s="805"/>
      <x:c r="Q62" s="805"/>
      <x:c r="R62" s="806"/>
    </x:row>
    <x:row r="63">
      <x:c r="A63" s="804"/>
      <x:c r="B63" s="805"/>
      <x:c r="C63" s="2567" t="str">
        <x:v>[ Submit correction ]</x:v>
      </x:c>
      <x:c r="D63" s="2568"/>
      <x:c r="E63" s="2568"/>
      <x:c r="F63" s="2568"/>
      <x:c r="G63" s="2568"/>
      <x:c r="H63" s="2569"/>
      <x:c r="I63" s="805"/>
      <x:c r="J63" s="805"/>
      <x:c r="K63" s="805"/>
      <x:c r="L63" s="805"/>
      <x:c r="M63" s="805"/>
      <x:c r="N63" s="805"/>
      <x:c r="O63" s="805"/>
      <x:c r="P63" s="805"/>
      <x:c r="Q63" s="805"/>
      <x:c r="R63" s="806"/>
    </x:row>
    <x:row r="64">
      <x:c r="A64" s="804"/>
      <x:c r="B64" s="805"/>
      <x:c r="C64" s="2570"/>
      <x:c r="D64" s="2571"/>
      <x:c r="E64" s="2571"/>
      <x:c r="F64" s="2571"/>
      <x:c r="G64" s="2571"/>
      <x:c r="H64" s="2572"/>
      <x:c r="I64" s="805"/>
      <x:c r="J64" s="805"/>
      <x:c r="K64" s="805"/>
      <x:c r="L64" s="805"/>
      <x:c r="M64" s="805"/>
      <x:c r="N64" s="805"/>
      <x:c r="O64" s="805"/>
      <x:c r="P64" s="805"/>
      <x:c r="Q64" s="805"/>
      <x:c r="R64" s="806"/>
    </x:row>
    <x:row r="65">
      <x:c r="A65" s="804"/>
      <x:c r="B65" s="805"/>
      <x:c r="C65" s="2570"/>
      <x:c r="D65" s="2571"/>
      <x:c r="E65" s="2571"/>
      <x:c r="F65" s="2571"/>
      <x:c r="G65" s="2571"/>
      <x:c r="H65" s="2572"/>
      <x:c r="I65" s="805"/>
      <x:c r="J65" s="805"/>
      <x:c r="K65" s="805"/>
      <x:c r="L65" s="805"/>
      <x:c r="M65" s="805"/>
      <x:c r="N65" s="805"/>
      <x:c r="O65" s="805"/>
      <x:c r="P65" s="805"/>
      <x:c r="Q65" s="805"/>
      <x:c r="R65" s="806"/>
    </x:row>
    <x:row r="66">
      <x:c r="A66" s="804"/>
      <x:c r="B66" s="805"/>
      <x:c r="C66" s="2570"/>
      <x:c r="D66" s="2571"/>
      <x:c r="E66" s="2571"/>
      <x:c r="F66" s="2571"/>
      <x:c r="G66" s="2571"/>
      <x:c r="H66" s="2572"/>
      <x:c r="I66" s="805"/>
      <x:c r="J66" s="805"/>
      <x:c r="K66" s="805"/>
      <x:c r="L66" s="805"/>
      <x:c r="M66" s="805"/>
      <x:c r="N66" s="805"/>
      <x:c r="O66" s="805"/>
      <x:c r="P66" s="805"/>
      <x:c r="Q66" s="805"/>
      <x:c r="R66" s="806"/>
    </x:row>
    <x:row r="67">
      <x:c r="A67" s="804"/>
      <x:c r="B67" s="805"/>
      <x:c r="C67" s="2573"/>
      <x:c r="D67" s="2574"/>
      <x:c r="E67" s="2574"/>
      <x:c r="F67" s="2574"/>
      <x:c r="G67" s="2574"/>
      <x:c r="H67" s="2575"/>
      <x:c r="I67" s="805"/>
      <x:c r="J67" s="805"/>
      <x:c r="K67" s="805"/>
      <x:c r="L67" s="805"/>
      <x:c r="M67" s="805"/>
      <x:c r="N67" s="805"/>
      <x:c r="O67" s="805"/>
      <x:c r="P67" s="805"/>
      <x:c r="Q67" s="805"/>
      <x:c r="R67" s="806"/>
    </x:row>
    <x:row r="68">
      <x:c r="A68" s="804"/>
      <x:c r="B68" s="805"/>
      <x:c r="C68" s="805"/>
      <x:c r="D68" s="805"/>
      <x:c r="E68" s="805"/>
      <x:c r="F68" s="805"/>
      <x:c r="G68" s="805"/>
      <x:c r="H68" s="805"/>
      <x:c r="I68" s="805"/>
      <x:c r="J68" s="805"/>
      <x:c r="K68" s="805"/>
      <x:c r="L68" s="805"/>
      <x:c r="M68" s="805"/>
      <x:c r="N68" s="805"/>
      <x:c r="O68" s="805"/>
      <x:c r="P68" s="805"/>
      <x:c r="Q68" s="805"/>
      <x:c r="R68" s="806"/>
    </x:row>
    <x:row r="69">
      <x:c r="A69" s="804"/>
      <x:c r="B69" s="805"/>
      <x:c r="C69" s="805"/>
      <x:c r="D69" s="805"/>
      <x:c r="E69" s="805"/>
      <x:c r="F69" s="805"/>
      <x:c r="G69" s="805"/>
      <x:c r="H69" s="805"/>
      <x:c r="I69" s="805"/>
      <x:c r="J69" s="805"/>
      <x:c r="K69" s="805"/>
      <x:c r="L69" s="805"/>
      <x:c r="M69" s="805"/>
      <x:c r="N69" s="805"/>
      <x:c r="O69" s="805"/>
      <x:c r="P69" s="805"/>
      <x:c r="Q69" s="805"/>
      <x:c r="R69" s="806"/>
    </x:row>
    <x:row r="70">
      <x:c r="A70" s="714" t="str">
        <x:v>Public correction log</x:v>
      </x:c>
      <x:c r="B70" s="715"/>
      <x:c r="C70" s="715"/>
      <x:c r="D70" s="715"/>
      <x:c r="E70" s="715"/>
      <x:c r="F70" s="715"/>
      <x:c r="G70" s="715"/>
      <x:c r="H70" s="715"/>
      <x:c r="I70" s="715"/>
      <x:c r="J70" s="715"/>
      <x:c r="K70" s="715"/>
      <x:c r="L70" s="715"/>
      <x:c r="M70" s="715"/>
      <x:c r="N70" s="715"/>
      <x:c r="O70" s="715"/>
      <x:c r="P70" s="715"/>
      <x:c r="Q70" s="715"/>
      <x:c r="R70" s="716"/>
    </x:row>
    <x:row r="71">
      <x:c r="A71" s="804" t="str">
        <x:v>Date</x:v>
      </x:c>
      <x:c r="B71" s="805" t="str">
        <x:v>Event</x:v>
      </x:c>
      <x:c r="C71" s="805"/>
      <x:c r="D71" s="805"/>
      <x:c r="E71" s="805" t="str">
        <x:v>What changed</x:v>
      </x:c>
      <x:c r="F71" s="805"/>
      <x:c r="G71" s="805"/>
      <x:c r="H71" s="805"/>
      <x:c r="I71" s="805"/>
      <x:c r="J71" s="805" t="str">
        <x:v>Reason</x:v>
      </x:c>
      <x:c r="K71" s="805"/>
      <x:c r="L71" s="805"/>
      <x:c r="M71" s="805"/>
      <x:c r="N71" s="805" t="str">
        <x:v>Stage</x:v>
      </x:c>
      <x:c r="O71" s="805"/>
      <x:c r="P71" s="805" t="str">
        <x:v>Status</x:v>
      </x:c>
      <x:c r="Q71" s="805"/>
      <x:c r="R71" s="806"/>
    </x:row>
    <x:row r="72">
      <x:c r="A72" s="2586" t="str">
        <x:v>15 Jul 2026</x:v>
      </x:c>
      <x:c r="B72" s="2587"/>
      <x:c r="C72" s="2588"/>
      <x:c r="D72" s="2622" t="str">
        <x:v>IO-CM-MP-0001</x:v>
      </x:c>
      <x:c r="E72" s="2623"/>
      <x:c r="F72" s="2624"/>
      <x:c r="G72" s="1463" t="str">
        <x:v>Location wording changed from a single district to the broader Chhatarpur–Panna area.</x:v>
      </x:c>
      <x:c r="H72" s="1464"/>
      <x:c r="I72" s="1464"/>
      <x:c r="J72" s="1464"/>
      <x:c r="K72" s="1465"/>
      <x:c r="L72" s="2631" t="str">
        <x:v>Sources described Kupi's district inconsistently.</x:v>
      </x:c>
      <x:c r="M72" s="2632"/>
      <x:c r="N72" s="2633"/>
      <x:c r="O72" s="2646" t="str">
        <x:v>Pre-publication</x:v>
      </x:c>
      <x:c r="P72" s="2647"/>
      <x:c r="Q72" s="1244" t="str">
        <x:v>Reviewed</x:v>
      </x:c>
      <x:c r="R72" s="1246"/>
    </x:row>
    <x:row r="73">
      <x:c r="A73" s="2589"/>
      <x:c r="B73" s="2590"/>
      <x:c r="C73" s="2591"/>
      <x:c r="D73" s="2625"/>
      <x:c r="E73" s="2626"/>
      <x:c r="F73" s="2627"/>
      <x:c r="G73" s="1466"/>
      <x:c r="H73" s="1467"/>
      <x:c r="I73" s="1467"/>
      <x:c r="J73" s="1467"/>
      <x:c r="K73" s="1468"/>
      <x:c r="L73" s="2634"/>
      <x:c r="M73" s="2635"/>
      <x:c r="N73" s="2636"/>
      <x:c r="O73" s="2648"/>
      <x:c r="P73" s="2649"/>
      <x:c r="Q73" s="1589"/>
      <x:c r="R73" s="1591"/>
    </x:row>
    <x:row r="74">
      <x:c r="A74" s="2589"/>
      <x:c r="B74" s="2590"/>
      <x:c r="C74" s="2591"/>
      <x:c r="D74" s="2625"/>
      <x:c r="E74" s="2626"/>
      <x:c r="F74" s="2627"/>
      <x:c r="G74" s="1466"/>
      <x:c r="H74" s="1467"/>
      <x:c r="I74" s="1467"/>
      <x:c r="J74" s="1467"/>
      <x:c r="K74" s="1468"/>
      <x:c r="L74" s="2634"/>
      <x:c r="M74" s="2635"/>
      <x:c r="N74" s="2636"/>
      <x:c r="O74" s="2648"/>
      <x:c r="P74" s="2649"/>
      <x:c r="Q74" s="1589"/>
      <x:c r="R74" s="1591"/>
    </x:row>
    <x:row r="75">
      <x:c r="A75" s="2589"/>
      <x:c r="B75" s="2590"/>
      <x:c r="C75" s="2591"/>
      <x:c r="D75" s="2625"/>
      <x:c r="E75" s="2626"/>
      <x:c r="F75" s="2627"/>
      <x:c r="G75" s="1466"/>
      <x:c r="H75" s="1467"/>
      <x:c r="I75" s="1467"/>
      <x:c r="J75" s="1467"/>
      <x:c r="K75" s="1468"/>
      <x:c r="L75" s="2634"/>
      <x:c r="M75" s="2635"/>
      <x:c r="N75" s="2636"/>
      <x:c r="O75" s="2648"/>
      <x:c r="P75" s="2649"/>
      <x:c r="Q75" s="1589"/>
      <x:c r="R75" s="1591"/>
    </x:row>
    <x:row r="76">
      <x:c r="A76" s="2592"/>
      <x:c r="B76" s="2593"/>
      <x:c r="C76" s="2594"/>
      <x:c r="D76" s="2628"/>
      <x:c r="E76" s="2629"/>
      <x:c r="F76" s="2630"/>
      <x:c r="G76" s="1469"/>
      <x:c r="H76" s="1470"/>
      <x:c r="I76" s="1470"/>
      <x:c r="J76" s="1470"/>
      <x:c r="K76" s="1471"/>
      <x:c r="L76" s="2637"/>
      <x:c r="M76" s="2638"/>
      <x:c r="N76" s="2639"/>
      <x:c r="O76" s="2650"/>
      <x:c r="P76" s="2651"/>
      <x:c r="Q76" s="1247"/>
      <x:c r="R76" s="1249"/>
    </x:row>
    <x:row r="77">
      <x:c r="A77" s="804"/>
      <x:c r="B77" s="805"/>
      <x:c r="C77" s="805"/>
      <x:c r="D77" s="805"/>
      <x:c r="E77" s="805"/>
      <x:c r="F77" s="805"/>
      <x:c r="G77" s="805"/>
      <x:c r="H77" s="805"/>
      <x:c r="I77" s="805"/>
      <x:c r="J77" s="805"/>
      <x:c r="K77" s="805"/>
      <x:c r="L77" s="805"/>
      <x:c r="M77" s="805"/>
      <x:c r="N77" s="805"/>
      <x:c r="O77" s="805"/>
      <x:c r="P77" s="805"/>
      <x:c r="Q77" s="805"/>
      <x:c r="R77" s="806"/>
    </x:row>
    <x:row r="78">
      <x:c r="A78" s="2586" t="str">
        <x:v>15 Jul 2026</x:v>
      </x:c>
      <x:c r="B78" s="2587"/>
      <x:c r="C78" s="2588"/>
      <x:c r="D78" s="2622" t="str">
        <x:v>IO-CM-MH-0001</x:v>
      </x:c>
      <x:c r="E78" s="2623"/>
      <x:c r="F78" s="2624"/>
      <x:c r="G78" s="1463" t="str">
        <x:v>Event date recorded as 5 July rather than 6 July.</x:v>
      </x:c>
      <x:c r="H78" s="1464"/>
      <x:c r="I78" s="1464"/>
      <x:c r="J78" s="1464"/>
      <x:c r="K78" s="1465"/>
      <x:c r="L78" s="2631" t="str">
        <x:v>One report's weekday and date were inconsistent.</x:v>
      </x:c>
      <x:c r="M78" s="2632"/>
      <x:c r="N78" s="2633"/>
      <x:c r="O78" s="2646" t="str">
        <x:v>Pre-publication</x:v>
      </x:c>
      <x:c r="P78" s="2647"/>
      <x:c r="Q78" s="1244" t="str">
        <x:v>Reviewed</x:v>
      </x:c>
      <x:c r="R78" s="1246"/>
    </x:row>
    <x:row r="79">
      <x:c r="A79" s="2589"/>
      <x:c r="B79" s="2590"/>
      <x:c r="C79" s="2591"/>
      <x:c r="D79" s="2625"/>
      <x:c r="E79" s="2626"/>
      <x:c r="F79" s="2627"/>
      <x:c r="G79" s="1466"/>
      <x:c r="H79" s="1467"/>
      <x:c r="I79" s="1467"/>
      <x:c r="J79" s="1467"/>
      <x:c r="K79" s="1468"/>
      <x:c r="L79" s="2634"/>
      <x:c r="M79" s="2635"/>
      <x:c r="N79" s="2636"/>
      <x:c r="O79" s="2648"/>
      <x:c r="P79" s="2649"/>
      <x:c r="Q79" s="1589"/>
      <x:c r="R79" s="1591"/>
    </x:row>
    <x:row r="80">
      <x:c r="A80" s="2589"/>
      <x:c r="B80" s="2590"/>
      <x:c r="C80" s="2591"/>
      <x:c r="D80" s="2625"/>
      <x:c r="E80" s="2626"/>
      <x:c r="F80" s="2627"/>
      <x:c r="G80" s="1466"/>
      <x:c r="H80" s="1467"/>
      <x:c r="I80" s="1467"/>
      <x:c r="J80" s="1467"/>
      <x:c r="K80" s="1468"/>
      <x:c r="L80" s="2634"/>
      <x:c r="M80" s="2635"/>
      <x:c r="N80" s="2636"/>
      <x:c r="O80" s="2648"/>
      <x:c r="P80" s="2649"/>
      <x:c r="Q80" s="1589"/>
      <x:c r="R80" s="1591"/>
    </x:row>
    <x:row r="81">
      <x:c r="A81" s="2589"/>
      <x:c r="B81" s="2590"/>
      <x:c r="C81" s="2591"/>
      <x:c r="D81" s="2625"/>
      <x:c r="E81" s="2626"/>
      <x:c r="F81" s="2627"/>
      <x:c r="G81" s="1466"/>
      <x:c r="H81" s="1467"/>
      <x:c r="I81" s="1467"/>
      <x:c r="J81" s="1467"/>
      <x:c r="K81" s="1468"/>
      <x:c r="L81" s="2634"/>
      <x:c r="M81" s="2635"/>
      <x:c r="N81" s="2636"/>
      <x:c r="O81" s="2648"/>
      <x:c r="P81" s="2649"/>
      <x:c r="Q81" s="1589"/>
      <x:c r="R81" s="1591"/>
    </x:row>
    <x:row r="82">
      <x:c r="A82" s="2592"/>
      <x:c r="B82" s="2593"/>
      <x:c r="C82" s="2594"/>
      <x:c r="D82" s="2628"/>
      <x:c r="E82" s="2629"/>
      <x:c r="F82" s="2630"/>
      <x:c r="G82" s="1469"/>
      <x:c r="H82" s="1470"/>
      <x:c r="I82" s="1470"/>
      <x:c r="J82" s="1470"/>
      <x:c r="K82" s="1471"/>
      <x:c r="L82" s="2637"/>
      <x:c r="M82" s="2638"/>
      <x:c r="N82" s="2639"/>
      <x:c r="O82" s="2650"/>
      <x:c r="P82" s="2651"/>
      <x:c r="Q82" s="1247"/>
      <x:c r="R82" s="1249"/>
    </x:row>
    <x:row r="83">
      <x:c r="A83" s="804"/>
      <x:c r="B83" s="805"/>
      <x:c r="C83" s="805"/>
      <x:c r="D83" s="805"/>
      <x:c r="E83" s="805"/>
      <x:c r="F83" s="805"/>
      <x:c r="G83" s="805"/>
      <x:c r="H83" s="805"/>
      <x:c r="I83" s="805"/>
      <x:c r="J83" s="805"/>
      <x:c r="K83" s="805"/>
      <x:c r="L83" s="805"/>
      <x:c r="M83" s="805"/>
      <x:c r="N83" s="805"/>
      <x:c r="O83" s="805"/>
      <x:c r="P83" s="805"/>
      <x:c r="Q83" s="805"/>
      <x:c r="R83" s="806"/>
    </x:row>
    <x:row r="84">
      <x:c r="A84" s="804"/>
      <x:c r="B84" s="805"/>
      <x:c r="C84" s="805"/>
      <x:c r="D84" s="805"/>
      <x:c r="E84" s="805"/>
      <x:c r="F84" s="805"/>
      <x:c r="G84" s="805"/>
      <x:c r="H84" s="805"/>
      <x:c r="I84" s="805"/>
      <x:c r="J84" s="805"/>
      <x:c r="K84" s="805"/>
      <x:c r="L84" s="805"/>
      <x:c r="M84" s="805"/>
      <x:c r="N84" s="805"/>
      <x:c r="O84" s="805"/>
      <x:c r="P84" s="805"/>
      <x:c r="Q84" s="805"/>
      <x:c r="R84" s="806"/>
    </x:row>
    <x:row r="85">
      <x:c r="A85" s="804"/>
      <x:c r="B85" s="805"/>
      <x:c r="C85" s="805"/>
      <x:c r="D85" s="805"/>
      <x:c r="E85" s="805"/>
      <x:c r="F85" s="805"/>
      <x:c r="G85" s="805"/>
      <x:c r="H85" s="805"/>
      <x:c r="I85" s="805"/>
      <x:c r="J85" s="805"/>
      <x:c r="K85" s="805"/>
      <x:c r="L85" s="805"/>
      <x:c r="M85" s="805"/>
      <x:c r="N85" s="805"/>
      <x:c r="O85" s="805"/>
      <x:c r="P85" s="805"/>
      <x:c r="Q85" s="805"/>
      <x:c r="R85" s="806"/>
    </x:row>
    <x:row r="86">
      <x:c r="A86" s="992" t="str">
        <x:v>[Load more corrections]     Search correction log [____________]</x:v>
      </x:c>
      <x:c r="B86" s="993"/>
      <x:c r="C86" s="993"/>
      <x:c r="D86" s="993"/>
      <x:c r="E86" s="993"/>
      <x:c r="F86" s="993"/>
      <x:c r="G86" s="993"/>
      <x:c r="H86" s="993"/>
      <x:c r="I86" s="993"/>
      <x:c r="J86" s="993"/>
      <x:c r="K86" s="993"/>
      <x:c r="L86" s="993"/>
      <x:c r="M86" s="993"/>
      <x:c r="N86" s="993"/>
      <x:c r="O86" s="993"/>
      <x:c r="P86" s="993"/>
      <x:c r="Q86" s="993"/>
      <x:c r="R86" s="994"/>
    </x:row>
    <x:row r="87">
      <x:c r="A87" s="995"/>
      <x:c r="B87" s="996"/>
      <x:c r="C87" s="996"/>
      <x:c r="D87" s="996"/>
      <x:c r="E87" s="996"/>
      <x:c r="F87" s="996"/>
      <x:c r="G87" s="996"/>
      <x:c r="H87" s="996"/>
      <x:c r="I87" s="996"/>
      <x:c r="J87" s="996"/>
      <x:c r="K87" s="996"/>
      <x:c r="L87" s="996"/>
      <x:c r="M87" s="996"/>
      <x:c r="N87" s="996"/>
      <x:c r="O87" s="996"/>
      <x:c r="P87" s="996"/>
      <x:c r="Q87" s="996"/>
      <x:c r="R87" s="997"/>
    </x:row>
    <x:row r="88">
      <x:c r="A88" s="995"/>
      <x:c r="B88" s="996"/>
      <x:c r="C88" s="996"/>
      <x:c r="D88" s="996"/>
      <x:c r="E88" s="996"/>
      <x:c r="F88" s="996"/>
      <x:c r="G88" s="996"/>
      <x:c r="H88" s="996"/>
      <x:c r="I88" s="996"/>
      <x:c r="J88" s="996"/>
      <x:c r="K88" s="996"/>
      <x:c r="L88" s="996"/>
      <x:c r="M88" s="996"/>
      <x:c r="N88" s="996"/>
      <x:c r="O88" s="996"/>
      <x:c r="P88" s="996"/>
      <x:c r="Q88" s="996"/>
      <x:c r="R88" s="997"/>
    </x:row>
    <x:row r="89">
      <x:c r="A89" s="998"/>
      <x:c r="B89" s="999"/>
      <x:c r="C89" s="999"/>
      <x:c r="D89" s="999"/>
      <x:c r="E89" s="999"/>
      <x:c r="F89" s="999"/>
      <x:c r="G89" s="999"/>
      <x:c r="H89" s="999"/>
      <x:c r="I89" s="999"/>
      <x:c r="J89" s="999"/>
      <x:c r="K89" s="999"/>
      <x:c r="L89" s="999"/>
      <x:c r="M89" s="999"/>
      <x:c r="N89" s="999"/>
      <x:c r="O89" s="999"/>
      <x:c r="P89" s="999"/>
      <x:c r="Q89" s="999"/>
      <x:c r="R89" s="1000"/>
    </x:row>
    <x:row r="90">
      <x:c r="A90" s="804"/>
      <x:c r="B90" s="805"/>
      <x:c r="C90" s="805"/>
      <x:c r="D90" s="805"/>
      <x:c r="E90" s="805"/>
      <x:c r="F90" s="805"/>
      <x:c r="G90" s="805"/>
      <x:c r="H90" s="805"/>
      <x:c r="I90" s="805"/>
      <x:c r="J90" s="805"/>
      <x:c r="K90" s="805"/>
      <x:c r="L90" s="805"/>
      <x:c r="M90" s="805"/>
      <x:c r="N90" s="805"/>
      <x:c r="O90" s="805"/>
      <x:c r="P90" s="805"/>
      <x:c r="Q90" s="805"/>
      <x:c r="R90" s="806"/>
    </x:row>
    <x:row r="91">
      <x:c r="A91" s="1531" t="str">
        <x:v>Footer: Methodology • Privacy • Contact • Accessibility • Submit a lead</x:v>
      </x:c>
      <x:c r="B91" s="1532"/>
      <x:c r="C91" s="1532"/>
      <x:c r="D91" s="1532"/>
      <x:c r="E91" s="1532"/>
      <x:c r="F91" s="1532"/>
      <x:c r="G91" s="1532"/>
      <x:c r="H91" s="1532"/>
      <x:c r="I91" s="1532"/>
      <x:c r="J91" s="1532"/>
      <x:c r="K91" s="1532"/>
      <x:c r="L91" s="1532"/>
      <x:c r="M91" s="1532"/>
      <x:c r="N91" s="1532"/>
      <x:c r="O91" s="1532"/>
      <x:c r="P91" s="1532"/>
      <x:c r="Q91" s="1532"/>
      <x:c r="R91" s="1533"/>
    </x:row>
    <x:row r="92">
      <x:c r="A92" s="1534"/>
      <x:c r="B92" s="1535"/>
      <x:c r="C92" s="1535"/>
      <x:c r="D92" s="1535"/>
      <x:c r="E92" s="1535"/>
      <x:c r="F92" s="1535"/>
      <x:c r="G92" s="1535"/>
      <x:c r="H92" s="1535"/>
      <x:c r="I92" s="1535"/>
      <x:c r="J92" s="1535"/>
      <x:c r="K92" s="1535"/>
      <x:c r="L92" s="1535"/>
      <x:c r="M92" s="1535"/>
      <x:c r="N92" s="1535"/>
      <x:c r="O92" s="1535"/>
      <x:c r="P92" s="1535"/>
      <x:c r="Q92" s="1535"/>
      <x:c r="R92" s="1536"/>
    </x:row>
    <x:row r="93">
      <x:c r="A93" s="1534"/>
      <x:c r="B93" s="1535"/>
      <x:c r="C93" s="1535"/>
      <x:c r="D93" s="1535"/>
      <x:c r="E93" s="1535"/>
      <x:c r="F93" s="1535"/>
      <x:c r="G93" s="1535"/>
      <x:c r="H93" s="1535"/>
      <x:c r="I93" s="1535"/>
      <x:c r="J93" s="1535"/>
      <x:c r="K93" s="1535"/>
      <x:c r="L93" s="1535"/>
      <x:c r="M93" s="1535"/>
      <x:c r="N93" s="1535"/>
      <x:c r="O93" s="1535"/>
      <x:c r="P93" s="1535"/>
      <x:c r="Q93" s="1535"/>
      <x:c r="R93" s="1536"/>
    </x:row>
    <x:row r="94">
      <x:c r="A94" s="1537"/>
      <x:c r="B94" s="1538"/>
      <x:c r="C94" s="1538"/>
      <x:c r="D94" s="1538"/>
      <x:c r="E94" s="1538"/>
      <x:c r="F94" s="1538"/>
      <x:c r="G94" s="1538"/>
      <x:c r="H94" s="1538"/>
      <x:c r="I94" s="1538"/>
      <x:c r="J94" s="1538"/>
      <x:c r="K94" s="1538"/>
      <x:c r="L94" s="1538"/>
      <x:c r="M94" s="1538"/>
      <x:c r="N94" s="1538"/>
      <x:c r="O94" s="1538"/>
      <x:c r="P94" s="1538"/>
      <x:c r="Q94" s="1538"/>
      <x:c r="R94" s="1539"/>
    </x:row>
    <x:row r="96">
      <x:c r="A96" s="1426" t="str">
        <x:v>Corrections interface rule: do not expose complainant identity by default. The public log shows the record change and evidence reason, not private correspondence or legal speculation.</x:v>
      </x:c>
      <x:c r="B96" s="1427"/>
      <x:c r="C96" s="1427"/>
      <x:c r="D96" s="1427"/>
      <x:c r="E96" s="1427"/>
      <x:c r="F96" s="1427"/>
      <x:c r="G96" s="1427"/>
      <x:c r="H96" s="1427"/>
      <x:c r="I96" s="1427"/>
      <x:c r="J96" s="1427"/>
      <x:c r="K96" s="1427"/>
      <x:c r="L96" s="1427"/>
      <x:c r="M96" s="1427"/>
      <x:c r="N96" s="1427"/>
      <x:c r="O96" s="1427"/>
      <x:c r="P96" s="1427"/>
      <x:c r="Q96" s="1427"/>
      <x:c r="R96" s="1428"/>
    </x:row>
    <x:row r="97">
      <x:c r="A97" s="1429"/>
      <x:c r="B97" s="1430"/>
      <x:c r="C97" s="1430"/>
      <x:c r="D97" s="1430"/>
      <x:c r="E97" s="1430"/>
      <x:c r="F97" s="1430"/>
      <x:c r="G97" s="1430"/>
      <x:c r="H97" s="1430"/>
      <x:c r="I97" s="1430"/>
      <x:c r="J97" s="1430"/>
      <x:c r="K97" s="1430"/>
      <x:c r="L97" s="1430"/>
      <x:c r="M97" s="1430"/>
      <x:c r="N97" s="1430"/>
      <x:c r="O97" s="1430"/>
      <x:c r="P97" s="1430"/>
      <x:c r="Q97" s="1430"/>
      <x:c r="R97" s="1431"/>
    </x:row>
    <x:row r="98">
      <x:c r="A98" s="1429"/>
      <x:c r="B98" s="1430"/>
      <x:c r="C98" s="1430"/>
      <x:c r="D98" s="1430"/>
      <x:c r="E98" s="1430"/>
      <x:c r="F98" s="1430"/>
      <x:c r="G98" s="1430"/>
      <x:c r="H98" s="1430"/>
      <x:c r="I98" s="1430"/>
      <x:c r="J98" s="1430"/>
      <x:c r="K98" s="1430"/>
      <x:c r="L98" s="1430"/>
      <x:c r="M98" s="1430"/>
      <x:c r="N98" s="1430"/>
      <x:c r="O98" s="1430"/>
      <x:c r="P98" s="1430"/>
      <x:c r="Q98" s="1430"/>
      <x:c r="R98" s="1431"/>
    </x:row>
    <x:row r="99">
      <x:c r="A99" s="1429"/>
      <x:c r="B99" s="1430"/>
      <x:c r="C99" s="1430"/>
      <x:c r="D99" s="1430"/>
      <x:c r="E99" s="1430"/>
      <x:c r="F99" s="1430"/>
      <x:c r="G99" s="1430"/>
      <x:c r="H99" s="1430"/>
      <x:c r="I99" s="1430"/>
      <x:c r="J99" s="1430"/>
      <x:c r="K99" s="1430"/>
      <x:c r="L99" s="1430"/>
      <x:c r="M99" s="1430"/>
      <x:c r="N99" s="1430"/>
      <x:c r="O99" s="1430"/>
      <x:c r="P99" s="1430"/>
      <x:c r="Q99" s="1430"/>
      <x:c r="R99" s="1431"/>
    </x:row>
    <x:row r="100">
      <x:c r="A100" s="1432"/>
      <x:c r="B100" s="1433"/>
      <x:c r="C100" s="1433"/>
      <x:c r="D100" s="1433"/>
      <x:c r="E100" s="1433"/>
      <x:c r="F100" s="1433"/>
      <x:c r="G100" s="1433"/>
      <x:c r="H100" s="1433"/>
      <x:c r="I100" s="1433"/>
      <x:c r="J100" s="1433"/>
      <x:c r="K100" s="1433"/>
      <x:c r="L100" s="1433"/>
      <x:c r="M100" s="1433"/>
      <x:c r="N100" s="1433"/>
      <x:c r="O100" s="1433"/>
      <x:c r="P100" s="1433"/>
      <x:c r="Q100" s="1433"/>
      <x:c r="R100" s="1434"/>
    </x:row>
  </x:sheetData>
  <x:mergeCells>
    <x:mergeCell ref="A1:R2"/>
    <x:mergeCell ref="A3:R4"/>
    <x:mergeCell ref="A6:R8"/>
    <x:mergeCell ref="A10:R16"/>
    <x:mergeCell ref="A18:R22"/>
    <x:mergeCell ref="A24:J24"/>
    <x:mergeCell ref="A25:J29"/>
    <x:mergeCell ref="A30:J35"/>
    <x:mergeCell ref="A36:J42"/>
    <x:mergeCell ref="A43:J48"/>
    <x:mergeCell ref="A49:E53"/>
    <x:mergeCell ref="F49:J53"/>
    <x:mergeCell ref="A55:J61"/>
    <x:mergeCell ref="C63:H67"/>
    <x:mergeCell ref="L24:R24"/>
    <x:mergeCell ref="L25:R47"/>
    <x:mergeCell ref="L49:R61"/>
    <x:mergeCell ref="A70:R70"/>
    <x:mergeCell ref="A72:C76"/>
    <x:mergeCell ref="D72:F76"/>
    <x:mergeCell ref="G72:K76"/>
    <x:mergeCell ref="L72:N76"/>
    <x:mergeCell ref="O72:P76"/>
    <x:mergeCell ref="Q72:R76"/>
    <x:mergeCell ref="A78:C82"/>
    <x:mergeCell ref="D78:F82"/>
    <x:mergeCell ref="G78:K82"/>
    <x:mergeCell ref="L78:N82"/>
    <x:mergeCell ref="O78:P82"/>
    <x:mergeCell ref="Q78:R82"/>
    <x:mergeCell ref="A86:R89"/>
    <x:mergeCell ref="A91:R94"/>
    <x:mergeCell ref="A96:R100"/>
  </x:mergeCells>
  <x:pageMargins left="0.7" right="0.7" top="0.75" bottom="0.75" header="0.3" footer="0.3"/>
</x:worksheet>
</file>